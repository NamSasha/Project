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filterPrivacy="1" codeName="ThisWorkbook"/>
  <xr:revisionPtr revIDLastSave="0" documentId="8_{FE541C59-6D01-414A-9981-67B491A8D87C}" xr6:coauthVersionLast="36" xr6:coauthVersionMax="36" xr10:uidLastSave="{00000000-0000-0000-0000-000000000000}"/>
  <bookViews>
    <workbookView xWindow="12090" yWindow="0" windowWidth="22260" windowHeight="12645" activeTab="1" xr2:uid="{00000000-000D-0000-FFFF-FFFF00000000}"/>
  </bookViews>
  <sheets>
    <sheet name="Sheet1" sheetId="77" r:id="rId1"/>
    <sheet name="Summary (New)" sheetId="2" r:id="rId2"/>
    <sheet name="1.Aug" sheetId="16" state="hidden" r:id="rId3"/>
    <sheet name="2.Aug" sheetId="17" state="hidden" r:id="rId4"/>
    <sheet name="3.Aug" sheetId="18" state="hidden" r:id="rId5"/>
    <sheet name="4.Aug" sheetId="20" state="hidden" r:id="rId6"/>
    <sheet name="5.Aug" sheetId="21" state="hidden" r:id="rId7"/>
    <sheet name="6.Aug" sheetId="22" state="hidden" r:id="rId8"/>
    <sheet name="7.Aug" sheetId="23" state="hidden" r:id="rId9"/>
    <sheet name="8.Aug" sheetId="24" state="hidden" r:id="rId10"/>
    <sheet name="9.Aug" sheetId="25" state="hidden" r:id="rId11"/>
    <sheet name="10.Aug" sheetId="26" state="hidden" r:id="rId12"/>
    <sheet name="11.Aug" sheetId="27" state="hidden" r:id="rId13"/>
    <sheet name="12.Aug" sheetId="28" state="hidden" r:id="rId14"/>
    <sheet name="13.Aug" sheetId="29" state="hidden" r:id="rId15"/>
    <sheet name="14.Aug" sheetId="30" state="hidden" r:id="rId16"/>
    <sheet name="15.Aug" sheetId="31" state="hidden" r:id="rId17"/>
    <sheet name="16.Aug" sheetId="32" state="hidden" r:id="rId18"/>
    <sheet name="17.Aug" sheetId="33" state="hidden" r:id="rId19"/>
    <sheet name="18.Aug" sheetId="34" state="hidden" r:id="rId20"/>
    <sheet name="19.Aug" sheetId="35" state="hidden" r:id="rId21"/>
    <sheet name="20.Aug" sheetId="36" state="hidden" r:id="rId22"/>
    <sheet name="21.Aug" sheetId="37" state="hidden" r:id="rId23"/>
    <sheet name="22.Aug" sheetId="38" state="hidden" r:id="rId24"/>
    <sheet name="23.Aug" sheetId="39" state="hidden" r:id="rId25"/>
    <sheet name="24.Aug" sheetId="40" state="hidden" r:id="rId26"/>
    <sheet name="25.Aug" sheetId="41" state="hidden" r:id="rId27"/>
    <sheet name="26.Aug" sheetId="42" state="hidden" r:id="rId28"/>
    <sheet name="27.Aug" sheetId="43" state="hidden" r:id="rId29"/>
    <sheet name="28.Aug" sheetId="44" state="hidden" r:id="rId30"/>
    <sheet name="29.Aug" sheetId="45" state="hidden" r:id="rId31"/>
    <sheet name="30.Aug" sheetId="46" state="hidden" r:id="rId32"/>
    <sheet name="31.Aug" sheetId="47" state="hidden" r:id="rId33"/>
    <sheet name="1.Sep" sheetId="48" state="hidden" r:id="rId34"/>
    <sheet name="2.Sep" sheetId="49" state="hidden" r:id="rId35"/>
    <sheet name="3.Sep" sheetId="50" state="hidden" r:id="rId36"/>
    <sheet name="4.Sep" sheetId="51" state="hidden" r:id="rId37"/>
    <sheet name="5.Sep" sheetId="52" state="hidden" r:id="rId38"/>
    <sheet name="6.Sep" sheetId="53" state="hidden" r:id="rId39"/>
    <sheet name="7.Sep" sheetId="54" state="hidden" r:id="rId40"/>
    <sheet name="8.Sep" sheetId="55" state="hidden" r:id="rId41"/>
    <sheet name="9.Sep" sheetId="56" state="hidden" r:id="rId42"/>
    <sheet name="10.Sep" sheetId="57" state="hidden" r:id="rId43"/>
    <sheet name="11.Sep" sheetId="58" state="hidden" r:id="rId44"/>
    <sheet name="12.Sep" sheetId="59" state="hidden" r:id="rId45"/>
    <sheet name="13.Sep" sheetId="60" state="hidden" r:id="rId46"/>
    <sheet name="14.Sep" sheetId="61" state="hidden" r:id="rId47"/>
    <sheet name="15.Sep" sheetId="63" state="hidden" r:id="rId48"/>
    <sheet name="16.Sep" sheetId="64" state="hidden" r:id="rId49"/>
    <sheet name="17.Sep" sheetId="65" state="hidden" r:id="rId50"/>
    <sheet name="18.Sep" sheetId="66" state="hidden" r:id="rId51"/>
    <sheet name="19.Sep" sheetId="67" state="hidden" r:id="rId52"/>
    <sheet name="20.Sep" sheetId="68" r:id="rId53"/>
    <sheet name="21.Sep" sheetId="69" r:id="rId54"/>
    <sheet name="22.Sep" sheetId="70" r:id="rId55"/>
    <sheet name="23.Sep" sheetId="71" r:id="rId56"/>
    <sheet name="24.Sep" sheetId="72" r:id="rId57"/>
    <sheet name="4.Oct" sheetId="79" r:id="rId58"/>
    <sheet name="Data" sheetId="62" r:id="rId59"/>
    <sheet name="Form" sheetId="76" r:id="rId60"/>
  </sheets>
  <definedNames>
    <definedName name="allaps">OFFSET('Summary (New)'!$M$72,0,0,25,COUNTA('Summary (New)'!$2:$2)-11)</definedName>
    <definedName name="alldcr">OFFSET('Summary (New)'!$M$101,0,0,7,COUNTA('Summary (New)'!$2:$2)-11)</definedName>
    <definedName name="alltotalaps">OFFSET('Summary (New)'!$M$97,0,0,1,COUNTA('Summary (New)'!$2:$2)-11)</definedName>
    <definedName name="alltotaldcr">OFFSET('Summary (New)'!$M$108,0,0,1,COUNTA('Summary (New)'!$2:$2)-11)</definedName>
    <definedName name="alltotalupdown">OFFSET('Summary (New)'!$M$68,0,0,1,COUNTA('Summary (New)'!$2:$2)-11)</definedName>
    <definedName name="allupdown">OFFSET('Summary (New)'!$M$2,0,0,66,COUNTA('Summary (New)'!$2:$2)-11)</definedName>
    <definedName name="xaps">OFFSET('Summary (New)'!$M$302,0,0,25,COUNTA('Summary (New)'!$2:$2)-11)</definedName>
    <definedName name="xdcr">OFFSET('Summary (New)'!$M$331,0,0,7,COUNTA('Summary (New)'!$2:$2)-11)</definedName>
    <definedName name="xtotalaps">OFFSET('Summary (New)'!$M$327,0,0,1,COUNTA('Summary (New)'!$2:$2)-11)</definedName>
    <definedName name="xtotaldcr">OFFSET('Summary (New)'!$M$338,0,0,1,COUNTA('Summary (New)'!$2:$2)-11)</definedName>
    <definedName name="xtotalupdown">OFFSET('Summary (New)'!$M$298,0,0,1,COUNTA('Summary (New)'!$2:$2)-11)</definedName>
    <definedName name="xupdown">OFFSET('Summary (New)'!$M$232,0,0,66,COUNTA('Summary (New)'!$2:$2)-11)</definedName>
    <definedName name="zaps">OFFSET('Summary (New)'!$M$187,0,0,25,COUNTA('Summary (New)'!$2:$2)-11)</definedName>
    <definedName name="zdcr">OFFSET('Summary (New)'!$M$216,0,0,7,COUNTA('Summary (New)'!$2:$2)-11)</definedName>
    <definedName name="ztotalaps">OFFSET('Summary (New)'!$M$212,0,0,1,COUNTA('Summary (New)'!$2:$2)-11)</definedName>
    <definedName name="ztotaldcr">OFFSET('Summary (New)'!$M$223,0,0,1,COUNTA('Summary (New)'!$2:$2)-11)</definedName>
    <definedName name="ztotalupdown">OFFSET('Summary (New)'!$M$183,0,0,1,COUNTA('Summary (New)'!$2:$2)-11)</definedName>
    <definedName name="zupdown">OFFSET('Summary (New)'!$M$117,0,0,66,COUNTA('Summary (New)'!$2:$2)-11)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" i="79" l="1"/>
  <c r="AE5" i="79"/>
  <c r="AA5" i="79"/>
  <c r="W5" i="79"/>
  <c r="S5" i="79"/>
  <c r="O5" i="79"/>
  <c r="K5" i="79"/>
  <c r="G5" i="79"/>
  <c r="C5" i="79"/>
  <c r="AI4" i="79"/>
  <c r="AE4" i="79"/>
  <c r="AA4" i="79"/>
  <c r="W4" i="79"/>
  <c r="W2" i="79" s="1"/>
  <c r="S4" i="79"/>
  <c r="O4" i="79"/>
  <c r="K4" i="79"/>
  <c r="G4" i="79"/>
  <c r="G2" i="79" s="1"/>
  <c r="C4" i="79"/>
  <c r="AI3" i="79"/>
  <c r="AI2" i="79" s="1"/>
  <c r="AE3" i="79"/>
  <c r="AA3" i="79"/>
  <c r="AA2" i="79" s="1"/>
  <c r="W3" i="79"/>
  <c r="S3" i="79"/>
  <c r="O3" i="79"/>
  <c r="O2" i="79" s="1"/>
  <c r="K3" i="79"/>
  <c r="K2" i="79" s="1"/>
  <c r="G3" i="79"/>
  <c r="C3" i="79"/>
  <c r="AE2" i="79"/>
  <c r="S2" i="79"/>
  <c r="CC340" i="2"/>
  <c r="CC339" i="2"/>
  <c r="CC337" i="2"/>
  <c r="CC336" i="2"/>
  <c r="CC334" i="2"/>
  <c r="CC333" i="2"/>
  <c r="CC332" i="2"/>
  <c r="CC331" i="2"/>
  <c r="CC329" i="2"/>
  <c r="CC328" i="2"/>
  <c r="CC325" i="2"/>
  <c r="CC321" i="2"/>
  <c r="CC320" i="2"/>
  <c r="CC318" i="2"/>
  <c r="CC316" i="2"/>
  <c r="CC315" i="2"/>
  <c r="CC312" i="2"/>
  <c r="CC309" i="2"/>
  <c r="CC308" i="2"/>
  <c r="CC307" i="2"/>
  <c r="CC306" i="2"/>
  <c r="CC305" i="2"/>
  <c r="CC304" i="2"/>
  <c r="CC303" i="2"/>
  <c r="CC302" i="2"/>
  <c r="CC300" i="2"/>
  <c r="CC299" i="2"/>
  <c r="CC297" i="2"/>
  <c r="CC296" i="2"/>
  <c r="CC293" i="2"/>
  <c r="CC292" i="2"/>
  <c r="CC288" i="2"/>
  <c r="CC287" i="2"/>
  <c r="CC286" i="2"/>
  <c r="CC285" i="2"/>
  <c r="CC281" i="2"/>
  <c r="CC279" i="2"/>
  <c r="CC276" i="2"/>
  <c r="CC275" i="2"/>
  <c r="CC274" i="2"/>
  <c r="CC273" i="2"/>
  <c r="CC269" i="2"/>
  <c r="CC268" i="2"/>
  <c r="CC267" i="2"/>
  <c r="CC266" i="2"/>
  <c r="CC265" i="2"/>
  <c r="CC264" i="2"/>
  <c r="CC262" i="2"/>
  <c r="CC261" i="2"/>
  <c r="CC260" i="2"/>
  <c r="CC259" i="2"/>
  <c r="CC258" i="2"/>
  <c r="CC257" i="2"/>
  <c r="CC256" i="2"/>
  <c r="CC255" i="2"/>
  <c r="CC254" i="2"/>
  <c r="CC253" i="2"/>
  <c r="CC252" i="2"/>
  <c r="CC250" i="2"/>
  <c r="CC249" i="2"/>
  <c r="CC248" i="2"/>
  <c r="CC247" i="2"/>
  <c r="CC246" i="2"/>
  <c r="CC245" i="2"/>
  <c r="CC244" i="2"/>
  <c r="CC243" i="2"/>
  <c r="CC242" i="2"/>
  <c r="CC241" i="2"/>
  <c r="CC240" i="2"/>
  <c r="CC239" i="2"/>
  <c r="CC238" i="2"/>
  <c r="CC237" i="2"/>
  <c r="CC236" i="2"/>
  <c r="CC235" i="2"/>
  <c r="CC234" i="2"/>
  <c r="CC233" i="2"/>
  <c r="CC232" i="2"/>
  <c r="CC225" i="2"/>
  <c r="CC224" i="2"/>
  <c r="CC222" i="2"/>
  <c r="CC221" i="2"/>
  <c r="CC219" i="2"/>
  <c r="CC218" i="2"/>
  <c r="CC217" i="2"/>
  <c r="CC216" i="2"/>
  <c r="CC214" i="2"/>
  <c r="CC213" i="2"/>
  <c r="CC200" i="2"/>
  <c r="CC197" i="2"/>
  <c r="CC194" i="2"/>
  <c r="CC191" i="2"/>
  <c r="CC190" i="2"/>
  <c r="CC188" i="2"/>
  <c r="CC187" i="2"/>
  <c r="CC185" i="2"/>
  <c r="CC184" i="2"/>
  <c r="CC179" i="2"/>
  <c r="CC178" i="2"/>
  <c r="CC177" i="2"/>
  <c r="CC173" i="2"/>
  <c r="CC171" i="2"/>
  <c r="CC168" i="2"/>
  <c r="CC164" i="2"/>
  <c r="CC161" i="2"/>
  <c r="CC158" i="2"/>
  <c r="CC156" i="2"/>
  <c r="CC154" i="2"/>
  <c r="CC153" i="2"/>
  <c r="CC152" i="2"/>
  <c r="CC151" i="2"/>
  <c r="CC150" i="2"/>
  <c r="CC147" i="2"/>
  <c r="CC146" i="2"/>
  <c r="CC145" i="2"/>
  <c r="CC144" i="2"/>
  <c r="CC143" i="2"/>
  <c r="CC142" i="2"/>
  <c r="CC140" i="2"/>
  <c r="CC139" i="2"/>
  <c r="CC137" i="2"/>
  <c r="CC135" i="2"/>
  <c r="CC134" i="2"/>
  <c r="CC133" i="2"/>
  <c r="CC132" i="2"/>
  <c r="CC131" i="2"/>
  <c r="CC130" i="2"/>
  <c r="CC129" i="2"/>
  <c r="CC128" i="2"/>
  <c r="CC126" i="2"/>
  <c r="CC125" i="2"/>
  <c r="CC124" i="2"/>
  <c r="CC123" i="2"/>
  <c r="CC122" i="2"/>
  <c r="CC121" i="2"/>
  <c r="CC120" i="2"/>
  <c r="CC119" i="2"/>
  <c r="CC118" i="2"/>
  <c r="CC117" i="2"/>
  <c r="CC110" i="2"/>
  <c r="CC109" i="2"/>
  <c r="CC107" i="2"/>
  <c r="CC106" i="2"/>
  <c r="CC104" i="2"/>
  <c r="CC103" i="2"/>
  <c r="CC102" i="2"/>
  <c r="CC101" i="2"/>
  <c r="CC99" i="2"/>
  <c r="CC98" i="2"/>
  <c r="CC95" i="2"/>
  <c r="CC91" i="2"/>
  <c r="CC90" i="2"/>
  <c r="CC88" i="2"/>
  <c r="CC86" i="2"/>
  <c r="CC85" i="2"/>
  <c r="CC82" i="2"/>
  <c r="CC79" i="2"/>
  <c r="CC78" i="2"/>
  <c r="CC77" i="2"/>
  <c r="CC76" i="2"/>
  <c r="CC75" i="2"/>
  <c r="CC74" i="2"/>
  <c r="CC73" i="2"/>
  <c r="CC72" i="2"/>
  <c r="CC70" i="2"/>
  <c r="CC69" i="2"/>
  <c r="CI2" i="2"/>
  <c r="CI3" i="2" s="1"/>
  <c r="CI4" i="2" s="1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J2" i="2"/>
  <c r="CJ3" i="2" s="1"/>
  <c r="CJ4" i="2" s="1"/>
  <c r="CJ5" i="2" s="1"/>
  <c r="CJ6" i="2" s="1"/>
  <c r="CJ7" i="2" s="1"/>
  <c r="CJ8" i="2" s="1"/>
  <c r="CJ9" i="2" s="1"/>
  <c r="CJ10" i="2" s="1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K2" i="2"/>
  <c r="CK3" i="2" s="1"/>
  <c r="CK4" i="2" s="1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L2" i="2"/>
  <c r="CL3" i="2" s="1"/>
  <c r="CL4" i="2" s="1"/>
  <c r="CL5" i="2" s="1"/>
  <c r="CL6" i="2" s="1"/>
  <c r="CL7" i="2" s="1"/>
  <c r="CL8" i="2" s="1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M2" i="2"/>
  <c r="CM3" i="2" s="1"/>
  <c r="CM4" i="2" s="1"/>
  <c r="CM5" i="2" s="1"/>
  <c r="CM6" i="2" s="1"/>
  <c r="CM7" i="2" s="1"/>
  <c r="CM8" i="2" s="1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N2" i="2"/>
  <c r="CO2" i="2"/>
  <c r="CP2" i="2"/>
  <c r="CP3" i="2" s="1"/>
  <c r="CP4" i="2" s="1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Q2" i="2"/>
  <c r="CQ3" i="2" s="1"/>
  <c r="CQ4" i="2" s="1"/>
  <c r="CQ5" i="2" s="1"/>
  <c r="CQ6" i="2" s="1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R2" i="2"/>
  <c r="CR3" i="2" s="1"/>
  <c r="CR4" i="2" s="1"/>
  <c r="CR5" i="2" s="1"/>
  <c r="CR6" i="2" s="1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S2" i="2"/>
  <c r="CS3" i="2" s="1"/>
  <c r="CS4" i="2" s="1"/>
  <c r="CS5" i="2" s="1"/>
  <c r="CS6" i="2" s="1"/>
  <c r="CS7" i="2" s="1"/>
  <c r="CS8" i="2" s="1"/>
  <c r="CS9" i="2" s="1"/>
  <c r="CS10" i="2" s="1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T2" i="2"/>
  <c r="CT3" i="2" s="1"/>
  <c r="CT4" i="2" s="1"/>
  <c r="CT5" i="2" s="1"/>
  <c r="CT6" i="2" s="1"/>
  <c r="CT7" i="2" s="1"/>
  <c r="CT8" i="2" s="1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U2" i="2"/>
  <c r="CU3" i="2" s="1"/>
  <c r="CU4" i="2" s="1"/>
  <c r="CU5" i="2" s="1"/>
  <c r="CU6" i="2" s="1"/>
  <c r="CU7" i="2" s="1"/>
  <c r="CU8" i="2" s="1"/>
  <c r="CU9" i="2" s="1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V2" i="2"/>
  <c r="CV3" i="2" s="1"/>
  <c r="CV4" i="2" s="1"/>
  <c r="CV5" i="2" s="1"/>
  <c r="CV6" i="2" s="1"/>
  <c r="CV7" i="2" s="1"/>
  <c r="CV8" i="2" s="1"/>
  <c r="CV9" i="2" s="1"/>
  <c r="CV10" i="2" s="1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W2" i="2"/>
  <c r="CW3" i="2" s="1"/>
  <c r="CW4" i="2" s="1"/>
  <c r="CW5" i="2" s="1"/>
  <c r="CW6" i="2" s="1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X2" i="2"/>
  <c r="CX3" i="2" s="1"/>
  <c r="CX4" i="2" s="1"/>
  <c r="CX5" i="2" s="1"/>
  <c r="CX6" i="2" s="1"/>
  <c r="CX7" i="2" s="1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Y2" i="2"/>
  <c r="CY3" i="2" s="1"/>
  <c r="CY4" i="2" s="1"/>
  <c r="CY5" i="2" s="1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Z2" i="2"/>
  <c r="CZ3" i="2" s="1"/>
  <c r="CZ4" i="2" s="1"/>
  <c r="CZ5" i="2" s="1"/>
  <c r="CZ6" i="2" s="1"/>
  <c r="CZ7" i="2" s="1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DA2" i="2"/>
  <c r="DA3" i="2" s="1"/>
  <c r="DA4" i="2" s="1"/>
  <c r="DA5" i="2" s="1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B2" i="2"/>
  <c r="DB3" i="2" s="1"/>
  <c r="DB4" i="2" s="1"/>
  <c r="DB5" i="2" s="1"/>
  <c r="DB6" i="2" s="1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C2" i="2"/>
  <c r="DC3" i="2" s="1"/>
  <c r="DC4" i="2" s="1"/>
  <c r="DC5" i="2" s="1"/>
  <c r="DC6" i="2" s="1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D2" i="2"/>
  <c r="DD3" i="2" s="1"/>
  <c r="DD4" i="2" s="1"/>
  <c r="DD5" i="2" s="1"/>
  <c r="DD6" i="2" s="1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F2" i="2"/>
  <c r="DF3" i="2" s="1"/>
  <c r="DF4" i="2" s="1"/>
  <c r="DF5" i="2" s="1"/>
  <c r="DF6" i="2" s="1"/>
  <c r="DF7" i="2" s="1"/>
  <c r="DF8" i="2" s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G2" i="2"/>
  <c r="DG3" i="2" s="1"/>
  <c r="DG4" i="2" s="1"/>
  <c r="DG5" i="2" s="1"/>
  <c r="DG6" i="2" s="1"/>
  <c r="DG7" i="2" s="1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H2" i="2"/>
  <c r="DH3" i="2" s="1"/>
  <c r="DH4" i="2" s="1"/>
  <c r="DH5" i="2" s="1"/>
  <c r="DH6" i="2" s="1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I2" i="2"/>
  <c r="DI3" i="2" s="1"/>
  <c r="DI4" i="2" s="1"/>
  <c r="DI5" i="2" s="1"/>
  <c r="DI6" i="2" s="1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J2" i="2"/>
  <c r="DJ3" i="2" s="1"/>
  <c r="DJ4" i="2" s="1"/>
  <c r="DJ5" i="2" s="1"/>
  <c r="DJ6" i="2" s="1"/>
  <c r="DJ7" i="2" s="1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K2" i="2"/>
  <c r="DK3" i="2" s="1"/>
  <c r="DK4" i="2" s="1"/>
  <c r="DK5" i="2" s="1"/>
  <c r="DK6" i="2" s="1"/>
  <c r="DK7" i="2" s="1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CN3" i="2"/>
  <c r="CN4" i="2" s="1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O3" i="2"/>
  <c r="CO4" i="2" s="1"/>
  <c r="CO5" i="2" s="1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C25" i="2"/>
  <c r="CC24" i="2"/>
  <c r="CC23" i="2"/>
  <c r="CC22" i="2"/>
  <c r="CC21" i="2"/>
  <c r="CC20" i="2"/>
  <c r="CC27" i="2"/>
  <c r="CC34" i="2"/>
  <c r="CC16" i="2"/>
  <c r="CC15" i="2"/>
  <c r="CC14" i="2"/>
  <c r="CC12" i="2"/>
  <c r="CC19" i="2"/>
  <c r="CC65" i="2"/>
  <c r="CC64" i="2"/>
  <c r="CC63" i="2"/>
  <c r="CC62" i="2"/>
  <c r="CC61" i="2"/>
  <c r="CC60" i="2"/>
  <c r="CC67" i="2"/>
  <c r="CC3" i="2"/>
  <c r="CC10" i="2"/>
  <c r="CC17" i="2"/>
  <c r="CC13" i="2"/>
  <c r="CC26" i="2"/>
  <c r="CC9" i="2"/>
  <c r="CC8" i="2"/>
  <c r="CC6" i="2"/>
  <c r="CC5" i="2"/>
  <c r="CC4" i="2"/>
  <c r="CC11" i="2"/>
  <c r="CC57" i="2"/>
  <c r="CC56" i="2"/>
  <c r="CC55" i="2"/>
  <c r="CC54" i="2"/>
  <c r="CC53" i="2"/>
  <c r="CC52" i="2"/>
  <c r="CC59" i="2"/>
  <c r="CC66" i="2"/>
  <c r="CC7" i="2"/>
  <c r="CC18" i="2"/>
  <c r="CC49" i="2"/>
  <c r="CC48" i="2"/>
  <c r="CC47" i="2"/>
  <c r="CC46" i="2"/>
  <c r="CC45" i="2"/>
  <c r="CC44" i="2"/>
  <c r="CC51" i="2"/>
  <c r="CC58" i="2"/>
  <c r="CC41" i="2"/>
  <c r="CC40" i="2"/>
  <c r="CC39" i="2"/>
  <c r="CC38" i="2"/>
  <c r="CC37" i="2"/>
  <c r="CC36" i="2"/>
  <c r="CC43" i="2"/>
  <c r="CC50" i="2"/>
  <c r="CC33" i="2"/>
  <c r="CC32" i="2"/>
  <c r="CC31" i="2"/>
  <c r="CC30" i="2"/>
  <c r="CC29" i="2"/>
  <c r="CC28" i="2"/>
  <c r="CC35" i="2"/>
  <c r="CC42" i="2"/>
  <c r="CC2" i="2"/>
  <c r="C2" i="79" l="1"/>
  <c r="CC223" i="2"/>
  <c r="CC183" i="2"/>
  <c r="CC338" i="2"/>
  <c r="CC212" i="2"/>
  <c r="CC97" i="2"/>
  <c r="CC298" i="2"/>
  <c r="CC108" i="2"/>
  <c r="CC327" i="2"/>
  <c r="CD2" i="2"/>
  <c r="CE2" i="2"/>
  <c r="CF2" i="2"/>
  <c r="CG2" i="2"/>
  <c r="CH2" i="2"/>
  <c r="BR66" i="2"/>
  <c r="BW63" i="2"/>
  <c r="BE61" i="2"/>
  <c r="BJ58" i="2"/>
  <c r="BX67" i="2"/>
  <c r="BF65" i="2"/>
  <c r="BK62" i="2"/>
  <c r="BP59" i="2"/>
  <c r="BU56" i="2"/>
  <c r="BZ53" i="2"/>
  <c r="BH51" i="2"/>
  <c r="BM48" i="2"/>
  <c r="BR45" i="2"/>
  <c r="BW42" i="2"/>
  <c r="BE40" i="2"/>
  <c r="BJ37" i="2"/>
  <c r="BO34" i="2"/>
  <c r="BT31" i="2"/>
  <c r="BY28" i="2"/>
  <c r="BG26" i="2"/>
  <c r="BO67" i="2"/>
  <c r="BT64" i="2"/>
  <c r="BY61" i="2"/>
  <c r="BG59" i="2"/>
  <c r="BL56" i="2"/>
  <c r="BT65" i="2"/>
  <c r="BY62" i="2"/>
  <c r="BG60" i="2"/>
  <c r="BL57" i="2"/>
  <c r="BQ54" i="2"/>
  <c r="BV51" i="2"/>
  <c r="CA48" i="2"/>
  <c r="BI46" i="2"/>
  <c r="BN43" i="2"/>
  <c r="BS40" i="2"/>
  <c r="BX37" i="2"/>
  <c r="BF35" i="2"/>
  <c r="BK32" i="2"/>
  <c r="BP29" i="2"/>
  <c r="BU26" i="2"/>
  <c r="BZ23" i="2"/>
  <c r="BK65" i="2"/>
  <c r="BP62" i="2"/>
  <c r="BU59" i="2"/>
  <c r="BZ56" i="2"/>
  <c r="BH54" i="2"/>
  <c r="BM51" i="2"/>
  <c r="BR48" i="2"/>
  <c r="BW45" i="2"/>
  <c r="BE43" i="2"/>
  <c r="BJ40" i="2"/>
  <c r="BO37" i="2"/>
  <c r="BT34" i="2"/>
  <c r="BY31" i="2"/>
  <c r="BG29" i="2"/>
  <c r="BL26" i="2"/>
  <c r="BZ67" i="2"/>
  <c r="BR60" i="2"/>
  <c r="BG54" i="2"/>
  <c r="BU49" i="2"/>
  <c r="BK45" i="2"/>
  <c r="BW40" i="2"/>
  <c r="BG64" i="2"/>
  <c r="BV56" i="2"/>
  <c r="BY51" i="2"/>
  <c r="BN47" i="2"/>
  <c r="BZ42" i="2"/>
  <c r="BF63" i="2"/>
  <c r="BU55" i="2"/>
  <c r="BJ51" i="2"/>
  <c r="BV46" i="2"/>
  <c r="BK42" i="2"/>
  <c r="BE62" i="2"/>
  <c r="BF55" i="2"/>
  <c r="BR50" i="2"/>
  <c r="BG46" i="2"/>
  <c r="BU41" i="2"/>
  <c r="BK37" i="2"/>
  <c r="BW32" i="2"/>
  <c r="BL28" i="2"/>
  <c r="BX23" i="2"/>
  <c r="BF21" i="2"/>
  <c r="BK18" i="2"/>
  <c r="BP15" i="2"/>
  <c r="BU12" i="2"/>
  <c r="BZ9" i="2"/>
  <c r="BH7" i="2"/>
  <c r="CA60" i="2"/>
  <c r="BN54" i="2"/>
  <c r="BZ49" i="2"/>
  <c r="BQ45" i="2"/>
  <c r="BG41" i="2"/>
  <c r="BQ64" i="2"/>
  <c r="BH57" i="2"/>
  <c r="BH52" i="2"/>
  <c r="BU47" i="2"/>
  <c r="BJ43" i="2"/>
  <c r="BV38" i="2"/>
  <c r="BK34" i="2"/>
  <c r="BY29" i="2"/>
  <c r="BO25" i="2"/>
  <c r="BE22" i="2"/>
  <c r="BJ19" i="2"/>
  <c r="BO16" i="2"/>
  <c r="BT13" i="2"/>
  <c r="BY10" i="2"/>
  <c r="BG8" i="2"/>
  <c r="BL5" i="2"/>
  <c r="BU53" i="2"/>
  <c r="BT53" i="2"/>
  <c r="BT38" i="2"/>
  <c r="BV32" i="2"/>
  <c r="BX26" i="2"/>
  <c r="BZ21" i="2"/>
  <c r="BJ18" i="2"/>
  <c r="BQ14" i="2"/>
  <c r="BW10" i="2"/>
  <c r="BG7" i="2"/>
  <c r="BZ3" i="2"/>
  <c r="BH33" i="2"/>
  <c r="BP18" i="2"/>
  <c r="BM7" i="2"/>
  <c r="BR33" i="2"/>
  <c r="BZ50" i="2"/>
  <c r="BY37" i="2"/>
  <c r="BX31" i="2"/>
  <c r="BY25" i="2"/>
  <c r="BJ66" i="2"/>
  <c r="BO63" i="2"/>
  <c r="BT60" i="2"/>
  <c r="BY57" i="2"/>
  <c r="BP67" i="2"/>
  <c r="BU64" i="2"/>
  <c r="BZ61" i="2"/>
  <c r="BH59" i="2"/>
  <c r="BM56" i="2"/>
  <c r="BR53" i="2"/>
  <c r="BW50" i="2"/>
  <c r="BE48" i="2"/>
  <c r="BJ45" i="2"/>
  <c r="BO42" i="2"/>
  <c r="BT39" i="2"/>
  <c r="BY36" i="2"/>
  <c r="BG34" i="2"/>
  <c r="BL31" i="2"/>
  <c r="BQ28" i="2"/>
  <c r="BV25" i="2"/>
  <c r="BG67" i="2"/>
  <c r="BL64" i="2"/>
  <c r="BQ61" i="2"/>
  <c r="BV58" i="2"/>
  <c r="CA55" i="2"/>
  <c r="BL65" i="2"/>
  <c r="BQ62" i="2"/>
  <c r="BV59" i="2"/>
  <c r="CA56" i="2"/>
  <c r="BI54" i="2"/>
  <c r="BN51" i="2"/>
  <c r="BS48" i="2"/>
  <c r="BX45" i="2"/>
  <c r="BF43" i="2"/>
  <c r="BK40" i="2"/>
  <c r="BP37" i="2"/>
  <c r="BU34" i="2"/>
  <c r="BZ31" i="2"/>
  <c r="BH29" i="2"/>
  <c r="BM26" i="2"/>
  <c r="BU67" i="2"/>
  <c r="BZ64" i="2"/>
  <c r="BH62" i="2"/>
  <c r="BM59" i="2"/>
  <c r="BR56" i="2"/>
  <c r="BW53" i="2"/>
  <c r="BE51" i="2"/>
  <c r="BJ48" i="2"/>
  <c r="BO45" i="2"/>
  <c r="BT42" i="2"/>
  <c r="BY39" i="2"/>
  <c r="BG37" i="2"/>
  <c r="BL34" i="2"/>
  <c r="BQ31" i="2"/>
  <c r="BV28" i="2"/>
  <c r="CA25" i="2"/>
  <c r="CA66" i="2"/>
  <c r="BR59" i="2"/>
  <c r="BS53" i="2"/>
  <c r="BH49" i="2"/>
  <c r="BT44" i="2"/>
  <c r="BI40" i="2"/>
  <c r="BH63" i="2"/>
  <c r="BV55" i="2"/>
  <c r="BK51" i="2"/>
  <c r="BW46" i="2"/>
  <c r="BN42" i="2"/>
  <c r="BG62" i="2"/>
  <c r="BG55" i="2"/>
  <c r="BS50" i="2"/>
  <c r="BJ46" i="2"/>
  <c r="BW41" i="2"/>
  <c r="BF61" i="2"/>
  <c r="BO54" i="2"/>
  <c r="BF50" i="2"/>
  <c r="BS45" i="2"/>
  <c r="BH41" i="2"/>
  <c r="BT36" i="2"/>
  <c r="BI32" i="2"/>
  <c r="BW27" i="2"/>
  <c r="BP23" i="2"/>
  <c r="BU20" i="2"/>
  <c r="BZ17" i="2"/>
  <c r="BH15" i="2"/>
  <c r="BM12" i="2"/>
  <c r="BR9" i="2"/>
  <c r="BQ67" i="2"/>
  <c r="BE60" i="2"/>
  <c r="BY53" i="2"/>
  <c r="BO49" i="2"/>
  <c r="CA44" i="2"/>
  <c r="BP40" i="2"/>
  <c r="BU63" i="2"/>
  <c r="BI56" i="2"/>
  <c r="BR51" i="2"/>
  <c r="BG47" i="2"/>
  <c r="BS42" i="2"/>
  <c r="BJ38" i="2"/>
  <c r="BW33" i="2"/>
  <c r="BL29" i="2"/>
  <c r="BX24" i="2"/>
  <c r="BT21" i="2"/>
  <c r="BY18" i="2"/>
  <c r="BG16" i="2"/>
  <c r="BL13" i="2"/>
  <c r="BQ10" i="2"/>
  <c r="BV7" i="2"/>
  <c r="CA4" i="2"/>
  <c r="BQ51" i="2"/>
  <c r="BO51" i="2"/>
  <c r="CA37" i="2"/>
  <c r="CA31" i="2"/>
  <c r="BF26" i="2"/>
  <c r="BP21" i="2"/>
  <c r="BY65" i="2"/>
  <c r="BG63" i="2"/>
  <c r="BL60" i="2"/>
  <c r="BQ57" i="2"/>
  <c r="BH67" i="2"/>
  <c r="BM64" i="2"/>
  <c r="BR61" i="2"/>
  <c r="BW58" i="2"/>
  <c r="BE56" i="2"/>
  <c r="BJ53" i="2"/>
  <c r="BO50" i="2"/>
  <c r="BT47" i="2"/>
  <c r="BY44" i="2"/>
  <c r="BG42" i="2"/>
  <c r="BL39" i="2"/>
  <c r="BQ36" i="2"/>
  <c r="BV33" i="2"/>
  <c r="CA30" i="2"/>
  <c r="BI28" i="2"/>
  <c r="BN25" i="2"/>
  <c r="BV66" i="2"/>
  <c r="CA63" i="2"/>
  <c r="BI61" i="2"/>
  <c r="BN58" i="2"/>
  <c r="BV67" i="2"/>
  <c r="CA64" i="2"/>
  <c r="BI62" i="2"/>
  <c r="BN59" i="2"/>
  <c r="BS56" i="2"/>
  <c r="BX53" i="2"/>
  <c r="BF51" i="2"/>
  <c r="BK48" i="2"/>
  <c r="BP45" i="2"/>
  <c r="BU42" i="2"/>
  <c r="BZ39" i="2"/>
  <c r="BH37" i="2"/>
  <c r="BM34" i="2"/>
  <c r="BR31" i="2"/>
  <c r="BW28" i="2"/>
  <c r="BE26" i="2"/>
  <c r="BM67" i="2"/>
  <c r="BR64" i="2"/>
  <c r="BW61" i="2"/>
  <c r="BE59" i="2"/>
  <c r="BJ56" i="2"/>
  <c r="BO53" i="2"/>
  <c r="BT50" i="2"/>
  <c r="BY47" i="2"/>
  <c r="BG45" i="2"/>
  <c r="BL42" i="2"/>
  <c r="BQ39" i="2"/>
  <c r="BV36" i="2"/>
  <c r="CA33" i="2"/>
  <c r="BI31" i="2"/>
  <c r="BN28" i="2"/>
  <c r="BS25" i="2"/>
  <c r="BH66" i="2"/>
  <c r="BS58" i="2"/>
  <c r="BE53" i="2"/>
  <c r="BQ48" i="2"/>
  <c r="BH44" i="2"/>
  <c r="BU39" i="2"/>
  <c r="BL62" i="2"/>
  <c r="BH55" i="2"/>
  <c r="BV50" i="2"/>
  <c r="BL46" i="2"/>
  <c r="BX41" i="2"/>
  <c r="BK61" i="2"/>
  <c r="BR54" i="2"/>
  <c r="BH50" i="2"/>
  <c r="BT45" i="2"/>
  <c r="BR67" i="2"/>
  <c r="BJ60" i="2"/>
  <c r="CA53" i="2"/>
  <c r="BP49" i="2"/>
  <c r="BE45" i="2"/>
  <c r="BQ40" i="2"/>
  <c r="BH36" i="2"/>
  <c r="BU31" i="2"/>
  <c r="BJ27" i="2"/>
  <c r="BH23" i="2"/>
  <c r="BM20" i="2"/>
  <c r="BR17" i="2"/>
  <c r="BW14" i="2"/>
  <c r="BE12" i="2"/>
  <c r="BJ9" i="2"/>
  <c r="BQ66" i="2"/>
  <c r="BI59" i="2"/>
  <c r="BL53" i="2"/>
  <c r="BX48" i="2"/>
  <c r="BM44" i="2"/>
  <c r="CA39" i="2"/>
  <c r="BU62" i="2"/>
  <c r="BO55" i="2"/>
  <c r="CA50" i="2"/>
  <c r="BR46" i="2"/>
  <c r="BH42" i="2"/>
  <c r="BT37" i="2"/>
  <c r="BI33" i="2"/>
  <c r="BU28" i="2"/>
  <c r="BL24" i="2"/>
  <c r="BL21" i="2"/>
  <c r="BQ18" i="2"/>
  <c r="BV15" i="2"/>
  <c r="CA12" i="2"/>
  <c r="BI10" i="2"/>
  <c r="BN7" i="2"/>
  <c r="BS4" i="2"/>
  <c r="BJ49" i="2"/>
  <c r="BI49" i="2"/>
  <c r="BI37" i="2"/>
  <c r="BK31" i="2"/>
  <c r="BJ25" i="2"/>
  <c r="BE21" i="2"/>
  <c r="BQ65" i="2"/>
  <c r="BV62" i="2"/>
  <c r="CA59" i="2"/>
  <c r="BI57" i="2"/>
  <c r="BW66" i="2"/>
  <c r="BE64" i="2"/>
  <c r="BJ61" i="2"/>
  <c r="BO58" i="2"/>
  <c r="BT55" i="2"/>
  <c r="BY52" i="2"/>
  <c r="BG50" i="2"/>
  <c r="BL47" i="2"/>
  <c r="BQ44" i="2"/>
  <c r="BV41" i="2"/>
  <c r="CA38" i="2"/>
  <c r="BI36" i="2"/>
  <c r="BN33" i="2"/>
  <c r="BS30" i="2"/>
  <c r="BX27" i="2"/>
  <c r="BF25" i="2"/>
  <c r="BN66" i="2"/>
  <c r="BS63" i="2"/>
  <c r="BX60" i="2"/>
  <c r="BF58" i="2"/>
  <c r="BN67" i="2"/>
  <c r="BS64" i="2"/>
  <c r="BX61" i="2"/>
  <c r="BF59" i="2"/>
  <c r="BK56" i="2"/>
  <c r="BP53" i="2"/>
  <c r="BU50" i="2"/>
  <c r="BZ47" i="2"/>
  <c r="BH45" i="2"/>
  <c r="BM42" i="2"/>
  <c r="BR39" i="2"/>
  <c r="BW36" i="2"/>
  <c r="BE34" i="2"/>
  <c r="BJ31" i="2"/>
  <c r="BO28" i="2"/>
  <c r="BT25" i="2"/>
  <c r="BE67" i="2"/>
  <c r="BJ64" i="2"/>
  <c r="BO61" i="2"/>
  <c r="BT58" i="2"/>
  <c r="BY55" i="2"/>
  <c r="BG53" i="2"/>
  <c r="BL50" i="2"/>
  <c r="BQ47" i="2"/>
  <c r="BV44" i="2"/>
  <c r="CA41" i="2"/>
  <c r="BI39" i="2"/>
  <c r="BN36" i="2"/>
  <c r="BS33" i="2"/>
  <c r="BX30" i="2"/>
  <c r="BF28" i="2"/>
  <c r="BK25" i="2"/>
  <c r="BH65" i="2"/>
  <c r="BW57" i="2"/>
  <c r="BP52" i="2"/>
  <c r="BF48" i="2"/>
  <c r="BR43" i="2"/>
  <c r="BG39" i="2"/>
  <c r="BL61" i="2"/>
  <c r="BT54" i="2"/>
  <c r="BI50" i="2"/>
  <c r="BU45" i="2"/>
  <c r="BT67" i="2"/>
  <c r="BK60" i="2"/>
  <c r="BE54" i="2"/>
  <c r="BQ49" i="2"/>
  <c r="BF45" i="2"/>
  <c r="BS66" i="2"/>
  <c r="BJ59" i="2"/>
  <c r="BM53" i="2"/>
  <c r="BY48" i="2"/>
  <c r="BP44" i="2"/>
  <c r="BF40" i="2"/>
  <c r="BR35" i="2"/>
  <c r="BG31" i="2"/>
  <c r="BS26" i="2"/>
  <c r="BW22" i="2"/>
  <c r="BE20" i="2"/>
  <c r="BJ17" i="2"/>
  <c r="BO14" i="2"/>
  <c r="BT11" i="2"/>
  <c r="BY8" i="2"/>
  <c r="BR65" i="2"/>
  <c r="BI58" i="2"/>
  <c r="BU52" i="2"/>
  <c r="BL48" i="2"/>
  <c r="BY43" i="2"/>
  <c r="BN39" i="2"/>
  <c r="BV61" i="2"/>
  <c r="BZ54" i="2"/>
  <c r="BP50" i="2"/>
  <c r="BE46" i="2"/>
  <c r="BQ41" i="2"/>
  <c r="BF37" i="2"/>
  <c r="BT32" i="2"/>
  <c r="BJ28" i="2"/>
  <c r="BV23" i="2"/>
  <c r="CA20" i="2"/>
  <c r="BI18" i="2"/>
  <c r="BN15" i="2"/>
  <c r="BS12" i="2"/>
  <c r="BX9" i="2"/>
  <c r="BF7" i="2"/>
  <c r="BK4" i="2"/>
  <c r="BF47" i="2"/>
  <c r="BE47" i="2"/>
  <c r="BM36" i="2"/>
  <c r="BO30" i="2"/>
  <c r="BQ24" i="2"/>
  <c r="BQ20" i="2"/>
  <c r="CA67" i="2"/>
  <c r="BI65" i="2"/>
  <c r="BN62" i="2"/>
  <c r="BS59" i="2"/>
  <c r="BX56" i="2"/>
  <c r="BO66" i="2"/>
  <c r="BT63" i="2"/>
  <c r="BY60" i="2"/>
  <c r="BG58" i="2"/>
  <c r="BL55" i="2"/>
  <c r="BQ52" i="2"/>
  <c r="BV49" i="2"/>
  <c r="CA46" i="2"/>
  <c r="BI44" i="2"/>
  <c r="BN41" i="2"/>
  <c r="BS38" i="2"/>
  <c r="BX35" i="2"/>
  <c r="BF33" i="2"/>
  <c r="BK30" i="2"/>
  <c r="BP27" i="2"/>
  <c r="BU24" i="2"/>
  <c r="BF66" i="2"/>
  <c r="BK63" i="2"/>
  <c r="BP60" i="2"/>
  <c r="BU57" i="2"/>
  <c r="BF67" i="2"/>
  <c r="BK64" i="2"/>
  <c r="BP61" i="2"/>
  <c r="BU58" i="2"/>
  <c r="BZ55" i="2"/>
  <c r="BH53" i="2"/>
  <c r="BM50" i="2"/>
  <c r="BR47" i="2"/>
  <c r="BW44" i="2"/>
  <c r="BE42" i="2"/>
  <c r="BJ39" i="2"/>
  <c r="BO36" i="2"/>
  <c r="BT33" i="2"/>
  <c r="BY30" i="2"/>
  <c r="BG28" i="2"/>
  <c r="BL25" i="2"/>
  <c r="BT66" i="2"/>
  <c r="BY63" i="2"/>
  <c r="BG61" i="2"/>
  <c r="BL58" i="2"/>
  <c r="BQ55" i="2"/>
  <c r="BV52" i="2"/>
  <c r="CA49" i="2"/>
  <c r="BI47" i="2"/>
  <c r="BN44" i="2"/>
  <c r="BS41" i="2"/>
  <c r="BX38" i="2"/>
  <c r="BF36" i="2"/>
  <c r="BK33" i="2"/>
  <c r="BP30" i="2"/>
  <c r="BU27" i="2"/>
  <c r="BZ24" i="2"/>
  <c r="BI64" i="2"/>
  <c r="BW56" i="2"/>
  <c r="BZ51" i="2"/>
  <c r="BO47" i="2"/>
  <c r="CA42" i="2"/>
  <c r="BY67" i="2"/>
  <c r="BM60" i="2"/>
  <c r="BF54" i="2"/>
  <c r="BR49" i="2"/>
  <c r="BI45" i="2"/>
  <c r="BX66" i="2"/>
  <c r="BL59" i="2"/>
  <c r="BN53" i="2"/>
  <c r="BE49" i="2"/>
  <c r="BR44" i="2"/>
  <c r="BW65" i="2"/>
  <c r="BK58" i="2"/>
  <c r="BX52" i="2"/>
  <c r="BN48" i="2"/>
  <c r="BZ43" i="2"/>
  <c r="BO39" i="2"/>
  <c r="CA34" i="2"/>
  <c r="BR30" i="2"/>
  <c r="BH26" i="2"/>
  <c r="BO22" i="2"/>
  <c r="BT19" i="2"/>
  <c r="BY16" i="2"/>
  <c r="BG14" i="2"/>
  <c r="BL11" i="2"/>
  <c r="BQ8" i="2"/>
  <c r="BV64" i="2"/>
  <c r="BJ57" i="2"/>
  <c r="BJ52" i="2"/>
  <c r="BV47" i="2"/>
  <c r="BK43" i="2"/>
  <c r="BW38" i="2"/>
  <c r="BZ60" i="2"/>
  <c r="BM54" i="2"/>
  <c r="BY49" i="2"/>
  <c r="BN45" i="2"/>
  <c r="BE41" i="2"/>
  <c r="BR36" i="2"/>
  <c r="BG32" i="2"/>
  <c r="BS27" i="2"/>
  <c r="BN23" i="2"/>
  <c r="BS20" i="2"/>
  <c r="BX17" i="2"/>
  <c r="BF15" i="2"/>
  <c r="BK12" i="2"/>
  <c r="BP9" i="2"/>
  <c r="BU6" i="2"/>
  <c r="BJ67" i="2"/>
  <c r="BI67" i="2"/>
  <c r="BU44" i="2"/>
  <c r="BT35" i="2"/>
  <c r="BU29" i="2"/>
  <c r="BW23" i="2"/>
  <c r="BG20" i="2"/>
  <c r="BM16" i="2"/>
  <c r="BT12" i="2"/>
  <c r="CA8" i="2"/>
  <c r="BP5" i="2"/>
  <c r="BQ2" i="2"/>
  <c r="BI24" i="2"/>
  <c r="BZ12" i="2"/>
  <c r="BO3" i="2"/>
  <c r="BT62" i="2"/>
  <c r="BF42" i="2"/>
  <c r="BX34" i="2"/>
  <c r="CA28" i="2"/>
  <c r="BS67" i="2"/>
  <c r="BX64" i="2"/>
  <c r="BF62" i="2"/>
  <c r="BK59" i="2"/>
  <c r="BP56" i="2"/>
  <c r="BG66" i="2"/>
  <c r="BL63" i="2"/>
  <c r="BQ60" i="2"/>
  <c r="BV57" i="2"/>
  <c r="CA54" i="2"/>
  <c r="BI52" i="2"/>
  <c r="BN49" i="2"/>
  <c r="BS46" i="2"/>
  <c r="BX43" i="2"/>
  <c r="BF41" i="2"/>
  <c r="BK38" i="2"/>
  <c r="BP35" i="2"/>
  <c r="BU32" i="2"/>
  <c r="BZ29" i="2"/>
  <c r="BH27" i="2"/>
  <c r="BM24" i="2"/>
  <c r="BU65" i="2"/>
  <c r="BZ62" i="2"/>
  <c r="BH60" i="2"/>
  <c r="BM57" i="2"/>
  <c r="BU66" i="2"/>
  <c r="BZ63" i="2"/>
  <c r="BH61" i="2"/>
  <c r="BM58" i="2"/>
  <c r="BR55" i="2"/>
  <c r="BW52" i="2"/>
  <c r="BE50" i="2"/>
  <c r="BJ47" i="2"/>
  <c r="BO44" i="2"/>
  <c r="BT41" i="2"/>
  <c r="BY38" i="2"/>
  <c r="BG36" i="2"/>
  <c r="BL33" i="2"/>
  <c r="BQ30" i="2"/>
  <c r="BV27" i="2"/>
  <c r="CA24" i="2"/>
  <c r="BL66" i="2"/>
  <c r="BQ63" i="2"/>
  <c r="BV60" i="2"/>
  <c r="CA57" i="2"/>
  <c r="BI55" i="2"/>
  <c r="BN52" i="2"/>
  <c r="BS49" i="2"/>
  <c r="BX46" i="2"/>
  <c r="BF44" i="2"/>
  <c r="BK41" i="2"/>
  <c r="BP38" i="2"/>
  <c r="BU35" i="2"/>
  <c r="BZ32" i="2"/>
  <c r="BH30" i="2"/>
  <c r="BM27" i="2"/>
  <c r="BR24" i="2"/>
  <c r="BM63" i="2"/>
  <c r="BX55" i="2"/>
  <c r="BL51" i="2"/>
  <c r="BZ46" i="2"/>
  <c r="BP42" i="2"/>
  <c r="BY66" i="2"/>
  <c r="BQ59" i="2"/>
  <c r="BQ53" i="2"/>
  <c r="BG49" i="2"/>
  <c r="BS44" i="2"/>
  <c r="BX65" i="2"/>
  <c r="BP58" i="2"/>
  <c r="BZ52" i="2"/>
  <c r="BO48" i="2"/>
  <c r="CA43" i="2"/>
  <c r="BW64" i="2"/>
  <c r="BO57" i="2"/>
  <c r="BK52" i="2"/>
  <c r="BW47" i="2"/>
  <c r="BL43" i="2"/>
  <c r="BZ38" i="2"/>
  <c r="BP34" i="2"/>
  <c r="BE30" i="2"/>
  <c r="BQ25" i="2"/>
  <c r="BG22" i="2"/>
  <c r="BL19" i="2"/>
  <c r="BQ16" i="2"/>
  <c r="BV13" i="2"/>
  <c r="CA10" i="2"/>
  <c r="BI8" i="2"/>
  <c r="BV63" i="2"/>
  <c r="BN56" i="2"/>
  <c r="BS51" i="2"/>
  <c r="BH47" i="2"/>
  <c r="BV42" i="2"/>
  <c r="BL67" i="2"/>
  <c r="BZ59" i="2"/>
  <c r="BV53" i="2"/>
  <c r="BM49" i="2"/>
  <c r="BZ44" i="2"/>
  <c r="BO40" i="2"/>
  <c r="CA35" i="2"/>
  <c r="BP31" i="2"/>
  <c r="BG27" i="2"/>
  <c r="BF23" i="2"/>
  <c r="BK20" i="2"/>
  <c r="BP17" i="2"/>
  <c r="BU14" i="2"/>
  <c r="BZ11" i="2"/>
  <c r="BH9" i="2"/>
  <c r="BM6" i="2"/>
  <c r="BP63" i="2"/>
  <c r="BN63" i="2"/>
  <c r="BQ42" i="2"/>
  <c r="BZ34" i="2"/>
  <c r="BE29" i="2"/>
  <c r="BL23" i="2"/>
  <c r="BS19" i="2"/>
  <c r="BK67" i="2"/>
  <c r="BP64" i="2"/>
  <c r="BU61" i="2"/>
  <c r="BZ58" i="2"/>
  <c r="BH56" i="2"/>
  <c r="BV65" i="2"/>
  <c r="CA62" i="2"/>
  <c r="BI60" i="2"/>
  <c r="BN57" i="2"/>
  <c r="BS54" i="2"/>
  <c r="BX51" i="2"/>
  <c r="BF49" i="2"/>
  <c r="BK46" i="2"/>
  <c r="BP43" i="2"/>
  <c r="BU40" i="2"/>
  <c r="BZ37" i="2"/>
  <c r="BH35" i="2"/>
  <c r="BM32" i="2"/>
  <c r="BR29" i="2"/>
  <c r="BW26" i="2"/>
  <c r="BE24" i="2"/>
  <c r="BM65" i="2"/>
  <c r="BR62" i="2"/>
  <c r="BW59" i="2"/>
  <c r="BE57" i="2"/>
  <c r="BM66" i="2"/>
  <c r="BR63" i="2"/>
  <c r="BW60" i="2"/>
  <c r="BE58" i="2"/>
  <c r="BJ55" i="2"/>
  <c r="BO52" i="2"/>
  <c r="BT49" i="2"/>
  <c r="BY46" i="2"/>
  <c r="BG44" i="2"/>
  <c r="BL41" i="2"/>
  <c r="BQ38" i="2"/>
  <c r="BV35" i="2"/>
  <c r="CA32" i="2"/>
  <c r="BI30" i="2"/>
  <c r="BN27" i="2"/>
  <c r="BS24" i="2"/>
  <c r="CA65" i="2"/>
  <c r="BI63" i="2"/>
  <c r="BN60" i="2"/>
  <c r="BS57" i="2"/>
  <c r="BX54" i="2"/>
  <c r="BF52" i="2"/>
  <c r="BK49" i="2"/>
  <c r="BP46" i="2"/>
  <c r="BU43" i="2"/>
  <c r="BZ40" i="2"/>
  <c r="BH38" i="2"/>
  <c r="BM35" i="2"/>
  <c r="BR32" i="2"/>
  <c r="BW29" i="2"/>
  <c r="BE27" i="2"/>
  <c r="BJ24" i="2"/>
  <c r="BM62" i="2"/>
  <c r="BK55" i="2"/>
  <c r="BX50" i="2"/>
  <c r="BM46" i="2"/>
  <c r="BY41" i="2"/>
  <c r="BZ65" i="2"/>
  <c r="BQ58" i="2"/>
  <c r="CA52" i="2"/>
  <c r="BP48" i="2"/>
  <c r="BE44" i="2"/>
  <c r="BY64" i="2"/>
  <c r="BP57" i="2"/>
  <c r="BL52" i="2"/>
  <c r="BX47" i="2"/>
  <c r="BO43" i="2"/>
  <c r="BX63" i="2"/>
  <c r="BO56" i="2"/>
  <c r="BT51" i="2"/>
  <c r="BK47" i="2"/>
  <c r="BX42" i="2"/>
  <c r="BM38" i="2"/>
  <c r="BY33" i="2"/>
  <c r="BN29" i="2"/>
  <c r="BE25" i="2"/>
  <c r="BV21" i="2"/>
  <c r="CA18" i="2"/>
  <c r="BI16" i="2"/>
  <c r="BN13" i="2"/>
  <c r="BS10" i="2"/>
  <c r="BX7" i="2"/>
  <c r="BW62" i="2"/>
  <c r="BP55" i="2"/>
  <c r="BG51" i="2"/>
  <c r="BT46" i="2"/>
  <c r="BI42" i="2"/>
  <c r="BP66" i="2"/>
  <c r="CA58" i="2"/>
  <c r="BK53" i="2"/>
  <c r="BW48" i="2"/>
  <c r="BL44" i="2"/>
  <c r="BX39" i="2"/>
  <c r="BO35" i="2"/>
  <c r="BE31" i="2"/>
  <c r="BQ26" i="2"/>
  <c r="BU22" i="2"/>
  <c r="BZ19" i="2"/>
  <c r="BH17" i="2"/>
  <c r="BM14" i="2"/>
  <c r="BR11" i="2"/>
  <c r="BW8" i="2"/>
  <c r="BE6" i="2"/>
  <c r="BY59" i="2"/>
  <c r="BT59" i="2"/>
  <c r="BX40" i="2"/>
  <c r="BI34" i="2"/>
  <c r="BK28" i="2"/>
  <c r="BY22" i="2"/>
  <c r="BH19" i="2"/>
  <c r="BR58" i="2"/>
  <c r="BU48" i="2"/>
  <c r="BO26" i="2"/>
  <c r="BO60" i="2"/>
  <c r="BI38" i="2"/>
  <c r="BF60" i="2"/>
  <c r="BW37" i="2"/>
  <c r="BJ50" i="2"/>
  <c r="BF64" i="2"/>
  <c r="BU46" i="2"/>
  <c r="BX15" i="2"/>
  <c r="BR41" i="2"/>
  <c r="BN30" i="2"/>
  <c r="BT5" i="2"/>
  <c r="BV17" i="2"/>
  <c r="BH13" i="2"/>
  <c r="BE8" i="2"/>
  <c r="BR3" i="2"/>
  <c r="BP26" i="2"/>
  <c r="BH10" i="2"/>
  <c r="BN31" i="2"/>
  <c r="BK44" i="2"/>
  <c r="BO33" i="2"/>
  <c r="BI25" i="2"/>
  <c r="BZ20" i="2"/>
  <c r="BK17" i="2"/>
  <c r="BQ13" i="2"/>
  <c r="BW9" i="2"/>
  <c r="BJ6" i="2"/>
  <c r="BI3" i="2"/>
  <c r="BI4" i="2"/>
  <c r="BH48" i="2"/>
  <c r="BO32" i="2"/>
  <c r="BF18" i="2"/>
  <c r="BZ6" i="2"/>
  <c r="BU30" i="2"/>
  <c r="BN46" i="2"/>
  <c r="BK36" i="2"/>
  <c r="BL30" i="2"/>
  <c r="BN24" i="2"/>
  <c r="BO20" i="2"/>
  <c r="BU16" i="2"/>
  <c r="BE13" i="2"/>
  <c r="BL9" i="2"/>
  <c r="BX3" i="2"/>
  <c r="BV31" i="2"/>
  <c r="BS17" i="2"/>
  <c r="BH6" i="2"/>
  <c r="BS61" i="2"/>
  <c r="BO41" i="2"/>
  <c r="BR34" i="2"/>
  <c r="BS28" i="2"/>
  <c r="BG23" i="2"/>
  <c r="BN19" i="2"/>
  <c r="BT15" i="2"/>
  <c r="CA11" i="2"/>
  <c r="BK8" i="2"/>
  <c r="BY4" i="2"/>
  <c r="BE2" i="2"/>
  <c r="BU7" i="2"/>
  <c r="BN64" i="2"/>
  <c r="BI29" i="2"/>
  <c r="BM45" i="2"/>
  <c r="BZ35" i="2"/>
  <c r="BF30" i="2"/>
  <c r="BG24" i="2"/>
  <c r="BJ20" i="2"/>
  <c r="BR16" i="2"/>
  <c r="BO11" i="2"/>
  <c r="BF4" i="2"/>
  <c r="BX44" i="2"/>
  <c r="CA15" i="2"/>
  <c r="BJ2" i="2"/>
  <c r="BR42" i="2"/>
  <c r="BR15" i="2"/>
  <c r="BM17" i="2"/>
  <c r="BV18" i="2"/>
  <c r="BO10" i="2"/>
  <c r="BI19" i="2"/>
  <c r="CA21" i="2"/>
  <c r="BT27" i="2"/>
  <c r="BN11" i="2"/>
  <c r="BR14" i="2"/>
  <c r="BF32" i="2"/>
  <c r="BW12" i="2"/>
  <c r="BM31" i="2"/>
  <c r="BW6" i="2"/>
  <c r="CB60" i="2"/>
  <c r="CB21" i="2"/>
  <c r="CB63" i="2"/>
  <c r="CB46" i="2"/>
  <c r="CB16" i="2"/>
  <c r="CB34" i="2"/>
  <c r="CB41" i="2"/>
  <c r="CB27" i="2"/>
  <c r="CB15" i="2"/>
  <c r="CB35" i="2"/>
  <c r="CB24" i="2"/>
  <c r="CB50" i="2"/>
  <c r="CB59" i="2"/>
  <c r="CB57" i="2"/>
  <c r="CB6" i="2"/>
  <c r="CB65" i="2"/>
  <c r="BX62" i="2"/>
  <c r="BI51" i="2"/>
  <c r="BO8" i="2"/>
  <c r="BQ11" i="2"/>
  <c r="CA13" i="2"/>
  <c r="BO19" i="2"/>
  <c r="BY20" i="2"/>
  <c r="BY7" i="2"/>
  <c r="BX19" i="2"/>
  <c r="BT8" i="2"/>
  <c r="BV20" i="2"/>
  <c r="BS3" i="2"/>
  <c r="BV19" i="2"/>
  <c r="BS14" i="2"/>
  <c r="CB8" i="2"/>
  <c r="BW55" i="2"/>
  <c r="BZ45" i="2"/>
  <c r="BW67" i="2"/>
  <c r="BT57" i="2"/>
  <c r="BN35" i="2"/>
  <c r="BK57" i="2"/>
  <c r="BE35" i="2"/>
  <c r="BV45" i="2"/>
  <c r="BQ56" i="2"/>
  <c r="BJ42" i="2"/>
  <c r="BF13" i="2"/>
  <c r="BP65" i="2"/>
  <c r="BZ25" i="2"/>
  <c r="BG56" i="2"/>
  <c r="BL17" i="2"/>
  <c r="BI12" i="2"/>
  <c r="BR7" i="2"/>
  <c r="BJ3" i="2"/>
  <c r="BT22" i="2"/>
  <c r="BV8" i="2"/>
  <c r="BP28" i="2"/>
  <c r="BV40" i="2"/>
  <c r="BQ32" i="2"/>
  <c r="BP24" i="2"/>
  <c r="BP20" i="2"/>
  <c r="BV16" i="2"/>
  <c r="BG13" i="2"/>
  <c r="BM9" i="2"/>
  <c r="BX5" i="2"/>
  <c r="BX2" i="2"/>
  <c r="BP3" i="2"/>
  <c r="CA45" i="2"/>
  <c r="BJ30" i="2"/>
  <c r="BT16" i="2"/>
  <c r="BM5" i="2"/>
  <c r="BI66" i="2"/>
  <c r="BJ44" i="2"/>
  <c r="BQ35" i="2"/>
  <c r="BS29" i="2"/>
  <c r="BT23" i="2"/>
  <c r="CA19" i="2"/>
  <c r="BK16" i="2"/>
  <c r="BQ12" i="2"/>
  <c r="BX8" i="2"/>
  <c r="BH3" i="2"/>
  <c r="BQ29" i="2"/>
  <c r="BJ16" i="2"/>
  <c r="BZ4" i="2"/>
  <c r="BX57" i="2"/>
  <c r="BL40" i="2"/>
  <c r="BX33" i="2"/>
  <c r="BZ27" i="2"/>
  <c r="BS22" i="2"/>
  <c r="BZ18" i="2"/>
  <c r="BJ15" i="2"/>
  <c r="BP11" i="2"/>
  <c r="BW7" i="2"/>
  <c r="BP4" i="2"/>
  <c r="BJ14" i="2"/>
  <c r="BX6" i="2"/>
  <c r="BP47" i="2"/>
  <c r="BO64" i="2"/>
  <c r="BI43" i="2"/>
  <c r="BJ35" i="2"/>
  <c r="BK29" i="2"/>
  <c r="BQ23" i="2"/>
  <c r="BW19" i="2"/>
  <c r="BF16" i="2"/>
  <c r="BP10" i="2"/>
  <c r="BE3" i="2"/>
  <c r="BW35" i="2"/>
  <c r="BH14" i="2"/>
  <c r="BR20" i="2"/>
  <c r="BG35" i="2"/>
  <c r="BU13" i="2"/>
  <c r="BS13" i="2"/>
  <c r="BE15" i="2"/>
  <c r="BT3" i="2"/>
  <c r="BQ15" i="2"/>
  <c r="BV12" i="2"/>
  <c r="BV24" i="2"/>
  <c r="BQ9" i="2"/>
  <c r="BQ5" i="2"/>
  <c r="BZ26" i="2"/>
  <c r="BZ10" i="2"/>
  <c r="BY26" i="2"/>
  <c r="CB4" i="2"/>
  <c r="CB29" i="2"/>
  <c r="CB54" i="2"/>
  <c r="CB49" i="2"/>
  <c r="CB20" i="2"/>
  <c r="CB7" i="2"/>
  <c r="BJ63" i="2"/>
  <c r="BY34" i="2"/>
  <c r="BS36" i="2"/>
  <c r="BS6" i="2"/>
  <c r="BY32" i="2"/>
  <c r="BP13" i="2"/>
  <c r="BS43" i="2"/>
  <c r="BU8" i="2"/>
  <c r="BV30" i="2"/>
  <c r="BK2" i="2"/>
  <c r="BQ33" i="2"/>
  <c r="BE16" i="2"/>
  <c r="CB33" i="2"/>
  <c r="BN65" i="2"/>
  <c r="BH43" i="2"/>
  <c r="BE65" i="2"/>
  <c r="BY54" i="2"/>
  <c r="BS32" i="2"/>
  <c r="BP54" i="2"/>
  <c r="BJ32" i="2"/>
  <c r="BM41" i="2"/>
  <c r="BW51" i="2"/>
  <c r="BV37" i="2"/>
  <c r="BK10" i="2"/>
  <c r="BH58" i="2"/>
  <c r="BM22" i="2"/>
  <c r="BF56" i="2"/>
  <c r="BX16" i="2"/>
  <c r="BV11" i="2"/>
  <c r="BT6" i="2"/>
  <c r="BY2" i="2"/>
  <c r="BK21" i="2"/>
  <c r="BQ6" i="2"/>
  <c r="BK66" i="2"/>
  <c r="BS39" i="2"/>
  <c r="BH31" i="2"/>
  <c r="BU23" i="2"/>
  <c r="BF20" i="2"/>
  <c r="BL16" i="2"/>
  <c r="BR12" i="2"/>
  <c r="BZ8" i="2"/>
  <c r="BO5" i="2"/>
  <c r="BP2" i="2"/>
  <c r="BW2" i="2"/>
  <c r="BT43" i="2"/>
  <c r="CA27" i="2"/>
  <c r="BK15" i="2"/>
  <c r="BH4" i="2"/>
  <c r="BO62" i="2"/>
  <c r="BZ41" i="2"/>
  <c r="BV34" i="2"/>
  <c r="BX28" i="2"/>
  <c r="BJ23" i="2"/>
  <c r="BP19" i="2"/>
  <c r="BW15" i="2"/>
  <c r="BG12" i="2"/>
  <c r="BM8" i="2"/>
  <c r="BO2" i="2"/>
  <c r="BK27" i="2"/>
  <c r="BX14" i="2"/>
  <c r="BW3" i="2"/>
  <c r="BV54" i="2"/>
  <c r="BH39" i="2"/>
  <c r="BG33" i="2"/>
  <c r="BI27" i="2"/>
  <c r="BI22" i="2"/>
  <c r="BO18" i="2"/>
  <c r="BV14" i="2"/>
  <c r="BF11" i="2"/>
  <c r="BL7" i="2"/>
  <c r="BG4" i="2"/>
  <c r="BX12" i="2"/>
  <c r="BF6" i="2"/>
  <c r="BG43" i="2"/>
  <c r="BU60" i="2"/>
  <c r="BJ41" i="2"/>
  <c r="BQ34" i="2"/>
  <c r="BR28" i="2"/>
  <c r="BE23" i="2"/>
  <c r="BM19" i="2"/>
  <c r="BS15" i="2"/>
  <c r="BS9" i="2"/>
  <c r="BL2" i="2"/>
  <c r="BV29" i="2"/>
  <c r="BJ12" i="2"/>
  <c r="BZ5" i="2"/>
  <c r="BF29" i="2"/>
  <c r="BX11" i="2"/>
  <c r="CA9" i="2"/>
  <c r="BO9" i="2"/>
  <c r="BY40" i="2"/>
  <c r="BW11" i="2"/>
  <c r="CA3" i="2"/>
  <c r="BQ22" i="2"/>
  <c r="BT7" i="2"/>
  <c r="BJ26" i="2"/>
  <c r="BF24" i="2"/>
  <c r="BF9" i="2"/>
  <c r="CA23" i="2"/>
  <c r="CB12" i="2"/>
  <c r="CB47" i="2"/>
  <c r="CB37" i="2"/>
  <c r="CB51" i="2"/>
  <c r="CB62" i="2"/>
  <c r="CB32" i="2"/>
  <c r="CB11" i="2"/>
  <c r="CB45" i="2"/>
  <c r="CB40" i="2"/>
  <c r="CA40" i="2"/>
  <c r="BS18" i="2"/>
  <c r="BR13" i="2"/>
  <c r="BO46" i="2"/>
  <c r="BL10" i="2"/>
  <c r="BL8" i="2"/>
  <c r="BI17" i="2"/>
  <c r="BJ65" i="2"/>
  <c r="BO12" i="2"/>
  <c r="BS47" i="2"/>
  <c r="BX4" i="2"/>
  <c r="BG21" i="2"/>
  <c r="BL37" i="2"/>
  <c r="CB10" i="2"/>
  <c r="BS62" i="2"/>
  <c r="BM40" i="2"/>
  <c r="BJ62" i="2"/>
  <c r="BG52" i="2"/>
  <c r="BX29" i="2"/>
  <c r="BU51" i="2"/>
  <c r="BO29" i="2"/>
  <c r="BG65" i="2"/>
  <c r="BM47" i="2"/>
  <c r="BM33" i="2"/>
  <c r="BP7" i="2"/>
  <c r="BT52" i="2"/>
  <c r="BR19" i="2"/>
  <c r="BV39" i="2"/>
  <c r="BZ15" i="2"/>
  <c r="BK11" i="2"/>
  <c r="BK6" i="2"/>
  <c r="BI2" i="2"/>
  <c r="BY19" i="2"/>
  <c r="BV5" i="2"/>
  <c r="BY58" i="2"/>
  <c r="BR38" i="2"/>
  <c r="BM30" i="2"/>
  <c r="BK23" i="2"/>
  <c r="BQ19" i="2"/>
  <c r="BY15" i="2"/>
  <c r="BH12" i="2"/>
  <c r="BN8" i="2"/>
  <c r="BF5" i="2"/>
  <c r="BH2" i="2"/>
  <c r="BG2" i="2"/>
  <c r="BP41" i="2"/>
  <c r="BW25" i="2"/>
  <c r="BY13" i="2"/>
  <c r="BG3" i="2"/>
  <c r="BX58" i="2"/>
  <c r="BT40" i="2"/>
  <c r="BF34" i="2"/>
  <c r="BE28" i="2"/>
  <c r="BV22" i="2"/>
  <c r="BF19" i="2"/>
  <c r="BL15" i="2"/>
  <c r="BS11" i="2"/>
  <c r="BZ7" i="2"/>
  <c r="BT61" i="2"/>
  <c r="BG25" i="2"/>
  <c r="BO13" i="2"/>
  <c r="BV2" i="2"/>
  <c r="BR52" i="2"/>
  <c r="BL38" i="2"/>
  <c r="BN32" i="2"/>
  <c r="BN26" i="2"/>
  <c r="BU21" i="2"/>
  <c r="BE18" i="2"/>
  <c r="BK14" i="2"/>
  <c r="BR10" i="2"/>
  <c r="BY6" i="2"/>
  <c r="BV3" i="2"/>
  <c r="BY11" i="2"/>
  <c r="BJ5" i="2"/>
  <c r="BG40" i="2"/>
  <c r="BG57" i="2"/>
  <c r="BH40" i="2"/>
  <c r="BU33" i="2"/>
  <c r="BY27" i="2"/>
  <c r="BR22" i="2"/>
  <c r="BX18" i="2"/>
  <c r="BI15" i="2"/>
  <c r="BJ8" i="2"/>
  <c r="BS60" i="2"/>
  <c r="BI26" i="2"/>
  <c r="BN10" i="2"/>
  <c r="BH20" i="2"/>
  <c r="BP25" i="2"/>
  <c r="BE10" i="2"/>
  <c r="BF8" i="2"/>
  <c r="BZ2" i="2"/>
  <c r="BJ34" i="2"/>
  <c r="BL6" i="2"/>
  <c r="BO23" i="2"/>
  <c r="BT20" i="2"/>
  <c r="CA5" i="2"/>
  <c r="BI14" i="2"/>
  <c r="BF22" i="2"/>
  <c r="BJ7" i="2"/>
  <c r="BN16" i="2"/>
  <c r="CB66" i="2"/>
  <c r="CB43" i="2"/>
  <c r="BR40" i="2"/>
  <c r="BU18" i="2"/>
  <c r="BH34" i="2"/>
  <c r="BQ3" i="2"/>
  <c r="BT48" i="2"/>
  <c r="BV9" i="2"/>
  <c r="BR23" i="2"/>
  <c r="BH32" i="2"/>
  <c r="BE39" i="2"/>
  <c r="BS7" i="2"/>
  <c r="CB38" i="2"/>
  <c r="BX59" i="2"/>
  <c r="BR37" i="2"/>
  <c r="BO59" i="2"/>
  <c r="BL49" i="2"/>
  <c r="BF27" i="2"/>
  <c r="BZ48" i="2"/>
  <c r="BT26" i="2"/>
  <c r="BR57" i="2"/>
  <c r="BY42" i="2"/>
  <c r="BZ28" i="2"/>
  <c r="CA61" i="2"/>
  <c r="BI48" i="2"/>
  <c r="BW16" i="2"/>
  <c r="BP33" i="2"/>
  <c r="BO15" i="2"/>
  <c r="BM10" i="2"/>
  <c r="BY5" i="2"/>
  <c r="BZ57" i="2"/>
  <c r="BG17" i="2"/>
  <c r="BQ4" i="2"/>
  <c r="BN55" i="2"/>
  <c r="BE37" i="2"/>
  <c r="BT29" i="2"/>
  <c r="BX22" i="2"/>
  <c r="BG19" i="2"/>
  <c r="BM15" i="2"/>
  <c r="BU11" i="2"/>
  <c r="CA7" i="2"/>
  <c r="BT4" i="2"/>
  <c r="BO7" i="2"/>
  <c r="BO65" i="2"/>
  <c r="BK39" i="2"/>
  <c r="BS23" i="2"/>
  <c r="BP12" i="2"/>
  <c r="BF2" i="2"/>
  <c r="BM55" i="2"/>
  <c r="BP39" i="2"/>
  <c r="BJ33" i="2"/>
  <c r="BL27" i="2"/>
  <c r="BK22" i="2"/>
  <c r="BR18" i="2"/>
  <c r="BY14" i="2"/>
  <c r="BH11" i="2"/>
  <c r="CA6" i="2"/>
  <c r="BN40" i="2"/>
  <c r="BI23" i="2"/>
  <c r="BF12" i="2"/>
  <c r="BY56" i="2"/>
  <c r="BK50" i="2"/>
  <c r="BQ37" i="2"/>
  <c r="BS31" i="2"/>
  <c r="BU25" i="2"/>
  <c r="BJ21" i="2"/>
  <c r="BQ17" i="2"/>
  <c r="BX13" i="2"/>
  <c r="BG10" i="2"/>
  <c r="BP6" i="2"/>
  <c r="BN3" i="2"/>
  <c r="BE11" i="2"/>
  <c r="BO4" i="2"/>
  <c r="BF38" i="2"/>
  <c r="BL54" i="2"/>
  <c r="BF39" i="2"/>
  <c r="BE33" i="2"/>
  <c r="CA26" i="2"/>
  <c r="BH22" i="2"/>
  <c r="BN18" i="2"/>
  <c r="BT14" i="2"/>
  <c r="BK7" i="2"/>
  <c r="BW49" i="2"/>
  <c r="BM23" i="2"/>
  <c r="BR8" i="2"/>
  <c r="BX10" i="2"/>
  <c r="CA22" i="2"/>
  <c r="BH8" i="2"/>
  <c r="BV4" i="2"/>
  <c r="BL18" i="2"/>
  <c r="BM28" i="2"/>
  <c r="BR27" i="2"/>
  <c r="BY17" i="2"/>
  <c r="BW18" i="2"/>
  <c r="CA2" i="2"/>
  <c r="BI5" i="2"/>
  <c r="BI20" i="2"/>
  <c r="BR5" i="2"/>
  <c r="BI7" i="2"/>
  <c r="CB28" i="2"/>
  <c r="CB19" i="2"/>
  <c r="CB53" i="2"/>
  <c r="CB14" i="2"/>
  <c r="CB31" i="2"/>
  <c r="CB48" i="2"/>
  <c r="CB9" i="2"/>
  <c r="CB18" i="2"/>
  <c r="CB67" i="2"/>
  <c r="CB22" i="2"/>
  <c r="CB56" i="2"/>
  <c r="CB26" i="2"/>
  <c r="CB42" i="2"/>
  <c r="BJ29" i="2"/>
  <c r="BF46" i="2"/>
  <c r="BT28" i="2"/>
  <c r="BU17" i="2"/>
  <c r="BS34" i="2"/>
  <c r="BH25" i="2"/>
  <c r="BZ33" i="2"/>
  <c r="BM29" i="2"/>
  <c r="BM2" i="2"/>
  <c r="BW24" i="2"/>
  <c r="BW17" i="2"/>
  <c r="BT24" i="2"/>
  <c r="BE38" i="2"/>
  <c r="CB39" i="2"/>
  <c r="BZ66" i="2"/>
  <c r="BF57" i="2"/>
  <c r="BW34" i="2"/>
  <c r="BT56" i="2"/>
  <c r="BQ46" i="2"/>
  <c r="BK24" i="2"/>
  <c r="BH46" i="2"/>
  <c r="BY23" i="2"/>
  <c r="BM52" i="2"/>
  <c r="BE63" i="2"/>
  <c r="BO24" i="2"/>
  <c r="BE55" i="2"/>
  <c r="BW43" i="2"/>
  <c r="BE14" i="2"/>
  <c r="BQ27" i="2"/>
  <c r="CA14" i="2"/>
  <c r="BY9" i="2"/>
  <c r="BG5" i="2"/>
  <c r="BJ36" i="2"/>
  <c r="BU15" i="2"/>
  <c r="BN2" i="2"/>
  <c r="BI53" i="2"/>
  <c r="BL36" i="2"/>
  <c r="BH28" i="2"/>
  <c r="BL22" i="2"/>
  <c r="BT18" i="2"/>
  <c r="BZ14" i="2"/>
  <c r="BI11" i="2"/>
  <c r="BQ7" i="2"/>
  <c r="BJ4" i="2"/>
  <c r="BR6" i="2"/>
  <c r="BW54" i="2"/>
  <c r="BN38" i="2"/>
  <c r="BJ22" i="2"/>
  <c r="BG11" i="2"/>
  <c r="CA51" i="2"/>
  <c r="BF53" i="2"/>
  <c r="BO38" i="2"/>
  <c r="BP32" i="2"/>
  <c r="BR26" i="2"/>
  <c r="BX21" i="2"/>
  <c r="BG18" i="2"/>
  <c r="BN14" i="2"/>
  <c r="BU10" i="2"/>
  <c r="BI6" i="2"/>
  <c r="BS37" i="2"/>
  <c r="BW21" i="2"/>
  <c r="BT10" i="2"/>
  <c r="BN34" i="2"/>
  <c r="BG48" i="2"/>
  <c r="BX36" i="2"/>
  <c r="BW30" i="2"/>
  <c r="BY24" i="2"/>
  <c r="BW20" i="2"/>
  <c r="BF17" i="2"/>
  <c r="BM13" i="2"/>
  <c r="BT9" i="2"/>
  <c r="BG6" i="2"/>
  <c r="BF3" i="2"/>
  <c r="BF10" i="2"/>
  <c r="BU3" i="2"/>
  <c r="BM37" i="2"/>
  <c r="BE52" i="2"/>
  <c r="BG38" i="2"/>
  <c r="BL32" i="2"/>
  <c r="BK26" i="2"/>
  <c r="BS21" i="2"/>
  <c r="CA17" i="2"/>
  <c r="BW13" i="2"/>
  <c r="BO6" i="2"/>
  <c r="BL45" i="2"/>
  <c r="BQ21" i="2"/>
  <c r="BV6" i="2"/>
  <c r="BT30" i="2"/>
  <c r="BH21" i="2"/>
  <c r="BN6" i="2"/>
  <c r="BK3" i="2"/>
  <c r="BE9" i="2"/>
  <c r="BM25" i="2"/>
  <c r="BZ16" i="2"/>
  <c r="BS8" i="2"/>
  <c r="CA16" i="2"/>
  <c r="BP22" i="2"/>
  <c r="BU38" i="2"/>
  <c r="BM18" i="2"/>
  <c r="BE4" i="2"/>
  <c r="BR2" i="2"/>
  <c r="CB36" i="2"/>
  <c r="CB61" i="2"/>
  <c r="CB55" i="2"/>
  <c r="CB17" i="2"/>
  <c r="CB25" i="2"/>
  <c r="BP51" i="2"/>
  <c r="BU54" i="2"/>
  <c r="BP8" i="2"/>
  <c r="BV26" i="2"/>
  <c r="BE5" i="2"/>
  <c r="CA36" i="2"/>
  <c r="BR4" i="2"/>
  <c r="BK35" i="2"/>
  <c r="BK5" i="2"/>
  <c r="BU36" i="2"/>
  <c r="BN12" i="2"/>
  <c r="BL3" i="2"/>
  <c r="BM4" i="2"/>
  <c r="CB13" i="2"/>
  <c r="BH64" i="2"/>
  <c r="BK54" i="2"/>
  <c r="BE32" i="2"/>
  <c r="BE66" i="2"/>
  <c r="BV43" i="2"/>
  <c r="BS65" i="2"/>
  <c r="BM43" i="2"/>
  <c r="BN61" i="2"/>
  <c r="CA47" i="2"/>
  <c r="BS55" i="2"/>
  <c r="BN21" i="2"/>
  <c r="BQ50" i="2"/>
  <c r="BM39" i="2"/>
  <c r="BJ11" i="2"/>
  <c r="BN22" i="2"/>
  <c r="BF14" i="2"/>
  <c r="BN9" i="2"/>
  <c r="BU4" i="2"/>
  <c r="BZ30" i="2"/>
  <c r="BL14" i="2"/>
  <c r="BJ54" i="2"/>
  <c r="BV48" i="2"/>
  <c r="BS35" i="2"/>
  <c r="BO27" i="2"/>
  <c r="BY21" i="2"/>
  <c r="BH18" i="2"/>
  <c r="BP14" i="2"/>
  <c r="BV10" i="2"/>
  <c r="BE7" i="2"/>
  <c r="BY3" i="2"/>
  <c r="BW5" i="2"/>
  <c r="BS52" i="2"/>
  <c r="BZ36" i="2"/>
  <c r="BX20" i="2"/>
  <c r="BU9" i="2"/>
  <c r="BY35" i="2"/>
  <c r="BY50" i="2"/>
  <c r="BU37" i="2"/>
  <c r="BW31" i="2"/>
  <c r="BX25" i="2"/>
  <c r="BM21" i="2"/>
  <c r="BT17" i="2"/>
  <c r="BZ13" i="2"/>
  <c r="BJ10" i="2"/>
  <c r="BN5" i="2"/>
  <c r="BL35" i="2"/>
  <c r="BN20" i="2"/>
  <c r="BK9" i="2"/>
  <c r="CA29" i="2"/>
  <c r="BY45" i="2"/>
  <c r="BE36" i="2"/>
  <c r="BG30" i="2"/>
  <c r="BH24" i="2"/>
  <c r="BL20" i="2"/>
  <c r="BS16" i="2"/>
  <c r="BY12" i="2"/>
  <c r="BI9" i="2"/>
  <c r="BU5" i="2"/>
  <c r="BU2" i="2"/>
  <c r="BG9" i="2"/>
  <c r="BM3" i="2"/>
  <c r="BI35" i="2"/>
  <c r="BX49" i="2"/>
  <c r="BN37" i="2"/>
  <c r="BO31" i="2"/>
  <c r="BR25" i="2"/>
  <c r="BI21" i="2"/>
  <c r="BO17" i="2"/>
  <c r="BK13" i="2"/>
  <c r="BS5" i="2"/>
  <c r="BI41" i="2"/>
  <c r="BU19" i="2"/>
  <c r="BH5" i="2"/>
  <c r="BL12" i="2"/>
  <c r="BK19" i="2"/>
  <c r="BW4" i="2"/>
  <c r="BN4" i="2"/>
  <c r="BP36" i="2"/>
  <c r="BZ22" i="2"/>
  <c r="BI13" i="2"/>
  <c r="BW39" i="2"/>
  <c r="BG15" i="2"/>
  <c r="BM11" i="2"/>
  <c r="BX32" i="2"/>
  <c r="BP16" i="2"/>
  <c r="BS2" i="2"/>
  <c r="BR21" i="2"/>
  <c r="CB44" i="2"/>
  <c r="CB5" i="2"/>
  <c r="CB23" i="2"/>
  <c r="CB30" i="2"/>
  <c r="CB3" i="2"/>
  <c r="CB64" i="2"/>
  <c r="BM61" i="2"/>
  <c r="BQ43" i="2"/>
  <c r="BL4" i="2"/>
  <c r="BO21" i="2"/>
  <c r="BN50" i="2"/>
  <c r="BF31" i="2"/>
  <c r="BE19" i="2"/>
  <c r="BH16" i="2"/>
  <c r="BT2" i="2"/>
  <c r="BE17" i="2"/>
  <c r="BN17" i="2"/>
  <c r="BJ13" i="2"/>
  <c r="CB52" i="2"/>
  <c r="CB58" i="2"/>
  <c r="CB2" i="2"/>
  <c r="CC68" i="2" l="1"/>
  <c r="L335" i="2"/>
  <c r="L326" i="2"/>
  <c r="L324" i="2"/>
  <c r="L322" i="2"/>
  <c r="L317" i="2"/>
  <c r="L314" i="2"/>
  <c r="L291" i="2"/>
  <c r="L284" i="2"/>
  <c r="L282" i="2"/>
  <c r="L280" i="2"/>
  <c r="L278" i="2"/>
  <c r="L277" i="2"/>
  <c r="L263" i="2"/>
  <c r="L220" i="2"/>
  <c r="L211" i="2"/>
  <c r="L210" i="2"/>
  <c r="L208" i="2"/>
  <c r="L204" i="2"/>
  <c r="L203" i="2"/>
  <c r="L202" i="2"/>
  <c r="L201" i="2"/>
  <c r="L198" i="2"/>
  <c r="L196" i="2"/>
  <c r="L192" i="2"/>
  <c r="L189" i="2"/>
  <c r="L176" i="2"/>
  <c r="L175" i="2"/>
  <c r="L174" i="2"/>
  <c r="L170" i="2"/>
  <c r="L167" i="2"/>
  <c r="L165" i="2"/>
  <c r="L163" i="2"/>
  <c r="L162" i="2"/>
  <c r="L160" i="2"/>
  <c r="L159" i="2"/>
  <c r="L157" i="2"/>
  <c r="L148" i="2"/>
  <c r="L141" i="2"/>
  <c r="L138" i="2"/>
  <c r="L136" i="2"/>
  <c r="L127" i="2"/>
  <c r="L105" i="2"/>
  <c r="L96" i="2"/>
  <c r="L92" i="2"/>
  <c r="L87" i="2"/>
  <c r="L61" i="2"/>
  <c r="L52" i="2"/>
  <c r="L50" i="2"/>
  <c r="L48" i="2"/>
  <c r="L47" i="2"/>
  <c r="L33" i="2"/>
  <c r="CG3" i="2"/>
  <c r="CF3" i="2"/>
  <c r="CE3" i="2"/>
  <c r="CD3" i="2"/>
  <c r="CH3" i="2"/>
  <c r="AA5" i="76" l="1"/>
  <c r="AI5" i="76"/>
  <c r="AE5" i="76"/>
  <c r="W5" i="76"/>
  <c r="S5" i="76"/>
  <c r="O5" i="76"/>
  <c r="K5" i="76"/>
  <c r="G5" i="76"/>
  <c r="C5" i="76"/>
  <c r="AI4" i="76"/>
  <c r="AE4" i="76"/>
  <c r="AE2" i="76" s="1"/>
  <c r="AA4" i="76"/>
  <c r="W4" i="76"/>
  <c r="S4" i="76"/>
  <c r="O4" i="76"/>
  <c r="K4" i="76"/>
  <c r="K2" i="76" s="1"/>
  <c r="G4" i="76"/>
  <c r="C4" i="76"/>
  <c r="AI3" i="76"/>
  <c r="AE3" i="76"/>
  <c r="AA3" i="76"/>
  <c r="AA2" i="76" s="1"/>
  <c r="W3" i="76"/>
  <c r="S3" i="76"/>
  <c r="S2" i="76" s="1"/>
  <c r="O3" i="76"/>
  <c r="O2" i="76" s="1"/>
  <c r="K3" i="76"/>
  <c r="G3" i="76"/>
  <c r="G2" i="76" s="1"/>
  <c r="C3" i="76"/>
  <c r="C2" i="76" s="1"/>
  <c r="CH4" i="2"/>
  <c r="CD4" i="2"/>
  <c r="CE4" i="2"/>
  <c r="CF4" i="2"/>
  <c r="CG4" i="2"/>
  <c r="AI2" i="76" l="1"/>
  <c r="W2" i="76"/>
  <c r="L21" i="2"/>
  <c r="L40" i="2"/>
  <c r="L46" i="2"/>
  <c r="L54" i="2"/>
  <c r="L60" i="2"/>
  <c r="L66" i="2"/>
  <c r="BW69" i="2"/>
  <c r="BX69" i="2"/>
  <c r="BY69" i="2"/>
  <c r="BZ69" i="2"/>
  <c r="CA69" i="2"/>
  <c r="CB69" i="2"/>
  <c r="BW70" i="2"/>
  <c r="BX70" i="2"/>
  <c r="BY70" i="2"/>
  <c r="BZ70" i="2"/>
  <c r="CA70" i="2"/>
  <c r="CB70" i="2"/>
  <c r="BW72" i="2"/>
  <c r="BX72" i="2"/>
  <c r="BY72" i="2"/>
  <c r="BZ72" i="2"/>
  <c r="CA72" i="2"/>
  <c r="CB72" i="2"/>
  <c r="BW73" i="2"/>
  <c r="BX73" i="2"/>
  <c r="BY73" i="2"/>
  <c r="BZ73" i="2"/>
  <c r="CA73" i="2"/>
  <c r="CB73" i="2"/>
  <c r="BW74" i="2"/>
  <c r="BX74" i="2"/>
  <c r="BY74" i="2"/>
  <c r="BZ74" i="2"/>
  <c r="CA74" i="2"/>
  <c r="CB74" i="2"/>
  <c r="BW75" i="2"/>
  <c r="BX75" i="2"/>
  <c r="BY75" i="2"/>
  <c r="BZ75" i="2"/>
  <c r="CA75" i="2"/>
  <c r="CB75" i="2"/>
  <c r="BW76" i="2"/>
  <c r="BX76" i="2"/>
  <c r="BY76" i="2"/>
  <c r="BZ76" i="2"/>
  <c r="CA76" i="2"/>
  <c r="CB76" i="2"/>
  <c r="BW77" i="2"/>
  <c r="BX77" i="2"/>
  <c r="BY77" i="2"/>
  <c r="BZ77" i="2"/>
  <c r="CA77" i="2"/>
  <c r="CB77" i="2"/>
  <c r="BW78" i="2"/>
  <c r="BX78" i="2"/>
  <c r="BY78" i="2"/>
  <c r="BZ78" i="2"/>
  <c r="CA78" i="2"/>
  <c r="CB78" i="2"/>
  <c r="BW79" i="2"/>
  <c r="BX79" i="2"/>
  <c r="BY79" i="2"/>
  <c r="BZ79" i="2"/>
  <c r="CA79" i="2"/>
  <c r="CB79" i="2"/>
  <c r="BW80" i="2"/>
  <c r="BX80" i="2"/>
  <c r="BZ80" i="2"/>
  <c r="BW81" i="2"/>
  <c r="BX81" i="2"/>
  <c r="BY81" i="2"/>
  <c r="BZ81" i="2"/>
  <c r="CA81" i="2"/>
  <c r="BW82" i="2"/>
  <c r="BX82" i="2"/>
  <c r="BY82" i="2"/>
  <c r="BZ82" i="2"/>
  <c r="CA82" i="2"/>
  <c r="CB82" i="2"/>
  <c r="BW83" i="2"/>
  <c r="BZ83" i="2"/>
  <c r="CA83" i="2"/>
  <c r="CA84" i="2"/>
  <c r="L84" i="2" s="1"/>
  <c r="BW85" i="2"/>
  <c r="BX85" i="2"/>
  <c r="BY85" i="2"/>
  <c r="BZ85" i="2"/>
  <c r="CB85" i="2"/>
  <c r="BZ86" i="2"/>
  <c r="CB86" i="2"/>
  <c r="BX88" i="2"/>
  <c r="CA88" i="2"/>
  <c r="CB88" i="2"/>
  <c r="BZ89" i="2"/>
  <c r="L89" i="2" s="1"/>
  <c r="BY90" i="2"/>
  <c r="CA90" i="2"/>
  <c r="CB90" i="2"/>
  <c r="BY91" i="2"/>
  <c r="BZ91" i="2"/>
  <c r="CA91" i="2"/>
  <c r="CB91" i="2"/>
  <c r="BW93" i="2"/>
  <c r="BZ93" i="2"/>
  <c r="CA93" i="2"/>
  <c r="BZ94" i="2"/>
  <c r="L94" i="2" s="1"/>
  <c r="CB95" i="2"/>
  <c r="L95" i="2" s="1"/>
  <c r="BW98" i="2"/>
  <c r="BX98" i="2"/>
  <c r="BY98" i="2"/>
  <c r="BZ98" i="2"/>
  <c r="CA98" i="2"/>
  <c r="CB98" i="2"/>
  <c r="BW99" i="2"/>
  <c r="BX99" i="2"/>
  <c r="BY99" i="2"/>
  <c r="BZ99" i="2"/>
  <c r="CA99" i="2"/>
  <c r="CB99" i="2"/>
  <c r="BW101" i="2"/>
  <c r="BX101" i="2"/>
  <c r="BY101" i="2"/>
  <c r="BZ101" i="2"/>
  <c r="CA101" i="2"/>
  <c r="CB101" i="2"/>
  <c r="BW102" i="2"/>
  <c r="BX102" i="2"/>
  <c r="BY102" i="2"/>
  <c r="BZ102" i="2"/>
  <c r="CA102" i="2"/>
  <c r="CB102" i="2"/>
  <c r="BW103" i="2"/>
  <c r="BX103" i="2"/>
  <c r="BY103" i="2"/>
  <c r="BZ103" i="2"/>
  <c r="CA103" i="2"/>
  <c r="CB103" i="2"/>
  <c r="BW104" i="2"/>
  <c r="BX104" i="2"/>
  <c r="BY104" i="2"/>
  <c r="BZ104" i="2"/>
  <c r="CA104" i="2"/>
  <c r="CB104" i="2"/>
  <c r="BW106" i="2"/>
  <c r="BX106" i="2"/>
  <c r="BY106" i="2"/>
  <c r="BZ106" i="2"/>
  <c r="CA106" i="2"/>
  <c r="CB106" i="2"/>
  <c r="BW107" i="2"/>
  <c r="BY107" i="2"/>
  <c r="BZ107" i="2"/>
  <c r="CA107" i="2"/>
  <c r="CB107" i="2"/>
  <c r="BW109" i="2"/>
  <c r="BX109" i="2"/>
  <c r="BY109" i="2"/>
  <c r="BZ109" i="2"/>
  <c r="CA109" i="2"/>
  <c r="CB109" i="2"/>
  <c r="BW110" i="2"/>
  <c r="BX110" i="2"/>
  <c r="BY110" i="2"/>
  <c r="BZ110" i="2"/>
  <c r="CA110" i="2"/>
  <c r="CB110" i="2"/>
  <c r="CG5" i="2"/>
  <c r="CF5" i="2"/>
  <c r="CE5" i="2"/>
  <c r="CD5" i="2"/>
  <c r="CH5" i="2"/>
  <c r="L103" i="2" l="1"/>
  <c r="L98" i="2"/>
  <c r="L44" i="2"/>
  <c r="L109" i="2"/>
  <c r="L88" i="2"/>
  <c r="L82" i="2"/>
  <c r="L80" i="2"/>
  <c r="L76" i="2"/>
  <c r="L72" i="2"/>
  <c r="L62" i="2"/>
  <c r="L55" i="2"/>
  <c r="L51" i="2"/>
  <c r="L28" i="2"/>
  <c r="L22" i="2"/>
  <c r="L49" i="2"/>
  <c r="L45" i="2"/>
  <c r="L36" i="2"/>
  <c r="L31" i="2"/>
  <c r="L25" i="2"/>
  <c r="L20" i="2"/>
  <c r="L16" i="2"/>
  <c r="L12" i="2"/>
  <c r="L8" i="2"/>
  <c r="L4" i="2"/>
  <c r="L91" i="2"/>
  <c r="L58" i="2"/>
  <c r="L37" i="2"/>
  <c r="L32" i="2"/>
  <c r="L26" i="2"/>
  <c r="L17" i="2"/>
  <c r="L13" i="2"/>
  <c r="L9" i="2"/>
  <c r="L5" i="2"/>
  <c r="L2" i="2"/>
  <c r="L104" i="2"/>
  <c r="L99" i="2"/>
  <c r="L110" i="2"/>
  <c r="L86" i="2"/>
  <c r="L83" i="2"/>
  <c r="L77" i="2"/>
  <c r="L73" i="2"/>
  <c r="L67" i="2"/>
  <c r="L65" i="2"/>
  <c r="L63" i="2"/>
  <c r="L41" i="2"/>
  <c r="L29" i="2"/>
  <c r="L56" i="2"/>
  <c r="L43" i="2"/>
  <c r="L38" i="2"/>
  <c r="L34" i="2"/>
  <c r="L23" i="2"/>
  <c r="L18" i="2"/>
  <c r="L14" i="2"/>
  <c r="L10" i="2"/>
  <c r="L6" i="2"/>
  <c r="L93" i="2"/>
  <c r="L90" i="2"/>
  <c r="L78" i="2"/>
  <c r="L74" i="2"/>
  <c r="L69" i="2"/>
  <c r="L59" i="2"/>
  <c r="L53" i="2"/>
  <c r="L30" i="2"/>
  <c r="L3" i="2"/>
  <c r="L106" i="2"/>
  <c r="L107" i="2"/>
  <c r="L102" i="2"/>
  <c r="L81" i="2"/>
  <c r="L64" i="2"/>
  <c r="L57" i="2"/>
  <c r="L39" i="2"/>
  <c r="L35" i="2"/>
  <c r="L24" i="2"/>
  <c r="L19" i="2"/>
  <c r="L15" i="2"/>
  <c r="L11" i="2"/>
  <c r="L7" i="2"/>
  <c r="L101" i="2"/>
  <c r="L85" i="2"/>
  <c r="L79" i="2"/>
  <c r="L75" i="2"/>
  <c r="L70" i="2"/>
  <c r="L42" i="2"/>
  <c r="L27" i="2"/>
  <c r="BY108" i="2"/>
  <c r="BX108" i="2"/>
  <c r="BW108" i="2"/>
  <c r="CB108" i="2"/>
  <c r="BW97" i="2"/>
  <c r="CA97" i="2"/>
  <c r="CA108" i="2"/>
  <c r="BZ97" i="2"/>
  <c r="CB97" i="2"/>
  <c r="BY97" i="2"/>
  <c r="BX97" i="2"/>
  <c r="BZ108" i="2"/>
  <c r="BX68" i="2"/>
  <c r="BW68" i="2"/>
  <c r="CB68" i="2"/>
  <c r="CA68" i="2"/>
  <c r="BY68" i="2"/>
  <c r="BZ68" i="2"/>
  <c r="CH6" i="2"/>
  <c r="CD6" i="2"/>
  <c r="CE6" i="2"/>
  <c r="CF6" i="2"/>
  <c r="CG6" i="2"/>
  <c r="L97" i="2" l="1"/>
  <c r="L108" i="2"/>
  <c r="L68" i="2"/>
  <c r="CB340" i="2"/>
  <c r="CB339" i="2"/>
  <c r="CA340" i="2"/>
  <c r="CA339" i="2"/>
  <c r="CA332" i="2"/>
  <c r="CB332" i="2"/>
  <c r="CA333" i="2"/>
  <c r="CB333" i="2"/>
  <c r="CA334" i="2"/>
  <c r="CB334" i="2"/>
  <c r="CA336" i="2"/>
  <c r="CB336" i="2"/>
  <c r="CA337" i="2"/>
  <c r="CB337" i="2"/>
  <c r="CB331" i="2"/>
  <c r="CA331" i="2"/>
  <c r="CB329" i="2"/>
  <c r="CB328" i="2"/>
  <c r="CA329" i="2"/>
  <c r="CA328" i="2"/>
  <c r="CA303" i="2"/>
  <c r="CB303" i="2"/>
  <c r="CA304" i="2"/>
  <c r="CB304" i="2"/>
  <c r="CA305" i="2"/>
  <c r="CB305" i="2"/>
  <c r="CA306" i="2"/>
  <c r="CB306" i="2"/>
  <c r="CA307" i="2"/>
  <c r="CB307" i="2"/>
  <c r="CA308" i="2"/>
  <c r="CB308" i="2"/>
  <c r="CA309" i="2"/>
  <c r="CB309" i="2"/>
  <c r="CA311" i="2"/>
  <c r="CA312" i="2"/>
  <c r="CB312" i="2"/>
  <c r="CA313" i="2"/>
  <c r="CB315" i="2"/>
  <c r="CB316" i="2"/>
  <c r="CA318" i="2"/>
  <c r="CB318" i="2"/>
  <c r="CA320" i="2"/>
  <c r="CB320" i="2"/>
  <c r="CA321" i="2"/>
  <c r="CB321" i="2"/>
  <c r="CA323" i="2"/>
  <c r="CB325" i="2"/>
  <c r="L325" i="2" s="1"/>
  <c r="CB302" i="2"/>
  <c r="CA302" i="2"/>
  <c r="CA299" i="2"/>
  <c r="CB299" i="2"/>
  <c r="CA300" i="2"/>
  <c r="CB300" i="2"/>
  <c r="CA233" i="2"/>
  <c r="CB233" i="2"/>
  <c r="CA234" i="2"/>
  <c r="CB234" i="2"/>
  <c r="CA235" i="2"/>
  <c r="CB235" i="2"/>
  <c r="CA236" i="2"/>
  <c r="CB236" i="2"/>
  <c r="CA237" i="2"/>
  <c r="CB237" i="2"/>
  <c r="CA238" i="2"/>
  <c r="CB238" i="2"/>
  <c r="CA239" i="2"/>
  <c r="CB239" i="2"/>
  <c r="CA240" i="2"/>
  <c r="CB240" i="2"/>
  <c r="CA241" i="2"/>
  <c r="CB241" i="2"/>
  <c r="CA242" i="2"/>
  <c r="CB242" i="2"/>
  <c r="CA243" i="2"/>
  <c r="CB243" i="2"/>
  <c r="CA244" i="2"/>
  <c r="CB244" i="2"/>
  <c r="CA245" i="2"/>
  <c r="CB245" i="2"/>
  <c r="CA246" i="2"/>
  <c r="CB246" i="2"/>
  <c r="CA247" i="2"/>
  <c r="CB247" i="2"/>
  <c r="CA248" i="2"/>
  <c r="CB248" i="2"/>
  <c r="CA249" i="2"/>
  <c r="CB249" i="2"/>
  <c r="CA250" i="2"/>
  <c r="CB250" i="2"/>
  <c r="CA251" i="2"/>
  <c r="L251" i="2" s="1"/>
  <c r="CA252" i="2"/>
  <c r="CB252" i="2"/>
  <c r="CA253" i="2"/>
  <c r="CB253" i="2"/>
  <c r="CA254" i="2"/>
  <c r="CB254" i="2"/>
  <c r="CA255" i="2"/>
  <c r="CB255" i="2"/>
  <c r="CB256" i="2"/>
  <c r="CA257" i="2"/>
  <c r="CB257" i="2"/>
  <c r="CA258" i="2"/>
  <c r="CB258" i="2"/>
  <c r="CA259" i="2"/>
  <c r="CB259" i="2"/>
  <c r="CA260" i="2"/>
  <c r="CB260" i="2"/>
  <c r="CA261" i="2"/>
  <c r="CB261" i="2"/>
  <c r="CA262" i="2"/>
  <c r="CB262" i="2"/>
  <c r="CA264" i="2"/>
  <c r="CB264" i="2"/>
  <c r="CA265" i="2"/>
  <c r="CB265" i="2"/>
  <c r="CA266" i="2"/>
  <c r="CB266" i="2"/>
  <c r="CA267" i="2"/>
  <c r="CB267" i="2"/>
  <c r="CA268" i="2"/>
  <c r="CB268" i="2"/>
  <c r="CA269" i="2"/>
  <c r="CB269" i="2"/>
  <c r="CA270" i="2"/>
  <c r="CA271" i="2"/>
  <c r="L271" i="2" s="1"/>
  <c r="CA272" i="2"/>
  <c r="CA273" i="2"/>
  <c r="CB273" i="2"/>
  <c r="CB274" i="2"/>
  <c r="CA275" i="2"/>
  <c r="CB275" i="2"/>
  <c r="CA276" i="2"/>
  <c r="CB276" i="2"/>
  <c r="CB279" i="2"/>
  <c r="CA281" i="2"/>
  <c r="CB281" i="2"/>
  <c r="CA283" i="2"/>
  <c r="L283" i="2" s="1"/>
  <c r="CA285" i="2"/>
  <c r="CB285" i="2"/>
  <c r="CA286" i="2"/>
  <c r="CB286" i="2"/>
  <c r="CB287" i="2"/>
  <c r="CA288" i="2"/>
  <c r="CB288" i="2"/>
  <c r="CA290" i="2"/>
  <c r="L290" i="2" s="1"/>
  <c r="CA292" i="2"/>
  <c r="CB292" i="2"/>
  <c r="CA293" i="2"/>
  <c r="CB293" i="2"/>
  <c r="CA295" i="2"/>
  <c r="CA296" i="2"/>
  <c r="CB296" i="2"/>
  <c r="CA297" i="2"/>
  <c r="CB297" i="2"/>
  <c r="CB232" i="2"/>
  <c r="CA232" i="2"/>
  <c r="CB225" i="2"/>
  <c r="CB224" i="2"/>
  <c r="CA225" i="2"/>
  <c r="CA224" i="2"/>
  <c r="CA217" i="2"/>
  <c r="CB217" i="2"/>
  <c r="CB218" i="2"/>
  <c r="CA219" i="2"/>
  <c r="CB219" i="2"/>
  <c r="CA221" i="2"/>
  <c r="CB221" i="2"/>
  <c r="CB222" i="2"/>
  <c r="L222" i="2" s="1"/>
  <c r="CB216" i="2"/>
  <c r="CA216" i="2"/>
  <c r="CB214" i="2"/>
  <c r="CB213" i="2"/>
  <c r="CA214" i="2"/>
  <c r="CA213" i="2"/>
  <c r="CA188" i="2"/>
  <c r="CB188" i="2"/>
  <c r="CA190" i="2"/>
  <c r="CB190" i="2"/>
  <c r="CA191" i="2"/>
  <c r="CB191" i="2"/>
  <c r="CA194" i="2"/>
  <c r="CB194" i="2"/>
  <c r="CA197" i="2"/>
  <c r="CB197" i="2"/>
  <c r="CA199" i="2"/>
  <c r="L199" i="2" s="1"/>
  <c r="CB200" i="2"/>
  <c r="CA205" i="2"/>
  <c r="CA206" i="2"/>
  <c r="CB187" i="2"/>
  <c r="CA187" i="2"/>
  <c r="CB185" i="2"/>
  <c r="CB184" i="2"/>
  <c r="CA185" i="2"/>
  <c r="CA184" i="2"/>
  <c r="CA118" i="2"/>
  <c r="CB118" i="2"/>
  <c r="CA119" i="2"/>
  <c r="CB119" i="2"/>
  <c r="CA120" i="2"/>
  <c r="CB120" i="2"/>
  <c r="CA121" i="2"/>
  <c r="CB121" i="2"/>
  <c r="CA122" i="2"/>
  <c r="CB122" i="2"/>
  <c r="CA123" i="2"/>
  <c r="CB123" i="2"/>
  <c r="CA124" i="2"/>
  <c r="CB124" i="2"/>
  <c r="CA125" i="2"/>
  <c r="CB125" i="2"/>
  <c r="CA126" i="2"/>
  <c r="CB126" i="2"/>
  <c r="CB128" i="2"/>
  <c r="CA129" i="2"/>
  <c r="CB129" i="2"/>
  <c r="CA130" i="2"/>
  <c r="CB130" i="2"/>
  <c r="CA131" i="2"/>
  <c r="CB131" i="2"/>
  <c r="CA132" i="2"/>
  <c r="CB132" i="2"/>
  <c r="CB133" i="2"/>
  <c r="CA134" i="2"/>
  <c r="CB134" i="2"/>
  <c r="CA135" i="2"/>
  <c r="CB135" i="2"/>
  <c r="CA137" i="2"/>
  <c r="CB137" i="2"/>
  <c r="CA139" i="2"/>
  <c r="CB139" i="2"/>
  <c r="CA140" i="2"/>
  <c r="CB140" i="2"/>
  <c r="CA142" i="2"/>
  <c r="CB142" i="2"/>
  <c r="CA143" i="2"/>
  <c r="CB143" i="2"/>
  <c r="CA144" i="2"/>
  <c r="CB144" i="2"/>
  <c r="CB145" i="2"/>
  <c r="CB146" i="2"/>
  <c r="L146" i="2" s="1"/>
  <c r="CB147" i="2"/>
  <c r="L147" i="2" s="1"/>
  <c r="CA149" i="2"/>
  <c r="CA150" i="2"/>
  <c r="CB150" i="2"/>
  <c r="CA151" i="2"/>
  <c r="CB151" i="2"/>
  <c r="CA152" i="2"/>
  <c r="CB152" i="2"/>
  <c r="CA153" i="2"/>
  <c r="CB153" i="2"/>
  <c r="CA154" i="2"/>
  <c r="CB154" i="2"/>
  <c r="CA155" i="2"/>
  <c r="L155" i="2" s="1"/>
  <c r="CA156" i="2"/>
  <c r="CB156" i="2"/>
  <c r="CA158" i="2"/>
  <c r="CB158" i="2"/>
  <c r="CB161" i="2"/>
  <c r="CB164" i="2"/>
  <c r="L164" i="2" s="1"/>
  <c r="CA166" i="2"/>
  <c r="CB168" i="2"/>
  <c r="L168" i="2" s="1"/>
  <c r="CA169" i="2"/>
  <c r="L169" i="2" s="1"/>
  <c r="CA171" i="2"/>
  <c r="CB171" i="2"/>
  <c r="CB173" i="2"/>
  <c r="L173" i="2" s="1"/>
  <c r="CA177" i="2"/>
  <c r="CB177" i="2"/>
  <c r="CB178" i="2"/>
  <c r="L178" i="2" s="1"/>
  <c r="CB179" i="2"/>
  <c r="L179" i="2" s="1"/>
  <c r="CA180" i="2"/>
  <c r="CA181" i="2"/>
  <c r="L181" i="2" s="1"/>
  <c r="CA182" i="2"/>
  <c r="CB117" i="2"/>
  <c r="CA117" i="2"/>
  <c r="CG7" i="2"/>
  <c r="CF7" i="2"/>
  <c r="CE7" i="2"/>
  <c r="CD7" i="2"/>
  <c r="CH7" i="2"/>
  <c r="L320" i="2" l="1"/>
  <c r="L197" i="2"/>
  <c r="L126" i="2"/>
  <c r="L158" i="2"/>
  <c r="AI5" i="72"/>
  <c r="AE5" i="72"/>
  <c r="AA5" i="72"/>
  <c r="W5" i="72"/>
  <c r="S5" i="72"/>
  <c r="O5" i="72"/>
  <c r="K5" i="72"/>
  <c r="G5" i="72"/>
  <c r="C5" i="72"/>
  <c r="AI4" i="72"/>
  <c r="AE4" i="72"/>
  <c r="AA4" i="72"/>
  <c r="W4" i="72"/>
  <c r="S4" i="72"/>
  <c r="O4" i="72"/>
  <c r="K4" i="72"/>
  <c r="G4" i="72"/>
  <c r="C4" i="72"/>
  <c r="AI3" i="72"/>
  <c r="AE3" i="72"/>
  <c r="AE2" i="72" s="1"/>
  <c r="AA3" i="72"/>
  <c r="AA2" i="72" s="1"/>
  <c r="W3" i="72"/>
  <c r="W2" i="72" s="1"/>
  <c r="S3" i="72"/>
  <c r="O3" i="72"/>
  <c r="K3" i="72"/>
  <c r="G3" i="72"/>
  <c r="C3" i="72"/>
  <c r="C2" i="72" s="1"/>
  <c r="AI5" i="71"/>
  <c r="AE5" i="71"/>
  <c r="AA5" i="71"/>
  <c r="W5" i="71"/>
  <c r="S5" i="71"/>
  <c r="O5" i="71"/>
  <c r="K5" i="71"/>
  <c r="G5" i="71"/>
  <c r="C5" i="71"/>
  <c r="AI4" i="71"/>
  <c r="AE4" i="71"/>
  <c r="AA4" i="71"/>
  <c r="W4" i="71"/>
  <c r="S4" i="71"/>
  <c r="O4" i="71"/>
  <c r="K4" i="71"/>
  <c r="K2" i="71" s="1"/>
  <c r="G4" i="71"/>
  <c r="G2" i="71" s="1"/>
  <c r="C4" i="71"/>
  <c r="AI3" i="71"/>
  <c r="AE3" i="71"/>
  <c r="AA3" i="71"/>
  <c r="AA2" i="71" s="1"/>
  <c r="W3" i="71"/>
  <c r="W2" i="71" s="1"/>
  <c r="S3" i="71"/>
  <c r="S2" i="71" s="1"/>
  <c r="O3" i="71"/>
  <c r="K3" i="71"/>
  <c r="G3" i="71"/>
  <c r="C3" i="71"/>
  <c r="C2" i="71" s="1"/>
  <c r="CH8" i="2"/>
  <c r="CD8" i="2"/>
  <c r="CE8" i="2"/>
  <c r="CF8" i="2"/>
  <c r="CG8" i="2"/>
  <c r="K2" i="72" l="1"/>
  <c r="G2" i="72"/>
  <c r="S2" i="72"/>
  <c r="O2" i="72"/>
  <c r="O2" i="71"/>
  <c r="AI2" i="72"/>
  <c r="AI2" i="71"/>
  <c r="AE2" i="71"/>
  <c r="BZ340" i="2"/>
  <c r="BZ339" i="2"/>
  <c r="BZ332" i="2"/>
  <c r="BZ333" i="2"/>
  <c r="BZ334" i="2"/>
  <c r="BZ336" i="2"/>
  <c r="BZ337" i="2"/>
  <c r="BZ331" i="2"/>
  <c r="BZ329" i="2"/>
  <c r="BZ328" i="2"/>
  <c r="BZ303" i="2"/>
  <c r="BZ304" i="2"/>
  <c r="BZ305" i="2"/>
  <c r="BZ306" i="2"/>
  <c r="BZ307" i="2"/>
  <c r="BZ308" i="2"/>
  <c r="BZ309" i="2"/>
  <c r="BZ310" i="2"/>
  <c r="L310" i="2" s="1"/>
  <c r="BZ311" i="2"/>
  <c r="BZ312" i="2"/>
  <c r="BZ313" i="2"/>
  <c r="L313" i="2" s="1"/>
  <c r="BZ315" i="2"/>
  <c r="BZ316" i="2"/>
  <c r="L316" i="2" s="1"/>
  <c r="BZ319" i="2"/>
  <c r="L319" i="2" s="1"/>
  <c r="BZ323" i="2"/>
  <c r="L323" i="2" s="1"/>
  <c r="BZ302" i="2"/>
  <c r="BZ300" i="2"/>
  <c r="BZ299" i="2"/>
  <c r="BZ233" i="2"/>
  <c r="BZ234" i="2"/>
  <c r="BZ235" i="2"/>
  <c r="BZ236" i="2"/>
  <c r="BZ237" i="2"/>
  <c r="BZ238" i="2"/>
  <c r="BZ239" i="2"/>
  <c r="BZ240" i="2"/>
  <c r="BZ241" i="2"/>
  <c r="BZ242" i="2"/>
  <c r="BZ243" i="2"/>
  <c r="BZ244" i="2"/>
  <c r="BZ245" i="2"/>
  <c r="BZ246" i="2"/>
  <c r="BZ247" i="2"/>
  <c r="BZ248" i="2"/>
  <c r="BZ249" i="2"/>
  <c r="BZ250" i="2"/>
  <c r="BZ252" i="2"/>
  <c r="BZ253" i="2"/>
  <c r="BZ254" i="2"/>
  <c r="BZ255" i="2"/>
  <c r="BZ257" i="2"/>
  <c r="BZ258" i="2"/>
  <c r="BZ259" i="2"/>
  <c r="BZ260" i="2"/>
  <c r="BZ261" i="2"/>
  <c r="BZ262" i="2"/>
  <c r="BZ264" i="2"/>
  <c r="BZ265" i="2"/>
  <c r="BZ266" i="2"/>
  <c r="BZ267" i="2"/>
  <c r="BZ268" i="2"/>
  <c r="BZ269" i="2"/>
  <c r="BZ270" i="2"/>
  <c r="BZ273" i="2"/>
  <c r="BZ274" i="2"/>
  <c r="L274" i="2" s="1"/>
  <c r="BZ285" i="2"/>
  <c r="BZ286" i="2"/>
  <c r="BZ288" i="2"/>
  <c r="BZ289" i="2"/>
  <c r="BZ292" i="2"/>
  <c r="BZ293" i="2"/>
  <c r="BZ294" i="2"/>
  <c r="L294" i="2" s="1"/>
  <c r="BZ295" i="2"/>
  <c r="L295" i="2" s="1"/>
  <c r="BZ296" i="2"/>
  <c r="BZ232" i="2"/>
  <c r="BZ225" i="2"/>
  <c r="BZ224" i="2"/>
  <c r="BZ217" i="2"/>
  <c r="BZ219" i="2"/>
  <c r="BZ221" i="2"/>
  <c r="BZ216" i="2"/>
  <c r="BZ214" i="2"/>
  <c r="BZ213" i="2"/>
  <c r="BZ188" i="2"/>
  <c r="BZ190" i="2"/>
  <c r="BZ191" i="2"/>
  <c r="BZ200" i="2"/>
  <c r="L200" i="2" s="1"/>
  <c r="BZ206" i="2"/>
  <c r="BZ207" i="2"/>
  <c r="L207" i="2" s="1"/>
  <c r="BZ209" i="2"/>
  <c r="L209" i="2" s="1"/>
  <c r="BZ187" i="2"/>
  <c r="BZ185" i="2"/>
  <c r="BZ184" i="2"/>
  <c r="BZ118" i="2"/>
  <c r="BZ120" i="2"/>
  <c r="BZ122" i="2"/>
  <c r="BZ123" i="2"/>
  <c r="BZ124" i="2"/>
  <c r="BZ128" i="2"/>
  <c r="BZ129" i="2"/>
  <c r="BZ130" i="2"/>
  <c r="BZ131" i="2"/>
  <c r="BZ134" i="2"/>
  <c r="BZ135" i="2"/>
  <c r="BZ137" i="2"/>
  <c r="BZ139" i="2"/>
  <c r="L139" i="2" s="1"/>
  <c r="BZ142" i="2"/>
  <c r="BZ143" i="2"/>
  <c r="BZ144" i="2"/>
  <c r="BZ150" i="2"/>
  <c r="BZ152" i="2"/>
  <c r="BZ153" i="2"/>
  <c r="BZ154" i="2"/>
  <c r="BZ156" i="2"/>
  <c r="BZ166" i="2"/>
  <c r="L166" i="2" s="1"/>
  <c r="BZ172" i="2"/>
  <c r="L172" i="2" s="1"/>
  <c r="BZ182" i="2"/>
  <c r="BZ117" i="2"/>
  <c r="AI5" i="70"/>
  <c r="AE5" i="70"/>
  <c r="AA5" i="70"/>
  <c r="W5" i="70"/>
  <c r="S5" i="70"/>
  <c r="O5" i="70"/>
  <c r="K5" i="70"/>
  <c r="G5" i="70"/>
  <c r="C5" i="70"/>
  <c r="AI4" i="70"/>
  <c r="AE4" i="70"/>
  <c r="AA4" i="70"/>
  <c r="W4" i="70"/>
  <c r="S4" i="70"/>
  <c r="O4" i="70"/>
  <c r="K4" i="70"/>
  <c r="G4" i="70"/>
  <c r="C4" i="70"/>
  <c r="AI3" i="70"/>
  <c r="AI2" i="70" s="1"/>
  <c r="AE3" i="70"/>
  <c r="AA3" i="70"/>
  <c r="AA2" i="70" s="1"/>
  <c r="W3" i="70"/>
  <c r="W2" i="70" s="1"/>
  <c r="S3" i="70"/>
  <c r="S2" i="70" s="1"/>
  <c r="O3" i="70"/>
  <c r="O2" i="70" s="1"/>
  <c r="K3" i="70"/>
  <c r="K2" i="70" s="1"/>
  <c r="G3" i="70"/>
  <c r="G2" i="70" s="1"/>
  <c r="C3" i="70"/>
  <c r="AE2" i="70"/>
  <c r="C2" i="70"/>
  <c r="CG9" i="2"/>
  <c r="CF9" i="2"/>
  <c r="CE9" i="2"/>
  <c r="CD9" i="2"/>
  <c r="CH9" i="2"/>
  <c r="BY340" i="2" l="1"/>
  <c r="BY339" i="2"/>
  <c r="BY332" i="2"/>
  <c r="BY333" i="2"/>
  <c r="BY334" i="2"/>
  <c r="BY336" i="2"/>
  <c r="BY337" i="2"/>
  <c r="L337" i="2" s="1"/>
  <c r="BY331" i="2"/>
  <c r="BY329" i="2"/>
  <c r="BY328" i="2"/>
  <c r="BY303" i="2"/>
  <c r="BY304" i="2"/>
  <c r="BY305" i="2"/>
  <c r="BY306" i="2"/>
  <c r="BY307" i="2"/>
  <c r="BY308" i="2"/>
  <c r="BY309" i="2"/>
  <c r="BY311" i="2"/>
  <c r="BY312" i="2"/>
  <c r="BY315" i="2"/>
  <c r="BY321" i="2"/>
  <c r="L321" i="2" s="1"/>
  <c r="BY302" i="2"/>
  <c r="BY300" i="2"/>
  <c r="BY299" i="2"/>
  <c r="BY233" i="2"/>
  <c r="BY234" i="2"/>
  <c r="BY235" i="2"/>
  <c r="BY236" i="2"/>
  <c r="BY237" i="2"/>
  <c r="BY238" i="2"/>
  <c r="BY239" i="2"/>
  <c r="BY240" i="2"/>
  <c r="BY241" i="2"/>
  <c r="BY242" i="2"/>
  <c r="BY243" i="2"/>
  <c r="BY244" i="2"/>
  <c r="BY245" i="2"/>
  <c r="BY246" i="2"/>
  <c r="BY247" i="2"/>
  <c r="BY248" i="2"/>
  <c r="BY249" i="2"/>
  <c r="BY250" i="2"/>
  <c r="BY253" i="2"/>
  <c r="BY254" i="2"/>
  <c r="BY255" i="2"/>
  <c r="BY256" i="2"/>
  <c r="L256" i="2" s="1"/>
  <c r="BY257" i="2"/>
  <c r="BY258" i="2"/>
  <c r="BY259" i="2"/>
  <c r="BY261" i="2"/>
  <c r="BY262" i="2"/>
  <c r="BY264" i="2"/>
  <c r="BY265" i="2"/>
  <c r="BY266" i="2"/>
  <c r="BY267" i="2"/>
  <c r="BY268" i="2"/>
  <c r="BY269" i="2"/>
  <c r="BY270" i="2"/>
  <c r="BY273" i="2"/>
  <c r="BY275" i="2"/>
  <c r="L275" i="2" s="1"/>
  <c r="BY281" i="2"/>
  <c r="L281" i="2" s="1"/>
  <c r="BY285" i="2"/>
  <c r="L285" i="2" s="1"/>
  <c r="BY286" i="2"/>
  <c r="BY288" i="2"/>
  <c r="BY292" i="2"/>
  <c r="BY296" i="2"/>
  <c r="L296" i="2" s="1"/>
  <c r="BY297" i="2"/>
  <c r="BY232" i="2"/>
  <c r="BY225" i="2"/>
  <c r="BY224" i="2"/>
  <c r="BY217" i="2"/>
  <c r="BY218" i="2"/>
  <c r="BY219" i="2"/>
  <c r="BY221" i="2"/>
  <c r="BY216" i="2"/>
  <c r="BY214" i="2"/>
  <c r="BY213" i="2"/>
  <c r="BY188" i="2"/>
  <c r="BY190" i="2"/>
  <c r="L190" i="2" s="1"/>
  <c r="BY191" i="2"/>
  <c r="BY193" i="2"/>
  <c r="L193" i="2" s="1"/>
  <c r="BY194" i="2"/>
  <c r="BY205" i="2"/>
  <c r="L205" i="2" s="1"/>
  <c r="BY206" i="2"/>
  <c r="L206" i="2" s="1"/>
  <c r="BY187" i="2"/>
  <c r="BY185" i="2"/>
  <c r="BY184" i="2"/>
  <c r="BY118" i="2"/>
  <c r="BY119" i="2"/>
  <c r="BY120" i="2"/>
  <c r="BY121" i="2"/>
  <c r="BY122" i="2"/>
  <c r="BY123" i="2"/>
  <c r="BY124" i="2"/>
  <c r="BY125" i="2"/>
  <c r="BY129" i="2"/>
  <c r="L129" i="2" s="1"/>
  <c r="BY130" i="2"/>
  <c r="BY131" i="2"/>
  <c r="BY134" i="2"/>
  <c r="BY135" i="2"/>
  <c r="BY140" i="2"/>
  <c r="BY142" i="2"/>
  <c r="BY143" i="2"/>
  <c r="BY144" i="2"/>
  <c r="BY149" i="2"/>
  <c r="L149" i="2" s="1"/>
  <c r="BY150" i="2"/>
  <c r="BY151" i="2"/>
  <c r="L151" i="2" s="1"/>
  <c r="BY152" i="2"/>
  <c r="L152" i="2" s="1"/>
  <c r="BY154" i="2"/>
  <c r="BY156" i="2"/>
  <c r="L156" i="2" s="1"/>
  <c r="BY161" i="2"/>
  <c r="L161" i="2" s="1"/>
  <c r="BY180" i="2"/>
  <c r="L180" i="2" s="1"/>
  <c r="BY182" i="2"/>
  <c r="L182" i="2" s="1"/>
  <c r="BY117" i="2"/>
  <c r="AI5" i="69"/>
  <c r="AE5" i="69"/>
  <c r="AA5" i="69"/>
  <c r="W5" i="69"/>
  <c r="S5" i="69"/>
  <c r="O5" i="69"/>
  <c r="K5" i="69"/>
  <c r="G5" i="69"/>
  <c r="C5" i="69"/>
  <c r="AI4" i="69"/>
  <c r="AE4" i="69"/>
  <c r="AA4" i="69"/>
  <c r="W4" i="69"/>
  <c r="S4" i="69"/>
  <c r="O4" i="69"/>
  <c r="K4" i="69"/>
  <c r="G4" i="69"/>
  <c r="C4" i="69"/>
  <c r="AI3" i="69"/>
  <c r="AE3" i="69"/>
  <c r="AE2" i="69" s="1"/>
  <c r="AA3" i="69"/>
  <c r="AA2" i="69" s="1"/>
  <c r="W3" i="69"/>
  <c r="W2" i="69" s="1"/>
  <c r="S3" i="69"/>
  <c r="S2" i="69" s="1"/>
  <c r="O3" i="69"/>
  <c r="K3" i="69"/>
  <c r="K2" i="69" s="1"/>
  <c r="G3" i="69"/>
  <c r="G2" i="69" s="1"/>
  <c r="C3" i="69"/>
  <c r="AI2" i="69"/>
  <c r="CH10" i="2"/>
  <c r="CD10" i="2"/>
  <c r="CE10" i="2"/>
  <c r="CF10" i="2"/>
  <c r="CG10" i="2"/>
  <c r="C2" i="69" l="1"/>
  <c r="O2" i="69"/>
  <c r="BX340" i="2"/>
  <c r="L340" i="2" s="1"/>
  <c r="BX339" i="2"/>
  <c r="L339" i="2" s="1"/>
  <c r="BX332" i="2"/>
  <c r="L332" i="2" s="1"/>
  <c r="BX333" i="2"/>
  <c r="L333" i="2" s="1"/>
  <c r="BX334" i="2"/>
  <c r="L334" i="2" s="1"/>
  <c r="BX336" i="2"/>
  <c r="L336" i="2" s="1"/>
  <c r="BX331" i="2"/>
  <c r="L331" i="2" s="1"/>
  <c r="BX329" i="2"/>
  <c r="L329" i="2" s="1"/>
  <c r="BX328" i="2"/>
  <c r="L328" i="2" s="1"/>
  <c r="BX303" i="2"/>
  <c r="L303" i="2" s="1"/>
  <c r="BX304" i="2"/>
  <c r="L304" i="2" s="1"/>
  <c r="BX305" i="2"/>
  <c r="L305" i="2" s="1"/>
  <c r="BX306" i="2"/>
  <c r="L306" i="2" s="1"/>
  <c r="BX307" i="2"/>
  <c r="L307" i="2" s="1"/>
  <c r="BX308" i="2"/>
  <c r="L308" i="2" s="1"/>
  <c r="BX309" i="2"/>
  <c r="L309" i="2" s="1"/>
  <c r="BX311" i="2"/>
  <c r="L311" i="2" s="1"/>
  <c r="BX312" i="2"/>
  <c r="L312" i="2" s="1"/>
  <c r="BX315" i="2"/>
  <c r="L315" i="2" s="1"/>
  <c r="BX318" i="2"/>
  <c r="L318" i="2" s="1"/>
  <c r="BX302" i="2"/>
  <c r="L302" i="2" s="1"/>
  <c r="BX300" i="2"/>
  <c r="L300" i="2" s="1"/>
  <c r="BX299" i="2"/>
  <c r="L299" i="2" s="1"/>
  <c r="BX233" i="2"/>
  <c r="L233" i="2" s="1"/>
  <c r="BX234" i="2"/>
  <c r="L234" i="2" s="1"/>
  <c r="BX235" i="2"/>
  <c r="L235" i="2" s="1"/>
  <c r="BX236" i="2"/>
  <c r="L236" i="2" s="1"/>
  <c r="BX237" i="2"/>
  <c r="L237" i="2" s="1"/>
  <c r="BX238" i="2"/>
  <c r="L238" i="2" s="1"/>
  <c r="BX239" i="2"/>
  <c r="L239" i="2" s="1"/>
  <c r="BX240" i="2"/>
  <c r="L240" i="2" s="1"/>
  <c r="BX241" i="2"/>
  <c r="L241" i="2" s="1"/>
  <c r="BX242" i="2"/>
  <c r="L242" i="2" s="1"/>
  <c r="BX243" i="2"/>
  <c r="L243" i="2" s="1"/>
  <c r="BX244" i="2"/>
  <c r="L244" i="2" s="1"/>
  <c r="BX245" i="2"/>
  <c r="L245" i="2" s="1"/>
  <c r="BX246" i="2"/>
  <c r="L246" i="2" s="1"/>
  <c r="BX247" i="2"/>
  <c r="L247" i="2" s="1"/>
  <c r="BX248" i="2"/>
  <c r="L248" i="2" s="1"/>
  <c r="BX249" i="2"/>
  <c r="L249" i="2" s="1"/>
  <c r="BX250" i="2"/>
  <c r="L250" i="2" s="1"/>
  <c r="BX252" i="2"/>
  <c r="L252" i="2" s="1"/>
  <c r="BX253" i="2"/>
  <c r="L253" i="2" s="1"/>
  <c r="BX254" i="2"/>
  <c r="L254" i="2" s="1"/>
  <c r="BX255" i="2"/>
  <c r="L255" i="2" s="1"/>
  <c r="BX257" i="2"/>
  <c r="L257" i="2" s="1"/>
  <c r="BX258" i="2"/>
  <c r="L258" i="2" s="1"/>
  <c r="BX259" i="2"/>
  <c r="L259" i="2" s="1"/>
  <c r="BX260" i="2"/>
  <c r="L260" i="2" s="1"/>
  <c r="BX261" i="2"/>
  <c r="L261" i="2" s="1"/>
  <c r="BX262" i="2"/>
  <c r="L262" i="2" s="1"/>
  <c r="BX264" i="2"/>
  <c r="L264" i="2" s="1"/>
  <c r="BX265" i="2"/>
  <c r="L265" i="2" s="1"/>
  <c r="BX266" i="2"/>
  <c r="L266" i="2" s="1"/>
  <c r="BX267" i="2"/>
  <c r="L267" i="2" s="1"/>
  <c r="BX268" i="2"/>
  <c r="L268" i="2" s="1"/>
  <c r="BX269" i="2"/>
  <c r="L269" i="2" s="1"/>
  <c r="BX270" i="2"/>
  <c r="L270" i="2" s="1"/>
  <c r="BX272" i="2"/>
  <c r="L272" i="2" s="1"/>
  <c r="BX273" i="2"/>
  <c r="L273" i="2" s="1"/>
  <c r="BX276" i="2"/>
  <c r="L276" i="2" s="1"/>
  <c r="BX279" i="2"/>
  <c r="L279" i="2" s="1"/>
  <c r="BX286" i="2"/>
  <c r="L286" i="2" s="1"/>
  <c r="BX287" i="2"/>
  <c r="L287" i="2" s="1"/>
  <c r="BX288" i="2"/>
  <c r="L288" i="2" s="1"/>
  <c r="BX289" i="2"/>
  <c r="L289" i="2" s="1"/>
  <c r="BX292" i="2"/>
  <c r="L292" i="2" s="1"/>
  <c r="BX293" i="2"/>
  <c r="L293" i="2" s="1"/>
  <c r="BX297" i="2"/>
  <c r="L297" i="2" s="1"/>
  <c r="BX232" i="2"/>
  <c r="L232" i="2" s="1"/>
  <c r="BX225" i="2"/>
  <c r="L225" i="2" s="1"/>
  <c r="BX224" i="2"/>
  <c r="L224" i="2" s="1"/>
  <c r="BX217" i="2"/>
  <c r="L217" i="2" s="1"/>
  <c r="BX218" i="2"/>
  <c r="L218" i="2" s="1"/>
  <c r="BX219" i="2"/>
  <c r="L219" i="2" s="1"/>
  <c r="BX221" i="2"/>
  <c r="L221" i="2" s="1"/>
  <c r="BX216" i="2"/>
  <c r="L216" i="2" s="1"/>
  <c r="BX214" i="2"/>
  <c r="L214" i="2" s="1"/>
  <c r="BX213" i="2"/>
  <c r="L213" i="2" s="1"/>
  <c r="BX188" i="2"/>
  <c r="L188" i="2" s="1"/>
  <c r="BX191" i="2"/>
  <c r="L191" i="2" s="1"/>
  <c r="BX194" i="2"/>
  <c r="L194" i="2" s="1"/>
  <c r="BX195" i="2"/>
  <c r="L195" i="2" s="1"/>
  <c r="BX187" i="2"/>
  <c r="L187" i="2" s="1"/>
  <c r="BX185" i="2"/>
  <c r="L185" i="2" s="1"/>
  <c r="BX184" i="2"/>
  <c r="L184" i="2" s="1"/>
  <c r="BX118" i="2"/>
  <c r="L118" i="2" s="1"/>
  <c r="BX119" i="2"/>
  <c r="L119" i="2" s="1"/>
  <c r="BX120" i="2"/>
  <c r="L120" i="2" s="1"/>
  <c r="BX121" i="2"/>
  <c r="L121" i="2" s="1"/>
  <c r="BX122" i="2"/>
  <c r="L122" i="2" s="1"/>
  <c r="BX123" i="2"/>
  <c r="L123" i="2" s="1"/>
  <c r="BX124" i="2"/>
  <c r="L124" i="2" s="1"/>
  <c r="BX125" i="2"/>
  <c r="L125" i="2" s="1"/>
  <c r="BX128" i="2"/>
  <c r="L128" i="2" s="1"/>
  <c r="BX130" i="2"/>
  <c r="L130" i="2" s="1"/>
  <c r="BX131" i="2"/>
  <c r="L131" i="2" s="1"/>
  <c r="BX132" i="2"/>
  <c r="L132" i="2" s="1"/>
  <c r="BX133" i="2"/>
  <c r="L133" i="2" s="1"/>
  <c r="BX134" i="2"/>
  <c r="L134" i="2" s="1"/>
  <c r="BX135" i="2"/>
  <c r="L135" i="2" s="1"/>
  <c r="BX137" i="2"/>
  <c r="L137" i="2" s="1"/>
  <c r="BX140" i="2"/>
  <c r="L140" i="2" s="1"/>
  <c r="BX142" i="2"/>
  <c r="L142" i="2" s="1"/>
  <c r="BX143" i="2"/>
  <c r="L143" i="2" s="1"/>
  <c r="BX144" i="2"/>
  <c r="L144" i="2" s="1"/>
  <c r="BX145" i="2"/>
  <c r="L145" i="2" s="1"/>
  <c r="BX150" i="2"/>
  <c r="L150" i="2" s="1"/>
  <c r="BX153" i="2"/>
  <c r="L153" i="2" s="1"/>
  <c r="BX154" i="2"/>
  <c r="L154" i="2" s="1"/>
  <c r="BX171" i="2"/>
  <c r="L171" i="2" s="1"/>
  <c r="BX177" i="2"/>
  <c r="L177" i="2" s="1"/>
  <c r="BX117" i="2"/>
  <c r="L117" i="2" s="1"/>
  <c r="AI5" i="68"/>
  <c r="AE5" i="68"/>
  <c r="AA5" i="68"/>
  <c r="W5" i="68"/>
  <c r="S5" i="68"/>
  <c r="O5" i="68"/>
  <c r="K5" i="68"/>
  <c r="G5" i="68"/>
  <c r="C5" i="68"/>
  <c r="AI4" i="68"/>
  <c r="AI2" i="68" s="1"/>
  <c r="AE4" i="68"/>
  <c r="AA4" i="68"/>
  <c r="AA2" i="68" s="1"/>
  <c r="W4" i="68"/>
  <c r="S4" i="68"/>
  <c r="S2" i="68" s="1"/>
  <c r="O4" i="68"/>
  <c r="K4" i="68"/>
  <c r="G4" i="68"/>
  <c r="C4" i="68"/>
  <c r="AI3" i="68"/>
  <c r="AE3" i="68"/>
  <c r="AA3" i="68"/>
  <c r="W3" i="68"/>
  <c r="S3" i="68"/>
  <c r="O3" i="68"/>
  <c r="K3" i="68"/>
  <c r="G3" i="68"/>
  <c r="C3" i="68"/>
  <c r="CG11" i="2"/>
  <c r="CF11" i="2"/>
  <c r="CE11" i="2"/>
  <c r="CD11" i="2"/>
  <c r="CH11" i="2"/>
  <c r="L223" i="2" l="1"/>
  <c r="L327" i="2"/>
  <c r="L212" i="2"/>
  <c r="L298" i="2"/>
  <c r="L183" i="2"/>
  <c r="L338" i="2"/>
  <c r="K2" i="68"/>
  <c r="G2" i="68"/>
  <c r="C2" i="68"/>
  <c r="W2" i="68"/>
  <c r="O2" i="68"/>
  <c r="AE2" i="68"/>
  <c r="BW332" i="2"/>
  <c r="BW333" i="2"/>
  <c r="BW334" i="2"/>
  <c r="BW336" i="2"/>
  <c r="BW337" i="2"/>
  <c r="BW331" i="2"/>
  <c r="BW303" i="2"/>
  <c r="BW304" i="2"/>
  <c r="BW305" i="2"/>
  <c r="BW306" i="2"/>
  <c r="BW307" i="2"/>
  <c r="BW308" i="2"/>
  <c r="BW309" i="2"/>
  <c r="BW310" i="2"/>
  <c r="BW311" i="2"/>
  <c r="BW312" i="2"/>
  <c r="BW313" i="2"/>
  <c r="BW315" i="2"/>
  <c r="BW323" i="2"/>
  <c r="BW302" i="2"/>
  <c r="BW233" i="2"/>
  <c r="BW234" i="2"/>
  <c r="BW235" i="2"/>
  <c r="BW236" i="2"/>
  <c r="BW237" i="2"/>
  <c r="BW238" i="2"/>
  <c r="BW239" i="2"/>
  <c r="BW240" i="2"/>
  <c r="BW241" i="2"/>
  <c r="BW242" i="2"/>
  <c r="BW243" i="2"/>
  <c r="BW244" i="2"/>
  <c r="BW245" i="2"/>
  <c r="BW246" i="2"/>
  <c r="BW247" i="2"/>
  <c r="BW248" i="2"/>
  <c r="BW249" i="2"/>
  <c r="BW250" i="2"/>
  <c r="BW252" i="2"/>
  <c r="BW253" i="2"/>
  <c r="BW254" i="2"/>
  <c r="BW255" i="2"/>
  <c r="BW257" i="2"/>
  <c r="BW258" i="2"/>
  <c r="BW259" i="2"/>
  <c r="BW260" i="2"/>
  <c r="BW261" i="2"/>
  <c r="BW262" i="2"/>
  <c r="BW264" i="2"/>
  <c r="BW265" i="2"/>
  <c r="BW266" i="2"/>
  <c r="BW267" i="2"/>
  <c r="BW268" i="2"/>
  <c r="BW269" i="2"/>
  <c r="BW273" i="2"/>
  <c r="BW275" i="2"/>
  <c r="BW276" i="2"/>
  <c r="BW285" i="2"/>
  <c r="BW286" i="2"/>
  <c r="BW288" i="2"/>
  <c r="BW292" i="2"/>
  <c r="BW295" i="2"/>
  <c r="BW232" i="2"/>
  <c r="BW217" i="2"/>
  <c r="BW218" i="2"/>
  <c r="BW219" i="2"/>
  <c r="BW221" i="2"/>
  <c r="BW216" i="2"/>
  <c r="BW188" i="2"/>
  <c r="BW190" i="2"/>
  <c r="BW191" i="2"/>
  <c r="BW193" i="2"/>
  <c r="BW194" i="2"/>
  <c r="BW187" i="2"/>
  <c r="CH12" i="2"/>
  <c r="CD12" i="2"/>
  <c r="CE12" i="2"/>
  <c r="CF12" i="2"/>
  <c r="CG12" i="2"/>
  <c r="BW118" i="2" l="1"/>
  <c r="K118" i="2" s="1"/>
  <c r="BW119" i="2"/>
  <c r="K119" i="2" s="1"/>
  <c r="BW120" i="2"/>
  <c r="K120" i="2" s="1"/>
  <c r="BW121" i="2"/>
  <c r="BW122" i="2"/>
  <c r="K122" i="2" s="1"/>
  <c r="BW123" i="2"/>
  <c r="K123" i="2" s="1"/>
  <c r="BW124" i="2"/>
  <c r="K124" i="2" s="1"/>
  <c r="BW125" i="2"/>
  <c r="K125" i="2" s="1"/>
  <c r="BW129" i="2"/>
  <c r="K129" i="2" s="1"/>
  <c r="BW130" i="2"/>
  <c r="K130" i="2" s="1"/>
  <c r="BW131" i="2"/>
  <c r="K131" i="2" s="1"/>
  <c r="BW132" i="2"/>
  <c r="K132" i="2" s="1"/>
  <c r="BW133" i="2"/>
  <c r="K133" i="2" s="1"/>
  <c r="BW134" i="2"/>
  <c r="BW135" i="2"/>
  <c r="K135" i="2" s="1"/>
  <c r="BW137" i="2"/>
  <c r="K137" i="2" s="1"/>
  <c r="BW138" i="2"/>
  <c r="K138" i="2" s="1"/>
  <c r="BW139" i="2"/>
  <c r="K139" i="2" s="1"/>
  <c r="BW140" i="2"/>
  <c r="K140" i="2" s="1"/>
  <c r="K141" i="2"/>
  <c r="BW142" i="2"/>
  <c r="K142" i="2" s="1"/>
  <c r="BW144" i="2"/>
  <c r="BW145" i="2"/>
  <c r="K145" i="2" s="1"/>
  <c r="BW146" i="2"/>
  <c r="K146" i="2" s="1"/>
  <c r="K147" i="2"/>
  <c r="K148" i="2"/>
  <c r="K149" i="2"/>
  <c r="K150" i="2"/>
  <c r="BW151" i="2"/>
  <c r="K151" i="2" s="1"/>
  <c r="BW152" i="2"/>
  <c r="K152" i="2" s="1"/>
  <c r="BW153" i="2"/>
  <c r="K153" i="2" s="1"/>
  <c r="BW154" i="2"/>
  <c r="K154" i="2" s="1"/>
  <c r="K155" i="2"/>
  <c r="BW156" i="2"/>
  <c r="K156" i="2" s="1"/>
  <c r="K157" i="2"/>
  <c r="BW158" i="2"/>
  <c r="K158" i="2" s="1"/>
  <c r="K162" i="2"/>
  <c r="K163" i="2"/>
  <c r="K164" i="2"/>
  <c r="K165" i="2"/>
  <c r="BW166" i="2"/>
  <c r="K166" i="2" s="1"/>
  <c r="K171" i="2"/>
  <c r="K172" i="2"/>
  <c r="K173" i="2"/>
  <c r="K174" i="2"/>
  <c r="K175" i="2"/>
  <c r="K176" i="2"/>
  <c r="K178" i="2"/>
  <c r="K179" i="2"/>
  <c r="K180" i="2"/>
  <c r="K181" i="2"/>
  <c r="BW182" i="2"/>
  <c r="BW117" i="2"/>
  <c r="K117" i="2" s="1"/>
  <c r="K103" i="2"/>
  <c r="K105" i="2"/>
  <c r="K107" i="2"/>
  <c r="K101" i="2"/>
  <c r="K75" i="2"/>
  <c r="K78" i="2"/>
  <c r="K79" i="2"/>
  <c r="K80" i="2"/>
  <c r="K83" i="2"/>
  <c r="K84" i="2"/>
  <c r="K86" i="2"/>
  <c r="K87" i="2"/>
  <c r="K88" i="2"/>
  <c r="K91" i="2"/>
  <c r="K92" i="2"/>
  <c r="K94" i="2"/>
  <c r="K95" i="2"/>
  <c r="K96" i="2"/>
  <c r="K72" i="2"/>
  <c r="K6" i="2"/>
  <c r="K7" i="2"/>
  <c r="K8" i="2"/>
  <c r="K13" i="2"/>
  <c r="K14" i="2"/>
  <c r="K15" i="2"/>
  <c r="K16" i="2"/>
  <c r="K21" i="2"/>
  <c r="K22" i="2"/>
  <c r="K23" i="2"/>
  <c r="K24" i="2"/>
  <c r="K28" i="2"/>
  <c r="K30" i="2"/>
  <c r="K31" i="2"/>
  <c r="K32" i="2"/>
  <c r="K37" i="2"/>
  <c r="K38" i="2"/>
  <c r="K39" i="2"/>
  <c r="K40" i="2"/>
  <c r="K41" i="2"/>
  <c r="K45" i="2"/>
  <c r="K46" i="2"/>
  <c r="K47" i="2"/>
  <c r="K48" i="2"/>
  <c r="K52" i="2"/>
  <c r="K53" i="2"/>
  <c r="K54" i="2"/>
  <c r="K55" i="2"/>
  <c r="K56" i="2"/>
  <c r="K57" i="2"/>
  <c r="K60" i="2"/>
  <c r="K62" i="2"/>
  <c r="K63" i="2"/>
  <c r="K64" i="2"/>
  <c r="K65" i="2"/>
  <c r="K66" i="2"/>
  <c r="K332" i="2"/>
  <c r="K333" i="2"/>
  <c r="K334" i="2"/>
  <c r="K335" i="2"/>
  <c r="K336" i="2"/>
  <c r="K337" i="2"/>
  <c r="K331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0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32" i="2"/>
  <c r="K217" i="2"/>
  <c r="K218" i="2"/>
  <c r="K219" i="2"/>
  <c r="K220" i="2"/>
  <c r="K221" i="2"/>
  <c r="K222" i="2"/>
  <c r="K216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187" i="2"/>
  <c r="K121" i="2"/>
  <c r="K126" i="2"/>
  <c r="K127" i="2"/>
  <c r="K128" i="2"/>
  <c r="K134" i="2"/>
  <c r="K136" i="2"/>
  <c r="K143" i="2"/>
  <c r="K144" i="2"/>
  <c r="K159" i="2"/>
  <c r="K160" i="2"/>
  <c r="K161" i="2"/>
  <c r="K167" i="2"/>
  <c r="K168" i="2"/>
  <c r="K169" i="2"/>
  <c r="K170" i="2"/>
  <c r="K177" i="2"/>
  <c r="K182" i="2"/>
  <c r="K102" i="2"/>
  <c r="K104" i="2"/>
  <c r="K106" i="2"/>
  <c r="K73" i="2"/>
  <c r="K74" i="2"/>
  <c r="K76" i="2"/>
  <c r="K77" i="2"/>
  <c r="K81" i="2"/>
  <c r="K82" i="2"/>
  <c r="K85" i="2"/>
  <c r="K89" i="2"/>
  <c r="K90" i="2"/>
  <c r="K93" i="2"/>
  <c r="BW338" i="2"/>
  <c r="BX338" i="2"/>
  <c r="BY338" i="2"/>
  <c r="BZ338" i="2"/>
  <c r="CA338" i="2"/>
  <c r="CB338" i="2"/>
  <c r="BW327" i="2"/>
  <c r="BX327" i="2"/>
  <c r="BY327" i="2"/>
  <c r="BZ327" i="2"/>
  <c r="CA327" i="2"/>
  <c r="CB327" i="2"/>
  <c r="BW298" i="2"/>
  <c r="BX298" i="2"/>
  <c r="BY298" i="2"/>
  <c r="BZ298" i="2"/>
  <c r="CA298" i="2"/>
  <c r="CB298" i="2"/>
  <c r="BW223" i="2"/>
  <c r="BX223" i="2"/>
  <c r="BY223" i="2"/>
  <c r="BZ223" i="2"/>
  <c r="CA223" i="2"/>
  <c r="CB223" i="2"/>
  <c r="BW212" i="2"/>
  <c r="BX212" i="2"/>
  <c r="BY212" i="2"/>
  <c r="BZ212" i="2"/>
  <c r="CA212" i="2"/>
  <c r="CB212" i="2"/>
  <c r="BX183" i="2"/>
  <c r="BY183" i="2"/>
  <c r="BZ183" i="2"/>
  <c r="CA183" i="2"/>
  <c r="CB183" i="2"/>
  <c r="K99" i="2"/>
  <c r="K3" i="2"/>
  <c r="K4" i="2"/>
  <c r="K5" i="2"/>
  <c r="K9" i="2"/>
  <c r="K10" i="2"/>
  <c r="K11" i="2"/>
  <c r="K12" i="2"/>
  <c r="K17" i="2"/>
  <c r="K18" i="2"/>
  <c r="K19" i="2"/>
  <c r="K20" i="2"/>
  <c r="K25" i="2"/>
  <c r="K26" i="2"/>
  <c r="K27" i="2"/>
  <c r="K29" i="2"/>
  <c r="K33" i="2"/>
  <c r="K34" i="2"/>
  <c r="K35" i="2"/>
  <c r="K36" i="2"/>
  <c r="K42" i="2"/>
  <c r="K43" i="2"/>
  <c r="K44" i="2"/>
  <c r="K49" i="2"/>
  <c r="K50" i="2"/>
  <c r="K51" i="2"/>
  <c r="K58" i="2"/>
  <c r="K59" i="2"/>
  <c r="K61" i="2"/>
  <c r="K67" i="2"/>
  <c r="K2" i="2"/>
  <c r="AI5" i="67"/>
  <c r="AE5" i="67"/>
  <c r="AA5" i="67"/>
  <c r="W5" i="67"/>
  <c r="S5" i="67"/>
  <c r="O5" i="67"/>
  <c r="K5" i="67"/>
  <c r="G5" i="67"/>
  <c r="C5" i="67"/>
  <c r="AI4" i="67"/>
  <c r="AE4" i="67"/>
  <c r="AA4" i="67"/>
  <c r="W4" i="67"/>
  <c r="S4" i="67"/>
  <c r="O4" i="67"/>
  <c r="K4" i="67"/>
  <c r="K2" i="67" s="1"/>
  <c r="K109" i="2" s="1"/>
  <c r="G4" i="67"/>
  <c r="C4" i="67"/>
  <c r="AI3" i="67"/>
  <c r="BW340" i="2" s="1"/>
  <c r="K340" i="2" s="1"/>
  <c r="AE3" i="67"/>
  <c r="AE2" i="67" s="1"/>
  <c r="BW328" i="2" s="1"/>
  <c r="K328" i="2" s="1"/>
  <c r="AA3" i="67"/>
  <c r="BW300" i="2" s="1"/>
  <c r="K300" i="2" s="1"/>
  <c r="W3" i="67"/>
  <c r="W2" i="67" s="1"/>
  <c r="BW224" i="2" s="1"/>
  <c r="K224" i="2" s="1"/>
  <c r="S3" i="67"/>
  <c r="BW214" i="2" s="1"/>
  <c r="K214" i="2" s="1"/>
  <c r="O3" i="67"/>
  <c r="K3" i="67"/>
  <c r="K110" i="2" s="1"/>
  <c r="G3" i="67"/>
  <c r="C3" i="67"/>
  <c r="K70" i="2" s="1"/>
  <c r="AI2" i="67"/>
  <c r="BW339" i="2" s="1"/>
  <c r="K339" i="2" s="1"/>
  <c r="G2" i="67"/>
  <c r="K98" i="2" s="1"/>
  <c r="CG13" i="2"/>
  <c r="CF13" i="2"/>
  <c r="CE13" i="2"/>
  <c r="CD13" i="2"/>
  <c r="CH13" i="2"/>
  <c r="BW329" i="2" l="1"/>
  <c r="K329" i="2" s="1"/>
  <c r="K327" i="2"/>
  <c r="AA2" i="67"/>
  <c r="BW299" i="2" s="1"/>
  <c r="K299" i="2" s="1"/>
  <c r="BW225" i="2"/>
  <c r="K225" i="2" s="1"/>
  <c r="K223" i="2"/>
  <c r="S2" i="67"/>
  <c r="BW213" i="2" s="1"/>
  <c r="K213" i="2" s="1"/>
  <c r="K212" i="2"/>
  <c r="O2" i="67"/>
  <c r="C2" i="67"/>
  <c r="K69" i="2" s="1"/>
  <c r="K68" i="2"/>
  <c r="K338" i="2"/>
  <c r="K298" i="2"/>
  <c r="K183" i="2"/>
  <c r="BW183" i="2"/>
  <c r="K108" i="2"/>
  <c r="K97" i="2"/>
  <c r="BV340" i="2"/>
  <c r="BV339" i="2"/>
  <c r="BV332" i="2"/>
  <c r="BV333" i="2"/>
  <c r="BV334" i="2"/>
  <c r="BV336" i="2"/>
  <c r="BV337" i="2"/>
  <c r="BV331" i="2"/>
  <c r="BV329" i="2"/>
  <c r="BV328" i="2"/>
  <c r="CH14" i="2"/>
  <c r="CF14" i="2"/>
  <c r="CG14" i="2"/>
  <c r="CD14" i="2"/>
  <c r="CE14" i="2"/>
  <c r="BW184" i="2" l="1"/>
  <c r="K184" i="2" s="1"/>
  <c r="BW185" i="2"/>
  <c r="K185" i="2" s="1"/>
  <c r="BV303" i="2"/>
  <c r="BV304" i="2"/>
  <c r="BV305" i="2"/>
  <c r="BV306" i="2"/>
  <c r="BV307" i="2"/>
  <c r="BV308" i="2"/>
  <c r="BV309" i="2"/>
  <c r="BV312" i="2"/>
  <c r="BV315" i="2"/>
  <c r="BV316" i="2"/>
  <c r="BV319" i="2"/>
  <c r="BV320" i="2"/>
  <c r="BV302" i="2"/>
  <c r="BV300" i="2"/>
  <c r="BV299" i="2"/>
  <c r="BV233" i="2"/>
  <c r="BV234" i="2"/>
  <c r="BV235" i="2"/>
  <c r="BV236" i="2"/>
  <c r="BV237" i="2"/>
  <c r="BV238" i="2"/>
  <c r="BV239" i="2"/>
  <c r="BV240" i="2"/>
  <c r="BV241" i="2"/>
  <c r="BV242" i="2"/>
  <c r="BV243" i="2"/>
  <c r="BV244" i="2"/>
  <c r="BV245" i="2"/>
  <c r="BV246" i="2"/>
  <c r="BV247" i="2"/>
  <c r="BV248" i="2"/>
  <c r="BV249" i="2"/>
  <c r="BV250" i="2"/>
  <c r="BV251" i="2"/>
  <c r="BV252" i="2"/>
  <c r="BV253" i="2"/>
  <c r="BV254" i="2"/>
  <c r="BV255" i="2"/>
  <c r="BV257" i="2"/>
  <c r="BV258" i="2"/>
  <c r="BV259" i="2"/>
  <c r="BV260" i="2"/>
  <c r="BV261" i="2"/>
  <c r="BV262" i="2"/>
  <c r="BV264" i="2"/>
  <c r="BV265" i="2"/>
  <c r="BV266" i="2"/>
  <c r="BV267" i="2"/>
  <c r="BV268" i="2"/>
  <c r="BV269" i="2"/>
  <c r="BV273" i="2"/>
  <c r="BV275" i="2"/>
  <c r="BV276" i="2"/>
  <c r="BV283" i="2"/>
  <c r="BV285" i="2"/>
  <c r="BV286" i="2"/>
  <c r="BV288" i="2"/>
  <c r="BV292" i="2"/>
  <c r="BV295" i="2"/>
  <c r="BV232" i="2"/>
  <c r="BV225" i="2"/>
  <c r="BV224" i="2"/>
  <c r="BV217" i="2"/>
  <c r="BV218" i="2"/>
  <c r="BV219" i="2"/>
  <c r="BV221" i="2"/>
  <c r="BV222" i="2"/>
  <c r="BV216" i="2"/>
  <c r="BV214" i="2"/>
  <c r="BV213" i="2"/>
  <c r="BV188" i="2"/>
  <c r="BV190" i="2"/>
  <c r="BV191" i="2"/>
  <c r="BV194" i="2"/>
  <c r="BV195" i="2"/>
  <c r="BV197" i="2"/>
  <c r="BV206" i="2"/>
  <c r="BV187" i="2"/>
  <c r="BV185" i="2"/>
  <c r="BV184" i="2"/>
  <c r="BV118" i="2"/>
  <c r="BV119" i="2"/>
  <c r="BV120" i="2"/>
  <c r="BV121" i="2"/>
  <c r="BV122" i="2"/>
  <c r="BV123" i="2"/>
  <c r="BV124" i="2"/>
  <c r="BV125" i="2"/>
  <c r="BV126" i="2"/>
  <c r="BV128" i="2"/>
  <c r="BV130" i="2"/>
  <c r="BV131" i="2"/>
  <c r="BV132" i="2"/>
  <c r="BV133" i="2"/>
  <c r="BV134" i="2"/>
  <c r="BV135" i="2"/>
  <c r="BV137" i="2"/>
  <c r="BV138" i="2"/>
  <c r="BV139" i="2"/>
  <c r="BV140" i="2"/>
  <c r="BV141" i="2"/>
  <c r="BV142" i="2"/>
  <c r="BV144" i="2"/>
  <c r="BV145" i="2"/>
  <c r="BV146" i="2"/>
  <c r="BV147" i="2"/>
  <c r="BV149" i="2"/>
  <c r="BV150" i="2"/>
  <c r="BV152" i="2"/>
  <c r="BV153" i="2"/>
  <c r="BV154" i="2"/>
  <c r="BV155" i="2"/>
  <c r="BV156" i="2"/>
  <c r="BV158" i="2"/>
  <c r="BV159" i="2"/>
  <c r="BV164" i="2"/>
  <c r="BV166" i="2"/>
  <c r="BV171" i="2"/>
  <c r="BV173" i="2"/>
  <c r="BV180" i="2"/>
  <c r="BV182" i="2"/>
  <c r="BV117" i="2"/>
  <c r="BV110" i="2"/>
  <c r="BV109" i="2"/>
  <c r="BV102" i="2"/>
  <c r="BV103" i="2"/>
  <c r="BV104" i="2"/>
  <c r="BV106" i="2"/>
  <c r="BV107" i="2"/>
  <c r="BV101" i="2"/>
  <c r="BV99" i="2"/>
  <c r="BV98" i="2"/>
  <c r="BV73" i="2"/>
  <c r="BV74" i="2"/>
  <c r="BV75" i="2"/>
  <c r="BV76" i="2"/>
  <c r="BV77" i="2"/>
  <c r="BV78" i="2"/>
  <c r="BV79" i="2"/>
  <c r="BV80" i="2"/>
  <c r="BV82" i="2"/>
  <c r="BV85" i="2"/>
  <c r="BV86" i="2"/>
  <c r="BV89" i="2"/>
  <c r="BV90" i="2"/>
  <c r="BV91" i="2"/>
  <c r="BV72" i="2"/>
  <c r="BV70" i="2"/>
  <c r="BV69" i="2"/>
  <c r="CE15" i="2"/>
  <c r="CD15" i="2"/>
  <c r="CG15" i="2"/>
  <c r="CF15" i="2"/>
  <c r="CH15" i="2"/>
  <c r="AI5" i="66" l="1"/>
  <c r="AE5" i="66"/>
  <c r="AA5" i="66"/>
  <c r="W5" i="66"/>
  <c r="S5" i="66"/>
  <c r="O5" i="66"/>
  <c r="K5" i="66"/>
  <c r="G5" i="66"/>
  <c r="C5" i="66"/>
  <c r="AI4" i="66"/>
  <c r="AI2" i="66" s="1"/>
  <c r="AE4" i="66"/>
  <c r="AA4" i="66"/>
  <c r="AA2" i="66" s="1"/>
  <c r="W4" i="66"/>
  <c r="S4" i="66"/>
  <c r="O4" i="66"/>
  <c r="K4" i="66"/>
  <c r="G4" i="66"/>
  <c r="C4" i="66"/>
  <c r="C2" i="66" s="1"/>
  <c r="AI3" i="66"/>
  <c r="AE3" i="66"/>
  <c r="AA3" i="66"/>
  <c r="W3" i="66"/>
  <c r="S3" i="66"/>
  <c r="S2" i="66" s="1"/>
  <c r="O3" i="66"/>
  <c r="K3" i="66"/>
  <c r="K2" i="66" s="1"/>
  <c r="G3" i="66"/>
  <c r="G2" i="66" s="1"/>
  <c r="C3" i="66"/>
  <c r="CH16" i="2"/>
  <c r="CF16" i="2"/>
  <c r="CE16" i="2"/>
  <c r="CG16" i="2"/>
  <c r="CD16" i="2"/>
  <c r="AE2" i="66" l="1"/>
  <c r="W2" i="66"/>
  <c r="O2" i="66"/>
  <c r="BU340" i="2"/>
  <c r="BU339" i="2"/>
  <c r="BU332" i="2"/>
  <c r="BU333" i="2"/>
  <c r="BU334" i="2"/>
  <c r="BU336" i="2"/>
  <c r="BU337" i="2"/>
  <c r="BU331" i="2"/>
  <c r="BU329" i="2"/>
  <c r="BU328" i="2"/>
  <c r="BU303" i="2"/>
  <c r="BU304" i="2"/>
  <c r="BU305" i="2"/>
  <c r="BU306" i="2"/>
  <c r="BU307" i="2"/>
  <c r="BU308" i="2"/>
  <c r="BU309" i="2"/>
  <c r="BU310" i="2"/>
  <c r="BU311" i="2"/>
  <c r="BU312" i="2"/>
  <c r="BU313" i="2"/>
  <c r="BU315" i="2"/>
  <c r="BU323" i="2"/>
  <c r="BU325" i="2"/>
  <c r="BU302" i="2"/>
  <c r="BU300" i="2"/>
  <c r="BU299" i="2"/>
  <c r="BU233" i="2"/>
  <c r="BU234" i="2"/>
  <c r="BU235" i="2"/>
  <c r="BU236" i="2"/>
  <c r="BU237" i="2"/>
  <c r="BU238" i="2"/>
  <c r="BU239" i="2"/>
  <c r="BU240" i="2"/>
  <c r="BU241" i="2"/>
  <c r="BU242" i="2"/>
  <c r="BU243" i="2"/>
  <c r="BU245" i="2"/>
  <c r="BU246" i="2"/>
  <c r="BU247" i="2"/>
  <c r="BU248" i="2"/>
  <c r="BU249" i="2"/>
  <c r="BU250" i="2"/>
  <c r="BU252" i="2"/>
  <c r="BU253" i="2"/>
  <c r="BU254" i="2"/>
  <c r="BU255" i="2"/>
  <c r="BU257" i="2"/>
  <c r="BU258" i="2"/>
  <c r="BU259" i="2"/>
  <c r="BU260" i="2"/>
  <c r="BU261" i="2"/>
  <c r="BU262" i="2"/>
  <c r="BU264" i="2"/>
  <c r="BU265" i="2"/>
  <c r="BU266" i="2"/>
  <c r="BU267" i="2"/>
  <c r="BU268" i="2"/>
  <c r="BU269" i="2"/>
  <c r="BU273" i="2"/>
  <c r="BU274" i="2"/>
  <c r="BU276" i="2"/>
  <c r="BU281" i="2"/>
  <c r="BU286" i="2"/>
  <c r="BU292" i="2"/>
  <c r="BU295" i="2"/>
  <c r="BU232" i="2"/>
  <c r="BU225" i="2"/>
  <c r="BU224" i="2"/>
  <c r="BU217" i="2"/>
  <c r="BU218" i="2"/>
  <c r="BU219" i="2"/>
  <c r="BU221" i="2"/>
  <c r="BU222" i="2"/>
  <c r="BU216" i="2"/>
  <c r="BU214" i="2"/>
  <c r="BU213" i="2"/>
  <c r="BU188" i="2"/>
  <c r="BU190" i="2"/>
  <c r="BU191" i="2"/>
  <c r="BU193" i="2"/>
  <c r="BU194" i="2"/>
  <c r="BU195" i="2"/>
  <c r="BU196" i="2"/>
  <c r="BU206" i="2"/>
  <c r="BU187" i="2"/>
  <c r="BU185" i="2"/>
  <c r="BU184" i="2"/>
  <c r="BU118" i="2"/>
  <c r="BU119" i="2"/>
  <c r="BU120" i="2"/>
  <c r="BU121" i="2"/>
  <c r="BU122" i="2"/>
  <c r="BU123" i="2"/>
  <c r="BU124" i="2"/>
  <c r="BU125" i="2"/>
  <c r="BU128" i="2"/>
  <c r="BU129" i="2"/>
  <c r="BU130" i="2"/>
  <c r="BU131" i="2"/>
  <c r="BU132" i="2"/>
  <c r="BU133" i="2"/>
  <c r="BU134" i="2"/>
  <c r="BU135" i="2"/>
  <c r="BU137" i="2"/>
  <c r="BU138" i="2"/>
  <c r="BU139" i="2"/>
  <c r="BU140" i="2"/>
  <c r="BU142" i="2"/>
  <c r="BU143" i="2"/>
  <c r="BU144" i="2"/>
  <c r="BU147" i="2"/>
  <c r="BU149" i="2"/>
  <c r="BU150" i="2"/>
  <c r="BU151" i="2"/>
  <c r="BU152" i="2"/>
  <c r="BU153" i="2"/>
  <c r="BU154" i="2"/>
  <c r="BU155" i="2"/>
  <c r="BU158" i="2"/>
  <c r="BU160" i="2"/>
  <c r="BU161" i="2"/>
  <c r="BU171" i="2"/>
  <c r="BU175" i="2"/>
  <c r="BU177" i="2"/>
  <c r="BU178" i="2"/>
  <c r="BU180" i="2"/>
  <c r="BU181" i="2"/>
  <c r="BU117" i="2"/>
  <c r="BU110" i="2"/>
  <c r="BU109" i="2"/>
  <c r="BU102" i="2"/>
  <c r="BU103" i="2"/>
  <c r="BU104" i="2"/>
  <c r="BU106" i="2"/>
  <c r="BU107" i="2"/>
  <c r="BU101" i="2"/>
  <c r="BU99" i="2"/>
  <c r="BU98" i="2"/>
  <c r="BU73" i="2"/>
  <c r="BU74" i="2"/>
  <c r="BU75" i="2"/>
  <c r="BU76" i="2"/>
  <c r="BU77" i="2"/>
  <c r="BU78" i="2"/>
  <c r="BU79" i="2"/>
  <c r="BU80" i="2"/>
  <c r="BU81" i="2"/>
  <c r="BU82" i="2"/>
  <c r="BU83" i="2"/>
  <c r="BU85" i="2"/>
  <c r="BU91" i="2"/>
  <c r="BU93" i="2"/>
  <c r="BU95" i="2"/>
  <c r="BU72" i="2"/>
  <c r="BU70" i="2"/>
  <c r="BU69" i="2"/>
  <c r="BT340" i="2"/>
  <c r="BT339" i="2"/>
  <c r="BT332" i="2"/>
  <c r="BT333" i="2"/>
  <c r="BT334" i="2"/>
  <c r="BT336" i="2"/>
  <c r="BT337" i="2"/>
  <c r="BT331" i="2"/>
  <c r="BT329" i="2"/>
  <c r="BT328" i="2"/>
  <c r="BT303" i="2"/>
  <c r="BT304" i="2"/>
  <c r="BT305" i="2"/>
  <c r="BT306" i="2"/>
  <c r="BT307" i="2"/>
  <c r="BT308" i="2"/>
  <c r="BT309" i="2"/>
  <c r="BT312" i="2"/>
  <c r="BT316" i="2"/>
  <c r="BT318" i="2"/>
  <c r="BT320" i="2"/>
  <c r="BT302" i="2"/>
  <c r="BT300" i="2"/>
  <c r="BT299" i="2"/>
  <c r="BT233" i="2"/>
  <c r="BT234" i="2"/>
  <c r="BT235" i="2"/>
  <c r="BT236" i="2"/>
  <c r="BT237" i="2"/>
  <c r="BT238" i="2"/>
  <c r="BT239" i="2"/>
  <c r="BT240" i="2"/>
  <c r="BT241" i="2"/>
  <c r="BT242" i="2"/>
  <c r="BT243" i="2"/>
  <c r="BT244" i="2"/>
  <c r="BT245" i="2"/>
  <c r="BT246" i="2"/>
  <c r="BT247" i="2"/>
  <c r="BT248" i="2"/>
  <c r="BT249" i="2"/>
  <c r="BT250" i="2"/>
  <c r="BT252" i="2"/>
  <c r="BT253" i="2"/>
  <c r="BT254" i="2"/>
  <c r="BT255" i="2"/>
  <c r="BT256" i="2"/>
  <c r="BT257" i="2"/>
  <c r="BT258" i="2"/>
  <c r="BT259" i="2"/>
  <c r="BT260" i="2"/>
  <c r="BT261" i="2"/>
  <c r="BT265" i="2"/>
  <c r="BT266" i="2"/>
  <c r="BT267" i="2"/>
  <c r="BT268" i="2"/>
  <c r="BT269" i="2"/>
  <c r="BT270" i="2"/>
  <c r="BT273" i="2"/>
  <c r="BT274" i="2"/>
  <c r="BT276" i="2"/>
  <c r="BT281" i="2"/>
  <c r="BT286" i="2"/>
  <c r="BT288" i="2"/>
  <c r="BT292" i="2"/>
  <c r="BT294" i="2"/>
  <c r="BT296" i="2"/>
  <c r="BT232" i="2"/>
  <c r="BS232" i="2"/>
  <c r="BT225" i="2"/>
  <c r="BT224" i="2"/>
  <c r="BT217" i="2"/>
  <c r="BT218" i="2"/>
  <c r="BT219" i="2"/>
  <c r="BT221" i="2"/>
  <c r="BT216" i="2"/>
  <c r="BT214" i="2"/>
  <c r="BT213" i="2"/>
  <c r="BT188" i="2"/>
  <c r="BT190" i="2"/>
  <c r="BT191" i="2"/>
  <c r="BT194" i="2"/>
  <c r="BT206" i="2"/>
  <c r="BT210" i="2"/>
  <c r="BT187" i="2"/>
  <c r="BT185" i="2"/>
  <c r="BT184" i="2"/>
  <c r="BT118" i="2"/>
  <c r="BT119" i="2"/>
  <c r="BT120" i="2"/>
  <c r="BT121" i="2"/>
  <c r="BT122" i="2"/>
  <c r="BT123" i="2"/>
  <c r="BT124" i="2"/>
  <c r="BT125" i="2"/>
  <c r="BT126" i="2"/>
  <c r="BT128" i="2"/>
  <c r="BT129" i="2"/>
  <c r="BT130" i="2"/>
  <c r="BT131" i="2"/>
  <c r="BT132" i="2"/>
  <c r="BT133" i="2"/>
  <c r="BT134" i="2"/>
  <c r="BT135" i="2"/>
  <c r="BT138" i="2"/>
  <c r="BT139" i="2"/>
  <c r="BT140" i="2"/>
  <c r="BT142" i="2"/>
  <c r="BT143" i="2"/>
  <c r="BT144" i="2"/>
  <c r="BT146" i="2"/>
  <c r="BT149" i="2"/>
  <c r="BT150" i="2"/>
  <c r="BT154" i="2"/>
  <c r="BT156" i="2"/>
  <c r="BT158" i="2"/>
  <c r="BT160" i="2"/>
  <c r="BT161" i="2"/>
  <c r="BT171" i="2"/>
  <c r="BT181" i="2"/>
  <c r="BT117" i="2"/>
  <c r="BT110" i="2"/>
  <c r="BT109" i="2"/>
  <c r="BT102" i="2"/>
  <c r="BT103" i="2"/>
  <c r="BT104" i="2"/>
  <c r="BT106" i="2"/>
  <c r="BT107" i="2"/>
  <c r="BT101" i="2"/>
  <c r="BS101" i="2"/>
  <c r="BT99" i="2"/>
  <c r="BT98" i="2"/>
  <c r="BT73" i="2"/>
  <c r="BT74" i="2"/>
  <c r="BT75" i="2"/>
  <c r="BT76" i="2"/>
  <c r="BT77" i="2"/>
  <c r="BT78" i="2"/>
  <c r="BT79" i="2"/>
  <c r="BT82" i="2"/>
  <c r="BT86" i="2"/>
  <c r="BT88" i="2"/>
  <c r="BT90" i="2"/>
  <c r="BT91" i="2"/>
  <c r="BT95" i="2"/>
  <c r="BT72" i="2"/>
  <c r="BT70" i="2"/>
  <c r="BT69" i="2"/>
  <c r="CD17" i="2"/>
  <c r="CG17" i="2"/>
  <c r="CE17" i="2"/>
  <c r="CF17" i="2"/>
  <c r="CH17" i="2"/>
  <c r="AI5" i="65" l="1"/>
  <c r="AE5" i="65"/>
  <c r="AA5" i="65"/>
  <c r="W5" i="65"/>
  <c r="S5" i="65"/>
  <c r="O5" i="65"/>
  <c r="K5" i="65"/>
  <c r="G5" i="65"/>
  <c r="C5" i="65"/>
  <c r="AI4" i="65"/>
  <c r="AI2" i="65" s="1"/>
  <c r="AE4" i="65"/>
  <c r="AA4" i="65"/>
  <c r="W4" i="65"/>
  <c r="S4" i="65"/>
  <c r="O4" i="65"/>
  <c r="K4" i="65"/>
  <c r="G4" i="65"/>
  <c r="C4" i="65"/>
  <c r="C2" i="65" s="1"/>
  <c r="AI3" i="65"/>
  <c r="AE3" i="65"/>
  <c r="AE2" i="65" s="1"/>
  <c r="AA3" i="65"/>
  <c r="AA2" i="65" s="1"/>
  <c r="W3" i="65"/>
  <c r="W2" i="65" s="1"/>
  <c r="S3" i="65"/>
  <c r="O3" i="65"/>
  <c r="K3" i="65"/>
  <c r="K2" i="65" s="1"/>
  <c r="G3" i="65"/>
  <c r="C3" i="65"/>
  <c r="AI5" i="64"/>
  <c r="AE5" i="64"/>
  <c r="AA5" i="64"/>
  <c r="W5" i="64"/>
  <c r="S5" i="64"/>
  <c r="O5" i="64"/>
  <c r="K5" i="64"/>
  <c r="G5" i="64"/>
  <c r="C5" i="64"/>
  <c r="AI4" i="64"/>
  <c r="AE4" i="64"/>
  <c r="AE2" i="64" s="1"/>
  <c r="AA4" i="64"/>
  <c r="AA2" i="64" s="1"/>
  <c r="W4" i="64"/>
  <c r="S4" i="64"/>
  <c r="O4" i="64"/>
  <c r="K4" i="64"/>
  <c r="G4" i="64"/>
  <c r="C4" i="64"/>
  <c r="AI3" i="64"/>
  <c r="AI2" i="64" s="1"/>
  <c r="AE3" i="64"/>
  <c r="AA3" i="64"/>
  <c r="W3" i="64"/>
  <c r="S3" i="64"/>
  <c r="O3" i="64"/>
  <c r="O2" i="64" s="1"/>
  <c r="K3" i="64"/>
  <c r="G3" i="64"/>
  <c r="C3" i="64"/>
  <c r="CH18" i="2"/>
  <c r="CF18" i="2"/>
  <c r="CE18" i="2"/>
  <c r="CG18" i="2"/>
  <c r="CD18" i="2"/>
  <c r="W2" i="64" l="1"/>
  <c r="S2" i="65"/>
  <c r="S2" i="64"/>
  <c r="O2" i="65"/>
  <c r="K2" i="64"/>
  <c r="G2" i="65"/>
  <c r="G2" i="64"/>
  <c r="C2" i="64"/>
  <c r="BS340" i="2"/>
  <c r="BS339" i="2"/>
  <c r="BS332" i="2"/>
  <c r="BS333" i="2"/>
  <c r="BS334" i="2"/>
  <c r="BS336" i="2"/>
  <c r="BS337" i="2"/>
  <c r="BS331" i="2"/>
  <c r="BS329" i="2"/>
  <c r="BS328" i="2"/>
  <c r="BS303" i="2"/>
  <c r="BS304" i="2"/>
  <c r="BS305" i="2"/>
  <c r="BS306" i="2"/>
  <c r="BS307" i="2"/>
  <c r="BS308" i="2"/>
  <c r="BS309" i="2"/>
  <c r="BS310" i="2"/>
  <c r="BS311" i="2"/>
  <c r="BS312" i="2"/>
  <c r="BS314" i="2"/>
  <c r="BS315" i="2"/>
  <c r="BS316" i="2"/>
  <c r="BS318" i="2"/>
  <c r="BS320" i="2"/>
  <c r="BS302" i="2"/>
  <c r="BS300" i="2"/>
  <c r="BS299" i="2"/>
  <c r="BS233" i="2"/>
  <c r="BS234" i="2"/>
  <c r="BS235" i="2"/>
  <c r="BS236" i="2"/>
  <c r="BS237" i="2"/>
  <c r="BS238" i="2"/>
  <c r="BS239" i="2"/>
  <c r="BS240" i="2"/>
  <c r="BS241" i="2"/>
  <c r="BS242" i="2"/>
  <c r="BS243" i="2"/>
  <c r="BS244" i="2"/>
  <c r="BS245" i="2"/>
  <c r="BS246" i="2"/>
  <c r="BS247" i="2"/>
  <c r="BS248" i="2"/>
  <c r="BS249" i="2"/>
  <c r="BS250" i="2"/>
  <c r="BS252" i="2"/>
  <c r="BS253" i="2"/>
  <c r="BS254" i="2"/>
  <c r="BS255" i="2"/>
  <c r="BS256" i="2"/>
  <c r="BS257" i="2"/>
  <c r="BS258" i="2"/>
  <c r="BS259" i="2"/>
  <c r="BS261" i="2"/>
  <c r="BS262" i="2"/>
  <c r="BS264" i="2"/>
  <c r="BS265" i="2"/>
  <c r="BS266" i="2"/>
  <c r="BS267" i="2"/>
  <c r="BS268" i="2"/>
  <c r="BS269" i="2"/>
  <c r="BS270" i="2"/>
  <c r="BS271" i="2"/>
  <c r="BS273" i="2"/>
  <c r="BS276" i="2"/>
  <c r="BS286" i="2"/>
  <c r="BS287" i="2"/>
  <c r="BS288" i="2"/>
  <c r="BS290" i="2"/>
  <c r="BS292" i="2"/>
  <c r="BS293" i="2"/>
  <c r="BS295" i="2"/>
  <c r="BS296" i="2"/>
  <c r="BS225" i="2"/>
  <c r="BS224" i="2"/>
  <c r="BS217" i="2"/>
  <c r="BS218" i="2"/>
  <c r="BS221" i="2"/>
  <c r="BS222" i="2"/>
  <c r="BS216" i="2"/>
  <c r="BS214" i="2"/>
  <c r="BS213" i="2"/>
  <c r="BS188" i="2"/>
  <c r="BS189" i="2"/>
  <c r="BS190" i="2"/>
  <c r="BS191" i="2"/>
  <c r="BS193" i="2"/>
  <c r="BS194" i="2"/>
  <c r="BS196" i="2"/>
  <c r="BS205" i="2"/>
  <c r="BS206" i="2"/>
  <c r="BS187" i="2"/>
  <c r="BS185" i="2"/>
  <c r="BS184" i="2"/>
  <c r="BS118" i="2"/>
  <c r="BS119" i="2"/>
  <c r="BS120" i="2"/>
  <c r="BS121" i="2"/>
  <c r="BS122" i="2"/>
  <c r="BS123" i="2"/>
  <c r="BS124" i="2"/>
  <c r="BS125" i="2"/>
  <c r="BS130" i="2"/>
  <c r="BS131" i="2"/>
  <c r="BS132" i="2"/>
  <c r="BS133" i="2"/>
  <c r="BS134" i="2"/>
  <c r="BS135" i="2"/>
  <c r="BS136" i="2"/>
  <c r="BS137" i="2"/>
  <c r="BS138" i="2"/>
  <c r="BS139" i="2"/>
  <c r="BS140" i="2"/>
  <c r="BS142" i="2"/>
  <c r="BS143" i="2"/>
  <c r="BS144" i="2"/>
  <c r="BS145" i="2"/>
  <c r="BS146" i="2"/>
  <c r="BS150" i="2"/>
  <c r="BS152" i="2"/>
  <c r="BS153" i="2"/>
  <c r="BS154" i="2"/>
  <c r="BS155" i="2"/>
  <c r="BS156" i="2"/>
  <c r="BS158" i="2"/>
  <c r="BS171" i="2"/>
  <c r="BS172" i="2"/>
  <c r="BS117" i="2"/>
  <c r="BS110" i="2"/>
  <c r="BS109" i="2"/>
  <c r="BS102" i="2"/>
  <c r="BS103" i="2"/>
  <c r="BS104" i="2"/>
  <c r="BS106" i="2"/>
  <c r="BS107" i="2"/>
  <c r="BS99" i="2"/>
  <c r="BS98" i="2"/>
  <c r="BS73" i="2"/>
  <c r="BS74" i="2"/>
  <c r="BS75" i="2"/>
  <c r="BS76" i="2"/>
  <c r="BS77" i="2"/>
  <c r="BS78" i="2"/>
  <c r="BS79" i="2"/>
  <c r="BS80" i="2"/>
  <c r="BS81" i="2"/>
  <c r="BS82" i="2"/>
  <c r="BS84" i="2"/>
  <c r="BS85" i="2"/>
  <c r="BS86" i="2"/>
  <c r="BS88" i="2"/>
  <c r="BS90" i="2"/>
  <c r="BS91" i="2"/>
  <c r="BS72" i="2"/>
  <c r="BS70" i="2"/>
  <c r="BS69" i="2"/>
  <c r="CD19" i="2"/>
  <c r="CG19" i="2"/>
  <c r="CE19" i="2"/>
  <c r="CF19" i="2"/>
  <c r="CH19" i="2"/>
  <c r="AI5" i="63" l="1"/>
  <c r="AE5" i="63"/>
  <c r="AA5" i="63"/>
  <c r="W5" i="63"/>
  <c r="S5" i="63"/>
  <c r="O5" i="63"/>
  <c r="K5" i="63"/>
  <c r="G5" i="63"/>
  <c r="C5" i="63"/>
  <c r="AI4" i="63"/>
  <c r="AI2" i="63" s="1"/>
  <c r="AE4" i="63"/>
  <c r="AE2" i="63" s="1"/>
  <c r="AA4" i="63"/>
  <c r="W4" i="63"/>
  <c r="S4" i="63"/>
  <c r="S2" i="63" s="1"/>
  <c r="O4" i="63"/>
  <c r="K4" i="63"/>
  <c r="G4" i="63"/>
  <c r="C4" i="63"/>
  <c r="C2" i="63" s="1"/>
  <c r="AI3" i="63"/>
  <c r="AE3" i="63"/>
  <c r="AA3" i="63"/>
  <c r="W3" i="63"/>
  <c r="S3" i="63"/>
  <c r="O3" i="63"/>
  <c r="K3" i="63"/>
  <c r="G3" i="63"/>
  <c r="G2" i="63" s="1"/>
  <c r="C3" i="63"/>
  <c r="AA2" i="63"/>
  <c r="O2" i="63"/>
  <c r="K2" i="63"/>
  <c r="CH20" i="2"/>
  <c r="CF20" i="2"/>
  <c r="CD20" i="2"/>
  <c r="CE20" i="2"/>
  <c r="CG20" i="2"/>
  <c r="W2" i="63" l="1"/>
  <c r="J335" i="2"/>
  <c r="J311" i="2"/>
  <c r="J314" i="2"/>
  <c r="J317" i="2"/>
  <c r="J319" i="2"/>
  <c r="J320" i="2"/>
  <c r="J321" i="2"/>
  <c r="J322" i="2"/>
  <c r="J324" i="2"/>
  <c r="J325" i="2"/>
  <c r="J326" i="2"/>
  <c r="J256" i="2"/>
  <c r="J263" i="2"/>
  <c r="J272" i="2"/>
  <c r="J275" i="2"/>
  <c r="J278" i="2"/>
  <c r="J279" i="2"/>
  <c r="J280" i="2"/>
  <c r="J281" i="2"/>
  <c r="J282" i="2"/>
  <c r="J284" i="2"/>
  <c r="J287" i="2"/>
  <c r="J290" i="2"/>
  <c r="J291" i="2"/>
  <c r="J295" i="2"/>
  <c r="CG21" i="2"/>
  <c r="CE21" i="2"/>
  <c r="CD21" i="2"/>
  <c r="CF21" i="2"/>
  <c r="CH21" i="2"/>
  <c r="BR340" i="2" l="1"/>
  <c r="BR339" i="2"/>
  <c r="BR332" i="2"/>
  <c r="BR333" i="2"/>
  <c r="BR334" i="2"/>
  <c r="BR336" i="2"/>
  <c r="BR337" i="2"/>
  <c r="BR331" i="2"/>
  <c r="BR329" i="2"/>
  <c r="BR328" i="2"/>
  <c r="BR303" i="2"/>
  <c r="BR304" i="2"/>
  <c r="BR305" i="2"/>
  <c r="BR306" i="2"/>
  <c r="BR307" i="2"/>
  <c r="BR308" i="2"/>
  <c r="BR309" i="2"/>
  <c r="BR312" i="2"/>
  <c r="BR315" i="2"/>
  <c r="BR316" i="2"/>
  <c r="BR302" i="2"/>
  <c r="BR300" i="2"/>
  <c r="BR299" i="2"/>
  <c r="BR233" i="2"/>
  <c r="BR234" i="2"/>
  <c r="BR235" i="2"/>
  <c r="BR236" i="2"/>
  <c r="BR237" i="2"/>
  <c r="BR238" i="2"/>
  <c r="BR239" i="2"/>
  <c r="BR240" i="2"/>
  <c r="BR241" i="2"/>
  <c r="BR242" i="2"/>
  <c r="BR243" i="2"/>
  <c r="BR244" i="2"/>
  <c r="BR245" i="2"/>
  <c r="BR246" i="2"/>
  <c r="BR247" i="2"/>
  <c r="BR248" i="2"/>
  <c r="BR249" i="2"/>
  <c r="BR250" i="2"/>
  <c r="BR252" i="2"/>
  <c r="BR253" i="2"/>
  <c r="BR254" i="2"/>
  <c r="BR255" i="2"/>
  <c r="BR257" i="2"/>
  <c r="BR258" i="2"/>
  <c r="BR259" i="2"/>
  <c r="BR260" i="2"/>
  <c r="BR261" i="2"/>
  <c r="BR262" i="2"/>
  <c r="BR265" i="2"/>
  <c r="BR266" i="2"/>
  <c r="BR267" i="2"/>
  <c r="BR268" i="2"/>
  <c r="BR269" i="2"/>
  <c r="BR271" i="2"/>
  <c r="J271" i="2" s="1"/>
  <c r="BR273" i="2"/>
  <c r="BR283" i="2"/>
  <c r="BR286" i="2"/>
  <c r="BR288" i="2"/>
  <c r="BR292" i="2"/>
  <c r="BR294" i="2"/>
  <c r="BR297" i="2"/>
  <c r="BR232" i="2"/>
  <c r="BR225" i="2"/>
  <c r="BR224" i="2"/>
  <c r="BR217" i="2"/>
  <c r="BR218" i="2"/>
  <c r="BR221" i="2"/>
  <c r="BR222" i="2"/>
  <c r="BR216" i="2"/>
  <c r="BR214" i="2"/>
  <c r="BR213" i="2"/>
  <c r="BR188" i="2"/>
  <c r="BR190" i="2"/>
  <c r="BR191" i="2"/>
  <c r="BR193" i="2"/>
  <c r="BR206" i="2"/>
  <c r="BR207" i="2"/>
  <c r="BR187" i="2"/>
  <c r="BR185" i="2"/>
  <c r="BR184" i="2"/>
  <c r="BR118" i="2"/>
  <c r="BR119" i="2"/>
  <c r="BR120" i="2"/>
  <c r="BR121" i="2"/>
  <c r="BR122" i="2"/>
  <c r="BR123" i="2"/>
  <c r="BR124" i="2"/>
  <c r="BR126" i="2"/>
  <c r="BR128" i="2"/>
  <c r="BR129" i="2"/>
  <c r="BR130" i="2"/>
  <c r="BR131" i="2"/>
  <c r="BR133" i="2"/>
  <c r="BR134" i="2"/>
  <c r="BR135" i="2"/>
  <c r="BR138" i="2"/>
  <c r="BR139" i="2"/>
  <c r="BR140" i="2"/>
  <c r="BR141" i="2"/>
  <c r="BR142" i="2"/>
  <c r="BR143" i="2"/>
  <c r="BR144" i="2"/>
  <c r="BR145" i="2"/>
  <c r="BR146" i="2"/>
  <c r="BR147" i="2"/>
  <c r="BR150" i="2"/>
  <c r="BR152" i="2"/>
  <c r="BR153" i="2"/>
  <c r="BR154" i="2"/>
  <c r="BR155" i="2"/>
  <c r="BR156" i="2"/>
  <c r="BR158" i="2"/>
  <c r="BR161" i="2"/>
  <c r="BR164" i="2"/>
  <c r="BR171" i="2"/>
  <c r="BR174" i="2"/>
  <c r="BR175" i="2"/>
  <c r="BR180" i="2"/>
  <c r="BR181" i="2"/>
  <c r="BR117" i="2"/>
  <c r="BR110" i="2"/>
  <c r="BR109" i="2"/>
  <c r="BR102" i="2"/>
  <c r="BR103" i="2"/>
  <c r="BR104" i="2"/>
  <c r="BR106" i="2"/>
  <c r="BR107" i="2"/>
  <c r="BR101" i="2"/>
  <c r="BR99" i="2"/>
  <c r="BR98" i="2"/>
  <c r="BR73" i="2"/>
  <c r="BR74" i="2"/>
  <c r="BR75" i="2"/>
  <c r="BR76" i="2"/>
  <c r="BR77" i="2"/>
  <c r="BR78" i="2"/>
  <c r="BR82" i="2"/>
  <c r="BR85" i="2"/>
  <c r="BR86" i="2"/>
  <c r="BR88" i="2"/>
  <c r="BR90" i="2"/>
  <c r="BR91" i="2"/>
  <c r="BR92" i="2"/>
  <c r="BR72" i="2"/>
  <c r="BR70" i="2"/>
  <c r="BR69" i="2"/>
  <c r="AI5" i="61"/>
  <c r="AE5" i="61"/>
  <c r="AA5" i="61"/>
  <c r="W5" i="61"/>
  <c r="S5" i="61"/>
  <c r="O5" i="61"/>
  <c r="K5" i="61"/>
  <c r="G5" i="61"/>
  <c r="C5" i="61"/>
  <c r="AI4" i="61"/>
  <c r="AE4" i="61"/>
  <c r="AE2" i="61" s="1"/>
  <c r="AA4" i="61"/>
  <c r="AA2" i="61" s="1"/>
  <c r="W4" i="61"/>
  <c r="S4" i="61"/>
  <c r="S2" i="61" s="1"/>
  <c r="O4" i="61"/>
  <c r="K4" i="61"/>
  <c r="G4" i="61"/>
  <c r="C4" i="61"/>
  <c r="AI3" i="61"/>
  <c r="AE3" i="61"/>
  <c r="AA3" i="61"/>
  <c r="W3" i="61"/>
  <c r="S3" i="61"/>
  <c r="O3" i="61"/>
  <c r="O2" i="61" s="1"/>
  <c r="K3" i="61"/>
  <c r="K2" i="61" s="1"/>
  <c r="G3" i="61"/>
  <c r="C3" i="61"/>
  <c r="CH22" i="2"/>
  <c r="CF22" i="2"/>
  <c r="CD22" i="2"/>
  <c r="CE22" i="2"/>
  <c r="CG22" i="2"/>
  <c r="AI2" i="61" l="1"/>
  <c r="W2" i="61"/>
  <c r="G2" i="61"/>
  <c r="C2" i="61"/>
  <c r="BQ340" i="2"/>
  <c r="BQ339" i="2"/>
  <c r="BQ332" i="2"/>
  <c r="BQ333" i="2"/>
  <c r="BQ334" i="2"/>
  <c r="BQ336" i="2"/>
  <c r="BQ337" i="2"/>
  <c r="BQ331" i="2"/>
  <c r="BP328" i="2"/>
  <c r="BQ329" i="2"/>
  <c r="BQ328" i="2"/>
  <c r="BQ303" i="2"/>
  <c r="BQ304" i="2"/>
  <c r="BQ305" i="2"/>
  <c r="BQ306" i="2"/>
  <c r="BQ307" i="2"/>
  <c r="BQ308" i="2"/>
  <c r="BQ309" i="2"/>
  <c r="BQ310" i="2"/>
  <c r="J310" i="2" s="1"/>
  <c r="BQ312" i="2"/>
  <c r="BQ313" i="2"/>
  <c r="BQ315" i="2"/>
  <c r="J315" i="2" s="1"/>
  <c r="BQ316" i="2"/>
  <c r="BQ318" i="2"/>
  <c r="BQ323" i="2"/>
  <c r="BQ302" i="2"/>
  <c r="BQ300" i="2"/>
  <c r="BQ299" i="2"/>
  <c r="BQ233" i="2"/>
  <c r="BQ234" i="2"/>
  <c r="BQ235" i="2"/>
  <c r="BQ236" i="2"/>
  <c r="BQ237" i="2"/>
  <c r="BQ238" i="2"/>
  <c r="BQ239" i="2"/>
  <c r="BQ240" i="2"/>
  <c r="BQ241" i="2"/>
  <c r="J241" i="2" s="1"/>
  <c r="BQ242" i="2"/>
  <c r="BQ243" i="2"/>
  <c r="BQ244" i="2"/>
  <c r="BQ245" i="2"/>
  <c r="BQ246" i="2"/>
  <c r="BQ247" i="2"/>
  <c r="BQ248" i="2"/>
  <c r="BQ249" i="2"/>
  <c r="BQ250" i="2"/>
  <c r="BQ252" i="2"/>
  <c r="BQ253" i="2"/>
  <c r="BQ254" i="2"/>
  <c r="BQ255" i="2"/>
  <c r="BQ257" i="2"/>
  <c r="BQ258" i="2"/>
  <c r="BQ259" i="2"/>
  <c r="BQ260" i="2"/>
  <c r="BQ261" i="2"/>
  <c r="BQ262" i="2"/>
  <c r="BQ264" i="2"/>
  <c r="BQ265" i="2"/>
  <c r="BQ266" i="2"/>
  <c r="BQ268" i="2"/>
  <c r="BQ269" i="2"/>
  <c r="BQ273" i="2"/>
  <c r="BQ274" i="2"/>
  <c r="J274" i="2" s="1"/>
  <c r="BQ276" i="2"/>
  <c r="BQ285" i="2"/>
  <c r="BQ286" i="2"/>
  <c r="BQ288" i="2"/>
  <c r="BQ289" i="2"/>
  <c r="J289" i="2" s="1"/>
  <c r="BQ292" i="2"/>
  <c r="BQ293" i="2"/>
  <c r="J293" i="2" s="1"/>
  <c r="BQ294" i="2"/>
  <c r="J294" i="2" s="1"/>
  <c r="BQ296" i="2"/>
  <c r="J296" i="2" s="1"/>
  <c r="BQ232" i="2"/>
  <c r="BQ225" i="2"/>
  <c r="BQ224" i="2"/>
  <c r="BQ217" i="2"/>
  <c r="BQ218" i="2"/>
  <c r="BQ219" i="2"/>
  <c r="BQ221" i="2"/>
  <c r="BQ222" i="2"/>
  <c r="BQ216" i="2"/>
  <c r="BQ214" i="2"/>
  <c r="BQ213" i="2"/>
  <c r="BQ188" i="2"/>
  <c r="BQ189" i="2"/>
  <c r="BQ190" i="2"/>
  <c r="BQ192" i="2"/>
  <c r="BQ194" i="2"/>
  <c r="BQ195" i="2"/>
  <c r="BQ200" i="2"/>
  <c r="BQ201" i="2"/>
  <c r="BQ206" i="2"/>
  <c r="BQ187" i="2"/>
  <c r="BQ185" i="2"/>
  <c r="BQ184" i="2"/>
  <c r="BQ118" i="2"/>
  <c r="BQ119" i="2"/>
  <c r="BQ120" i="2"/>
  <c r="BQ121" i="2"/>
  <c r="BQ122" i="2"/>
  <c r="BQ123" i="2"/>
  <c r="BQ124" i="2"/>
  <c r="BQ125" i="2"/>
  <c r="BQ128" i="2"/>
  <c r="BQ129" i="2"/>
  <c r="BQ130" i="2"/>
  <c r="BQ131" i="2"/>
  <c r="BQ132" i="2"/>
  <c r="BQ133" i="2"/>
  <c r="BQ134" i="2"/>
  <c r="BQ135" i="2"/>
  <c r="BQ137" i="2"/>
  <c r="BQ139" i="2"/>
  <c r="BQ140" i="2"/>
  <c r="BQ142" i="2"/>
  <c r="BQ143" i="2"/>
  <c r="BQ144" i="2"/>
  <c r="BQ145" i="2"/>
  <c r="BQ149" i="2"/>
  <c r="BQ150" i="2"/>
  <c r="BQ151" i="2"/>
  <c r="BQ152" i="2"/>
  <c r="BQ153" i="2"/>
  <c r="BQ154" i="2"/>
  <c r="BQ155" i="2"/>
  <c r="BQ156" i="2"/>
  <c r="BQ158" i="2"/>
  <c r="BQ162" i="2"/>
  <c r="BQ170" i="2"/>
  <c r="BQ172" i="2"/>
  <c r="BQ173" i="2"/>
  <c r="BQ178" i="2"/>
  <c r="BQ179" i="2"/>
  <c r="BQ181" i="2"/>
  <c r="BQ117" i="2"/>
  <c r="BQ110" i="2"/>
  <c r="BQ109" i="2"/>
  <c r="BQ102" i="2"/>
  <c r="BQ103" i="2"/>
  <c r="BQ104" i="2"/>
  <c r="BQ106" i="2"/>
  <c r="BQ107" i="2"/>
  <c r="BP102" i="2"/>
  <c r="BP103" i="2"/>
  <c r="BP104" i="2"/>
  <c r="BP106" i="2"/>
  <c r="BP107" i="2"/>
  <c r="BP101" i="2"/>
  <c r="BQ101" i="2"/>
  <c r="BQ99" i="2"/>
  <c r="BQ98" i="2"/>
  <c r="BQ73" i="2"/>
  <c r="BQ74" i="2"/>
  <c r="BQ75" i="2"/>
  <c r="BQ76" i="2"/>
  <c r="BQ77" i="2"/>
  <c r="BQ78" i="2"/>
  <c r="BQ79" i="2"/>
  <c r="BQ80" i="2"/>
  <c r="BQ82" i="2"/>
  <c r="BQ83" i="2"/>
  <c r="BQ85" i="2"/>
  <c r="BQ86" i="2"/>
  <c r="BQ88" i="2"/>
  <c r="BQ91" i="2"/>
  <c r="BQ93" i="2"/>
  <c r="BQ72" i="2"/>
  <c r="BQ70" i="2"/>
  <c r="BQ69" i="2"/>
  <c r="AI5" i="60"/>
  <c r="AE5" i="60"/>
  <c r="AA5" i="60"/>
  <c r="W5" i="60"/>
  <c r="S5" i="60"/>
  <c r="O5" i="60"/>
  <c r="K5" i="60"/>
  <c r="G5" i="60"/>
  <c r="C5" i="60"/>
  <c r="AI4" i="60"/>
  <c r="AE4" i="60"/>
  <c r="AE2" i="60" s="1"/>
  <c r="AA4" i="60"/>
  <c r="W4" i="60"/>
  <c r="S4" i="60"/>
  <c r="O4" i="60"/>
  <c r="K4" i="60"/>
  <c r="G4" i="60"/>
  <c r="C4" i="60"/>
  <c r="AI3" i="60"/>
  <c r="AI2" i="60" s="1"/>
  <c r="AE3" i="60"/>
  <c r="AA3" i="60"/>
  <c r="AA2" i="60" s="1"/>
  <c r="W3" i="60"/>
  <c r="W2" i="60" s="1"/>
  <c r="S3" i="60"/>
  <c r="O3" i="60"/>
  <c r="O2" i="60" s="1"/>
  <c r="K3" i="60"/>
  <c r="G3" i="60"/>
  <c r="G2" i="60" s="1"/>
  <c r="C3" i="60"/>
  <c r="CG23" i="2"/>
  <c r="CE23" i="2"/>
  <c r="CD23" i="2"/>
  <c r="CH23" i="2"/>
  <c r="CF23" i="2"/>
  <c r="BQ108" i="2" l="1"/>
  <c r="S2" i="60"/>
  <c r="K2" i="60"/>
  <c r="C2" i="60"/>
  <c r="BP332" i="2"/>
  <c r="J332" i="2" s="1"/>
  <c r="BP333" i="2"/>
  <c r="J333" i="2" s="1"/>
  <c r="BP334" i="2"/>
  <c r="J334" i="2" s="1"/>
  <c r="BP336" i="2"/>
  <c r="J336" i="2" s="1"/>
  <c r="BP337" i="2"/>
  <c r="J337" i="2" s="1"/>
  <c r="BP331" i="2"/>
  <c r="BP303" i="2"/>
  <c r="BP304" i="2"/>
  <c r="J304" i="2" s="1"/>
  <c r="BP305" i="2"/>
  <c r="J305" i="2" s="1"/>
  <c r="BP306" i="2"/>
  <c r="J306" i="2" s="1"/>
  <c r="BP307" i="2"/>
  <c r="J307" i="2" s="1"/>
  <c r="BP308" i="2"/>
  <c r="J308" i="2" s="1"/>
  <c r="BP309" i="2"/>
  <c r="J309" i="2" s="1"/>
  <c r="BP312" i="2"/>
  <c r="J312" i="2" s="1"/>
  <c r="BP313" i="2"/>
  <c r="J313" i="2" s="1"/>
  <c r="BP316" i="2"/>
  <c r="J316" i="2" s="1"/>
  <c r="BP318" i="2"/>
  <c r="J318" i="2" s="1"/>
  <c r="BP323" i="2"/>
  <c r="J323" i="2" s="1"/>
  <c r="BP233" i="2"/>
  <c r="J233" i="2" s="1"/>
  <c r="BP234" i="2"/>
  <c r="J234" i="2" s="1"/>
  <c r="BP235" i="2"/>
  <c r="J235" i="2" s="1"/>
  <c r="BP236" i="2"/>
  <c r="J236" i="2" s="1"/>
  <c r="BP237" i="2"/>
  <c r="J237" i="2" s="1"/>
  <c r="BP238" i="2"/>
  <c r="J238" i="2" s="1"/>
  <c r="BP239" i="2"/>
  <c r="BP240" i="2"/>
  <c r="J240" i="2" s="1"/>
  <c r="BP242" i="2"/>
  <c r="J242" i="2" s="1"/>
  <c r="BP243" i="2"/>
  <c r="J243" i="2" s="1"/>
  <c r="BP244" i="2"/>
  <c r="J244" i="2" s="1"/>
  <c r="BP245" i="2"/>
  <c r="J245" i="2" s="1"/>
  <c r="BP246" i="2"/>
  <c r="J246" i="2" s="1"/>
  <c r="BP247" i="2"/>
  <c r="J247" i="2" s="1"/>
  <c r="BP248" i="2"/>
  <c r="J248" i="2" s="1"/>
  <c r="BP249" i="2"/>
  <c r="J249" i="2" s="1"/>
  <c r="BP250" i="2"/>
  <c r="J250" i="2" s="1"/>
  <c r="BP251" i="2"/>
  <c r="J251" i="2" s="1"/>
  <c r="BP252" i="2"/>
  <c r="J252" i="2" s="1"/>
  <c r="BP253" i="2"/>
  <c r="J253" i="2" s="1"/>
  <c r="BP254" i="2"/>
  <c r="J254" i="2" s="1"/>
  <c r="BP255" i="2"/>
  <c r="J255" i="2" s="1"/>
  <c r="BP257" i="2"/>
  <c r="J257" i="2" s="1"/>
  <c r="BP258" i="2"/>
  <c r="J258" i="2" s="1"/>
  <c r="BP259" i="2"/>
  <c r="J259" i="2" s="1"/>
  <c r="BP260" i="2"/>
  <c r="J260" i="2" s="1"/>
  <c r="BP261" i="2"/>
  <c r="J261" i="2" s="1"/>
  <c r="BP262" i="2"/>
  <c r="J262" i="2" s="1"/>
  <c r="BP264" i="2"/>
  <c r="J264" i="2" s="1"/>
  <c r="BP265" i="2"/>
  <c r="J265" i="2" s="1"/>
  <c r="BP266" i="2"/>
  <c r="J266" i="2" s="1"/>
  <c r="BP267" i="2"/>
  <c r="J267" i="2" s="1"/>
  <c r="BP268" i="2"/>
  <c r="J268" i="2" s="1"/>
  <c r="BP269" i="2"/>
  <c r="J269" i="2" s="1"/>
  <c r="BP270" i="2"/>
  <c r="J270" i="2" s="1"/>
  <c r="BP273" i="2"/>
  <c r="J273" i="2" s="1"/>
  <c r="BP276" i="2"/>
  <c r="J276" i="2" s="1"/>
  <c r="BP277" i="2"/>
  <c r="J277" i="2" s="1"/>
  <c r="BP283" i="2"/>
  <c r="J283" i="2" s="1"/>
  <c r="BP285" i="2"/>
  <c r="J285" i="2" s="1"/>
  <c r="BP286" i="2"/>
  <c r="J286" i="2" s="1"/>
  <c r="BP288" i="2"/>
  <c r="J288" i="2" s="1"/>
  <c r="BP292" i="2"/>
  <c r="J292" i="2" s="1"/>
  <c r="BP297" i="2"/>
  <c r="J297" i="2" s="1"/>
  <c r="BP217" i="2"/>
  <c r="BP218" i="2"/>
  <c r="J218" i="2" s="1"/>
  <c r="J221" i="2"/>
  <c r="BP188" i="2"/>
  <c r="J188" i="2" s="1"/>
  <c r="BP190" i="2"/>
  <c r="J190" i="2" s="1"/>
  <c r="BP191" i="2"/>
  <c r="J191" i="2" s="1"/>
  <c r="BP192" i="2"/>
  <c r="J192" i="2" s="1"/>
  <c r="BP193" i="2"/>
  <c r="BP194" i="2"/>
  <c r="BP198" i="2"/>
  <c r="J198" i="2" s="1"/>
  <c r="BP200" i="2"/>
  <c r="J200" i="2" s="1"/>
  <c r="BP205" i="2"/>
  <c r="J205" i="2" s="1"/>
  <c r="BP206" i="2"/>
  <c r="J206" i="2" s="1"/>
  <c r="BP208" i="2"/>
  <c r="J208" i="2" s="1"/>
  <c r="BP118" i="2"/>
  <c r="BP119" i="2"/>
  <c r="BP120" i="2"/>
  <c r="J120" i="2" s="1"/>
  <c r="BP121" i="2"/>
  <c r="J121" i="2" s="1"/>
  <c r="BP122" i="2"/>
  <c r="J122" i="2" s="1"/>
  <c r="BP123" i="2"/>
  <c r="J123" i="2" s="1"/>
  <c r="BP124" i="2"/>
  <c r="J124" i="2" s="1"/>
  <c r="BP125" i="2"/>
  <c r="J125" i="2" s="1"/>
  <c r="J126" i="2"/>
  <c r="BP128" i="2"/>
  <c r="J128" i="2" s="1"/>
  <c r="BP129" i="2"/>
  <c r="J129" i="2" s="1"/>
  <c r="BP130" i="2"/>
  <c r="BP131" i="2"/>
  <c r="J131" i="2" s="1"/>
  <c r="BP132" i="2"/>
  <c r="J132" i="2" s="1"/>
  <c r="BP133" i="2"/>
  <c r="J133" i="2" s="1"/>
  <c r="BP134" i="2"/>
  <c r="J134" i="2" s="1"/>
  <c r="BP135" i="2"/>
  <c r="J135" i="2" s="1"/>
  <c r="BP136" i="2"/>
  <c r="J136" i="2" s="1"/>
  <c r="J137" i="2"/>
  <c r="BP139" i="2"/>
  <c r="J139" i="2" s="1"/>
  <c r="BP140" i="2"/>
  <c r="J140" i="2" s="1"/>
  <c r="BP142" i="2"/>
  <c r="J142" i="2" s="1"/>
  <c r="BP143" i="2"/>
  <c r="J143" i="2" s="1"/>
  <c r="BP144" i="2"/>
  <c r="J144" i="2" s="1"/>
  <c r="BP145" i="2"/>
  <c r="J145" i="2" s="1"/>
  <c r="BP150" i="2"/>
  <c r="J150" i="2" s="1"/>
  <c r="BP152" i="2"/>
  <c r="BP153" i="2"/>
  <c r="J153" i="2" s="1"/>
  <c r="BP154" i="2"/>
  <c r="J154" i="2" s="1"/>
  <c r="BP155" i="2"/>
  <c r="J155" i="2" s="1"/>
  <c r="BP156" i="2"/>
  <c r="J156" i="2" s="1"/>
  <c r="BP158" i="2"/>
  <c r="J158" i="2" s="1"/>
  <c r="BP161" i="2"/>
  <c r="J161" i="2" s="1"/>
  <c r="J163" i="2"/>
  <c r="J166" i="2"/>
  <c r="J169" i="2"/>
  <c r="BP170" i="2"/>
  <c r="J170" i="2" s="1"/>
  <c r="BP171" i="2"/>
  <c r="J171" i="2" s="1"/>
  <c r="BP172" i="2"/>
  <c r="J172" i="2" s="1"/>
  <c r="BP173" i="2"/>
  <c r="J173" i="2" s="1"/>
  <c r="J174" i="2"/>
  <c r="J177" i="2"/>
  <c r="J179" i="2"/>
  <c r="BP181" i="2"/>
  <c r="J182" i="2"/>
  <c r="J102" i="2"/>
  <c r="J103" i="2"/>
  <c r="J105" i="2"/>
  <c r="J107" i="2"/>
  <c r="BP73" i="2"/>
  <c r="J73" i="2" s="1"/>
  <c r="BP74" i="2"/>
  <c r="BP75" i="2"/>
  <c r="J75" i="2" s="1"/>
  <c r="BP76" i="2"/>
  <c r="J76" i="2" s="1"/>
  <c r="BP77" i="2"/>
  <c r="J77" i="2" s="1"/>
  <c r="BP78" i="2"/>
  <c r="J78" i="2" s="1"/>
  <c r="BP79" i="2"/>
  <c r="J79" i="2" s="1"/>
  <c r="BP82" i="2"/>
  <c r="J82" i="2" s="1"/>
  <c r="BP83" i="2"/>
  <c r="J83" i="2" s="1"/>
  <c r="BP85" i="2"/>
  <c r="J85" i="2" s="1"/>
  <c r="BP86" i="2"/>
  <c r="J86" i="2" s="1"/>
  <c r="BP88" i="2"/>
  <c r="J88" i="2" s="1"/>
  <c r="BP90" i="2"/>
  <c r="J90" i="2" s="1"/>
  <c r="BP91" i="2"/>
  <c r="J91" i="2" s="1"/>
  <c r="BP93" i="2"/>
  <c r="J93" i="2" s="1"/>
  <c r="J3" i="2"/>
  <c r="J4" i="2"/>
  <c r="J5" i="2"/>
  <c r="J6" i="2"/>
  <c r="J7" i="2"/>
  <c r="J8" i="2"/>
  <c r="J9" i="2"/>
  <c r="J10" i="2"/>
  <c r="J12" i="2"/>
  <c r="J13" i="2"/>
  <c r="J14" i="2"/>
  <c r="J15" i="2"/>
  <c r="J16" i="2"/>
  <c r="J17" i="2"/>
  <c r="J18" i="2"/>
  <c r="J19" i="2"/>
  <c r="J20" i="2"/>
  <c r="J21" i="2"/>
  <c r="J23" i="2"/>
  <c r="J24" i="2"/>
  <c r="J25" i="2"/>
  <c r="J27" i="2"/>
  <c r="J28" i="2"/>
  <c r="J30" i="2"/>
  <c r="J31" i="2"/>
  <c r="J34" i="2"/>
  <c r="J35" i="2"/>
  <c r="J36" i="2"/>
  <c r="J37" i="2"/>
  <c r="J38" i="2"/>
  <c r="J39" i="2"/>
  <c r="J40" i="2"/>
  <c r="J41" i="2"/>
  <c r="J43" i="2"/>
  <c r="J46" i="2"/>
  <c r="J47" i="2"/>
  <c r="J53" i="2"/>
  <c r="J55" i="2"/>
  <c r="J56" i="2"/>
  <c r="J58" i="2"/>
  <c r="J62" i="2"/>
  <c r="J66" i="2"/>
  <c r="J67" i="2"/>
  <c r="BP340" i="2"/>
  <c r="J340" i="2" s="1"/>
  <c r="BP339" i="2"/>
  <c r="J339" i="2" s="1"/>
  <c r="BQ338" i="2"/>
  <c r="BR338" i="2"/>
  <c r="BS338" i="2"/>
  <c r="BT338" i="2"/>
  <c r="BU338" i="2"/>
  <c r="BV338" i="2"/>
  <c r="BP329" i="2"/>
  <c r="J329" i="2" s="1"/>
  <c r="BQ327" i="2"/>
  <c r="BR327" i="2"/>
  <c r="BS327" i="2"/>
  <c r="BT327" i="2"/>
  <c r="BU327" i="2"/>
  <c r="BV327" i="2"/>
  <c r="J328" i="2" s="1"/>
  <c r="BP302" i="2"/>
  <c r="J302" i="2" s="1"/>
  <c r="BP300" i="2"/>
  <c r="J300" i="2" s="1"/>
  <c r="BP299" i="2"/>
  <c r="J299" i="2" s="1"/>
  <c r="BQ298" i="2"/>
  <c r="BR298" i="2"/>
  <c r="BS298" i="2"/>
  <c r="BT298" i="2"/>
  <c r="BU298" i="2"/>
  <c r="BV298" i="2"/>
  <c r="BP232" i="2"/>
  <c r="J232" i="2" s="1"/>
  <c r="BP225" i="2"/>
  <c r="J225" i="2" s="1"/>
  <c r="BP224" i="2"/>
  <c r="BQ223" i="2"/>
  <c r="BR223" i="2"/>
  <c r="BS223" i="2"/>
  <c r="BT223" i="2"/>
  <c r="BU223" i="2"/>
  <c r="BV223" i="2"/>
  <c r="BP216" i="2"/>
  <c r="J216" i="2" s="1"/>
  <c r="BP214" i="2"/>
  <c r="J214" i="2" s="1"/>
  <c r="BP213" i="2"/>
  <c r="BQ212" i="2"/>
  <c r="BR212" i="2"/>
  <c r="BS212" i="2"/>
  <c r="BT212" i="2"/>
  <c r="BU212" i="2"/>
  <c r="BV212" i="2"/>
  <c r="BP187" i="2"/>
  <c r="J187" i="2" s="1"/>
  <c r="BP185" i="2"/>
  <c r="J185" i="2" s="1"/>
  <c r="BP184" i="2"/>
  <c r="BQ183" i="2"/>
  <c r="BR183" i="2"/>
  <c r="BS183" i="2"/>
  <c r="BT183" i="2"/>
  <c r="BU183" i="2"/>
  <c r="BV183" i="2"/>
  <c r="BP117" i="2"/>
  <c r="J117" i="2" s="1"/>
  <c r="BP110" i="2"/>
  <c r="J110" i="2" s="1"/>
  <c r="BP109" i="2"/>
  <c r="J109" i="2" s="1"/>
  <c r="BR108" i="2"/>
  <c r="BS108" i="2"/>
  <c r="BT108" i="2"/>
  <c r="BU108" i="2"/>
  <c r="BV108" i="2"/>
  <c r="J101" i="2"/>
  <c r="BP99" i="2"/>
  <c r="J99" i="2" s="1"/>
  <c r="BP98" i="2"/>
  <c r="J98" i="2" s="1"/>
  <c r="BQ97" i="2"/>
  <c r="BR97" i="2"/>
  <c r="BS97" i="2"/>
  <c r="BT97" i="2"/>
  <c r="BU97" i="2"/>
  <c r="BV97" i="2"/>
  <c r="BP72" i="2"/>
  <c r="J72" i="2" s="1"/>
  <c r="BP70" i="2"/>
  <c r="J70" i="2" s="1"/>
  <c r="BP69" i="2"/>
  <c r="BQ68" i="2"/>
  <c r="BR68" i="2"/>
  <c r="BS68" i="2"/>
  <c r="BT68" i="2"/>
  <c r="BU68" i="2"/>
  <c r="BV68" i="2"/>
  <c r="J2" i="2"/>
  <c r="J219" i="2"/>
  <c r="J220" i="2"/>
  <c r="J222" i="2"/>
  <c r="J189" i="2"/>
  <c r="J193" i="2"/>
  <c r="J194" i="2"/>
  <c r="J195" i="2"/>
  <c r="J196" i="2"/>
  <c r="J197" i="2"/>
  <c r="J199" i="2"/>
  <c r="J201" i="2"/>
  <c r="J202" i="2"/>
  <c r="J203" i="2"/>
  <c r="J204" i="2"/>
  <c r="J207" i="2"/>
  <c r="J209" i="2"/>
  <c r="J210" i="2"/>
  <c r="J211" i="2"/>
  <c r="J119" i="2"/>
  <c r="J127" i="2"/>
  <c r="J130" i="2"/>
  <c r="J138" i="2"/>
  <c r="J141" i="2"/>
  <c r="J146" i="2"/>
  <c r="J147" i="2"/>
  <c r="J148" i="2"/>
  <c r="J149" i="2"/>
  <c r="J151" i="2"/>
  <c r="J152" i="2"/>
  <c r="J157" i="2"/>
  <c r="J159" i="2"/>
  <c r="J160" i="2"/>
  <c r="J162" i="2"/>
  <c r="J164" i="2"/>
  <c r="J165" i="2"/>
  <c r="J167" i="2"/>
  <c r="J168" i="2"/>
  <c r="J175" i="2"/>
  <c r="J176" i="2"/>
  <c r="J178" i="2"/>
  <c r="J180" i="2"/>
  <c r="J181" i="2"/>
  <c r="J104" i="2"/>
  <c r="J106" i="2"/>
  <c r="J74" i="2"/>
  <c r="J80" i="2"/>
  <c r="J81" i="2"/>
  <c r="J84" i="2"/>
  <c r="J87" i="2"/>
  <c r="J89" i="2"/>
  <c r="J92" i="2"/>
  <c r="J94" i="2"/>
  <c r="J95" i="2"/>
  <c r="J96" i="2"/>
  <c r="J11" i="2"/>
  <c r="J22" i="2"/>
  <c r="J26" i="2"/>
  <c r="J29" i="2"/>
  <c r="J32" i="2"/>
  <c r="J33" i="2"/>
  <c r="J42" i="2"/>
  <c r="J44" i="2"/>
  <c r="J45" i="2"/>
  <c r="J48" i="2"/>
  <c r="J49" i="2"/>
  <c r="J50" i="2"/>
  <c r="J51" i="2"/>
  <c r="J52" i="2"/>
  <c r="J54" i="2"/>
  <c r="J57" i="2"/>
  <c r="J59" i="2"/>
  <c r="J60" i="2"/>
  <c r="J61" i="2"/>
  <c r="J63" i="2"/>
  <c r="J64" i="2"/>
  <c r="J65" i="2"/>
  <c r="CF24" i="2"/>
  <c r="CH24" i="2"/>
  <c r="CD24" i="2"/>
  <c r="CE24" i="2"/>
  <c r="CG24" i="2"/>
  <c r="J69" i="2" l="1"/>
  <c r="J184" i="2"/>
  <c r="J213" i="2"/>
  <c r="J224" i="2"/>
  <c r="BP298" i="2"/>
  <c r="J239" i="2"/>
  <c r="J298" i="2" s="1"/>
  <c r="BP212" i="2"/>
  <c r="BP223" i="2"/>
  <c r="BP327" i="2"/>
  <c r="J303" i="2"/>
  <c r="J327" i="2" s="1"/>
  <c r="BP338" i="2"/>
  <c r="J331" i="2"/>
  <c r="J338" i="2" s="1"/>
  <c r="BP183" i="2"/>
  <c r="BP97" i="2"/>
  <c r="BP68" i="2"/>
  <c r="J217" i="2"/>
  <c r="J223" i="2" s="1"/>
  <c r="J212" i="2"/>
  <c r="J118" i="2"/>
  <c r="J183" i="2" s="1"/>
  <c r="BP108" i="2"/>
  <c r="J108" i="2"/>
  <c r="J97" i="2"/>
  <c r="J68" i="2"/>
  <c r="AI5" i="59"/>
  <c r="AE5" i="59"/>
  <c r="AA5" i="59"/>
  <c r="W5" i="59"/>
  <c r="S5" i="59"/>
  <c r="O5" i="59"/>
  <c r="K5" i="59"/>
  <c r="G5" i="59"/>
  <c r="C5" i="59"/>
  <c r="AI4" i="59"/>
  <c r="AI2" i="59" s="1"/>
  <c r="AE4" i="59"/>
  <c r="AA4" i="59"/>
  <c r="AA2" i="59" s="1"/>
  <c r="W4" i="59"/>
  <c r="S4" i="59"/>
  <c r="O4" i="59"/>
  <c r="K4" i="59"/>
  <c r="G4" i="59"/>
  <c r="G2" i="59" s="1"/>
  <c r="C4" i="59"/>
  <c r="AI3" i="59"/>
  <c r="AE3" i="59"/>
  <c r="AE2" i="59" s="1"/>
  <c r="AA3" i="59"/>
  <c r="W3" i="59"/>
  <c r="S3" i="59"/>
  <c r="S2" i="59" s="1"/>
  <c r="O3" i="59"/>
  <c r="K3" i="59"/>
  <c r="K2" i="59" s="1"/>
  <c r="G3" i="59"/>
  <c r="C3" i="59"/>
  <c r="CG25" i="2"/>
  <c r="CE25" i="2"/>
  <c r="CD25" i="2"/>
  <c r="CH25" i="2"/>
  <c r="CF25" i="2"/>
  <c r="W2" i="59" l="1"/>
  <c r="O2" i="59"/>
  <c r="C2" i="59"/>
  <c r="BO340" i="2"/>
  <c r="BO339" i="2"/>
  <c r="BO332" i="2"/>
  <c r="BO333" i="2"/>
  <c r="BO334" i="2"/>
  <c r="BO336" i="2"/>
  <c r="BO337" i="2"/>
  <c r="BO331" i="2"/>
  <c r="BO329" i="2"/>
  <c r="BO328" i="2"/>
  <c r="BO303" i="2"/>
  <c r="BO304" i="2"/>
  <c r="BO305" i="2"/>
  <c r="BO306" i="2"/>
  <c r="BO307" i="2"/>
  <c r="BO308" i="2"/>
  <c r="BO309" i="2"/>
  <c r="BO311" i="2"/>
  <c r="BO312" i="2"/>
  <c r="BO314" i="2"/>
  <c r="BO318" i="2"/>
  <c r="BO302" i="2"/>
  <c r="BO300" i="2"/>
  <c r="BO299" i="2"/>
  <c r="BO233" i="2"/>
  <c r="BO234" i="2"/>
  <c r="BO235" i="2"/>
  <c r="BO236" i="2"/>
  <c r="BO237" i="2"/>
  <c r="BO238" i="2"/>
  <c r="BO239" i="2"/>
  <c r="BO240" i="2"/>
  <c r="BO241" i="2"/>
  <c r="BO242" i="2"/>
  <c r="BO243" i="2"/>
  <c r="BO244" i="2"/>
  <c r="BO245" i="2"/>
  <c r="BO246" i="2"/>
  <c r="BO247" i="2"/>
  <c r="BO248" i="2"/>
  <c r="BO249" i="2"/>
  <c r="BO250" i="2"/>
  <c r="BO253" i="2"/>
  <c r="BO254" i="2"/>
  <c r="BO255" i="2"/>
  <c r="BO257" i="2"/>
  <c r="BO258" i="2"/>
  <c r="BO259" i="2"/>
  <c r="BO260" i="2"/>
  <c r="BO261" i="2"/>
  <c r="BO262" i="2"/>
  <c r="BO264" i="2"/>
  <c r="BO265" i="2"/>
  <c r="BO266" i="2"/>
  <c r="BO267" i="2"/>
  <c r="BO268" i="2"/>
  <c r="BO269" i="2"/>
  <c r="BO270" i="2"/>
  <c r="BO276" i="2"/>
  <c r="BO279" i="2"/>
  <c r="BO281" i="2"/>
  <c r="BO286" i="2"/>
  <c r="BO292" i="2"/>
  <c r="BO295" i="2"/>
  <c r="BO296" i="2"/>
  <c r="BO232" i="2"/>
  <c r="BO225" i="2"/>
  <c r="BO224" i="2"/>
  <c r="BO217" i="2"/>
  <c r="BO218" i="2"/>
  <c r="BO219" i="2"/>
  <c r="BO221" i="2"/>
  <c r="BO222" i="2"/>
  <c r="BO216" i="2"/>
  <c r="BO214" i="2"/>
  <c r="BO213" i="2"/>
  <c r="BO188" i="2"/>
  <c r="BO189" i="2"/>
  <c r="BO190" i="2"/>
  <c r="BO192" i="2"/>
  <c r="BO193" i="2"/>
  <c r="BO194" i="2"/>
  <c r="BO200" i="2"/>
  <c r="BO187" i="2"/>
  <c r="BO185" i="2"/>
  <c r="BO184" i="2"/>
  <c r="BO118" i="2"/>
  <c r="BO119" i="2"/>
  <c r="BO120" i="2"/>
  <c r="BO121" i="2"/>
  <c r="BO122" i="2"/>
  <c r="BO123" i="2"/>
  <c r="BO124" i="2"/>
  <c r="BO125" i="2"/>
  <c r="BO128" i="2"/>
  <c r="BO130" i="2"/>
  <c r="BO131" i="2"/>
  <c r="BO132" i="2"/>
  <c r="BO133" i="2"/>
  <c r="BO134" i="2"/>
  <c r="BO135" i="2"/>
  <c r="BO136" i="2"/>
  <c r="BO137" i="2"/>
  <c r="BO138" i="2"/>
  <c r="BO139" i="2"/>
  <c r="BO140" i="2"/>
  <c r="BO141" i="2"/>
  <c r="BO142" i="2"/>
  <c r="BO143" i="2"/>
  <c r="BO144" i="2"/>
  <c r="BO145" i="2"/>
  <c r="BO150" i="2"/>
  <c r="BO151" i="2"/>
  <c r="BO152" i="2"/>
  <c r="BO153" i="2"/>
  <c r="BO154" i="2"/>
  <c r="BO155" i="2"/>
  <c r="BO156" i="2"/>
  <c r="BO158" i="2"/>
  <c r="BO171" i="2"/>
  <c r="BO172" i="2"/>
  <c r="BO181" i="2"/>
  <c r="BO182" i="2"/>
  <c r="BO117" i="2"/>
  <c r="BO110" i="2"/>
  <c r="BO109" i="2"/>
  <c r="BO102" i="2"/>
  <c r="BO103" i="2"/>
  <c r="BO104" i="2"/>
  <c r="BO106" i="2"/>
  <c r="BO107" i="2"/>
  <c r="BO101" i="2"/>
  <c r="BO99" i="2"/>
  <c r="BO98" i="2"/>
  <c r="BO73" i="2"/>
  <c r="BO74" i="2"/>
  <c r="BO75" i="2"/>
  <c r="BO76" i="2"/>
  <c r="BO77" i="2"/>
  <c r="BO78" i="2"/>
  <c r="BO79" i="2"/>
  <c r="BO81" i="2"/>
  <c r="BO82" i="2"/>
  <c r="BO84" i="2"/>
  <c r="BO85" i="2"/>
  <c r="BO88" i="2"/>
  <c r="BO72" i="2"/>
  <c r="BO70" i="2"/>
  <c r="BO69" i="2"/>
  <c r="CF26" i="2"/>
  <c r="CH26" i="2"/>
  <c r="CE26" i="2"/>
  <c r="CD26" i="2"/>
  <c r="CG26" i="2"/>
  <c r="AI5" i="58" l="1"/>
  <c r="AE5" i="58"/>
  <c r="AA5" i="58"/>
  <c r="W5" i="58"/>
  <c r="S5" i="58"/>
  <c r="O5" i="58"/>
  <c r="K5" i="58"/>
  <c r="G5" i="58"/>
  <c r="C5" i="58"/>
  <c r="AI4" i="58"/>
  <c r="AE4" i="58"/>
  <c r="AA4" i="58"/>
  <c r="AA2" i="58" s="1"/>
  <c r="W4" i="58"/>
  <c r="S4" i="58"/>
  <c r="O4" i="58"/>
  <c r="K4" i="58"/>
  <c r="G4" i="58"/>
  <c r="G2" i="58" s="1"/>
  <c r="C4" i="58"/>
  <c r="C2" i="58" s="1"/>
  <c r="AI3" i="58"/>
  <c r="AI2" i="58" s="1"/>
  <c r="AE3" i="58"/>
  <c r="AA3" i="58"/>
  <c r="W3" i="58"/>
  <c r="W2" i="58" s="1"/>
  <c r="S3" i="58"/>
  <c r="S2" i="58" s="1"/>
  <c r="O3" i="58"/>
  <c r="O2" i="58" s="1"/>
  <c r="K3" i="58"/>
  <c r="G3" i="58"/>
  <c r="C3" i="58"/>
  <c r="CG27" i="2"/>
  <c r="CD27" i="2"/>
  <c r="CF27" i="2"/>
  <c r="CE27" i="2"/>
  <c r="CH27" i="2"/>
  <c r="AE2" i="58" l="1"/>
  <c r="K2" i="58"/>
  <c r="BN340" i="2"/>
  <c r="BN339" i="2"/>
  <c r="BM340" i="2"/>
  <c r="BM339" i="2"/>
  <c r="BM332" i="2"/>
  <c r="BM333" i="2"/>
  <c r="BM334" i="2"/>
  <c r="BM336" i="2"/>
  <c r="BM337" i="2"/>
  <c r="BN332" i="2"/>
  <c r="BN333" i="2"/>
  <c r="BN334" i="2"/>
  <c r="BN336" i="2"/>
  <c r="BN337" i="2"/>
  <c r="BN331" i="2"/>
  <c r="BM331" i="2"/>
  <c r="BN329" i="2"/>
  <c r="BN328" i="2"/>
  <c r="BM329" i="2"/>
  <c r="BM328" i="2"/>
  <c r="BM303" i="2"/>
  <c r="BN303" i="2"/>
  <c r="BM304" i="2"/>
  <c r="BN304" i="2"/>
  <c r="BM305" i="2"/>
  <c r="BN305" i="2"/>
  <c r="BM306" i="2"/>
  <c r="BN306" i="2"/>
  <c r="BM307" i="2"/>
  <c r="BN307" i="2"/>
  <c r="BM308" i="2"/>
  <c r="BN308" i="2"/>
  <c r="BM309" i="2"/>
  <c r="BN309" i="2"/>
  <c r="BM310" i="2"/>
  <c r="BN310" i="2"/>
  <c r="BM311" i="2"/>
  <c r="BN311" i="2"/>
  <c r="BM312" i="2"/>
  <c r="BN312" i="2"/>
  <c r="BM313" i="2"/>
  <c r="BM315" i="2"/>
  <c r="BN315" i="2"/>
  <c r="BN318" i="2"/>
  <c r="BN320" i="2"/>
  <c r="BM321" i="2"/>
  <c r="BM323" i="2"/>
  <c r="BN302" i="2"/>
  <c r="BM302" i="2"/>
  <c r="BN300" i="2"/>
  <c r="BN299" i="2"/>
  <c r="BM300" i="2"/>
  <c r="BM299" i="2"/>
  <c r="BM233" i="2"/>
  <c r="BN233" i="2"/>
  <c r="BM234" i="2"/>
  <c r="BN234" i="2"/>
  <c r="BM235" i="2"/>
  <c r="BN235" i="2"/>
  <c r="BM236" i="2"/>
  <c r="BN236" i="2"/>
  <c r="BM237" i="2"/>
  <c r="BN237" i="2"/>
  <c r="BM238" i="2"/>
  <c r="BN238" i="2"/>
  <c r="BM239" i="2"/>
  <c r="BN239" i="2"/>
  <c r="BM240" i="2"/>
  <c r="BN240" i="2"/>
  <c r="BM242" i="2"/>
  <c r="BN242" i="2"/>
  <c r="BM243" i="2"/>
  <c r="BN243" i="2"/>
  <c r="BM244" i="2"/>
  <c r="BN244" i="2"/>
  <c r="BM245" i="2"/>
  <c r="BN245" i="2"/>
  <c r="BM246" i="2"/>
  <c r="BN246" i="2"/>
  <c r="BM247" i="2"/>
  <c r="BN247" i="2"/>
  <c r="BM248" i="2"/>
  <c r="BN248" i="2"/>
  <c r="BM249" i="2"/>
  <c r="BN249" i="2"/>
  <c r="BM250" i="2"/>
  <c r="BN250" i="2"/>
  <c r="BN251" i="2"/>
  <c r="BM252" i="2"/>
  <c r="BN252" i="2"/>
  <c r="BM253" i="2"/>
  <c r="BN253" i="2"/>
  <c r="BM254" i="2"/>
  <c r="BN254" i="2"/>
  <c r="BM255" i="2"/>
  <c r="BN255" i="2"/>
  <c r="BN256" i="2"/>
  <c r="BM257" i="2"/>
  <c r="BN257" i="2"/>
  <c r="BM258" i="2"/>
  <c r="BN258" i="2"/>
  <c r="BM259" i="2"/>
  <c r="BN259" i="2"/>
  <c r="BM260" i="2"/>
  <c r="BN260" i="2"/>
  <c r="BM261" i="2"/>
  <c r="BN261" i="2"/>
  <c r="BM262" i="2"/>
  <c r="BN262" i="2"/>
  <c r="BM264" i="2"/>
  <c r="BN264" i="2"/>
  <c r="BM265" i="2"/>
  <c r="BN265" i="2"/>
  <c r="BM266" i="2"/>
  <c r="BN266" i="2"/>
  <c r="BM267" i="2"/>
  <c r="BN267" i="2"/>
  <c r="BM268" i="2"/>
  <c r="BN268" i="2"/>
  <c r="BM269" i="2"/>
  <c r="BN269" i="2"/>
  <c r="BM270" i="2"/>
  <c r="BN270" i="2"/>
  <c r="BN273" i="2"/>
  <c r="BM276" i="2"/>
  <c r="BN281" i="2"/>
  <c r="BN285" i="2"/>
  <c r="BM286" i="2"/>
  <c r="BN286" i="2"/>
  <c r="BN287" i="2"/>
  <c r="BN288" i="2"/>
  <c r="BM292" i="2"/>
  <c r="BN292" i="2"/>
  <c r="BM295" i="2"/>
  <c r="BM296" i="2"/>
  <c r="BN296" i="2"/>
  <c r="BN232" i="2"/>
  <c r="BM232" i="2"/>
  <c r="BN225" i="2"/>
  <c r="BN224" i="2"/>
  <c r="BM225" i="2"/>
  <c r="BM224" i="2"/>
  <c r="BM217" i="2"/>
  <c r="BN217" i="2"/>
  <c r="BM218" i="2"/>
  <c r="BN218" i="2"/>
  <c r="BM219" i="2"/>
  <c r="BN219" i="2"/>
  <c r="BM221" i="2"/>
  <c r="BN221" i="2"/>
  <c r="BN216" i="2"/>
  <c r="BM216" i="2"/>
  <c r="BN214" i="2"/>
  <c r="BN213" i="2"/>
  <c r="BM214" i="2"/>
  <c r="BM213" i="2"/>
  <c r="BM188" i="2"/>
  <c r="BN188" i="2"/>
  <c r="BM189" i="2"/>
  <c r="BN189" i="2"/>
  <c r="BN190" i="2"/>
  <c r="BM191" i="2"/>
  <c r="BN191" i="2"/>
  <c r="BM192" i="2"/>
  <c r="BM193" i="2"/>
  <c r="BN193" i="2"/>
  <c r="BM194" i="2"/>
  <c r="BN194" i="2"/>
  <c r="BM195" i="2"/>
  <c r="BN200" i="2"/>
  <c r="BM205" i="2"/>
  <c r="BN206" i="2"/>
  <c r="BN185" i="2"/>
  <c r="BN184" i="2"/>
  <c r="BM185" i="2"/>
  <c r="BM184" i="2"/>
  <c r="BM118" i="2"/>
  <c r="BN118" i="2"/>
  <c r="BM119" i="2"/>
  <c r="BN119" i="2"/>
  <c r="BM120" i="2"/>
  <c r="BN120" i="2"/>
  <c r="BM121" i="2"/>
  <c r="BN121" i="2"/>
  <c r="BM122" i="2"/>
  <c r="BN122" i="2"/>
  <c r="BM123" i="2"/>
  <c r="BN123" i="2"/>
  <c r="BM124" i="2"/>
  <c r="BN124" i="2"/>
  <c r="BM126" i="2"/>
  <c r="BN126" i="2"/>
  <c r="BM127" i="2"/>
  <c r="BN127" i="2"/>
  <c r="BN128" i="2"/>
  <c r="BM129" i="2"/>
  <c r="BM130" i="2"/>
  <c r="BN130" i="2"/>
  <c r="BM131" i="2"/>
  <c r="BN131" i="2"/>
  <c r="BN132" i="2"/>
  <c r="BM133" i="2"/>
  <c r="BN133" i="2"/>
  <c r="BM134" i="2"/>
  <c r="BN134" i="2"/>
  <c r="BM135" i="2"/>
  <c r="BN135" i="2"/>
  <c r="BM136" i="2"/>
  <c r="BM137" i="2"/>
  <c r="BN137" i="2"/>
  <c r="BM138" i="2"/>
  <c r="BN138" i="2"/>
  <c r="BM139" i="2"/>
  <c r="BN139" i="2"/>
  <c r="BM140" i="2"/>
  <c r="BN140" i="2"/>
  <c r="BN141" i="2"/>
  <c r="BM142" i="2"/>
  <c r="BN142" i="2"/>
  <c r="BM143" i="2"/>
  <c r="BN143" i="2"/>
  <c r="BM144" i="2"/>
  <c r="BN144" i="2"/>
  <c r="BM149" i="2"/>
  <c r="BN149" i="2"/>
  <c r="BM150" i="2"/>
  <c r="BN150" i="2"/>
  <c r="BN151" i="2"/>
  <c r="BM152" i="2"/>
  <c r="BN152" i="2"/>
  <c r="BM153" i="2"/>
  <c r="BN153" i="2"/>
  <c r="BM154" i="2"/>
  <c r="BN154" i="2"/>
  <c r="BM155" i="2"/>
  <c r="BN155" i="2"/>
  <c r="BM158" i="2"/>
  <c r="BM162" i="2"/>
  <c r="BN162" i="2"/>
  <c r="BN166" i="2"/>
  <c r="BM173" i="2"/>
  <c r="BN181" i="2"/>
  <c r="BN117" i="2"/>
  <c r="BM117" i="2"/>
  <c r="BN110" i="2"/>
  <c r="BN109" i="2"/>
  <c r="BM110" i="2"/>
  <c r="BM109" i="2"/>
  <c r="BM102" i="2"/>
  <c r="BN102" i="2"/>
  <c r="BM103" i="2"/>
  <c r="BN103" i="2"/>
  <c r="BM104" i="2"/>
  <c r="BN104" i="2"/>
  <c r="BM106" i="2"/>
  <c r="BN106" i="2"/>
  <c r="BM107" i="2"/>
  <c r="BN107" i="2"/>
  <c r="BN101" i="2"/>
  <c r="BM101" i="2"/>
  <c r="BN99" i="2"/>
  <c r="BN98" i="2"/>
  <c r="BM99" i="2"/>
  <c r="BM98" i="2"/>
  <c r="BM73" i="2"/>
  <c r="BN73" i="2"/>
  <c r="BM74" i="2"/>
  <c r="BN74" i="2"/>
  <c r="BM75" i="2"/>
  <c r="BN75" i="2"/>
  <c r="BM76" i="2"/>
  <c r="BN76" i="2"/>
  <c r="BM77" i="2"/>
  <c r="BN77" i="2"/>
  <c r="BM78" i="2"/>
  <c r="BN78" i="2"/>
  <c r="BM79" i="2"/>
  <c r="BN79" i="2"/>
  <c r="BM80" i="2"/>
  <c r="BN80" i="2"/>
  <c r="BM81" i="2"/>
  <c r="BN81" i="2"/>
  <c r="BM82" i="2"/>
  <c r="BN82" i="2"/>
  <c r="BM83" i="2"/>
  <c r="BM85" i="2"/>
  <c r="BN85" i="2"/>
  <c r="BN88" i="2"/>
  <c r="BM90" i="2"/>
  <c r="BN90" i="2"/>
  <c r="BM91" i="2"/>
  <c r="BN91" i="2"/>
  <c r="BM93" i="2"/>
  <c r="BN72" i="2"/>
  <c r="BM72" i="2"/>
  <c r="BN70" i="2"/>
  <c r="BN69" i="2"/>
  <c r="BM70" i="2"/>
  <c r="BM69" i="2"/>
  <c r="CH28" i="2"/>
  <c r="CE28" i="2"/>
  <c r="CF28" i="2"/>
  <c r="CD28" i="2"/>
  <c r="CG28" i="2"/>
  <c r="AI5" i="57" l="1"/>
  <c r="AE5" i="57"/>
  <c r="AA5" i="57"/>
  <c r="W5" i="57"/>
  <c r="S5" i="57"/>
  <c r="O5" i="57"/>
  <c r="K5" i="57"/>
  <c r="G5" i="57"/>
  <c r="C5" i="57"/>
  <c r="AI4" i="57"/>
  <c r="AE4" i="57"/>
  <c r="AE2" i="57" s="1"/>
  <c r="AA4" i="57"/>
  <c r="W4" i="57"/>
  <c r="S4" i="57"/>
  <c r="O4" i="57"/>
  <c r="K4" i="57"/>
  <c r="G4" i="57"/>
  <c r="G2" i="57" s="1"/>
  <c r="C4" i="57"/>
  <c r="AI3" i="57"/>
  <c r="AE3" i="57"/>
  <c r="AA3" i="57"/>
  <c r="AA2" i="57" s="1"/>
  <c r="W3" i="57"/>
  <c r="W2" i="57" s="1"/>
  <c r="S3" i="57"/>
  <c r="S2" i="57" s="1"/>
  <c r="O3" i="57"/>
  <c r="K3" i="57"/>
  <c r="G3" i="57"/>
  <c r="C3" i="57"/>
  <c r="AI5" i="56"/>
  <c r="AE5" i="56"/>
  <c r="AA5" i="56"/>
  <c r="W5" i="56"/>
  <c r="S5" i="56"/>
  <c r="O5" i="56"/>
  <c r="K5" i="56"/>
  <c r="G5" i="56"/>
  <c r="C5" i="56"/>
  <c r="AI4" i="56"/>
  <c r="AE4" i="56"/>
  <c r="AA4" i="56"/>
  <c r="AA2" i="56" s="1"/>
  <c r="W4" i="56"/>
  <c r="W2" i="56" s="1"/>
  <c r="S4" i="56"/>
  <c r="O4" i="56"/>
  <c r="K4" i="56"/>
  <c r="G4" i="56"/>
  <c r="G2" i="56" s="1"/>
  <c r="C4" i="56"/>
  <c r="AI3" i="56"/>
  <c r="AI2" i="56" s="1"/>
  <c r="AE3" i="56"/>
  <c r="AE2" i="56" s="1"/>
  <c r="AA3" i="56"/>
  <c r="W3" i="56"/>
  <c r="S3" i="56"/>
  <c r="S2" i="56" s="1"/>
  <c r="O3" i="56"/>
  <c r="K3" i="56"/>
  <c r="K2" i="56" s="1"/>
  <c r="G3" i="56"/>
  <c r="C3" i="56"/>
  <c r="CG29" i="2"/>
  <c r="CD29" i="2"/>
  <c r="CF29" i="2"/>
  <c r="CE29" i="2"/>
  <c r="CH29" i="2"/>
  <c r="AI2" i="57" l="1"/>
  <c r="O2" i="57"/>
  <c r="O2" i="56"/>
  <c r="K2" i="57"/>
  <c r="C2" i="57"/>
  <c r="C2" i="56"/>
  <c r="BL140" i="2"/>
  <c r="BL332" i="2"/>
  <c r="BL333" i="2"/>
  <c r="BL334" i="2"/>
  <c r="BL336" i="2"/>
  <c r="BL337" i="2"/>
  <c r="BL331" i="2"/>
  <c r="BL303" i="2"/>
  <c r="BL304" i="2"/>
  <c r="BL305" i="2"/>
  <c r="BL306" i="2"/>
  <c r="BL307" i="2"/>
  <c r="BL308" i="2"/>
  <c r="BL309" i="2"/>
  <c r="BL311" i="2"/>
  <c r="BL312" i="2"/>
  <c r="BL313" i="2"/>
  <c r="BL315" i="2"/>
  <c r="BL318" i="2"/>
  <c r="BL323" i="2"/>
  <c r="BL325" i="2"/>
  <c r="BL302" i="2"/>
  <c r="BL233" i="2"/>
  <c r="BL234" i="2"/>
  <c r="BL235" i="2"/>
  <c r="BL236" i="2"/>
  <c r="BL237" i="2"/>
  <c r="BL238" i="2"/>
  <c r="BL239" i="2"/>
  <c r="BL240" i="2"/>
  <c r="BL241" i="2"/>
  <c r="BL242" i="2"/>
  <c r="BL243" i="2"/>
  <c r="BL244" i="2"/>
  <c r="BL245" i="2"/>
  <c r="BL246" i="2"/>
  <c r="BL247" i="2"/>
  <c r="BL248" i="2"/>
  <c r="BL249" i="2"/>
  <c r="BL250" i="2"/>
  <c r="BL252" i="2"/>
  <c r="BL253" i="2"/>
  <c r="BL254" i="2"/>
  <c r="BL255" i="2"/>
  <c r="BL256" i="2"/>
  <c r="BL257" i="2"/>
  <c r="BL258" i="2"/>
  <c r="BL259" i="2"/>
  <c r="BL260" i="2"/>
  <c r="BL261" i="2"/>
  <c r="BL262" i="2"/>
  <c r="BL265" i="2"/>
  <c r="BL266" i="2"/>
  <c r="BL267" i="2"/>
  <c r="BL268" i="2"/>
  <c r="BL269" i="2"/>
  <c r="BL270" i="2"/>
  <c r="BL273" i="2"/>
  <c r="BL275" i="2"/>
  <c r="BL276" i="2"/>
  <c r="BL286" i="2"/>
  <c r="BL288" i="2"/>
  <c r="BL292" i="2"/>
  <c r="BL293" i="2"/>
  <c r="BL296" i="2"/>
  <c r="BL297" i="2"/>
  <c r="BL232" i="2"/>
  <c r="BL217" i="2"/>
  <c r="BL218" i="2"/>
  <c r="BL219" i="2"/>
  <c r="BL221" i="2"/>
  <c r="BL216" i="2"/>
  <c r="BL188" i="2"/>
  <c r="BL190" i="2"/>
  <c r="BL191" i="2"/>
  <c r="BL193" i="2"/>
  <c r="BL194" i="2"/>
  <c r="BL187" i="2"/>
  <c r="BL118" i="2"/>
  <c r="BL119" i="2"/>
  <c r="BL120" i="2"/>
  <c r="BL121" i="2"/>
  <c r="BL122" i="2"/>
  <c r="BL123" i="2"/>
  <c r="BL124" i="2"/>
  <c r="BL125" i="2"/>
  <c r="BL128" i="2"/>
  <c r="BL130" i="2"/>
  <c r="BL131" i="2"/>
  <c r="BL132" i="2"/>
  <c r="BL133" i="2"/>
  <c r="BL134" i="2"/>
  <c r="BL135" i="2"/>
  <c r="BL137" i="2"/>
  <c r="BL138" i="2"/>
  <c r="BL139" i="2"/>
  <c r="BL142" i="2"/>
  <c r="BL143" i="2"/>
  <c r="BL144" i="2"/>
  <c r="BL150" i="2"/>
  <c r="BL151" i="2"/>
  <c r="BL152" i="2"/>
  <c r="BL153" i="2"/>
  <c r="BL154" i="2"/>
  <c r="BL162" i="2"/>
  <c r="BL170" i="2"/>
  <c r="BL171" i="2"/>
  <c r="BL173" i="2"/>
  <c r="BL177" i="2"/>
  <c r="BL178" i="2"/>
  <c r="BL180" i="2"/>
  <c r="BL182" i="2"/>
  <c r="BL117" i="2"/>
  <c r="BL102" i="2"/>
  <c r="BL103" i="2"/>
  <c r="BL104" i="2"/>
  <c r="BL106" i="2"/>
  <c r="BL107" i="2"/>
  <c r="BL101" i="2"/>
  <c r="BL73" i="2"/>
  <c r="BL74" i="2"/>
  <c r="BL75" i="2"/>
  <c r="BL76" i="2"/>
  <c r="BL77" i="2"/>
  <c r="BL78" i="2"/>
  <c r="BL79" i="2"/>
  <c r="BL81" i="2"/>
  <c r="BL82" i="2"/>
  <c r="BL83" i="2"/>
  <c r="BL85" i="2"/>
  <c r="BL88" i="2"/>
  <c r="BL93" i="2"/>
  <c r="BL95" i="2"/>
  <c r="BL72" i="2"/>
  <c r="CH30" i="2"/>
  <c r="CE30" i="2"/>
  <c r="CF30" i="2"/>
  <c r="CD30" i="2"/>
  <c r="CG30" i="2"/>
  <c r="AI5" i="55" l="1"/>
  <c r="AE5" i="55"/>
  <c r="AA5" i="55"/>
  <c r="W5" i="55"/>
  <c r="S5" i="55"/>
  <c r="O5" i="55"/>
  <c r="K5" i="55"/>
  <c r="G5" i="55"/>
  <c r="C5" i="55"/>
  <c r="AI4" i="55"/>
  <c r="AE4" i="55"/>
  <c r="AA4" i="55"/>
  <c r="AA2" i="55" s="1"/>
  <c r="BL299" i="2" s="1"/>
  <c r="W4" i="55"/>
  <c r="S4" i="55"/>
  <c r="S2" i="55" s="1"/>
  <c r="BL213" i="2" s="1"/>
  <c r="O4" i="55"/>
  <c r="K4" i="55"/>
  <c r="G4" i="55"/>
  <c r="G2" i="55" s="1"/>
  <c r="BL98" i="2" s="1"/>
  <c r="C4" i="55"/>
  <c r="AI3" i="55"/>
  <c r="AE3" i="55"/>
  <c r="BL329" i="2" s="1"/>
  <c r="AA3" i="55"/>
  <c r="BL300" i="2" s="1"/>
  <c r="W3" i="55"/>
  <c r="BL225" i="2" s="1"/>
  <c r="S3" i="55"/>
  <c r="BL214" i="2" s="1"/>
  <c r="O3" i="55"/>
  <c r="K3" i="55"/>
  <c r="BL110" i="2" s="1"/>
  <c r="G3" i="55"/>
  <c r="BL99" i="2" s="1"/>
  <c r="C3" i="55"/>
  <c r="BL70" i="2" s="1"/>
  <c r="W2" i="55"/>
  <c r="BL224" i="2" s="1"/>
  <c r="C2" i="55"/>
  <c r="BL69" i="2" s="1"/>
  <c r="CG31" i="2"/>
  <c r="CD31" i="2"/>
  <c r="CF31" i="2"/>
  <c r="CE31" i="2"/>
  <c r="CH31" i="2"/>
  <c r="AI2" i="55" l="1"/>
  <c r="BL339" i="2" s="1"/>
  <c r="BL340" i="2"/>
  <c r="AE2" i="55"/>
  <c r="BL328" i="2" s="1"/>
  <c r="O2" i="55"/>
  <c r="K2" i="55"/>
  <c r="BL109" i="2" s="1"/>
  <c r="BK260" i="2"/>
  <c r="BK340" i="2"/>
  <c r="BK339" i="2"/>
  <c r="BK332" i="2"/>
  <c r="BK333" i="2"/>
  <c r="BK334" i="2"/>
  <c r="BK336" i="2"/>
  <c r="BK331" i="2"/>
  <c r="BK329" i="2"/>
  <c r="BK328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16" i="2"/>
  <c r="BK318" i="2"/>
  <c r="BK321" i="2"/>
  <c r="BK323" i="2"/>
  <c r="BK302" i="2"/>
  <c r="BK300" i="2"/>
  <c r="BK299" i="2"/>
  <c r="BK233" i="2"/>
  <c r="BK234" i="2"/>
  <c r="BK235" i="2"/>
  <c r="BK236" i="2"/>
  <c r="BK237" i="2"/>
  <c r="BK238" i="2"/>
  <c r="BK239" i="2"/>
  <c r="BK240" i="2"/>
  <c r="BK242" i="2"/>
  <c r="BK243" i="2"/>
  <c r="BK244" i="2"/>
  <c r="BK245" i="2"/>
  <c r="BK246" i="2"/>
  <c r="BK247" i="2"/>
  <c r="BK248" i="2"/>
  <c r="BK249" i="2"/>
  <c r="BK250" i="2"/>
  <c r="BK252" i="2"/>
  <c r="BK253" i="2"/>
  <c r="BK254" i="2"/>
  <c r="BK255" i="2"/>
  <c r="BK256" i="2"/>
  <c r="BK257" i="2"/>
  <c r="BK258" i="2"/>
  <c r="BK259" i="2"/>
  <c r="BK264" i="2"/>
  <c r="BK265" i="2"/>
  <c r="BK266" i="2"/>
  <c r="BK267" i="2"/>
  <c r="BK268" i="2"/>
  <c r="BK269" i="2"/>
  <c r="BK270" i="2"/>
  <c r="BK273" i="2"/>
  <c r="BK276" i="2"/>
  <c r="BK285" i="2"/>
  <c r="BK286" i="2"/>
  <c r="BK287" i="2"/>
  <c r="BK288" i="2"/>
  <c r="BK292" i="2"/>
  <c r="BK294" i="2"/>
  <c r="BK296" i="2"/>
  <c r="BK297" i="2"/>
  <c r="BK232" i="2"/>
  <c r="BK225" i="2"/>
  <c r="BK224" i="2"/>
  <c r="BK218" i="2"/>
  <c r="BK219" i="2"/>
  <c r="BK221" i="2"/>
  <c r="BK216" i="2"/>
  <c r="BK214" i="2"/>
  <c r="BK213" i="2"/>
  <c r="BK188" i="2"/>
  <c r="BK190" i="2"/>
  <c r="BK191" i="2"/>
  <c r="BK192" i="2"/>
  <c r="BK194" i="2"/>
  <c r="BK195" i="2"/>
  <c r="BK187" i="2"/>
  <c r="BK185" i="2"/>
  <c r="BK184" i="2"/>
  <c r="BK118" i="2"/>
  <c r="BK119" i="2"/>
  <c r="BK120" i="2"/>
  <c r="BK121" i="2"/>
  <c r="BK122" i="2"/>
  <c r="BK123" i="2"/>
  <c r="BK124" i="2"/>
  <c r="BK125" i="2"/>
  <c r="BK126" i="2"/>
  <c r="BK128" i="2"/>
  <c r="BK129" i="2"/>
  <c r="BK131" i="2"/>
  <c r="BK132" i="2"/>
  <c r="BK133" i="2"/>
  <c r="BK134" i="2"/>
  <c r="BK135" i="2"/>
  <c r="BK136" i="2"/>
  <c r="BK137" i="2"/>
  <c r="BK138" i="2"/>
  <c r="BK139" i="2"/>
  <c r="BK140" i="2"/>
  <c r="BK142" i="2"/>
  <c r="BK143" i="2"/>
  <c r="BK144" i="2"/>
  <c r="BK149" i="2"/>
  <c r="BK150" i="2"/>
  <c r="BK151" i="2"/>
  <c r="BK152" i="2"/>
  <c r="BK153" i="2"/>
  <c r="BK154" i="2"/>
  <c r="BK155" i="2"/>
  <c r="BK156" i="2"/>
  <c r="BK161" i="2"/>
  <c r="BK181" i="2"/>
  <c r="BK117" i="2"/>
  <c r="BK110" i="2"/>
  <c r="BK109" i="2"/>
  <c r="BK102" i="2"/>
  <c r="BK103" i="2"/>
  <c r="BK104" i="2"/>
  <c r="BK106" i="2"/>
  <c r="BK101" i="2"/>
  <c r="BK99" i="2"/>
  <c r="BK98" i="2"/>
  <c r="BK73" i="2"/>
  <c r="BK74" i="2"/>
  <c r="BK75" i="2"/>
  <c r="BK76" i="2"/>
  <c r="BK77" i="2"/>
  <c r="BK78" i="2"/>
  <c r="BK79" i="2"/>
  <c r="BK80" i="2"/>
  <c r="BK81" i="2"/>
  <c r="BK82" i="2"/>
  <c r="BK83" i="2"/>
  <c r="BK84" i="2"/>
  <c r="BK85" i="2"/>
  <c r="BK86" i="2"/>
  <c r="BK88" i="2"/>
  <c r="BK91" i="2"/>
  <c r="BK93" i="2"/>
  <c r="BK72" i="2"/>
  <c r="AI5" i="54"/>
  <c r="AE5" i="54"/>
  <c r="AA5" i="54"/>
  <c r="W5" i="54"/>
  <c r="S5" i="54"/>
  <c r="O5" i="54"/>
  <c r="K5" i="54"/>
  <c r="G5" i="54"/>
  <c r="C5" i="54"/>
  <c r="AI4" i="54"/>
  <c r="AE4" i="54"/>
  <c r="AA4" i="54"/>
  <c r="W4" i="54"/>
  <c r="S4" i="54"/>
  <c r="O4" i="54"/>
  <c r="K4" i="54"/>
  <c r="G4" i="54"/>
  <c r="C4" i="54"/>
  <c r="AI3" i="54"/>
  <c r="AI2" i="54" s="1"/>
  <c r="AE3" i="54"/>
  <c r="AE2" i="54" s="1"/>
  <c r="AA3" i="54"/>
  <c r="AA2" i="54" s="1"/>
  <c r="W3" i="54"/>
  <c r="S3" i="54"/>
  <c r="S2" i="54" s="1"/>
  <c r="O3" i="54"/>
  <c r="O2" i="54" s="1"/>
  <c r="K3" i="54"/>
  <c r="G3" i="54"/>
  <c r="G2" i="54" s="1"/>
  <c r="C3" i="54"/>
  <c r="BK70" i="2" s="1"/>
  <c r="K2" i="54"/>
  <c r="C2" i="54"/>
  <c r="BK69" i="2" s="1"/>
  <c r="CH32" i="2"/>
  <c r="CE32" i="2"/>
  <c r="CF32" i="2"/>
  <c r="CD32" i="2"/>
  <c r="CG32" i="2"/>
  <c r="BL185" i="2" l="1"/>
  <c r="BL184" i="2"/>
  <c r="W2" i="54"/>
  <c r="BJ332" i="2"/>
  <c r="BJ333" i="2"/>
  <c r="BJ334" i="2"/>
  <c r="BJ336" i="2"/>
  <c r="BJ331" i="2"/>
  <c r="BJ303" i="2"/>
  <c r="BJ304" i="2"/>
  <c r="BJ305" i="2"/>
  <c r="BJ306" i="2"/>
  <c r="BJ307" i="2"/>
  <c r="BJ308" i="2"/>
  <c r="BJ309" i="2"/>
  <c r="BJ310" i="2"/>
  <c r="BJ312" i="2"/>
  <c r="BJ313" i="2"/>
  <c r="BJ315" i="2"/>
  <c r="BJ318" i="2"/>
  <c r="BJ321" i="2"/>
  <c r="BJ322" i="2"/>
  <c r="BJ323" i="2"/>
  <c r="BJ302" i="2"/>
  <c r="BJ233" i="2"/>
  <c r="BJ234" i="2"/>
  <c r="BJ235" i="2"/>
  <c r="BJ236" i="2"/>
  <c r="BJ237" i="2"/>
  <c r="BJ238" i="2"/>
  <c r="BJ239" i="2"/>
  <c r="BJ240" i="2"/>
  <c r="BJ242" i="2"/>
  <c r="BJ243" i="2"/>
  <c r="BJ244" i="2"/>
  <c r="BJ245" i="2"/>
  <c r="BJ246" i="2"/>
  <c r="BJ247" i="2"/>
  <c r="BJ248" i="2"/>
  <c r="BJ249" i="2"/>
  <c r="BJ250" i="2"/>
  <c r="BJ252" i="2"/>
  <c r="BJ253" i="2"/>
  <c r="BJ254" i="2"/>
  <c r="BJ255" i="2"/>
  <c r="BJ257" i="2"/>
  <c r="BJ258" i="2"/>
  <c r="BJ259" i="2"/>
  <c r="BJ260" i="2"/>
  <c r="BJ261" i="2"/>
  <c r="BJ262" i="2"/>
  <c r="BJ264" i="2"/>
  <c r="BJ265" i="2"/>
  <c r="BJ267" i="2"/>
  <c r="BJ268" i="2"/>
  <c r="BJ269" i="2"/>
  <c r="BJ270" i="2"/>
  <c r="BJ273" i="2"/>
  <c r="BJ281" i="2"/>
  <c r="BJ286" i="2"/>
  <c r="BJ287" i="2"/>
  <c r="BJ288" i="2"/>
  <c r="BJ292" i="2"/>
  <c r="BJ293" i="2"/>
  <c r="BJ295" i="2"/>
  <c r="BJ296" i="2"/>
  <c r="BJ232" i="2"/>
  <c r="BJ217" i="2"/>
  <c r="BJ218" i="2"/>
  <c r="BJ219" i="2"/>
  <c r="BJ221" i="2"/>
  <c r="BJ216" i="2"/>
  <c r="BJ188" i="2"/>
  <c r="BJ189" i="2"/>
  <c r="BJ190" i="2"/>
  <c r="BJ191" i="2"/>
  <c r="BJ207" i="2"/>
  <c r="BJ187" i="2"/>
  <c r="BJ118" i="2"/>
  <c r="BJ119" i="2"/>
  <c r="BJ120" i="2"/>
  <c r="BJ121" i="2"/>
  <c r="BJ122" i="2"/>
  <c r="BJ123" i="2"/>
  <c r="BJ124" i="2"/>
  <c r="BJ128" i="2"/>
  <c r="BJ129" i="2"/>
  <c r="BJ130" i="2"/>
  <c r="BJ131" i="2"/>
  <c r="BJ134" i="2"/>
  <c r="BJ135" i="2"/>
  <c r="BJ136" i="2"/>
  <c r="BJ139" i="2"/>
  <c r="BJ140" i="2"/>
  <c r="BJ142" i="2"/>
  <c r="BJ143" i="2"/>
  <c r="BJ144" i="2"/>
  <c r="BJ145" i="2"/>
  <c r="BJ150" i="2"/>
  <c r="BJ151" i="2"/>
  <c r="BJ153" i="2"/>
  <c r="BJ154" i="2"/>
  <c r="BJ155" i="2"/>
  <c r="BJ156" i="2"/>
  <c r="BJ161" i="2"/>
  <c r="BJ172" i="2"/>
  <c r="BJ173" i="2"/>
  <c r="BJ180" i="2"/>
  <c r="BJ117" i="2"/>
  <c r="BJ110" i="2"/>
  <c r="BJ109" i="2"/>
  <c r="BJ102" i="2"/>
  <c r="BJ103" i="2"/>
  <c r="BJ104" i="2"/>
  <c r="BJ106" i="2"/>
  <c r="BJ101" i="2"/>
  <c r="BJ99" i="2"/>
  <c r="BJ98" i="2"/>
  <c r="BJ73" i="2"/>
  <c r="BJ74" i="2"/>
  <c r="BJ75" i="2"/>
  <c r="BJ76" i="2"/>
  <c r="BJ77" i="2"/>
  <c r="BJ78" i="2"/>
  <c r="BJ79" i="2"/>
  <c r="BJ80" i="2"/>
  <c r="BJ82" i="2"/>
  <c r="BJ83" i="2"/>
  <c r="BJ85" i="2"/>
  <c r="BJ88" i="2"/>
  <c r="BJ91" i="2"/>
  <c r="BJ92" i="2"/>
  <c r="BJ93" i="2"/>
  <c r="BJ72" i="2"/>
  <c r="BJ70" i="2"/>
  <c r="BJ69" i="2"/>
  <c r="AI5" i="53"/>
  <c r="AE5" i="53"/>
  <c r="AA5" i="53"/>
  <c r="W5" i="53"/>
  <c r="S5" i="53"/>
  <c r="O5" i="53"/>
  <c r="K5" i="53"/>
  <c r="G5" i="53"/>
  <c r="C5" i="53"/>
  <c r="AI4" i="53"/>
  <c r="AE4" i="53"/>
  <c r="AE2" i="53" s="1"/>
  <c r="BJ328" i="2" s="1"/>
  <c r="AA4" i="53"/>
  <c r="W4" i="53"/>
  <c r="S4" i="53"/>
  <c r="S2" i="53" s="1"/>
  <c r="BJ213" i="2" s="1"/>
  <c r="O4" i="53"/>
  <c r="K4" i="53"/>
  <c r="G4" i="53"/>
  <c r="C4" i="53"/>
  <c r="AI3" i="53"/>
  <c r="AE3" i="53"/>
  <c r="BJ329" i="2" s="1"/>
  <c r="AA3" i="53"/>
  <c r="AA2" i="53" s="1"/>
  <c r="BJ299" i="2" s="1"/>
  <c r="W3" i="53"/>
  <c r="BJ225" i="2" s="1"/>
  <c r="S3" i="53"/>
  <c r="BJ214" i="2" s="1"/>
  <c r="O3" i="53"/>
  <c r="O2" i="53" s="1"/>
  <c r="BJ185" i="2" s="1"/>
  <c r="K3" i="53"/>
  <c r="G3" i="53"/>
  <c r="G2" i="53" s="1"/>
  <c r="C3" i="53"/>
  <c r="C2" i="53" s="1"/>
  <c r="W2" i="53"/>
  <c r="BJ224" i="2" s="1"/>
  <c r="CG33" i="2"/>
  <c r="CD33" i="2"/>
  <c r="CF33" i="2"/>
  <c r="CE33" i="2"/>
  <c r="CH33" i="2"/>
  <c r="AI2" i="53" l="1"/>
  <c r="BJ339" i="2" s="1"/>
  <c r="BJ340" i="2"/>
  <c r="BJ300" i="2"/>
  <c r="BJ184" i="2"/>
  <c r="K2" i="53"/>
  <c r="BI332" i="2"/>
  <c r="I332" i="2" s="1"/>
  <c r="BI333" i="2"/>
  <c r="I333" i="2" s="1"/>
  <c r="BI334" i="2"/>
  <c r="I334" i="2" s="1"/>
  <c r="BI336" i="2"/>
  <c r="BI337" i="2"/>
  <c r="BI331" i="2"/>
  <c r="I331" i="2" s="1"/>
  <c r="BI303" i="2"/>
  <c r="BI304" i="2"/>
  <c r="I304" i="2" s="1"/>
  <c r="BI305" i="2"/>
  <c r="I305" i="2" s="1"/>
  <c r="BI306" i="2"/>
  <c r="I306" i="2" s="1"/>
  <c r="BI307" i="2"/>
  <c r="I307" i="2" s="1"/>
  <c r="BI308" i="2"/>
  <c r="BI309" i="2"/>
  <c r="BI310" i="2"/>
  <c r="BI312" i="2"/>
  <c r="I312" i="2" s="1"/>
  <c r="BI313" i="2"/>
  <c r="I313" i="2" s="1"/>
  <c r="BI314" i="2"/>
  <c r="I314" i="2" s="1"/>
  <c r="BI315" i="2"/>
  <c r="I315" i="2" s="1"/>
  <c r="BI316" i="2"/>
  <c r="I316" i="2" s="1"/>
  <c r="BI318" i="2"/>
  <c r="I320" i="2"/>
  <c r="I321" i="2"/>
  <c r="BI323" i="2"/>
  <c r="BI302" i="2"/>
  <c r="I302" i="2" s="1"/>
  <c r="BI233" i="2"/>
  <c r="I233" i="2" s="1"/>
  <c r="BI234" i="2"/>
  <c r="I234" i="2" s="1"/>
  <c r="BI235" i="2"/>
  <c r="I235" i="2" s="1"/>
  <c r="BI236" i="2"/>
  <c r="BI237" i="2"/>
  <c r="BI238" i="2"/>
  <c r="BI239" i="2"/>
  <c r="I239" i="2" s="1"/>
  <c r="BI240" i="2"/>
  <c r="I240" i="2" s="1"/>
  <c r="BI241" i="2"/>
  <c r="I241" i="2" s="1"/>
  <c r="BI242" i="2"/>
  <c r="I242" i="2" s="1"/>
  <c r="BI243" i="2"/>
  <c r="I243" i="2" s="1"/>
  <c r="BI244" i="2"/>
  <c r="I244" i="2" s="1"/>
  <c r="BI245" i="2"/>
  <c r="BI246" i="2"/>
  <c r="BI247" i="2"/>
  <c r="I247" i="2" s="1"/>
  <c r="BI248" i="2"/>
  <c r="I248" i="2" s="1"/>
  <c r="BI249" i="2"/>
  <c r="I249" i="2" s="1"/>
  <c r="BI250" i="2"/>
  <c r="I250" i="2" s="1"/>
  <c r="BI252" i="2"/>
  <c r="I252" i="2" s="1"/>
  <c r="BI253" i="2"/>
  <c r="I253" i="2" s="1"/>
  <c r="BI254" i="2"/>
  <c r="BI255" i="2"/>
  <c r="I255" i="2" s="1"/>
  <c r="I256" i="2"/>
  <c r="BI257" i="2"/>
  <c r="I257" i="2" s="1"/>
  <c r="BI258" i="2"/>
  <c r="I258" i="2" s="1"/>
  <c r="BI259" i="2"/>
  <c r="I259" i="2" s="1"/>
  <c r="BI260" i="2"/>
  <c r="I260" i="2" s="1"/>
  <c r="BI261" i="2"/>
  <c r="I261" i="2" s="1"/>
  <c r="I263" i="2"/>
  <c r="BI264" i="2"/>
  <c r="I264" i="2" s="1"/>
  <c r="BI265" i="2"/>
  <c r="BI266" i="2"/>
  <c r="I266" i="2" s="1"/>
  <c r="BI267" i="2"/>
  <c r="I267" i="2" s="1"/>
  <c r="BI268" i="2"/>
  <c r="I268" i="2" s="1"/>
  <c r="BI269" i="2"/>
  <c r="I269" i="2" s="1"/>
  <c r="I271" i="2"/>
  <c r="BI272" i="2"/>
  <c r="I272" i="2" s="1"/>
  <c r="BI273" i="2"/>
  <c r="I273" i="2" s="1"/>
  <c r="I275" i="2"/>
  <c r="BI279" i="2"/>
  <c r="I279" i="2" s="1"/>
  <c r="I280" i="2"/>
  <c r="I281" i="2"/>
  <c r="I283" i="2"/>
  <c r="BI286" i="2"/>
  <c r="I286" i="2" s="1"/>
  <c r="I287" i="2"/>
  <c r="BI288" i="2"/>
  <c r="I288" i="2" s="1"/>
  <c r="I289" i="2"/>
  <c r="I291" i="2"/>
  <c r="BI293" i="2"/>
  <c r="I293" i="2" s="1"/>
  <c r="BI295" i="2"/>
  <c r="I295" i="2" s="1"/>
  <c r="BI296" i="2"/>
  <c r="I296" i="2" s="1"/>
  <c r="BI297" i="2"/>
  <c r="I297" i="2" s="1"/>
  <c r="BI232" i="2"/>
  <c r="BI217" i="2"/>
  <c r="BI218" i="2"/>
  <c r="BI219" i="2"/>
  <c r="I219" i="2" s="1"/>
  <c r="I220" i="2"/>
  <c r="BI221" i="2"/>
  <c r="I221" i="2" s="1"/>
  <c r="BI222" i="2"/>
  <c r="I222" i="2" s="1"/>
  <c r="BI216" i="2"/>
  <c r="BI188" i="2"/>
  <c r="I188" i="2" s="1"/>
  <c r="BI190" i="2"/>
  <c r="I191" i="2"/>
  <c r="BI193" i="2"/>
  <c r="I193" i="2" s="1"/>
  <c r="BI194" i="2"/>
  <c r="I194" i="2" s="1"/>
  <c r="I195" i="2"/>
  <c r="I196" i="2"/>
  <c r="I199" i="2"/>
  <c r="I203" i="2"/>
  <c r="I204" i="2"/>
  <c r="I207" i="2"/>
  <c r="I211" i="2"/>
  <c r="BI187" i="2"/>
  <c r="I187" i="2" s="1"/>
  <c r="BI118" i="2"/>
  <c r="I118" i="2" s="1"/>
  <c r="BI119" i="2"/>
  <c r="I119" i="2" s="1"/>
  <c r="BI120" i="2"/>
  <c r="I120" i="2" s="1"/>
  <c r="BI121" i="2"/>
  <c r="BI122" i="2"/>
  <c r="BI123" i="2"/>
  <c r="BI124" i="2"/>
  <c r="I124" i="2" s="1"/>
  <c r="I125" i="2"/>
  <c r="BI129" i="2"/>
  <c r="I129" i="2" s="1"/>
  <c r="BI130" i="2"/>
  <c r="I130" i="2" s="1"/>
  <c r="BI131" i="2"/>
  <c r="BI132" i="2"/>
  <c r="BI133" i="2"/>
  <c r="I133" i="2" s="1"/>
  <c r="BI134" i="2"/>
  <c r="BI135" i="2"/>
  <c r="I135" i="2" s="1"/>
  <c r="BI136" i="2"/>
  <c r="I136" i="2" s="1"/>
  <c r="BI137" i="2"/>
  <c r="I137" i="2" s="1"/>
  <c r="BI138" i="2"/>
  <c r="I138" i="2" s="1"/>
  <c r="BI139" i="2"/>
  <c r="I139" i="2" s="1"/>
  <c r="BI140" i="2"/>
  <c r="I140" i="2" s="1"/>
  <c r="I141" i="2"/>
  <c r="BI142" i="2"/>
  <c r="BI144" i="2"/>
  <c r="I144" i="2" s="1"/>
  <c r="BI146" i="2"/>
  <c r="I146" i="2" s="1"/>
  <c r="BI149" i="2"/>
  <c r="I149" i="2" s="1"/>
  <c r="BI150" i="2"/>
  <c r="I150" i="2" s="1"/>
  <c r="BI152" i="2"/>
  <c r="I152" i="2" s="1"/>
  <c r="BI153" i="2"/>
  <c r="I153" i="2" s="1"/>
  <c r="BI154" i="2"/>
  <c r="I157" i="2"/>
  <c r="BI158" i="2"/>
  <c r="I158" i="2" s="1"/>
  <c r="I165" i="2"/>
  <c r="I173" i="2"/>
  <c r="BI178" i="2"/>
  <c r="I178" i="2" s="1"/>
  <c r="BI180" i="2"/>
  <c r="I181" i="2"/>
  <c r="BI117" i="2"/>
  <c r="I117" i="2" s="1"/>
  <c r="BI102" i="2"/>
  <c r="I102" i="2" s="1"/>
  <c r="BI103" i="2"/>
  <c r="I103" i="2" s="1"/>
  <c r="BI104" i="2"/>
  <c r="I104" i="2" s="1"/>
  <c r="BI106" i="2"/>
  <c r="I106" i="2" s="1"/>
  <c r="BI107" i="2"/>
  <c r="I107" i="2" s="1"/>
  <c r="BI101" i="2"/>
  <c r="BI73" i="2"/>
  <c r="I73" i="2" s="1"/>
  <c r="BI74" i="2"/>
  <c r="BI75" i="2"/>
  <c r="I75" i="2" s="1"/>
  <c r="BI76" i="2"/>
  <c r="I76" i="2" s="1"/>
  <c r="BI77" i="2"/>
  <c r="I77" i="2" s="1"/>
  <c r="BI78" i="2"/>
  <c r="I78" i="2" s="1"/>
  <c r="BI79" i="2"/>
  <c r="I79" i="2" s="1"/>
  <c r="BI80" i="2"/>
  <c r="I80" i="2" s="1"/>
  <c r="BI82" i="2"/>
  <c r="BI83" i="2"/>
  <c r="BI84" i="2"/>
  <c r="I84" i="2" s="1"/>
  <c r="BI85" i="2"/>
  <c r="I85" i="2" s="1"/>
  <c r="BI86" i="2"/>
  <c r="I86" i="2" s="1"/>
  <c r="BI88" i="2"/>
  <c r="I88" i="2" s="1"/>
  <c r="BI93" i="2"/>
  <c r="I93" i="2" s="1"/>
  <c r="I96" i="2"/>
  <c r="BI72" i="2"/>
  <c r="I72" i="2" s="1"/>
  <c r="I3" i="2"/>
  <c r="I4" i="2"/>
  <c r="I5" i="2"/>
  <c r="I6" i="2"/>
  <c r="I7" i="2"/>
  <c r="I8" i="2"/>
  <c r="I9" i="2"/>
  <c r="I10" i="2"/>
  <c r="I11" i="2"/>
  <c r="I13" i="2"/>
  <c r="I14" i="2"/>
  <c r="I15" i="2"/>
  <c r="I16" i="2"/>
  <c r="I18" i="2"/>
  <c r="I19" i="2"/>
  <c r="I20" i="2"/>
  <c r="I21" i="2"/>
  <c r="I22" i="2"/>
  <c r="I23" i="2"/>
  <c r="I24" i="2"/>
  <c r="I25" i="2"/>
  <c r="I27" i="2"/>
  <c r="I28" i="2"/>
  <c r="I29" i="2"/>
  <c r="I30" i="2"/>
  <c r="I31" i="2"/>
  <c r="I32" i="2"/>
  <c r="I34" i="2"/>
  <c r="I35" i="2"/>
  <c r="I36" i="2"/>
  <c r="I37" i="2"/>
  <c r="I38" i="2"/>
  <c r="I39" i="2"/>
  <c r="I40" i="2"/>
  <c r="I42" i="2"/>
  <c r="I43" i="2"/>
  <c r="I46" i="2"/>
  <c r="I47" i="2"/>
  <c r="I48" i="2"/>
  <c r="I49" i="2"/>
  <c r="I51" i="2"/>
  <c r="I54" i="2"/>
  <c r="I55" i="2"/>
  <c r="I56" i="2"/>
  <c r="I58" i="2"/>
  <c r="I59" i="2"/>
  <c r="I62" i="2"/>
  <c r="I63" i="2"/>
  <c r="I64" i="2"/>
  <c r="I65" i="2"/>
  <c r="I66" i="2"/>
  <c r="I67" i="2"/>
  <c r="AI5" i="52"/>
  <c r="AE5" i="52"/>
  <c r="AA5" i="52"/>
  <c r="W5" i="52"/>
  <c r="S5" i="52"/>
  <c r="O5" i="52"/>
  <c r="K5" i="52"/>
  <c r="G5" i="52"/>
  <c r="C5" i="52"/>
  <c r="AI4" i="52"/>
  <c r="AE4" i="52"/>
  <c r="AA4" i="52"/>
  <c r="W4" i="52"/>
  <c r="S4" i="52"/>
  <c r="S2" i="52" s="1"/>
  <c r="BI213" i="2" s="1"/>
  <c r="I213" i="2" s="1"/>
  <c r="O4" i="52"/>
  <c r="K4" i="52"/>
  <c r="K2" i="52" s="1"/>
  <c r="BI109" i="2" s="1"/>
  <c r="I109" i="2" s="1"/>
  <c r="G4" i="52"/>
  <c r="C4" i="52"/>
  <c r="C2" i="52" s="1"/>
  <c r="BI69" i="2" s="1"/>
  <c r="I69" i="2" s="1"/>
  <c r="AI3" i="52"/>
  <c r="AE3" i="52"/>
  <c r="AE2" i="52" s="1"/>
  <c r="BI328" i="2" s="1"/>
  <c r="I328" i="2" s="1"/>
  <c r="AA3" i="52"/>
  <c r="BI300" i="2" s="1"/>
  <c r="I300" i="2" s="1"/>
  <c r="W3" i="52"/>
  <c r="BI225" i="2" s="1"/>
  <c r="I225" i="2" s="1"/>
  <c r="S3" i="52"/>
  <c r="BI214" i="2" s="1"/>
  <c r="I214" i="2" s="1"/>
  <c r="O3" i="52"/>
  <c r="K3" i="52"/>
  <c r="G3" i="52"/>
  <c r="C3" i="52"/>
  <c r="AI2" i="52"/>
  <c r="G2" i="52"/>
  <c r="BI98" i="2" s="1"/>
  <c r="I98" i="2" s="1"/>
  <c r="BI340" i="2"/>
  <c r="I340" i="2" s="1"/>
  <c r="BI339" i="2"/>
  <c r="I339" i="2" s="1"/>
  <c r="BJ338" i="2"/>
  <c r="BK338" i="2"/>
  <c r="BL338" i="2"/>
  <c r="BM338" i="2"/>
  <c r="BN338" i="2"/>
  <c r="BO338" i="2"/>
  <c r="BI329" i="2"/>
  <c r="I329" i="2" s="1"/>
  <c r="BJ327" i="2"/>
  <c r="BK327" i="2"/>
  <c r="BL327" i="2"/>
  <c r="BM327" i="2"/>
  <c r="BN327" i="2"/>
  <c r="BO327" i="2"/>
  <c r="BJ298" i="2"/>
  <c r="BK298" i="2"/>
  <c r="BL298" i="2"/>
  <c r="BM298" i="2"/>
  <c r="BN298" i="2"/>
  <c r="BO298" i="2"/>
  <c r="BJ223" i="2"/>
  <c r="BK223" i="2"/>
  <c r="BL223" i="2"/>
  <c r="BM223" i="2"/>
  <c r="BN223" i="2"/>
  <c r="BO223" i="2"/>
  <c r="BO212" i="2"/>
  <c r="BJ212" i="2"/>
  <c r="BK212" i="2"/>
  <c r="BL212" i="2"/>
  <c r="BM212" i="2"/>
  <c r="BN212" i="2"/>
  <c r="BJ183" i="2"/>
  <c r="BK183" i="2"/>
  <c r="BL183" i="2"/>
  <c r="BM183" i="2"/>
  <c r="BN183" i="2"/>
  <c r="BO183" i="2"/>
  <c r="BI110" i="2"/>
  <c r="I110" i="2" s="1"/>
  <c r="BJ108" i="2"/>
  <c r="BK108" i="2"/>
  <c r="BL108" i="2"/>
  <c r="BM108" i="2"/>
  <c r="BN108" i="2"/>
  <c r="BO108" i="2"/>
  <c r="BI99" i="2"/>
  <c r="I99" i="2" s="1"/>
  <c r="BJ97" i="2"/>
  <c r="BK97" i="2"/>
  <c r="BL97" i="2"/>
  <c r="BM97" i="2"/>
  <c r="BN97" i="2"/>
  <c r="BO97" i="2"/>
  <c r="BI70" i="2"/>
  <c r="I70" i="2" s="1"/>
  <c r="BJ68" i="2"/>
  <c r="BK68" i="2"/>
  <c r="BL68" i="2"/>
  <c r="BM68" i="2"/>
  <c r="BN68" i="2"/>
  <c r="BO68" i="2"/>
  <c r="I335" i="2"/>
  <c r="I336" i="2"/>
  <c r="I337" i="2"/>
  <c r="I326" i="2"/>
  <c r="I303" i="2"/>
  <c r="I308" i="2"/>
  <c r="I309" i="2"/>
  <c r="I310" i="2"/>
  <c r="I311" i="2"/>
  <c r="I317" i="2"/>
  <c r="I318" i="2"/>
  <c r="I319" i="2"/>
  <c r="I322" i="2"/>
  <c r="I323" i="2"/>
  <c r="I324" i="2"/>
  <c r="I325" i="2"/>
  <c r="I236" i="2"/>
  <c r="I237" i="2"/>
  <c r="I238" i="2"/>
  <c r="I245" i="2"/>
  <c r="I246" i="2"/>
  <c r="I251" i="2"/>
  <c r="I254" i="2"/>
  <c r="I262" i="2"/>
  <c r="I265" i="2"/>
  <c r="I270" i="2"/>
  <c r="I274" i="2"/>
  <c r="I276" i="2"/>
  <c r="I277" i="2"/>
  <c r="I278" i="2"/>
  <c r="I282" i="2"/>
  <c r="I284" i="2"/>
  <c r="I285" i="2"/>
  <c r="I290" i="2"/>
  <c r="I292" i="2"/>
  <c r="I294" i="2"/>
  <c r="I217" i="2"/>
  <c r="I218" i="2"/>
  <c r="I189" i="2"/>
  <c r="I190" i="2"/>
  <c r="I192" i="2"/>
  <c r="I197" i="2"/>
  <c r="I198" i="2"/>
  <c r="I200" i="2"/>
  <c r="I201" i="2"/>
  <c r="I202" i="2"/>
  <c r="I205" i="2"/>
  <c r="I206" i="2"/>
  <c r="I208" i="2"/>
  <c r="I209" i="2"/>
  <c r="I210" i="2"/>
  <c r="I121" i="2"/>
  <c r="I122" i="2"/>
  <c r="I123" i="2"/>
  <c r="I126" i="2"/>
  <c r="I127" i="2"/>
  <c r="I128" i="2"/>
  <c r="I131" i="2"/>
  <c r="I132" i="2"/>
  <c r="I134" i="2"/>
  <c r="I142" i="2"/>
  <c r="I143" i="2"/>
  <c r="I145" i="2"/>
  <c r="I147" i="2"/>
  <c r="I148" i="2"/>
  <c r="I151" i="2"/>
  <c r="I154" i="2"/>
  <c r="I155" i="2"/>
  <c r="I156" i="2"/>
  <c r="I159" i="2"/>
  <c r="I160" i="2"/>
  <c r="I161" i="2"/>
  <c r="I162" i="2"/>
  <c r="I163" i="2"/>
  <c r="I164" i="2"/>
  <c r="I166" i="2"/>
  <c r="I167" i="2"/>
  <c r="I168" i="2"/>
  <c r="I169" i="2"/>
  <c r="I170" i="2"/>
  <c r="I171" i="2"/>
  <c r="I172" i="2"/>
  <c r="I174" i="2"/>
  <c r="I175" i="2"/>
  <c r="I176" i="2"/>
  <c r="I177" i="2"/>
  <c r="I179" i="2"/>
  <c r="I180" i="2"/>
  <c r="I182" i="2"/>
  <c r="I105" i="2"/>
  <c r="I74" i="2"/>
  <c r="I81" i="2"/>
  <c r="I82" i="2"/>
  <c r="I83" i="2"/>
  <c r="I87" i="2"/>
  <c r="I89" i="2"/>
  <c r="I90" i="2"/>
  <c r="I91" i="2"/>
  <c r="I92" i="2"/>
  <c r="I94" i="2"/>
  <c r="I95" i="2"/>
  <c r="I12" i="2"/>
  <c r="I17" i="2"/>
  <c r="I26" i="2"/>
  <c r="I33" i="2"/>
  <c r="I41" i="2"/>
  <c r="I44" i="2"/>
  <c r="I45" i="2"/>
  <c r="I50" i="2"/>
  <c r="I52" i="2"/>
  <c r="I53" i="2"/>
  <c r="I57" i="2"/>
  <c r="I60" i="2"/>
  <c r="I61" i="2"/>
  <c r="CH34" i="2"/>
  <c r="CE34" i="2"/>
  <c r="CF34" i="2"/>
  <c r="CD34" i="2"/>
  <c r="CG34" i="2"/>
  <c r="BI338" i="2" l="1"/>
  <c r="I338" i="2"/>
  <c r="I327" i="2"/>
  <c r="BI327" i="2"/>
  <c r="BI298" i="2"/>
  <c r="I232" i="2"/>
  <c r="I298" i="2" s="1"/>
  <c r="BI223" i="2"/>
  <c r="I216" i="2"/>
  <c r="I223" i="2" s="1"/>
  <c r="I212" i="2"/>
  <c r="BI212" i="2"/>
  <c r="I183" i="2"/>
  <c r="BI183" i="2"/>
  <c r="BI108" i="2"/>
  <c r="I101" i="2"/>
  <c r="I108" i="2" s="1"/>
  <c r="I97" i="2"/>
  <c r="BI97" i="2"/>
  <c r="BI68" i="2"/>
  <c r="AA2" i="52"/>
  <c r="BI299" i="2" s="1"/>
  <c r="I299" i="2" s="1"/>
  <c r="I2" i="2"/>
  <c r="I68" i="2" s="1"/>
  <c r="O2" i="52"/>
  <c r="BI184" i="2"/>
  <c r="I184" i="2" s="1"/>
  <c r="BI185" i="2"/>
  <c r="I185" i="2" s="1"/>
  <c r="W2" i="52"/>
  <c r="BI224" i="2" s="1"/>
  <c r="I224" i="2" s="1"/>
  <c r="BH340" i="2"/>
  <c r="BH339" i="2"/>
  <c r="BH332" i="2"/>
  <c r="BH333" i="2"/>
  <c r="BH334" i="2"/>
  <c r="BH336" i="2"/>
  <c r="BH331" i="2"/>
  <c r="BH329" i="2"/>
  <c r="BH328" i="2"/>
  <c r="BH303" i="2"/>
  <c r="BH304" i="2"/>
  <c r="BH305" i="2"/>
  <c r="BH306" i="2"/>
  <c r="BH307" i="2"/>
  <c r="BH308" i="2"/>
  <c r="BH309" i="2"/>
  <c r="BH311" i="2"/>
  <c r="BH312" i="2"/>
  <c r="BH321" i="2"/>
  <c r="BH322" i="2"/>
  <c r="BH302" i="2"/>
  <c r="BH300" i="2"/>
  <c r="BH299" i="2"/>
  <c r="BH233" i="2"/>
  <c r="BH234" i="2"/>
  <c r="BH235" i="2"/>
  <c r="BH236" i="2"/>
  <c r="BH237" i="2"/>
  <c r="BH238" i="2"/>
  <c r="BH239" i="2"/>
  <c r="BH240" i="2"/>
  <c r="BH241" i="2"/>
  <c r="BH242" i="2"/>
  <c r="BH243" i="2"/>
  <c r="BH244" i="2"/>
  <c r="BH245" i="2"/>
  <c r="BH246" i="2"/>
  <c r="BH247" i="2"/>
  <c r="BH248" i="2"/>
  <c r="BH249" i="2"/>
  <c r="BH250" i="2"/>
  <c r="BH252" i="2"/>
  <c r="BH253" i="2"/>
  <c r="BH254" i="2"/>
  <c r="BH255" i="2"/>
  <c r="BH257" i="2"/>
  <c r="BH258" i="2"/>
  <c r="BH259" i="2"/>
  <c r="BH260" i="2"/>
  <c r="BH261" i="2"/>
  <c r="BH262" i="2"/>
  <c r="BH264" i="2"/>
  <c r="BH265" i="2"/>
  <c r="BH266" i="2"/>
  <c r="BH267" i="2"/>
  <c r="BH268" i="2"/>
  <c r="BH269" i="2"/>
  <c r="BH270" i="2"/>
  <c r="BH273" i="2"/>
  <c r="BH276" i="2"/>
  <c r="BH281" i="2"/>
  <c r="BH285" i="2"/>
  <c r="BH286" i="2"/>
  <c r="BH288" i="2"/>
  <c r="BH292" i="2"/>
  <c r="BH295" i="2"/>
  <c r="BH296" i="2"/>
  <c r="BH232" i="2"/>
  <c r="BH225" i="2"/>
  <c r="BH224" i="2"/>
  <c r="BH217" i="2"/>
  <c r="BH218" i="2"/>
  <c r="BH219" i="2"/>
  <c r="BH221" i="2"/>
  <c r="BH222" i="2"/>
  <c r="BH216" i="2"/>
  <c r="BH214" i="2"/>
  <c r="BH213" i="2"/>
  <c r="BH188" i="2"/>
  <c r="BH190" i="2"/>
  <c r="BH191" i="2"/>
  <c r="BH192" i="2"/>
  <c r="BH199" i="2"/>
  <c r="BH206" i="2"/>
  <c r="BH207" i="2"/>
  <c r="BH185" i="2"/>
  <c r="BH184" i="2"/>
  <c r="BH118" i="2"/>
  <c r="BH119" i="2"/>
  <c r="BH120" i="2"/>
  <c r="BH121" i="2"/>
  <c r="BH122" i="2"/>
  <c r="BH123" i="2"/>
  <c r="BH124" i="2"/>
  <c r="BH125" i="2"/>
  <c r="BH129" i="2"/>
  <c r="BH131" i="2"/>
  <c r="BH133" i="2"/>
  <c r="BH134" i="2"/>
  <c r="BH135" i="2"/>
  <c r="BH136" i="2"/>
  <c r="BH137" i="2"/>
  <c r="BH139" i="2"/>
  <c r="BH140" i="2"/>
  <c r="BH142" i="2"/>
  <c r="BH143" i="2"/>
  <c r="BH144" i="2"/>
  <c r="BH147" i="2"/>
  <c r="BH149" i="2"/>
  <c r="BH150" i="2"/>
  <c r="BH152" i="2"/>
  <c r="BH153" i="2"/>
  <c r="BH154" i="2"/>
  <c r="BH155" i="2"/>
  <c r="BH156" i="2"/>
  <c r="BH158" i="2"/>
  <c r="BH173" i="2"/>
  <c r="BH180" i="2"/>
  <c r="BH182" i="2"/>
  <c r="BH117" i="2"/>
  <c r="BH110" i="2"/>
  <c r="BH109" i="2"/>
  <c r="BH102" i="2"/>
  <c r="BH103" i="2"/>
  <c r="BH104" i="2"/>
  <c r="BH106" i="2"/>
  <c r="BH107" i="2"/>
  <c r="BH101" i="2"/>
  <c r="BH99" i="2"/>
  <c r="BH98" i="2"/>
  <c r="BH73" i="2"/>
  <c r="BH74" i="2"/>
  <c r="BH75" i="2"/>
  <c r="BH76" i="2"/>
  <c r="BH77" i="2"/>
  <c r="BH78" i="2"/>
  <c r="BH79" i="2"/>
  <c r="BH81" i="2"/>
  <c r="BH82" i="2"/>
  <c r="BH84" i="2"/>
  <c r="BH91" i="2"/>
  <c r="BH92" i="2"/>
  <c r="BH72" i="2"/>
  <c r="CG35" i="2"/>
  <c r="CD35" i="2"/>
  <c r="CF35" i="2"/>
  <c r="CE35" i="2"/>
  <c r="CH35" i="2"/>
  <c r="BH70" i="2" l="1"/>
  <c r="BH69" i="2"/>
  <c r="AI5" i="51"/>
  <c r="AE5" i="51"/>
  <c r="AA5" i="51"/>
  <c r="W5" i="51"/>
  <c r="S5" i="51"/>
  <c r="O5" i="51"/>
  <c r="K5" i="51"/>
  <c r="G5" i="51"/>
  <c r="C5" i="51"/>
  <c r="AI4" i="51"/>
  <c r="AI2" i="51" s="1"/>
  <c r="AE4" i="51"/>
  <c r="AA4" i="51"/>
  <c r="W4" i="51"/>
  <c r="W2" i="51" s="1"/>
  <c r="S4" i="51"/>
  <c r="O4" i="51"/>
  <c r="K4" i="51"/>
  <c r="K2" i="51" s="1"/>
  <c r="G4" i="51"/>
  <c r="G2" i="51" s="1"/>
  <c r="C4" i="51"/>
  <c r="C2" i="51" s="1"/>
  <c r="AI3" i="51"/>
  <c r="AE3" i="51"/>
  <c r="AA3" i="51"/>
  <c r="W3" i="51"/>
  <c r="S3" i="51"/>
  <c r="S2" i="51" s="1"/>
  <c r="O3" i="51"/>
  <c r="O2" i="51" s="1"/>
  <c r="K3" i="51"/>
  <c r="G3" i="51"/>
  <c r="C3" i="51"/>
  <c r="AE2" i="51"/>
  <c r="AA2" i="51"/>
  <c r="CH36" i="2"/>
  <c r="CF36" i="2"/>
  <c r="CD36" i="2"/>
  <c r="CE36" i="2"/>
  <c r="CG36" i="2"/>
  <c r="BG340" i="2" l="1"/>
  <c r="BG339" i="2"/>
  <c r="BF340" i="2"/>
  <c r="BF339" i="2"/>
  <c r="BE340" i="2"/>
  <c r="BE339" i="2"/>
  <c r="BE332" i="2"/>
  <c r="BF332" i="2"/>
  <c r="BG332" i="2"/>
  <c r="BE333" i="2"/>
  <c r="BF333" i="2"/>
  <c r="BG333" i="2"/>
  <c r="BE334" i="2"/>
  <c r="BF334" i="2"/>
  <c r="BG334" i="2"/>
  <c r="BE336" i="2"/>
  <c r="BF336" i="2"/>
  <c r="BG336" i="2"/>
  <c r="BG337" i="2"/>
  <c r="BG331" i="2"/>
  <c r="BF331" i="2"/>
  <c r="BE331" i="2"/>
  <c r="BG329" i="2"/>
  <c r="BG328" i="2"/>
  <c r="BF329" i="2"/>
  <c r="BF328" i="2"/>
  <c r="BE329" i="2"/>
  <c r="BE328" i="2"/>
  <c r="BE303" i="2"/>
  <c r="BF303" i="2"/>
  <c r="BG303" i="2"/>
  <c r="BE304" i="2"/>
  <c r="BF304" i="2"/>
  <c r="BG304" i="2"/>
  <c r="BE305" i="2"/>
  <c r="BF305" i="2"/>
  <c r="BG305" i="2"/>
  <c r="BE306" i="2"/>
  <c r="BF306" i="2"/>
  <c r="BG306" i="2"/>
  <c r="BF307" i="2"/>
  <c r="BG307" i="2"/>
  <c r="BE308" i="2"/>
  <c r="BF308" i="2"/>
  <c r="BG308" i="2"/>
  <c r="BE309" i="2"/>
  <c r="BG309" i="2"/>
  <c r="BF310" i="2"/>
  <c r="BG310" i="2"/>
  <c r="BF311" i="2"/>
  <c r="BG311" i="2"/>
  <c r="BE312" i="2"/>
  <c r="BF312" i="2"/>
  <c r="BG312" i="2"/>
  <c r="BF313" i="2"/>
  <c r="BG313" i="2"/>
  <c r="BF314" i="2"/>
  <c r="BE315" i="2"/>
  <c r="BG315" i="2"/>
  <c r="BG316" i="2"/>
  <c r="BE321" i="2"/>
  <c r="BF322" i="2"/>
  <c r="BF323" i="2"/>
  <c r="BG323" i="2"/>
  <c r="BE325" i="2"/>
  <c r="BG302" i="2"/>
  <c r="BF302" i="2"/>
  <c r="BE302" i="2"/>
  <c r="BG300" i="2"/>
  <c r="BG299" i="2"/>
  <c r="BF300" i="2"/>
  <c r="BF299" i="2"/>
  <c r="BE300" i="2"/>
  <c r="BE299" i="2"/>
  <c r="BE233" i="2"/>
  <c r="BF233" i="2"/>
  <c r="BG233" i="2"/>
  <c r="BE234" i="2"/>
  <c r="BF234" i="2"/>
  <c r="BG234" i="2"/>
  <c r="BE235" i="2"/>
  <c r="BF235" i="2"/>
  <c r="BG235" i="2"/>
  <c r="BE236" i="2"/>
  <c r="BF236" i="2"/>
  <c r="BG236" i="2"/>
  <c r="BE237" i="2"/>
  <c r="BF237" i="2"/>
  <c r="BG237" i="2"/>
  <c r="BE238" i="2"/>
  <c r="BF238" i="2"/>
  <c r="BG238" i="2"/>
  <c r="BE239" i="2"/>
  <c r="BF239" i="2"/>
  <c r="BG239" i="2"/>
  <c r="BE240" i="2"/>
  <c r="BF240" i="2"/>
  <c r="BG240" i="2"/>
  <c r="BE241" i="2"/>
  <c r="BF241" i="2"/>
  <c r="BE242" i="2"/>
  <c r="BF242" i="2"/>
  <c r="BG242" i="2"/>
  <c r="BE243" i="2"/>
  <c r="BF243" i="2"/>
  <c r="BG243" i="2"/>
  <c r="BE244" i="2"/>
  <c r="BF244" i="2"/>
  <c r="BG244" i="2"/>
  <c r="BE245" i="2"/>
  <c r="BF245" i="2"/>
  <c r="BG245" i="2"/>
  <c r="BE246" i="2"/>
  <c r="BF246" i="2"/>
  <c r="BG246" i="2"/>
  <c r="BE247" i="2"/>
  <c r="BF247" i="2"/>
  <c r="BG247" i="2"/>
  <c r="BE248" i="2"/>
  <c r="BF248" i="2"/>
  <c r="BG248" i="2"/>
  <c r="BE249" i="2"/>
  <c r="BF249" i="2"/>
  <c r="BG249" i="2"/>
  <c r="BE250" i="2"/>
  <c r="BF250" i="2"/>
  <c r="BG250" i="2"/>
  <c r="BE252" i="2"/>
  <c r="BF252" i="2"/>
  <c r="BG252" i="2"/>
  <c r="BE253" i="2"/>
  <c r="BF253" i="2"/>
  <c r="BG253" i="2"/>
  <c r="BE254" i="2"/>
  <c r="BF254" i="2"/>
  <c r="BG254" i="2"/>
  <c r="BE255" i="2"/>
  <c r="BF255" i="2"/>
  <c r="BG255" i="2"/>
  <c r="BE257" i="2"/>
  <c r="BF257" i="2"/>
  <c r="BG257" i="2"/>
  <c r="BE258" i="2"/>
  <c r="BF258" i="2"/>
  <c r="BG258" i="2"/>
  <c r="BE259" i="2"/>
  <c r="BF259" i="2"/>
  <c r="BG259" i="2"/>
  <c r="BE260" i="2"/>
  <c r="BG260" i="2"/>
  <c r="BE261" i="2"/>
  <c r="BG261" i="2"/>
  <c r="BE262" i="2"/>
  <c r="BF262" i="2"/>
  <c r="BE264" i="2"/>
  <c r="BF264" i="2"/>
  <c r="BG264" i="2"/>
  <c r="BE265" i="2"/>
  <c r="BF265" i="2"/>
  <c r="BG265" i="2"/>
  <c r="BE266" i="2"/>
  <c r="BF266" i="2"/>
  <c r="BG266" i="2"/>
  <c r="BF267" i="2"/>
  <c r="BG267" i="2"/>
  <c r="BE268" i="2"/>
  <c r="BF268" i="2"/>
  <c r="BG268" i="2"/>
  <c r="BE269" i="2"/>
  <c r="BF269" i="2"/>
  <c r="BG269" i="2"/>
  <c r="BE270" i="2"/>
  <c r="BG270" i="2"/>
  <c r="BE271" i="2"/>
  <c r="BG272" i="2"/>
  <c r="BE273" i="2"/>
  <c r="BF273" i="2"/>
  <c r="BE275" i="2"/>
  <c r="BF276" i="2"/>
  <c r="BG276" i="2"/>
  <c r="BE279" i="2"/>
  <c r="BG281" i="2"/>
  <c r="BG285" i="2"/>
  <c r="BE286" i="2"/>
  <c r="BF286" i="2"/>
  <c r="BG286" i="2"/>
  <c r="BG287" i="2"/>
  <c r="BE288" i="2"/>
  <c r="BF288" i="2"/>
  <c r="BG288" i="2"/>
  <c r="BG294" i="2"/>
  <c r="BF296" i="2"/>
  <c r="BF297" i="2"/>
  <c r="BG232" i="2"/>
  <c r="BF232" i="2"/>
  <c r="BE232" i="2"/>
  <c r="BG225" i="2"/>
  <c r="BG224" i="2"/>
  <c r="BF224" i="2"/>
  <c r="BE225" i="2"/>
  <c r="BF225" i="2"/>
  <c r="BE224" i="2"/>
  <c r="BE217" i="2"/>
  <c r="BF217" i="2"/>
  <c r="BG217" i="2"/>
  <c r="BE218" i="2"/>
  <c r="BF218" i="2"/>
  <c r="BG218" i="2"/>
  <c r="BE219" i="2"/>
  <c r="BG219" i="2"/>
  <c r="BE221" i="2"/>
  <c r="BF221" i="2"/>
  <c r="BG221" i="2"/>
  <c r="BE222" i="2"/>
  <c r="BG222" i="2"/>
  <c r="BG216" i="2"/>
  <c r="BF216" i="2"/>
  <c r="BE216" i="2"/>
  <c r="BG214" i="2"/>
  <c r="BG213" i="2"/>
  <c r="BF214" i="2"/>
  <c r="BF213" i="2"/>
  <c r="BE214" i="2"/>
  <c r="BE213" i="2"/>
  <c r="BE188" i="2"/>
  <c r="BF188" i="2"/>
  <c r="BG188" i="2"/>
  <c r="BF189" i="2"/>
  <c r="BE190" i="2"/>
  <c r="BF190" i="2"/>
  <c r="BG190" i="2"/>
  <c r="BE191" i="2"/>
  <c r="BF191" i="2"/>
  <c r="BG191" i="2"/>
  <c r="BE194" i="2"/>
  <c r="BG194" i="2"/>
  <c r="BE199" i="2"/>
  <c r="BE200" i="2"/>
  <c r="BG200" i="2"/>
  <c r="BE202" i="2"/>
  <c r="BG205" i="2"/>
  <c r="BE206" i="2"/>
  <c r="BF206" i="2"/>
  <c r="BG187" i="2"/>
  <c r="BF187" i="2"/>
  <c r="BE187" i="2"/>
  <c r="BG185" i="2"/>
  <c r="BG184" i="2"/>
  <c r="BF185" i="2"/>
  <c r="BF184" i="2"/>
  <c r="BE185" i="2"/>
  <c r="BE184" i="2"/>
  <c r="BE118" i="2"/>
  <c r="BF118" i="2"/>
  <c r="BG118" i="2"/>
  <c r="BE119" i="2"/>
  <c r="BF119" i="2"/>
  <c r="BG119" i="2"/>
  <c r="BE120" i="2"/>
  <c r="BF120" i="2"/>
  <c r="BG120" i="2"/>
  <c r="BE121" i="2"/>
  <c r="BF121" i="2"/>
  <c r="BG121" i="2"/>
  <c r="BE122" i="2"/>
  <c r="BF122" i="2"/>
  <c r="BG122" i="2"/>
  <c r="BE123" i="2"/>
  <c r="BF123" i="2"/>
  <c r="BG123" i="2"/>
  <c r="BE124" i="2"/>
  <c r="BF124" i="2"/>
  <c r="BG124" i="2"/>
  <c r="BE125" i="2"/>
  <c r="BF125" i="2"/>
  <c r="BG125" i="2"/>
  <c r="BF126" i="2"/>
  <c r="BG126" i="2"/>
  <c r="BF127" i="2"/>
  <c r="BE128" i="2"/>
  <c r="BF128" i="2"/>
  <c r="BE129" i="2"/>
  <c r="BF129" i="2"/>
  <c r="BE130" i="2"/>
  <c r="BF130" i="2"/>
  <c r="BG130" i="2"/>
  <c r="BE131" i="2"/>
  <c r="BF131" i="2"/>
  <c r="BG131" i="2"/>
  <c r="BF132" i="2"/>
  <c r="BG132" i="2"/>
  <c r="BE133" i="2"/>
  <c r="BF133" i="2"/>
  <c r="BE134" i="2"/>
  <c r="BF134" i="2"/>
  <c r="BG134" i="2"/>
  <c r="BE135" i="2"/>
  <c r="BF135" i="2"/>
  <c r="BG135" i="2"/>
  <c r="BE136" i="2"/>
  <c r="BE137" i="2"/>
  <c r="BF137" i="2"/>
  <c r="BG137" i="2"/>
  <c r="BF138" i="2"/>
  <c r="BG138" i="2"/>
  <c r="BF139" i="2"/>
  <c r="BG139" i="2"/>
  <c r="BE140" i="2"/>
  <c r="BF140" i="2"/>
  <c r="BG140" i="2"/>
  <c r="BE142" i="2"/>
  <c r="BF142" i="2"/>
  <c r="BG142" i="2"/>
  <c r="BE143" i="2"/>
  <c r="BF143" i="2"/>
  <c r="BG143" i="2"/>
  <c r="BE144" i="2"/>
  <c r="BF144" i="2"/>
  <c r="BG144" i="2"/>
  <c r="BE145" i="2"/>
  <c r="BF145" i="2"/>
  <c r="BE146" i="2"/>
  <c r="BF146" i="2"/>
  <c r="BG146" i="2"/>
  <c r="BG149" i="2"/>
  <c r="BE150" i="2"/>
  <c r="BF150" i="2"/>
  <c r="BG150" i="2"/>
  <c r="BE151" i="2"/>
  <c r="BF151" i="2"/>
  <c r="BG151" i="2"/>
  <c r="BE152" i="2"/>
  <c r="BF152" i="2"/>
  <c r="BG152" i="2"/>
  <c r="BE153" i="2"/>
  <c r="BF153" i="2"/>
  <c r="BG153" i="2"/>
  <c r="BE154" i="2"/>
  <c r="BF154" i="2"/>
  <c r="BG154" i="2"/>
  <c r="BE155" i="2"/>
  <c r="BF155" i="2"/>
  <c r="BE156" i="2"/>
  <c r="BG156" i="2"/>
  <c r="BE158" i="2"/>
  <c r="BF158" i="2"/>
  <c r="BG158" i="2"/>
  <c r="BF161" i="2"/>
  <c r="BG162" i="2"/>
  <c r="BG164" i="2"/>
  <c r="BG166" i="2"/>
  <c r="BG168" i="2"/>
  <c r="BF170" i="2"/>
  <c r="BG170" i="2"/>
  <c r="BF171" i="2"/>
  <c r="BE173" i="2"/>
  <c r="BF173" i="2"/>
  <c r="BG173" i="2"/>
  <c r="BF174" i="2"/>
  <c r="BF177" i="2"/>
  <c r="BG179" i="2"/>
  <c r="BE180" i="2"/>
  <c r="BF181" i="2"/>
  <c r="BF182" i="2"/>
  <c r="BG117" i="2"/>
  <c r="BF117" i="2"/>
  <c r="BE117" i="2"/>
  <c r="BG110" i="2"/>
  <c r="BG109" i="2"/>
  <c r="BF110" i="2"/>
  <c r="BF109" i="2"/>
  <c r="BE110" i="2"/>
  <c r="BE109" i="2"/>
  <c r="BE102" i="2"/>
  <c r="BF102" i="2"/>
  <c r="BG102" i="2"/>
  <c r="BE103" i="2"/>
  <c r="BF103" i="2"/>
  <c r="BG103" i="2"/>
  <c r="BE104" i="2"/>
  <c r="BF104" i="2"/>
  <c r="BG104" i="2"/>
  <c r="BE106" i="2"/>
  <c r="BF106" i="2"/>
  <c r="BG106" i="2"/>
  <c r="BE107" i="2"/>
  <c r="BG107" i="2"/>
  <c r="BG101" i="2"/>
  <c r="BF101" i="2"/>
  <c r="BE101" i="2"/>
  <c r="BG99" i="2"/>
  <c r="BG98" i="2"/>
  <c r="BF99" i="2"/>
  <c r="BF98" i="2"/>
  <c r="BE99" i="2"/>
  <c r="BE98" i="2"/>
  <c r="BE73" i="2"/>
  <c r="BF73" i="2"/>
  <c r="BG73" i="2"/>
  <c r="BE74" i="2"/>
  <c r="BF74" i="2"/>
  <c r="BG74" i="2"/>
  <c r="BE75" i="2"/>
  <c r="BF75" i="2"/>
  <c r="BG75" i="2"/>
  <c r="BE76" i="2"/>
  <c r="BF76" i="2"/>
  <c r="BG76" i="2"/>
  <c r="BF77" i="2"/>
  <c r="BG77" i="2"/>
  <c r="BE78" i="2"/>
  <c r="BF78" i="2"/>
  <c r="BG78" i="2"/>
  <c r="BE79" i="2"/>
  <c r="BG79" i="2"/>
  <c r="BF80" i="2"/>
  <c r="BG80" i="2"/>
  <c r="BF81" i="2"/>
  <c r="BG81" i="2"/>
  <c r="BE82" i="2"/>
  <c r="BF82" i="2"/>
  <c r="BG82" i="2"/>
  <c r="BF83" i="2"/>
  <c r="BG83" i="2"/>
  <c r="BE84" i="2"/>
  <c r="BF84" i="2"/>
  <c r="BE85" i="2"/>
  <c r="BG85" i="2"/>
  <c r="BG86" i="2"/>
  <c r="BE87" i="2"/>
  <c r="BG90" i="2"/>
  <c r="BE91" i="2"/>
  <c r="BF91" i="2"/>
  <c r="BF92" i="2"/>
  <c r="BF93" i="2"/>
  <c r="BG93" i="2"/>
  <c r="BE95" i="2"/>
  <c r="BG72" i="2"/>
  <c r="BF72" i="2"/>
  <c r="BE72" i="2"/>
  <c r="BG70" i="2"/>
  <c r="BG69" i="2"/>
  <c r="BF70" i="2"/>
  <c r="BF69" i="2"/>
  <c r="BE70" i="2"/>
  <c r="BE69" i="2"/>
  <c r="CG37" i="2"/>
  <c r="CE37" i="2"/>
  <c r="CD37" i="2"/>
  <c r="CF37" i="2"/>
  <c r="CH37" i="2"/>
  <c r="AI5" i="50" l="1"/>
  <c r="AE5" i="50"/>
  <c r="AA5" i="50"/>
  <c r="W5" i="50"/>
  <c r="S5" i="50"/>
  <c r="O5" i="50"/>
  <c r="K5" i="50"/>
  <c r="G5" i="50"/>
  <c r="C5" i="50"/>
  <c r="AI4" i="50"/>
  <c r="AE4" i="50"/>
  <c r="AA4" i="50"/>
  <c r="AA2" i="50" s="1"/>
  <c r="W4" i="50"/>
  <c r="S4" i="50"/>
  <c r="O4" i="50"/>
  <c r="K4" i="50"/>
  <c r="K2" i="50" s="1"/>
  <c r="G4" i="50"/>
  <c r="G2" i="50" s="1"/>
  <c r="C4" i="50"/>
  <c r="AI3" i="50"/>
  <c r="AE3" i="50"/>
  <c r="AA3" i="50"/>
  <c r="W3" i="50"/>
  <c r="W2" i="50" s="1"/>
  <c r="S3" i="50"/>
  <c r="S2" i="50" s="1"/>
  <c r="O3" i="50"/>
  <c r="K3" i="50"/>
  <c r="G3" i="50"/>
  <c r="C3" i="50"/>
  <c r="C2" i="50" s="1"/>
  <c r="AI5" i="49"/>
  <c r="AE5" i="49"/>
  <c r="AA5" i="49"/>
  <c r="W5" i="49"/>
  <c r="S5" i="49"/>
  <c r="O5" i="49"/>
  <c r="K5" i="49"/>
  <c r="G5" i="49"/>
  <c r="C5" i="49"/>
  <c r="AI4" i="49"/>
  <c r="AE4" i="49"/>
  <c r="AA4" i="49"/>
  <c r="W4" i="49"/>
  <c r="S4" i="49"/>
  <c r="O4" i="49"/>
  <c r="K4" i="49"/>
  <c r="K2" i="49" s="1"/>
  <c r="G4" i="49"/>
  <c r="C4" i="49"/>
  <c r="AI3" i="49"/>
  <c r="AE3" i="49"/>
  <c r="AE2" i="49" s="1"/>
  <c r="AA3" i="49"/>
  <c r="W3" i="49"/>
  <c r="S3" i="49"/>
  <c r="O3" i="49"/>
  <c r="K3" i="49"/>
  <c r="G3" i="49"/>
  <c r="C3" i="49"/>
  <c r="C2" i="49" s="1"/>
  <c r="AA2" i="49"/>
  <c r="S2" i="49"/>
  <c r="AI5" i="48"/>
  <c r="AE5" i="48"/>
  <c r="AA5" i="48"/>
  <c r="W5" i="48"/>
  <c r="S5" i="48"/>
  <c r="O5" i="48"/>
  <c r="K5" i="48"/>
  <c r="G5" i="48"/>
  <c r="C5" i="48"/>
  <c r="AI4" i="48"/>
  <c r="AI2" i="48" s="1"/>
  <c r="AE4" i="48"/>
  <c r="AA4" i="48"/>
  <c r="W4" i="48"/>
  <c r="S4" i="48"/>
  <c r="O4" i="48"/>
  <c r="K4" i="48"/>
  <c r="K2" i="48" s="1"/>
  <c r="G4" i="48"/>
  <c r="C4" i="48"/>
  <c r="AI3" i="48"/>
  <c r="AE3" i="48"/>
  <c r="AA3" i="48"/>
  <c r="W3" i="48"/>
  <c r="S3" i="48"/>
  <c r="S2" i="48" s="1"/>
  <c r="O3" i="48"/>
  <c r="K3" i="48"/>
  <c r="G3" i="48"/>
  <c r="C3" i="48"/>
  <c r="C2" i="48" s="1"/>
  <c r="AA2" i="48"/>
  <c r="AI5" i="47"/>
  <c r="AE5" i="47"/>
  <c r="AA5" i="47"/>
  <c r="W5" i="47"/>
  <c r="S5" i="47"/>
  <c r="O5" i="47"/>
  <c r="K5" i="47"/>
  <c r="G5" i="47"/>
  <c r="C5" i="47"/>
  <c r="AI4" i="47"/>
  <c r="AE4" i="47"/>
  <c r="AA4" i="47"/>
  <c r="W4" i="47"/>
  <c r="S4" i="47"/>
  <c r="S2" i="47" s="1"/>
  <c r="O4" i="47"/>
  <c r="K4" i="47"/>
  <c r="G4" i="47"/>
  <c r="G2" i="47" s="1"/>
  <c r="C4" i="47"/>
  <c r="AI3" i="47"/>
  <c r="AI2" i="47" s="1"/>
  <c r="AE3" i="47"/>
  <c r="AA3" i="47"/>
  <c r="AA2" i="47" s="1"/>
  <c r="W3" i="47"/>
  <c r="S3" i="47"/>
  <c r="O3" i="47"/>
  <c r="K3" i="47"/>
  <c r="G3" i="47"/>
  <c r="C3" i="47"/>
  <c r="CH38" i="2"/>
  <c r="CF38" i="2"/>
  <c r="CD38" i="2"/>
  <c r="CE38" i="2"/>
  <c r="CG38" i="2"/>
  <c r="AI2" i="50" l="1"/>
  <c r="AI2" i="49"/>
  <c r="AE2" i="50"/>
  <c r="AE2" i="48"/>
  <c r="AE2" i="47"/>
  <c r="W2" i="49"/>
  <c r="W2" i="48"/>
  <c r="W2" i="47"/>
  <c r="O2" i="50"/>
  <c r="O2" i="49"/>
  <c r="O2" i="48"/>
  <c r="O2" i="47"/>
  <c r="K2" i="47"/>
  <c r="G2" i="49"/>
  <c r="G2" i="48"/>
  <c r="C2" i="47"/>
  <c r="CG39" i="2"/>
  <c r="CD39" i="2"/>
  <c r="CH39" i="2"/>
  <c r="CE39" i="2"/>
  <c r="CF39" i="2"/>
  <c r="AI5" i="46" l="1"/>
  <c r="AE5" i="46"/>
  <c r="AA5" i="46"/>
  <c r="W5" i="46"/>
  <c r="S5" i="46"/>
  <c r="O5" i="46"/>
  <c r="K5" i="46"/>
  <c r="G5" i="46"/>
  <c r="C5" i="46"/>
  <c r="AI4" i="46"/>
  <c r="AE4" i="46"/>
  <c r="AA4" i="46"/>
  <c r="AA2" i="46" s="1"/>
  <c r="W4" i="46"/>
  <c r="S4" i="46"/>
  <c r="O4" i="46"/>
  <c r="K4" i="46"/>
  <c r="K2" i="46" s="1"/>
  <c r="G4" i="46"/>
  <c r="G2" i="46" s="1"/>
  <c r="C4" i="46"/>
  <c r="C2" i="46" s="1"/>
  <c r="AI3" i="46"/>
  <c r="AE3" i="46"/>
  <c r="AA3" i="46"/>
  <c r="W3" i="46"/>
  <c r="S3" i="46"/>
  <c r="S2" i="46" s="1"/>
  <c r="O3" i="46"/>
  <c r="K3" i="46"/>
  <c r="G3" i="46"/>
  <c r="C3" i="46"/>
  <c r="AE2" i="46"/>
  <c r="BE68" i="2"/>
  <c r="BF68" i="2"/>
  <c r="BG68" i="2"/>
  <c r="BH68" i="2"/>
  <c r="BE97" i="2"/>
  <c r="BF97" i="2"/>
  <c r="BG97" i="2"/>
  <c r="BH97" i="2"/>
  <c r="BE108" i="2"/>
  <c r="BF108" i="2"/>
  <c r="BG108" i="2"/>
  <c r="BH108" i="2"/>
  <c r="CF40" i="2"/>
  <c r="CE40" i="2"/>
  <c r="CH40" i="2"/>
  <c r="CD40" i="2"/>
  <c r="CG40" i="2"/>
  <c r="AI2" i="46" l="1"/>
  <c r="W2" i="46"/>
  <c r="O2" i="46"/>
  <c r="AI5" i="45"/>
  <c r="AE5" i="45"/>
  <c r="AA5" i="45"/>
  <c r="W5" i="45"/>
  <c r="S5" i="45"/>
  <c r="O5" i="45"/>
  <c r="K5" i="45"/>
  <c r="G5" i="45"/>
  <c r="C5" i="45"/>
  <c r="AI4" i="45"/>
  <c r="AE4" i="45"/>
  <c r="AA4" i="45"/>
  <c r="W4" i="45"/>
  <c r="S4" i="45"/>
  <c r="O4" i="45"/>
  <c r="K4" i="45"/>
  <c r="K2" i="45" s="1"/>
  <c r="H109" i="2" s="1"/>
  <c r="G4" i="45"/>
  <c r="C4" i="45"/>
  <c r="AI3" i="45"/>
  <c r="AE3" i="45"/>
  <c r="AA3" i="45"/>
  <c r="AA2" i="45" s="1"/>
  <c r="H299" i="2" s="1"/>
  <c r="W3" i="45"/>
  <c r="H225" i="2" s="1"/>
  <c r="S3" i="45"/>
  <c r="H214" i="2" s="1"/>
  <c r="O3" i="45"/>
  <c r="K3" i="45"/>
  <c r="G3" i="45"/>
  <c r="G2" i="45" s="1"/>
  <c r="H98" i="2" s="1"/>
  <c r="C3" i="45"/>
  <c r="AI2" i="45"/>
  <c r="H339" i="2" s="1"/>
  <c r="S2" i="45"/>
  <c r="H213" i="2" s="1"/>
  <c r="C2" i="45"/>
  <c r="H256" i="2"/>
  <c r="H283" i="2"/>
  <c r="H291" i="2"/>
  <c r="H340" i="2"/>
  <c r="H332" i="2"/>
  <c r="H333" i="2"/>
  <c r="H334" i="2"/>
  <c r="H335" i="2"/>
  <c r="H336" i="2"/>
  <c r="H337" i="2"/>
  <c r="H331" i="2"/>
  <c r="H329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02" i="2"/>
  <c r="H300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4" i="2"/>
  <c r="H285" i="2"/>
  <c r="H286" i="2"/>
  <c r="H287" i="2"/>
  <c r="H288" i="2"/>
  <c r="H289" i="2"/>
  <c r="H290" i="2"/>
  <c r="H292" i="2"/>
  <c r="H293" i="2"/>
  <c r="H294" i="2"/>
  <c r="H295" i="2"/>
  <c r="H296" i="2"/>
  <c r="H297" i="2"/>
  <c r="H232" i="2"/>
  <c r="H217" i="2"/>
  <c r="H218" i="2"/>
  <c r="H219" i="2"/>
  <c r="H220" i="2"/>
  <c r="H221" i="2"/>
  <c r="H222" i="2"/>
  <c r="H216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18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17" i="2"/>
  <c r="H110" i="2"/>
  <c r="H102" i="2"/>
  <c r="H103" i="2"/>
  <c r="H104" i="2"/>
  <c r="H105" i="2"/>
  <c r="H106" i="2"/>
  <c r="H107" i="2"/>
  <c r="H101" i="2"/>
  <c r="H99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72" i="2"/>
  <c r="H70" i="2"/>
  <c r="H69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2" i="2"/>
  <c r="CG41" i="2"/>
  <c r="CD41" i="2"/>
  <c r="CH41" i="2"/>
  <c r="CE41" i="2"/>
  <c r="CF41" i="2"/>
  <c r="AE2" i="45" l="1"/>
  <c r="H328" i="2" s="1"/>
  <c r="W2" i="45"/>
  <c r="H224" i="2" s="1"/>
  <c r="O2" i="45"/>
  <c r="H184" i="2" s="1"/>
  <c r="H327" i="2"/>
  <c r="H97" i="2"/>
  <c r="H68" i="2"/>
  <c r="H108" i="2"/>
  <c r="H183" i="2"/>
  <c r="H223" i="2"/>
  <c r="H212" i="2"/>
  <c r="H338" i="2"/>
  <c r="H298" i="2"/>
  <c r="BE338" i="2"/>
  <c r="BF338" i="2"/>
  <c r="BG338" i="2"/>
  <c r="BH338" i="2"/>
  <c r="BE327" i="2"/>
  <c r="BF327" i="2"/>
  <c r="BG327" i="2"/>
  <c r="BH327" i="2"/>
  <c r="BE298" i="2"/>
  <c r="BF298" i="2"/>
  <c r="BG298" i="2"/>
  <c r="BH298" i="2"/>
  <c r="BE223" i="2"/>
  <c r="BF223" i="2"/>
  <c r="BG223" i="2"/>
  <c r="BH223" i="2"/>
  <c r="BE212" i="2"/>
  <c r="BF212" i="2"/>
  <c r="BG212" i="2"/>
  <c r="BH212" i="2"/>
  <c r="BE183" i="2"/>
  <c r="BF183" i="2"/>
  <c r="BG183" i="2"/>
  <c r="BH183" i="2"/>
  <c r="CF42" i="2"/>
  <c r="CE42" i="2"/>
  <c r="CH42" i="2"/>
  <c r="CD42" i="2"/>
  <c r="CG42" i="2"/>
  <c r="H185" i="2" l="1"/>
  <c r="CG43" i="2"/>
  <c r="CH43" i="2"/>
  <c r="CF43" i="2"/>
  <c r="CD43" i="2"/>
  <c r="CE43" i="2"/>
  <c r="AI5" i="44" l="1"/>
  <c r="AE5" i="44"/>
  <c r="AA5" i="44"/>
  <c r="W5" i="44"/>
  <c r="S5" i="44"/>
  <c r="O5" i="44"/>
  <c r="K5" i="44"/>
  <c r="G5" i="44"/>
  <c r="C5" i="44"/>
  <c r="AI4" i="44"/>
  <c r="AE4" i="44"/>
  <c r="AA4" i="44"/>
  <c r="W4" i="44"/>
  <c r="S4" i="44"/>
  <c r="O4" i="44"/>
  <c r="K4" i="44"/>
  <c r="G4" i="44"/>
  <c r="C4" i="44"/>
  <c r="AI3" i="44"/>
  <c r="AI2" i="44" s="1"/>
  <c r="AE3" i="44"/>
  <c r="AA3" i="44"/>
  <c r="AA2" i="44" s="1"/>
  <c r="W3" i="44"/>
  <c r="W2" i="44" s="1"/>
  <c r="S3" i="44"/>
  <c r="O3" i="44"/>
  <c r="K3" i="44"/>
  <c r="K2" i="44" s="1"/>
  <c r="G3" i="44"/>
  <c r="G2" i="44" s="1"/>
  <c r="C3" i="44"/>
  <c r="C2" i="44" s="1"/>
  <c r="AE2" i="44"/>
  <c r="CE44" i="2"/>
  <c r="CF44" i="2"/>
  <c r="CH44" i="2"/>
  <c r="CD44" i="2"/>
  <c r="CG44" i="2"/>
  <c r="S2" i="44" l="1"/>
  <c r="O2" i="44"/>
  <c r="AI5" i="43"/>
  <c r="AE5" i="43"/>
  <c r="AA5" i="43"/>
  <c r="W5" i="43"/>
  <c r="S5" i="43"/>
  <c r="O5" i="43"/>
  <c r="K5" i="43"/>
  <c r="G5" i="43"/>
  <c r="C5" i="43"/>
  <c r="AI4" i="43"/>
  <c r="AE4" i="43"/>
  <c r="AA4" i="43"/>
  <c r="W4" i="43"/>
  <c r="S4" i="43"/>
  <c r="O4" i="43"/>
  <c r="K4" i="43"/>
  <c r="G4" i="43"/>
  <c r="G2" i="43" s="1"/>
  <c r="C4" i="43"/>
  <c r="AI3" i="43"/>
  <c r="AE3" i="43"/>
  <c r="AE2" i="43" s="1"/>
  <c r="AA3" i="43"/>
  <c r="W3" i="43"/>
  <c r="S3" i="43"/>
  <c r="S2" i="43" s="1"/>
  <c r="O3" i="43"/>
  <c r="O2" i="43" s="1"/>
  <c r="K3" i="43"/>
  <c r="G3" i="43"/>
  <c r="C3" i="43"/>
  <c r="AI5" i="42"/>
  <c r="AE5" i="42"/>
  <c r="AA5" i="42"/>
  <c r="W5" i="42"/>
  <c r="S5" i="42"/>
  <c r="O5" i="42"/>
  <c r="K5" i="42"/>
  <c r="G5" i="42"/>
  <c r="C5" i="42"/>
  <c r="AI4" i="42"/>
  <c r="AE4" i="42"/>
  <c r="AA4" i="42"/>
  <c r="W4" i="42"/>
  <c r="S4" i="42"/>
  <c r="S2" i="42" s="1"/>
  <c r="O4" i="42"/>
  <c r="K4" i="42"/>
  <c r="K2" i="42" s="1"/>
  <c r="G4" i="42"/>
  <c r="C4" i="42"/>
  <c r="C2" i="42" s="1"/>
  <c r="AI3" i="42"/>
  <c r="AE3" i="42"/>
  <c r="AA3" i="42"/>
  <c r="AA2" i="42" s="1"/>
  <c r="W3" i="42"/>
  <c r="W2" i="42" s="1"/>
  <c r="S3" i="42"/>
  <c r="O3" i="42"/>
  <c r="K3" i="42"/>
  <c r="G3" i="42"/>
  <c r="G2" i="42" s="1"/>
  <c r="C3" i="42"/>
  <c r="CG45" i="2"/>
  <c r="CE45" i="2"/>
  <c r="CD45" i="2"/>
  <c r="CH45" i="2"/>
  <c r="CF45" i="2"/>
  <c r="AI2" i="43" l="1"/>
  <c r="AI2" i="42"/>
  <c r="AE2" i="42"/>
  <c r="AA2" i="43"/>
  <c r="W2" i="43"/>
  <c r="O2" i="42"/>
  <c r="K2" i="43"/>
  <c r="C2" i="43"/>
  <c r="AI5" i="41"/>
  <c r="AE5" i="41"/>
  <c r="AA5" i="41"/>
  <c r="W5" i="41"/>
  <c r="S5" i="41"/>
  <c r="O5" i="41"/>
  <c r="K5" i="41"/>
  <c r="G5" i="41"/>
  <c r="C5" i="41"/>
  <c r="AI4" i="41"/>
  <c r="AE4" i="41"/>
  <c r="AA4" i="41"/>
  <c r="AA2" i="41" s="1"/>
  <c r="W4" i="41"/>
  <c r="S4" i="41"/>
  <c r="O4" i="41"/>
  <c r="K4" i="41"/>
  <c r="G4" i="41"/>
  <c r="C4" i="41"/>
  <c r="C2" i="41" s="1"/>
  <c r="AI3" i="41"/>
  <c r="AE3" i="41"/>
  <c r="AA3" i="41"/>
  <c r="W3" i="41"/>
  <c r="S3" i="41"/>
  <c r="O3" i="41"/>
  <c r="O2" i="41" s="1"/>
  <c r="K3" i="41"/>
  <c r="G3" i="41"/>
  <c r="G2" i="41" s="1"/>
  <c r="C3" i="41"/>
  <c r="AI2" i="41"/>
  <c r="S2" i="41"/>
  <c r="K2" i="41"/>
  <c r="CF46" i="2"/>
  <c r="CE46" i="2"/>
  <c r="CG46" i="2"/>
  <c r="CH46" i="2"/>
  <c r="CD46" i="2"/>
  <c r="AE2" i="41" l="1"/>
  <c r="W2" i="41"/>
  <c r="AI5" i="40"/>
  <c r="AE5" i="40"/>
  <c r="AA5" i="40"/>
  <c r="W5" i="40"/>
  <c r="S5" i="40"/>
  <c r="O5" i="40"/>
  <c r="K5" i="40"/>
  <c r="G5" i="40"/>
  <c r="C5" i="40"/>
  <c r="AI4" i="40"/>
  <c r="AE4" i="40"/>
  <c r="AA4" i="40"/>
  <c r="AA2" i="40" s="1"/>
  <c r="W4" i="40"/>
  <c r="S4" i="40"/>
  <c r="O4" i="40"/>
  <c r="K4" i="40"/>
  <c r="G4" i="40"/>
  <c r="C4" i="40"/>
  <c r="C2" i="40" s="1"/>
  <c r="AI3" i="40"/>
  <c r="AE3" i="40"/>
  <c r="AA3" i="40"/>
  <c r="W3" i="40"/>
  <c r="S3" i="40"/>
  <c r="O3" i="40"/>
  <c r="K3" i="40"/>
  <c r="G3" i="40"/>
  <c r="C3" i="40"/>
  <c r="AI2" i="40"/>
  <c r="AE2" i="40"/>
  <c r="S2" i="40"/>
  <c r="CD47" i="2"/>
  <c r="CF47" i="2"/>
  <c r="CH47" i="2"/>
  <c r="CG47" i="2"/>
  <c r="CE47" i="2"/>
  <c r="W2" i="40" l="1"/>
  <c r="O2" i="40"/>
  <c r="K2" i="40"/>
  <c r="G2" i="40"/>
  <c r="AI5" i="39"/>
  <c r="AE5" i="39"/>
  <c r="AA5" i="39"/>
  <c r="W5" i="39"/>
  <c r="S5" i="39"/>
  <c r="O5" i="39"/>
  <c r="K5" i="39"/>
  <c r="G5" i="39"/>
  <c r="C5" i="39"/>
  <c r="AI4" i="39"/>
  <c r="AE4" i="39"/>
  <c r="AA4" i="39"/>
  <c r="W4" i="39"/>
  <c r="S4" i="39"/>
  <c r="O4" i="39"/>
  <c r="K4" i="39"/>
  <c r="G4" i="39"/>
  <c r="C4" i="39"/>
  <c r="AI3" i="39"/>
  <c r="AE3" i="39"/>
  <c r="AE2" i="39" s="1"/>
  <c r="AA3" i="39"/>
  <c r="AA2" i="39" s="1"/>
  <c r="W3" i="39"/>
  <c r="W2" i="39" s="1"/>
  <c r="S3" i="39"/>
  <c r="S2" i="39" s="1"/>
  <c r="O3" i="39"/>
  <c r="K3" i="39"/>
  <c r="K2" i="39" s="1"/>
  <c r="G3" i="39"/>
  <c r="G2" i="39" s="1"/>
  <c r="C3" i="39"/>
  <c r="CE48" i="2"/>
  <c r="CG48" i="2"/>
  <c r="CH48" i="2"/>
  <c r="CD48" i="2"/>
  <c r="CF48" i="2"/>
  <c r="AI2" i="39" l="1"/>
  <c r="O2" i="39"/>
  <c r="C2" i="39"/>
  <c r="AI5" i="38"/>
  <c r="AE5" i="38"/>
  <c r="AA5" i="38"/>
  <c r="W5" i="38"/>
  <c r="S5" i="38"/>
  <c r="O5" i="38"/>
  <c r="K5" i="38"/>
  <c r="G5" i="38"/>
  <c r="C5" i="38"/>
  <c r="AI4" i="38"/>
  <c r="AI2" i="38" s="1"/>
  <c r="AE4" i="38"/>
  <c r="AA4" i="38"/>
  <c r="AA2" i="38" s="1"/>
  <c r="W4" i="38"/>
  <c r="S4" i="38"/>
  <c r="O4" i="38"/>
  <c r="K4" i="38"/>
  <c r="G4" i="38"/>
  <c r="G2" i="38" s="1"/>
  <c r="C4" i="38"/>
  <c r="C2" i="38" s="1"/>
  <c r="AI3" i="38"/>
  <c r="AE3" i="38"/>
  <c r="AE2" i="38" s="1"/>
  <c r="AA3" i="38"/>
  <c r="W3" i="38"/>
  <c r="S3" i="38"/>
  <c r="O3" i="38"/>
  <c r="K3" i="38"/>
  <c r="G3" i="38"/>
  <c r="C3" i="38"/>
  <c r="W2" i="38"/>
  <c r="O2" i="38"/>
  <c r="CF49" i="2"/>
  <c r="CE49" i="2"/>
  <c r="CD49" i="2"/>
  <c r="CH49" i="2"/>
  <c r="CG49" i="2"/>
  <c r="S2" i="38" l="1"/>
  <c r="K2" i="38"/>
  <c r="CG50" i="2"/>
  <c r="CD50" i="2"/>
  <c r="CE50" i="2"/>
  <c r="CH50" i="2"/>
  <c r="CF50" i="2"/>
  <c r="AI5" i="37" l="1"/>
  <c r="AE5" i="37"/>
  <c r="AA5" i="37"/>
  <c r="W5" i="37"/>
  <c r="S5" i="37"/>
  <c r="O5" i="37"/>
  <c r="K5" i="37"/>
  <c r="G5" i="37"/>
  <c r="C5" i="37"/>
  <c r="AI4" i="37"/>
  <c r="AI2" i="37" s="1"/>
  <c r="AE4" i="37"/>
  <c r="AE2" i="37" s="1"/>
  <c r="AA4" i="37"/>
  <c r="W4" i="37"/>
  <c r="W2" i="37" s="1"/>
  <c r="S4" i="37"/>
  <c r="S2" i="37" s="1"/>
  <c r="O4" i="37"/>
  <c r="K4" i="37"/>
  <c r="G4" i="37"/>
  <c r="G2" i="37" s="1"/>
  <c r="C4" i="37"/>
  <c r="AI3" i="37"/>
  <c r="AE3" i="37"/>
  <c r="AA3" i="37"/>
  <c r="W3" i="37"/>
  <c r="S3" i="37"/>
  <c r="O3" i="37"/>
  <c r="O2" i="37" s="1"/>
  <c r="K3" i="37"/>
  <c r="G3" i="37"/>
  <c r="C3" i="37"/>
  <c r="AI5" i="36"/>
  <c r="AE5" i="36"/>
  <c r="AA5" i="36"/>
  <c r="W5" i="36"/>
  <c r="S5" i="36"/>
  <c r="O5" i="36"/>
  <c r="K5" i="36"/>
  <c r="G5" i="36"/>
  <c r="C5" i="36"/>
  <c r="AI4" i="36"/>
  <c r="AI2" i="36" s="1"/>
  <c r="AE4" i="36"/>
  <c r="AE2" i="36" s="1"/>
  <c r="AA4" i="36"/>
  <c r="W4" i="36"/>
  <c r="S4" i="36"/>
  <c r="O4" i="36"/>
  <c r="K4" i="36"/>
  <c r="G4" i="36"/>
  <c r="C4" i="36"/>
  <c r="C2" i="36" s="1"/>
  <c r="AI3" i="36"/>
  <c r="AE3" i="36"/>
  <c r="AA3" i="36"/>
  <c r="W3" i="36"/>
  <c r="S3" i="36"/>
  <c r="O3" i="36"/>
  <c r="O2" i="36" s="1"/>
  <c r="K3" i="36"/>
  <c r="G3" i="36"/>
  <c r="C3" i="36"/>
  <c r="W2" i="36"/>
  <c r="S2" i="36"/>
  <c r="AI5" i="35"/>
  <c r="AE5" i="35"/>
  <c r="AA5" i="35"/>
  <c r="W5" i="35"/>
  <c r="S5" i="35"/>
  <c r="O5" i="35"/>
  <c r="K5" i="35"/>
  <c r="G5" i="35"/>
  <c r="C5" i="35"/>
  <c r="AI4" i="35"/>
  <c r="AE4" i="35"/>
  <c r="AE2" i="35" s="1"/>
  <c r="AA4" i="35"/>
  <c r="W4" i="35"/>
  <c r="S4" i="35"/>
  <c r="O4" i="35"/>
  <c r="K4" i="35"/>
  <c r="K2" i="35" s="1"/>
  <c r="G4" i="35"/>
  <c r="C4" i="35"/>
  <c r="C2" i="35" s="1"/>
  <c r="AI3" i="35"/>
  <c r="AE3" i="35"/>
  <c r="AA3" i="35"/>
  <c r="AA2" i="35" s="1"/>
  <c r="W3" i="35"/>
  <c r="W2" i="35" s="1"/>
  <c r="S3" i="35"/>
  <c r="O3" i="35"/>
  <c r="O2" i="35" s="1"/>
  <c r="K3" i="35"/>
  <c r="G3" i="35"/>
  <c r="G2" i="35" s="1"/>
  <c r="C3" i="35"/>
  <c r="CF51" i="2"/>
  <c r="CG51" i="2"/>
  <c r="CH51" i="2"/>
  <c r="CE51" i="2"/>
  <c r="CD51" i="2"/>
  <c r="AI2" i="35" l="1"/>
  <c r="AA2" i="37"/>
  <c r="AA2" i="36"/>
  <c r="S2" i="35"/>
  <c r="K2" i="37"/>
  <c r="K2" i="36"/>
  <c r="G2" i="36"/>
  <c r="C2" i="37"/>
  <c r="CD52" i="2"/>
  <c r="CG52" i="2"/>
  <c r="CF52" i="2"/>
  <c r="CE52" i="2"/>
  <c r="CH52" i="2"/>
  <c r="AI5" i="34" l="1"/>
  <c r="AE5" i="34"/>
  <c r="AA5" i="34"/>
  <c r="W5" i="34"/>
  <c r="S5" i="34"/>
  <c r="O5" i="34"/>
  <c r="K5" i="34"/>
  <c r="G5" i="34"/>
  <c r="C5" i="34"/>
  <c r="AI4" i="34"/>
  <c r="AE4" i="34"/>
  <c r="AE2" i="34" s="1"/>
  <c r="AA4" i="34"/>
  <c r="W4" i="34"/>
  <c r="W2" i="34" s="1"/>
  <c r="S4" i="34"/>
  <c r="O4" i="34"/>
  <c r="K4" i="34"/>
  <c r="G4" i="34"/>
  <c r="C4" i="34"/>
  <c r="AI3" i="34"/>
  <c r="AE3" i="34"/>
  <c r="AA3" i="34"/>
  <c r="AA2" i="34" s="1"/>
  <c r="W3" i="34"/>
  <c r="S3" i="34"/>
  <c r="O3" i="34"/>
  <c r="K3" i="34"/>
  <c r="G3" i="34"/>
  <c r="C3" i="34"/>
  <c r="G2" i="34"/>
  <c r="CH53" i="2"/>
  <c r="CD53" i="2"/>
  <c r="CE53" i="2"/>
  <c r="CF53" i="2"/>
  <c r="CG53" i="2"/>
  <c r="AI2" i="34" l="1"/>
  <c r="S2" i="34"/>
  <c r="O2" i="34"/>
  <c r="K2" i="34"/>
  <c r="C2" i="34"/>
  <c r="AI5" i="33"/>
  <c r="AE5" i="33"/>
  <c r="AA5" i="33"/>
  <c r="W5" i="33"/>
  <c r="S5" i="33"/>
  <c r="O5" i="33"/>
  <c r="K5" i="33"/>
  <c r="G5" i="33"/>
  <c r="C5" i="33"/>
  <c r="AI4" i="33"/>
  <c r="AE4" i="33"/>
  <c r="AA4" i="33"/>
  <c r="W4" i="33"/>
  <c r="S4" i="33"/>
  <c r="O4" i="33"/>
  <c r="K4" i="33"/>
  <c r="G4" i="33"/>
  <c r="C4" i="33"/>
  <c r="C2" i="33" s="1"/>
  <c r="AI3" i="33"/>
  <c r="AI2" i="33" s="1"/>
  <c r="AE3" i="33"/>
  <c r="AA3" i="33"/>
  <c r="W3" i="33"/>
  <c r="W2" i="33" s="1"/>
  <c r="S3" i="33"/>
  <c r="S2" i="33" s="1"/>
  <c r="O3" i="33"/>
  <c r="K3" i="33"/>
  <c r="G3" i="33"/>
  <c r="C3" i="33"/>
  <c r="CG54" i="2"/>
  <c r="CD54" i="2"/>
  <c r="CH54" i="2"/>
  <c r="CF54" i="2"/>
  <c r="CE54" i="2"/>
  <c r="AE2" i="33" l="1"/>
  <c r="AA2" i="33"/>
  <c r="O2" i="33"/>
  <c r="K2" i="33"/>
  <c r="G2" i="33"/>
  <c r="AI5" i="32"/>
  <c r="AE5" i="32"/>
  <c r="AA5" i="32"/>
  <c r="W5" i="32"/>
  <c r="S5" i="32"/>
  <c r="O5" i="32"/>
  <c r="K5" i="32"/>
  <c r="G5" i="32"/>
  <c r="C5" i="32"/>
  <c r="AI4" i="32"/>
  <c r="AI2" i="32" s="1"/>
  <c r="AE4" i="32"/>
  <c r="AA4" i="32"/>
  <c r="AA2" i="32" s="1"/>
  <c r="W4" i="32"/>
  <c r="S4" i="32"/>
  <c r="O4" i="32"/>
  <c r="K4" i="32"/>
  <c r="G4" i="32"/>
  <c r="C4" i="32"/>
  <c r="C2" i="32" s="1"/>
  <c r="AI3" i="32"/>
  <c r="AE3" i="32"/>
  <c r="AE2" i="32" s="1"/>
  <c r="AA3" i="32"/>
  <c r="W3" i="32"/>
  <c r="S3" i="32"/>
  <c r="O3" i="32"/>
  <c r="K3" i="32"/>
  <c r="G3" i="32"/>
  <c r="C3" i="32"/>
  <c r="S2" i="32"/>
  <c r="O2" i="32"/>
  <c r="CE55" i="2"/>
  <c r="CG55" i="2"/>
  <c r="CF55" i="2"/>
  <c r="CH55" i="2"/>
  <c r="CD55" i="2"/>
  <c r="W2" i="32" l="1"/>
  <c r="K2" i="32"/>
  <c r="G2" i="32"/>
  <c r="AI5" i="31"/>
  <c r="AE5" i="31"/>
  <c r="AA5" i="31"/>
  <c r="W5" i="31"/>
  <c r="S5" i="31"/>
  <c r="O5" i="31"/>
  <c r="K5" i="31"/>
  <c r="G5" i="31"/>
  <c r="C5" i="31"/>
  <c r="AI4" i="31"/>
  <c r="AE4" i="31"/>
  <c r="AE2" i="31" s="1"/>
  <c r="AA4" i="31"/>
  <c r="W4" i="31"/>
  <c r="S4" i="31"/>
  <c r="S2" i="31" s="1"/>
  <c r="O4" i="31"/>
  <c r="K4" i="31"/>
  <c r="G4" i="31"/>
  <c r="G2" i="31" s="1"/>
  <c r="C4" i="31"/>
  <c r="AI3" i="31"/>
  <c r="AE3" i="31"/>
  <c r="AA3" i="31"/>
  <c r="AA2" i="31" s="1"/>
  <c r="W3" i="31"/>
  <c r="S3" i="31"/>
  <c r="O3" i="31"/>
  <c r="K3" i="31"/>
  <c r="G3" i="31"/>
  <c r="C3" i="31"/>
  <c r="O2" i="31"/>
  <c r="CD56" i="2"/>
  <c r="CE56" i="2"/>
  <c r="CH56" i="2"/>
  <c r="CF56" i="2"/>
  <c r="CG56" i="2"/>
  <c r="AI2" i="31" l="1"/>
  <c r="W2" i="31"/>
  <c r="K2" i="31"/>
  <c r="C2" i="31"/>
  <c r="AI5" i="30"/>
  <c r="AE5" i="30"/>
  <c r="AA5" i="30"/>
  <c r="W5" i="30"/>
  <c r="S5" i="30"/>
  <c r="O5" i="30"/>
  <c r="K5" i="30"/>
  <c r="G5" i="30"/>
  <c r="C5" i="30"/>
  <c r="AI4" i="30"/>
  <c r="AE4" i="30"/>
  <c r="AA4" i="30"/>
  <c r="W4" i="30"/>
  <c r="S4" i="30"/>
  <c r="O4" i="30"/>
  <c r="O2" i="30" s="1"/>
  <c r="K4" i="30"/>
  <c r="K2" i="30" s="1"/>
  <c r="G4" i="30"/>
  <c r="C4" i="30"/>
  <c r="C2" i="30" s="1"/>
  <c r="AI3" i="30"/>
  <c r="AE3" i="30"/>
  <c r="AA3" i="30"/>
  <c r="AA2" i="30" s="1"/>
  <c r="W3" i="30"/>
  <c r="S3" i="30"/>
  <c r="O3" i="30"/>
  <c r="K3" i="30"/>
  <c r="G3" i="30"/>
  <c r="G2" i="30" s="1"/>
  <c r="C3" i="30"/>
  <c r="AE2" i="30"/>
  <c r="W2" i="30"/>
  <c r="CG57" i="2"/>
  <c r="CE57" i="2"/>
  <c r="CD57" i="2"/>
  <c r="CF57" i="2"/>
  <c r="CH57" i="2"/>
  <c r="AI2" i="30" l="1"/>
  <c r="S2" i="30"/>
  <c r="AI5" i="29"/>
  <c r="AE5" i="29"/>
  <c r="AA5" i="29"/>
  <c r="W5" i="29"/>
  <c r="S5" i="29"/>
  <c r="O5" i="29"/>
  <c r="K5" i="29"/>
  <c r="G5" i="29"/>
  <c r="C5" i="29"/>
  <c r="AI4" i="29"/>
  <c r="AI2" i="29" s="1"/>
  <c r="AE4" i="29"/>
  <c r="AE2" i="29" s="1"/>
  <c r="AA4" i="29"/>
  <c r="W4" i="29"/>
  <c r="S4" i="29"/>
  <c r="O4" i="29"/>
  <c r="K4" i="29"/>
  <c r="G4" i="29"/>
  <c r="C4" i="29"/>
  <c r="C2" i="29" s="1"/>
  <c r="AI3" i="29"/>
  <c r="AE3" i="29"/>
  <c r="AA3" i="29"/>
  <c r="AA2" i="29" s="1"/>
  <c r="W3" i="29"/>
  <c r="S3" i="29"/>
  <c r="S2" i="29" s="1"/>
  <c r="O3" i="29"/>
  <c r="K3" i="29"/>
  <c r="K2" i="29" s="1"/>
  <c r="G3" i="29"/>
  <c r="G2" i="29" s="1"/>
  <c r="C3" i="29"/>
  <c r="AI5" i="28"/>
  <c r="AE5" i="28"/>
  <c r="AA5" i="28"/>
  <c r="W5" i="28"/>
  <c r="S5" i="28"/>
  <c r="O5" i="28"/>
  <c r="K5" i="28"/>
  <c r="G5" i="28"/>
  <c r="C5" i="28"/>
  <c r="AI4" i="28"/>
  <c r="AE4" i="28"/>
  <c r="AA4" i="28"/>
  <c r="W4" i="28"/>
  <c r="S4" i="28"/>
  <c r="O4" i="28"/>
  <c r="K4" i="28"/>
  <c r="K2" i="28" s="1"/>
  <c r="G4" i="28"/>
  <c r="C4" i="28"/>
  <c r="C2" i="28" s="1"/>
  <c r="AI3" i="28"/>
  <c r="AI2" i="28" s="1"/>
  <c r="AE3" i="28"/>
  <c r="AA3" i="28"/>
  <c r="AA2" i="28" s="1"/>
  <c r="W3" i="28"/>
  <c r="W2" i="28" s="1"/>
  <c r="S3" i="28"/>
  <c r="S2" i="28" s="1"/>
  <c r="O3" i="28"/>
  <c r="K3" i="28"/>
  <c r="G3" i="28"/>
  <c r="C3" i="28"/>
  <c r="CH58" i="2"/>
  <c r="CF58" i="2"/>
  <c r="CD58" i="2"/>
  <c r="CG58" i="2"/>
  <c r="CE58" i="2"/>
  <c r="AE2" i="28" l="1"/>
  <c r="W2" i="29"/>
  <c r="O2" i="29"/>
  <c r="O2" i="28"/>
  <c r="G2" i="28"/>
  <c r="AI5" i="27"/>
  <c r="AE5" i="27"/>
  <c r="AA5" i="27"/>
  <c r="W5" i="27"/>
  <c r="S5" i="27"/>
  <c r="O5" i="27"/>
  <c r="K5" i="27"/>
  <c r="G5" i="27"/>
  <c r="C5" i="27"/>
  <c r="AI4" i="27"/>
  <c r="AE4" i="27"/>
  <c r="AA4" i="27"/>
  <c r="W4" i="27"/>
  <c r="S4" i="27"/>
  <c r="S2" i="27" s="1"/>
  <c r="O4" i="27"/>
  <c r="K4" i="27"/>
  <c r="G4" i="27"/>
  <c r="G2" i="27" s="1"/>
  <c r="C4" i="27"/>
  <c r="AI3" i="27"/>
  <c r="AE3" i="27"/>
  <c r="AA3" i="27"/>
  <c r="AA2" i="27" s="1"/>
  <c r="W3" i="27"/>
  <c r="W2" i="27" s="1"/>
  <c r="S3" i="27"/>
  <c r="O3" i="27"/>
  <c r="O2" i="27" s="1"/>
  <c r="K3" i="27"/>
  <c r="G3" i="27"/>
  <c r="C3" i="27"/>
  <c r="C2" i="27" s="1"/>
  <c r="AE2" i="27"/>
  <c r="AI1" i="27"/>
  <c r="AE1" i="27"/>
  <c r="AA1" i="27"/>
  <c r="W1" i="27"/>
  <c r="S1" i="27"/>
  <c r="O1" i="27"/>
  <c r="K1" i="27"/>
  <c r="G1" i="27"/>
  <c r="C1" i="27"/>
  <c r="CE59" i="2"/>
  <c r="CG59" i="2"/>
  <c r="CD59" i="2"/>
  <c r="CF59" i="2"/>
  <c r="CH59" i="2"/>
  <c r="AI2" i="27" l="1"/>
  <c r="K2" i="27"/>
  <c r="CH60" i="2"/>
  <c r="CD60" i="2"/>
  <c r="CG60" i="2"/>
  <c r="CF60" i="2"/>
  <c r="CE60" i="2"/>
  <c r="AI5" i="26" l="1"/>
  <c r="AE5" i="26"/>
  <c r="AA5" i="26"/>
  <c r="W5" i="26"/>
  <c r="S5" i="26"/>
  <c r="O5" i="26"/>
  <c r="K5" i="26"/>
  <c r="G5" i="26"/>
  <c r="C5" i="26"/>
  <c r="AI4" i="26"/>
  <c r="AE4" i="26"/>
  <c r="AA4" i="26"/>
  <c r="AA2" i="26" s="1"/>
  <c r="W4" i="26"/>
  <c r="S4" i="26"/>
  <c r="O4" i="26"/>
  <c r="K4" i="26"/>
  <c r="K2" i="26" s="1"/>
  <c r="G4" i="26"/>
  <c r="G2" i="26" s="1"/>
  <c r="C4" i="26"/>
  <c r="AI3" i="26"/>
  <c r="AI2" i="26" s="1"/>
  <c r="AE3" i="26"/>
  <c r="AA3" i="26"/>
  <c r="W3" i="26"/>
  <c r="S3" i="26"/>
  <c r="O3" i="26"/>
  <c r="O2" i="26" s="1"/>
  <c r="K3" i="26"/>
  <c r="G3" i="26"/>
  <c r="C3" i="26"/>
  <c r="S2" i="26"/>
  <c r="C2" i="26"/>
  <c r="AI1" i="26"/>
  <c r="AE1" i="26"/>
  <c r="AA1" i="26"/>
  <c r="W1" i="26"/>
  <c r="S1" i="26"/>
  <c r="O1" i="26"/>
  <c r="K1" i="26"/>
  <c r="G1" i="26"/>
  <c r="C1" i="26"/>
  <c r="CE61" i="2"/>
  <c r="CF61" i="2"/>
  <c r="CG61" i="2"/>
  <c r="CD61" i="2"/>
  <c r="CH61" i="2"/>
  <c r="AE2" i="26" l="1"/>
  <c r="W2" i="26"/>
  <c r="AI5" i="25"/>
  <c r="AE5" i="25"/>
  <c r="AA5" i="25"/>
  <c r="W5" i="25"/>
  <c r="S5" i="25"/>
  <c r="O5" i="25"/>
  <c r="K5" i="25"/>
  <c r="G5" i="25"/>
  <c r="C5" i="25"/>
  <c r="AI4" i="25"/>
  <c r="AE4" i="25"/>
  <c r="AA4" i="25"/>
  <c r="W4" i="25"/>
  <c r="S4" i="25"/>
  <c r="O4" i="25"/>
  <c r="K4" i="25"/>
  <c r="G4" i="25"/>
  <c r="C4" i="25"/>
  <c r="AI3" i="25"/>
  <c r="AE3" i="25"/>
  <c r="AA3" i="25"/>
  <c r="W3" i="25"/>
  <c r="S3" i="25"/>
  <c r="S2" i="25" s="1"/>
  <c r="O3" i="25"/>
  <c r="K3" i="25"/>
  <c r="G3" i="25"/>
  <c r="C3" i="25"/>
  <c r="AE2" i="25"/>
  <c r="C2" i="25"/>
  <c r="AI1" i="25"/>
  <c r="AE1" i="25"/>
  <c r="AA1" i="25"/>
  <c r="W1" i="25"/>
  <c r="S1" i="25"/>
  <c r="O1" i="25"/>
  <c r="K1" i="25"/>
  <c r="G1" i="25"/>
  <c r="C1" i="25"/>
  <c r="CH62" i="2"/>
  <c r="CD62" i="2"/>
  <c r="CG62" i="2"/>
  <c r="CF62" i="2"/>
  <c r="CE62" i="2"/>
  <c r="AI2" i="25" l="1"/>
  <c r="AA2" i="25"/>
  <c r="W2" i="25"/>
  <c r="O2" i="25"/>
  <c r="K2" i="25"/>
  <c r="G2" i="25"/>
  <c r="AI5" i="24"/>
  <c r="AE5" i="24"/>
  <c r="AA5" i="24"/>
  <c r="W5" i="24"/>
  <c r="S5" i="24"/>
  <c r="O5" i="24"/>
  <c r="K5" i="24"/>
  <c r="G5" i="24"/>
  <c r="C5" i="24"/>
  <c r="AI4" i="24"/>
  <c r="AE4" i="24"/>
  <c r="AA4" i="24"/>
  <c r="W4" i="24"/>
  <c r="S4" i="24"/>
  <c r="S2" i="24" s="1"/>
  <c r="O4" i="24"/>
  <c r="K4" i="24"/>
  <c r="K2" i="24" s="1"/>
  <c r="G4" i="24"/>
  <c r="C4" i="24"/>
  <c r="AI3" i="24"/>
  <c r="AI2" i="24" s="1"/>
  <c r="AE3" i="24"/>
  <c r="AE2" i="24" s="1"/>
  <c r="AA3" i="24"/>
  <c r="W3" i="24"/>
  <c r="W2" i="24" s="1"/>
  <c r="S3" i="24"/>
  <c r="O3" i="24"/>
  <c r="O2" i="24" s="1"/>
  <c r="K3" i="24"/>
  <c r="G3" i="24"/>
  <c r="C3" i="24"/>
  <c r="AA2" i="24"/>
  <c r="C2" i="24"/>
  <c r="AI1" i="24"/>
  <c r="AE1" i="24"/>
  <c r="AA1" i="24"/>
  <c r="W1" i="24"/>
  <c r="S1" i="24"/>
  <c r="O1" i="24"/>
  <c r="K1" i="24"/>
  <c r="G1" i="24"/>
  <c r="C1" i="24"/>
  <c r="CE63" i="2"/>
  <c r="CF63" i="2"/>
  <c r="CG63" i="2"/>
  <c r="CD63" i="2"/>
  <c r="CH63" i="2"/>
  <c r="G2" i="24" l="1"/>
  <c r="CH64" i="2"/>
  <c r="CG64" i="2"/>
  <c r="CF64" i="2"/>
  <c r="CE64" i="2"/>
  <c r="CD64" i="2"/>
  <c r="AI5" i="23" l="1"/>
  <c r="AE5" i="23"/>
  <c r="AA5" i="23"/>
  <c r="W5" i="23"/>
  <c r="S5" i="23"/>
  <c r="O5" i="23"/>
  <c r="K5" i="23"/>
  <c r="G5" i="23"/>
  <c r="C5" i="23"/>
  <c r="AI4" i="23"/>
  <c r="AE4" i="23"/>
  <c r="AA4" i="23"/>
  <c r="W4" i="23"/>
  <c r="S4" i="23"/>
  <c r="O4" i="23"/>
  <c r="K4" i="23"/>
  <c r="G4" i="23"/>
  <c r="C4" i="23"/>
  <c r="AI3" i="23"/>
  <c r="AI2" i="23" s="1"/>
  <c r="AE3" i="23"/>
  <c r="AE2" i="23" s="1"/>
  <c r="AA3" i="23"/>
  <c r="W3" i="23"/>
  <c r="W2" i="23" s="1"/>
  <c r="S3" i="23"/>
  <c r="O3" i="23"/>
  <c r="K3" i="23"/>
  <c r="G3" i="23"/>
  <c r="G2" i="23" s="1"/>
  <c r="C3" i="23"/>
  <c r="AA2" i="23"/>
  <c r="AI1" i="23"/>
  <c r="AE1" i="23"/>
  <c r="AA1" i="23"/>
  <c r="W1" i="23"/>
  <c r="S1" i="23"/>
  <c r="O1" i="23"/>
  <c r="K1" i="23"/>
  <c r="G1" i="23"/>
  <c r="C1" i="23"/>
  <c r="AI5" i="22"/>
  <c r="AE5" i="22"/>
  <c r="AA5" i="22"/>
  <c r="W5" i="22"/>
  <c r="S5" i="22"/>
  <c r="O5" i="22"/>
  <c r="K5" i="22"/>
  <c r="G5" i="22"/>
  <c r="C5" i="22"/>
  <c r="AI4" i="22"/>
  <c r="AI2" i="22" s="1"/>
  <c r="AE4" i="22"/>
  <c r="AA4" i="22"/>
  <c r="W4" i="22"/>
  <c r="S4" i="22"/>
  <c r="S2" i="22" s="1"/>
  <c r="O4" i="22"/>
  <c r="K4" i="22"/>
  <c r="G4" i="22"/>
  <c r="C4" i="22"/>
  <c r="AI3" i="22"/>
  <c r="AE3" i="22"/>
  <c r="AA3" i="22"/>
  <c r="W3" i="22"/>
  <c r="S3" i="22"/>
  <c r="O3" i="22"/>
  <c r="K3" i="22"/>
  <c r="G3" i="22"/>
  <c r="G2" i="22" s="1"/>
  <c r="C3" i="22"/>
  <c r="C2" i="22" s="1"/>
  <c r="AA2" i="22"/>
  <c r="W2" i="22"/>
  <c r="AI1" i="22"/>
  <c r="AE1" i="22"/>
  <c r="AA1" i="22"/>
  <c r="W1" i="22"/>
  <c r="S1" i="22"/>
  <c r="O1" i="22"/>
  <c r="K1" i="22"/>
  <c r="G1" i="22"/>
  <c r="C1" i="22"/>
  <c r="AI5" i="21"/>
  <c r="AE5" i="21"/>
  <c r="AA5" i="21"/>
  <c r="AI4" i="21"/>
  <c r="AE4" i="21"/>
  <c r="AA4" i="21"/>
  <c r="AA2" i="21" s="1"/>
  <c r="AI3" i="21"/>
  <c r="AI2" i="21" s="1"/>
  <c r="AE3" i="21"/>
  <c r="AA3" i="21"/>
  <c r="AI1" i="21"/>
  <c r="AE1" i="21"/>
  <c r="AA1" i="21"/>
  <c r="W5" i="21"/>
  <c r="S5" i="21"/>
  <c r="O5" i="21"/>
  <c r="W4" i="21"/>
  <c r="S4" i="21"/>
  <c r="O4" i="21"/>
  <c r="W3" i="21"/>
  <c r="S3" i="21"/>
  <c r="O3" i="21"/>
  <c r="W1" i="21"/>
  <c r="S1" i="21"/>
  <c r="O1" i="21"/>
  <c r="CD65" i="2"/>
  <c r="CE65" i="2"/>
  <c r="CF65" i="2"/>
  <c r="CG65" i="2"/>
  <c r="CH65" i="2"/>
  <c r="AE2" i="22" l="1"/>
  <c r="AE2" i="21"/>
  <c r="S2" i="23"/>
  <c r="W2" i="21"/>
  <c r="O2" i="23"/>
  <c r="O2" i="22"/>
  <c r="S2" i="21"/>
  <c r="K2" i="22"/>
  <c r="O2" i="21"/>
  <c r="K2" i="23"/>
  <c r="C2" i="23"/>
  <c r="CH66" i="2"/>
  <c r="CE66" i="2"/>
  <c r="CG66" i="2"/>
  <c r="CF66" i="2"/>
  <c r="CD66" i="2"/>
  <c r="K5" i="21" l="1"/>
  <c r="G5" i="21"/>
  <c r="C5" i="21"/>
  <c r="K4" i="21"/>
  <c r="G4" i="21"/>
  <c r="C4" i="21"/>
  <c r="C2" i="21" s="1"/>
  <c r="K3" i="21"/>
  <c r="G3" i="21"/>
  <c r="C3" i="21"/>
  <c r="K2" i="21"/>
  <c r="K1" i="21"/>
  <c r="G1" i="21"/>
  <c r="C1" i="21"/>
  <c r="CD67" i="2"/>
  <c r="CF67" i="2"/>
  <c r="CG67" i="2"/>
  <c r="CE67" i="2"/>
  <c r="CH67" i="2"/>
  <c r="G2" i="21" l="1"/>
  <c r="K5" i="18"/>
  <c r="G5" i="18"/>
  <c r="C5" i="18"/>
  <c r="K4" i="18"/>
  <c r="G4" i="18"/>
  <c r="C4" i="18"/>
  <c r="K3" i="18"/>
  <c r="K2" i="18" s="1"/>
  <c r="G3" i="18"/>
  <c r="G2" i="18" s="1"/>
  <c r="C3" i="18"/>
  <c r="C2" i="18" s="1"/>
  <c r="K1" i="18"/>
  <c r="G1" i="18"/>
  <c r="C1" i="18"/>
  <c r="CH68" i="2"/>
  <c r="CE68" i="2"/>
  <c r="CG68" i="2"/>
  <c r="CD68" i="2"/>
  <c r="CF68" i="2"/>
  <c r="K5" i="20" l="1"/>
  <c r="G5" i="20"/>
  <c r="C5" i="20"/>
  <c r="K4" i="20"/>
  <c r="G4" i="20"/>
  <c r="C4" i="20"/>
  <c r="K3" i="20"/>
  <c r="K2" i="20" s="1"/>
  <c r="G3" i="20"/>
  <c r="G2" i="20" s="1"/>
  <c r="C3" i="20"/>
  <c r="C2" i="20" s="1"/>
  <c r="K1" i="20"/>
  <c r="G1" i="20"/>
  <c r="C1" i="20"/>
  <c r="K5" i="17" l="1"/>
  <c r="G5" i="17"/>
  <c r="C5" i="17"/>
  <c r="K4" i="17"/>
  <c r="G4" i="17"/>
  <c r="C4" i="17"/>
  <c r="K3" i="17"/>
  <c r="K2" i="17" s="1"/>
  <c r="G3" i="17"/>
  <c r="G2" i="17" s="1"/>
  <c r="C3" i="17"/>
  <c r="C2" i="17" s="1"/>
  <c r="K1" i="17"/>
  <c r="G1" i="17"/>
  <c r="C1" i="17"/>
  <c r="K5" i="16" l="1"/>
  <c r="G5" i="16"/>
  <c r="C5" i="16"/>
  <c r="K4" i="16"/>
  <c r="K2" i="16" s="1"/>
  <c r="G4" i="16"/>
  <c r="C4" i="16"/>
  <c r="K3" i="16"/>
  <c r="G3" i="16"/>
  <c r="G2" i="16" s="1"/>
  <c r="C3" i="16"/>
  <c r="C2" i="16" s="1"/>
  <c r="K1" i="16"/>
  <c r="G1" i="16"/>
  <c r="C1" i="16"/>
</calcChain>
</file>

<file path=xl/sharedStrings.xml><?xml version="1.0" encoding="utf-8"?>
<sst xmlns="http://schemas.openxmlformats.org/spreadsheetml/2006/main" count="15333" uniqueCount="219">
  <si>
    <t>Up down (All config)</t>
  </si>
  <si>
    <t>Week 29</t>
  </si>
  <si>
    <t>LCB</t>
  </si>
  <si>
    <t>DP BlackDot (D50)</t>
  </si>
  <si>
    <t>APS</t>
  </si>
  <si>
    <t>VCM Calibration</t>
  </si>
  <si>
    <t>DCR</t>
  </si>
  <si>
    <t>Grayspot Count</t>
  </si>
  <si>
    <t>SFR Macro Up</t>
  </si>
  <si>
    <t>SFR Infinity Down</t>
  </si>
  <si>
    <t>Temporal Noise (Dark)</t>
  </si>
  <si>
    <t>Defective Line (D50)</t>
  </si>
  <si>
    <t>AE Delta</t>
  </si>
  <si>
    <t>A_LIGHT_AE_TIME delta(Tester)</t>
  </si>
  <si>
    <t>Infinity Up AF Margin</t>
  </si>
  <si>
    <t>Optical Center</t>
  </si>
  <si>
    <t>Sphere Visco Elastic DLL</t>
  </si>
  <si>
    <t>Relative Uniformity</t>
  </si>
  <si>
    <t>Standby Current</t>
  </si>
  <si>
    <t>OISZ Hall noise Stats</t>
  </si>
  <si>
    <t>Sensor Initialize</t>
  </si>
  <si>
    <t>Sphere 4Corner SFR</t>
  </si>
  <si>
    <t>FPDC DLL</t>
  </si>
  <si>
    <t>ECM Connect</t>
  </si>
  <si>
    <t>VSR Mismatching</t>
  </si>
  <si>
    <t>Sensor voltage monitor</t>
  </si>
  <si>
    <t>APS Trimming</t>
  </si>
  <si>
    <t>NVM Writing</t>
  </si>
  <si>
    <t>Defective Line (Dark)</t>
  </si>
  <si>
    <t>OISZ Up Posture Calibration</t>
  </si>
  <si>
    <t>Sphere Hardstop</t>
  </si>
  <si>
    <t>OISZ Down Posture Calibration</t>
  </si>
  <si>
    <t>Empty Lens Barcode(AA)</t>
  </si>
  <si>
    <t>WhiteDot (Dark)</t>
  </si>
  <si>
    <t>OPS Info Mismatching</t>
  </si>
  <si>
    <t>Connection err. Retest (Tester)</t>
  </si>
  <si>
    <t>Sphere EM Coupling</t>
  </si>
  <si>
    <t>Sphere Calibration</t>
  </si>
  <si>
    <t>Sphere Effective Stroke</t>
  </si>
  <si>
    <t>SFR Profile Score Gap Small</t>
  </si>
  <si>
    <t>Sphere Incorrect Position</t>
  </si>
  <si>
    <t>FPNWide</t>
  </si>
  <si>
    <t>APS Single Test</t>
  </si>
  <si>
    <t>Relative Illumination</t>
  </si>
  <si>
    <t>SW Setting Error</t>
  </si>
  <si>
    <t>Timeout. Retest (Tester)</t>
  </si>
  <si>
    <t>Check Line Laser Setting</t>
  </si>
  <si>
    <t>Empty VCM NVM</t>
  </si>
  <si>
    <t>Image Capture</t>
  </si>
  <si>
    <t>Sphere Cal Deviation</t>
  </si>
  <si>
    <t>Voltage Monitor</t>
  </si>
  <si>
    <t>Green Mismatch</t>
  </si>
  <si>
    <t>STOP</t>
  </si>
  <si>
    <t>Color Shading</t>
  </si>
  <si>
    <t>Check image sensor ES type</t>
  </si>
  <si>
    <t>Sensor I2C</t>
  </si>
  <si>
    <t>Sphere Noise</t>
  </si>
  <si>
    <t>FPN</t>
  </si>
  <si>
    <t>DriverIC I2C</t>
  </si>
  <si>
    <t>SFR Dynamic Range</t>
  </si>
  <si>
    <t>Dynamic Current</t>
  </si>
  <si>
    <t>Contrast Macro</t>
  </si>
  <si>
    <t>Empty Macro Up NVM</t>
  </si>
  <si>
    <t>D_LIGHT_AE_TIME delta(Tester)</t>
  </si>
  <si>
    <t>Macro AF Margin</t>
  </si>
  <si>
    <t>Server TCP</t>
  </si>
  <si>
    <t>AE</t>
  </si>
  <si>
    <t>Color Uniformity</t>
  </si>
  <si>
    <t>Sphere Vibration</t>
  </si>
  <si>
    <t>Sphere Resonant Frequency</t>
  </si>
  <si>
    <t>Total</t>
  </si>
  <si>
    <t xml:space="preserve">Input </t>
  </si>
  <si>
    <t>Output</t>
  </si>
  <si>
    <t>APS (All config)</t>
  </si>
  <si>
    <t>APS_INFU_ZEST</t>
  </si>
  <si>
    <t>APS_NTC_DELTA_TEMP</t>
  </si>
  <si>
    <t>APS_CLOSE_LOOP_TEST</t>
  </si>
  <si>
    <t>APS_MACROMARGIN</t>
  </si>
  <si>
    <t>APS_NEUTRAL_OFFSET</t>
  </si>
  <si>
    <t>APS_RESISTANCE_NEUTRAL</t>
  </si>
  <si>
    <t>ALL_SENSOR_I2C</t>
  </si>
  <si>
    <t>APS_RES_FREQ_MCUP</t>
  </si>
  <si>
    <t>APS_RES_FREQ_INFU</t>
  </si>
  <si>
    <t>APS_TILT_CHECK</t>
  </si>
  <si>
    <t>APS_TEMP_CAL</t>
  </si>
  <si>
    <t>APS_TEMP_MAX</t>
  </si>
  <si>
    <t>ALL_BARCODE</t>
  </si>
  <si>
    <t>APS_LINEAR_MAX</t>
  </si>
  <si>
    <t>LASER_SYNC_INIT</t>
  </si>
  <si>
    <t>APS_TEMP_RMS</t>
  </si>
  <si>
    <t>APS_CLOSE_LOOP_TEST_TARGET_DETECTION</t>
  </si>
  <si>
    <t>APS_VCM_MAUM_CAL</t>
  </si>
  <si>
    <t>APS_CLTES</t>
  </si>
  <si>
    <t>Handler TCP</t>
  </si>
  <si>
    <t>NVM_WRITING_INTRINSIC</t>
  </si>
  <si>
    <t>APS_VCM_LINEAR_RANGE</t>
  </si>
  <si>
    <t>APS_VISCOELASTIC_MCUP</t>
  </si>
  <si>
    <t>DCR (All config)</t>
  </si>
  <si>
    <t>DCR T/G</t>
  </si>
  <si>
    <t>PSMO delta VDDH2</t>
  </si>
  <si>
    <t>TIMEOUT</t>
  </si>
  <si>
    <t>흑점</t>
  </si>
  <si>
    <t>OPEN</t>
  </si>
  <si>
    <t>OTP</t>
  </si>
  <si>
    <t>Up Down</t>
  </si>
  <si>
    <t>Input</t>
  </si>
  <si>
    <t>Pass</t>
  </si>
  <si>
    <t>NG</t>
  </si>
  <si>
    <t>Fail Rate</t>
  </si>
  <si>
    <t>Row Labels</t>
  </si>
  <si>
    <t>Count of Barcode</t>
  </si>
  <si>
    <t>Rate</t>
  </si>
  <si>
    <t>PASS</t>
  </si>
  <si>
    <t>Blemish</t>
  </si>
  <si>
    <t>PVT_ DB_B_ R21A</t>
  </si>
  <si>
    <t>Temporal Noise (D50)</t>
  </si>
  <si>
    <t>APS_VCM_UMMA_MAX</t>
  </si>
  <si>
    <t>SHORT</t>
  </si>
  <si>
    <t>Week 30</t>
  </si>
  <si>
    <t>SOCKET_VOLTAGE</t>
  </si>
  <si>
    <t>APS_NTC_LOW_TEMP</t>
  </si>
  <si>
    <t>Color Calibration</t>
  </si>
  <si>
    <t>APS_DST_NOISE_TEST</t>
  </si>
  <si>
    <t>Timeout</t>
  </si>
  <si>
    <t>ReadOut Noise</t>
  </si>
  <si>
    <t>APS_VISCOELASTIC_INFU</t>
  </si>
  <si>
    <t>system</t>
  </si>
  <si>
    <t>APS_VCM_MAUM_MAX</t>
  </si>
  <si>
    <t>Week 31</t>
  </si>
  <si>
    <t>Empty FPCB ID</t>
  </si>
  <si>
    <t>LASER_SYNC_LOCATION</t>
  </si>
  <si>
    <t>ECM Download HTTP</t>
  </si>
  <si>
    <t>Noise</t>
  </si>
  <si>
    <t>NDP DP</t>
  </si>
  <si>
    <t>DSNU</t>
  </si>
  <si>
    <t>APS_ABNORMAL_SWEEP</t>
  </si>
  <si>
    <t>Up down (config Z)</t>
  </si>
  <si>
    <t>APS (config Z)</t>
  </si>
  <si>
    <t>DCR (config Z)</t>
  </si>
  <si>
    <t>Up down (config X)</t>
  </si>
  <si>
    <t>APS (config X)</t>
  </si>
  <si>
    <t>DCR (config X)</t>
  </si>
  <si>
    <t>PVT DB_M_R21A Config Z</t>
  </si>
  <si>
    <t>PVT DB_M_R21A Config X</t>
  </si>
  <si>
    <t>Week 32</t>
  </si>
  <si>
    <t>APS_Z_ESTIMATION</t>
  </si>
  <si>
    <t>MCU_COMMUNICATION_CRC_CHECK_APS_SWEEP</t>
  </si>
  <si>
    <t>Image Abnormal</t>
  </si>
  <si>
    <t>SFR Abnormal Image</t>
  </si>
  <si>
    <t>MCU_COMMUNICATION_I2C_APS_SWEEP</t>
  </si>
  <si>
    <t>OISZ Calibration</t>
  </si>
  <si>
    <t>Week 33</t>
  </si>
  <si>
    <t>GraySpot DLL Version</t>
  </si>
  <si>
    <t>SYSTEM</t>
  </si>
  <si>
    <t>LASER_SYNC_INSUFFICIENT_COUNT</t>
  </si>
  <si>
    <t>OISZ Cal Profile data Missing</t>
  </si>
  <si>
    <t>Empty Sphere Cal NVM</t>
  </si>
  <si>
    <t>ALL_VCM_I2C</t>
  </si>
  <si>
    <t>MCU_COMMUNICATION_I2C_CLOSE_LOOP_TEST</t>
  </si>
  <si>
    <t>APS_NTC_PARAMETER</t>
  </si>
  <si>
    <t>Empty Infinity Down NVM</t>
  </si>
  <si>
    <t>APS_INFINITY_MARGIN</t>
  </si>
  <si>
    <t>Week 34</t>
  </si>
  <si>
    <t>Week 35</t>
  </si>
  <si>
    <t>APS_LINEAR_RMS</t>
  </si>
  <si>
    <t>Sphere Dac Mismatching</t>
  </si>
  <si>
    <t>Sensor Address Check</t>
  </si>
  <si>
    <t>APS_VCM_SENSITIVITY_MAUM</t>
  </si>
  <si>
    <t>Week 36</t>
  </si>
  <si>
    <t>NVM_WRITING_FLUSH</t>
  </si>
  <si>
    <t>AFVDD Minimum Voltage</t>
  </si>
  <si>
    <t>ALL_NVM_WRITING</t>
  </si>
  <si>
    <t>NVM_CHECKSUM_HEADER</t>
  </si>
  <si>
    <t>Week 37</t>
  </si>
  <si>
    <t>FPDC DLL Version</t>
  </si>
  <si>
    <t>Collimator Peak Searching</t>
  </si>
  <si>
    <t>APS_ABNORMAL_SWEEP_ENDSTEP</t>
  </si>
  <si>
    <t>WhiteDot (D50)</t>
  </si>
  <si>
    <t>Week 38</t>
  </si>
  <si>
    <t>DCR B/T</t>
  </si>
  <si>
    <t>SFR DFOV</t>
  </si>
  <si>
    <t>H2_B1_slope_APSC_NVM_dev</t>
  </si>
  <si>
    <t>불량항목</t>
  </si>
  <si>
    <t>불량수량</t>
  </si>
  <si>
    <t>불량률</t>
  </si>
  <si>
    <t xml:space="preserve"> </t>
  </si>
  <si>
    <t>24.Sep</t>
  </si>
  <si>
    <t>1.Sep</t>
  </si>
  <si>
    <t>Sep</t>
  </si>
  <si>
    <t>.</t>
  </si>
  <si>
    <t>2.Sep</t>
  </si>
  <si>
    <t>3.Sep</t>
  </si>
  <si>
    <t>4.Sep</t>
  </si>
  <si>
    <t>5.Sep</t>
  </si>
  <si>
    <t>6.Sep</t>
  </si>
  <si>
    <t>7.Sep</t>
  </si>
  <si>
    <t>8.Sep</t>
  </si>
  <si>
    <t>9.Sep</t>
  </si>
  <si>
    <t>10.Sep</t>
  </si>
  <si>
    <t>11.Sep</t>
  </si>
  <si>
    <t>12.Sep</t>
  </si>
  <si>
    <t>13.Sep</t>
  </si>
  <si>
    <t>14.Sep</t>
  </si>
  <si>
    <t>15.Sep</t>
  </si>
  <si>
    <t>16.Sep</t>
  </si>
  <si>
    <t>17.Sep</t>
  </si>
  <si>
    <t>18.Sep</t>
  </si>
  <si>
    <t>19.Sep</t>
  </si>
  <si>
    <t>20.Sep</t>
  </si>
  <si>
    <t>21.Sep</t>
  </si>
  <si>
    <t>22.Sep</t>
  </si>
  <si>
    <t>23.Sep</t>
  </si>
  <si>
    <t>25.Sep</t>
  </si>
  <si>
    <t>26.Sep</t>
  </si>
  <si>
    <t>27.Sep</t>
  </si>
  <si>
    <t>28.Sep</t>
  </si>
  <si>
    <t>29.Sep</t>
  </si>
  <si>
    <t>30.Sep</t>
  </si>
  <si>
    <t>4.Oct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</si>
</sst>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.25"/>
      <name val="Microsoft Sans Serif"/>
      <family val="2"/>
    </font>
    <font>
      <b/>
      <sz val="12"/>
      <color theme="1"/>
      <name val="Arial"/>
      <family val="2"/>
    </font>
    <font>
      <sz val="12"/>
      <color rgb="FF0000FF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4" fillId="0" borderId="0">
      <protection locked="0"/>
    </xf>
    <xf numFmtId="9" fontId="10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1" xfId="0" applyBorder="1"/>
    <xf numFmtId="10" fontId="0" fillId="0" borderId="1" xfId="0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1" xfId="0" applyNumberFormat="1" applyBorder="1"/>
    <xf numFmtId="10" fontId="0" fillId="3" borderId="1" xfId="0" applyNumberFormat="1" applyFill="1" applyBorder="1" applyAlignment="1">
      <alignment horizontal="center" vertical="center"/>
    </xf>
    <xf numFmtId="10" fontId="0" fillId="3" borderId="2" xfId="0" applyNumberForma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3" fontId="0" fillId="3" borderId="1" xfId="0" applyNumberForma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Alignment="1">
      <alignment horizontal="center" vertical="center"/>
    </xf>
    <xf numFmtId="14" fontId="6" fillId="0" borderId="1" xfId="1" applyNumberFormat="1" applyFont="1" applyBorder="1" applyAlignment="1" applyProtection="1">
      <alignment horizontal="center" vertical="center"/>
    </xf>
    <xf numFmtId="0" fontId="7" fillId="3" borderId="0" xfId="1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</xf>
    <xf numFmtId="0" fontId="6" fillId="0" borderId="1" xfId="1" applyFont="1" applyBorder="1" applyAlignment="1" applyProtection="1">
      <alignment horizontal="center" vertical="center"/>
    </xf>
    <xf numFmtId="0" fontId="9" fillId="0" borderId="1" xfId="1" applyFont="1" applyBorder="1" applyAlignment="1" applyProtection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center" vertical="center"/>
    </xf>
    <xf numFmtId="3" fontId="0" fillId="0" borderId="1" xfId="0" applyNumberFormat="1" applyBorder="1"/>
    <xf numFmtId="9" fontId="0" fillId="0" borderId="1" xfId="0" applyNumberFormat="1" applyBorder="1"/>
    <xf numFmtId="3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3" borderId="1" xfId="0" applyFill="1" applyBorder="1"/>
    <xf numFmtId="3" fontId="0" fillId="3" borderId="1" xfId="0" applyNumberFormat="1" applyFill="1" applyBorder="1"/>
    <xf numFmtId="10" fontId="0" fillId="3" borderId="1" xfId="0" applyNumberFormat="1" applyFill="1" applyBorder="1"/>
    <xf numFmtId="9" fontId="0" fillId="3" borderId="1" xfId="0" applyNumberFormat="1" applyFill="1" applyBorder="1"/>
    <xf numFmtId="0" fontId="1" fillId="2" borderId="1" xfId="0" applyFont="1" applyFill="1" applyBorder="1"/>
    <xf numFmtId="14" fontId="0" fillId="0" borderId="0" xfId="0" applyNumberFormat="1"/>
    <xf numFmtId="0" fontId="5" fillId="0" borderId="1" xfId="1" applyFont="1" applyBorder="1" applyAlignment="1" applyProtection="1">
      <alignment horizontal="center" vertical="center"/>
    </xf>
    <xf numFmtId="0" fontId="8" fillId="5" borderId="3" xfId="1" applyFont="1" applyFill="1" applyBorder="1" applyAlignment="1" applyProtection="1">
      <alignment horizontal="center" vertical="center"/>
    </xf>
    <xf numFmtId="0" fontId="8" fillId="5" borderId="4" xfId="1" applyFont="1" applyFill="1" applyBorder="1" applyAlignment="1" applyProtection="1">
      <alignment horizontal="center" vertical="center"/>
    </xf>
    <xf numFmtId="0" fontId="8" fillId="5" borderId="5" xfId="1" applyFont="1" applyFill="1" applyBorder="1" applyAlignment="1" applyProtection="1">
      <alignment horizontal="center" vertical="center"/>
    </xf>
  </cellXfs>
  <cellStyles count="3">
    <cellStyle name="Normal" xfId="0" builtinId="0"/>
    <cellStyle name="Normal 3 2" xfId="1" xr:uid="{6E6DCB07-69BB-46B4-BCF7-5AF849DA07D0}"/>
    <cellStyle name="Percent 2" xfId="2" xr:uid="{D129D628-F14F-4D25-BE54-6CE5D7B4E2C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0</xdr:rowOff>
    </xdr:from>
    <xdr:to>
      <xdr:col>6</xdr:col>
      <xdr:colOff>9525</xdr:colOff>
      <xdr:row>3</xdr:row>
      <xdr:rowOff>38100</xdr:rowOff>
    </xdr:to>
    <xdr:sp macro="[0]!lancia_cCalendar" textlink="">
      <xdr:nvSpPr>
        <xdr:cNvPr id="2" name="Rectangle 1">
          <a:extLst>
            <a:ext uri="{FF2B5EF4-FFF2-40B4-BE49-F238E27FC236}">
              <a16:creationId xmlns:a16="http://schemas.microsoft.com/office/drawing/2014/main" id="{DFE113CA-FBCB-4AB2-B5AE-743B79557B0B}"/>
            </a:ext>
          </a:extLst>
        </xdr:cNvPr>
        <xdr:cNvSpPr/>
      </xdr:nvSpPr>
      <xdr:spPr>
        <a:xfrm>
          <a:off x="2552700" y="190500"/>
          <a:ext cx="1038225" cy="419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Main</a:t>
          </a:r>
        </a:p>
      </xdr:txBody>
    </xdr:sp>
    <xdr:clientData/>
  </xdr:twoCellAnchor>
  <xdr:twoCellAnchor>
    <xdr:from>
      <xdr:col>4</xdr:col>
      <xdr:colOff>28575</xdr:colOff>
      <xdr:row>3</xdr:row>
      <xdr:rowOff>104775</xdr:rowOff>
    </xdr:from>
    <xdr:to>
      <xdr:col>6</xdr:col>
      <xdr:colOff>0</xdr:colOff>
      <xdr:row>5</xdr:row>
      <xdr:rowOff>95250</xdr:rowOff>
    </xdr:to>
    <xdr:sp macro="[0]!reset" textlink="">
      <xdr:nvSpPr>
        <xdr:cNvPr id="3" name="Rectangle 2">
          <a:extLst>
            <a:ext uri="{FF2B5EF4-FFF2-40B4-BE49-F238E27FC236}">
              <a16:creationId xmlns:a16="http://schemas.microsoft.com/office/drawing/2014/main" id="{A0398002-FE49-41B0-AF61-0A51702DEAC5}"/>
            </a:ext>
          </a:extLst>
        </xdr:cNvPr>
        <xdr:cNvSpPr/>
      </xdr:nvSpPr>
      <xdr:spPr>
        <a:xfrm>
          <a:off x="2562225" y="676275"/>
          <a:ext cx="1019175" cy="3714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4D655-F034-48FF-8526-7F60322BE235}">
  <dimension ref="A1:AJ30"/>
  <sheetViews>
    <sheetView workbookViewId="0">
      <selection activeCell="G1" sqref="G1:AJ1"/>
    </sheetView>
  </sheetViews>
  <sheetFormatPr defaultRowHeight="15"/>
  <sheetData>
    <row r="1" spans="1:36">
      <c r="A1">
        <v>1</v>
      </c>
      <c r="B1" t="s">
        <v>189</v>
      </c>
      <c r="C1" t="s">
        <v>188</v>
      </c>
      <c r="D1" t="s">
        <v>187</v>
      </c>
      <c r="G1" t="s">
        <v>187</v>
      </c>
      <c r="H1" t="s">
        <v>190</v>
      </c>
      <c r="I1" t="s">
        <v>191</v>
      </c>
      <c r="J1" t="s">
        <v>192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186</v>
      </c>
      <c r="AE1" t="s">
        <v>212</v>
      </c>
      <c r="AF1" t="s">
        <v>213</v>
      </c>
      <c r="AG1" t="s">
        <v>214</v>
      </c>
      <c r="AH1" t="s">
        <v>215</v>
      </c>
      <c r="AI1" t="s">
        <v>216</v>
      </c>
      <c r="AJ1" t="s">
        <v>217</v>
      </c>
    </row>
    <row r="2" spans="1:36">
      <c r="A2">
        <v>2</v>
      </c>
      <c r="B2" t="s">
        <v>189</v>
      </c>
      <c r="C2" t="s">
        <v>188</v>
      </c>
      <c r="D2" t="s">
        <v>190</v>
      </c>
    </row>
    <row r="3" spans="1:36">
      <c r="A3">
        <v>3</v>
      </c>
      <c r="B3" t="s">
        <v>189</v>
      </c>
      <c r="C3" t="s">
        <v>188</v>
      </c>
      <c r="D3" t="s">
        <v>191</v>
      </c>
    </row>
    <row r="4" spans="1:36">
      <c r="A4">
        <v>4</v>
      </c>
      <c r="B4" t="s">
        <v>189</v>
      </c>
      <c r="C4" t="s">
        <v>188</v>
      </c>
      <c r="D4" t="s">
        <v>192</v>
      </c>
    </row>
    <row r="5" spans="1:36">
      <c r="A5">
        <v>5</v>
      </c>
      <c r="B5" t="s">
        <v>189</v>
      </c>
      <c r="C5" t="s">
        <v>188</v>
      </c>
      <c r="D5" t="s">
        <v>193</v>
      </c>
    </row>
    <row r="6" spans="1:36">
      <c r="A6">
        <v>6</v>
      </c>
      <c r="B6" t="s">
        <v>189</v>
      </c>
      <c r="C6" t="s">
        <v>188</v>
      </c>
      <c r="D6" t="s">
        <v>194</v>
      </c>
    </row>
    <row r="7" spans="1:36">
      <c r="A7">
        <v>7</v>
      </c>
      <c r="B7" t="s">
        <v>189</v>
      </c>
      <c r="C7" t="s">
        <v>188</v>
      </c>
      <c r="D7" t="s">
        <v>195</v>
      </c>
    </row>
    <row r="8" spans="1:36">
      <c r="A8">
        <v>8</v>
      </c>
      <c r="B8" t="s">
        <v>189</v>
      </c>
      <c r="C8" t="s">
        <v>188</v>
      </c>
      <c r="D8" t="s">
        <v>196</v>
      </c>
    </row>
    <row r="9" spans="1:36">
      <c r="A9">
        <v>9</v>
      </c>
      <c r="B9" t="s">
        <v>189</v>
      </c>
      <c r="C9" t="s">
        <v>188</v>
      </c>
      <c r="D9" t="s">
        <v>197</v>
      </c>
    </row>
    <row r="10" spans="1:36">
      <c r="A10">
        <v>10</v>
      </c>
      <c r="B10" t="s">
        <v>189</v>
      </c>
      <c r="C10" t="s">
        <v>188</v>
      </c>
      <c r="D10" t="s">
        <v>198</v>
      </c>
    </row>
    <row r="11" spans="1:36">
      <c r="A11">
        <v>11</v>
      </c>
      <c r="B11" t="s">
        <v>189</v>
      </c>
      <c r="C11" t="s">
        <v>188</v>
      </c>
      <c r="D11" t="s">
        <v>199</v>
      </c>
    </row>
    <row r="12" spans="1:36">
      <c r="A12">
        <v>12</v>
      </c>
      <c r="B12" t="s">
        <v>189</v>
      </c>
      <c r="C12" t="s">
        <v>188</v>
      </c>
      <c r="D12" t="s">
        <v>200</v>
      </c>
    </row>
    <row r="13" spans="1:36">
      <c r="A13">
        <v>13</v>
      </c>
      <c r="B13" t="s">
        <v>189</v>
      </c>
      <c r="C13" t="s">
        <v>188</v>
      </c>
      <c r="D13" t="s">
        <v>201</v>
      </c>
    </row>
    <row r="14" spans="1:36">
      <c r="A14">
        <v>14</v>
      </c>
      <c r="B14" t="s">
        <v>189</v>
      </c>
      <c r="C14" t="s">
        <v>188</v>
      </c>
      <c r="D14" t="s">
        <v>202</v>
      </c>
    </row>
    <row r="15" spans="1:36">
      <c r="A15">
        <v>15</v>
      </c>
      <c r="B15" t="s">
        <v>189</v>
      </c>
      <c r="C15" t="s">
        <v>188</v>
      </c>
      <c r="D15" t="s">
        <v>203</v>
      </c>
    </row>
    <row r="16" spans="1:36">
      <c r="A16">
        <v>16</v>
      </c>
      <c r="B16" t="s">
        <v>189</v>
      </c>
      <c r="C16" t="s">
        <v>188</v>
      </c>
      <c r="D16" t="s">
        <v>204</v>
      </c>
    </row>
    <row r="17" spans="1:4">
      <c r="A17">
        <v>17</v>
      </c>
      <c r="B17" t="s">
        <v>189</v>
      </c>
      <c r="C17" t="s">
        <v>188</v>
      </c>
      <c r="D17" t="s">
        <v>205</v>
      </c>
    </row>
    <row r="18" spans="1:4">
      <c r="A18">
        <v>18</v>
      </c>
      <c r="B18" t="s">
        <v>189</v>
      </c>
      <c r="C18" t="s">
        <v>188</v>
      </c>
      <c r="D18" t="s">
        <v>206</v>
      </c>
    </row>
    <row r="19" spans="1:4">
      <c r="A19">
        <v>19</v>
      </c>
      <c r="B19" t="s">
        <v>189</v>
      </c>
      <c r="C19" t="s">
        <v>188</v>
      </c>
      <c r="D19" t="s">
        <v>207</v>
      </c>
    </row>
    <row r="20" spans="1:4">
      <c r="A20">
        <v>20</v>
      </c>
      <c r="B20" t="s">
        <v>189</v>
      </c>
      <c r="C20" t="s">
        <v>188</v>
      </c>
      <c r="D20" t="s">
        <v>208</v>
      </c>
    </row>
    <row r="21" spans="1:4">
      <c r="A21">
        <v>21</v>
      </c>
      <c r="B21" t="s">
        <v>189</v>
      </c>
      <c r="C21" t="s">
        <v>188</v>
      </c>
      <c r="D21" t="s">
        <v>209</v>
      </c>
    </row>
    <row r="22" spans="1:4">
      <c r="A22">
        <v>22</v>
      </c>
      <c r="B22" t="s">
        <v>189</v>
      </c>
      <c r="C22" t="s">
        <v>188</v>
      </c>
      <c r="D22" t="s">
        <v>210</v>
      </c>
    </row>
    <row r="23" spans="1:4">
      <c r="A23">
        <v>23</v>
      </c>
      <c r="B23" t="s">
        <v>189</v>
      </c>
      <c r="C23" t="s">
        <v>188</v>
      </c>
      <c r="D23" t="s">
        <v>211</v>
      </c>
    </row>
    <row r="24" spans="1:4">
      <c r="A24">
        <v>24</v>
      </c>
      <c r="B24" t="s">
        <v>189</v>
      </c>
      <c r="C24" t="s">
        <v>188</v>
      </c>
      <c r="D24" t="s">
        <v>186</v>
      </c>
    </row>
    <row r="25" spans="1:4">
      <c r="A25">
        <v>25</v>
      </c>
      <c r="B25" t="s">
        <v>189</v>
      </c>
      <c r="C25" t="s">
        <v>188</v>
      </c>
      <c r="D25" t="s">
        <v>212</v>
      </c>
    </row>
    <row r="26" spans="1:4">
      <c r="A26">
        <v>26</v>
      </c>
      <c r="B26" t="s">
        <v>189</v>
      </c>
      <c r="C26" t="s">
        <v>188</v>
      </c>
      <c r="D26" t="s">
        <v>213</v>
      </c>
    </row>
    <row r="27" spans="1:4">
      <c r="A27">
        <v>27</v>
      </c>
      <c r="B27" t="s">
        <v>189</v>
      </c>
      <c r="C27" t="s">
        <v>188</v>
      </c>
      <c r="D27" t="s">
        <v>214</v>
      </c>
    </row>
    <row r="28" spans="1:4">
      <c r="A28">
        <v>28</v>
      </c>
      <c r="B28" t="s">
        <v>189</v>
      </c>
      <c r="C28" t="s">
        <v>188</v>
      </c>
      <c r="D28" t="s">
        <v>215</v>
      </c>
    </row>
    <row r="29" spans="1:4">
      <c r="A29">
        <v>29</v>
      </c>
      <c r="B29" t="s">
        <v>189</v>
      </c>
      <c r="C29" t="s">
        <v>188</v>
      </c>
      <c r="D29" t="s">
        <v>216</v>
      </c>
    </row>
    <row r="30" spans="1:4">
      <c r="A30">
        <v>30</v>
      </c>
      <c r="B30" t="s">
        <v>189</v>
      </c>
      <c r="C30" t="s">
        <v>188</v>
      </c>
      <c r="D30" t="s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F8B1-EA73-4446-9412-7BEDBA664BD2}">
  <sheetPr codeName="Sheet1"/>
  <dimension ref="A1:DK340"/>
  <sheetViews>
    <sheetView tabSelected="1" zoomScale="70" zoomScaleNormal="70" workbookViewId="0">
      <pane xSplit="1" ySplit="1" topLeftCell="BE2" activePane="bottomRight" state="frozen"/>
      <selection activeCell="N1" sqref="N1:N1048576"/>
      <selection pane="topRight" activeCell="N1" sqref="N1:N1048576"/>
      <selection pane="bottomLeft" activeCell="N1" sqref="N1:N1048576"/>
      <selection pane="bottomRight" activeCell="CD2" sqref="CD2"/>
    </sheetView>
  </sheetViews>
  <sheetFormatPr defaultRowHeight="15" outlineLevelRow="1"/>
  <cols>
    <col min="1" max="1" width="29.42578125" style="5" bestFit="1" customWidth="1"/>
    <col min="2" max="5" width="10.42578125" style="5" customWidth="1"/>
    <col min="6" max="12" width="11.140625" style="5" customWidth="1"/>
    <col min="13" max="32" width="7.28515625" style="5" customWidth="1"/>
    <col min="33" max="34" width="7.140625" style="5" customWidth="1"/>
    <col min="35" max="81" width="8.42578125" style="5" customWidth="1"/>
    <col min="82" max="16384" width="9.140625" style="5"/>
  </cols>
  <sheetData>
    <row r="1" spans="1:115" ht="19.5">
      <c r="A1" s="1" t="s">
        <v>0</v>
      </c>
      <c r="B1" s="2" t="s">
        <v>1</v>
      </c>
      <c r="C1" s="2" t="s">
        <v>118</v>
      </c>
      <c r="D1" s="2" t="s">
        <v>128</v>
      </c>
      <c r="E1" s="2" t="s">
        <v>144</v>
      </c>
      <c r="F1" s="2" t="s">
        <v>151</v>
      </c>
      <c r="G1" s="2" t="s">
        <v>162</v>
      </c>
      <c r="H1" s="2" t="s">
        <v>163</v>
      </c>
      <c r="I1" s="2" t="s">
        <v>168</v>
      </c>
      <c r="J1" s="2" t="s">
        <v>173</v>
      </c>
      <c r="K1" s="2" t="s">
        <v>178</v>
      </c>
      <c r="L1" s="2" t="s">
        <v>178</v>
      </c>
      <c r="M1" s="4">
        <v>44761</v>
      </c>
      <c r="N1" s="4">
        <v>44762</v>
      </c>
      <c r="O1" s="4">
        <v>44763</v>
      </c>
      <c r="P1" s="4">
        <v>44764</v>
      </c>
      <c r="Q1" s="3">
        <v>44765</v>
      </c>
      <c r="R1" s="3">
        <v>44766</v>
      </c>
      <c r="S1" s="3">
        <v>44767</v>
      </c>
      <c r="T1" s="3">
        <v>44768</v>
      </c>
      <c r="U1" s="3">
        <v>44769</v>
      </c>
      <c r="V1" s="3">
        <v>44770</v>
      </c>
      <c r="W1" s="3">
        <v>44771</v>
      </c>
      <c r="X1" s="3">
        <v>44772</v>
      </c>
      <c r="Y1" s="3">
        <v>44773</v>
      </c>
      <c r="Z1" s="3">
        <v>44774</v>
      </c>
      <c r="AA1" s="3">
        <v>44775</v>
      </c>
      <c r="AB1" s="3">
        <v>44776</v>
      </c>
      <c r="AC1" s="3">
        <v>44777</v>
      </c>
      <c r="AD1" s="3">
        <v>44778</v>
      </c>
      <c r="AE1" s="3">
        <v>44779</v>
      </c>
      <c r="AF1" s="4">
        <v>44780</v>
      </c>
      <c r="AG1" s="4">
        <v>44781</v>
      </c>
      <c r="AH1" s="4">
        <v>44782</v>
      </c>
      <c r="AI1" s="4">
        <v>44783</v>
      </c>
      <c r="AJ1" s="3">
        <v>44784</v>
      </c>
      <c r="AK1" s="3">
        <v>44785</v>
      </c>
      <c r="AL1" s="3">
        <v>44786</v>
      </c>
      <c r="AM1" s="3">
        <v>44787</v>
      </c>
      <c r="AN1" s="3">
        <v>44788</v>
      </c>
      <c r="AO1" s="3">
        <v>44789</v>
      </c>
      <c r="AP1" s="3">
        <v>44790</v>
      </c>
      <c r="AQ1" s="3">
        <v>44791</v>
      </c>
      <c r="AR1" s="3">
        <v>44792</v>
      </c>
      <c r="AS1" s="3">
        <v>44793</v>
      </c>
      <c r="AT1" s="3">
        <v>44794</v>
      </c>
      <c r="AU1" s="3">
        <v>44795</v>
      </c>
      <c r="AV1" s="3">
        <v>44796</v>
      </c>
      <c r="AW1" s="3">
        <v>44797</v>
      </c>
      <c r="AX1" s="3">
        <v>44798</v>
      </c>
      <c r="AY1" s="3">
        <v>44799</v>
      </c>
      <c r="AZ1" s="3">
        <v>44800</v>
      </c>
      <c r="BA1" s="3">
        <v>44801</v>
      </c>
      <c r="BB1" s="3">
        <v>44802</v>
      </c>
      <c r="BC1" s="3">
        <v>44803</v>
      </c>
      <c r="BD1" s="3">
        <v>44804</v>
      </c>
      <c r="BE1" s="3">
        <v>44805</v>
      </c>
      <c r="BF1" s="3">
        <v>44806</v>
      </c>
      <c r="BG1" s="3">
        <v>44807</v>
      </c>
      <c r="BH1" s="4">
        <v>44808</v>
      </c>
      <c r="BI1" s="4">
        <v>44809</v>
      </c>
      <c r="BJ1" s="4">
        <v>44810</v>
      </c>
      <c r="BK1" s="4">
        <v>44811</v>
      </c>
      <c r="BL1" s="4">
        <v>44812</v>
      </c>
      <c r="BM1" s="4">
        <v>44813</v>
      </c>
      <c r="BN1" s="4">
        <v>44814</v>
      </c>
      <c r="BO1" s="4">
        <v>44815</v>
      </c>
      <c r="BP1" s="3">
        <v>44816</v>
      </c>
      <c r="BQ1" s="3">
        <v>44817</v>
      </c>
      <c r="BR1" s="3">
        <v>44818</v>
      </c>
      <c r="BS1" s="3">
        <v>44819</v>
      </c>
      <c r="BT1" s="3">
        <v>44820</v>
      </c>
      <c r="BU1" s="3">
        <v>44821</v>
      </c>
      <c r="BV1" s="3">
        <v>44822</v>
      </c>
      <c r="BW1" s="3">
        <v>44823</v>
      </c>
      <c r="BX1" s="3">
        <v>44824</v>
      </c>
      <c r="BY1" s="3">
        <v>44825</v>
      </c>
      <c r="BZ1" s="3">
        <v>44826</v>
      </c>
      <c r="CA1" s="3">
        <v>44827</v>
      </c>
      <c r="CB1" s="3">
        <v>44828</v>
      </c>
      <c r="CC1" s="3">
        <v>44828</v>
      </c>
      <c r="CD1" s="3"/>
      <c r="CE1" s="3"/>
      <c r="CF1" s="3"/>
      <c r="CG1" s="3"/>
      <c r="CH1" s="3"/>
    </row>
    <row r="2" spans="1:115">
      <c r="A2" s="6" t="s">
        <v>2</v>
      </c>
      <c r="B2" s="7">
        <v>4.8999999999999998E-3</v>
      </c>
      <c r="C2" s="7">
        <v>5.3571428571428572E-3</v>
      </c>
      <c r="D2" s="7">
        <v>6.5428571428571428E-3</v>
      </c>
      <c r="E2" s="7">
        <v>5.3714285714285713E-3</v>
      </c>
      <c r="F2" s="7">
        <v>4.5999999999999999E-3</v>
      </c>
      <c r="G2" s="7">
        <v>3.2285714285714283E-3</v>
      </c>
      <c r="H2" s="7">
        <f ca="1">AVERAGE(BB2:BH2)</f>
        <v>1.3428571428571428E-3</v>
      </c>
      <c r="I2" s="7">
        <f ca="1">AVERAGE(BI2:BO2)</f>
        <v>0</v>
      </c>
      <c r="J2" s="7">
        <f ca="1">AVERAGE(BP2:BV2)</f>
        <v>0</v>
      </c>
      <c r="K2" s="7">
        <f t="shared" ref="K2:K33" ca="1" si="0">AVERAGE(BW2:CB2)</f>
        <v>0</v>
      </c>
      <c r="L2" s="7">
        <f t="shared" ref="L2:L33" ca="1" si="1">AVERAGE(BX2:CB2)</f>
        <v>0</v>
      </c>
      <c r="M2" s="8">
        <v>3.8999999999999998E-3</v>
      </c>
      <c r="N2" s="8">
        <v>4.7000000000000002E-3</v>
      </c>
      <c r="O2" s="8">
        <v>5.7000000000000002E-3</v>
      </c>
      <c r="P2" s="8">
        <v>4.7999999999999996E-3</v>
      </c>
      <c r="Q2" s="8">
        <v>4.4999999999999997E-3</v>
      </c>
      <c r="R2" s="8">
        <v>5.7999999999999996E-3</v>
      </c>
      <c r="S2" s="8">
        <v>6.0000000000000001E-3</v>
      </c>
      <c r="T2" s="8">
        <v>5.4999999999999997E-3</v>
      </c>
      <c r="U2" s="8">
        <v>4.1000000000000003E-3</v>
      </c>
      <c r="V2" s="8">
        <v>5.7999999999999996E-3</v>
      </c>
      <c r="W2" s="8">
        <v>4.4000000000000003E-3</v>
      </c>
      <c r="X2" s="8">
        <v>4.4000000000000003E-3</v>
      </c>
      <c r="Y2" s="8">
        <v>7.3000000000000001E-3</v>
      </c>
      <c r="Z2" s="8">
        <v>6.7000000000000002E-3</v>
      </c>
      <c r="AA2" s="8">
        <v>7.0000000000000001E-3</v>
      </c>
      <c r="AB2" s="8">
        <v>6.1999999999999998E-3</v>
      </c>
      <c r="AC2" s="8">
        <v>8.5000000000000006E-3</v>
      </c>
      <c r="AD2" s="8">
        <v>6.0000000000000001E-3</v>
      </c>
      <c r="AE2" s="8">
        <v>6.0000000000000001E-3</v>
      </c>
      <c r="AF2" s="8">
        <v>5.4000000000000003E-3</v>
      </c>
      <c r="AG2" s="8">
        <v>5.4999999999999997E-3</v>
      </c>
      <c r="AH2" s="8">
        <v>5.5999999999999999E-3</v>
      </c>
      <c r="AI2" s="8">
        <v>5.4000000000000003E-3</v>
      </c>
      <c r="AJ2" s="8">
        <v>5.1000000000000004E-3</v>
      </c>
      <c r="AK2" s="8">
        <v>5.1999999999999998E-3</v>
      </c>
      <c r="AL2" s="8">
        <v>5.3E-3</v>
      </c>
      <c r="AM2" s="7">
        <v>5.4999999999999997E-3</v>
      </c>
      <c r="AN2" s="7">
        <v>5.1999999999999998E-3</v>
      </c>
      <c r="AO2" s="7">
        <v>4.4999999999999997E-3</v>
      </c>
      <c r="AP2" s="7">
        <v>4.1999999999999997E-3</v>
      </c>
      <c r="AQ2" s="7">
        <v>4.3E-3</v>
      </c>
      <c r="AR2" s="7">
        <v>4.7999999999999996E-3</v>
      </c>
      <c r="AS2" s="7">
        <v>4.7999999999999996E-3</v>
      </c>
      <c r="AT2" s="7">
        <v>4.4000000000000003E-3</v>
      </c>
      <c r="AU2" s="7">
        <v>3.5000000000000001E-3</v>
      </c>
      <c r="AV2" s="7">
        <v>3.0000000000000001E-3</v>
      </c>
      <c r="AW2" s="7">
        <v>3.2000000000000002E-3</v>
      </c>
      <c r="AX2" s="7">
        <v>3.5000000000000001E-3</v>
      </c>
      <c r="AY2" s="7">
        <v>3.2000000000000002E-3</v>
      </c>
      <c r="AZ2" s="7">
        <v>3.0999999999999999E-3</v>
      </c>
      <c r="BA2" s="7">
        <v>3.0999999999999999E-3</v>
      </c>
      <c r="BB2" s="7">
        <v>2.7000000000000001E-3</v>
      </c>
      <c r="BC2" s="7">
        <v>3.8E-3</v>
      </c>
      <c r="BD2" s="7">
        <v>2.8999999999999998E-3</v>
      </c>
      <c r="BE2" s="7">
        <f ca="1">IFERROR(VLOOKUP($A2,INDIRECT(#REF!&amp;"!$A$6:$C$200"),3,0),0)</f>
        <v>0</v>
      </c>
      <c r="BF2" s="7">
        <f ca="1">IFERROR(VLOOKUP($A2,INDIRECT(#REF!&amp;"!$A$6:$C$200"),3,0),0)</f>
        <v>0</v>
      </c>
      <c r="BG2" s="7">
        <f ca="1">IFERROR(VLOOKUP($A2,INDIRECT(#REF!&amp;"!$A$6:$C$200"),3,0),0)</f>
        <v>0</v>
      </c>
      <c r="BH2" s="8">
        <f ca="1">IFERROR(VLOOKUP($A2,INDIRECT(#REF!&amp;"!$A$6:$C$200"),3,0),0)</f>
        <v>0</v>
      </c>
      <c r="BI2" s="8">
        <f ca="1">IFERROR(VLOOKUP($A2,INDIRECT(#REF!&amp;"!$A$6:$C$200"),3,0),0)</f>
        <v>0</v>
      </c>
      <c r="BJ2" s="8">
        <f ca="1">IFERROR(VLOOKUP($A2,INDIRECT(#REF!&amp;"!$A$6:$C$200"),3,0),0)</f>
        <v>0</v>
      </c>
      <c r="BK2" s="8">
        <f ca="1">IFERROR(VLOOKUP($A2,INDIRECT(#REF!&amp;"!$A$6:$C$200"),3,0),0)</f>
        <v>0</v>
      </c>
      <c r="BL2" s="8">
        <f ca="1">IFERROR(VLOOKUP($A2,INDIRECT(#REF!&amp;"!$A$6:$C$200"),3,0),0)</f>
        <v>0</v>
      </c>
      <c r="BM2" s="8">
        <f ca="1">IFERROR(VLOOKUP($A2,INDIRECT(#REF!&amp;"!$A$6:$C$200"),3,0),0)</f>
        <v>0</v>
      </c>
      <c r="BN2" s="8">
        <f ca="1">IFERROR(VLOOKUP($A2,INDIRECT(#REF!&amp;"!$A$6:$C$200"),3,0),0)</f>
        <v>0</v>
      </c>
      <c r="BO2" s="8">
        <f ca="1">IFERROR(VLOOKUP($A2,INDIRECT(#REF!&amp;"!$A$6:$C$200"),3,0),0)</f>
        <v>0</v>
      </c>
      <c r="BP2" s="7">
        <f ca="1">IFERROR(VLOOKUP($A2,INDIRECT(#REF!&amp;"!$A$6:$C$200"),3,0),0)</f>
        <v>0</v>
      </c>
      <c r="BQ2" s="7">
        <f ca="1">IFERROR(VLOOKUP($A2,INDIRECT(#REF!&amp;"!$A$6:$C$200"),3,0),0)</f>
        <v>0</v>
      </c>
      <c r="BR2" s="7">
        <f ca="1">IFERROR(VLOOKUP($A2,INDIRECT(#REF!&amp;"!$A$6:$C$200"),3,0),0)</f>
        <v>0</v>
      </c>
      <c r="BS2" s="7">
        <f ca="1">IFERROR(VLOOKUP($A2,INDIRECT(#REF!&amp;"!$A$6:$C$200"),3,0),0)</f>
        <v>0</v>
      </c>
      <c r="BT2" s="7">
        <f ca="1">IFERROR(VLOOKUP($A2,INDIRECT(#REF!&amp;"!$A$6:$C$200"),3,0),0)</f>
        <v>0</v>
      </c>
      <c r="BU2" s="7">
        <f ca="1">IFERROR(VLOOKUP($A2,INDIRECT(#REF!&amp;"!$A$6:$C$200"),3,0),0)</f>
        <v>0</v>
      </c>
      <c r="BV2" s="7">
        <f ca="1">IFERROR(VLOOKUP($A2,INDIRECT(#REF!&amp;"!$A$6:$C$200"),3,0),0)</f>
        <v>0</v>
      </c>
      <c r="BW2" s="7">
        <f ca="1">IFERROR(VLOOKUP($A2,INDIRECT(#REF!&amp;"!$A$6:$C$200"),3,0),0)</f>
        <v>0</v>
      </c>
      <c r="BX2" s="7">
        <f ca="1">IFERROR(VLOOKUP($A2,INDIRECT(#REF!&amp;"!$A$6:$C$200"),3,0),0)</f>
        <v>0</v>
      </c>
      <c r="BY2" s="7">
        <f ca="1">IFERROR(VLOOKUP($A2,INDIRECT(#REF!&amp;"!$A$6:$C$200"),3,0),0)</f>
        <v>0</v>
      </c>
      <c r="BZ2" s="7">
        <f ca="1">IFERROR(VLOOKUP($A2,INDIRECT(#REF!&amp;"!$A$6:$C$200"),3,0),0)</f>
        <v>0</v>
      </c>
      <c r="CA2" s="7">
        <f ca="1">IFERROR(VLOOKUP($A2,INDIRECT(#REF!&amp;"!$A$6:$C$200"),3,0),0)</f>
        <v>0</v>
      </c>
      <c r="CB2" s="7">
        <f ca="1">IFERROR(VLOOKUP($A2,INDIRECT(#REF!&amp;"!$A$6:$C$200"),3,0),0)</f>
        <v>0</v>
      </c>
      <c r="CC2" s="7">
        <f ca="1">IFERROR(VLOOKUP($A2,INDIRECT(#REF!&amp;"!$A$6:$C$200"),3,0),0)</f>
        <v>0</v>
      </c>
      <c r="CD2" s="7" t="str">
        <f ca="1">IF(CD1="","",IFERROR(VLOOKUP($A2,INDIRECT(#REF!&amp;"!$A$6:$C$200"),3,0),0))</f>
        <v/>
      </c>
      <c r="CE2" s="7" t="str">
        <f ca="1">IF(CE1="","",IFERROR(VLOOKUP($A2,INDIRECT(#REF!&amp;"!$A$6:$C$200"),3,0),0))</f>
        <v/>
      </c>
      <c r="CF2" s="7" t="str">
        <f ca="1">IF(CF1="","",IFERROR(VLOOKUP($A2,INDIRECT(#REF!&amp;"!$A$6:$C$200"),3,0),0))</f>
        <v/>
      </c>
      <c r="CG2" s="7" t="str">
        <f ca="1">IF(CG1="","",IFERROR(VLOOKUP($A2,INDIRECT(#REF!&amp;"!$A$6:$C$200"),3,0),0))</f>
        <v/>
      </c>
      <c r="CH2" s="7" t="str">
        <f ca="1">IF(CH1="","",IFERROR(VLOOKUP($A2,INDIRECT(#REF!&amp;"!$A$6:$C$200"),3,0),0))</f>
        <v/>
      </c>
      <c r="CI2" s="7" t="str">
        <f ca="1">IF(CI1="","",IFERROR(VLOOKUP($A2,INDIRECT(#REF!&amp;"!$A$6:$C$200"),3,0),0))</f>
        <v/>
      </c>
      <c r="CJ2" s="7" t="str">
        <f ca="1">IF(CJ1="","",IFERROR(VLOOKUP($A2,INDIRECT(#REF!&amp;"!$A$6:$C$200"),3,0),0))</f>
        <v/>
      </c>
      <c r="CK2" s="7" t="str">
        <f ca="1">IF(CK1="","",IFERROR(VLOOKUP($A2,INDIRECT(#REF!&amp;"!$A$6:$C$200"),3,0),0))</f>
        <v/>
      </c>
      <c r="CL2" s="7" t="str">
        <f ca="1">IF(CL1="","",IFERROR(VLOOKUP($A2,INDIRECT(#REF!&amp;"!$A$6:$C$200"),3,0),0))</f>
        <v/>
      </c>
      <c r="CM2" s="7" t="str">
        <f ca="1">IF(CM1="","",IFERROR(VLOOKUP($A2,INDIRECT(#REF!&amp;"!$A$6:$C$200"),3,0),0))</f>
        <v/>
      </c>
      <c r="CN2" s="7" t="str">
        <f ca="1">IF(CN1="","",IFERROR(VLOOKUP($A2,INDIRECT(#REF!&amp;"!$A$6:$C$200"),3,0),0))</f>
        <v/>
      </c>
      <c r="CO2" s="7" t="str">
        <f ca="1">IF(CO1="","",IFERROR(VLOOKUP($A2,INDIRECT(#REF!&amp;"!$A$6:$C$200"),3,0),0))</f>
        <v/>
      </c>
      <c r="CP2" s="7" t="str">
        <f ca="1">IF(CP1="","",IFERROR(VLOOKUP($A2,INDIRECT(#REF!&amp;"!$A$6:$C$200"),3,0),0))</f>
        <v/>
      </c>
      <c r="CQ2" s="7" t="str">
        <f ca="1">IF(CQ1="","",IFERROR(VLOOKUP($A2,INDIRECT(#REF!&amp;"!$A$6:$C$200"),3,0),0))</f>
        <v/>
      </c>
      <c r="CR2" s="7" t="str">
        <f ca="1">IF(CR1="","",IFERROR(VLOOKUP($A2,INDIRECT(#REF!&amp;"!$A$6:$C$200"),3,0),0))</f>
        <v/>
      </c>
      <c r="CS2" s="7" t="str">
        <f ca="1">IF(CS1="","",IFERROR(VLOOKUP($A2,INDIRECT(#REF!&amp;"!$A$6:$C$200"),3,0),0))</f>
        <v/>
      </c>
      <c r="CT2" s="7" t="str">
        <f ca="1">IF(CT1="","",IFERROR(VLOOKUP($A2,INDIRECT(#REF!&amp;"!$A$6:$C$200"),3,0),0))</f>
        <v/>
      </c>
      <c r="CU2" s="7" t="str">
        <f ca="1">IF(CU1="","",IFERROR(VLOOKUP($A2,INDIRECT(#REF!&amp;"!$A$6:$C$200"),3,0),0))</f>
        <v/>
      </c>
      <c r="CV2" s="7" t="str">
        <f ca="1">IF(CV1="","",IFERROR(VLOOKUP($A2,INDIRECT(#REF!&amp;"!$A$6:$C$200"),3,0),0))</f>
        <v/>
      </c>
      <c r="CW2" s="7" t="str">
        <f ca="1">IF(CW1="","",IFERROR(VLOOKUP($A2,INDIRECT(#REF!&amp;"!$A$6:$C$200"),3,0),0))</f>
        <v/>
      </c>
      <c r="CX2" s="7" t="str">
        <f ca="1">IF(CX1="","",IFERROR(VLOOKUP($A2,INDIRECT(#REF!&amp;"!$A$6:$C$200"),3,0),0))</f>
        <v/>
      </c>
      <c r="CY2" s="7" t="str">
        <f ca="1">IF(CY1="","",IFERROR(VLOOKUP($A2,INDIRECT(#REF!&amp;"!$A$6:$C$200"),3,0),0))</f>
        <v/>
      </c>
      <c r="CZ2" s="7" t="str">
        <f ca="1">IF(CZ1="","",IFERROR(VLOOKUP($A2,INDIRECT(#REF!&amp;"!$A$6:$C$200"),3,0),0))</f>
        <v/>
      </c>
      <c r="DA2" s="7" t="str">
        <f ca="1">IF(DA1="","",IFERROR(VLOOKUP($A2,INDIRECT(#REF!&amp;"!$A$6:$C$200"),3,0),0))</f>
        <v/>
      </c>
      <c r="DB2" s="7" t="str">
        <f ca="1">IF(DB1="","",IFERROR(VLOOKUP($A2,INDIRECT(#REF!&amp;"!$A$6:$C$200"),3,0),0))</f>
        <v/>
      </c>
      <c r="DC2" s="7" t="str">
        <f ca="1">IF(DC1="","",IFERROR(VLOOKUP($A2,INDIRECT(#REF!&amp;"!$A$6:$C$200"),3,0),0))</f>
        <v/>
      </c>
      <c r="DD2" s="7" t="str">
        <f ca="1">IF(DD1="","",IFERROR(VLOOKUP($A2,INDIRECT(#REF!&amp;"!$A$6:$C$200"),3,0),0))</f>
        <v/>
      </c>
      <c r="DE2" s="7" t="str">
        <f ca="1">IF(DE1="","",IFERROR(VLOOKUP($A2,INDIRECT(#REF!&amp;"!$A$6:$C$200"),3,0),0))</f>
        <v/>
      </c>
      <c r="DF2" s="7" t="str">
        <f ca="1">IF(DF1="","",IFERROR(VLOOKUP($A2,INDIRECT(#REF!&amp;"!$A$6:$C$200"),3,0),0))</f>
        <v/>
      </c>
      <c r="DG2" s="7" t="str">
        <f ca="1">IF(DG1="","",IFERROR(VLOOKUP($A2,INDIRECT(#REF!&amp;"!$A$6:$C$200"),3,0),0))</f>
        <v/>
      </c>
      <c r="DH2" s="7" t="str">
        <f ca="1">IF(DH1="","",IFERROR(VLOOKUP($A2,INDIRECT(#REF!&amp;"!$A$6:$C$200"),3,0),0))</f>
        <v/>
      </c>
      <c r="DI2" s="7" t="str">
        <f ca="1">IF(DI1="","",IFERROR(VLOOKUP($A2,INDIRECT(#REF!&amp;"!$A$6:$C$200"),3,0),0))</f>
        <v/>
      </c>
      <c r="DJ2" s="7" t="str">
        <f ca="1">IF(DJ1="","",IFERROR(VLOOKUP($A2,INDIRECT(#REF!&amp;"!$A$6:$C$200"),3,0),0))</f>
        <v/>
      </c>
      <c r="DK2" s="7" t="str">
        <f ca="1">IF(DK1="","",IFERROR(VLOOKUP($A2,INDIRECT(#REF!&amp;"!$A$6:$C$200"),3,0),0))</f>
        <v/>
      </c>
    </row>
    <row r="3" spans="1:115">
      <c r="A3" s="6" t="s">
        <v>3</v>
      </c>
      <c r="B3" s="7">
        <v>3.333333333333334E-3</v>
      </c>
      <c r="C3" s="7">
        <v>2.4285714285714288E-3</v>
      </c>
      <c r="D3" s="7">
        <v>2.6714285714285716E-3</v>
      </c>
      <c r="E3" s="7">
        <v>2.3857142857142857E-3</v>
      </c>
      <c r="F3" s="7">
        <v>2.2428571428571428E-3</v>
      </c>
      <c r="G3" s="7">
        <v>2.2285714285714283E-3</v>
      </c>
      <c r="H3" s="7">
        <f t="shared" ref="H3:H13" ca="1" si="2">AVERAGE(BB3:BH3)</f>
        <v>8.1428571428571433E-4</v>
      </c>
      <c r="I3" s="7">
        <f t="shared" ref="I3:I66" ca="1" si="3">AVERAGE(BI3:BO3)</f>
        <v>0</v>
      </c>
      <c r="J3" s="7">
        <f t="shared" ref="J3:J66" ca="1" si="4">AVERAGE(BP3:BV3)</f>
        <v>0</v>
      </c>
      <c r="K3" s="7">
        <f t="shared" ca="1" si="0"/>
        <v>0</v>
      </c>
      <c r="L3" s="7">
        <f t="shared" ca="1" si="1"/>
        <v>0</v>
      </c>
      <c r="M3" s="8">
        <v>4.0000000000000001E-3</v>
      </c>
      <c r="N3" s="8">
        <v>2.3999999999999998E-3</v>
      </c>
      <c r="O3" s="8">
        <v>3.0999999999999999E-3</v>
      </c>
      <c r="P3" s="8">
        <v>3.5999999999999999E-3</v>
      </c>
      <c r="Q3" s="8">
        <v>3.7000000000000002E-3</v>
      </c>
      <c r="R3" s="8">
        <v>3.2000000000000002E-3</v>
      </c>
      <c r="S3" s="8">
        <v>3.3E-3</v>
      </c>
      <c r="T3" s="8">
        <v>1.6000000000000001E-3</v>
      </c>
      <c r="U3" s="8">
        <v>2.2000000000000001E-3</v>
      </c>
      <c r="V3" s="8">
        <v>1.4E-3</v>
      </c>
      <c r="W3" s="8">
        <v>2.8E-3</v>
      </c>
      <c r="X3" s="8">
        <v>2.8E-3</v>
      </c>
      <c r="Y3" s="8">
        <v>2.8999999999999998E-3</v>
      </c>
      <c r="Z3" s="8">
        <v>2.3E-3</v>
      </c>
      <c r="AA3" s="8">
        <v>2.7000000000000001E-3</v>
      </c>
      <c r="AB3" s="8">
        <v>2.8999999999999998E-3</v>
      </c>
      <c r="AC3" s="8">
        <v>2.8999999999999998E-3</v>
      </c>
      <c r="AD3" s="8">
        <v>2.8999999999999998E-3</v>
      </c>
      <c r="AE3" s="8">
        <v>2.8E-3</v>
      </c>
      <c r="AF3" s="8">
        <v>2.2000000000000001E-3</v>
      </c>
      <c r="AG3" s="8">
        <v>2.8999999999999998E-3</v>
      </c>
      <c r="AH3" s="8">
        <v>2.5000000000000001E-3</v>
      </c>
      <c r="AI3" s="8">
        <v>2.3E-3</v>
      </c>
      <c r="AJ3" s="8">
        <v>2.3999999999999998E-3</v>
      </c>
      <c r="AK3" s="8">
        <v>2.0999999999999999E-3</v>
      </c>
      <c r="AL3" s="8">
        <v>2.0999999999999999E-3</v>
      </c>
      <c r="AM3" s="7">
        <v>2.3999999999999998E-3</v>
      </c>
      <c r="AN3" s="7">
        <v>2.2000000000000001E-3</v>
      </c>
      <c r="AO3" s="7">
        <v>1.9E-3</v>
      </c>
      <c r="AP3" s="7">
        <v>2.0999999999999999E-3</v>
      </c>
      <c r="AQ3" s="7">
        <v>2.2000000000000001E-3</v>
      </c>
      <c r="AR3" s="7">
        <v>2.3999999999999998E-3</v>
      </c>
      <c r="AS3" s="7">
        <v>2.3999999999999998E-3</v>
      </c>
      <c r="AT3" s="7">
        <v>2.5000000000000001E-3</v>
      </c>
      <c r="AU3" s="7">
        <v>2.3999999999999998E-3</v>
      </c>
      <c r="AV3" s="7">
        <v>2.7000000000000001E-3</v>
      </c>
      <c r="AW3" s="7">
        <v>2.0999999999999999E-3</v>
      </c>
      <c r="AX3" s="7">
        <v>2.3E-3</v>
      </c>
      <c r="AY3" s="7">
        <v>2.3999999999999998E-3</v>
      </c>
      <c r="AZ3" s="7">
        <v>1.9E-3</v>
      </c>
      <c r="BA3" s="7">
        <v>1.8E-3</v>
      </c>
      <c r="BB3" s="7">
        <v>2E-3</v>
      </c>
      <c r="BC3" s="7">
        <v>1.9E-3</v>
      </c>
      <c r="BD3" s="7">
        <v>1.8E-3</v>
      </c>
      <c r="BE3" s="7">
        <f ca="1">IFERROR(VLOOKUP($A3,INDIRECT(#REF!&amp;"!$A$6:$C$200"),3,0),0)</f>
        <v>0</v>
      </c>
      <c r="BF3" s="7">
        <f ca="1">IFERROR(VLOOKUP($A3,INDIRECT(#REF!&amp;"!$A$6:$C$200"),3,0),0)</f>
        <v>0</v>
      </c>
      <c r="BG3" s="7">
        <f ca="1">IFERROR(VLOOKUP($A3,INDIRECT(#REF!&amp;"!$A$6:$C$200"),3,0),0)</f>
        <v>0</v>
      </c>
      <c r="BH3" s="8">
        <f ca="1">IFERROR(VLOOKUP($A3,INDIRECT(#REF!&amp;"!$A$6:$C$200"),3,0),0)</f>
        <v>0</v>
      </c>
      <c r="BI3" s="8">
        <f ca="1">IFERROR(VLOOKUP($A3,INDIRECT(#REF!&amp;"!$A$6:$C$200"),3,0),0)</f>
        <v>0</v>
      </c>
      <c r="BJ3" s="8">
        <f ca="1">IFERROR(VLOOKUP($A3,INDIRECT(#REF!&amp;"!$A$6:$C$200"),3,0),0)</f>
        <v>0</v>
      </c>
      <c r="BK3" s="8">
        <f ca="1">IFERROR(VLOOKUP($A3,INDIRECT(#REF!&amp;"!$A$6:$C$200"),3,0),0)</f>
        <v>0</v>
      </c>
      <c r="BL3" s="8">
        <f ca="1">IFERROR(VLOOKUP($A3,INDIRECT(#REF!&amp;"!$A$6:$C$200"),3,0),0)</f>
        <v>0</v>
      </c>
      <c r="BM3" s="8">
        <f ca="1">IFERROR(VLOOKUP($A3,INDIRECT(#REF!&amp;"!$A$6:$C$200"),3,0),0)</f>
        <v>0</v>
      </c>
      <c r="BN3" s="8">
        <f ca="1">IFERROR(VLOOKUP($A3,INDIRECT(#REF!&amp;"!$A$6:$C$200"),3,0),0)</f>
        <v>0</v>
      </c>
      <c r="BO3" s="8">
        <f ca="1">IFERROR(VLOOKUP($A3,INDIRECT(#REF!&amp;"!$A$6:$C$200"),3,0),0)</f>
        <v>0</v>
      </c>
      <c r="BP3" s="7">
        <f ca="1">IFERROR(VLOOKUP($A3,INDIRECT(#REF!&amp;"!$A$6:$C$200"),3,0),0)</f>
        <v>0</v>
      </c>
      <c r="BQ3" s="7">
        <f ca="1">IFERROR(VLOOKUP($A3,INDIRECT(#REF!&amp;"!$A$6:$C$200"),3,0),0)</f>
        <v>0</v>
      </c>
      <c r="BR3" s="7">
        <f ca="1">IFERROR(VLOOKUP($A3,INDIRECT(#REF!&amp;"!$A$6:$C$200"),3,0),0)</f>
        <v>0</v>
      </c>
      <c r="BS3" s="7">
        <f ca="1">IFERROR(VLOOKUP($A3,INDIRECT(#REF!&amp;"!$A$6:$C$200"),3,0),0)</f>
        <v>0</v>
      </c>
      <c r="BT3" s="7">
        <f ca="1">IFERROR(VLOOKUP($A3,INDIRECT(#REF!&amp;"!$A$6:$C$200"),3,0),0)</f>
        <v>0</v>
      </c>
      <c r="BU3" s="7">
        <f ca="1">IFERROR(VLOOKUP($A3,INDIRECT(#REF!&amp;"!$A$6:$C$200"),3,0),0)</f>
        <v>0</v>
      </c>
      <c r="BV3" s="7">
        <f ca="1">IFERROR(VLOOKUP($A3,INDIRECT(#REF!&amp;"!$A$6:$C$200"),3,0),0)</f>
        <v>0</v>
      </c>
      <c r="BW3" s="7">
        <f ca="1">IFERROR(VLOOKUP($A3,INDIRECT(#REF!&amp;"!$A$6:$C$200"),3,0),0)</f>
        <v>0</v>
      </c>
      <c r="BX3" s="7">
        <f ca="1">IFERROR(VLOOKUP($A3,INDIRECT(#REF!&amp;"!$A$6:$C$200"),3,0),0)</f>
        <v>0</v>
      </c>
      <c r="BY3" s="7">
        <f ca="1">IFERROR(VLOOKUP($A3,INDIRECT(#REF!&amp;"!$A$6:$C$200"),3,0),0)</f>
        <v>0</v>
      </c>
      <c r="BZ3" s="7">
        <f ca="1">IFERROR(VLOOKUP($A3,INDIRECT(#REF!&amp;"!$A$6:$C$200"),3,0),0)</f>
        <v>0</v>
      </c>
      <c r="CA3" s="7">
        <f ca="1">IFERROR(VLOOKUP($A3,INDIRECT(#REF!&amp;"!$A$6:$C$200"),3,0),0)</f>
        <v>0</v>
      </c>
      <c r="CB3" s="7">
        <f ca="1">IFERROR(VLOOKUP($A3,INDIRECT(#REF!&amp;"!$A$6:$C$200"),3,0),0)</f>
        <v>0</v>
      </c>
      <c r="CC3" s="7">
        <f ca="1">IFERROR(VLOOKUP($A3,INDIRECT(#REF!&amp;"!$A$6:$C$200"),3,0),0)</f>
        <v>0</v>
      </c>
      <c r="CD3" s="7" t="str">
        <f ca="1">IF(CD2="","",IFERROR(VLOOKUP($A3,INDIRECT(#REF!&amp;"!$A$6:$C$200"),3,0),0))</f>
        <v/>
      </c>
      <c r="CE3" s="7" t="str">
        <f ca="1">IF(CE2="","",IFERROR(VLOOKUP($A3,INDIRECT(#REF!&amp;"!$A$6:$C$200"),3,0),0))</f>
        <v/>
      </c>
      <c r="CF3" s="7" t="str">
        <f ca="1">IF(CF2="","",IFERROR(VLOOKUP($A3,INDIRECT(#REF!&amp;"!$A$6:$C$200"),3,0),0))</f>
        <v/>
      </c>
      <c r="CG3" s="7" t="str">
        <f ca="1">IF(CG2="","",IFERROR(VLOOKUP($A3,INDIRECT(#REF!&amp;"!$A$6:$C$200"),3,0),0))</f>
        <v/>
      </c>
      <c r="CH3" s="7" t="str">
        <f ca="1">IF(CH2="","",IFERROR(VLOOKUP($A3,INDIRECT(#REF!&amp;"!$A$6:$C$200"),3,0),0))</f>
        <v/>
      </c>
      <c r="CI3" s="7" t="str">
        <f ca="1">IF(CI2="","",IFERROR(VLOOKUP($A3,INDIRECT(#REF!&amp;"!$A$6:$C$200"),3,0),0))</f>
        <v/>
      </c>
      <c r="CJ3" s="7" t="str">
        <f ca="1">IF(CJ2="","",IFERROR(VLOOKUP($A3,INDIRECT(#REF!&amp;"!$A$6:$C$200"),3,0),0))</f>
        <v/>
      </c>
      <c r="CK3" s="7" t="str">
        <f ca="1">IF(CK2="","",IFERROR(VLOOKUP($A3,INDIRECT(#REF!&amp;"!$A$6:$C$200"),3,0),0))</f>
        <v/>
      </c>
      <c r="CL3" s="7" t="str">
        <f ca="1">IF(CL2="","",IFERROR(VLOOKUP($A3,INDIRECT(#REF!&amp;"!$A$6:$C$200"),3,0),0))</f>
        <v/>
      </c>
      <c r="CM3" s="7" t="str">
        <f ca="1">IF(CM2="","",IFERROR(VLOOKUP($A3,INDIRECT(#REF!&amp;"!$A$6:$C$200"),3,0),0))</f>
        <v/>
      </c>
      <c r="CN3" s="7" t="str">
        <f ca="1">IF(CN2="","",IFERROR(VLOOKUP($A3,INDIRECT(#REF!&amp;"!$A$6:$C$200"),3,0),0))</f>
        <v/>
      </c>
      <c r="CO3" s="7" t="str">
        <f ca="1">IF(CO2="","",IFERROR(VLOOKUP($A3,INDIRECT(#REF!&amp;"!$A$6:$C$200"),3,0),0))</f>
        <v/>
      </c>
      <c r="CP3" s="7" t="str">
        <f ca="1">IF(CP2="","",IFERROR(VLOOKUP($A3,INDIRECT(#REF!&amp;"!$A$6:$C$200"),3,0),0))</f>
        <v/>
      </c>
      <c r="CQ3" s="7" t="str">
        <f ca="1">IF(CQ2="","",IFERROR(VLOOKUP($A3,INDIRECT(#REF!&amp;"!$A$6:$C$200"),3,0),0))</f>
        <v/>
      </c>
      <c r="CR3" s="7" t="str">
        <f ca="1">IF(CR2="","",IFERROR(VLOOKUP($A3,INDIRECT(#REF!&amp;"!$A$6:$C$200"),3,0),0))</f>
        <v/>
      </c>
      <c r="CS3" s="7" t="str">
        <f ca="1">IF(CS2="","",IFERROR(VLOOKUP($A3,INDIRECT(#REF!&amp;"!$A$6:$C$200"),3,0),0))</f>
        <v/>
      </c>
      <c r="CT3" s="7" t="str">
        <f ca="1">IF(CT2="","",IFERROR(VLOOKUP($A3,INDIRECT(#REF!&amp;"!$A$6:$C$200"),3,0),0))</f>
        <v/>
      </c>
      <c r="CU3" s="7" t="str">
        <f ca="1">IF(CU2="","",IFERROR(VLOOKUP($A3,INDIRECT(#REF!&amp;"!$A$6:$C$200"),3,0),0))</f>
        <v/>
      </c>
      <c r="CV3" s="7" t="str">
        <f ca="1">IF(CV2="","",IFERROR(VLOOKUP($A3,INDIRECT(#REF!&amp;"!$A$6:$C$200"),3,0),0))</f>
        <v/>
      </c>
      <c r="CW3" s="7" t="str">
        <f ca="1">IF(CW2="","",IFERROR(VLOOKUP($A3,INDIRECT(#REF!&amp;"!$A$6:$C$200"),3,0),0))</f>
        <v/>
      </c>
      <c r="CX3" s="7" t="str">
        <f ca="1">IF(CX2="","",IFERROR(VLOOKUP($A3,INDIRECT(#REF!&amp;"!$A$6:$C$200"),3,0),0))</f>
        <v/>
      </c>
      <c r="CY3" s="7" t="str">
        <f ca="1">IF(CY2="","",IFERROR(VLOOKUP($A3,INDIRECT(#REF!&amp;"!$A$6:$C$200"),3,0),0))</f>
        <v/>
      </c>
      <c r="CZ3" s="7" t="str">
        <f ca="1">IF(CZ2="","",IFERROR(VLOOKUP($A3,INDIRECT(#REF!&amp;"!$A$6:$C$200"),3,0),0))</f>
        <v/>
      </c>
      <c r="DA3" s="7" t="str">
        <f ca="1">IF(DA2="","",IFERROR(VLOOKUP($A3,INDIRECT(#REF!&amp;"!$A$6:$C$200"),3,0),0))</f>
        <v/>
      </c>
      <c r="DB3" s="7" t="str">
        <f ca="1">IF(DB2="","",IFERROR(VLOOKUP($A3,INDIRECT(#REF!&amp;"!$A$6:$C$200"),3,0),0))</f>
        <v/>
      </c>
      <c r="DC3" s="7" t="str">
        <f ca="1">IF(DC2="","",IFERROR(VLOOKUP($A3,INDIRECT(#REF!&amp;"!$A$6:$C$200"),3,0),0))</f>
        <v/>
      </c>
      <c r="DD3" s="7" t="str">
        <f ca="1">IF(DD2="","",IFERROR(VLOOKUP($A3,INDIRECT(#REF!&amp;"!$A$6:$C$200"),3,0),0))</f>
        <v/>
      </c>
      <c r="DE3" s="7" t="str">
        <f ca="1">IF(DE2="","",IFERROR(VLOOKUP($A3,INDIRECT(#REF!&amp;"!$A$6:$C$200"),3,0),0))</f>
        <v/>
      </c>
      <c r="DF3" s="7" t="str">
        <f ca="1">IF(DF2="","",IFERROR(VLOOKUP($A3,INDIRECT(#REF!&amp;"!$A$6:$C$200"),3,0),0))</f>
        <v/>
      </c>
      <c r="DG3" s="7" t="str">
        <f ca="1">IF(DG2="","",IFERROR(VLOOKUP($A3,INDIRECT(#REF!&amp;"!$A$6:$C$200"),3,0),0))</f>
        <v/>
      </c>
      <c r="DH3" s="7" t="str">
        <f ca="1">IF(DH2="","",IFERROR(VLOOKUP($A3,INDIRECT(#REF!&amp;"!$A$6:$C$200"),3,0),0))</f>
        <v/>
      </c>
      <c r="DI3" s="7" t="str">
        <f ca="1">IF(DI2="","",IFERROR(VLOOKUP($A3,INDIRECT(#REF!&amp;"!$A$6:$C$200"),3,0),0))</f>
        <v/>
      </c>
      <c r="DJ3" s="7" t="str">
        <f ca="1">IF(DJ2="","",IFERROR(VLOOKUP($A3,INDIRECT(#REF!&amp;"!$A$6:$C$200"),3,0),0))</f>
        <v/>
      </c>
      <c r="DK3" s="7" t="str">
        <f ca="1">IF(DK2="","",IFERROR(VLOOKUP($A3,INDIRECT(#REF!&amp;"!$A$6:$C$200"),3,0),0))</f>
        <v/>
      </c>
    </row>
    <row r="4" spans="1:115">
      <c r="A4" s="6" t="s">
        <v>5</v>
      </c>
      <c r="B4" s="7">
        <v>1.6499999999999998E-3</v>
      </c>
      <c r="C4" s="7">
        <v>8.2857142857142862E-4</v>
      </c>
      <c r="D4" s="7">
        <v>1.5285714285714282E-3</v>
      </c>
      <c r="E4" s="7">
        <v>1.9142857142857143E-3</v>
      </c>
      <c r="F4" s="7">
        <v>1.0857142857142858E-3</v>
      </c>
      <c r="G4" s="7">
        <v>8.1428571428571433E-4</v>
      </c>
      <c r="H4" s="7">
        <f t="shared" ca="1" si="2"/>
        <v>3.1428571428571432E-4</v>
      </c>
      <c r="I4" s="7">
        <f t="shared" ca="1" si="3"/>
        <v>0</v>
      </c>
      <c r="J4" s="7">
        <f t="shared" ca="1" si="4"/>
        <v>0</v>
      </c>
      <c r="K4" s="7">
        <f t="shared" ca="1" si="0"/>
        <v>0</v>
      </c>
      <c r="L4" s="7">
        <f t="shared" ca="1" si="1"/>
        <v>0</v>
      </c>
      <c r="M4" s="8">
        <v>1.2999999999999999E-3</v>
      </c>
      <c r="N4" s="8">
        <v>3.5000000000000001E-3</v>
      </c>
      <c r="O4" s="8">
        <v>5.0000000000000001E-4</v>
      </c>
      <c r="P4" s="8">
        <v>3.3E-3</v>
      </c>
      <c r="Q4" s="8">
        <v>6.9999999999999999E-4</v>
      </c>
      <c r="R4" s="8">
        <v>5.9999999999999995E-4</v>
      </c>
      <c r="S4" s="8">
        <v>5.0000000000000001E-4</v>
      </c>
      <c r="T4" s="8">
        <v>1E-3</v>
      </c>
      <c r="U4" s="8">
        <v>5.9999999999999995E-4</v>
      </c>
      <c r="V4" s="8">
        <v>6.9999999999999999E-4</v>
      </c>
      <c r="W4" s="8">
        <v>8.0000000000000004E-4</v>
      </c>
      <c r="X4" s="8">
        <v>8.0000000000000004E-4</v>
      </c>
      <c r="Y4" s="8">
        <v>1.4E-3</v>
      </c>
      <c r="Z4" s="8">
        <v>1.2999999999999999E-3</v>
      </c>
      <c r="AA4" s="8">
        <v>1.1999999999999999E-3</v>
      </c>
      <c r="AB4" s="8">
        <v>8.9999999999999998E-4</v>
      </c>
      <c r="AC4" s="8">
        <v>1.9E-3</v>
      </c>
      <c r="AD4" s="8">
        <v>2.5999999999999999E-3</v>
      </c>
      <c r="AE4" s="8">
        <v>1.5E-3</v>
      </c>
      <c r="AF4" s="8">
        <v>1.2999999999999999E-3</v>
      </c>
      <c r="AG4" s="8">
        <v>1.6999999999999999E-3</v>
      </c>
      <c r="AH4" s="8">
        <v>1.4E-3</v>
      </c>
      <c r="AI4" s="8">
        <v>1.1999999999999999E-3</v>
      </c>
      <c r="AJ4" s="8">
        <v>1.2999999999999999E-3</v>
      </c>
      <c r="AK4" s="8">
        <v>1.1000000000000001E-3</v>
      </c>
      <c r="AL4" s="8">
        <v>3.5000000000000001E-3</v>
      </c>
      <c r="AM4" s="7">
        <v>3.2000000000000002E-3</v>
      </c>
      <c r="AN4" s="7">
        <v>1.6999999999999999E-3</v>
      </c>
      <c r="AO4" s="7">
        <v>1.1000000000000001E-3</v>
      </c>
      <c r="AP4" s="7">
        <v>5.0000000000000001E-4</v>
      </c>
      <c r="AQ4" s="7">
        <v>1E-3</v>
      </c>
      <c r="AR4" s="7">
        <v>6.9999999999999999E-4</v>
      </c>
      <c r="AS4" s="7">
        <v>8.9999999999999998E-4</v>
      </c>
      <c r="AT4" s="7">
        <v>1.6999999999999999E-3</v>
      </c>
      <c r="AU4" s="7">
        <v>1.6000000000000001E-3</v>
      </c>
      <c r="AV4" s="7">
        <v>8.0000000000000004E-4</v>
      </c>
      <c r="AW4" s="7">
        <v>6.9999999999999999E-4</v>
      </c>
      <c r="AX4" s="7">
        <v>5.9999999999999995E-4</v>
      </c>
      <c r="AY4" s="7">
        <v>6.9999999999999999E-4</v>
      </c>
      <c r="AZ4" s="7">
        <v>4.0000000000000002E-4</v>
      </c>
      <c r="BA4" s="7">
        <v>8.9999999999999998E-4</v>
      </c>
      <c r="BB4" s="7">
        <v>8.9999999999999998E-4</v>
      </c>
      <c r="BC4" s="7">
        <v>5.0000000000000001E-4</v>
      </c>
      <c r="BD4" s="7">
        <v>8.0000000000000004E-4</v>
      </c>
      <c r="BE4" s="7">
        <f ca="1">IFERROR(VLOOKUP($A4,INDIRECT(#REF!&amp;"!$A$6:$C$200"),3,0),0)</f>
        <v>0</v>
      </c>
      <c r="BF4" s="7">
        <f ca="1">IFERROR(VLOOKUP($A4,INDIRECT(#REF!&amp;"!$A$6:$C$200"),3,0),0)</f>
        <v>0</v>
      </c>
      <c r="BG4" s="7">
        <f ca="1">IFERROR(VLOOKUP($A4,INDIRECT(#REF!&amp;"!$A$6:$C$200"),3,0),0)</f>
        <v>0</v>
      </c>
      <c r="BH4" s="8">
        <f ca="1">IFERROR(VLOOKUP($A4,INDIRECT(#REF!&amp;"!$A$6:$C$200"),3,0),0)</f>
        <v>0</v>
      </c>
      <c r="BI4" s="8">
        <f ca="1">IFERROR(VLOOKUP($A4,INDIRECT(#REF!&amp;"!$A$6:$C$200"),3,0),0)</f>
        <v>0</v>
      </c>
      <c r="BJ4" s="8">
        <f ca="1">IFERROR(VLOOKUP($A4,INDIRECT(#REF!&amp;"!$A$6:$C$200"),3,0),0)</f>
        <v>0</v>
      </c>
      <c r="BK4" s="8">
        <f ca="1">IFERROR(VLOOKUP($A4,INDIRECT(#REF!&amp;"!$A$6:$C$200"),3,0),0)</f>
        <v>0</v>
      </c>
      <c r="BL4" s="8">
        <f ca="1">IFERROR(VLOOKUP($A4,INDIRECT(#REF!&amp;"!$A$6:$C$200"),3,0),0)</f>
        <v>0</v>
      </c>
      <c r="BM4" s="8">
        <f ca="1">IFERROR(VLOOKUP($A4,INDIRECT(#REF!&amp;"!$A$6:$C$200"),3,0),0)</f>
        <v>0</v>
      </c>
      <c r="BN4" s="8">
        <f ca="1">IFERROR(VLOOKUP($A4,INDIRECT(#REF!&amp;"!$A$6:$C$200"),3,0),0)</f>
        <v>0</v>
      </c>
      <c r="BO4" s="8">
        <f ca="1">IFERROR(VLOOKUP($A4,INDIRECT(#REF!&amp;"!$A$6:$C$200"),3,0),0)</f>
        <v>0</v>
      </c>
      <c r="BP4" s="7">
        <f ca="1">IFERROR(VLOOKUP($A4,INDIRECT(#REF!&amp;"!$A$6:$C$200"),3,0),0)</f>
        <v>0</v>
      </c>
      <c r="BQ4" s="7">
        <f ca="1">IFERROR(VLOOKUP($A4,INDIRECT(#REF!&amp;"!$A$6:$C$200"),3,0),0)</f>
        <v>0</v>
      </c>
      <c r="BR4" s="7">
        <f ca="1">IFERROR(VLOOKUP($A4,INDIRECT(#REF!&amp;"!$A$6:$C$200"),3,0),0)</f>
        <v>0</v>
      </c>
      <c r="BS4" s="7">
        <f ca="1">IFERROR(VLOOKUP($A4,INDIRECT(#REF!&amp;"!$A$6:$C$200"),3,0),0)</f>
        <v>0</v>
      </c>
      <c r="BT4" s="7">
        <f ca="1">IFERROR(VLOOKUP($A4,INDIRECT(#REF!&amp;"!$A$6:$C$200"),3,0),0)</f>
        <v>0</v>
      </c>
      <c r="BU4" s="7">
        <f ca="1">IFERROR(VLOOKUP($A4,INDIRECT(#REF!&amp;"!$A$6:$C$200"),3,0),0)</f>
        <v>0</v>
      </c>
      <c r="BV4" s="7">
        <f ca="1">IFERROR(VLOOKUP($A4,INDIRECT(#REF!&amp;"!$A$6:$C$200"),3,0),0)</f>
        <v>0</v>
      </c>
      <c r="BW4" s="7">
        <f ca="1">IFERROR(VLOOKUP($A4,INDIRECT(#REF!&amp;"!$A$6:$C$200"),3,0),0)</f>
        <v>0</v>
      </c>
      <c r="BX4" s="7">
        <f ca="1">IFERROR(VLOOKUP($A4,INDIRECT(#REF!&amp;"!$A$6:$C$200"),3,0),0)</f>
        <v>0</v>
      </c>
      <c r="BY4" s="7">
        <f ca="1">IFERROR(VLOOKUP($A4,INDIRECT(#REF!&amp;"!$A$6:$C$200"),3,0),0)</f>
        <v>0</v>
      </c>
      <c r="BZ4" s="7">
        <f ca="1">IFERROR(VLOOKUP($A4,INDIRECT(#REF!&amp;"!$A$6:$C$200"),3,0),0)</f>
        <v>0</v>
      </c>
      <c r="CA4" s="7">
        <f ca="1">IFERROR(VLOOKUP($A4,INDIRECT(#REF!&amp;"!$A$6:$C$200"),3,0),0)</f>
        <v>0</v>
      </c>
      <c r="CB4" s="7">
        <f ca="1">IFERROR(VLOOKUP($A4,INDIRECT(#REF!&amp;"!$A$6:$C$200"),3,0),0)</f>
        <v>0</v>
      </c>
      <c r="CC4" s="7">
        <f ca="1">IFERROR(VLOOKUP($A4,INDIRECT(#REF!&amp;"!$A$6:$C$200"),3,0),0)</f>
        <v>0</v>
      </c>
      <c r="CD4" s="7" t="str">
        <f ca="1">IF(CD3="","",IFERROR(VLOOKUP($A4,INDIRECT(#REF!&amp;"!$A$6:$C$200"),3,0),0))</f>
        <v/>
      </c>
      <c r="CE4" s="7" t="str">
        <f ca="1">IF(CE3="","",IFERROR(VLOOKUP($A4,INDIRECT(#REF!&amp;"!$A$6:$C$200"),3,0),0))</f>
        <v/>
      </c>
      <c r="CF4" s="7" t="str">
        <f ca="1">IF(CF3="","",IFERROR(VLOOKUP($A4,INDIRECT(#REF!&amp;"!$A$6:$C$200"),3,0),0))</f>
        <v/>
      </c>
      <c r="CG4" s="7" t="str">
        <f ca="1">IF(CG3="","",IFERROR(VLOOKUP($A4,INDIRECT(#REF!&amp;"!$A$6:$C$200"),3,0),0))</f>
        <v/>
      </c>
      <c r="CH4" s="7" t="str">
        <f ca="1">IF(CH3="","",IFERROR(VLOOKUP($A4,INDIRECT(#REF!&amp;"!$A$6:$C$200"),3,0),0))</f>
        <v/>
      </c>
      <c r="CI4" s="7" t="str">
        <f ca="1">IF(CI3="","",IFERROR(VLOOKUP($A4,INDIRECT(#REF!&amp;"!$A$6:$C$200"),3,0),0))</f>
        <v/>
      </c>
      <c r="CJ4" s="7" t="str">
        <f ca="1">IF(CJ3="","",IFERROR(VLOOKUP($A4,INDIRECT(#REF!&amp;"!$A$6:$C$200"),3,0),0))</f>
        <v/>
      </c>
      <c r="CK4" s="7" t="str">
        <f ca="1">IF(CK3="","",IFERROR(VLOOKUP($A4,INDIRECT(#REF!&amp;"!$A$6:$C$200"),3,0),0))</f>
        <v/>
      </c>
      <c r="CL4" s="7" t="str">
        <f ca="1">IF(CL3="","",IFERROR(VLOOKUP($A4,INDIRECT(#REF!&amp;"!$A$6:$C$200"),3,0),0))</f>
        <v/>
      </c>
      <c r="CM4" s="7" t="str">
        <f ca="1">IF(CM3="","",IFERROR(VLOOKUP($A4,INDIRECT(#REF!&amp;"!$A$6:$C$200"),3,0),0))</f>
        <v/>
      </c>
      <c r="CN4" s="7" t="str">
        <f ca="1">IF(CN3="","",IFERROR(VLOOKUP($A4,INDIRECT(#REF!&amp;"!$A$6:$C$200"),3,0),0))</f>
        <v/>
      </c>
      <c r="CO4" s="7" t="str">
        <f ca="1">IF(CO3="","",IFERROR(VLOOKUP($A4,INDIRECT(#REF!&amp;"!$A$6:$C$200"),3,0),0))</f>
        <v/>
      </c>
      <c r="CP4" s="7" t="str">
        <f ca="1">IF(CP3="","",IFERROR(VLOOKUP($A4,INDIRECT(#REF!&amp;"!$A$6:$C$200"),3,0),0))</f>
        <v/>
      </c>
      <c r="CQ4" s="7" t="str">
        <f ca="1">IF(CQ3="","",IFERROR(VLOOKUP($A4,INDIRECT(#REF!&amp;"!$A$6:$C$200"),3,0),0))</f>
        <v/>
      </c>
      <c r="CR4" s="7" t="str">
        <f ca="1">IF(CR3="","",IFERROR(VLOOKUP($A4,INDIRECT(#REF!&amp;"!$A$6:$C$200"),3,0),0))</f>
        <v/>
      </c>
      <c r="CS4" s="7" t="str">
        <f ca="1">IF(CS3="","",IFERROR(VLOOKUP($A4,INDIRECT(#REF!&amp;"!$A$6:$C$200"),3,0),0))</f>
        <v/>
      </c>
      <c r="CT4" s="7" t="str">
        <f ca="1">IF(CT3="","",IFERROR(VLOOKUP($A4,INDIRECT(#REF!&amp;"!$A$6:$C$200"),3,0),0))</f>
        <v/>
      </c>
      <c r="CU4" s="7" t="str">
        <f ca="1">IF(CU3="","",IFERROR(VLOOKUP($A4,INDIRECT(#REF!&amp;"!$A$6:$C$200"),3,0),0))</f>
        <v/>
      </c>
      <c r="CV4" s="7" t="str">
        <f ca="1">IF(CV3="","",IFERROR(VLOOKUP($A4,INDIRECT(#REF!&amp;"!$A$6:$C$200"),3,0),0))</f>
        <v/>
      </c>
      <c r="CW4" s="7" t="str">
        <f ca="1">IF(CW3="","",IFERROR(VLOOKUP($A4,INDIRECT(#REF!&amp;"!$A$6:$C$200"),3,0),0))</f>
        <v/>
      </c>
      <c r="CX4" s="7" t="str">
        <f ca="1">IF(CX3="","",IFERROR(VLOOKUP($A4,INDIRECT(#REF!&amp;"!$A$6:$C$200"),3,0),0))</f>
        <v/>
      </c>
      <c r="CY4" s="7" t="str">
        <f ca="1">IF(CY3="","",IFERROR(VLOOKUP($A4,INDIRECT(#REF!&amp;"!$A$6:$C$200"),3,0),0))</f>
        <v/>
      </c>
      <c r="CZ4" s="7" t="str">
        <f ca="1">IF(CZ3="","",IFERROR(VLOOKUP($A4,INDIRECT(#REF!&amp;"!$A$6:$C$200"),3,0),0))</f>
        <v/>
      </c>
      <c r="DA4" s="7" t="str">
        <f ca="1">IF(DA3="","",IFERROR(VLOOKUP($A4,INDIRECT(#REF!&amp;"!$A$6:$C$200"),3,0),0))</f>
        <v/>
      </c>
      <c r="DB4" s="7" t="str">
        <f ca="1">IF(DB3="","",IFERROR(VLOOKUP($A4,INDIRECT(#REF!&amp;"!$A$6:$C$200"),3,0),0))</f>
        <v/>
      </c>
      <c r="DC4" s="7" t="str">
        <f ca="1">IF(DC3="","",IFERROR(VLOOKUP($A4,INDIRECT(#REF!&amp;"!$A$6:$C$200"),3,0),0))</f>
        <v/>
      </c>
      <c r="DD4" s="7" t="str">
        <f ca="1">IF(DD3="","",IFERROR(VLOOKUP($A4,INDIRECT(#REF!&amp;"!$A$6:$C$200"),3,0),0))</f>
        <v/>
      </c>
      <c r="DE4" s="7" t="str">
        <f ca="1">IF(DE3="","",IFERROR(VLOOKUP($A4,INDIRECT(#REF!&amp;"!$A$6:$C$200"),3,0),0))</f>
        <v/>
      </c>
      <c r="DF4" s="7" t="str">
        <f ca="1">IF(DF3="","",IFERROR(VLOOKUP($A4,INDIRECT(#REF!&amp;"!$A$6:$C$200"),3,0),0))</f>
        <v/>
      </c>
      <c r="DG4" s="7" t="str">
        <f ca="1">IF(DG3="","",IFERROR(VLOOKUP($A4,INDIRECT(#REF!&amp;"!$A$6:$C$200"),3,0),0))</f>
        <v/>
      </c>
      <c r="DH4" s="7" t="str">
        <f ca="1">IF(DH3="","",IFERROR(VLOOKUP($A4,INDIRECT(#REF!&amp;"!$A$6:$C$200"),3,0),0))</f>
        <v/>
      </c>
      <c r="DI4" s="7" t="str">
        <f ca="1">IF(DI3="","",IFERROR(VLOOKUP($A4,INDIRECT(#REF!&amp;"!$A$6:$C$200"),3,0),0))</f>
        <v/>
      </c>
      <c r="DJ4" s="7" t="str">
        <f ca="1">IF(DJ3="","",IFERROR(VLOOKUP($A4,INDIRECT(#REF!&amp;"!$A$6:$C$200"),3,0),0))</f>
        <v/>
      </c>
      <c r="DK4" s="7" t="str">
        <f ca="1">IF(DK3="","",IFERROR(VLOOKUP($A4,INDIRECT(#REF!&amp;"!$A$6:$C$200"),3,0),0))</f>
        <v/>
      </c>
    </row>
    <row r="5" spans="1:115">
      <c r="A5" s="6" t="s">
        <v>7</v>
      </c>
      <c r="B5" s="7">
        <v>5.8333333333333338E-4</v>
      </c>
      <c r="C5" s="7">
        <v>7.7142857142857145E-4</v>
      </c>
      <c r="D5" s="7">
        <v>1.1000000000000001E-3</v>
      </c>
      <c r="E5" s="7">
        <v>1.1285714285714287E-3</v>
      </c>
      <c r="F5" s="7">
        <v>8.1428571428571433E-4</v>
      </c>
      <c r="G5" s="7">
        <v>6.4285714285714282E-4</v>
      </c>
      <c r="H5" s="7">
        <f t="shared" ca="1" si="2"/>
        <v>2.7142857142857139E-4</v>
      </c>
      <c r="I5" s="7">
        <f t="shared" ca="1" si="3"/>
        <v>0</v>
      </c>
      <c r="J5" s="7">
        <f t="shared" ca="1" si="4"/>
        <v>0</v>
      </c>
      <c r="K5" s="7">
        <f t="shared" ca="1" si="0"/>
        <v>0</v>
      </c>
      <c r="L5" s="7">
        <f t="shared" ca="1" si="1"/>
        <v>0</v>
      </c>
      <c r="M5" s="8">
        <v>1E-4</v>
      </c>
      <c r="N5" s="8">
        <v>1E-4</v>
      </c>
      <c r="O5" s="8">
        <v>8.9999999999999998E-4</v>
      </c>
      <c r="P5" s="8">
        <v>1.1000000000000001E-3</v>
      </c>
      <c r="Q5" s="8">
        <v>8.9999999999999998E-4</v>
      </c>
      <c r="R5" s="8">
        <v>4.0000000000000002E-4</v>
      </c>
      <c r="S5" s="8">
        <v>8.0000000000000004E-4</v>
      </c>
      <c r="T5" s="8">
        <v>1.1000000000000001E-3</v>
      </c>
      <c r="U5" s="8">
        <v>8.0000000000000004E-4</v>
      </c>
      <c r="V5" s="8">
        <v>5.0000000000000001E-4</v>
      </c>
      <c r="W5" s="8">
        <v>6.9999999999999999E-4</v>
      </c>
      <c r="X5" s="8">
        <v>6.9999999999999999E-4</v>
      </c>
      <c r="Y5" s="8">
        <v>8.0000000000000004E-4</v>
      </c>
      <c r="Z5" s="8">
        <v>1E-3</v>
      </c>
      <c r="AA5" s="8">
        <v>1.1999999999999999E-3</v>
      </c>
      <c r="AB5" s="8">
        <v>1.1999999999999999E-3</v>
      </c>
      <c r="AC5" s="8">
        <v>1.2999999999999999E-3</v>
      </c>
      <c r="AD5" s="8">
        <v>1.1000000000000001E-3</v>
      </c>
      <c r="AE5" s="8">
        <v>8.0000000000000004E-4</v>
      </c>
      <c r="AF5" s="8">
        <v>1.1000000000000001E-3</v>
      </c>
      <c r="AG5" s="8">
        <v>1.1999999999999999E-3</v>
      </c>
      <c r="AH5" s="8">
        <v>1.1999999999999999E-3</v>
      </c>
      <c r="AI5" s="8">
        <v>1.1999999999999999E-3</v>
      </c>
      <c r="AJ5" s="8">
        <v>1.6999999999999999E-3</v>
      </c>
      <c r="AK5" s="8">
        <v>8.9999999999999998E-4</v>
      </c>
      <c r="AL5" s="8">
        <v>6.9999999999999999E-4</v>
      </c>
      <c r="AM5" s="7">
        <v>1E-3</v>
      </c>
      <c r="AN5" s="7">
        <v>1E-3</v>
      </c>
      <c r="AO5" s="7">
        <v>8.0000000000000004E-4</v>
      </c>
      <c r="AP5" s="7">
        <v>8.0000000000000004E-4</v>
      </c>
      <c r="AQ5" s="7">
        <v>6.9999999999999999E-4</v>
      </c>
      <c r="AR5" s="7">
        <v>6.9999999999999999E-4</v>
      </c>
      <c r="AS5" s="7">
        <v>8.9999999999999998E-4</v>
      </c>
      <c r="AT5" s="7">
        <v>8.0000000000000004E-4</v>
      </c>
      <c r="AU5" s="7">
        <v>5.0000000000000001E-4</v>
      </c>
      <c r="AV5" s="7">
        <v>6.9999999999999999E-4</v>
      </c>
      <c r="AW5" s="7">
        <v>8.0000000000000004E-4</v>
      </c>
      <c r="AX5" s="7">
        <v>6.9999999999999999E-4</v>
      </c>
      <c r="AY5" s="7">
        <v>5.9999999999999995E-4</v>
      </c>
      <c r="AZ5" s="7">
        <v>5.9999999999999995E-4</v>
      </c>
      <c r="BA5" s="7">
        <v>5.9999999999999995E-4</v>
      </c>
      <c r="BB5" s="7">
        <v>6.9999999999999999E-4</v>
      </c>
      <c r="BC5" s="7">
        <v>5.9999999999999995E-4</v>
      </c>
      <c r="BD5" s="7">
        <v>5.9999999999999995E-4</v>
      </c>
      <c r="BE5" s="7">
        <f ca="1">IFERROR(VLOOKUP($A5,INDIRECT(#REF!&amp;"!$A$6:$C$200"),3,0),0)</f>
        <v>0</v>
      </c>
      <c r="BF5" s="7">
        <f ca="1">IFERROR(VLOOKUP($A5,INDIRECT(#REF!&amp;"!$A$6:$C$200"),3,0),0)</f>
        <v>0</v>
      </c>
      <c r="BG5" s="7">
        <f ca="1">IFERROR(VLOOKUP($A5,INDIRECT(#REF!&amp;"!$A$6:$C$200"),3,0),0)</f>
        <v>0</v>
      </c>
      <c r="BH5" s="8">
        <f ca="1">IFERROR(VLOOKUP($A5,INDIRECT(#REF!&amp;"!$A$6:$C$200"),3,0),0)</f>
        <v>0</v>
      </c>
      <c r="BI5" s="8">
        <f ca="1">IFERROR(VLOOKUP($A5,INDIRECT(#REF!&amp;"!$A$6:$C$200"),3,0),0)</f>
        <v>0</v>
      </c>
      <c r="BJ5" s="8">
        <f ca="1">IFERROR(VLOOKUP($A5,INDIRECT(#REF!&amp;"!$A$6:$C$200"),3,0),0)</f>
        <v>0</v>
      </c>
      <c r="BK5" s="8">
        <f ca="1">IFERROR(VLOOKUP($A5,INDIRECT(#REF!&amp;"!$A$6:$C$200"),3,0),0)</f>
        <v>0</v>
      </c>
      <c r="BL5" s="8">
        <f ca="1">IFERROR(VLOOKUP($A5,INDIRECT(#REF!&amp;"!$A$6:$C$200"),3,0),0)</f>
        <v>0</v>
      </c>
      <c r="BM5" s="8">
        <f ca="1">IFERROR(VLOOKUP($A5,INDIRECT(#REF!&amp;"!$A$6:$C$200"),3,0),0)</f>
        <v>0</v>
      </c>
      <c r="BN5" s="8">
        <f ca="1">IFERROR(VLOOKUP($A5,INDIRECT(#REF!&amp;"!$A$6:$C$200"),3,0),0)</f>
        <v>0</v>
      </c>
      <c r="BO5" s="8">
        <f ca="1">IFERROR(VLOOKUP($A5,INDIRECT(#REF!&amp;"!$A$6:$C$200"),3,0),0)</f>
        <v>0</v>
      </c>
      <c r="BP5" s="7">
        <f ca="1">IFERROR(VLOOKUP($A5,INDIRECT(#REF!&amp;"!$A$6:$C$200"),3,0),0)</f>
        <v>0</v>
      </c>
      <c r="BQ5" s="7">
        <f ca="1">IFERROR(VLOOKUP($A5,INDIRECT(#REF!&amp;"!$A$6:$C$200"),3,0),0)</f>
        <v>0</v>
      </c>
      <c r="BR5" s="7">
        <f ca="1">IFERROR(VLOOKUP($A5,INDIRECT(#REF!&amp;"!$A$6:$C$200"),3,0),0)</f>
        <v>0</v>
      </c>
      <c r="BS5" s="7">
        <f ca="1">IFERROR(VLOOKUP($A5,INDIRECT(#REF!&amp;"!$A$6:$C$200"),3,0),0)</f>
        <v>0</v>
      </c>
      <c r="BT5" s="7">
        <f ca="1">IFERROR(VLOOKUP($A5,INDIRECT(#REF!&amp;"!$A$6:$C$200"),3,0),0)</f>
        <v>0</v>
      </c>
      <c r="BU5" s="7">
        <f ca="1">IFERROR(VLOOKUP($A5,INDIRECT(#REF!&amp;"!$A$6:$C$200"),3,0),0)</f>
        <v>0</v>
      </c>
      <c r="BV5" s="7">
        <f ca="1">IFERROR(VLOOKUP($A5,INDIRECT(#REF!&amp;"!$A$6:$C$200"),3,0),0)</f>
        <v>0</v>
      </c>
      <c r="BW5" s="7">
        <f ca="1">IFERROR(VLOOKUP($A5,INDIRECT(#REF!&amp;"!$A$6:$C$200"),3,0),0)</f>
        <v>0</v>
      </c>
      <c r="BX5" s="7">
        <f ca="1">IFERROR(VLOOKUP($A5,INDIRECT(#REF!&amp;"!$A$6:$C$200"),3,0),0)</f>
        <v>0</v>
      </c>
      <c r="BY5" s="7">
        <f ca="1">IFERROR(VLOOKUP($A5,INDIRECT(#REF!&amp;"!$A$6:$C$200"),3,0),0)</f>
        <v>0</v>
      </c>
      <c r="BZ5" s="7">
        <f ca="1">IFERROR(VLOOKUP($A5,INDIRECT(#REF!&amp;"!$A$6:$C$200"),3,0),0)</f>
        <v>0</v>
      </c>
      <c r="CA5" s="7">
        <f ca="1">IFERROR(VLOOKUP($A5,INDIRECT(#REF!&amp;"!$A$6:$C$200"),3,0),0)</f>
        <v>0</v>
      </c>
      <c r="CB5" s="7">
        <f ca="1">IFERROR(VLOOKUP($A5,INDIRECT(#REF!&amp;"!$A$6:$C$200"),3,0),0)</f>
        <v>0</v>
      </c>
      <c r="CC5" s="7">
        <f ca="1">IFERROR(VLOOKUP($A5,INDIRECT(#REF!&amp;"!$A$6:$C$200"),3,0),0)</f>
        <v>0</v>
      </c>
      <c r="CD5" s="7" t="str">
        <f ca="1">IF(CD4="","",IFERROR(VLOOKUP($A5,INDIRECT(#REF!&amp;"!$A$6:$C$200"),3,0),0))</f>
        <v/>
      </c>
      <c r="CE5" s="7" t="str">
        <f ca="1">IF(CE4="","",IFERROR(VLOOKUP($A5,INDIRECT(#REF!&amp;"!$A$6:$C$200"),3,0),0))</f>
        <v/>
      </c>
      <c r="CF5" s="7" t="str">
        <f ca="1">IF(CF4="","",IFERROR(VLOOKUP($A5,INDIRECT(#REF!&amp;"!$A$6:$C$200"),3,0),0))</f>
        <v/>
      </c>
      <c r="CG5" s="7" t="str">
        <f ca="1">IF(CG4="","",IFERROR(VLOOKUP($A5,INDIRECT(#REF!&amp;"!$A$6:$C$200"),3,0),0))</f>
        <v/>
      </c>
      <c r="CH5" s="7" t="str">
        <f ca="1">IF(CH4="","",IFERROR(VLOOKUP($A5,INDIRECT(#REF!&amp;"!$A$6:$C$200"),3,0),0))</f>
        <v/>
      </c>
      <c r="CI5" s="7" t="str">
        <f ca="1">IF(CI4="","",IFERROR(VLOOKUP($A5,INDIRECT(#REF!&amp;"!$A$6:$C$200"),3,0),0))</f>
        <v/>
      </c>
      <c r="CJ5" s="7" t="str">
        <f ca="1">IF(CJ4="","",IFERROR(VLOOKUP($A5,INDIRECT(#REF!&amp;"!$A$6:$C$200"),3,0),0))</f>
        <v/>
      </c>
      <c r="CK5" s="7" t="str">
        <f ca="1">IF(CK4="","",IFERROR(VLOOKUP($A5,INDIRECT(#REF!&amp;"!$A$6:$C$200"),3,0),0))</f>
        <v/>
      </c>
      <c r="CL5" s="7" t="str">
        <f ca="1">IF(CL4="","",IFERROR(VLOOKUP($A5,INDIRECT(#REF!&amp;"!$A$6:$C$200"),3,0),0))</f>
        <v/>
      </c>
      <c r="CM5" s="7" t="str">
        <f ca="1">IF(CM4="","",IFERROR(VLOOKUP($A5,INDIRECT(#REF!&amp;"!$A$6:$C$200"),3,0),0))</f>
        <v/>
      </c>
      <c r="CN5" s="7" t="str">
        <f ca="1">IF(CN4="","",IFERROR(VLOOKUP($A5,INDIRECT(#REF!&amp;"!$A$6:$C$200"),3,0),0))</f>
        <v/>
      </c>
      <c r="CO5" s="7" t="str">
        <f ca="1">IF(CO4="","",IFERROR(VLOOKUP($A5,INDIRECT(#REF!&amp;"!$A$6:$C$200"),3,0),0))</f>
        <v/>
      </c>
      <c r="CP5" s="7" t="str">
        <f ca="1">IF(CP4="","",IFERROR(VLOOKUP($A5,INDIRECT(#REF!&amp;"!$A$6:$C$200"),3,0),0))</f>
        <v/>
      </c>
      <c r="CQ5" s="7" t="str">
        <f ca="1">IF(CQ4="","",IFERROR(VLOOKUP($A5,INDIRECT(#REF!&amp;"!$A$6:$C$200"),3,0),0))</f>
        <v/>
      </c>
      <c r="CR5" s="7" t="str">
        <f ca="1">IF(CR4="","",IFERROR(VLOOKUP($A5,INDIRECT(#REF!&amp;"!$A$6:$C$200"),3,0),0))</f>
        <v/>
      </c>
      <c r="CS5" s="7" t="str">
        <f ca="1">IF(CS4="","",IFERROR(VLOOKUP($A5,INDIRECT(#REF!&amp;"!$A$6:$C$200"),3,0),0))</f>
        <v/>
      </c>
      <c r="CT5" s="7" t="str">
        <f ca="1">IF(CT4="","",IFERROR(VLOOKUP($A5,INDIRECT(#REF!&amp;"!$A$6:$C$200"),3,0),0))</f>
        <v/>
      </c>
      <c r="CU5" s="7" t="str">
        <f ca="1">IF(CU4="","",IFERROR(VLOOKUP($A5,INDIRECT(#REF!&amp;"!$A$6:$C$200"),3,0),0))</f>
        <v/>
      </c>
      <c r="CV5" s="7" t="str">
        <f ca="1">IF(CV4="","",IFERROR(VLOOKUP($A5,INDIRECT(#REF!&amp;"!$A$6:$C$200"),3,0),0))</f>
        <v/>
      </c>
      <c r="CW5" s="7" t="str">
        <f ca="1">IF(CW4="","",IFERROR(VLOOKUP($A5,INDIRECT(#REF!&amp;"!$A$6:$C$200"),3,0),0))</f>
        <v/>
      </c>
      <c r="CX5" s="7" t="str">
        <f ca="1">IF(CX4="","",IFERROR(VLOOKUP($A5,INDIRECT(#REF!&amp;"!$A$6:$C$200"),3,0),0))</f>
        <v/>
      </c>
      <c r="CY5" s="7" t="str">
        <f ca="1">IF(CY4="","",IFERROR(VLOOKUP($A5,INDIRECT(#REF!&amp;"!$A$6:$C$200"),3,0),0))</f>
        <v/>
      </c>
      <c r="CZ5" s="7" t="str">
        <f ca="1">IF(CZ4="","",IFERROR(VLOOKUP($A5,INDIRECT(#REF!&amp;"!$A$6:$C$200"),3,0),0))</f>
        <v/>
      </c>
      <c r="DA5" s="7" t="str">
        <f ca="1">IF(DA4="","",IFERROR(VLOOKUP($A5,INDIRECT(#REF!&amp;"!$A$6:$C$200"),3,0),0))</f>
        <v/>
      </c>
      <c r="DB5" s="7" t="str">
        <f ca="1">IF(DB4="","",IFERROR(VLOOKUP($A5,INDIRECT(#REF!&amp;"!$A$6:$C$200"),3,0),0))</f>
        <v/>
      </c>
      <c r="DC5" s="7" t="str">
        <f ca="1">IF(DC4="","",IFERROR(VLOOKUP($A5,INDIRECT(#REF!&amp;"!$A$6:$C$200"),3,0),0))</f>
        <v/>
      </c>
      <c r="DD5" s="7" t="str">
        <f ca="1">IF(DD4="","",IFERROR(VLOOKUP($A5,INDIRECT(#REF!&amp;"!$A$6:$C$200"),3,0),0))</f>
        <v/>
      </c>
      <c r="DE5" s="7" t="str">
        <f ca="1">IF(DE4="","",IFERROR(VLOOKUP($A5,INDIRECT(#REF!&amp;"!$A$6:$C$200"),3,0),0))</f>
        <v/>
      </c>
      <c r="DF5" s="7" t="str">
        <f ca="1">IF(DF4="","",IFERROR(VLOOKUP($A5,INDIRECT(#REF!&amp;"!$A$6:$C$200"),3,0),0))</f>
        <v/>
      </c>
      <c r="DG5" s="7" t="str">
        <f ca="1">IF(DG4="","",IFERROR(VLOOKUP($A5,INDIRECT(#REF!&amp;"!$A$6:$C$200"),3,0),0))</f>
        <v/>
      </c>
      <c r="DH5" s="7" t="str">
        <f ca="1">IF(DH4="","",IFERROR(VLOOKUP($A5,INDIRECT(#REF!&amp;"!$A$6:$C$200"),3,0),0))</f>
        <v/>
      </c>
      <c r="DI5" s="7" t="str">
        <f ca="1">IF(DI4="","",IFERROR(VLOOKUP($A5,INDIRECT(#REF!&amp;"!$A$6:$C$200"),3,0),0))</f>
        <v/>
      </c>
      <c r="DJ5" s="7" t="str">
        <f ca="1">IF(DJ4="","",IFERROR(VLOOKUP($A5,INDIRECT(#REF!&amp;"!$A$6:$C$200"),3,0),0))</f>
        <v/>
      </c>
      <c r="DK5" s="7" t="str">
        <f ca="1">IF(DK4="","",IFERROR(VLOOKUP($A5,INDIRECT(#REF!&amp;"!$A$6:$C$200"),3,0),0))</f>
        <v/>
      </c>
    </row>
    <row r="6" spans="1:115">
      <c r="A6" s="6" t="s">
        <v>8</v>
      </c>
      <c r="B6" s="7">
        <v>1.25E-3</v>
      </c>
      <c r="C6" s="7">
        <v>1.157142857142857E-3</v>
      </c>
      <c r="D6" s="7">
        <v>1.4714285714285714E-3</v>
      </c>
      <c r="E6" s="7">
        <v>1.6000000000000001E-3</v>
      </c>
      <c r="F6" s="7">
        <v>1.0857142857142858E-3</v>
      </c>
      <c r="G6" s="7">
        <v>2.1000000000000003E-3</v>
      </c>
      <c r="H6" s="7">
        <f t="shared" ca="1" si="2"/>
        <v>6.7142857142857141E-4</v>
      </c>
      <c r="I6" s="7">
        <f t="shared" ca="1" si="3"/>
        <v>0</v>
      </c>
      <c r="J6" s="7">
        <f t="shared" ca="1" si="4"/>
        <v>0</v>
      </c>
      <c r="K6" s="7">
        <f t="shared" ca="1" si="0"/>
        <v>0</v>
      </c>
      <c r="L6" s="7">
        <f t="shared" ca="1" si="1"/>
        <v>0</v>
      </c>
      <c r="M6" s="8">
        <v>2.7000000000000001E-3</v>
      </c>
      <c r="N6" s="8">
        <v>1.4E-3</v>
      </c>
      <c r="O6" s="8">
        <v>2.9999999999999997E-4</v>
      </c>
      <c r="P6" s="8">
        <v>1.6000000000000001E-3</v>
      </c>
      <c r="Q6" s="8">
        <v>1E-3</v>
      </c>
      <c r="R6" s="8">
        <v>5.0000000000000001E-4</v>
      </c>
      <c r="S6" s="8">
        <v>2.0000000000000001E-4</v>
      </c>
      <c r="T6" s="8">
        <v>1.6000000000000001E-3</v>
      </c>
      <c r="U6" s="8">
        <v>6.9999999999999999E-4</v>
      </c>
      <c r="V6" s="8">
        <v>1E-3</v>
      </c>
      <c r="W6" s="8">
        <v>1.8E-3</v>
      </c>
      <c r="X6" s="8">
        <v>1.8E-3</v>
      </c>
      <c r="Y6" s="8">
        <v>1E-3</v>
      </c>
      <c r="Z6" s="8">
        <v>5.9999999999999995E-4</v>
      </c>
      <c r="AA6" s="8">
        <v>8.9999999999999998E-4</v>
      </c>
      <c r="AB6" s="8">
        <v>1.8E-3</v>
      </c>
      <c r="AC6" s="8">
        <v>8.9999999999999998E-4</v>
      </c>
      <c r="AD6" s="8">
        <v>2E-3</v>
      </c>
      <c r="AE6" s="8">
        <v>2.2000000000000001E-3</v>
      </c>
      <c r="AF6" s="8">
        <v>1.9E-3</v>
      </c>
      <c r="AG6" s="8">
        <v>1E-3</v>
      </c>
      <c r="AH6" s="8">
        <v>1.6999999999999999E-3</v>
      </c>
      <c r="AI6" s="8">
        <v>2E-3</v>
      </c>
      <c r="AJ6" s="8">
        <v>1.1999999999999999E-3</v>
      </c>
      <c r="AK6" s="8">
        <v>1.4E-3</v>
      </c>
      <c r="AL6" s="8">
        <v>1.6000000000000001E-3</v>
      </c>
      <c r="AM6" s="7">
        <v>2.3E-3</v>
      </c>
      <c r="AN6" s="7">
        <v>1.1999999999999999E-3</v>
      </c>
      <c r="AO6" s="7">
        <v>4.0000000000000002E-4</v>
      </c>
      <c r="AP6" s="7">
        <v>1.1000000000000001E-3</v>
      </c>
      <c r="AQ6" s="7">
        <v>1.5E-3</v>
      </c>
      <c r="AR6" s="7">
        <v>1.4E-3</v>
      </c>
      <c r="AS6" s="7">
        <v>1E-3</v>
      </c>
      <c r="AT6" s="7">
        <v>1E-3</v>
      </c>
      <c r="AU6" s="7">
        <v>1.1000000000000001E-3</v>
      </c>
      <c r="AV6" s="7">
        <v>1.2999999999999999E-3</v>
      </c>
      <c r="AW6" s="7">
        <v>2.0999999999999999E-3</v>
      </c>
      <c r="AX6" s="7">
        <v>2.8E-3</v>
      </c>
      <c r="AY6" s="7">
        <v>1.9E-3</v>
      </c>
      <c r="AZ6" s="7">
        <v>2E-3</v>
      </c>
      <c r="BA6" s="7">
        <v>3.5000000000000001E-3</v>
      </c>
      <c r="BB6" s="7">
        <v>1.5E-3</v>
      </c>
      <c r="BC6" s="7">
        <v>1.6000000000000001E-3</v>
      </c>
      <c r="BD6" s="7">
        <v>1.6000000000000001E-3</v>
      </c>
      <c r="BE6" s="7">
        <f ca="1">IFERROR(VLOOKUP($A6,INDIRECT(#REF!&amp;"!$A$6:$C$200"),3,0),0)</f>
        <v>0</v>
      </c>
      <c r="BF6" s="7">
        <f ca="1">IFERROR(VLOOKUP($A6,INDIRECT(#REF!&amp;"!$A$6:$C$200"),3,0),0)</f>
        <v>0</v>
      </c>
      <c r="BG6" s="7">
        <f ca="1">IFERROR(VLOOKUP($A6,INDIRECT(#REF!&amp;"!$A$6:$C$200"),3,0),0)</f>
        <v>0</v>
      </c>
      <c r="BH6" s="8">
        <f ca="1">IFERROR(VLOOKUP($A6,INDIRECT(#REF!&amp;"!$A$6:$C$200"),3,0),0)</f>
        <v>0</v>
      </c>
      <c r="BI6" s="8">
        <f ca="1">IFERROR(VLOOKUP($A6,INDIRECT(#REF!&amp;"!$A$6:$C$200"),3,0),0)</f>
        <v>0</v>
      </c>
      <c r="BJ6" s="8">
        <f ca="1">IFERROR(VLOOKUP($A6,INDIRECT(#REF!&amp;"!$A$6:$C$200"),3,0),0)</f>
        <v>0</v>
      </c>
      <c r="BK6" s="8">
        <f ca="1">IFERROR(VLOOKUP($A6,INDIRECT(#REF!&amp;"!$A$6:$C$200"),3,0),0)</f>
        <v>0</v>
      </c>
      <c r="BL6" s="8">
        <f ca="1">IFERROR(VLOOKUP($A6,INDIRECT(#REF!&amp;"!$A$6:$C$200"),3,0),0)</f>
        <v>0</v>
      </c>
      <c r="BM6" s="8">
        <f ca="1">IFERROR(VLOOKUP($A6,INDIRECT(#REF!&amp;"!$A$6:$C$200"),3,0),0)</f>
        <v>0</v>
      </c>
      <c r="BN6" s="8">
        <f ca="1">IFERROR(VLOOKUP($A6,INDIRECT(#REF!&amp;"!$A$6:$C$200"),3,0),0)</f>
        <v>0</v>
      </c>
      <c r="BO6" s="8">
        <f ca="1">IFERROR(VLOOKUP($A6,INDIRECT(#REF!&amp;"!$A$6:$C$200"),3,0),0)</f>
        <v>0</v>
      </c>
      <c r="BP6" s="7">
        <f ca="1">IFERROR(VLOOKUP($A6,INDIRECT(#REF!&amp;"!$A$6:$C$200"),3,0),0)</f>
        <v>0</v>
      </c>
      <c r="BQ6" s="7">
        <f ca="1">IFERROR(VLOOKUP($A6,INDIRECT(#REF!&amp;"!$A$6:$C$200"),3,0),0)</f>
        <v>0</v>
      </c>
      <c r="BR6" s="7">
        <f ca="1">IFERROR(VLOOKUP($A6,INDIRECT(#REF!&amp;"!$A$6:$C$200"),3,0),0)</f>
        <v>0</v>
      </c>
      <c r="BS6" s="7">
        <f ca="1">IFERROR(VLOOKUP($A6,INDIRECT(#REF!&amp;"!$A$6:$C$200"),3,0),0)</f>
        <v>0</v>
      </c>
      <c r="BT6" s="7">
        <f ca="1">IFERROR(VLOOKUP($A6,INDIRECT(#REF!&amp;"!$A$6:$C$200"),3,0),0)</f>
        <v>0</v>
      </c>
      <c r="BU6" s="7">
        <f ca="1">IFERROR(VLOOKUP($A6,INDIRECT(#REF!&amp;"!$A$6:$C$200"),3,0),0)</f>
        <v>0</v>
      </c>
      <c r="BV6" s="7">
        <f ca="1">IFERROR(VLOOKUP($A6,INDIRECT(#REF!&amp;"!$A$6:$C$200"),3,0),0)</f>
        <v>0</v>
      </c>
      <c r="BW6" s="7">
        <f ca="1">IFERROR(VLOOKUP($A6,INDIRECT(#REF!&amp;"!$A$6:$C$200"),3,0),0)</f>
        <v>0</v>
      </c>
      <c r="BX6" s="7">
        <f ca="1">IFERROR(VLOOKUP($A6,INDIRECT(#REF!&amp;"!$A$6:$C$200"),3,0),0)</f>
        <v>0</v>
      </c>
      <c r="BY6" s="7">
        <f ca="1">IFERROR(VLOOKUP($A6,INDIRECT(#REF!&amp;"!$A$6:$C$200"),3,0),0)</f>
        <v>0</v>
      </c>
      <c r="BZ6" s="7">
        <f ca="1">IFERROR(VLOOKUP($A6,INDIRECT(#REF!&amp;"!$A$6:$C$200"),3,0),0)</f>
        <v>0</v>
      </c>
      <c r="CA6" s="7">
        <f ca="1">IFERROR(VLOOKUP($A6,INDIRECT(#REF!&amp;"!$A$6:$C$200"),3,0),0)</f>
        <v>0</v>
      </c>
      <c r="CB6" s="7">
        <f ca="1">IFERROR(VLOOKUP($A6,INDIRECT(#REF!&amp;"!$A$6:$C$200"),3,0),0)</f>
        <v>0</v>
      </c>
      <c r="CC6" s="7">
        <f ca="1">IFERROR(VLOOKUP($A6,INDIRECT(#REF!&amp;"!$A$6:$C$200"),3,0),0)</f>
        <v>0</v>
      </c>
      <c r="CD6" s="7" t="str">
        <f ca="1">IF(CD5="","",IFERROR(VLOOKUP($A6,INDIRECT(#REF!&amp;"!$A$6:$C$200"),3,0),0))</f>
        <v/>
      </c>
      <c r="CE6" s="7" t="str">
        <f ca="1">IF(CE5="","",IFERROR(VLOOKUP($A6,INDIRECT(#REF!&amp;"!$A$6:$C$200"),3,0),0))</f>
        <v/>
      </c>
      <c r="CF6" s="7" t="str">
        <f ca="1">IF(CF5="","",IFERROR(VLOOKUP($A6,INDIRECT(#REF!&amp;"!$A$6:$C$200"),3,0),0))</f>
        <v/>
      </c>
      <c r="CG6" s="7" t="str">
        <f ca="1">IF(CG5="","",IFERROR(VLOOKUP($A6,INDIRECT(#REF!&amp;"!$A$6:$C$200"),3,0),0))</f>
        <v/>
      </c>
      <c r="CH6" s="7" t="str">
        <f ca="1">IF(CH5="","",IFERROR(VLOOKUP($A6,INDIRECT(#REF!&amp;"!$A$6:$C$200"),3,0),0))</f>
        <v/>
      </c>
      <c r="CI6" s="7" t="str">
        <f ca="1">IF(CI5="","",IFERROR(VLOOKUP($A6,INDIRECT(#REF!&amp;"!$A$6:$C$200"),3,0),0))</f>
        <v/>
      </c>
      <c r="CJ6" s="7" t="str">
        <f ca="1">IF(CJ5="","",IFERROR(VLOOKUP($A6,INDIRECT(#REF!&amp;"!$A$6:$C$200"),3,0),0))</f>
        <v/>
      </c>
      <c r="CK6" s="7" t="str">
        <f ca="1">IF(CK5="","",IFERROR(VLOOKUP($A6,INDIRECT(#REF!&amp;"!$A$6:$C$200"),3,0),0))</f>
        <v/>
      </c>
      <c r="CL6" s="7" t="str">
        <f ca="1">IF(CL5="","",IFERROR(VLOOKUP($A6,INDIRECT(#REF!&amp;"!$A$6:$C$200"),3,0),0))</f>
        <v/>
      </c>
      <c r="CM6" s="7" t="str">
        <f ca="1">IF(CM5="","",IFERROR(VLOOKUP($A6,INDIRECT(#REF!&amp;"!$A$6:$C$200"),3,0),0))</f>
        <v/>
      </c>
      <c r="CN6" s="7" t="str">
        <f ca="1">IF(CN5="","",IFERROR(VLOOKUP($A6,INDIRECT(#REF!&amp;"!$A$6:$C$200"),3,0),0))</f>
        <v/>
      </c>
      <c r="CO6" s="7" t="str">
        <f ca="1">IF(CO5="","",IFERROR(VLOOKUP($A6,INDIRECT(#REF!&amp;"!$A$6:$C$200"),3,0),0))</f>
        <v/>
      </c>
      <c r="CP6" s="7" t="str">
        <f ca="1">IF(CP5="","",IFERROR(VLOOKUP($A6,INDIRECT(#REF!&amp;"!$A$6:$C$200"),3,0),0))</f>
        <v/>
      </c>
      <c r="CQ6" s="7" t="str">
        <f ca="1">IF(CQ5="","",IFERROR(VLOOKUP($A6,INDIRECT(#REF!&amp;"!$A$6:$C$200"),3,0),0))</f>
        <v/>
      </c>
      <c r="CR6" s="7" t="str">
        <f ca="1">IF(CR5="","",IFERROR(VLOOKUP($A6,INDIRECT(#REF!&amp;"!$A$6:$C$200"),3,0),0))</f>
        <v/>
      </c>
      <c r="CS6" s="7" t="str">
        <f ca="1">IF(CS5="","",IFERROR(VLOOKUP($A6,INDIRECT(#REF!&amp;"!$A$6:$C$200"),3,0),0))</f>
        <v/>
      </c>
      <c r="CT6" s="7" t="str">
        <f ca="1">IF(CT5="","",IFERROR(VLOOKUP($A6,INDIRECT(#REF!&amp;"!$A$6:$C$200"),3,0),0))</f>
        <v/>
      </c>
      <c r="CU6" s="7" t="str">
        <f ca="1">IF(CU5="","",IFERROR(VLOOKUP($A6,INDIRECT(#REF!&amp;"!$A$6:$C$200"),3,0),0))</f>
        <v/>
      </c>
      <c r="CV6" s="7" t="str">
        <f ca="1">IF(CV5="","",IFERROR(VLOOKUP($A6,INDIRECT(#REF!&amp;"!$A$6:$C$200"),3,0),0))</f>
        <v/>
      </c>
      <c r="CW6" s="7" t="str">
        <f ca="1">IF(CW5="","",IFERROR(VLOOKUP($A6,INDIRECT(#REF!&amp;"!$A$6:$C$200"),3,0),0))</f>
        <v/>
      </c>
      <c r="CX6" s="7" t="str">
        <f ca="1">IF(CX5="","",IFERROR(VLOOKUP($A6,INDIRECT(#REF!&amp;"!$A$6:$C$200"),3,0),0))</f>
        <v/>
      </c>
      <c r="CY6" s="7" t="str">
        <f ca="1">IF(CY5="","",IFERROR(VLOOKUP($A6,INDIRECT(#REF!&amp;"!$A$6:$C$200"),3,0),0))</f>
        <v/>
      </c>
      <c r="CZ6" s="7" t="str">
        <f ca="1">IF(CZ5="","",IFERROR(VLOOKUP($A6,INDIRECT(#REF!&amp;"!$A$6:$C$200"),3,0),0))</f>
        <v/>
      </c>
      <c r="DA6" s="7" t="str">
        <f ca="1">IF(DA5="","",IFERROR(VLOOKUP($A6,INDIRECT(#REF!&amp;"!$A$6:$C$200"),3,0),0))</f>
        <v/>
      </c>
      <c r="DB6" s="7" t="str">
        <f ca="1">IF(DB5="","",IFERROR(VLOOKUP($A6,INDIRECT(#REF!&amp;"!$A$6:$C$200"),3,0),0))</f>
        <v/>
      </c>
      <c r="DC6" s="7" t="str">
        <f ca="1">IF(DC5="","",IFERROR(VLOOKUP($A6,INDIRECT(#REF!&amp;"!$A$6:$C$200"),3,0),0))</f>
        <v/>
      </c>
      <c r="DD6" s="7" t="str">
        <f ca="1">IF(DD5="","",IFERROR(VLOOKUP($A6,INDIRECT(#REF!&amp;"!$A$6:$C$200"),3,0),0))</f>
        <v/>
      </c>
      <c r="DE6" s="7" t="str">
        <f ca="1">IF(DE5="","",IFERROR(VLOOKUP($A6,INDIRECT(#REF!&amp;"!$A$6:$C$200"),3,0),0))</f>
        <v/>
      </c>
      <c r="DF6" s="7" t="str">
        <f ca="1">IF(DF5="","",IFERROR(VLOOKUP($A6,INDIRECT(#REF!&amp;"!$A$6:$C$200"),3,0),0))</f>
        <v/>
      </c>
      <c r="DG6" s="7" t="str">
        <f ca="1">IF(DG5="","",IFERROR(VLOOKUP($A6,INDIRECT(#REF!&amp;"!$A$6:$C$200"),3,0),0))</f>
        <v/>
      </c>
      <c r="DH6" s="7" t="str">
        <f ca="1">IF(DH5="","",IFERROR(VLOOKUP($A6,INDIRECT(#REF!&amp;"!$A$6:$C$200"),3,0),0))</f>
        <v/>
      </c>
      <c r="DI6" s="7" t="str">
        <f ca="1">IF(DI5="","",IFERROR(VLOOKUP($A6,INDIRECT(#REF!&amp;"!$A$6:$C$200"),3,0),0))</f>
        <v/>
      </c>
      <c r="DJ6" s="7" t="str">
        <f ca="1">IF(DJ5="","",IFERROR(VLOOKUP($A6,INDIRECT(#REF!&amp;"!$A$6:$C$200"),3,0),0))</f>
        <v/>
      </c>
      <c r="DK6" s="7" t="str">
        <f ca="1">IF(DK5="","",IFERROR(VLOOKUP($A6,INDIRECT(#REF!&amp;"!$A$6:$C$200"),3,0),0))</f>
        <v/>
      </c>
    </row>
    <row r="7" spans="1:115">
      <c r="A7" s="6" t="s">
        <v>9</v>
      </c>
      <c r="B7" s="7">
        <v>4.8833333333333333E-3</v>
      </c>
      <c r="C7" s="7">
        <v>2.0428571428571427E-3</v>
      </c>
      <c r="D7" s="7">
        <v>2.8428571428571426E-3</v>
      </c>
      <c r="E7" s="7">
        <v>2.0714285714285717E-3</v>
      </c>
      <c r="F7" s="7">
        <v>2.1714285714285715E-3</v>
      </c>
      <c r="G7" s="7">
        <v>1.7857142857142857E-3</v>
      </c>
      <c r="H7" s="7">
        <f t="shared" ca="1" si="2"/>
        <v>8.8571428571428568E-4</v>
      </c>
      <c r="I7" s="7">
        <f t="shared" ca="1" si="3"/>
        <v>0</v>
      </c>
      <c r="J7" s="7">
        <f t="shared" ca="1" si="4"/>
        <v>0</v>
      </c>
      <c r="K7" s="7">
        <f t="shared" ca="1" si="0"/>
        <v>0</v>
      </c>
      <c r="L7" s="7">
        <f t="shared" ca="1" si="1"/>
        <v>0</v>
      </c>
      <c r="M7" s="8">
        <v>5.5999999999999999E-3</v>
      </c>
      <c r="N7" s="8">
        <v>8.6999999999999994E-3</v>
      </c>
      <c r="O7" s="8">
        <v>5.0000000000000001E-3</v>
      </c>
      <c r="P7" s="8">
        <v>6.8999999999999999E-3</v>
      </c>
      <c r="Q7" s="8">
        <v>1.8E-3</v>
      </c>
      <c r="R7" s="8">
        <v>1.2999999999999999E-3</v>
      </c>
      <c r="S7" s="8">
        <v>1.5E-3</v>
      </c>
      <c r="T7" s="8">
        <v>1.1000000000000001E-3</v>
      </c>
      <c r="U7" s="8">
        <v>2.5999999999999999E-3</v>
      </c>
      <c r="V7" s="8">
        <v>3.0999999999999999E-3</v>
      </c>
      <c r="W7" s="8">
        <v>1.6999999999999999E-3</v>
      </c>
      <c r="X7" s="8">
        <v>1.6999999999999999E-3</v>
      </c>
      <c r="Y7" s="8">
        <v>2.5999999999999999E-3</v>
      </c>
      <c r="Z7" s="8">
        <v>1.6999999999999999E-3</v>
      </c>
      <c r="AA7" s="8">
        <v>2.3999999999999998E-3</v>
      </c>
      <c r="AB7" s="8">
        <v>3.3999999999999998E-3</v>
      </c>
      <c r="AC7" s="8">
        <v>4.1000000000000003E-3</v>
      </c>
      <c r="AD7" s="8">
        <v>3.5999999999999999E-3</v>
      </c>
      <c r="AE7" s="8">
        <v>2.5999999999999999E-3</v>
      </c>
      <c r="AF7" s="8">
        <v>2.0999999999999999E-3</v>
      </c>
      <c r="AG7" s="8">
        <v>1.5E-3</v>
      </c>
      <c r="AH7" s="8">
        <v>3.2000000000000002E-3</v>
      </c>
      <c r="AI7" s="8">
        <v>1.9E-3</v>
      </c>
      <c r="AJ7" s="8">
        <v>2.3E-3</v>
      </c>
      <c r="AK7" s="8">
        <v>2.2000000000000001E-3</v>
      </c>
      <c r="AL7" s="8">
        <v>2E-3</v>
      </c>
      <c r="AM7" s="7">
        <v>1.4E-3</v>
      </c>
      <c r="AN7" s="7">
        <v>1.5E-3</v>
      </c>
      <c r="AO7" s="7">
        <v>1.1999999999999999E-3</v>
      </c>
      <c r="AP7" s="7">
        <v>2.2000000000000001E-3</v>
      </c>
      <c r="AQ7" s="7">
        <v>3.0999999999999999E-3</v>
      </c>
      <c r="AR7" s="7">
        <v>3.5000000000000001E-3</v>
      </c>
      <c r="AS7" s="7">
        <v>2.2000000000000001E-3</v>
      </c>
      <c r="AT7" s="7">
        <v>1.5E-3</v>
      </c>
      <c r="AU7" s="7">
        <v>2.5000000000000001E-3</v>
      </c>
      <c r="AV7" s="7">
        <v>1.6999999999999999E-3</v>
      </c>
      <c r="AW7" s="7">
        <v>1.4E-3</v>
      </c>
      <c r="AX7" s="7">
        <v>1.2999999999999999E-3</v>
      </c>
      <c r="AY7" s="7">
        <v>1.1999999999999999E-3</v>
      </c>
      <c r="AZ7" s="7">
        <v>1.2999999999999999E-3</v>
      </c>
      <c r="BA7" s="7">
        <v>3.0999999999999999E-3</v>
      </c>
      <c r="BB7" s="7">
        <v>2.8999999999999998E-3</v>
      </c>
      <c r="BC7" s="7">
        <v>1.6000000000000001E-3</v>
      </c>
      <c r="BD7" s="7">
        <v>1.6999999999999999E-3</v>
      </c>
      <c r="BE7" s="7">
        <f ca="1">IFERROR(VLOOKUP($A7,INDIRECT(#REF!&amp;"!$A$6:$C$200"),3,0),0)</f>
        <v>0</v>
      </c>
      <c r="BF7" s="7">
        <f ca="1">IFERROR(VLOOKUP($A7,INDIRECT(#REF!&amp;"!$A$6:$C$200"),3,0),0)</f>
        <v>0</v>
      </c>
      <c r="BG7" s="7">
        <f ca="1">IFERROR(VLOOKUP($A7,INDIRECT(#REF!&amp;"!$A$6:$C$200"),3,0),0)</f>
        <v>0</v>
      </c>
      <c r="BH7" s="8">
        <f ca="1">IFERROR(VLOOKUP($A7,INDIRECT(#REF!&amp;"!$A$6:$C$200"),3,0),0)</f>
        <v>0</v>
      </c>
      <c r="BI7" s="8">
        <f ca="1">IFERROR(VLOOKUP($A7,INDIRECT(#REF!&amp;"!$A$6:$C$200"),3,0),0)</f>
        <v>0</v>
      </c>
      <c r="BJ7" s="8">
        <f ca="1">IFERROR(VLOOKUP($A7,INDIRECT(#REF!&amp;"!$A$6:$C$200"),3,0),0)</f>
        <v>0</v>
      </c>
      <c r="BK7" s="8">
        <f ca="1">IFERROR(VLOOKUP($A7,INDIRECT(#REF!&amp;"!$A$6:$C$200"),3,0),0)</f>
        <v>0</v>
      </c>
      <c r="BL7" s="8">
        <f ca="1">IFERROR(VLOOKUP($A7,INDIRECT(#REF!&amp;"!$A$6:$C$200"),3,0),0)</f>
        <v>0</v>
      </c>
      <c r="BM7" s="8">
        <f ca="1">IFERROR(VLOOKUP($A7,INDIRECT(#REF!&amp;"!$A$6:$C$200"),3,0),0)</f>
        <v>0</v>
      </c>
      <c r="BN7" s="8">
        <f ca="1">IFERROR(VLOOKUP($A7,INDIRECT(#REF!&amp;"!$A$6:$C$200"),3,0),0)</f>
        <v>0</v>
      </c>
      <c r="BO7" s="8">
        <f ca="1">IFERROR(VLOOKUP($A7,INDIRECT(#REF!&amp;"!$A$6:$C$200"),3,0),0)</f>
        <v>0</v>
      </c>
      <c r="BP7" s="7">
        <f ca="1">IFERROR(VLOOKUP($A7,INDIRECT(#REF!&amp;"!$A$6:$C$200"),3,0),0)</f>
        <v>0</v>
      </c>
      <c r="BQ7" s="7">
        <f ca="1">IFERROR(VLOOKUP($A7,INDIRECT(#REF!&amp;"!$A$6:$C$200"),3,0),0)</f>
        <v>0</v>
      </c>
      <c r="BR7" s="7">
        <f ca="1">IFERROR(VLOOKUP($A7,INDIRECT(#REF!&amp;"!$A$6:$C$200"),3,0),0)</f>
        <v>0</v>
      </c>
      <c r="BS7" s="7">
        <f ca="1">IFERROR(VLOOKUP($A7,INDIRECT(#REF!&amp;"!$A$6:$C$200"),3,0),0)</f>
        <v>0</v>
      </c>
      <c r="BT7" s="7">
        <f ca="1">IFERROR(VLOOKUP($A7,INDIRECT(#REF!&amp;"!$A$6:$C$200"),3,0),0)</f>
        <v>0</v>
      </c>
      <c r="BU7" s="7">
        <f ca="1">IFERROR(VLOOKUP($A7,INDIRECT(#REF!&amp;"!$A$6:$C$200"),3,0),0)</f>
        <v>0</v>
      </c>
      <c r="BV7" s="7">
        <f ca="1">IFERROR(VLOOKUP($A7,INDIRECT(#REF!&amp;"!$A$6:$C$200"),3,0),0)</f>
        <v>0</v>
      </c>
      <c r="BW7" s="7">
        <f ca="1">IFERROR(VLOOKUP($A7,INDIRECT(#REF!&amp;"!$A$6:$C$200"),3,0),0)</f>
        <v>0</v>
      </c>
      <c r="BX7" s="7">
        <f ca="1">IFERROR(VLOOKUP($A7,INDIRECT(#REF!&amp;"!$A$6:$C$200"),3,0),0)</f>
        <v>0</v>
      </c>
      <c r="BY7" s="7">
        <f ca="1">IFERROR(VLOOKUP($A7,INDIRECT(#REF!&amp;"!$A$6:$C$200"),3,0),0)</f>
        <v>0</v>
      </c>
      <c r="BZ7" s="7">
        <f ca="1">IFERROR(VLOOKUP($A7,INDIRECT(#REF!&amp;"!$A$6:$C$200"),3,0),0)</f>
        <v>0</v>
      </c>
      <c r="CA7" s="7">
        <f ca="1">IFERROR(VLOOKUP($A7,INDIRECT(#REF!&amp;"!$A$6:$C$200"),3,0),0)</f>
        <v>0</v>
      </c>
      <c r="CB7" s="7">
        <f ca="1">IFERROR(VLOOKUP($A7,INDIRECT(#REF!&amp;"!$A$6:$C$200"),3,0),0)</f>
        <v>0</v>
      </c>
      <c r="CC7" s="7">
        <f ca="1">IFERROR(VLOOKUP($A7,INDIRECT(#REF!&amp;"!$A$6:$C$200"),3,0),0)</f>
        <v>0</v>
      </c>
      <c r="CD7" s="7" t="str">
        <f ca="1">IF(CD6="","",IFERROR(VLOOKUP($A7,INDIRECT(#REF!&amp;"!$A$6:$C$200"),3,0),0))</f>
        <v/>
      </c>
      <c r="CE7" s="7" t="str">
        <f ca="1">IF(CE6="","",IFERROR(VLOOKUP($A7,INDIRECT(#REF!&amp;"!$A$6:$C$200"),3,0),0))</f>
        <v/>
      </c>
      <c r="CF7" s="7" t="str">
        <f ca="1">IF(CF6="","",IFERROR(VLOOKUP($A7,INDIRECT(#REF!&amp;"!$A$6:$C$200"),3,0),0))</f>
        <v/>
      </c>
      <c r="CG7" s="7" t="str">
        <f ca="1">IF(CG6="","",IFERROR(VLOOKUP($A7,INDIRECT(#REF!&amp;"!$A$6:$C$200"),3,0),0))</f>
        <v/>
      </c>
      <c r="CH7" s="7" t="str">
        <f ca="1">IF(CH6="","",IFERROR(VLOOKUP($A7,INDIRECT(#REF!&amp;"!$A$6:$C$200"),3,0),0))</f>
        <v/>
      </c>
      <c r="CI7" s="7" t="str">
        <f ca="1">IF(CI6="","",IFERROR(VLOOKUP($A7,INDIRECT(#REF!&amp;"!$A$6:$C$200"),3,0),0))</f>
        <v/>
      </c>
      <c r="CJ7" s="7" t="str">
        <f ca="1">IF(CJ6="","",IFERROR(VLOOKUP($A7,INDIRECT(#REF!&amp;"!$A$6:$C$200"),3,0),0))</f>
        <v/>
      </c>
      <c r="CK7" s="7" t="str">
        <f ca="1">IF(CK6="","",IFERROR(VLOOKUP($A7,INDIRECT(#REF!&amp;"!$A$6:$C$200"),3,0),0))</f>
        <v/>
      </c>
      <c r="CL7" s="7" t="str">
        <f ca="1">IF(CL6="","",IFERROR(VLOOKUP($A7,INDIRECT(#REF!&amp;"!$A$6:$C$200"),3,0),0))</f>
        <v/>
      </c>
      <c r="CM7" s="7" t="str">
        <f ca="1">IF(CM6="","",IFERROR(VLOOKUP($A7,INDIRECT(#REF!&amp;"!$A$6:$C$200"),3,0),0))</f>
        <v/>
      </c>
      <c r="CN7" s="7" t="str">
        <f ca="1">IF(CN6="","",IFERROR(VLOOKUP($A7,INDIRECT(#REF!&amp;"!$A$6:$C$200"),3,0),0))</f>
        <v/>
      </c>
      <c r="CO7" s="7" t="str">
        <f ca="1">IF(CO6="","",IFERROR(VLOOKUP($A7,INDIRECT(#REF!&amp;"!$A$6:$C$200"),3,0),0))</f>
        <v/>
      </c>
      <c r="CP7" s="7" t="str">
        <f ca="1">IF(CP6="","",IFERROR(VLOOKUP($A7,INDIRECT(#REF!&amp;"!$A$6:$C$200"),3,0),0))</f>
        <v/>
      </c>
      <c r="CQ7" s="7" t="str">
        <f ca="1">IF(CQ6="","",IFERROR(VLOOKUP($A7,INDIRECT(#REF!&amp;"!$A$6:$C$200"),3,0),0))</f>
        <v/>
      </c>
      <c r="CR7" s="7" t="str">
        <f ca="1">IF(CR6="","",IFERROR(VLOOKUP($A7,INDIRECT(#REF!&amp;"!$A$6:$C$200"),3,0),0))</f>
        <v/>
      </c>
      <c r="CS7" s="7" t="str">
        <f ca="1">IF(CS6="","",IFERROR(VLOOKUP($A7,INDIRECT(#REF!&amp;"!$A$6:$C$200"),3,0),0))</f>
        <v/>
      </c>
      <c r="CT7" s="7" t="str">
        <f ca="1">IF(CT6="","",IFERROR(VLOOKUP($A7,INDIRECT(#REF!&amp;"!$A$6:$C$200"),3,0),0))</f>
        <v/>
      </c>
      <c r="CU7" s="7" t="str">
        <f ca="1">IF(CU6="","",IFERROR(VLOOKUP($A7,INDIRECT(#REF!&amp;"!$A$6:$C$200"),3,0),0))</f>
        <v/>
      </c>
      <c r="CV7" s="7" t="str">
        <f ca="1">IF(CV6="","",IFERROR(VLOOKUP($A7,INDIRECT(#REF!&amp;"!$A$6:$C$200"),3,0),0))</f>
        <v/>
      </c>
      <c r="CW7" s="7" t="str">
        <f ca="1">IF(CW6="","",IFERROR(VLOOKUP($A7,INDIRECT(#REF!&amp;"!$A$6:$C$200"),3,0),0))</f>
        <v/>
      </c>
      <c r="CX7" s="7" t="str">
        <f ca="1">IF(CX6="","",IFERROR(VLOOKUP($A7,INDIRECT(#REF!&amp;"!$A$6:$C$200"),3,0),0))</f>
        <v/>
      </c>
      <c r="CY7" s="7" t="str">
        <f ca="1">IF(CY6="","",IFERROR(VLOOKUP($A7,INDIRECT(#REF!&amp;"!$A$6:$C$200"),3,0),0))</f>
        <v/>
      </c>
      <c r="CZ7" s="7" t="str">
        <f ca="1">IF(CZ6="","",IFERROR(VLOOKUP($A7,INDIRECT(#REF!&amp;"!$A$6:$C$200"),3,0),0))</f>
        <v/>
      </c>
      <c r="DA7" s="7" t="str">
        <f ca="1">IF(DA6="","",IFERROR(VLOOKUP($A7,INDIRECT(#REF!&amp;"!$A$6:$C$200"),3,0),0))</f>
        <v/>
      </c>
      <c r="DB7" s="7" t="str">
        <f ca="1">IF(DB6="","",IFERROR(VLOOKUP($A7,INDIRECT(#REF!&amp;"!$A$6:$C$200"),3,0),0))</f>
        <v/>
      </c>
      <c r="DC7" s="7" t="str">
        <f ca="1">IF(DC6="","",IFERROR(VLOOKUP($A7,INDIRECT(#REF!&amp;"!$A$6:$C$200"),3,0),0))</f>
        <v/>
      </c>
      <c r="DD7" s="7" t="str">
        <f ca="1">IF(DD6="","",IFERROR(VLOOKUP($A7,INDIRECT(#REF!&amp;"!$A$6:$C$200"),3,0),0))</f>
        <v/>
      </c>
      <c r="DE7" s="7" t="str">
        <f ca="1">IF(DE6="","",IFERROR(VLOOKUP($A7,INDIRECT(#REF!&amp;"!$A$6:$C$200"),3,0),0))</f>
        <v/>
      </c>
      <c r="DF7" s="7" t="str">
        <f ca="1">IF(DF6="","",IFERROR(VLOOKUP($A7,INDIRECT(#REF!&amp;"!$A$6:$C$200"),3,0),0))</f>
        <v/>
      </c>
      <c r="DG7" s="7" t="str">
        <f ca="1">IF(DG6="","",IFERROR(VLOOKUP($A7,INDIRECT(#REF!&amp;"!$A$6:$C$200"),3,0),0))</f>
        <v/>
      </c>
      <c r="DH7" s="7" t="str">
        <f ca="1">IF(DH6="","",IFERROR(VLOOKUP($A7,INDIRECT(#REF!&amp;"!$A$6:$C$200"),3,0),0))</f>
        <v/>
      </c>
      <c r="DI7" s="7" t="str">
        <f ca="1">IF(DI6="","",IFERROR(VLOOKUP($A7,INDIRECT(#REF!&amp;"!$A$6:$C$200"),3,0),0))</f>
        <v/>
      </c>
      <c r="DJ7" s="7" t="str">
        <f ca="1">IF(DJ6="","",IFERROR(VLOOKUP($A7,INDIRECT(#REF!&amp;"!$A$6:$C$200"),3,0),0))</f>
        <v/>
      </c>
      <c r="DK7" s="7" t="str">
        <f ca="1">IF(DK6="","",IFERROR(VLOOKUP($A7,INDIRECT(#REF!&amp;"!$A$6:$C$200"),3,0),0))</f>
        <v/>
      </c>
    </row>
    <row r="8" spans="1:115">
      <c r="A8" s="6" t="s">
        <v>10</v>
      </c>
      <c r="B8" s="7">
        <v>1.8333333333333334E-4</v>
      </c>
      <c r="C8" s="7">
        <v>2.2857142857142854E-4</v>
      </c>
      <c r="D8" s="7">
        <v>1.8571428571428572E-4</v>
      </c>
      <c r="E8" s="7">
        <v>2.0000000000000004E-4</v>
      </c>
      <c r="F8" s="7">
        <v>1.7142857142857145E-4</v>
      </c>
      <c r="G8" s="7">
        <v>2.0000000000000004E-4</v>
      </c>
      <c r="H8" s="7">
        <f t="shared" ca="1" si="2"/>
        <v>5.7142857142857148E-5</v>
      </c>
      <c r="I8" s="7">
        <f t="shared" ca="1" si="3"/>
        <v>0</v>
      </c>
      <c r="J8" s="7">
        <f t="shared" ca="1" si="4"/>
        <v>0</v>
      </c>
      <c r="K8" s="7">
        <f t="shared" ca="1" si="0"/>
        <v>0</v>
      </c>
      <c r="L8" s="7">
        <f t="shared" ca="1" si="1"/>
        <v>0</v>
      </c>
      <c r="M8" s="8">
        <v>2.0000000000000001E-4</v>
      </c>
      <c r="N8" s="8">
        <v>2.9999999999999997E-4</v>
      </c>
      <c r="O8" s="8">
        <v>0</v>
      </c>
      <c r="P8" s="8">
        <v>1E-4</v>
      </c>
      <c r="Q8" s="8">
        <v>2.0000000000000001E-4</v>
      </c>
      <c r="R8" s="8">
        <v>2.9999999999999997E-4</v>
      </c>
      <c r="S8" s="8">
        <v>2.9999999999999997E-4</v>
      </c>
      <c r="T8" s="8">
        <v>0</v>
      </c>
      <c r="U8" s="8">
        <v>2.0000000000000001E-4</v>
      </c>
      <c r="V8" s="8">
        <v>2.0000000000000001E-4</v>
      </c>
      <c r="W8" s="8">
        <v>2.9999999999999997E-4</v>
      </c>
      <c r="X8" s="8">
        <v>2.9999999999999997E-4</v>
      </c>
      <c r="Y8" s="8">
        <v>2.9999999999999997E-4</v>
      </c>
      <c r="Z8" s="8">
        <v>2.0000000000000001E-4</v>
      </c>
      <c r="AA8" s="8">
        <v>1E-4</v>
      </c>
      <c r="AB8" s="8">
        <v>1E-4</v>
      </c>
      <c r="AC8" s="8">
        <v>2.0000000000000001E-4</v>
      </c>
      <c r="AD8" s="8">
        <v>2.0000000000000001E-4</v>
      </c>
      <c r="AE8" s="8">
        <v>2.0000000000000001E-4</v>
      </c>
      <c r="AF8" s="8">
        <v>2.9999999999999997E-4</v>
      </c>
      <c r="AG8" s="8">
        <v>2.0000000000000001E-4</v>
      </c>
      <c r="AH8" s="8">
        <v>2.0000000000000001E-4</v>
      </c>
      <c r="AI8" s="8">
        <v>2.0000000000000001E-4</v>
      </c>
      <c r="AJ8" s="8">
        <v>1E-4</v>
      </c>
      <c r="AK8" s="8">
        <v>2.0000000000000001E-4</v>
      </c>
      <c r="AL8" s="8">
        <v>2.9999999999999997E-4</v>
      </c>
      <c r="AM8" s="7">
        <v>2.0000000000000001E-4</v>
      </c>
      <c r="AN8" s="7">
        <v>2.9999999999999997E-4</v>
      </c>
      <c r="AO8" s="7">
        <v>1E-4</v>
      </c>
      <c r="AP8" s="7">
        <v>1E-4</v>
      </c>
      <c r="AQ8" s="7">
        <v>1E-4</v>
      </c>
      <c r="AR8" s="7">
        <v>2.0000000000000001E-4</v>
      </c>
      <c r="AS8" s="7">
        <v>2.0000000000000001E-4</v>
      </c>
      <c r="AT8" s="7">
        <v>2.0000000000000001E-4</v>
      </c>
      <c r="AU8" s="7">
        <v>2.9999999999999997E-4</v>
      </c>
      <c r="AV8" s="7">
        <v>1E-4</v>
      </c>
      <c r="AW8" s="7">
        <v>2.0000000000000001E-4</v>
      </c>
      <c r="AX8" s="7">
        <v>2.0000000000000001E-4</v>
      </c>
      <c r="AY8" s="7">
        <v>2.0000000000000001E-4</v>
      </c>
      <c r="AZ8" s="7">
        <v>2.0000000000000001E-4</v>
      </c>
      <c r="BA8" s="7">
        <v>2.0000000000000001E-4</v>
      </c>
      <c r="BB8" s="7">
        <v>2.0000000000000001E-4</v>
      </c>
      <c r="BC8" s="7">
        <v>1E-4</v>
      </c>
      <c r="BD8" s="7">
        <v>1E-4</v>
      </c>
      <c r="BE8" s="7">
        <f ca="1">IFERROR(VLOOKUP($A8,INDIRECT(#REF!&amp;"!$A$6:$C$200"),3,0),0)</f>
        <v>0</v>
      </c>
      <c r="BF8" s="7">
        <f ca="1">IFERROR(VLOOKUP($A8,INDIRECT(#REF!&amp;"!$A$6:$C$200"),3,0),0)</f>
        <v>0</v>
      </c>
      <c r="BG8" s="7">
        <f ca="1">IFERROR(VLOOKUP($A8,INDIRECT(#REF!&amp;"!$A$6:$C$200"),3,0),0)</f>
        <v>0</v>
      </c>
      <c r="BH8" s="8">
        <f ca="1">IFERROR(VLOOKUP($A8,INDIRECT(#REF!&amp;"!$A$6:$C$200"),3,0),0)</f>
        <v>0</v>
      </c>
      <c r="BI8" s="8">
        <f ca="1">IFERROR(VLOOKUP($A8,INDIRECT(#REF!&amp;"!$A$6:$C$200"),3,0),0)</f>
        <v>0</v>
      </c>
      <c r="BJ8" s="8">
        <f ca="1">IFERROR(VLOOKUP($A8,INDIRECT(#REF!&amp;"!$A$6:$C$200"),3,0),0)</f>
        <v>0</v>
      </c>
      <c r="BK8" s="8">
        <f ca="1">IFERROR(VLOOKUP($A8,INDIRECT(#REF!&amp;"!$A$6:$C$200"),3,0),0)</f>
        <v>0</v>
      </c>
      <c r="BL8" s="8">
        <f ca="1">IFERROR(VLOOKUP($A8,INDIRECT(#REF!&amp;"!$A$6:$C$200"),3,0),0)</f>
        <v>0</v>
      </c>
      <c r="BM8" s="8">
        <f ca="1">IFERROR(VLOOKUP($A8,INDIRECT(#REF!&amp;"!$A$6:$C$200"),3,0),0)</f>
        <v>0</v>
      </c>
      <c r="BN8" s="8">
        <f ca="1">IFERROR(VLOOKUP($A8,INDIRECT(#REF!&amp;"!$A$6:$C$200"),3,0),0)</f>
        <v>0</v>
      </c>
      <c r="BO8" s="8">
        <f ca="1">IFERROR(VLOOKUP($A8,INDIRECT(#REF!&amp;"!$A$6:$C$200"),3,0),0)</f>
        <v>0</v>
      </c>
      <c r="BP8" s="7">
        <f ca="1">IFERROR(VLOOKUP($A8,INDIRECT(#REF!&amp;"!$A$6:$C$200"),3,0),0)</f>
        <v>0</v>
      </c>
      <c r="BQ8" s="7">
        <f ca="1">IFERROR(VLOOKUP($A8,INDIRECT(#REF!&amp;"!$A$6:$C$200"),3,0),0)</f>
        <v>0</v>
      </c>
      <c r="BR8" s="7">
        <f ca="1">IFERROR(VLOOKUP($A8,INDIRECT(#REF!&amp;"!$A$6:$C$200"),3,0),0)</f>
        <v>0</v>
      </c>
      <c r="BS8" s="7">
        <f ca="1">IFERROR(VLOOKUP($A8,INDIRECT(#REF!&amp;"!$A$6:$C$200"),3,0),0)</f>
        <v>0</v>
      </c>
      <c r="BT8" s="7">
        <f ca="1">IFERROR(VLOOKUP($A8,INDIRECT(#REF!&amp;"!$A$6:$C$200"),3,0),0)</f>
        <v>0</v>
      </c>
      <c r="BU8" s="7">
        <f ca="1">IFERROR(VLOOKUP($A8,INDIRECT(#REF!&amp;"!$A$6:$C$200"),3,0),0)</f>
        <v>0</v>
      </c>
      <c r="BV8" s="7">
        <f ca="1">IFERROR(VLOOKUP($A8,INDIRECT(#REF!&amp;"!$A$6:$C$200"),3,0),0)</f>
        <v>0</v>
      </c>
      <c r="BW8" s="7">
        <f ca="1">IFERROR(VLOOKUP($A8,INDIRECT(#REF!&amp;"!$A$6:$C$200"),3,0),0)</f>
        <v>0</v>
      </c>
      <c r="BX8" s="7">
        <f ca="1">IFERROR(VLOOKUP($A8,INDIRECT(#REF!&amp;"!$A$6:$C$200"),3,0),0)</f>
        <v>0</v>
      </c>
      <c r="BY8" s="7">
        <f ca="1">IFERROR(VLOOKUP($A8,INDIRECT(#REF!&amp;"!$A$6:$C$200"),3,0),0)</f>
        <v>0</v>
      </c>
      <c r="BZ8" s="7">
        <f ca="1">IFERROR(VLOOKUP($A8,INDIRECT(#REF!&amp;"!$A$6:$C$200"),3,0),0)</f>
        <v>0</v>
      </c>
      <c r="CA8" s="7">
        <f ca="1">IFERROR(VLOOKUP($A8,INDIRECT(#REF!&amp;"!$A$6:$C$200"),3,0),0)</f>
        <v>0</v>
      </c>
      <c r="CB8" s="7">
        <f ca="1">IFERROR(VLOOKUP($A8,INDIRECT(#REF!&amp;"!$A$6:$C$200"),3,0),0)</f>
        <v>0</v>
      </c>
      <c r="CC8" s="7">
        <f ca="1">IFERROR(VLOOKUP($A8,INDIRECT(#REF!&amp;"!$A$6:$C$200"),3,0),0)</f>
        <v>0</v>
      </c>
      <c r="CD8" s="7" t="str">
        <f ca="1">IF(CD7="","",IFERROR(VLOOKUP($A8,INDIRECT(#REF!&amp;"!$A$6:$C$200"),3,0),0))</f>
        <v/>
      </c>
      <c r="CE8" s="7" t="str">
        <f ca="1">IF(CE7="","",IFERROR(VLOOKUP($A8,INDIRECT(#REF!&amp;"!$A$6:$C$200"),3,0),0))</f>
        <v/>
      </c>
      <c r="CF8" s="7" t="str">
        <f ca="1">IF(CF7="","",IFERROR(VLOOKUP($A8,INDIRECT(#REF!&amp;"!$A$6:$C$200"),3,0),0))</f>
        <v/>
      </c>
      <c r="CG8" s="7" t="str">
        <f ca="1">IF(CG7="","",IFERROR(VLOOKUP($A8,INDIRECT(#REF!&amp;"!$A$6:$C$200"),3,0),0))</f>
        <v/>
      </c>
      <c r="CH8" s="7" t="str">
        <f ca="1">IF(CH7="","",IFERROR(VLOOKUP($A8,INDIRECT(#REF!&amp;"!$A$6:$C$200"),3,0),0))</f>
        <v/>
      </c>
      <c r="CI8" s="7" t="str">
        <f ca="1">IF(CI7="","",IFERROR(VLOOKUP($A8,INDIRECT(#REF!&amp;"!$A$6:$C$200"),3,0),0))</f>
        <v/>
      </c>
      <c r="CJ8" s="7" t="str">
        <f ca="1">IF(CJ7="","",IFERROR(VLOOKUP($A8,INDIRECT(#REF!&amp;"!$A$6:$C$200"),3,0),0))</f>
        <v/>
      </c>
      <c r="CK8" s="7" t="str">
        <f ca="1">IF(CK7="","",IFERROR(VLOOKUP($A8,INDIRECT(#REF!&amp;"!$A$6:$C$200"),3,0),0))</f>
        <v/>
      </c>
      <c r="CL8" s="7" t="str">
        <f ca="1">IF(CL7="","",IFERROR(VLOOKUP($A8,INDIRECT(#REF!&amp;"!$A$6:$C$200"),3,0),0))</f>
        <v/>
      </c>
      <c r="CM8" s="7" t="str">
        <f ca="1">IF(CM7="","",IFERROR(VLOOKUP($A8,INDIRECT(#REF!&amp;"!$A$6:$C$200"),3,0),0))</f>
        <v/>
      </c>
      <c r="CN8" s="7" t="str">
        <f ca="1">IF(CN7="","",IFERROR(VLOOKUP($A8,INDIRECT(#REF!&amp;"!$A$6:$C$200"),3,0),0))</f>
        <v/>
      </c>
      <c r="CO8" s="7" t="str">
        <f ca="1">IF(CO7="","",IFERROR(VLOOKUP($A8,INDIRECT(#REF!&amp;"!$A$6:$C$200"),3,0),0))</f>
        <v/>
      </c>
      <c r="CP8" s="7" t="str">
        <f ca="1">IF(CP7="","",IFERROR(VLOOKUP($A8,INDIRECT(#REF!&amp;"!$A$6:$C$200"),3,0),0))</f>
        <v/>
      </c>
      <c r="CQ8" s="7" t="str">
        <f ca="1">IF(CQ7="","",IFERROR(VLOOKUP($A8,INDIRECT(#REF!&amp;"!$A$6:$C$200"),3,0),0))</f>
        <v/>
      </c>
      <c r="CR8" s="7" t="str">
        <f ca="1">IF(CR7="","",IFERROR(VLOOKUP($A8,INDIRECT(#REF!&amp;"!$A$6:$C$200"),3,0),0))</f>
        <v/>
      </c>
      <c r="CS8" s="7" t="str">
        <f ca="1">IF(CS7="","",IFERROR(VLOOKUP($A8,INDIRECT(#REF!&amp;"!$A$6:$C$200"),3,0),0))</f>
        <v/>
      </c>
      <c r="CT8" s="7" t="str">
        <f ca="1">IF(CT7="","",IFERROR(VLOOKUP($A8,INDIRECT(#REF!&amp;"!$A$6:$C$200"),3,0),0))</f>
        <v/>
      </c>
      <c r="CU8" s="7" t="str">
        <f ca="1">IF(CU7="","",IFERROR(VLOOKUP($A8,INDIRECT(#REF!&amp;"!$A$6:$C$200"),3,0),0))</f>
        <v/>
      </c>
      <c r="CV8" s="7" t="str">
        <f ca="1">IF(CV7="","",IFERROR(VLOOKUP($A8,INDIRECT(#REF!&amp;"!$A$6:$C$200"),3,0),0))</f>
        <v/>
      </c>
      <c r="CW8" s="7" t="str">
        <f ca="1">IF(CW7="","",IFERROR(VLOOKUP($A8,INDIRECT(#REF!&amp;"!$A$6:$C$200"),3,0),0))</f>
        <v/>
      </c>
      <c r="CX8" s="7" t="str">
        <f ca="1">IF(CX7="","",IFERROR(VLOOKUP($A8,INDIRECT(#REF!&amp;"!$A$6:$C$200"),3,0),0))</f>
        <v/>
      </c>
      <c r="CY8" s="7" t="str">
        <f ca="1">IF(CY7="","",IFERROR(VLOOKUP($A8,INDIRECT(#REF!&amp;"!$A$6:$C$200"),3,0),0))</f>
        <v/>
      </c>
      <c r="CZ8" s="7" t="str">
        <f ca="1">IF(CZ7="","",IFERROR(VLOOKUP($A8,INDIRECT(#REF!&amp;"!$A$6:$C$200"),3,0),0))</f>
        <v/>
      </c>
      <c r="DA8" s="7" t="str">
        <f ca="1">IF(DA7="","",IFERROR(VLOOKUP($A8,INDIRECT(#REF!&amp;"!$A$6:$C$200"),3,0),0))</f>
        <v/>
      </c>
      <c r="DB8" s="7" t="str">
        <f ca="1">IF(DB7="","",IFERROR(VLOOKUP($A8,INDIRECT(#REF!&amp;"!$A$6:$C$200"),3,0),0))</f>
        <v/>
      </c>
      <c r="DC8" s="7" t="str">
        <f ca="1">IF(DC7="","",IFERROR(VLOOKUP($A8,INDIRECT(#REF!&amp;"!$A$6:$C$200"),3,0),0))</f>
        <v/>
      </c>
      <c r="DD8" s="7" t="str">
        <f ca="1">IF(DD7="","",IFERROR(VLOOKUP($A8,INDIRECT(#REF!&amp;"!$A$6:$C$200"),3,0),0))</f>
        <v/>
      </c>
      <c r="DE8" s="7" t="str">
        <f ca="1">IF(DE7="","",IFERROR(VLOOKUP($A8,INDIRECT(#REF!&amp;"!$A$6:$C$200"),3,0),0))</f>
        <v/>
      </c>
      <c r="DF8" s="7" t="str">
        <f ca="1">IF(DF7="","",IFERROR(VLOOKUP($A8,INDIRECT(#REF!&amp;"!$A$6:$C$200"),3,0),0))</f>
        <v/>
      </c>
      <c r="DG8" s="7" t="str">
        <f ca="1">IF(DG7="","",IFERROR(VLOOKUP($A8,INDIRECT(#REF!&amp;"!$A$6:$C$200"),3,0),0))</f>
        <v/>
      </c>
      <c r="DH8" s="7" t="str">
        <f ca="1">IF(DH7="","",IFERROR(VLOOKUP($A8,INDIRECT(#REF!&amp;"!$A$6:$C$200"),3,0),0))</f>
        <v/>
      </c>
      <c r="DI8" s="7" t="str">
        <f ca="1">IF(DI7="","",IFERROR(VLOOKUP($A8,INDIRECT(#REF!&amp;"!$A$6:$C$200"),3,0),0))</f>
        <v/>
      </c>
      <c r="DJ8" s="7" t="str">
        <f ca="1">IF(DJ7="","",IFERROR(VLOOKUP($A8,INDIRECT(#REF!&amp;"!$A$6:$C$200"),3,0),0))</f>
        <v/>
      </c>
      <c r="DK8" s="7" t="str">
        <f ca="1">IF(DK7="","",IFERROR(VLOOKUP($A8,INDIRECT(#REF!&amp;"!$A$6:$C$200"),3,0),0))</f>
        <v/>
      </c>
    </row>
    <row r="9" spans="1:115">
      <c r="A9" s="6" t="s">
        <v>11</v>
      </c>
      <c r="B9" s="7">
        <v>1.3666666666666669E-3</v>
      </c>
      <c r="C9" s="7">
        <v>1.1428571428571429E-3</v>
      </c>
      <c r="D9" s="7">
        <v>1.0714285714285715E-3</v>
      </c>
      <c r="E9" s="7">
        <v>6.9999999999999999E-4</v>
      </c>
      <c r="F9" s="7">
        <v>6.5714285714285712E-4</v>
      </c>
      <c r="G9" s="7">
        <v>7.5714285714285727E-4</v>
      </c>
      <c r="H9" s="7">
        <f t="shared" ca="1" si="2"/>
        <v>2.7142857142857139E-4</v>
      </c>
      <c r="I9" s="7">
        <f t="shared" ca="1" si="3"/>
        <v>0</v>
      </c>
      <c r="J9" s="7">
        <f t="shared" ca="1" si="4"/>
        <v>0</v>
      </c>
      <c r="K9" s="7">
        <f t="shared" ca="1" si="0"/>
        <v>0</v>
      </c>
      <c r="L9" s="7">
        <f t="shared" ca="1" si="1"/>
        <v>0</v>
      </c>
      <c r="M9" s="8">
        <v>2.3E-3</v>
      </c>
      <c r="N9" s="8">
        <v>1E-3</v>
      </c>
      <c r="O9" s="8">
        <v>5.9999999999999995E-4</v>
      </c>
      <c r="P9" s="8">
        <v>2.3999999999999998E-3</v>
      </c>
      <c r="Q9" s="8">
        <v>1E-3</v>
      </c>
      <c r="R9" s="8">
        <v>8.9999999999999998E-4</v>
      </c>
      <c r="S9" s="8">
        <v>1.1999999999999999E-3</v>
      </c>
      <c r="T9" s="8">
        <v>1E-3</v>
      </c>
      <c r="U9" s="8">
        <v>5.9999999999999995E-4</v>
      </c>
      <c r="V9" s="8">
        <v>8.0000000000000004E-4</v>
      </c>
      <c r="W9" s="8">
        <v>1.6999999999999999E-3</v>
      </c>
      <c r="X9" s="8">
        <v>1.6999999999999999E-3</v>
      </c>
      <c r="Y9" s="8">
        <v>1E-3</v>
      </c>
      <c r="Z9" s="8">
        <v>8.9999999999999998E-4</v>
      </c>
      <c r="AA9" s="8">
        <v>1.2999999999999999E-3</v>
      </c>
      <c r="AB9" s="8">
        <v>8.0000000000000004E-4</v>
      </c>
      <c r="AC9" s="8">
        <v>1.2999999999999999E-3</v>
      </c>
      <c r="AD9" s="8">
        <v>1.5E-3</v>
      </c>
      <c r="AE9" s="8">
        <v>8.9999999999999998E-4</v>
      </c>
      <c r="AF9" s="8">
        <v>8.0000000000000004E-4</v>
      </c>
      <c r="AG9" s="8">
        <v>8.9999999999999998E-4</v>
      </c>
      <c r="AH9" s="8">
        <v>8.0000000000000004E-4</v>
      </c>
      <c r="AI9" s="8">
        <v>6.9999999999999999E-4</v>
      </c>
      <c r="AJ9" s="8">
        <v>5.9999999999999995E-4</v>
      </c>
      <c r="AK9" s="8">
        <v>8.9999999999999998E-4</v>
      </c>
      <c r="AL9" s="8">
        <v>5.0000000000000001E-4</v>
      </c>
      <c r="AM9" s="7">
        <v>5.0000000000000001E-4</v>
      </c>
      <c r="AN9" s="7">
        <v>6.9999999999999999E-4</v>
      </c>
      <c r="AO9" s="7">
        <v>6.9999999999999999E-4</v>
      </c>
      <c r="AP9" s="7">
        <v>6.9999999999999999E-4</v>
      </c>
      <c r="AQ9" s="7">
        <v>5.0000000000000001E-4</v>
      </c>
      <c r="AR9" s="7">
        <v>6.9999999999999999E-4</v>
      </c>
      <c r="AS9" s="7">
        <v>5.9999999999999995E-4</v>
      </c>
      <c r="AT9" s="7">
        <v>6.9999999999999999E-4</v>
      </c>
      <c r="AU9" s="7">
        <v>5.9999999999999995E-4</v>
      </c>
      <c r="AV9" s="7">
        <v>6.9999999999999999E-4</v>
      </c>
      <c r="AW9" s="7">
        <v>8.0000000000000004E-4</v>
      </c>
      <c r="AX9" s="7">
        <v>6.9999999999999999E-4</v>
      </c>
      <c r="AY9" s="7">
        <v>8.9999999999999998E-4</v>
      </c>
      <c r="AZ9" s="7">
        <v>8.0000000000000004E-4</v>
      </c>
      <c r="BA9" s="7">
        <v>8.0000000000000004E-4</v>
      </c>
      <c r="BB9" s="7">
        <v>5.9999999999999995E-4</v>
      </c>
      <c r="BC9" s="7">
        <v>5.9999999999999995E-4</v>
      </c>
      <c r="BD9" s="7">
        <v>6.9999999999999999E-4</v>
      </c>
      <c r="BE9" s="7">
        <f ca="1">IFERROR(VLOOKUP($A9,INDIRECT(#REF!&amp;"!$A$6:$C$200"),3,0),0)</f>
        <v>0</v>
      </c>
      <c r="BF9" s="7">
        <f ca="1">IFERROR(VLOOKUP($A9,INDIRECT(#REF!&amp;"!$A$6:$C$200"),3,0),0)</f>
        <v>0</v>
      </c>
      <c r="BG9" s="7">
        <f ca="1">IFERROR(VLOOKUP($A9,INDIRECT(#REF!&amp;"!$A$6:$C$200"),3,0),0)</f>
        <v>0</v>
      </c>
      <c r="BH9" s="8">
        <f ca="1">IFERROR(VLOOKUP($A9,INDIRECT(#REF!&amp;"!$A$6:$C$200"),3,0),0)</f>
        <v>0</v>
      </c>
      <c r="BI9" s="8">
        <f ca="1">IFERROR(VLOOKUP($A9,INDIRECT(#REF!&amp;"!$A$6:$C$200"),3,0),0)</f>
        <v>0</v>
      </c>
      <c r="BJ9" s="8">
        <f ca="1">IFERROR(VLOOKUP($A9,INDIRECT(#REF!&amp;"!$A$6:$C$200"),3,0),0)</f>
        <v>0</v>
      </c>
      <c r="BK9" s="8">
        <f ca="1">IFERROR(VLOOKUP($A9,INDIRECT(#REF!&amp;"!$A$6:$C$200"),3,0),0)</f>
        <v>0</v>
      </c>
      <c r="BL9" s="8">
        <f ca="1">IFERROR(VLOOKUP($A9,INDIRECT(#REF!&amp;"!$A$6:$C$200"),3,0),0)</f>
        <v>0</v>
      </c>
      <c r="BM9" s="8">
        <f ca="1">IFERROR(VLOOKUP($A9,INDIRECT(#REF!&amp;"!$A$6:$C$200"),3,0),0)</f>
        <v>0</v>
      </c>
      <c r="BN9" s="8">
        <f ca="1">IFERROR(VLOOKUP($A9,INDIRECT(#REF!&amp;"!$A$6:$C$200"),3,0),0)</f>
        <v>0</v>
      </c>
      <c r="BO9" s="8">
        <f ca="1">IFERROR(VLOOKUP($A9,INDIRECT(#REF!&amp;"!$A$6:$C$200"),3,0),0)</f>
        <v>0</v>
      </c>
      <c r="BP9" s="7">
        <f ca="1">IFERROR(VLOOKUP($A9,INDIRECT(#REF!&amp;"!$A$6:$C$200"),3,0),0)</f>
        <v>0</v>
      </c>
      <c r="BQ9" s="7">
        <f ca="1">IFERROR(VLOOKUP($A9,INDIRECT(#REF!&amp;"!$A$6:$C$200"),3,0),0)</f>
        <v>0</v>
      </c>
      <c r="BR9" s="7">
        <f ca="1">IFERROR(VLOOKUP($A9,INDIRECT(#REF!&amp;"!$A$6:$C$200"),3,0),0)</f>
        <v>0</v>
      </c>
      <c r="BS9" s="7">
        <f ca="1">IFERROR(VLOOKUP($A9,INDIRECT(#REF!&amp;"!$A$6:$C$200"),3,0),0)</f>
        <v>0</v>
      </c>
      <c r="BT9" s="7">
        <f ca="1">IFERROR(VLOOKUP($A9,INDIRECT(#REF!&amp;"!$A$6:$C$200"),3,0),0)</f>
        <v>0</v>
      </c>
      <c r="BU9" s="7">
        <f ca="1">IFERROR(VLOOKUP($A9,INDIRECT(#REF!&amp;"!$A$6:$C$200"),3,0),0)</f>
        <v>0</v>
      </c>
      <c r="BV9" s="7">
        <f ca="1">IFERROR(VLOOKUP($A9,INDIRECT(#REF!&amp;"!$A$6:$C$200"),3,0),0)</f>
        <v>0</v>
      </c>
      <c r="BW9" s="7">
        <f ca="1">IFERROR(VLOOKUP($A9,INDIRECT(#REF!&amp;"!$A$6:$C$200"),3,0),0)</f>
        <v>0</v>
      </c>
      <c r="BX9" s="7">
        <f ca="1">IFERROR(VLOOKUP($A9,INDIRECT(#REF!&amp;"!$A$6:$C$200"),3,0),0)</f>
        <v>0</v>
      </c>
      <c r="BY9" s="7">
        <f ca="1">IFERROR(VLOOKUP($A9,INDIRECT(#REF!&amp;"!$A$6:$C$200"),3,0),0)</f>
        <v>0</v>
      </c>
      <c r="BZ9" s="7">
        <f ca="1">IFERROR(VLOOKUP($A9,INDIRECT(#REF!&amp;"!$A$6:$C$200"),3,0),0)</f>
        <v>0</v>
      </c>
      <c r="CA9" s="7">
        <f ca="1">IFERROR(VLOOKUP($A9,INDIRECT(#REF!&amp;"!$A$6:$C$200"),3,0),0)</f>
        <v>0</v>
      </c>
      <c r="CB9" s="7">
        <f ca="1">IFERROR(VLOOKUP($A9,INDIRECT(#REF!&amp;"!$A$6:$C$200"),3,0),0)</f>
        <v>0</v>
      </c>
      <c r="CC9" s="7">
        <f ca="1">IFERROR(VLOOKUP($A9,INDIRECT(#REF!&amp;"!$A$6:$C$200"),3,0),0)</f>
        <v>0</v>
      </c>
      <c r="CD9" s="7" t="str">
        <f ca="1">IF(CD8="","",IFERROR(VLOOKUP($A9,INDIRECT(#REF!&amp;"!$A$6:$C$200"),3,0),0))</f>
        <v/>
      </c>
      <c r="CE9" s="7" t="str">
        <f ca="1">IF(CE8="","",IFERROR(VLOOKUP($A9,INDIRECT(#REF!&amp;"!$A$6:$C$200"),3,0),0))</f>
        <v/>
      </c>
      <c r="CF9" s="7" t="str">
        <f ca="1">IF(CF8="","",IFERROR(VLOOKUP($A9,INDIRECT(#REF!&amp;"!$A$6:$C$200"),3,0),0))</f>
        <v/>
      </c>
      <c r="CG9" s="7" t="str">
        <f ca="1">IF(CG8="","",IFERROR(VLOOKUP($A9,INDIRECT(#REF!&amp;"!$A$6:$C$200"),3,0),0))</f>
        <v/>
      </c>
      <c r="CH9" s="7" t="str">
        <f ca="1">IF(CH8="","",IFERROR(VLOOKUP($A9,INDIRECT(#REF!&amp;"!$A$6:$C$200"),3,0),0))</f>
        <v/>
      </c>
      <c r="CI9" s="7" t="str">
        <f ca="1">IF(CI8="","",IFERROR(VLOOKUP($A9,INDIRECT(#REF!&amp;"!$A$6:$C$200"),3,0),0))</f>
        <v/>
      </c>
      <c r="CJ9" s="7" t="str">
        <f ca="1">IF(CJ8="","",IFERROR(VLOOKUP($A9,INDIRECT(#REF!&amp;"!$A$6:$C$200"),3,0),0))</f>
        <v/>
      </c>
      <c r="CK9" s="7" t="str">
        <f ca="1">IF(CK8="","",IFERROR(VLOOKUP($A9,INDIRECT(#REF!&amp;"!$A$6:$C$200"),3,0),0))</f>
        <v/>
      </c>
      <c r="CL9" s="7" t="str">
        <f ca="1">IF(CL8="","",IFERROR(VLOOKUP($A9,INDIRECT(#REF!&amp;"!$A$6:$C$200"),3,0),0))</f>
        <v/>
      </c>
      <c r="CM9" s="7" t="str">
        <f ca="1">IF(CM8="","",IFERROR(VLOOKUP($A9,INDIRECT(#REF!&amp;"!$A$6:$C$200"),3,0),0))</f>
        <v/>
      </c>
      <c r="CN9" s="7" t="str">
        <f ca="1">IF(CN8="","",IFERROR(VLOOKUP($A9,INDIRECT(#REF!&amp;"!$A$6:$C$200"),3,0),0))</f>
        <v/>
      </c>
      <c r="CO9" s="7" t="str">
        <f ca="1">IF(CO8="","",IFERROR(VLOOKUP($A9,INDIRECT(#REF!&amp;"!$A$6:$C$200"),3,0),0))</f>
        <v/>
      </c>
      <c r="CP9" s="7" t="str">
        <f ca="1">IF(CP8="","",IFERROR(VLOOKUP($A9,INDIRECT(#REF!&amp;"!$A$6:$C$200"),3,0),0))</f>
        <v/>
      </c>
      <c r="CQ9" s="7" t="str">
        <f ca="1">IF(CQ8="","",IFERROR(VLOOKUP($A9,INDIRECT(#REF!&amp;"!$A$6:$C$200"),3,0),0))</f>
        <v/>
      </c>
      <c r="CR9" s="7" t="str">
        <f ca="1">IF(CR8="","",IFERROR(VLOOKUP($A9,INDIRECT(#REF!&amp;"!$A$6:$C$200"),3,0),0))</f>
        <v/>
      </c>
      <c r="CS9" s="7" t="str">
        <f ca="1">IF(CS8="","",IFERROR(VLOOKUP($A9,INDIRECT(#REF!&amp;"!$A$6:$C$200"),3,0),0))</f>
        <v/>
      </c>
      <c r="CT9" s="7" t="str">
        <f ca="1">IF(CT8="","",IFERROR(VLOOKUP($A9,INDIRECT(#REF!&amp;"!$A$6:$C$200"),3,0),0))</f>
        <v/>
      </c>
      <c r="CU9" s="7" t="str">
        <f ca="1">IF(CU8="","",IFERROR(VLOOKUP($A9,INDIRECT(#REF!&amp;"!$A$6:$C$200"),3,0),0))</f>
        <v/>
      </c>
      <c r="CV9" s="7" t="str">
        <f ca="1">IF(CV8="","",IFERROR(VLOOKUP($A9,INDIRECT(#REF!&amp;"!$A$6:$C$200"),3,0),0))</f>
        <v/>
      </c>
      <c r="CW9" s="7" t="str">
        <f ca="1">IF(CW8="","",IFERROR(VLOOKUP($A9,INDIRECT(#REF!&amp;"!$A$6:$C$200"),3,0),0))</f>
        <v/>
      </c>
      <c r="CX9" s="7" t="str">
        <f ca="1">IF(CX8="","",IFERROR(VLOOKUP($A9,INDIRECT(#REF!&amp;"!$A$6:$C$200"),3,0),0))</f>
        <v/>
      </c>
      <c r="CY9" s="7" t="str">
        <f ca="1">IF(CY8="","",IFERROR(VLOOKUP($A9,INDIRECT(#REF!&amp;"!$A$6:$C$200"),3,0),0))</f>
        <v/>
      </c>
      <c r="CZ9" s="7" t="str">
        <f ca="1">IF(CZ8="","",IFERROR(VLOOKUP($A9,INDIRECT(#REF!&amp;"!$A$6:$C$200"),3,0),0))</f>
        <v/>
      </c>
      <c r="DA9" s="7" t="str">
        <f ca="1">IF(DA8="","",IFERROR(VLOOKUP($A9,INDIRECT(#REF!&amp;"!$A$6:$C$200"),3,0),0))</f>
        <v/>
      </c>
      <c r="DB9" s="7" t="str">
        <f ca="1">IF(DB8="","",IFERROR(VLOOKUP($A9,INDIRECT(#REF!&amp;"!$A$6:$C$200"),3,0),0))</f>
        <v/>
      </c>
      <c r="DC9" s="7" t="str">
        <f ca="1">IF(DC8="","",IFERROR(VLOOKUP($A9,INDIRECT(#REF!&amp;"!$A$6:$C$200"),3,0),0))</f>
        <v/>
      </c>
      <c r="DD9" s="7" t="str">
        <f ca="1">IF(DD8="","",IFERROR(VLOOKUP($A9,INDIRECT(#REF!&amp;"!$A$6:$C$200"),3,0),0))</f>
        <v/>
      </c>
      <c r="DE9" s="7" t="str">
        <f ca="1">IF(DE8="","",IFERROR(VLOOKUP($A9,INDIRECT(#REF!&amp;"!$A$6:$C$200"),3,0),0))</f>
        <v/>
      </c>
      <c r="DF9" s="7" t="str">
        <f ca="1">IF(DF8="","",IFERROR(VLOOKUP($A9,INDIRECT(#REF!&amp;"!$A$6:$C$200"),3,0),0))</f>
        <v/>
      </c>
      <c r="DG9" s="7" t="str">
        <f ca="1">IF(DG8="","",IFERROR(VLOOKUP($A9,INDIRECT(#REF!&amp;"!$A$6:$C$200"),3,0),0))</f>
        <v/>
      </c>
      <c r="DH9" s="7" t="str">
        <f ca="1">IF(DH8="","",IFERROR(VLOOKUP($A9,INDIRECT(#REF!&amp;"!$A$6:$C$200"),3,0),0))</f>
        <v/>
      </c>
      <c r="DI9" s="7" t="str">
        <f ca="1">IF(DI8="","",IFERROR(VLOOKUP($A9,INDIRECT(#REF!&amp;"!$A$6:$C$200"),3,0),0))</f>
        <v/>
      </c>
      <c r="DJ9" s="7" t="str">
        <f ca="1">IF(DJ8="","",IFERROR(VLOOKUP($A9,INDIRECT(#REF!&amp;"!$A$6:$C$200"),3,0),0))</f>
        <v/>
      </c>
      <c r="DK9" s="7" t="str">
        <f ca="1">IF(DK8="","",IFERROR(VLOOKUP($A9,INDIRECT(#REF!&amp;"!$A$6:$C$200"),3,0),0))</f>
        <v/>
      </c>
    </row>
    <row r="10" spans="1:115">
      <c r="A10" s="6" t="s">
        <v>12</v>
      </c>
      <c r="B10" s="7">
        <v>1.3333333333333331E-4</v>
      </c>
      <c r="C10" s="7">
        <v>1.2857142857142858E-4</v>
      </c>
      <c r="D10" s="7">
        <v>2.8571428571428574E-4</v>
      </c>
      <c r="E10" s="7">
        <v>1.2857142857142858E-4</v>
      </c>
      <c r="F10" s="7">
        <v>5.7142857142857148E-5</v>
      </c>
      <c r="G10" s="7">
        <v>2.4285714285714283E-4</v>
      </c>
      <c r="H10" s="7">
        <f t="shared" ca="1" si="2"/>
        <v>1.2857142857142858E-4</v>
      </c>
      <c r="I10" s="7">
        <f t="shared" ca="1" si="3"/>
        <v>0</v>
      </c>
      <c r="J10" s="7">
        <f t="shared" ca="1" si="4"/>
        <v>0</v>
      </c>
      <c r="K10" s="7">
        <f t="shared" ca="1" si="0"/>
        <v>0</v>
      </c>
      <c r="L10" s="7">
        <f t="shared" ca="1" si="1"/>
        <v>0</v>
      </c>
      <c r="M10" s="8">
        <v>1E-4</v>
      </c>
      <c r="N10" s="8">
        <v>1E-4</v>
      </c>
      <c r="O10" s="8">
        <v>1E-4</v>
      </c>
      <c r="P10" s="8">
        <v>1E-4</v>
      </c>
      <c r="Q10" s="8">
        <v>1E-4</v>
      </c>
      <c r="R10" s="8">
        <v>2.9999999999999997E-4</v>
      </c>
      <c r="S10" s="8">
        <v>2.0000000000000001E-4</v>
      </c>
      <c r="T10" s="8">
        <v>0</v>
      </c>
      <c r="U10" s="8">
        <v>1E-4</v>
      </c>
      <c r="V10" s="8">
        <v>2.0000000000000001E-4</v>
      </c>
      <c r="W10" s="8">
        <v>2.0000000000000001E-4</v>
      </c>
      <c r="X10" s="8">
        <v>2.0000000000000001E-4</v>
      </c>
      <c r="Y10" s="8">
        <v>0</v>
      </c>
      <c r="Z10" s="8">
        <v>5.0000000000000001E-4</v>
      </c>
      <c r="AA10" s="8">
        <v>4.0000000000000002E-4</v>
      </c>
      <c r="AB10" s="8">
        <v>4.0000000000000002E-4</v>
      </c>
      <c r="AC10" s="8">
        <v>2.0000000000000001E-4</v>
      </c>
      <c r="AD10" s="8">
        <v>2.0000000000000001E-4</v>
      </c>
      <c r="AE10" s="8">
        <v>2.0000000000000001E-4</v>
      </c>
      <c r="AF10" s="8">
        <v>1E-4</v>
      </c>
      <c r="AG10" s="8">
        <v>0</v>
      </c>
      <c r="AH10" s="8">
        <v>1E-4</v>
      </c>
      <c r="AI10" s="8">
        <v>0</v>
      </c>
      <c r="AJ10" s="8">
        <v>2.0000000000000001E-4</v>
      </c>
      <c r="AK10" s="8">
        <v>2.0000000000000001E-4</v>
      </c>
      <c r="AL10" s="8">
        <v>1E-4</v>
      </c>
      <c r="AM10" s="7">
        <v>2.9999999999999997E-4</v>
      </c>
      <c r="AN10" s="7">
        <v>1E-4</v>
      </c>
      <c r="AO10" s="7">
        <v>0</v>
      </c>
      <c r="AP10" s="7">
        <v>0</v>
      </c>
      <c r="AQ10" s="7">
        <v>0</v>
      </c>
      <c r="AR10" s="7">
        <v>1E-4</v>
      </c>
      <c r="AS10" s="7">
        <v>1E-4</v>
      </c>
      <c r="AT10" s="7">
        <v>1E-4</v>
      </c>
      <c r="AU10" s="7">
        <v>2.0000000000000001E-4</v>
      </c>
      <c r="AV10" s="7">
        <v>2.0000000000000001E-4</v>
      </c>
      <c r="AW10" s="7">
        <v>2.0000000000000001E-4</v>
      </c>
      <c r="AX10" s="7">
        <v>2.9999999999999997E-4</v>
      </c>
      <c r="AY10" s="7">
        <v>2.9999999999999997E-4</v>
      </c>
      <c r="AZ10" s="7">
        <v>2.0000000000000001E-4</v>
      </c>
      <c r="BA10" s="7">
        <v>2.9999999999999997E-4</v>
      </c>
      <c r="BB10" s="7">
        <v>2.9999999999999997E-4</v>
      </c>
      <c r="BC10" s="7">
        <v>2.9999999999999997E-4</v>
      </c>
      <c r="BD10" s="7">
        <v>2.9999999999999997E-4</v>
      </c>
      <c r="BE10" s="7">
        <f ca="1">IFERROR(VLOOKUP($A10,INDIRECT(#REF!&amp;"!$A$6:$C$200"),3,0),0)</f>
        <v>0</v>
      </c>
      <c r="BF10" s="7">
        <f ca="1">IFERROR(VLOOKUP($A10,INDIRECT(#REF!&amp;"!$A$6:$C$200"),3,0),0)</f>
        <v>0</v>
      </c>
      <c r="BG10" s="7">
        <f ca="1">IFERROR(VLOOKUP($A10,INDIRECT(#REF!&amp;"!$A$6:$C$200"),3,0),0)</f>
        <v>0</v>
      </c>
      <c r="BH10" s="8">
        <f ca="1">IFERROR(VLOOKUP($A10,INDIRECT(#REF!&amp;"!$A$6:$C$200"),3,0),0)</f>
        <v>0</v>
      </c>
      <c r="BI10" s="8">
        <f ca="1">IFERROR(VLOOKUP($A10,INDIRECT(#REF!&amp;"!$A$6:$C$200"),3,0),0)</f>
        <v>0</v>
      </c>
      <c r="BJ10" s="8">
        <f ca="1">IFERROR(VLOOKUP($A10,INDIRECT(#REF!&amp;"!$A$6:$C$200"),3,0),0)</f>
        <v>0</v>
      </c>
      <c r="BK10" s="8">
        <f ca="1">IFERROR(VLOOKUP($A10,INDIRECT(#REF!&amp;"!$A$6:$C$200"),3,0),0)</f>
        <v>0</v>
      </c>
      <c r="BL10" s="8">
        <f ca="1">IFERROR(VLOOKUP($A10,INDIRECT(#REF!&amp;"!$A$6:$C$200"),3,0),0)</f>
        <v>0</v>
      </c>
      <c r="BM10" s="8">
        <f ca="1">IFERROR(VLOOKUP($A10,INDIRECT(#REF!&amp;"!$A$6:$C$200"),3,0),0)</f>
        <v>0</v>
      </c>
      <c r="BN10" s="8">
        <f ca="1">IFERROR(VLOOKUP($A10,INDIRECT(#REF!&amp;"!$A$6:$C$200"),3,0),0)</f>
        <v>0</v>
      </c>
      <c r="BO10" s="8">
        <f ca="1">IFERROR(VLOOKUP($A10,INDIRECT(#REF!&amp;"!$A$6:$C$200"),3,0),0)</f>
        <v>0</v>
      </c>
      <c r="BP10" s="7">
        <f ca="1">IFERROR(VLOOKUP($A10,INDIRECT(#REF!&amp;"!$A$6:$C$200"),3,0),0)</f>
        <v>0</v>
      </c>
      <c r="BQ10" s="7">
        <f ca="1">IFERROR(VLOOKUP($A10,INDIRECT(#REF!&amp;"!$A$6:$C$200"),3,0),0)</f>
        <v>0</v>
      </c>
      <c r="BR10" s="7">
        <f ca="1">IFERROR(VLOOKUP($A10,INDIRECT(#REF!&amp;"!$A$6:$C$200"),3,0),0)</f>
        <v>0</v>
      </c>
      <c r="BS10" s="7">
        <f ca="1">IFERROR(VLOOKUP($A10,INDIRECT(#REF!&amp;"!$A$6:$C$200"),3,0),0)</f>
        <v>0</v>
      </c>
      <c r="BT10" s="7">
        <f ca="1">IFERROR(VLOOKUP($A10,INDIRECT(#REF!&amp;"!$A$6:$C$200"),3,0),0)</f>
        <v>0</v>
      </c>
      <c r="BU10" s="7">
        <f ca="1">IFERROR(VLOOKUP($A10,INDIRECT(#REF!&amp;"!$A$6:$C$200"),3,0),0)</f>
        <v>0</v>
      </c>
      <c r="BV10" s="7">
        <f ca="1">IFERROR(VLOOKUP($A10,INDIRECT(#REF!&amp;"!$A$6:$C$200"),3,0),0)</f>
        <v>0</v>
      </c>
      <c r="BW10" s="7">
        <f ca="1">IFERROR(VLOOKUP($A10,INDIRECT(#REF!&amp;"!$A$6:$C$200"),3,0),0)</f>
        <v>0</v>
      </c>
      <c r="BX10" s="7">
        <f ca="1">IFERROR(VLOOKUP($A10,INDIRECT(#REF!&amp;"!$A$6:$C$200"),3,0),0)</f>
        <v>0</v>
      </c>
      <c r="BY10" s="7">
        <f ca="1">IFERROR(VLOOKUP($A10,INDIRECT(#REF!&amp;"!$A$6:$C$200"),3,0),0)</f>
        <v>0</v>
      </c>
      <c r="BZ10" s="7">
        <f ca="1">IFERROR(VLOOKUP($A10,INDIRECT(#REF!&amp;"!$A$6:$C$200"),3,0),0)</f>
        <v>0</v>
      </c>
      <c r="CA10" s="7">
        <f ca="1">IFERROR(VLOOKUP($A10,INDIRECT(#REF!&amp;"!$A$6:$C$200"),3,0),0)</f>
        <v>0</v>
      </c>
      <c r="CB10" s="7">
        <f ca="1">IFERROR(VLOOKUP($A10,INDIRECT(#REF!&amp;"!$A$6:$C$200"),3,0),0)</f>
        <v>0</v>
      </c>
      <c r="CC10" s="7">
        <f ca="1">IFERROR(VLOOKUP($A10,INDIRECT(#REF!&amp;"!$A$6:$C$200"),3,0),0)</f>
        <v>0</v>
      </c>
      <c r="CD10" s="7" t="str">
        <f ca="1">IF(CD9="","",IFERROR(VLOOKUP($A10,INDIRECT(#REF!&amp;"!$A$6:$C$200"),3,0),0))</f>
        <v/>
      </c>
      <c r="CE10" s="7" t="str">
        <f ca="1">IF(CE9="","",IFERROR(VLOOKUP($A10,INDIRECT(#REF!&amp;"!$A$6:$C$200"),3,0),0))</f>
        <v/>
      </c>
      <c r="CF10" s="7" t="str">
        <f ca="1">IF(CF9="","",IFERROR(VLOOKUP($A10,INDIRECT(#REF!&amp;"!$A$6:$C$200"),3,0),0))</f>
        <v/>
      </c>
      <c r="CG10" s="7" t="str">
        <f ca="1">IF(CG9="","",IFERROR(VLOOKUP($A10,INDIRECT(#REF!&amp;"!$A$6:$C$200"),3,0),0))</f>
        <v/>
      </c>
      <c r="CH10" s="7" t="str">
        <f ca="1">IF(CH9="","",IFERROR(VLOOKUP($A10,INDIRECT(#REF!&amp;"!$A$6:$C$200"),3,0),0))</f>
        <v/>
      </c>
      <c r="CI10" s="7" t="str">
        <f ca="1">IF(CI9="","",IFERROR(VLOOKUP($A10,INDIRECT(#REF!&amp;"!$A$6:$C$200"),3,0),0))</f>
        <v/>
      </c>
      <c r="CJ10" s="7" t="str">
        <f ca="1">IF(CJ9="","",IFERROR(VLOOKUP($A10,INDIRECT(#REF!&amp;"!$A$6:$C$200"),3,0),0))</f>
        <v/>
      </c>
      <c r="CK10" s="7" t="str">
        <f ca="1">IF(CK9="","",IFERROR(VLOOKUP($A10,INDIRECT(#REF!&amp;"!$A$6:$C$200"),3,0),0))</f>
        <v/>
      </c>
      <c r="CL10" s="7" t="str">
        <f ca="1">IF(CL9="","",IFERROR(VLOOKUP($A10,INDIRECT(#REF!&amp;"!$A$6:$C$200"),3,0),0))</f>
        <v/>
      </c>
      <c r="CM10" s="7" t="str">
        <f ca="1">IF(CM9="","",IFERROR(VLOOKUP($A10,INDIRECT(#REF!&amp;"!$A$6:$C$200"),3,0),0))</f>
        <v/>
      </c>
      <c r="CN10" s="7" t="str">
        <f ca="1">IF(CN9="","",IFERROR(VLOOKUP($A10,INDIRECT(#REF!&amp;"!$A$6:$C$200"),3,0),0))</f>
        <v/>
      </c>
      <c r="CO10" s="7" t="str">
        <f ca="1">IF(CO9="","",IFERROR(VLOOKUP($A10,INDIRECT(#REF!&amp;"!$A$6:$C$200"),3,0),0))</f>
        <v/>
      </c>
      <c r="CP10" s="7" t="str">
        <f ca="1">IF(CP9="","",IFERROR(VLOOKUP($A10,INDIRECT(#REF!&amp;"!$A$6:$C$200"),3,0),0))</f>
        <v/>
      </c>
      <c r="CQ10" s="7" t="str">
        <f ca="1">IF(CQ9="","",IFERROR(VLOOKUP($A10,INDIRECT(#REF!&amp;"!$A$6:$C$200"),3,0),0))</f>
        <v/>
      </c>
      <c r="CR10" s="7" t="str">
        <f ca="1">IF(CR9="","",IFERROR(VLOOKUP($A10,INDIRECT(#REF!&amp;"!$A$6:$C$200"),3,0),0))</f>
        <v/>
      </c>
      <c r="CS10" s="7" t="str">
        <f ca="1">IF(CS9="","",IFERROR(VLOOKUP($A10,INDIRECT(#REF!&amp;"!$A$6:$C$200"),3,0),0))</f>
        <v/>
      </c>
      <c r="CT10" s="7" t="str">
        <f ca="1">IF(CT9="","",IFERROR(VLOOKUP($A10,INDIRECT(#REF!&amp;"!$A$6:$C$200"),3,0),0))</f>
        <v/>
      </c>
      <c r="CU10" s="7" t="str">
        <f ca="1">IF(CU9="","",IFERROR(VLOOKUP($A10,INDIRECT(#REF!&amp;"!$A$6:$C$200"),3,0),0))</f>
        <v/>
      </c>
      <c r="CV10" s="7" t="str">
        <f ca="1">IF(CV9="","",IFERROR(VLOOKUP($A10,INDIRECT(#REF!&amp;"!$A$6:$C$200"),3,0),0))</f>
        <v/>
      </c>
      <c r="CW10" s="7" t="str">
        <f ca="1">IF(CW9="","",IFERROR(VLOOKUP($A10,INDIRECT(#REF!&amp;"!$A$6:$C$200"),3,0),0))</f>
        <v/>
      </c>
      <c r="CX10" s="7" t="str">
        <f ca="1">IF(CX9="","",IFERROR(VLOOKUP($A10,INDIRECT(#REF!&amp;"!$A$6:$C$200"),3,0),0))</f>
        <v/>
      </c>
      <c r="CY10" s="7" t="str">
        <f ca="1">IF(CY9="","",IFERROR(VLOOKUP($A10,INDIRECT(#REF!&amp;"!$A$6:$C$200"),3,0),0))</f>
        <v/>
      </c>
      <c r="CZ10" s="7" t="str">
        <f ca="1">IF(CZ9="","",IFERROR(VLOOKUP($A10,INDIRECT(#REF!&amp;"!$A$6:$C$200"),3,0),0))</f>
        <v/>
      </c>
      <c r="DA10" s="7" t="str">
        <f ca="1">IF(DA9="","",IFERROR(VLOOKUP($A10,INDIRECT(#REF!&amp;"!$A$6:$C$200"),3,0),0))</f>
        <v/>
      </c>
      <c r="DB10" s="7" t="str">
        <f ca="1">IF(DB9="","",IFERROR(VLOOKUP($A10,INDIRECT(#REF!&amp;"!$A$6:$C$200"),3,0),0))</f>
        <v/>
      </c>
      <c r="DC10" s="7" t="str">
        <f ca="1">IF(DC9="","",IFERROR(VLOOKUP($A10,INDIRECT(#REF!&amp;"!$A$6:$C$200"),3,0),0))</f>
        <v/>
      </c>
      <c r="DD10" s="7" t="str">
        <f ca="1">IF(DD9="","",IFERROR(VLOOKUP($A10,INDIRECT(#REF!&amp;"!$A$6:$C$200"),3,0),0))</f>
        <v/>
      </c>
      <c r="DE10" s="7" t="str">
        <f ca="1">IF(DE9="","",IFERROR(VLOOKUP($A10,INDIRECT(#REF!&amp;"!$A$6:$C$200"),3,0),0))</f>
        <v/>
      </c>
      <c r="DF10" s="7" t="str">
        <f ca="1">IF(DF9="","",IFERROR(VLOOKUP($A10,INDIRECT(#REF!&amp;"!$A$6:$C$200"),3,0),0))</f>
        <v/>
      </c>
      <c r="DG10" s="7" t="str">
        <f ca="1">IF(DG9="","",IFERROR(VLOOKUP($A10,INDIRECT(#REF!&amp;"!$A$6:$C$200"),3,0),0))</f>
        <v/>
      </c>
      <c r="DH10" s="7" t="str">
        <f ca="1">IF(DH9="","",IFERROR(VLOOKUP($A10,INDIRECT(#REF!&amp;"!$A$6:$C$200"),3,0),0))</f>
        <v/>
      </c>
      <c r="DI10" s="7" t="str">
        <f ca="1">IF(DI9="","",IFERROR(VLOOKUP($A10,INDIRECT(#REF!&amp;"!$A$6:$C$200"),3,0),0))</f>
        <v/>
      </c>
      <c r="DJ10" s="7" t="str">
        <f ca="1">IF(DJ9="","",IFERROR(VLOOKUP($A10,INDIRECT(#REF!&amp;"!$A$6:$C$200"),3,0),0))</f>
        <v/>
      </c>
      <c r="DK10" s="7" t="str">
        <f ca="1">IF(DK9="","",IFERROR(VLOOKUP($A10,INDIRECT(#REF!&amp;"!$A$6:$C$200"),3,0),0))</f>
        <v/>
      </c>
    </row>
    <row r="11" spans="1:115">
      <c r="A11" s="6" t="s">
        <v>13</v>
      </c>
      <c r="B11" s="7">
        <v>3.3333333333333335E-5</v>
      </c>
      <c r="C11" s="7">
        <v>5.7142857142857148E-5</v>
      </c>
      <c r="D11" s="7">
        <v>1.4285714285714287E-5</v>
      </c>
      <c r="E11" s="7">
        <v>1.4285714285714287E-5</v>
      </c>
      <c r="F11" s="7">
        <v>0</v>
      </c>
      <c r="G11" s="7">
        <v>0</v>
      </c>
      <c r="H11" s="7">
        <f t="shared" ca="1" si="2"/>
        <v>0</v>
      </c>
      <c r="I11" s="7">
        <f t="shared" ca="1" si="3"/>
        <v>0</v>
      </c>
      <c r="J11" s="7">
        <f t="shared" ca="1" si="4"/>
        <v>0</v>
      </c>
      <c r="K11" s="7">
        <f t="shared" ca="1" si="0"/>
        <v>0</v>
      </c>
      <c r="L11" s="7">
        <f t="shared" ca="1" si="1"/>
        <v>0</v>
      </c>
      <c r="M11" s="8">
        <v>0</v>
      </c>
      <c r="N11" s="8">
        <v>0</v>
      </c>
      <c r="O11" s="8">
        <v>0</v>
      </c>
      <c r="P11" s="8">
        <v>0</v>
      </c>
      <c r="Q11" s="8">
        <v>1E-4</v>
      </c>
      <c r="R11" s="8">
        <v>1E-4</v>
      </c>
      <c r="S11" s="8">
        <v>0</v>
      </c>
      <c r="T11" s="8">
        <v>1E-4</v>
      </c>
      <c r="U11" s="8">
        <v>1E-4</v>
      </c>
      <c r="V11" s="8">
        <v>1E-4</v>
      </c>
      <c r="W11" s="8">
        <v>0</v>
      </c>
      <c r="X11" s="8">
        <v>0</v>
      </c>
      <c r="Y11" s="8">
        <v>1E-4</v>
      </c>
      <c r="Z11" s="8">
        <v>0</v>
      </c>
      <c r="AA11" s="8">
        <v>1E-4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1E-4</v>
      </c>
      <c r="AM11" s="7">
        <v>0</v>
      </c>
      <c r="AN11" s="7">
        <v>0</v>
      </c>
      <c r="AO11" s="7">
        <v>0</v>
      </c>
      <c r="AP11" s="7">
        <v>0</v>
      </c>
      <c r="AQ11" s="8">
        <v>0</v>
      </c>
      <c r="AR11" s="8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  <c r="AX11" s="7">
        <v>0</v>
      </c>
      <c r="AY11" s="7">
        <v>0</v>
      </c>
      <c r="AZ11" s="8">
        <v>0</v>
      </c>
      <c r="BA11" s="7">
        <v>0</v>
      </c>
      <c r="BB11" s="8">
        <v>0</v>
      </c>
      <c r="BC11" s="7">
        <v>0</v>
      </c>
      <c r="BD11" s="7">
        <v>0</v>
      </c>
      <c r="BE11" s="7">
        <f ca="1">IFERROR(VLOOKUP($A11,INDIRECT(#REF!&amp;"!$A$6:$C$200"),3,0),0)</f>
        <v>0</v>
      </c>
      <c r="BF11" s="7">
        <f ca="1">IFERROR(VLOOKUP($A11,INDIRECT(#REF!&amp;"!$A$6:$C$200"),3,0),0)</f>
        <v>0</v>
      </c>
      <c r="BG11" s="7">
        <f ca="1">IFERROR(VLOOKUP($A11,INDIRECT(#REF!&amp;"!$A$6:$C$200"),3,0),0)</f>
        <v>0</v>
      </c>
      <c r="BH11" s="8">
        <f ca="1">IFERROR(VLOOKUP($A11,INDIRECT(#REF!&amp;"!$A$6:$C$200"),3,0),0)</f>
        <v>0</v>
      </c>
      <c r="BI11" s="8">
        <f ca="1">IFERROR(VLOOKUP($A11,INDIRECT(#REF!&amp;"!$A$6:$C$200"),3,0),0)</f>
        <v>0</v>
      </c>
      <c r="BJ11" s="8">
        <f ca="1">IFERROR(VLOOKUP($A11,INDIRECT(#REF!&amp;"!$A$6:$C$200"),3,0),0)</f>
        <v>0</v>
      </c>
      <c r="BK11" s="8">
        <f ca="1">IFERROR(VLOOKUP($A11,INDIRECT(#REF!&amp;"!$A$6:$C$200"),3,0),0)</f>
        <v>0</v>
      </c>
      <c r="BL11" s="8">
        <f ca="1">IFERROR(VLOOKUP($A11,INDIRECT(#REF!&amp;"!$A$6:$C$200"),3,0),0)</f>
        <v>0</v>
      </c>
      <c r="BM11" s="8">
        <f ca="1">IFERROR(VLOOKUP($A11,INDIRECT(#REF!&amp;"!$A$6:$C$200"),3,0),0)</f>
        <v>0</v>
      </c>
      <c r="BN11" s="8">
        <f ca="1">IFERROR(VLOOKUP($A11,INDIRECT(#REF!&amp;"!$A$6:$C$200"),3,0),0)</f>
        <v>0</v>
      </c>
      <c r="BO11" s="8">
        <f ca="1">IFERROR(VLOOKUP($A11,INDIRECT(#REF!&amp;"!$A$6:$C$200"),3,0),0)</f>
        <v>0</v>
      </c>
      <c r="BP11" s="7">
        <f ca="1">IFERROR(VLOOKUP($A11,INDIRECT(#REF!&amp;"!$A$6:$C$200"),3,0),0)</f>
        <v>0</v>
      </c>
      <c r="BQ11" s="7">
        <f ca="1">IFERROR(VLOOKUP($A11,INDIRECT(#REF!&amp;"!$A$6:$C$200"),3,0),0)</f>
        <v>0</v>
      </c>
      <c r="BR11" s="7">
        <f ca="1">IFERROR(VLOOKUP($A11,INDIRECT(#REF!&amp;"!$A$6:$C$200"),3,0),0)</f>
        <v>0</v>
      </c>
      <c r="BS11" s="7">
        <f ca="1">IFERROR(VLOOKUP($A11,INDIRECT(#REF!&amp;"!$A$6:$C$200"),3,0),0)</f>
        <v>0</v>
      </c>
      <c r="BT11" s="7">
        <f ca="1">IFERROR(VLOOKUP($A11,INDIRECT(#REF!&amp;"!$A$6:$C$200"),3,0),0)</f>
        <v>0</v>
      </c>
      <c r="BU11" s="7">
        <f ca="1">IFERROR(VLOOKUP($A11,INDIRECT(#REF!&amp;"!$A$6:$C$200"),3,0),0)</f>
        <v>0</v>
      </c>
      <c r="BV11" s="7">
        <f ca="1">IFERROR(VLOOKUP($A11,INDIRECT(#REF!&amp;"!$A$6:$C$200"),3,0),0)</f>
        <v>0</v>
      </c>
      <c r="BW11" s="7">
        <f ca="1">IFERROR(VLOOKUP($A11,INDIRECT(#REF!&amp;"!$A$6:$C$200"),3,0),0)</f>
        <v>0</v>
      </c>
      <c r="BX11" s="7">
        <f ca="1">IFERROR(VLOOKUP($A11,INDIRECT(#REF!&amp;"!$A$6:$C$200"),3,0),0)</f>
        <v>0</v>
      </c>
      <c r="BY11" s="7">
        <f ca="1">IFERROR(VLOOKUP($A11,INDIRECT(#REF!&amp;"!$A$6:$C$200"),3,0),0)</f>
        <v>0</v>
      </c>
      <c r="BZ11" s="7">
        <f ca="1">IFERROR(VLOOKUP($A11,INDIRECT(#REF!&amp;"!$A$6:$C$200"),3,0),0)</f>
        <v>0</v>
      </c>
      <c r="CA11" s="7">
        <f ca="1">IFERROR(VLOOKUP($A11,INDIRECT(#REF!&amp;"!$A$6:$C$200"),3,0),0)</f>
        <v>0</v>
      </c>
      <c r="CB11" s="7">
        <f ca="1">IFERROR(VLOOKUP($A11,INDIRECT(#REF!&amp;"!$A$6:$C$200"),3,0),0)</f>
        <v>0</v>
      </c>
      <c r="CC11" s="7">
        <f ca="1">IFERROR(VLOOKUP($A11,INDIRECT(#REF!&amp;"!$A$6:$C$200"),3,0),0)</f>
        <v>0</v>
      </c>
      <c r="CD11" s="7" t="str">
        <f ca="1">IF(CD10="","",IFERROR(VLOOKUP($A11,INDIRECT(#REF!&amp;"!$A$6:$C$200"),3,0),0))</f>
        <v/>
      </c>
      <c r="CE11" s="7" t="str">
        <f ca="1">IF(CE10="","",IFERROR(VLOOKUP($A11,INDIRECT(#REF!&amp;"!$A$6:$C$200"),3,0),0))</f>
        <v/>
      </c>
      <c r="CF11" s="7" t="str">
        <f ca="1">IF(CF10="","",IFERROR(VLOOKUP($A11,INDIRECT(#REF!&amp;"!$A$6:$C$200"),3,0),0))</f>
        <v/>
      </c>
      <c r="CG11" s="7" t="str">
        <f ca="1">IF(CG10="","",IFERROR(VLOOKUP($A11,INDIRECT(#REF!&amp;"!$A$6:$C$200"),3,0),0))</f>
        <v/>
      </c>
      <c r="CH11" s="7" t="str">
        <f ca="1">IF(CH10="","",IFERROR(VLOOKUP($A11,INDIRECT(#REF!&amp;"!$A$6:$C$200"),3,0),0))</f>
        <v/>
      </c>
      <c r="CI11" s="7" t="str">
        <f ca="1">IF(CI10="","",IFERROR(VLOOKUP($A11,INDIRECT(#REF!&amp;"!$A$6:$C$200"),3,0),0))</f>
        <v/>
      </c>
      <c r="CJ11" s="7" t="str">
        <f ca="1">IF(CJ10="","",IFERROR(VLOOKUP($A11,INDIRECT(#REF!&amp;"!$A$6:$C$200"),3,0),0))</f>
        <v/>
      </c>
      <c r="CK11" s="7" t="str">
        <f ca="1">IF(CK10="","",IFERROR(VLOOKUP($A11,INDIRECT(#REF!&amp;"!$A$6:$C$200"),3,0),0))</f>
        <v/>
      </c>
      <c r="CL11" s="7" t="str">
        <f ca="1">IF(CL10="","",IFERROR(VLOOKUP($A11,INDIRECT(#REF!&amp;"!$A$6:$C$200"),3,0),0))</f>
        <v/>
      </c>
      <c r="CM11" s="7" t="str">
        <f ca="1">IF(CM10="","",IFERROR(VLOOKUP($A11,INDIRECT(#REF!&amp;"!$A$6:$C$200"),3,0),0))</f>
        <v/>
      </c>
      <c r="CN11" s="7" t="str">
        <f ca="1">IF(CN10="","",IFERROR(VLOOKUP($A11,INDIRECT(#REF!&amp;"!$A$6:$C$200"),3,0),0))</f>
        <v/>
      </c>
      <c r="CO11" s="7" t="str">
        <f ca="1">IF(CO10="","",IFERROR(VLOOKUP($A11,INDIRECT(#REF!&amp;"!$A$6:$C$200"),3,0),0))</f>
        <v/>
      </c>
      <c r="CP11" s="7" t="str">
        <f ca="1">IF(CP10="","",IFERROR(VLOOKUP($A11,INDIRECT(#REF!&amp;"!$A$6:$C$200"),3,0),0))</f>
        <v/>
      </c>
      <c r="CQ11" s="7" t="str">
        <f ca="1">IF(CQ10="","",IFERROR(VLOOKUP($A11,INDIRECT(#REF!&amp;"!$A$6:$C$200"),3,0),0))</f>
        <v/>
      </c>
      <c r="CR11" s="7" t="str">
        <f ca="1">IF(CR10="","",IFERROR(VLOOKUP($A11,INDIRECT(#REF!&amp;"!$A$6:$C$200"),3,0),0))</f>
        <v/>
      </c>
      <c r="CS11" s="7" t="str">
        <f ca="1">IF(CS10="","",IFERROR(VLOOKUP($A11,INDIRECT(#REF!&amp;"!$A$6:$C$200"),3,0),0))</f>
        <v/>
      </c>
      <c r="CT11" s="7" t="str">
        <f ca="1">IF(CT10="","",IFERROR(VLOOKUP($A11,INDIRECT(#REF!&amp;"!$A$6:$C$200"),3,0),0))</f>
        <v/>
      </c>
      <c r="CU11" s="7" t="str">
        <f ca="1">IF(CU10="","",IFERROR(VLOOKUP($A11,INDIRECT(#REF!&amp;"!$A$6:$C$200"),3,0),0))</f>
        <v/>
      </c>
      <c r="CV11" s="7" t="str">
        <f ca="1">IF(CV10="","",IFERROR(VLOOKUP($A11,INDIRECT(#REF!&amp;"!$A$6:$C$200"),3,0),0))</f>
        <v/>
      </c>
      <c r="CW11" s="7" t="str">
        <f ca="1">IF(CW10="","",IFERROR(VLOOKUP($A11,INDIRECT(#REF!&amp;"!$A$6:$C$200"),3,0),0))</f>
        <v/>
      </c>
      <c r="CX11" s="7" t="str">
        <f ca="1">IF(CX10="","",IFERROR(VLOOKUP($A11,INDIRECT(#REF!&amp;"!$A$6:$C$200"),3,0),0))</f>
        <v/>
      </c>
      <c r="CY11" s="7" t="str">
        <f ca="1">IF(CY10="","",IFERROR(VLOOKUP($A11,INDIRECT(#REF!&amp;"!$A$6:$C$200"),3,0),0))</f>
        <v/>
      </c>
      <c r="CZ11" s="7" t="str">
        <f ca="1">IF(CZ10="","",IFERROR(VLOOKUP($A11,INDIRECT(#REF!&amp;"!$A$6:$C$200"),3,0),0))</f>
        <v/>
      </c>
      <c r="DA11" s="7" t="str">
        <f ca="1">IF(DA10="","",IFERROR(VLOOKUP($A11,INDIRECT(#REF!&amp;"!$A$6:$C$200"),3,0),0))</f>
        <v/>
      </c>
      <c r="DB11" s="7" t="str">
        <f ca="1">IF(DB10="","",IFERROR(VLOOKUP($A11,INDIRECT(#REF!&amp;"!$A$6:$C$200"),3,0),0))</f>
        <v/>
      </c>
      <c r="DC11" s="7" t="str">
        <f ca="1">IF(DC10="","",IFERROR(VLOOKUP($A11,INDIRECT(#REF!&amp;"!$A$6:$C$200"),3,0),0))</f>
        <v/>
      </c>
      <c r="DD11" s="7" t="str">
        <f ca="1">IF(DD10="","",IFERROR(VLOOKUP($A11,INDIRECT(#REF!&amp;"!$A$6:$C$200"),3,0),0))</f>
        <v/>
      </c>
      <c r="DE11" s="7" t="str">
        <f ca="1">IF(DE10="","",IFERROR(VLOOKUP($A11,INDIRECT(#REF!&amp;"!$A$6:$C$200"),3,0),0))</f>
        <v/>
      </c>
      <c r="DF11" s="7" t="str">
        <f ca="1">IF(DF10="","",IFERROR(VLOOKUP($A11,INDIRECT(#REF!&amp;"!$A$6:$C$200"),3,0),0))</f>
        <v/>
      </c>
      <c r="DG11" s="7" t="str">
        <f ca="1">IF(DG10="","",IFERROR(VLOOKUP($A11,INDIRECT(#REF!&amp;"!$A$6:$C$200"),3,0),0))</f>
        <v/>
      </c>
      <c r="DH11" s="7" t="str">
        <f ca="1">IF(DH10="","",IFERROR(VLOOKUP($A11,INDIRECT(#REF!&amp;"!$A$6:$C$200"),3,0),0))</f>
        <v/>
      </c>
      <c r="DI11" s="7" t="str">
        <f ca="1">IF(DI10="","",IFERROR(VLOOKUP($A11,INDIRECT(#REF!&amp;"!$A$6:$C$200"),3,0),0))</f>
        <v/>
      </c>
      <c r="DJ11" s="7" t="str">
        <f ca="1">IF(DJ10="","",IFERROR(VLOOKUP($A11,INDIRECT(#REF!&amp;"!$A$6:$C$200"),3,0),0))</f>
        <v/>
      </c>
      <c r="DK11" s="7" t="str">
        <f ca="1">IF(DK10="","",IFERROR(VLOOKUP($A11,INDIRECT(#REF!&amp;"!$A$6:$C$200"),3,0),0))</f>
        <v/>
      </c>
    </row>
    <row r="12" spans="1:115">
      <c r="A12" s="6" t="s">
        <v>14</v>
      </c>
      <c r="B12" s="7">
        <v>2.5000000000000001E-4</v>
      </c>
      <c r="C12" s="7">
        <v>2.0000000000000001E-4</v>
      </c>
      <c r="D12" s="7">
        <v>4.0000000000000002E-4</v>
      </c>
      <c r="E12" s="7">
        <v>3.1428571428571432E-4</v>
      </c>
      <c r="F12" s="7">
        <v>2.0000000000000001E-4</v>
      </c>
      <c r="G12" s="7">
        <v>1.8571428571428574E-4</v>
      </c>
      <c r="H12" s="7">
        <f t="shared" ca="1" si="2"/>
        <v>5.7142857142857148E-5</v>
      </c>
      <c r="I12" s="7">
        <f t="shared" ca="1" si="3"/>
        <v>0</v>
      </c>
      <c r="J12" s="7">
        <f t="shared" ca="1" si="4"/>
        <v>0</v>
      </c>
      <c r="K12" s="7">
        <f t="shared" ca="1" si="0"/>
        <v>0</v>
      </c>
      <c r="L12" s="7">
        <f t="shared" ca="1" si="1"/>
        <v>0</v>
      </c>
      <c r="M12" s="8">
        <v>4.0000000000000002E-4</v>
      </c>
      <c r="N12" s="8">
        <v>4.0000000000000002E-4</v>
      </c>
      <c r="O12" s="8">
        <v>1E-4</v>
      </c>
      <c r="P12" s="8">
        <v>5.9999999999999995E-4</v>
      </c>
      <c r="Q12" s="8">
        <v>0</v>
      </c>
      <c r="R12" s="8">
        <v>0</v>
      </c>
      <c r="S12" s="8">
        <v>2.0000000000000001E-4</v>
      </c>
      <c r="T12" s="8">
        <v>2.0000000000000001E-4</v>
      </c>
      <c r="U12" s="8">
        <v>2.9999999999999997E-4</v>
      </c>
      <c r="V12" s="8">
        <v>2.0000000000000001E-4</v>
      </c>
      <c r="W12" s="8">
        <v>1E-4</v>
      </c>
      <c r="X12" s="8">
        <v>1E-4</v>
      </c>
      <c r="Y12" s="8">
        <v>2.9999999999999997E-4</v>
      </c>
      <c r="Z12" s="8">
        <v>4.0000000000000002E-4</v>
      </c>
      <c r="AA12" s="8">
        <v>4.0000000000000002E-4</v>
      </c>
      <c r="AB12" s="8">
        <v>4.0000000000000002E-4</v>
      </c>
      <c r="AC12" s="8">
        <v>5.0000000000000001E-4</v>
      </c>
      <c r="AD12" s="8">
        <v>5.9999999999999995E-4</v>
      </c>
      <c r="AE12" s="8">
        <v>2.0000000000000001E-4</v>
      </c>
      <c r="AF12" s="8">
        <v>2.9999999999999997E-4</v>
      </c>
      <c r="AG12" s="8">
        <v>2.9999999999999997E-4</v>
      </c>
      <c r="AH12" s="8">
        <v>4.0000000000000002E-4</v>
      </c>
      <c r="AI12" s="8">
        <v>2.0000000000000001E-4</v>
      </c>
      <c r="AJ12" s="8">
        <v>2.9999999999999997E-4</v>
      </c>
      <c r="AK12" s="8">
        <v>2.0000000000000001E-4</v>
      </c>
      <c r="AL12" s="8">
        <v>4.0000000000000002E-4</v>
      </c>
      <c r="AM12" s="7">
        <v>4.0000000000000002E-4</v>
      </c>
      <c r="AN12" s="7">
        <v>2.0000000000000001E-4</v>
      </c>
      <c r="AO12" s="7">
        <v>1E-4</v>
      </c>
      <c r="AP12" s="7">
        <v>1E-4</v>
      </c>
      <c r="AQ12" s="7">
        <v>2.0000000000000001E-4</v>
      </c>
      <c r="AR12" s="7">
        <v>2.0000000000000001E-4</v>
      </c>
      <c r="AS12" s="7">
        <v>2.0000000000000001E-4</v>
      </c>
      <c r="AT12" s="7">
        <v>4.0000000000000002E-4</v>
      </c>
      <c r="AU12" s="7">
        <v>2.9999999999999997E-4</v>
      </c>
      <c r="AV12" s="7">
        <v>2.0000000000000001E-4</v>
      </c>
      <c r="AW12" s="7">
        <v>2.0000000000000001E-4</v>
      </c>
      <c r="AX12" s="7">
        <v>1E-4</v>
      </c>
      <c r="AY12" s="7">
        <v>2.0000000000000001E-4</v>
      </c>
      <c r="AZ12" s="7">
        <v>1E-4</v>
      </c>
      <c r="BA12" s="7">
        <v>2.0000000000000001E-4</v>
      </c>
      <c r="BB12" s="7">
        <v>2.0000000000000001E-4</v>
      </c>
      <c r="BC12" s="7">
        <v>1E-4</v>
      </c>
      <c r="BD12" s="7">
        <v>1E-4</v>
      </c>
      <c r="BE12" s="7">
        <f ca="1">IFERROR(VLOOKUP($A12,INDIRECT(#REF!&amp;"!$A$6:$C$200"),3,0),0)</f>
        <v>0</v>
      </c>
      <c r="BF12" s="7">
        <f ca="1">IFERROR(VLOOKUP($A12,INDIRECT(#REF!&amp;"!$A$6:$C$200"),3,0),0)</f>
        <v>0</v>
      </c>
      <c r="BG12" s="7">
        <f ca="1">IFERROR(VLOOKUP($A12,INDIRECT(#REF!&amp;"!$A$6:$C$200"),3,0),0)</f>
        <v>0</v>
      </c>
      <c r="BH12" s="8">
        <f ca="1">IFERROR(VLOOKUP($A12,INDIRECT(#REF!&amp;"!$A$6:$C$200"),3,0),0)</f>
        <v>0</v>
      </c>
      <c r="BI12" s="8">
        <f ca="1">IFERROR(VLOOKUP($A12,INDIRECT(#REF!&amp;"!$A$6:$C$200"),3,0),0)</f>
        <v>0</v>
      </c>
      <c r="BJ12" s="8">
        <f ca="1">IFERROR(VLOOKUP($A12,INDIRECT(#REF!&amp;"!$A$6:$C$200"),3,0),0)</f>
        <v>0</v>
      </c>
      <c r="BK12" s="8">
        <f ca="1">IFERROR(VLOOKUP($A12,INDIRECT(#REF!&amp;"!$A$6:$C$200"),3,0),0)</f>
        <v>0</v>
      </c>
      <c r="BL12" s="8">
        <f ca="1">IFERROR(VLOOKUP($A12,INDIRECT(#REF!&amp;"!$A$6:$C$200"),3,0),0)</f>
        <v>0</v>
      </c>
      <c r="BM12" s="8">
        <f ca="1">IFERROR(VLOOKUP($A12,INDIRECT(#REF!&amp;"!$A$6:$C$200"),3,0),0)</f>
        <v>0</v>
      </c>
      <c r="BN12" s="8">
        <f ca="1">IFERROR(VLOOKUP($A12,INDIRECT(#REF!&amp;"!$A$6:$C$200"),3,0),0)</f>
        <v>0</v>
      </c>
      <c r="BO12" s="8">
        <f ca="1">IFERROR(VLOOKUP($A12,INDIRECT(#REF!&amp;"!$A$6:$C$200"),3,0),0)</f>
        <v>0</v>
      </c>
      <c r="BP12" s="7">
        <f ca="1">IFERROR(VLOOKUP($A12,INDIRECT(#REF!&amp;"!$A$6:$C$200"),3,0),0)</f>
        <v>0</v>
      </c>
      <c r="BQ12" s="7">
        <f ca="1">IFERROR(VLOOKUP($A12,INDIRECT(#REF!&amp;"!$A$6:$C$200"),3,0),0)</f>
        <v>0</v>
      </c>
      <c r="BR12" s="7">
        <f ca="1">IFERROR(VLOOKUP($A12,INDIRECT(#REF!&amp;"!$A$6:$C$200"),3,0),0)</f>
        <v>0</v>
      </c>
      <c r="BS12" s="7">
        <f ca="1">IFERROR(VLOOKUP($A12,INDIRECT(#REF!&amp;"!$A$6:$C$200"),3,0),0)</f>
        <v>0</v>
      </c>
      <c r="BT12" s="7">
        <f ca="1">IFERROR(VLOOKUP($A12,INDIRECT(#REF!&amp;"!$A$6:$C$200"),3,0),0)</f>
        <v>0</v>
      </c>
      <c r="BU12" s="7">
        <f ca="1">IFERROR(VLOOKUP($A12,INDIRECT(#REF!&amp;"!$A$6:$C$200"),3,0),0)</f>
        <v>0</v>
      </c>
      <c r="BV12" s="7">
        <f ca="1">IFERROR(VLOOKUP($A12,INDIRECT(#REF!&amp;"!$A$6:$C$200"),3,0),0)</f>
        <v>0</v>
      </c>
      <c r="BW12" s="7">
        <f ca="1">IFERROR(VLOOKUP($A12,INDIRECT(#REF!&amp;"!$A$6:$C$200"),3,0),0)</f>
        <v>0</v>
      </c>
      <c r="BX12" s="7">
        <f ca="1">IFERROR(VLOOKUP($A12,INDIRECT(#REF!&amp;"!$A$6:$C$200"),3,0),0)</f>
        <v>0</v>
      </c>
      <c r="BY12" s="7">
        <f ca="1">IFERROR(VLOOKUP($A12,INDIRECT(#REF!&amp;"!$A$6:$C$200"),3,0),0)</f>
        <v>0</v>
      </c>
      <c r="BZ12" s="7">
        <f ca="1">IFERROR(VLOOKUP($A12,INDIRECT(#REF!&amp;"!$A$6:$C$200"),3,0),0)</f>
        <v>0</v>
      </c>
      <c r="CA12" s="7">
        <f ca="1">IFERROR(VLOOKUP($A12,INDIRECT(#REF!&amp;"!$A$6:$C$200"),3,0),0)</f>
        <v>0</v>
      </c>
      <c r="CB12" s="7">
        <f ca="1">IFERROR(VLOOKUP($A12,INDIRECT(#REF!&amp;"!$A$6:$C$200"),3,0),0)</f>
        <v>0</v>
      </c>
      <c r="CC12" s="7">
        <f ca="1">IFERROR(VLOOKUP($A12,INDIRECT(#REF!&amp;"!$A$6:$C$200"),3,0),0)</f>
        <v>0</v>
      </c>
      <c r="CD12" s="7" t="str">
        <f ca="1">IF(CD11="","",IFERROR(VLOOKUP($A12,INDIRECT(#REF!&amp;"!$A$6:$C$200"),3,0),0))</f>
        <v/>
      </c>
      <c r="CE12" s="7" t="str">
        <f ca="1">IF(CE11="","",IFERROR(VLOOKUP($A12,INDIRECT(#REF!&amp;"!$A$6:$C$200"),3,0),0))</f>
        <v/>
      </c>
      <c r="CF12" s="7" t="str">
        <f ca="1">IF(CF11="","",IFERROR(VLOOKUP($A12,INDIRECT(#REF!&amp;"!$A$6:$C$200"),3,0),0))</f>
        <v/>
      </c>
      <c r="CG12" s="7" t="str">
        <f ca="1">IF(CG11="","",IFERROR(VLOOKUP($A12,INDIRECT(#REF!&amp;"!$A$6:$C$200"),3,0),0))</f>
        <v/>
      </c>
      <c r="CH12" s="7" t="str">
        <f ca="1">IF(CH11="","",IFERROR(VLOOKUP($A12,INDIRECT(#REF!&amp;"!$A$6:$C$200"),3,0),0))</f>
        <v/>
      </c>
      <c r="CI12" s="7" t="str">
        <f ca="1">IF(CI11="","",IFERROR(VLOOKUP($A12,INDIRECT(#REF!&amp;"!$A$6:$C$200"),3,0),0))</f>
        <v/>
      </c>
      <c r="CJ12" s="7" t="str">
        <f ca="1">IF(CJ11="","",IFERROR(VLOOKUP($A12,INDIRECT(#REF!&amp;"!$A$6:$C$200"),3,0),0))</f>
        <v/>
      </c>
      <c r="CK12" s="7" t="str">
        <f ca="1">IF(CK11="","",IFERROR(VLOOKUP($A12,INDIRECT(#REF!&amp;"!$A$6:$C$200"),3,0),0))</f>
        <v/>
      </c>
      <c r="CL12" s="7" t="str">
        <f ca="1">IF(CL11="","",IFERROR(VLOOKUP($A12,INDIRECT(#REF!&amp;"!$A$6:$C$200"),3,0),0))</f>
        <v/>
      </c>
      <c r="CM12" s="7" t="str">
        <f ca="1">IF(CM11="","",IFERROR(VLOOKUP($A12,INDIRECT(#REF!&amp;"!$A$6:$C$200"),3,0),0))</f>
        <v/>
      </c>
      <c r="CN12" s="7" t="str">
        <f ca="1">IF(CN11="","",IFERROR(VLOOKUP($A12,INDIRECT(#REF!&amp;"!$A$6:$C$200"),3,0),0))</f>
        <v/>
      </c>
      <c r="CO12" s="7" t="str">
        <f ca="1">IF(CO11="","",IFERROR(VLOOKUP($A12,INDIRECT(#REF!&amp;"!$A$6:$C$200"),3,0),0))</f>
        <v/>
      </c>
      <c r="CP12" s="7" t="str">
        <f ca="1">IF(CP11="","",IFERROR(VLOOKUP($A12,INDIRECT(#REF!&amp;"!$A$6:$C$200"),3,0),0))</f>
        <v/>
      </c>
      <c r="CQ12" s="7" t="str">
        <f ca="1">IF(CQ11="","",IFERROR(VLOOKUP($A12,INDIRECT(#REF!&amp;"!$A$6:$C$200"),3,0),0))</f>
        <v/>
      </c>
      <c r="CR12" s="7" t="str">
        <f ca="1">IF(CR11="","",IFERROR(VLOOKUP($A12,INDIRECT(#REF!&amp;"!$A$6:$C$200"),3,0),0))</f>
        <v/>
      </c>
      <c r="CS12" s="7" t="str">
        <f ca="1">IF(CS11="","",IFERROR(VLOOKUP($A12,INDIRECT(#REF!&amp;"!$A$6:$C$200"),3,0),0))</f>
        <v/>
      </c>
      <c r="CT12" s="7" t="str">
        <f ca="1">IF(CT11="","",IFERROR(VLOOKUP($A12,INDIRECT(#REF!&amp;"!$A$6:$C$200"),3,0),0))</f>
        <v/>
      </c>
      <c r="CU12" s="7" t="str">
        <f ca="1">IF(CU11="","",IFERROR(VLOOKUP($A12,INDIRECT(#REF!&amp;"!$A$6:$C$200"),3,0),0))</f>
        <v/>
      </c>
      <c r="CV12" s="7" t="str">
        <f ca="1">IF(CV11="","",IFERROR(VLOOKUP($A12,INDIRECT(#REF!&amp;"!$A$6:$C$200"),3,0),0))</f>
        <v/>
      </c>
      <c r="CW12" s="7" t="str">
        <f ca="1">IF(CW11="","",IFERROR(VLOOKUP($A12,INDIRECT(#REF!&amp;"!$A$6:$C$200"),3,0),0))</f>
        <v/>
      </c>
      <c r="CX12" s="7" t="str">
        <f ca="1">IF(CX11="","",IFERROR(VLOOKUP($A12,INDIRECT(#REF!&amp;"!$A$6:$C$200"),3,0),0))</f>
        <v/>
      </c>
      <c r="CY12" s="7" t="str">
        <f ca="1">IF(CY11="","",IFERROR(VLOOKUP($A12,INDIRECT(#REF!&amp;"!$A$6:$C$200"),3,0),0))</f>
        <v/>
      </c>
      <c r="CZ12" s="7" t="str">
        <f ca="1">IF(CZ11="","",IFERROR(VLOOKUP($A12,INDIRECT(#REF!&amp;"!$A$6:$C$200"),3,0),0))</f>
        <v/>
      </c>
      <c r="DA12" s="7" t="str">
        <f ca="1">IF(DA11="","",IFERROR(VLOOKUP($A12,INDIRECT(#REF!&amp;"!$A$6:$C$200"),3,0),0))</f>
        <v/>
      </c>
      <c r="DB12" s="7" t="str">
        <f ca="1">IF(DB11="","",IFERROR(VLOOKUP($A12,INDIRECT(#REF!&amp;"!$A$6:$C$200"),3,0),0))</f>
        <v/>
      </c>
      <c r="DC12" s="7" t="str">
        <f ca="1">IF(DC11="","",IFERROR(VLOOKUP($A12,INDIRECT(#REF!&amp;"!$A$6:$C$200"),3,0),0))</f>
        <v/>
      </c>
      <c r="DD12" s="7" t="str">
        <f ca="1">IF(DD11="","",IFERROR(VLOOKUP($A12,INDIRECT(#REF!&amp;"!$A$6:$C$200"),3,0),0))</f>
        <v/>
      </c>
      <c r="DE12" s="7" t="str">
        <f ca="1">IF(DE11="","",IFERROR(VLOOKUP($A12,INDIRECT(#REF!&amp;"!$A$6:$C$200"),3,0),0))</f>
        <v/>
      </c>
      <c r="DF12" s="7" t="str">
        <f ca="1">IF(DF11="","",IFERROR(VLOOKUP($A12,INDIRECT(#REF!&amp;"!$A$6:$C$200"),3,0),0))</f>
        <v/>
      </c>
      <c r="DG12" s="7" t="str">
        <f ca="1">IF(DG11="","",IFERROR(VLOOKUP($A12,INDIRECT(#REF!&amp;"!$A$6:$C$200"),3,0),0))</f>
        <v/>
      </c>
      <c r="DH12" s="7" t="str">
        <f ca="1">IF(DH11="","",IFERROR(VLOOKUP($A12,INDIRECT(#REF!&amp;"!$A$6:$C$200"),3,0),0))</f>
        <v/>
      </c>
      <c r="DI12" s="7" t="str">
        <f ca="1">IF(DI11="","",IFERROR(VLOOKUP($A12,INDIRECT(#REF!&amp;"!$A$6:$C$200"),3,0),0))</f>
        <v/>
      </c>
      <c r="DJ12" s="7" t="str">
        <f ca="1">IF(DJ11="","",IFERROR(VLOOKUP($A12,INDIRECT(#REF!&amp;"!$A$6:$C$200"),3,0),0))</f>
        <v/>
      </c>
      <c r="DK12" s="7" t="str">
        <f ca="1">IF(DK11="","",IFERROR(VLOOKUP($A12,INDIRECT(#REF!&amp;"!$A$6:$C$200"),3,0),0))</f>
        <v/>
      </c>
    </row>
    <row r="13" spans="1:115">
      <c r="A13" s="6" t="s">
        <v>15</v>
      </c>
      <c r="B13" s="7">
        <v>2.9999999999999997E-4</v>
      </c>
      <c r="C13" s="7">
        <v>3.1428571428571432E-4</v>
      </c>
      <c r="D13" s="7">
        <v>8.5714285714285726E-5</v>
      </c>
      <c r="E13" s="7">
        <v>1.4285714285714287E-5</v>
      </c>
      <c r="F13" s="7">
        <v>1.4285714285714287E-5</v>
      </c>
      <c r="G13" s="7">
        <v>4.2857142857142863E-5</v>
      </c>
      <c r="H13" s="7">
        <f t="shared" ca="1" si="2"/>
        <v>1.4285714285714287E-5</v>
      </c>
      <c r="I13" s="7">
        <f t="shared" ca="1" si="3"/>
        <v>0</v>
      </c>
      <c r="J13" s="7">
        <f t="shared" ca="1" si="4"/>
        <v>0</v>
      </c>
      <c r="K13" s="7">
        <f t="shared" ca="1" si="0"/>
        <v>0</v>
      </c>
      <c r="L13" s="7">
        <f t="shared" ca="1" si="1"/>
        <v>0</v>
      </c>
      <c r="M13" s="8">
        <v>5.9999999999999995E-4</v>
      </c>
      <c r="N13" s="8">
        <v>0</v>
      </c>
      <c r="O13" s="8">
        <v>1E-4</v>
      </c>
      <c r="P13" s="8">
        <v>2.0000000000000001E-4</v>
      </c>
      <c r="Q13" s="8">
        <v>5.9999999999999995E-4</v>
      </c>
      <c r="R13" s="8">
        <v>2.9999999999999997E-4</v>
      </c>
      <c r="S13" s="8">
        <v>8.0000000000000004E-4</v>
      </c>
      <c r="T13" s="8">
        <v>4.0000000000000002E-4</v>
      </c>
      <c r="U13" s="8">
        <v>4.0000000000000002E-4</v>
      </c>
      <c r="V13" s="8">
        <v>2.0000000000000001E-4</v>
      </c>
      <c r="W13" s="8">
        <v>1E-4</v>
      </c>
      <c r="X13" s="8">
        <v>1E-4</v>
      </c>
      <c r="Y13" s="8">
        <v>2.0000000000000001E-4</v>
      </c>
      <c r="Z13" s="8">
        <v>2.0000000000000001E-4</v>
      </c>
      <c r="AA13" s="8">
        <v>1E-4</v>
      </c>
      <c r="AB13" s="8">
        <v>1E-4</v>
      </c>
      <c r="AC13" s="8">
        <v>1E-4</v>
      </c>
      <c r="AD13" s="8">
        <v>1E-4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1E-4</v>
      </c>
      <c r="AK13" s="8">
        <v>0</v>
      </c>
      <c r="AL13" s="8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1E-4</v>
      </c>
      <c r="AU13" s="7">
        <v>0</v>
      </c>
      <c r="AV13" s="7">
        <v>0</v>
      </c>
      <c r="AW13" s="7">
        <v>1E-4</v>
      </c>
      <c r="AX13" s="7">
        <v>0</v>
      </c>
      <c r="AY13" s="7">
        <v>0</v>
      </c>
      <c r="AZ13" s="7">
        <v>1E-4</v>
      </c>
      <c r="BA13" s="7">
        <v>1E-4</v>
      </c>
      <c r="BB13" s="7">
        <v>0</v>
      </c>
      <c r="BC13" s="7">
        <v>0</v>
      </c>
      <c r="BD13" s="7">
        <v>1E-4</v>
      </c>
      <c r="BE13" s="7">
        <f ca="1">IFERROR(VLOOKUP($A13,INDIRECT(#REF!&amp;"!$A$6:$C$200"),3,0),0)</f>
        <v>0</v>
      </c>
      <c r="BF13" s="7">
        <f ca="1">IFERROR(VLOOKUP($A13,INDIRECT(#REF!&amp;"!$A$6:$C$200"),3,0),0)</f>
        <v>0</v>
      </c>
      <c r="BG13" s="7">
        <f ca="1">IFERROR(VLOOKUP($A13,INDIRECT(#REF!&amp;"!$A$6:$C$200"),3,0),0)</f>
        <v>0</v>
      </c>
      <c r="BH13" s="8">
        <f ca="1">IFERROR(VLOOKUP($A13,INDIRECT(#REF!&amp;"!$A$6:$C$200"),3,0),0)</f>
        <v>0</v>
      </c>
      <c r="BI13" s="8">
        <f ca="1">IFERROR(VLOOKUP($A13,INDIRECT(#REF!&amp;"!$A$6:$C$200"),3,0),0)</f>
        <v>0</v>
      </c>
      <c r="BJ13" s="8">
        <f ca="1">IFERROR(VLOOKUP($A13,INDIRECT(#REF!&amp;"!$A$6:$C$200"),3,0),0)</f>
        <v>0</v>
      </c>
      <c r="BK13" s="8">
        <f ca="1">IFERROR(VLOOKUP($A13,INDIRECT(#REF!&amp;"!$A$6:$C$200"),3,0),0)</f>
        <v>0</v>
      </c>
      <c r="BL13" s="8">
        <f ca="1">IFERROR(VLOOKUP($A13,INDIRECT(#REF!&amp;"!$A$6:$C$200"),3,0),0)</f>
        <v>0</v>
      </c>
      <c r="BM13" s="8">
        <f ca="1">IFERROR(VLOOKUP($A13,INDIRECT(#REF!&amp;"!$A$6:$C$200"),3,0),0)</f>
        <v>0</v>
      </c>
      <c r="BN13" s="8">
        <f ca="1">IFERROR(VLOOKUP($A13,INDIRECT(#REF!&amp;"!$A$6:$C$200"),3,0),0)</f>
        <v>0</v>
      </c>
      <c r="BO13" s="8">
        <f ca="1">IFERROR(VLOOKUP($A13,INDIRECT(#REF!&amp;"!$A$6:$C$200"),3,0),0)</f>
        <v>0</v>
      </c>
      <c r="BP13" s="7">
        <f ca="1">IFERROR(VLOOKUP($A13,INDIRECT(#REF!&amp;"!$A$6:$C$200"),3,0),0)</f>
        <v>0</v>
      </c>
      <c r="BQ13" s="7">
        <f ca="1">IFERROR(VLOOKUP($A13,INDIRECT(#REF!&amp;"!$A$6:$C$200"),3,0),0)</f>
        <v>0</v>
      </c>
      <c r="BR13" s="7">
        <f ca="1">IFERROR(VLOOKUP($A13,INDIRECT(#REF!&amp;"!$A$6:$C$200"),3,0),0)</f>
        <v>0</v>
      </c>
      <c r="BS13" s="7">
        <f ca="1">IFERROR(VLOOKUP($A13,INDIRECT(#REF!&amp;"!$A$6:$C$200"),3,0),0)</f>
        <v>0</v>
      </c>
      <c r="BT13" s="7">
        <f ca="1">IFERROR(VLOOKUP($A13,INDIRECT(#REF!&amp;"!$A$6:$C$200"),3,0),0)</f>
        <v>0</v>
      </c>
      <c r="BU13" s="7">
        <f ca="1">IFERROR(VLOOKUP($A13,INDIRECT(#REF!&amp;"!$A$6:$C$200"),3,0),0)</f>
        <v>0</v>
      </c>
      <c r="BV13" s="7">
        <f ca="1">IFERROR(VLOOKUP($A13,INDIRECT(#REF!&amp;"!$A$6:$C$200"),3,0),0)</f>
        <v>0</v>
      </c>
      <c r="BW13" s="7">
        <f ca="1">IFERROR(VLOOKUP($A13,INDIRECT(#REF!&amp;"!$A$6:$C$200"),3,0),0)</f>
        <v>0</v>
      </c>
      <c r="BX13" s="7">
        <f ca="1">IFERROR(VLOOKUP($A13,INDIRECT(#REF!&amp;"!$A$6:$C$200"),3,0),0)</f>
        <v>0</v>
      </c>
      <c r="BY13" s="7">
        <f ca="1">IFERROR(VLOOKUP($A13,INDIRECT(#REF!&amp;"!$A$6:$C$200"),3,0),0)</f>
        <v>0</v>
      </c>
      <c r="BZ13" s="7">
        <f ca="1">IFERROR(VLOOKUP($A13,INDIRECT(#REF!&amp;"!$A$6:$C$200"),3,0),0)</f>
        <v>0</v>
      </c>
      <c r="CA13" s="7">
        <f ca="1">IFERROR(VLOOKUP($A13,INDIRECT(#REF!&amp;"!$A$6:$C$200"),3,0),0)</f>
        <v>0</v>
      </c>
      <c r="CB13" s="7">
        <f ca="1">IFERROR(VLOOKUP($A13,INDIRECT(#REF!&amp;"!$A$6:$C$200"),3,0),0)</f>
        <v>0</v>
      </c>
      <c r="CC13" s="7">
        <f ca="1">IFERROR(VLOOKUP($A13,INDIRECT(#REF!&amp;"!$A$6:$C$200"),3,0),0)</f>
        <v>0</v>
      </c>
      <c r="CD13" s="7" t="str">
        <f ca="1">IF(CD12="","",IFERROR(VLOOKUP($A13,INDIRECT(#REF!&amp;"!$A$6:$C$200"),3,0),0))</f>
        <v/>
      </c>
      <c r="CE13" s="7" t="str">
        <f ca="1">IF(CE12="","",IFERROR(VLOOKUP($A13,INDIRECT(#REF!&amp;"!$A$6:$C$200"),3,0),0))</f>
        <v/>
      </c>
      <c r="CF13" s="7" t="str">
        <f ca="1">IF(CF12="","",IFERROR(VLOOKUP($A13,INDIRECT(#REF!&amp;"!$A$6:$C$200"),3,0),0))</f>
        <v/>
      </c>
      <c r="CG13" s="7" t="str">
        <f ca="1">IF(CG12="","",IFERROR(VLOOKUP($A13,INDIRECT(#REF!&amp;"!$A$6:$C$200"),3,0),0))</f>
        <v/>
      </c>
      <c r="CH13" s="7" t="str">
        <f ca="1">IF(CH12="","",IFERROR(VLOOKUP($A13,INDIRECT(#REF!&amp;"!$A$6:$C$200"),3,0),0))</f>
        <v/>
      </c>
      <c r="CI13" s="7" t="str">
        <f ca="1">IF(CI12="","",IFERROR(VLOOKUP($A13,INDIRECT(#REF!&amp;"!$A$6:$C$200"),3,0),0))</f>
        <v/>
      </c>
      <c r="CJ13" s="7" t="str">
        <f ca="1">IF(CJ12="","",IFERROR(VLOOKUP($A13,INDIRECT(#REF!&amp;"!$A$6:$C$200"),3,0),0))</f>
        <v/>
      </c>
      <c r="CK13" s="7" t="str">
        <f ca="1">IF(CK12="","",IFERROR(VLOOKUP($A13,INDIRECT(#REF!&amp;"!$A$6:$C$200"),3,0),0))</f>
        <v/>
      </c>
      <c r="CL13" s="7" t="str">
        <f ca="1">IF(CL12="","",IFERROR(VLOOKUP($A13,INDIRECT(#REF!&amp;"!$A$6:$C$200"),3,0),0))</f>
        <v/>
      </c>
      <c r="CM13" s="7" t="str">
        <f ca="1">IF(CM12="","",IFERROR(VLOOKUP($A13,INDIRECT(#REF!&amp;"!$A$6:$C$200"),3,0),0))</f>
        <v/>
      </c>
      <c r="CN13" s="7" t="str">
        <f ca="1">IF(CN12="","",IFERROR(VLOOKUP($A13,INDIRECT(#REF!&amp;"!$A$6:$C$200"),3,0),0))</f>
        <v/>
      </c>
      <c r="CO13" s="7" t="str">
        <f ca="1">IF(CO12="","",IFERROR(VLOOKUP($A13,INDIRECT(#REF!&amp;"!$A$6:$C$200"),3,0),0))</f>
        <v/>
      </c>
      <c r="CP13" s="7" t="str">
        <f ca="1">IF(CP12="","",IFERROR(VLOOKUP($A13,INDIRECT(#REF!&amp;"!$A$6:$C$200"),3,0),0))</f>
        <v/>
      </c>
      <c r="CQ13" s="7" t="str">
        <f ca="1">IF(CQ12="","",IFERROR(VLOOKUP($A13,INDIRECT(#REF!&amp;"!$A$6:$C$200"),3,0),0))</f>
        <v/>
      </c>
      <c r="CR13" s="7" t="str">
        <f ca="1">IF(CR12="","",IFERROR(VLOOKUP($A13,INDIRECT(#REF!&amp;"!$A$6:$C$200"),3,0),0))</f>
        <v/>
      </c>
      <c r="CS13" s="7" t="str">
        <f ca="1">IF(CS12="","",IFERROR(VLOOKUP($A13,INDIRECT(#REF!&amp;"!$A$6:$C$200"),3,0),0))</f>
        <v/>
      </c>
      <c r="CT13" s="7" t="str">
        <f ca="1">IF(CT12="","",IFERROR(VLOOKUP($A13,INDIRECT(#REF!&amp;"!$A$6:$C$200"),3,0),0))</f>
        <v/>
      </c>
      <c r="CU13" s="7" t="str">
        <f ca="1">IF(CU12="","",IFERROR(VLOOKUP($A13,INDIRECT(#REF!&amp;"!$A$6:$C$200"),3,0),0))</f>
        <v/>
      </c>
      <c r="CV13" s="7" t="str">
        <f ca="1">IF(CV12="","",IFERROR(VLOOKUP($A13,INDIRECT(#REF!&amp;"!$A$6:$C$200"),3,0),0))</f>
        <v/>
      </c>
      <c r="CW13" s="7" t="str">
        <f ca="1">IF(CW12="","",IFERROR(VLOOKUP($A13,INDIRECT(#REF!&amp;"!$A$6:$C$200"),3,0),0))</f>
        <v/>
      </c>
      <c r="CX13" s="7" t="str">
        <f ca="1">IF(CX12="","",IFERROR(VLOOKUP($A13,INDIRECT(#REF!&amp;"!$A$6:$C$200"),3,0),0))</f>
        <v/>
      </c>
      <c r="CY13" s="7" t="str">
        <f ca="1">IF(CY12="","",IFERROR(VLOOKUP($A13,INDIRECT(#REF!&amp;"!$A$6:$C$200"),3,0),0))</f>
        <v/>
      </c>
      <c r="CZ13" s="7" t="str">
        <f ca="1">IF(CZ12="","",IFERROR(VLOOKUP($A13,INDIRECT(#REF!&amp;"!$A$6:$C$200"),3,0),0))</f>
        <v/>
      </c>
      <c r="DA13" s="7" t="str">
        <f ca="1">IF(DA12="","",IFERROR(VLOOKUP($A13,INDIRECT(#REF!&amp;"!$A$6:$C$200"),3,0),0))</f>
        <v/>
      </c>
      <c r="DB13" s="7" t="str">
        <f ca="1">IF(DB12="","",IFERROR(VLOOKUP($A13,INDIRECT(#REF!&amp;"!$A$6:$C$200"),3,0),0))</f>
        <v/>
      </c>
      <c r="DC13" s="7" t="str">
        <f ca="1">IF(DC12="","",IFERROR(VLOOKUP($A13,INDIRECT(#REF!&amp;"!$A$6:$C$200"),3,0),0))</f>
        <v/>
      </c>
      <c r="DD13" s="7" t="str">
        <f ca="1">IF(DD12="","",IFERROR(VLOOKUP($A13,INDIRECT(#REF!&amp;"!$A$6:$C$200"),3,0),0))</f>
        <v/>
      </c>
      <c r="DE13" s="7" t="str">
        <f ca="1">IF(DE12="","",IFERROR(VLOOKUP($A13,INDIRECT(#REF!&amp;"!$A$6:$C$200"),3,0),0))</f>
        <v/>
      </c>
      <c r="DF13" s="7" t="str">
        <f ca="1">IF(DF12="","",IFERROR(VLOOKUP($A13,INDIRECT(#REF!&amp;"!$A$6:$C$200"),3,0),0))</f>
        <v/>
      </c>
      <c r="DG13" s="7" t="str">
        <f ca="1">IF(DG12="","",IFERROR(VLOOKUP($A13,INDIRECT(#REF!&amp;"!$A$6:$C$200"),3,0),0))</f>
        <v/>
      </c>
      <c r="DH13" s="7" t="str">
        <f ca="1">IF(DH12="","",IFERROR(VLOOKUP($A13,INDIRECT(#REF!&amp;"!$A$6:$C$200"),3,0),0))</f>
        <v/>
      </c>
      <c r="DI13" s="7" t="str">
        <f ca="1">IF(DI12="","",IFERROR(VLOOKUP($A13,INDIRECT(#REF!&amp;"!$A$6:$C$200"),3,0),0))</f>
        <v/>
      </c>
      <c r="DJ13" s="7" t="str">
        <f ca="1">IF(DJ12="","",IFERROR(VLOOKUP($A13,INDIRECT(#REF!&amp;"!$A$6:$C$200"),3,0),0))</f>
        <v/>
      </c>
      <c r="DK13" s="7" t="str">
        <f ca="1">IF(DK12="","",IFERROR(VLOOKUP($A13,INDIRECT(#REF!&amp;"!$A$6:$C$200"),3,0),0))</f>
        <v/>
      </c>
    </row>
    <row r="14" spans="1:115">
      <c r="A14" s="6" t="s">
        <v>16</v>
      </c>
      <c r="B14" s="7">
        <v>1.1666666666666668E-4</v>
      </c>
      <c r="C14" s="7">
        <v>2.0000000000000001E-4</v>
      </c>
      <c r="D14" s="7">
        <v>1.0000000000000002E-4</v>
      </c>
      <c r="E14" s="7">
        <v>1.1428571428571431E-4</v>
      </c>
      <c r="F14" s="7">
        <v>7.1428571428571434E-5</v>
      </c>
      <c r="G14" s="7">
        <v>1.1428571428571431E-4</v>
      </c>
      <c r="H14" s="7">
        <f ca="1">AVERAGE(BB14:BH14)</f>
        <v>4.2857142857142863E-5</v>
      </c>
      <c r="I14" s="7">
        <f t="shared" ca="1" si="3"/>
        <v>0</v>
      </c>
      <c r="J14" s="7">
        <f t="shared" ca="1" si="4"/>
        <v>0</v>
      </c>
      <c r="K14" s="7">
        <f t="shared" ca="1" si="0"/>
        <v>0</v>
      </c>
      <c r="L14" s="7">
        <f t="shared" ca="1" si="1"/>
        <v>0</v>
      </c>
      <c r="M14" s="8">
        <v>2.0000000000000001E-4</v>
      </c>
      <c r="N14" s="8">
        <v>0</v>
      </c>
      <c r="O14" s="8">
        <v>2.0000000000000001E-4</v>
      </c>
      <c r="P14" s="8">
        <v>0</v>
      </c>
      <c r="Q14" s="8">
        <v>2.0000000000000001E-4</v>
      </c>
      <c r="R14" s="8">
        <v>1E-4</v>
      </c>
      <c r="S14" s="8">
        <v>1E-4</v>
      </c>
      <c r="T14" s="8">
        <v>4.0000000000000002E-4</v>
      </c>
      <c r="U14" s="8">
        <v>1E-4</v>
      </c>
      <c r="V14" s="8">
        <v>1E-4</v>
      </c>
      <c r="W14" s="8">
        <v>2.9999999999999997E-4</v>
      </c>
      <c r="X14" s="8">
        <v>2.9999999999999997E-4</v>
      </c>
      <c r="Y14" s="8">
        <v>1E-4</v>
      </c>
      <c r="Z14" s="8">
        <v>1E-4</v>
      </c>
      <c r="AA14" s="8">
        <v>1E-4</v>
      </c>
      <c r="AB14" s="8">
        <v>0</v>
      </c>
      <c r="AC14" s="8">
        <v>1E-4</v>
      </c>
      <c r="AD14" s="8">
        <v>2.0000000000000001E-4</v>
      </c>
      <c r="AE14" s="8">
        <v>1E-4</v>
      </c>
      <c r="AF14" s="8">
        <v>1E-4</v>
      </c>
      <c r="AG14" s="8">
        <v>1E-4</v>
      </c>
      <c r="AH14" s="8">
        <v>1E-4</v>
      </c>
      <c r="AI14" s="8">
        <v>2.0000000000000001E-4</v>
      </c>
      <c r="AJ14" s="8">
        <v>1E-4</v>
      </c>
      <c r="AK14" s="8">
        <v>1E-4</v>
      </c>
      <c r="AL14" s="8">
        <v>1E-4</v>
      </c>
      <c r="AM14" s="7">
        <v>1E-4</v>
      </c>
      <c r="AN14" s="7">
        <v>0</v>
      </c>
      <c r="AO14" s="7">
        <v>1E-4</v>
      </c>
      <c r="AP14" s="7">
        <v>1E-4</v>
      </c>
      <c r="AQ14" s="7">
        <v>0</v>
      </c>
      <c r="AR14" s="7">
        <v>1E-4</v>
      </c>
      <c r="AS14" s="7">
        <v>1E-4</v>
      </c>
      <c r="AT14" s="7">
        <v>1E-4</v>
      </c>
      <c r="AU14" s="7">
        <v>1E-4</v>
      </c>
      <c r="AV14" s="7">
        <v>1E-4</v>
      </c>
      <c r="AW14" s="7">
        <v>1E-4</v>
      </c>
      <c r="AX14" s="7">
        <v>2.9999999999999997E-4</v>
      </c>
      <c r="AY14" s="7">
        <v>0</v>
      </c>
      <c r="AZ14" s="7">
        <v>1E-4</v>
      </c>
      <c r="BA14" s="7">
        <v>1E-4</v>
      </c>
      <c r="BB14" s="7">
        <v>1E-4</v>
      </c>
      <c r="BC14" s="7">
        <v>1E-4</v>
      </c>
      <c r="BD14" s="7">
        <v>1E-4</v>
      </c>
      <c r="BE14" s="7">
        <f ca="1">IFERROR(VLOOKUP($A14,INDIRECT(#REF!&amp;"!$A$6:$C$200"),3,0),0)</f>
        <v>0</v>
      </c>
      <c r="BF14" s="7">
        <f ca="1">IFERROR(VLOOKUP($A14,INDIRECT(#REF!&amp;"!$A$6:$C$200"),3,0),0)</f>
        <v>0</v>
      </c>
      <c r="BG14" s="7">
        <f ca="1">IFERROR(VLOOKUP($A14,INDIRECT(#REF!&amp;"!$A$6:$C$200"),3,0),0)</f>
        <v>0</v>
      </c>
      <c r="BH14" s="8">
        <f ca="1">IFERROR(VLOOKUP($A14,INDIRECT(#REF!&amp;"!$A$6:$C$200"),3,0),0)</f>
        <v>0</v>
      </c>
      <c r="BI14" s="8">
        <f ca="1">IFERROR(VLOOKUP($A14,INDIRECT(#REF!&amp;"!$A$6:$C$200"),3,0),0)</f>
        <v>0</v>
      </c>
      <c r="BJ14" s="8">
        <f ca="1">IFERROR(VLOOKUP($A14,INDIRECT(#REF!&amp;"!$A$6:$C$200"),3,0),0)</f>
        <v>0</v>
      </c>
      <c r="BK14" s="8">
        <f ca="1">IFERROR(VLOOKUP($A14,INDIRECT(#REF!&amp;"!$A$6:$C$200"),3,0),0)</f>
        <v>0</v>
      </c>
      <c r="BL14" s="8">
        <f ca="1">IFERROR(VLOOKUP($A14,INDIRECT(#REF!&amp;"!$A$6:$C$200"),3,0),0)</f>
        <v>0</v>
      </c>
      <c r="BM14" s="8">
        <f ca="1">IFERROR(VLOOKUP($A14,INDIRECT(#REF!&amp;"!$A$6:$C$200"),3,0),0)</f>
        <v>0</v>
      </c>
      <c r="BN14" s="8">
        <f ca="1">IFERROR(VLOOKUP($A14,INDIRECT(#REF!&amp;"!$A$6:$C$200"),3,0),0)</f>
        <v>0</v>
      </c>
      <c r="BO14" s="8">
        <f ca="1">IFERROR(VLOOKUP($A14,INDIRECT(#REF!&amp;"!$A$6:$C$200"),3,0),0)</f>
        <v>0</v>
      </c>
      <c r="BP14" s="7">
        <f ca="1">IFERROR(VLOOKUP($A14,INDIRECT(#REF!&amp;"!$A$6:$C$200"),3,0),0)</f>
        <v>0</v>
      </c>
      <c r="BQ14" s="7">
        <f ca="1">IFERROR(VLOOKUP($A14,INDIRECT(#REF!&amp;"!$A$6:$C$200"),3,0),0)</f>
        <v>0</v>
      </c>
      <c r="BR14" s="7">
        <f ca="1">IFERROR(VLOOKUP($A14,INDIRECT(#REF!&amp;"!$A$6:$C$200"),3,0),0)</f>
        <v>0</v>
      </c>
      <c r="BS14" s="7">
        <f ca="1">IFERROR(VLOOKUP($A14,INDIRECT(#REF!&amp;"!$A$6:$C$200"),3,0),0)</f>
        <v>0</v>
      </c>
      <c r="BT14" s="7">
        <f ca="1">IFERROR(VLOOKUP($A14,INDIRECT(#REF!&amp;"!$A$6:$C$200"),3,0),0)</f>
        <v>0</v>
      </c>
      <c r="BU14" s="7">
        <f ca="1">IFERROR(VLOOKUP($A14,INDIRECT(#REF!&amp;"!$A$6:$C$200"),3,0),0)</f>
        <v>0</v>
      </c>
      <c r="BV14" s="7">
        <f ca="1">IFERROR(VLOOKUP($A14,INDIRECT(#REF!&amp;"!$A$6:$C$200"),3,0),0)</f>
        <v>0</v>
      </c>
      <c r="BW14" s="7">
        <f ca="1">IFERROR(VLOOKUP($A14,INDIRECT(#REF!&amp;"!$A$6:$C$200"),3,0),0)</f>
        <v>0</v>
      </c>
      <c r="BX14" s="7">
        <f ca="1">IFERROR(VLOOKUP($A14,INDIRECT(#REF!&amp;"!$A$6:$C$200"),3,0),0)</f>
        <v>0</v>
      </c>
      <c r="BY14" s="7">
        <f ca="1">IFERROR(VLOOKUP($A14,INDIRECT(#REF!&amp;"!$A$6:$C$200"),3,0),0)</f>
        <v>0</v>
      </c>
      <c r="BZ14" s="7">
        <f ca="1">IFERROR(VLOOKUP($A14,INDIRECT(#REF!&amp;"!$A$6:$C$200"),3,0),0)</f>
        <v>0</v>
      </c>
      <c r="CA14" s="7">
        <f ca="1">IFERROR(VLOOKUP($A14,INDIRECT(#REF!&amp;"!$A$6:$C$200"),3,0),0)</f>
        <v>0</v>
      </c>
      <c r="CB14" s="7">
        <f ca="1">IFERROR(VLOOKUP($A14,INDIRECT(#REF!&amp;"!$A$6:$C$200"),3,0),0)</f>
        <v>0</v>
      </c>
      <c r="CC14" s="7">
        <f ca="1">IFERROR(VLOOKUP($A14,INDIRECT(#REF!&amp;"!$A$6:$C$200"),3,0),0)</f>
        <v>0</v>
      </c>
      <c r="CD14" s="7" t="str">
        <f ca="1">IF(CD13="","",IFERROR(VLOOKUP($A14,INDIRECT(#REF!&amp;"!$A$6:$C$200"),3,0),0))</f>
        <v/>
      </c>
      <c r="CE14" s="7" t="str">
        <f ca="1">IF(CE13="","",IFERROR(VLOOKUP($A14,INDIRECT(#REF!&amp;"!$A$6:$C$200"),3,0),0))</f>
        <v/>
      </c>
      <c r="CF14" s="7" t="str">
        <f ca="1">IF(CF13="","",IFERROR(VLOOKUP($A14,INDIRECT(#REF!&amp;"!$A$6:$C$200"),3,0),0))</f>
        <v/>
      </c>
      <c r="CG14" s="7" t="str">
        <f ca="1">IF(CG13="","",IFERROR(VLOOKUP($A14,INDIRECT(#REF!&amp;"!$A$6:$C$200"),3,0),0))</f>
        <v/>
      </c>
      <c r="CH14" s="7" t="str">
        <f ca="1">IF(CH13="","",IFERROR(VLOOKUP($A14,INDIRECT(#REF!&amp;"!$A$6:$C$200"),3,0),0))</f>
        <v/>
      </c>
      <c r="CI14" s="7" t="str">
        <f ca="1">IF(CI13="","",IFERROR(VLOOKUP($A14,INDIRECT(#REF!&amp;"!$A$6:$C$200"),3,0),0))</f>
        <v/>
      </c>
      <c r="CJ14" s="7" t="str">
        <f ca="1">IF(CJ13="","",IFERROR(VLOOKUP($A14,INDIRECT(#REF!&amp;"!$A$6:$C$200"),3,0),0))</f>
        <v/>
      </c>
      <c r="CK14" s="7" t="str">
        <f ca="1">IF(CK13="","",IFERROR(VLOOKUP($A14,INDIRECT(#REF!&amp;"!$A$6:$C$200"),3,0),0))</f>
        <v/>
      </c>
      <c r="CL14" s="7" t="str">
        <f ca="1">IF(CL13="","",IFERROR(VLOOKUP($A14,INDIRECT(#REF!&amp;"!$A$6:$C$200"),3,0),0))</f>
        <v/>
      </c>
      <c r="CM14" s="7" t="str">
        <f ca="1">IF(CM13="","",IFERROR(VLOOKUP($A14,INDIRECT(#REF!&amp;"!$A$6:$C$200"),3,0),0))</f>
        <v/>
      </c>
      <c r="CN14" s="7" t="str">
        <f ca="1">IF(CN13="","",IFERROR(VLOOKUP($A14,INDIRECT(#REF!&amp;"!$A$6:$C$200"),3,0),0))</f>
        <v/>
      </c>
      <c r="CO14" s="7" t="str">
        <f ca="1">IF(CO13="","",IFERROR(VLOOKUP($A14,INDIRECT(#REF!&amp;"!$A$6:$C$200"),3,0),0))</f>
        <v/>
      </c>
      <c r="CP14" s="7" t="str">
        <f ca="1">IF(CP13="","",IFERROR(VLOOKUP($A14,INDIRECT(#REF!&amp;"!$A$6:$C$200"),3,0),0))</f>
        <v/>
      </c>
      <c r="CQ14" s="7" t="str">
        <f ca="1">IF(CQ13="","",IFERROR(VLOOKUP($A14,INDIRECT(#REF!&amp;"!$A$6:$C$200"),3,0),0))</f>
        <v/>
      </c>
      <c r="CR14" s="7" t="str">
        <f ca="1">IF(CR13="","",IFERROR(VLOOKUP($A14,INDIRECT(#REF!&amp;"!$A$6:$C$200"),3,0),0))</f>
        <v/>
      </c>
      <c r="CS14" s="7" t="str">
        <f ca="1">IF(CS13="","",IFERROR(VLOOKUP($A14,INDIRECT(#REF!&amp;"!$A$6:$C$200"),3,0),0))</f>
        <v/>
      </c>
      <c r="CT14" s="7" t="str">
        <f ca="1">IF(CT13="","",IFERROR(VLOOKUP($A14,INDIRECT(#REF!&amp;"!$A$6:$C$200"),3,0),0))</f>
        <v/>
      </c>
      <c r="CU14" s="7" t="str">
        <f ca="1">IF(CU13="","",IFERROR(VLOOKUP($A14,INDIRECT(#REF!&amp;"!$A$6:$C$200"),3,0),0))</f>
        <v/>
      </c>
      <c r="CV14" s="7" t="str">
        <f ca="1">IF(CV13="","",IFERROR(VLOOKUP($A14,INDIRECT(#REF!&amp;"!$A$6:$C$200"),3,0),0))</f>
        <v/>
      </c>
      <c r="CW14" s="7" t="str">
        <f ca="1">IF(CW13="","",IFERROR(VLOOKUP($A14,INDIRECT(#REF!&amp;"!$A$6:$C$200"),3,0),0))</f>
        <v/>
      </c>
      <c r="CX14" s="7" t="str">
        <f ca="1">IF(CX13="","",IFERROR(VLOOKUP($A14,INDIRECT(#REF!&amp;"!$A$6:$C$200"),3,0),0))</f>
        <v/>
      </c>
      <c r="CY14" s="7" t="str">
        <f ca="1">IF(CY13="","",IFERROR(VLOOKUP($A14,INDIRECT(#REF!&amp;"!$A$6:$C$200"),3,0),0))</f>
        <v/>
      </c>
      <c r="CZ14" s="7" t="str">
        <f ca="1">IF(CZ13="","",IFERROR(VLOOKUP($A14,INDIRECT(#REF!&amp;"!$A$6:$C$200"),3,0),0))</f>
        <v/>
      </c>
      <c r="DA14" s="7" t="str">
        <f ca="1">IF(DA13="","",IFERROR(VLOOKUP($A14,INDIRECT(#REF!&amp;"!$A$6:$C$200"),3,0),0))</f>
        <v/>
      </c>
      <c r="DB14" s="7" t="str">
        <f ca="1">IF(DB13="","",IFERROR(VLOOKUP($A14,INDIRECT(#REF!&amp;"!$A$6:$C$200"),3,0),0))</f>
        <v/>
      </c>
      <c r="DC14" s="7" t="str">
        <f ca="1">IF(DC13="","",IFERROR(VLOOKUP($A14,INDIRECT(#REF!&amp;"!$A$6:$C$200"),3,0),0))</f>
        <v/>
      </c>
      <c r="DD14" s="7" t="str">
        <f ca="1">IF(DD13="","",IFERROR(VLOOKUP($A14,INDIRECT(#REF!&amp;"!$A$6:$C$200"),3,0),0))</f>
        <v/>
      </c>
      <c r="DE14" s="7" t="str">
        <f ca="1">IF(DE13="","",IFERROR(VLOOKUP($A14,INDIRECT(#REF!&amp;"!$A$6:$C$200"),3,0),0))</f>
        <v/>
      </c>
      <c r="DF14" s="7" t="str">
        <f ca="1">IF(DF13="","",IFERROR(VLOOKUP($A14,INDIRECT(#REF!&amp;"!$A$6:$C$200"),3,0),0))</f>
        <v/>
      </c>
      <c r="DG14" s="7" t="str">
        <f ca="1">IF(DG13="","",IFERROR(VLOOKUP($A14,INDIRECT(#REF!&amp;"!$A$6:$C$200"),3,0),0))</f>
        <v/>
      </c>
      <c r="DH14" s="7" t="str">
        <f ca="1">IF(DH13="","",IFERROR(VLOOKUP($A14,INDIRECT(#REF!&amp;"!$A$6:$C$200"),3,0),0))</f>
        <v/>
      </c>
      <c r="DI14" s="7" t="str">
        <f ca="1">IF(DI13="","",IFERROR(VLOOKUP($A14,INDIRECT(#REF!&amp;"!$A$6:$C$200"),3,0),0))</f>
        <v/>
      </c>
      <c r="DJ14" s="7" t="str">
        <f ca="1">IF(DJ13="","",IFERROR(VLOOKUP($A14,INDIRECT(#REF!&amp;"!$A$6:$C$200"),3,0),0))</f>
        <v/>
      </c>
      <c r="DK14" s="7" t="str">
        <f ca="1">IF(DK13="","",IFERROR(VLOOKUP($A14,INDIRECT(#REF!&amp;"!$A$6:$C$200"),3,0),0))</f>
        <v/>
      </c>
    </row>
    <row r="15" spans="1:115">
      <c r="A15" s="6" t="s">
        <v>17</v>
      </c>
      <c r="B15" s="7">
        <v>1E-4</v>
      </c>
      <c r="C15" s="7">
        <v>1.5714285714285716E-4</v>
      </c>
      <c r="D15" s="7">
        <v>3.7142857142857143E-4</v>
      </c>
      <c r="E15" s="7">
        <v>2.9999999999999997E-4</v>
      </c>
      <c r="F15" s="7">
        <v>2.5714285714285715E-4</v>
      </c>
      <c r="G15" s="7">
        <v>2.2857142857142862E-4</v>
      </c>
      <c r="H15" s="7">
        <f t="shared" ref="H15:H67" ca="1" si="5">AVERAGE(BB15:BH15)</f>
        <v>1.142857142857143E-4</v>
      </c>
      <c r="I15" s="7">
        <f t="shared" ca="1" si="3"/>
        <v>0</v>
      </c>
      <c r="J15" s="7">
        <f t="shared" ca="1" si="4"/>
        <v>0</v>
      </c>
      <c r="K15" s="7">
        <f t="shared" ca="1" si="0"/>
        <v>0</v>
      </c>
      <c r="L15" s="7">
        <f t="shared" ca="1" si="1"/>
        <v>0</v>
      </c>
      <c r="M15" s="8">
        <v>4.0000000000000002E-4</v>
      </c>
      <c r="N15" s="8">
        <v>0</v>
      </c>
      <c r="O15" s="8">
        <v>1E-4</v>
      </c>
      <c r="P15" s="8">
        <v>0</v>
      </c>
      <c r="Q15" s="8">
        <v>1E-4</v>
      </c>
      <c r="R15" s="8">
        <v>0</v>
      </c>
      <c r="S15" s="8">
        <v>2.9999999999999997E-4</v>
      </c>
      <c r="T15" s="8">
        <v>2.0000000000000001E-4</v>
      </c>
      <c r="U15" s="8">
        <v>0</v>
      </c>
      <c r="V15" s="8">
        <v>2.0000000000000001E-4</v>
      </c>
      <c r="W15" s="8">
        <v>1E-4</v>
      </c>
      <c r="X15" s="8">
        <v>1E-4</v>
      </c>
      <c r="Y15" s="8">
        <v>2.0000000000000001E-4</v>
      </c>
      <c r="Z15" s="8">
        <v>1E-4</v>
      </c>
      <c r="AA15" s="8">
        <v>4.0000000000000002E-4</v>
      </c>
      <c r="AB15" s="8">
        <v>4.0000000000000002E-4</v>
      </c>
      <c r="AC15" s="8">
        <v>2.9999999999999997E-4</v>
      </c>
      <c r="AD15" s="8">
        <v>1.1000000000000001E-3</v>
      </c>
      <c r="AE15" s="8">
        <v>1E-4</v>
      </c>
      <c r="AF15" s="8">
        <v>2.0000000000000001E-4</v>
      </c>
      <c r="AG15" s="8">
        <v>2.9999999999999997E-4</v>
      </c>
      <c r="AH15" s="8">
        <v>2.0000000000000001E-4</v>
      </c>
      <c r="AI15" s="8">
        <v>5.0000000000000001E-4</v>
      </c>
      <c r="AJ15" s="8">
        <v>2.9999999999999997E-4</v>
      </c>
      <c r="AK15" s="8">
        <v>2.9999999999999997E-4</v>
      </c>
      <c r="AL15" s="8">
        <v>2.0000000000000001E-4</v>
      </c>
      <c r="AM15" s="7">
        <v>2.9999999999999997E-4</v>
      </c>
      <c r="AN15" s="7">
        <v>4.0000000000000002E-4</v>
      </c>
      <c r="AO15" s="7">
        <v>2.0000000000000001E-4</v>
      </c>
      <c r="AP15" s="7">
        <v>2.0000000000000001E-4</v>
      </c>
      <c r="AQ15" s="7">
        <v>2.0000000000000001E-4</v>
      </c>
      <c r="AR15" s="7">
        <v>2.9999999999999997E-4</v>
      </c>
      <c r="AS15" s="7">
        <v>2.0000000000000001E-4</v>
      </c>
      <c r="AT15" s="7">
        <v>2.9999999999999997E-4</v>
      </c>
      <c r="AU15" s="7">
        <v>2.9999999999999997E-4</v>
      </c>
      <c r="AV15" s="7">
        <v>2.9999999999999997E-4</v>
      </c>
      <c r="AW15" s="7">
        <v>2.9999999999999997E-4</v>
      </c>
      <c r="AX15" s="7">
        <v>2.0000000000000001E-4</v>
      </c>
      <c r="AY15" s="7">
        <v>1E-4</v>
      </c>
      <c r="AZ15" s="7">
        <v>2.0000000000000001E-4</v>
      </c>
      <c r="BA15" s="7">
        <v>2.0000000000000001E-4</v>
      </c>
      <c r="BB15" s="7">
        <v>2.0000000000000001E-4</v>
      </c>
      <c r="BC15" s="7">
        <v>1E-4</v>
      </c>
      <c r="BD15" s="7">
        <v>5.0000000000000001E-4</v>
      </c>
      <c r="BE15" s="7">
        <f ca="1">IFERROR(VLOOKUP($A15,INDIRECT(#REF!&amp;"!$A$6:$C$200"),3,0),0)</f>
        <v>0</v>
      </c>
      <c r="BF15" s="7">
        <f ca="1">IFERROR(VLOOKUP($A15,INDIRECT(#REF!&amp;"!$A$6:$C$200"),3,0),0)</f>
        <v>0</v>
      </c>
      <c r="BG15" s="7">
        <f ca="1">IFERROR(VLOOKUP($A15,INDIRECT(#REF!&amp;"!$A$6:$C$200"),3,0),0)</f>
        <v>0</v>
      </c>
      <c r="BH15" s="8">
        <f ca="1">IFERROR(VLOOKUP($A15,INDIRECT(#REF!&amp;"!$A$6:$C$200"),3,0),0)</f>
        <v>0</v>
      </c>
      <c r="BI15" s="8">
        <f ca="1">IFERROR(VLOOKUP($A15,INDIRECT(#REF!&amp;"!$A$6:$C$200"),3,0),0)</f>
        <v>0</v>
      </c>
      <c r="BJ15" s="8">
        <f ca="1">IFERROR(VLOOKUP($A15,INDIRECT(#REF!&amp;"!$A$6:$C$200"),3,0),0)</f>
        <v>0</v>
      </c>
      <c r="BK15" s="8">
        <f ca="1">IFERROR(VLOOKUP($A15,INDIRECT(#REF!&amp;"!$A$6:$C$200"),3,0),0)</f>
        <v>0</v>
      </c>
      <c r="BL15" s="8">
        <f ca="1">IFERROR(VLOOKUP($A15,INDIRECT(#REF!&amp;"!$A$6:$C$200"),3,0),0)</f>
        <v>0</v>
      </c>
      <c r="BM15" s="8">
        <f ca="1">IFERROR(VLOOKUP($A15,INDIRECT(#REF!&amp;"!$A$6:$C$200"),3,0),0)</f>
        <v>0</v>
      </c>
      <c r="BN15" s="8">
        <f ca="1">IFERROR(VLOOKUP($A15,INDIRECT(#REF!&amp;"!$A$6:$C$200"),3,0),0)</f>
        <v>0</v>
      </c>
      <c r="BO15" s="8">
        <f ca="1">IFERROR(VLOOKUP($A15,INDIRECT(#REF!&amp;"!$A$6:$C$200"),3,0),0)</f>
        <v>0</v>
      </c>
      <c r="BP15" s="7">
        <f ca="1">IFERROR(VLOOKUP($A15,INDIRECT(#REF!&amp;"!$A$6:$C$200"),3,0),0)</f>
        <v>0</v>
      </c>
      <c r="BQ15" s="7">
        <f ca="1">IFERROR(VLOOKUP($A15,INDIRECT(#REF!&amp;"!$A$6:$C$200"),3,0),0)</f>
        <v>0</v>
      </c>
      <c r="BR15" s="7">
        <f ca="1">IFERROR(VLOOKUP($A15,INDIRECT(#REF!&amp;"!$A$6:$C$200"),3,0),0)</f>
        <v>0</v>
      </c>
      <c r="BS15" s="7">
        <f ca="1">IFERROR(VLOOKUP($A15,INDIRECT(#REF!&amp;"!$A$6:$C$200"),3,0),0)</f>
        <v>0</v>
      </c>
      <c r="BT15" s="7">
        <f ca="1">IFERROR(VLOOKUP($A15,INDIRECT(#REF!&amp;"!$A$6:$C$200"),3,0),0)</f>
        <v>0</v>
      </c>
      <c r="BU15" s="7">
        <f ca="1">IFERROR(VLOOKUP($A15,INDIRECT(#REF!&amp;"!$A$6:$C$200"),3,0),0)</f>
        <v>0</v>
      </c>
      <c r="BV15" s="7">
        <f ca="1">IFERROR(VLOOKUP($A15,INDIRECT(#REF!&amp;"!$A$6:$C$200"),3,0),0)</f>
        <v>0</v>
      </c>
      <c r="BW15" s="7">
        <f ca="1">IFERROR(VLOOKUP($A15,INDIRECT(#REF!&amp;"!$A$6:$C$200"),3,0),0)</f>
        <v>0</v>
      </c>
      <c r="BX15" s="7">
        <f ca="1">IFERROR(VLOOKUP($A15,INDIRECT(#REF!&amp;"!$A$6:$C$200"),3,0),0)</f>
        <v>0</v>
      </c>
      <c r="BY15" s="7">
        <f ca="1">IFERROR(VLOOKUP($A15,INDIRECT(#REF!&amp;"!$A$6:$C$200"),3,0),0)</f>
        <v>0</v>
      </c>
      <c r="BZ15" s="7">
        <f ca="1">IFERROR(VLOOKUP($A15,INDIRECT(#REF!&amp;"!$A$6:$C$200"),3,0),0)</f>
        <v>0</v>
      </c>
      <c r="CA15" s="7">
        <f ca="1">IFERROR(VLOOKUP($A15,INDIRECT(#REF!&amp;"!$A$6:$C$200"),3,0),0)</f>
        <v>0</v>
      </c>
      <c r="CB15" s="7">
        <f ca="1">IFERROR(VLOOKUP($A15,INDIRECT(#REF!&amp;"!$A$6:$C$200"),3,0),0)</f>
        <v>0</v>
      </c>
      <c r="CC15" s="7">
        <f ca="1">IFERROR(VLOOKUP($A15,INDIRECT(#REF!&amp;"!$A$6:$C$200"),3,0),0)</f>
        <v>0</v>
      </c>
      <c r="CD15" s="7" t="str">
        <f ca="1">IF(CD14="","",IFERROR(VLOOKUP($A15,INDIRECT(#REF!&amp;"!$A$6:$C$200"),3,0),0))</f>
        <v/>
      </c>
      <c r="CE15" s="7" t="str">
        <f ca="1">IF(CE14="","",IFERROR(VLOOKUP($A15,INDIRECT(#REF!&amp;"!$A$6:$C$200"),3,0),0))</f>
        <v/>
      </c>
      <c r="CF15" s="7" t="str">
        <f ca="1">IF(CF14="","",IFERROR(VLOOKUP($A15,INDIRECT(#REF!&amp;"!$A$6:$C$200"),3,0),0))</f>
        <v/>
      </c>
      <c r="CG15" s="7" t="str">
        <f ca="1">IF(CG14="","",IFERROR(VLOOKUP($A15,INDIRECT(#REF!&amp;"!$A$6:$C$200"),3,0),0))</f>
        <v/>
      </c>
      <c r="CH15" s="7" t="str">
        <f ca="1">IF(CH14="","",IFERROR(VLOOKUP($A15,INDIRECT(#REF!&amp;"!$A$6:$C$200"),3,0),0))</f>
        <v/>
      </c>
      <c r="CI15" s="7" t="str">
        <f ca="1">IF(CI14="","",IFERROR(VLOOKUP($A15,INDIRECT(#REF!&amp;"!$A$6:$C$200"),3,0),0))</f>
        <v/>
      </c>
      <c r="CJ15" s="7" t="str">
        <f ca="1">IF(CJ14="","",IFERROR(VLOOKUP($A15,INDIRECT(#REF!&amp;"!$A$6:$C$200"),3,0),0))</f>
        <v/>
      </c>
      <c r="CK15" s="7" t="str">
        <f ca="1">IF(CK14="","",IFERROR(VLOOKUP($A15,INDIRECT(#REF!&amp;"!$A$6:$C$200"),3,0),0))</f>
        <v/>
      </c>
      <c r="CL15" s="7" t="str">
        <f ca="1">IF(CL14="","",IFERROR(VLOOKUP($A15,INDIRECT(#REF!&amp;"!$A$6:$C$200"),3,0),0))</f>
        <v/>
      </c>
      <c r="CM15" s="7" t="str">
        <f ca="1">IF(CM14="","",IFERROR(VLOOKUP($A15,INDIRECT(#REF!&amp;"!$A$6:$C$200"),3,0),0))</f>
        <v/>
      </c>
      <c r="CN15" s="7" t="str">
        <f ca="1">IF(CN14="","",IFERROR(VLOOKUP($A15,INDIRECT(#REF!&amp;"!$A$6:$C$200"),3,0),0))</f>
        <v/>
      </c>
      <c r="CO15" s="7" t="str">
        <f ca="1">IF(CO14="","",IFERROR(VLOOKUP($A15,INDIRECT(#REF!&amp;"!$A$6:$C$200"),3,0),0))</f>
        <v/>
      </c>
      <c r="CP15" s="7" t="str">
        <f ca="1">IF(CP14="","",IFERROR(VLOOKUP($A15,INDIRECT(#REF!&amp;"!$A$6:$C$200"),3,0),0))</f>
        <v/>
      </c>
      <c r="CQ15" s="7" t="str">
        <f ca="1">IF(CQ14="","",IFERROR(VLOOKUP($A15,INDIRECT(#REF!&amp;"!$A$6:$C$200"),3,0),0))</f>
        <v/>
      </c>
      <c r="CR15" s="7" t="str">
        <f ca="1">IF(CR14="","",IFERROR(VLOOKUP($A15,INDIRECT(#REF!&amp;"!$A$6:$C$200"),3,0),0))</f>
        <v/>
      </c>
      <c r="CS15" s="7" t="str">
        <f ca="1">IF(CS14="","",IFERROR(VLOOKUP($A15,INDIRECT(#REF!&amp;"!$A$6:$C$200"),3,0),0))</f>
        <v/>
      </c>
      <c r="CT15" s="7" t="str">
        <f ca="1">IF(CT14="","",IFERROR(VLOOKUP($A15,INDIRECT(#REF!&amp;"!$A$6:$C$200"),3,0),0))</f>
        <v/>
      </c>
      <c r="CU15" s="7" t="str">
        <f ca="1">IF(CU14="","",IFERROR(VLOOKUP($A15,INDIRECT(#REF!&amp;"!$A$6:$C$200"),3,0),0))</f>
        <v/>
      </c>
      <c r="CV15" s="7" t="str">
        <f ca="1">IF(CV14="","",IFERROR(VLOOKUP($A15,INDIRECT(#REF!&amp;"!$A$6:$C$200"),3,0),0))</f>
        <v/>
      </c>
      <c r="CW15" s="7" t="str">
        <f ca="1">IF(CW14="","",IFERROR(VLOOKUP($A15,INDIRECT(#REF!&amp;"!$A$6:$C$200"),3,0),0))</f>
        <v/>
      </c>
      <c r="CX15" s="7" t="str">
        <f ca="1">IF(CX14="","",IFERROR(VLOOKUP($A15,INDIRECT(#REF!&amp;"!$A$6:$C$200"),3,0),0))</f>
        <v/>
      </c>
      <c r="CY15" s="7" t="str">
        <f ca="1">IF(CY14="","",IFERROR(VLOOKUP($A15,INDIRECT(#REF!&amp;"!$A$6:$C$200"),3,0),0))</f>
        <v/>
      </c>
      <c r="CZ15" s="7" t="str">
        <f ca="1">IF(CZ14="","",IFERROR(VLOOKUP($A15,INDIRECT(#REF!&amp;"!$A$6:$C$200"),3,0),0))</f>
        <v/>
      </c>
      <c r="DA15" s="7" t="str">
        <f ca="1">IF(DA14="","",IFERROR(VLOOKUP($A15,INDIRECT(#REF!&amp;"!$A$6:$C$200"),3,0),0))</f>
        <v/>
      </c>
      <c r="DB15" s="7" t="str">
        <f ca="1">IF(DB14="","",IFERROR(VLOOKUP($A15,INDIRECT(#REF!&amp;"!$A$6:$C$200"),3,0),0))</f>
        <v/>
      </c>
      <c r="DC15" s="7" t="str">
        <f ca="1">IF(DC14="","",IFERROR(VLOOKUP($A15,INDIRECT(#REF!&amp;"!$A$6:$C$200"),3,0),0))</f>
        <v/>
      </c>
      <c r="DD15" s="7" t="str">
        <f ca="1">IF(DD14="","",IFERROR(VLOOKUP($A15,INDIRECT(#REF!&amp;"!$A$6:$C$200"),3,0),0))</f>
        <v/>
      </c>
      <c r="DE15" s="7" t="str">
        <f ca="1">IF(DE14="","",IFERROR(VLOOKUP($A15,INDIRECT(#REF!&amp;"!$A$6:$C$200"),3,0),0))</f>
        <v/>
      </c>
      <c r="DF15" s="7" t="str">
        <f ca="1">IF(DF14="","",IFERROR(VLOOKUP($A15,INDIRECT(#REF!&amp;"!$A$6:$C$200"),3,0),0))</f>
        <v/>
      </c>
      <c r="DG15" s="7" t="str">
        <f ca="1">IF(DG14="","",IFERROR(VLOOKUP($A15,INDIRECT(#REF!&amp;"!$A$6:$C$200"),3,0),0))</f>
        <v/>
      </c>
      <c r="DH15" s="7" t="str">
        <f ca="1">IF(DH14="","",IFERROR(VLOOKUP($A15,INDIRECT(#REF!&amp;"!$A$6:$C$200"),3,0),0))</f>
        <v/>
      </c>
      <c r="DI15" s="7" t="str">
        <f ca="1">IF(DI14="","",IFERROR(VLOOKUP($A15,INDIRECT(#REF!&amp;"!$A$6:$C$200"),3,0),0))</f>
        <v/>
      </c>
      <c r="DJ15" s="7" t="str">
        <f ca="1">IF(DJ14="","",IFERROR(VLOOKUP($A15,INDIRECT(#REF!&amp;"!$A$6:$C$200"),3,0),0))</f>
        <v/>
      </c>
      <c r="DK15" s="7" t="str">
        <f ca="1">IF(DK14="","",IFERROR(VLOOKUP($A15,INDIRECT(#REF!&amp;"!$A$6:$C$200"),3,0),0))</f>
        <v/>
      </c>
    </row>
    <row r="16" spans="1:115">
      <c r="A16" s="6" t="s">
        <v>18</v>
      </c>
      <c r="B16" s="7">
        <v>2.333333333333333E-4</v>
      </c>
      <c r="C16" s="7">
        <v>1.4285714285714287E-4</v>
      </c>
      <c r="D16" s="7">
        <v>1.8571428571428574E-4</v>
      </c>
      <c r="E16" s="7">
        <v>1.5714285714285716E-4</v>
      </c>
      <c r="F16" s="7">
        <v>2.0000000000000004E-4</v>
      </c>
      <c r="G16" s="7">
        <v>2.4285714285714283E-4</v>
      </c>
      <c r="H16" s="7">
        <f t="shared" ca="1" si="5"/>
        <v>1.4285714285714287E-4</v>
      </c>
      <c r="I16" s="7">
        <f t="shared" ca="1" si="3"/>
        <v>0</v>
      </c>
      <c r="J16" s="7">
        <f t="shared" ca="1" si="4"/>
        <v>0</v>
      </c>
      <c r="K16" s="7">
        <f t="shared" ca="1" si="0"/>
        <v>0</v>
      </c>
      <c r="L16" s="7">
        <f t="shared" ca="1" si="1"/>
        <v>0</v>
      </c>
      <c r="M16" s="8">
        <v>2.9999999999999997E-4</v>
      </c>
      <c r="N16" s="8">
        <v>2.9999999999999997E-4</v>
      </c>
      <c r="O16" s="8">
        <v>2.0000000000000001E-4</v>
      </c>
      <c r="P16" s="8">
        <v>2.9999999999999997E-4</v>
      </c>
      <c r="Q16" s="8">
        <v>0</v>
      </c>
      <c r="R16" s="8">
        <v>2.9999999999999997E-4</v>
      </c>
      <c r="S16" s="8">
        <v>2.0000000000000001E-4</v>
      </c>
      <c r="T16" s="8">
        <v>1E-4</v>
      </c>
      <c r="U16" s="8">
        <v>2.9999999999999997E-4</v>
      </c>
      <c r="V16" s="8">
        <v>2.0000000000000001E-4</v>
      </c>
      <c r="W16" s="8">
        <v>1E-4</v>
      </c>
      <c r="X16" s="8">
        <v>1E-4</v>
      </c>
      <c r="Y16" s="8">
        <v>0</v>
      </c>
      <c r="Z16" s="8">
        <v>2.0000000000000001E-4</v>
      </c>
      <c r="AA16" s="8">
        <v>2.0000000000000001E-4</v>
      </c>
      <c r="AB16" s="8">
        <v>2.0000000000000001E-4</v>
      </c>
      <c r="AC16" s="8">
        <v>1E-4</v>
      </c>
      <c r="AD16" s="8">
        <v>2.0000000000000001E-4</v>
      </c>
      <c r="AE16" s="8">
        <v>2.0000000000000001E-4</v>
      </c>
      <c r="AF16" s="8">
        <v>2.0000000000000001E-4</v>
      </c>
      <c r="AG16" s="8">
        <v>1E-4</v>
      </c>
      <c r="AH16" s="8">
        <v>1E-4</v>
      </c>
      <c r="AI16" s="8">
        <v>2.0000000000000001E-4</v>
      </c>
      <c r="AJ16" s="8">
        <v>2.9999999999999997E-4</v>
      </c>
      <c r="AK16" s="8">
        <v>2.0000000000000001E-4</v>
      </c>
      <c r="AL16" s="8">
        <v>1E-4</v>
      </c>
      <c r="AM16" s="7">
        <v>1E-4</v>
      </c>
      <c r="AN16" s="7">
        <v>2.0000000000000001E-4</v>
      </c>
      <c r="AO16" s="7">
        <v>2.0000000000000001E-4</v>
      </c>
      <c r="AP16" s="7">
        <v>2.0000000000000001E-4</v>
      </c>
      <c r="AQ16" s="7">
        <v>2.0000000000000001E-4</v>
      </c>
      <c r="AR16" s="7">
        <v>2.0000000000000001E-4</v>
      </c>
      <c r="AS16" s="7">
        <v>2.0000000000000001E-4</v>
      </c>
      <c r="AT16" s="7">
        <v>2.0000000000000001E-4</v>
      </c>
      <c r="AU16" s="7">
        <v>2.0000000000000001E-4</v>
      </c>
      <c r="AV16" s="7">
        <v>2.0000000000000001E-4</v>
      </c>
      <c r="AW16" s="7">
        <v>2.0000000000000001E-4</v>
      </c>
      <c r="AX16" s="7">
        <v>2.0000000000000001E-4</v>
      </c>
      <c r="AY16" s="7">
        <v>2.0000000000000001E-4</v>
      </c>
      <c r="AZ16" s="7">
        <v>4.0000000000000002E-4</v>
      </c>
      <c r="BA16" s="7">
        <v>2.9999999999999997E-4</v>
      </c>
      <c r="BB16" s="7">
        <v>2.9999999999999997E-4</v>
      </c>
      <c r="BC16" s="7">
        <v>2.9999999999999997E-4</v>
      </c>
      <c r="BD16" s="7">
        <v>4.0000000000000002E-4</v>
      </c>
      <c r="BE16" s="7">
        <f ca="1">IFERROR(VLOOKUP($A16,INDIRECT(#REF!&amp;"!$A$6:$C$200"),3,0),0)</f>
        <v>0</v>
      </c>
      <c r="BF16" s="7">
        <f ca="1">IFERROR(VLOOKUP($A16,INDIRECT(#REF!&amp;"!$A$6:$C$200"),3,0),0)</f>
        <v>0</v>
      </c>
      <c r="BG16" s="7">
        <f ca="1">IFERROR(VLOOKUP($A16,INDIRECT(#REF!&amp;"!$A$6:$C$200"),3,0),0)</f>
        <v>0</v>
      </c>
      <c r="BH16" s="8">
        <f ca="1">IFERROR(VLOOKUP($A16,INDIRECT(#REF!&amp;"!$A$6:$C$200"),3,0),0)</f>
        <v>0</v>
      </c>
      <c r="BI16" s="8">
        <f ca="1">IFERROR(VLOOKUP($A16,INDIRECT(#REF!&amp;"!$A$6:$C$200"),3,0),0)</f>
        <v>0</v>
      </c>
      <c r="BJ16" s="8">
        <f ca="1">IFERROR(VLOOKUP($A16,INDIRECT(#REF!&amp;"!$A$6:$C$200"),3,0),0)</f>
        <v>0</v>
      </c>
      <c r="BK16" s="8">
        <f ca="1">IFERROR(VLOOKUP($A16,INDIRECT(#REF!&amp;"!$A$6:$C$200"),3,0),0)</f>
        <v>0</v>
      </c>
      <c r="BL16" s="8">
        <f ca="1">IFERROR(VLOOKUP($A16,INDIRECT(#REF!&amp;"!$A$6:$C$200"),3,0),0)</f>
        <v>0</v>
      </c>
      <c r="BM16" s="8">
        <f ca="1">IFERROR(VLOOKUP($A16,INDIRECT(#REF!&amp;"!$A$6:$C$200"),3,0),0)</f>
        <v>0</v>
      </c>
      <c r="BN16" s="8">
        <f ca="1">IFERROR(VLOOKUP($A16,INDIRECT(#REF!&amp;"!$A$6:$C$200"),3,0),0)</f>
        <v>0</v>
      </c>
      <c r="BO16" s="8">
        <f ca="1">IFERROR(VLOOKUP($A16,INDIRECT(#REF!&amp;"!$A$6:$C$200"),3,0),0)</f>
        <v>0</v>
      </c>
      <c r="BP16" s="7">
        <f ca="1">IFERROR(VLOOKUP($A16,INDIRECT(#REF!&amp;"!$A$6:$C$200"),3,0),0)</f>
        <v>0</v>
      </c>
      <c r="BQ16" s="7">
        <f ca="1">IFERROR(VLOOKUP($A16,INDIRECT(#REF!&amp;"!$A$6:$C$200"),3,0),0)</f>
        <v>0</v>
      </c>
      <c r="BR16" s="7">
        <f ca="1">IFERROR(VLOOKUP($A16,INDIRECT(#REF!&amp;"!$A$6:$C$200"),3,0),0)</f>
        <v>0</v>
      </c>
      <c r="BS16" s="7">
        <f ca="1">IFERROR(VLOOKUP($A16,INDIRECT(#REF!&amp;"!$A$6:$C$200"),3,0),0)</f>
        <v>0</v>
      </c>
      <c r="BT16" s="7">
        <f ca="1">IFERROR(VLOOKUP($A16,INDIRECT(#REF!&amp;"!$A$6:$C$200"),3,0),0)</f>
        <v>0</v>
      </c>
      <c r="BU16" s="7">
        <f ca="1">IFERROR(VLOOKUP($A16,INDIRECT(#REF!&amp;"!$A$6:$C$200"),3,0),0)</f>
        <v>0</v>
      </c>
      <c r="BV16" s="7">
        <f ca="1">IFERROR(VLOOKUP($A16,INDIRECT(#REF!&amp;"!$A$6:$C$200"),3,0),0)</f>
        <v>0</v>
      </c>
      <c r="BW16" s="7">
        <f ca="1">IFERROR(VLOOKUP($A16,INDIRECT(#REF!&amp;"!$A$6:$C$200"),3,0),0)</f>
        <v>0</v>
      </c>
      <c r="BX16" s="7">
        <f ca="1">IFERROR(VLOOKUP($A16,INDIRECT(#REF!&amp;"!$A$6:$C$200"),3,0),0)</f>
        <v>0</v>
      </c>
      <c r="BY16" s="7">
        <f ca="1">IFERROR(VLOOKUP($A16,INDIRECT(#REF!&amp;"!$A$6:$C$200"),3,0),0)</f>
        <v>0</v>
      </c>
      <c r="BZ16" s="7">
        <f ca="1">IFERROR(VLOOKUP($A16,INDIRECT(#REF!&amp;"!$A$6:$C$200"),3,0),0)</f>
        <v>0</v>
      </c>
      <c r="CA16" s="7">
        <f ca="1">IFERROR(VLOOKUP($A16,INDIRECT(#REF!&amp;"!$A$6:$C$200"),3,0),0)</f>
        <v>0</v>
      </c>
      <c r="CB16" s="7">
        <f ca="1">IFERROR(VLOOKUP($A16,INDIRECT(#REF!&amp;"!$A$6:$C$200"),3,0),0)</f>
        <v>0</v>
      </c>
      <c r="CC16" s="7">
        <f ca="1">IFERROR(VLOOKUP($A16,INDIRECT(#REF!&amp;"!$A$6:$C$200"),3,0),0)</f>
        <v>0</v>
      </c>
      <c r="CD16" s="7" t="str">
        <f ca="1">IF(CD15="","",IFERROR(VLOOKUP($A16,INDIRECT(#REF!&amp;"!$A$6:$C$200"),3,0),0))</f>
        <v/>
      </c>
      <c r="CE16" s="7" t="str">
        <f ca="1">IF(CE15="","",IFERROR(VLOOKUP($A16,INDIRECT(#REF!&amp;"!$A$6:$C$200"),3,0),0))</f>
        <v/>
      </c>
      <c r="CF16" s="7" t="str">
        <f ca="1">IF(CF15="","",IFERROR(VLOOKUP($A16,INDIRECT(#REF!&amp;"!$A$6:$C$200"),3,0),0))</f>
        <v/>
      </c>
      <c r="CG16" s="7" t="str">
        <f ca="1">IF(CG15="","",IFERROR(VLOOKUP($A16,INDIRECT(#REF!&amp;"!$A$6:$C$200"),3,0),0))</f>
        <v/>
      </c>
      <c r="CH16" s="7" t="str">
        <f ca="1">IF(CH15="","",IFERROR(VLOOKUP($A16,INDIRECT(#REF!&amp;"!$A$6:$C$200"),3,0),0))</f>
        <v/>
      </c>
      <c r="CI16" s="7" t="str">
        <f ca="1">IF(CI15="","",IFERROR(VLOOKUP($A16,INDIRECT(#REF!&amp;"!$A$6:$C$200"),3,0),0))</f>
        <v/>
      </c>
      <c r="CJ16" s="7" t="str">
        <f ca="1">IF(CJ15="","",IFERROR(VLOOKUP($A16,INDIRECT(#REF!&amp;"!$A$6:$C$200"),3,0),0))</f>
        <v/>
      </c>
      <c r="CK16" s="7" t="str">
        <f ca="1">IF(CK15="","",IFERROR(VLOOKUP($A16,INDIRECT(#REF!&amp;"!$A$6:$C$200"),3,0),0))</f>
        <v/>
      </c>
      <c r="CL16" s="7" t="str">
        <f ca="1">IF(CL15="","",IFERROR(VLOOKUP($A16,INDIRECT(#REF!&amp;"!$A$6:$C$200"),3,0),0))</f>
        <v/>
      </c>
      <c r="CM16" s="7" t="str">
        <f ca="1">IF(CM15="","",IFERROR(VLOOKUP($A16,INDIRECT(#REF!&amp;"!$A$6:$C$200"),3,0),0))</f>
        <v/>
      </c>
      <c r="CN16" s="7" t="str">
        <f ca="1">IF(CN15="","",IFERROR(VLOOKUP($A16,INDIRECT(#REF!&amp;"!$A$6:$C$200"),3,0),0))</f>
        <v/>
      </c>
      <c r="CO16" s="7" t="str">
        <f ca="1">IF(CO15="","",IFERROR(VLOOKUP($A16,INDIRECT(#REF!&amp;"!$A$6:$C$200"),3,0),0))</f>
        <v/>
      </c>
      <c r="CP16" s="7" t="str">
        <f ca="1">IF(CP15="","",IFERROR(VLOOKUP($A16,INDIRECT(#REF!&amp;"!$A$6:$C$200"),3,0),0))</f>
        <v/>
      </c>
      <c r="CQ16" s="7" t="str">
        <f ca="1">IF(CQ15="","",IFERROR(VLOOKUP($A16,INDIRECT(#REF!&amp;"!$A$6:$C$200"),3,0),0))</f>
        <v/>
      </c>
      <c r="CR16" s="7" t="str">
        <f ca="1">IF(CR15="","",IFERROR(VLOOKUP($A16,INDIRECT(#REF!&amp;"!$A$6:$C$200"),3,0),0))</f>
        <v/>
      </c>
      <c r="CS16" s="7" t="str">
        <f ca="1">IF(CS15="","",IFERROR(VLOOKUP($A16,INDIRECT(#REF!&amp;"!$A$6:$C$200"),3,0),0))</f>
        <v/>
      </c>
      <c r="CT16" s="7" t="str">
        <f ca="1">IF(CT15="","",IFERROR(VLOOKUP($A16,INDIRECT(#REF!&amp;"!$A$6:$C$200"),3,0),0))</f>
        <v/>
      </c>
      <c r="CU16" s="7" t="str">
        <f ca="1">IF(CU15="","",IFERROR(VLOOKUP($A16,INDIRECT(#REF!&amp;"!$A$6:$C$200"),3,0),0))</f>
        <v/>
      </c>
      <c r="CV16" s="7" t="str">
        <f ca="1">IF(CV15="","",IFERROR(VLOOKUP($A16,INDIRECT(#REF!&amp;"!$A$6:$C$200"),3,0),0))</f>
        <v/>
      </c>
      <c r="CW16" s="7" t="str">
        <f ca="1">IF(CW15="","",IFERROR(VLOOKUP($A16,INDIRECT(#REF!&amp;"!$A$6:$C$200"),3,0),0))</f>
        <v/>
      </c>
      <c r="CX16" s="7" t="str">
        <f ca="1">IF(CX15="","",IFERROR(VLOOKUP($A16,INDIRECT(#REF!&amp;"!$A$6:$C$200"),3,0),0))</f>
        <v/>
      </c>
      <c r="CY16" s="7" t="str">
        <f ca="1">IF(CY15="","",IFERROR(VLOOKUP($A16,INDIRECT(#REF!&amp;"!$A$6:$C$200"),3,0),0))</f>
        <v/>
      </c>
      <c r="CZ16" s="7" t="str">
        <f ca="1">IF(CZ15="","",IFERROR(VLOOKUP($A16,INDIRECT(#REF!&amp;"!$A$6:$C$200"),3,0),0))</f>
        <v/>
      </c>
      <c r="DA16" s="7" t="str">
        <f ca="1">IF(DA15="","",IFERROR(VLOOKUP($A16,INDIRECT(#REF!&amp;"!$A$6:$C$200"),3,0),0))</f>
        <v/>
      </c>
      <c r="DB16" s="7" t="str">
        <f ca="1">IF(DB15="","",IFERROR(VLOOKUP($A16,INDIRECT(#REF!&amp;"!$A$6:$C$200"),3,0),0))</f>
        <v/>
      </c>
      <c r="DC16" s="7" t="str">
        <f ca="1">IF(DC15="","",IFERROR(VLOOKUP($A16,INDIRECT(#REF!&amp;"!$A$6:$C$200"),3,0),0))</f>
        <v/>
      </c>
      <c r="DD16" s="7" t="str">
        <f ca="1">IF(DD15="","",IFERROR(VLOOKUP($A16,INDIRECT(#REF!&amp;"!$A$6:$C$200"),3,0),0))</f>
        <v/>
      </c>
      <c r="DE16" s="7" t="str">
        <f ca="1">IF(DE15="","",IFERROR(VLOOKUP($A16,INDIRECT(#REF!&amp;"!$A$6:$C$200"),3,0),0))</f>
        <v/>
      </c>
      <c r="DF16" s="7" t="str">
        <f ca="1">IF(DF15="","",IFERROR(VLOOKUP($A16,INDIRECT(#REF!&amp;"!$A$6:$C$200"),3,0),0))</f>
        <v/>
      </c>
      <c r="DG16" s="7" t="str">
        <f ca="1">IF(DG15="","",IFERROR(VLOOKUP($A16,INDIRECT(#REF!&amp;"!$A$6:$C$200"),3,0),0))</f>
        <v/>
      </c>
      <c r="DH16" s="7" t="str">
        <f ca="1">IF(DH15="","",IFERROR(VLOOKUP($A16,INDIRECT(#REF!&amp;"!$A$6:$C$200"),3,0),0))</f>
        <v/>
      </c>
      <c r="DI16" s="7" t="str">
        <f ca="1">IF(DI15="","",IFERROR(VLOOKUP($A16,INDIRECT(#REF!&amp;"!$A$6:$C$200"),3,0),0))</f>
        <v/>
      </c>
      <c r="DJ16" s="7" t="str">
        <f ca="1">IF(DJ15="","",IFERROR(VLOOKUP($A16,INDIRECT(#REF!&amp;"!$A$6:$C$200"),3,0),0))</f>
        <v/>
      </c>
      <c r="DK16" s="7" t="str">
        <f ca="1">IF(DK15="","",IFERROR(VLOOKUP($A16,INDIRECT(#REF!&amp;"!$A$6:$C$200"),3,0),0))</f>
        <v/>
      </c>
    </row>
    <row r="17" spans="1:115">
      <c r="A17" s="6" t="s">
        <v>19</v>
      </c>
      <c r="B17" s="7">
        <v>1.7666666666666664E-3</v>
      </c>
      <c r="C17" s="7">
        <v>3.428571428571429E-4</v>
      </c>
      <c r="D17" s="7">
        <v>4.285714285714286E-4</v>
      </c>
      <c r="E17" s="7">
        <v>1.7142857142857145E-4</v>
      </c>
      <c r="F17" s="7">
        <v>8.5714285714285726E-5</v>
      </c>
      <c r="G17" s="7">
        <v>2.8571428571428574E-5</v>
      </c>
      <c r="H17" s="7">
        <f t="shared" ca="1" si="5"/>
        <v>2.8571428571428574E-5</v>
      </c>
      <c r="I17" s="7">
        <f t="shared" ca="1" si="3"/>
        <v>0</v>
      </c>
      <c r="J17" s="7">
        <f t="shared" ca="1" si="4"/>
        <v>0</v>
      </c>
      <c r="K17" s="7">
        <f t="shared" ca="1" si="0"/>
        <v>0</v>
      </c>
      <c r="L17" s="7">
        <f t="shared" ca="1" si="1"/>
        <v>0</v>
      </c>
      <c r="M17" s="8">
        <v>2.5999999999999999E-3</v>
      </c>
      <c r="N17" s="8">
        <v>3.8999999999999998E-3</v>
      </c>
      <c r="O17" s="8">
        <v>2.5000000000000001E-3</v>
      </c>
      <c r="P17" s="8">
        <v>4.0000000000000002E-4</v>
      </c>
      <c r="Q17" s="8">
        <v>8.0000000000000004E-4</v>
      </c>
      <c r="R17" s="8">
        <v>4.0000000000000002E-4</v>
      </c>
      <c r="S17" s="8">
        <v>5.0000000000000001E-4</v>
      </c>
      <c r="T17" s="8">
        <v>2.0000000000000001E-4</v>
      </c>
      <c r="U17" s="8">
        <v>6.9999999999999999E-4</v>
      </c>
      <c r="V17" s="8">
        <v>2.0000000000000001E-4</v>
      </c>
      <c r="W17" s="8">
        <v>2.0000000000000001E-4</v>
      </c>
      <c r="X17" s="8">
        <v>2.0000000000000001E-4</v>
      </c>
      <c r="Y17" s="8">
        <v>4.0000000000000002E-4</v>
      </c>
      <c r="Z17" s="8">
        <v>6.9999999999999999E-4</v>
      </c>
      <c r="AA17" s="8">
        <v>5.0000000000000001E-4</v>
      </c>
      <c r="AB17" s="8">
        <v>2.9999999999999997E-4</v>
      </c>
      <c r="AC17" s="8">
        <v>4.0000000000000002E-4</v>
      </c>
      <c r="AD17" s="8">
        <v>6.9999999999999999E-4</v>
      </c>
      <c r="AE17" s="8">
        <v>2.0000000000000001E-4</v>
      </c>
      <c r="AF17" s="8">
        <v>2.0000000000000001E-4</v>
      </c>
      <c r="AG17" s="8">
        <v>2.0000000000000001E-4</v>
      </c>
      <c r="AH17" s="8">
        <v>1E-4</v>
      </c>
      <c r="AI17" s="8">
        <v>1E-4</v>
      </c>
      <c r="AJ17" s="8">
        <v>2.0000000000000001E-4</v>
      </c>
      <c r="AK17" s="8">
        <v>4.0000000000000002E-4</v>
      </c>
      <c r="AL17" s="8">
        <v>1E-4</v>
      </c>
      <c r="AM17" s="7">
        <v>1E-4</v>
      </c>
      <c r="AN17" s="7">
        <v>2.0000000000000001E-4</v>
      </c>
      <c r="AO17" s="7">
        <v>1E-4</v>
      </c>
      <c r="AP17" s="7">
        <v>1E-4</v>
      </c>
      <c r="AQ17" s="7">
        <v>0</v>
      </c>
      <c r="AR17" s="7">
        <v>1E-4</v>
      </c>
      <c r="AS17" s="7">
        <v>1E-4</v>
      </c>
      <c r="AT17" s="7">
        <v>0</v>
      </c>
      <c r="AU17" s="7">
        <v>1E-4</v>
      </c>
      <c r="AV17" s="7">
        <v>0</v>
      </c>
      <c r="AW17" s="7">
        <v>0</v>
      </c>
      <c r="AX17" s="7">
        <v>0</v>
      </c>
      <c r="AY17" s="7">
        <v>1E-4</v>
      </c>
      <c r="AZ17" s="7">
        <v>0</v>
      </c>
      <c r="BA17" s="7">
        <v>0</v>
      </c>
      <c r="BB17" s="7">
        <v>1E-4</v>
      </c>
      <c r="BC17" s="7">
        <v>0</v>
      </c>
      <c r="BD17" s="7">
        <v>1E-4</v>
      </c>
      <c r="BE17" s="7">
        <f ca="1">IFERROR(VLOOKUP($A17,INDIRECT(#REF!&amp;"!$A$6:$C$200"),3,0),0)</f>
        <v>0</v>
      </c>
      <c r="BF17" s="7">
        <f ca="1">IFERROR(VLOOKUP($A17,INDIRECT(#REF!&amp;"!$A$6:$C$200"),3,0),0)</f>
        <v>0</v>
      </c>
      <c r="BG17" s="7">
        <f ca="1">IFERROR(VLOOKUP($A17,INDIRECT(#REF!&amp;"!$A$6:$C$200"),3,0),0)</f>
        <v>0</v>
      </c>
      <c r="BH17" s="8">
        <f ca="1">IFERROR(VLOOKUP($A17,INDIRECT(#REF!&amp;"!$A$6:$C$200"),3,0),0)</f>
        <v>0</v>
      </c>
      <c r="BI17" s="8">
        <f ca="1">IFERROR(VLOOKUP($A17,INDIRECT(#REF!&amp;"!$A$6:$C$200"),3,0),0)</f>
        <v>0</v>
      </c>
      <c r="BJ17" s="8">
        <f ca="1">IFERROR(VLOOKUP($A17,INDIRECT(#REF!&amp;"!$A$6:$C$200"),3,0),0)</f>
        <v>0</v>
      </c>
      <c r="BK17" s="8">
        <f ca="1">IFERROR(VLOOKUP($A17,INDIRECT(#REF!&amp;"!$A$6:$C$200"),3,0),0)</f>
        <v>0</v>
      </c>
      <c r="BL17" s="8">
        <f ca="1">IFERROR(VLOOKUP($A17,INDIRECT(#REF!&amp;"!$A$6:$C$200"),3,0),0)</f>
        <v>0</v>
      </c>
      <c r="BM17" s="8">
        <f ca="1">IFERROR(VLOOKUP($A17,INDIRECT(#REF!&amp;"!$A$6:$C$200"),3,0),0)</f>
        <v>0</v>
      </c>
      <c r="BN17" s="8">
        <f ca="1">IFERROR(VLOOKUP($A17,INDIRECT(#REF!&amp;"!$A$6:$C$200"),3,0),0)</f>
        <v>0</v>
      </c>
      <c r="BO17" s="8">
        <f ca="1">IFERROR(VLOOKUP($A17,INDIRECT(#REF!&amp;"!$A$6:$C$200"),3,0),0)</f>
        <v>0</v>
      </c>
      <c r="BP17" s="7">
        <f ca="1">IFERROR(VLOOKUP($A17,INDIRECT(#REF!&amp;"!$A$6:$C$200"),3,0),0)</f>
        <v>0</v>
      </c>
      <c r="BQ17" s="7">
        <f ca="1">IFERROR(VLOOKUP($A17,INDIRECT(#REF!&amp;"!$A$6:$C$200"),3,0),0)</f>
        <v>0</v>
      </c>
      <c r="BR17" s="7">
        <f ca="1">IFERROR(VLOOKUP($A17,INDIRECT(#REF!&amp;"!$A$6:$C$200"),3,0),0)</f>
        <v>0</v>
      </c>
      <c r="BS17" s="7">
        <f ca="1">IFERROR(VLOOKUP($A17,INDIRECT(#REF!&amp;"!$A$6:$C$200"),3,0),0)</f>
        <v>0</v>
      </c>
      <c r="BT17" s="7">
        <f ca="1">IFERROR(VLOOKUP($A17,INDIRECT(#REF!&amp;"!$A$6:$C$200"),3,0),0)</f>
        <v>0</v>
      </c>
      <c r="BU17" s="7">
        <f ca="1">IFERROR(VLOOKUP($A17,INDIRECT(#REF!&amp;"!$A$6:$C$200"),3,0),0)</f>
        <v>0</v>
      </c>
      <c r="BV17" s="7">
        <f ca="1">IFERROR(VLOOKUP($A17,INDIRECT(#REF!&amp;"!$A$6:$C$200"),3,0),0)</f>
        <v>0</v>
      </c>
      <c r="BW17" s="7">
        <f ca="1">IFERROR(VLOOKUP($A17,INDIRECT(#REF!&amp;"!$A$6:$C$200"),3,0),0)</f>
        <v>0</v>
      </c>
      <c r="BX17" s="7">
        <f ca="1">IFERROR(VLOOKUP($A17,INDIRECT(#REF!&amp;"!$A$6:$C$200"),3,0),0)</f>
        <v>0</v>
      </c>
      <c r="BY17" s="7">
        <f ca="1">IFERROR(VLOOKUP($A17,INDIRECT(#REF!&amp;"!$A$6:$C$200"),3,0),0)</f>
        <v>0</v>
      </c>
      <c r="BZ17" s="7">
        <f ca="1">IFERROR(VLOOKUP($A17,INDIRECT(#REF!&amp;"!$A$6:$C$200"),3,0),0)</f>
        <v>0</v>
      </c>
      <c r="CA17" s="7">
        <f ca="1">IFERROR(VLOOKUP($A17,INDIRECT(#REF!&amp;"!$A$6:$C$200"),3,0),0)</f>
        <v>0</v>
      </c>
      <c r="CB17" s="7">
        <f ca="1">IFERROR(VLOOKUP($A17,INDIRECT(#REF!&amp;"!$A$6:$C$200"),3,0),0)</f>
        <v>0</v>
      </c>
      <c r="CC17" s="7">
        <f ca="1">IFERROR(VLOOKUP($A17,INDIRECT(#REF!&amp;"!$A$6:$C$200"),3,0),0)</f>
        <v>0</v>
      </c>
      <c r="CD17" s="7" t="str">
        <f ca="1">IF(CD16="","",IFERROR(VLOOKUP($A17,INDIRECT(#REF!&amp;"!$A$6:$C$200"),3,0),0))</f>
        <v/>
      </c>
      <c r="CE17" s="7" t="str">
        <f ca="1">IF(CE16="","",IFERROR(VLOOKUP($A17,INDIRECT(#REF!&amp;"!$A$6:$C$200"),3,0),0))</f>
        <v/>
      </c>
      <c r="CF17" s="7" t="str">
        <f ca="1">IF(CF16="","",IFERROR(VLOOKUP($A17,INDIRECT(#REF!&amp;"!$A$6:$C$200"),3,0),0))</f>
        <v/>
      </c>
      <c r="CG17" s="7" t="str">
        <f ca="1">IF(CG16="","",IFERROR(VLOOKUP($A17,INDIRECT(#REF!&amp;"!$A$6:$C$200"),3,0),0))</f>
        <v/>
      </c>
      <c r="CH17" s="7" t="str">
        <f ca="1">IF(CH16="","",IFERROR(VLOOKUP($A17,INDIRECT(#REF!&amp;"!$A$6:$C$200"),3,0),0))</f>
        <v/>
      </c>
      <c r="CI17" s="7" t="str">
        <f ca="1">IF(CI16="","",IFERROR(VLOOKUP($A17,INDIRECT(#REF!&amp;"!$A$6:$C$200"),3,0),0))</f>
        <v/>
      </c>
      <c r="CJ17" s="7" t="str">
        <f ca="1">IF(CJ16="","",IFERROR(VLOOKUP($A17,INDIRECT(#REF!&amp;"!$A$6:$C$200"),3,0),0))</f>
        <v/>
      </c>
      <c r="CK17" s="7" t="str">
        <f ca="1">IF(CK16="","",IFERROR(VLOOKUP($A17,INDIRECT(#REF!&amp;"!$A$6:$C$200"),3,0),0))</f>
        <v/>
      </c>
      <c r="CL17" s="7" t="str">
        <f ca="1">IF(CL16="","",IFERROR(VLOOKUP($A17,INDIRECT(#REF!&amp;"!$A$6:$C$200"),3,0),0))</f>
        <v/>
      </c>
      <c r="CM17" s="7" t="str">
        <f ca="1">IF(CM16="","",IFERROR(VLOOKUP($A17,INDIRECT(#REF!&amp;"!$A$6:$C$200"),3,0),0))</f>
        <v/>
      </c>
      <c r="CN17" s="7" t="str">
        <f ca="1">IF(CN16="","",IFERROR(VLOOKUP($A17,INDIRECT(#REF!&amp;"!$A$6:$C$200"),3,0),0))</f>
        <v/>
      </c>
      <c r="CO17" s="7" t="str">
        <f ca="1">IF(CO16="","",IFERROR(VLOOKUP($A17,INDIRECT(#REF!&amp;"!$A$6:$C$200"),3,0),0))</f>
        <v/>
      </c>
      <c r="CP17" s="7" t="str">
        <f ca="1">IF(CP16="","",IFERROR(VLOOKUP($A17,INDIRECT(#REF!&amp;"!$A$6:$C$200"),3,0),0))</f>
        <v/>
      </c>
      <c r="CQ17" s="7" t="str">
        <f ca="1">IF(CQ16="","",IFERROR(VLOOKUP($A17,INDIRECT(#REF!&amp;"!$A$6:$C$200"),3,0),0))</f>
        <v/>
      </c>
      <c r="CR17" s="7" t="str">
        <f ca="1">IF(CR16="","",IFERROR(VLOOKUP($A17,INDIRECT(#REF!&amp;"!$A$6:$C$200"),3,0),0))</f>
        <v/>
      </c>
      <c r="CS17" s="7" t="str">
        <f ca="1">IF(CS16="","",IFERROR(VLOOKUP($A17,INDIRECT(#REF!&amp;"!$A$6:$C$200"),3,0),0))</f>
        <v/>
      </c>
      <c r="CT17" s="7" t="str">
        <f ca="1">IF(CT16="","",IFERROR(VLOOKUP($A17,INDIRECT(#REF!&amp;"!$A$6:$C$200"),3,0),0))</f>
        <v/>
      </c>
      <c r="CU17" s="7" t="str">
        <f ca="1">IF(CU16="","",IFERROR(VLOOKUP($A17,INDIRECT(#REF!&amp;"!$A$6:$C$200"),3,0),0))</f>
        <v/>
      </c>
      <c r="CV17" s="7" t="str">
        <f ca="1">IF(CV16="","",IFERROR(VLOOKUP($A17,INDIRECT(#REF!&amp;"!$A$6:$C$200"),3,0),0))</f>
        <v/>
      </c>
      <c r="CW17" s="7" t="str">
        <f ca="1">IF(CW16="","",IFERROR(VLOOKUP($A17,INDIRECT(#REF!&amp;"!$A$6:$C$200"),3,0),0))</f>
        <v/>
      </c>
      <c r="CX17" s="7" t="str">
        <f ca="1">IF(CX16="","",IFERROR(VLOOKUP($A17,INDIRECT(#REF!&amp;"!$A$6:$C$200"),3,0),0))</f>
        <v/>
      </c>
      <c r="CY17" s="7" t="str">
        <f ca="1">IF(CY16="","",IFERROR(VLOOKUP($A17,INDIRECT(#REF!&amp;"!$A$6:$C$200"),3,0),0))</f>
        <v/>
      </c>
      <c r="CZ17" s="7" t="str">
        <f ca="1">IF(CZ16="","",IFERROR(VLOOKUP($A17,INDIRECT(#REF!&amp;"!$A$6:$C$200"),3,0),0))</f>
        <v/>
      </c>
      <c r="DA17" s="7" t="str">
        <f ca="1">IF(DA16="","",IFERROR(VLOOKUP($A17,INDIRECT(#REF!&amp;"!$A$6:$C$200"),3,0),0))</f>
        <v/>
      </c>
      <c r="DB17" s="7" t="str">
        <f ca="1">IF(DB16="","",IFERROR(VLOOKUP($A17,INDIRECT(#REF!&amp;"!$A$6:$C$200"),3,0),0))</f>
        <v/>
      </c>
      <c r="DC17" s="7" t="str">
        <f ca="1">IF(DC16="","",IFERROR(VLOOKUP($A17,INDIRECT(#REF!&amp;"!$A$6:$C$200"),3,0),0))</f>
        <v/>
      </c>
      <c r="DD17" s="7" t="str">
        <f ca="1">IF(DD16="","",IFERROR(VLOOKUP($A17,INDIRECT(#REF!&amp;"!$A$6:$C$200"),3,0),0))</f>
        <v/>
      </c>
      <c r="DE17" s="7" t="str">
        <f ca="1">IF(DE16="","",IFERROR(VLOOKUP($A17,INDIRECT(#REF!&amp;"!$A$6:$C$200"),3,0),0))</f>
        <v/>
      </c>
      <c r="DF17" s="7" t="str">
        <f ca="1">IF(DF16="","",IFERROR(VLOOKUP($A17,INDIRECT(#REF!&amp;"!$A$6:$C$200"),3,0),0))</f>
        <v/>
      </c>
      <c r="DG17" s="7" t="str">
        <f ca="1">IF(DG16="","",IFERROR(VLOOKUP($A17,INDIRECT(#REF!&amp;"!$A$6:$C$200"),3,0),0))</f>
        <v/>
      </c>
      <c r="DH17" s="7" t="str">
        <f ca="1">IF(DH16="","",IFERROR(VLOOKUP($A17,INDIRECT(#REF!&amp;"!$A$6:$C$200"),3,0),0))</f>
        <v/>
      </c>
      <c r="DI17" s="7" t="str">
        <f ca="1">IF(DI16="","",IFERROR(VLOOKUP($A17,INDIRECT(#REF!&amp;"!$A$6:$C$200"),3,0),0))</f>
        <v/>
      </c>
      <c r="DJ17" s="7" t="str">
        <f ca="1">IF(DJ16="","",IFERROR(VLOOKUP($A17,INDIRECT(#REF!&amp;"!$A$6:$C$200"),3,0),0))</f>
        <v/>
      </c>
      <c r="DK17" s="7" t="str">
        <f ca="1">IF(DK16="","",IFERROR(VLOOKUP($A17,INDIRECT(#REF!&amp;"!$A$6:$C$200"),3,0),0))</f>
        <v/>
      </c>
    </row>
    <row r="18" spans="1:115">
      <c r="A18" s="6" t="s">
        <v>20</v>
      </c>
      <c r="B18" s="7">
        <v>1.25E-3</v>
      </c>
      <c r="C18" s="7">
        <v>2.5714285714285715E-4</v>
      </c>
      <c r="D18" s="7">
        <v>1.285714285714286E-4</v>
      </c>
      <c r="E18" s="7">
        <v>7.1428571428571434E-5</v>
      </c>
      <c r="F18" s="7">
        <v>1.0000000000000002E-4</v>
      </c>
      <c r="G18" s="7">
        <v>7.1428571428571434E-5</v>
      </c>
      <c r="H18" s="7">
        <f t="shared" ca="1" si="5"/>
        <v>2.8571428571428574E-5</v>
      </c>
      <c r="I18" s="7">
        <f t="shared" ca="1" si="3"/>
        <v>0</v>
      </c>
      <c r="J18" s="7">
        <f t="shared" ca="1" si="4"/>
        <v>0</v>
      </c>
      <c r="K18" s="7">
        <f t="shared" ca="1" si="0"/>
        <v>0</v>
      </c>
      <c r="L18" s="7">
        <f t="shared" ca="1" si="1"/>
        <v>0</v>
      </c>
      <c r="M18" s="8">
        <v>0</v>
      </c>
      <c r="N18" s="8">
        <v>0</v>
      </c>
      <c r="O18" s="8">
        <v>1E-4</v>
      </c>
      <c r="P18" s="8">
        <v>2.9999999999999997E-4</v>
      </c>
      <c r="Q18" s="8">
        <v>4.1999999999999997E-3</v>
      </c>
      <c r="R18" s="8">
        <v>2.8999999999999998E-3</v>
      </c>
      <c r="S18" s="8">
        <v>1E-4</v>
      </c>
      <c r="T18" s="8">
        <v>0</v>
      </c>
      <c r="U18" s="8">
        <v>1E-4</v>
      </c>
      <c r="V18" s="8">
        <v>1E-4</v>
      </c>
      <c r="W18" s="8">
        <v>6.9999999999999999E-4</v>
      </c>
      <c r="X18" s="8">
        <v>6.9999999999999999E-4</v>
      </c>
      <c r="Y18" s="8">
        <v>1E-4</v>
      </c>
      <c r="Z18" s="8">
        <v>1E-4</v>
      </c>
      <c r="AA18" s="8">
        <v>2.0000000000000001E-4</v>
      </c>
      <c r="AB18" s="8">
        <v>1E-4</v>
      </c>
      <c r="AC18" s="8">
        <v>2.0000000000000001E-4</v>
      </c>
      <c r="AD18" s="8">
        <v>1E-4</v>
      </c>
      <c r="AE18" s="8">
        <v>1E-4</v>
      </c>
      <c r="AF18" s="8">
        <v>1E-4</v>
      </c>
      <c r="AG18" s="8">
        <v>1E-4</v>
      </c>
      <c r="AH18" s="8">
        <v>0</v>
      </c>
      <c r="AI18" s="8">
        <v>0</v>
      </c>
      <c r="AJ18" s="8">
        <v>1E-4</v>
      </c>
      <c r="AK18" s="8">
        <v>1E-4</v>
      </c>
      <c r="AL18" s="8">
        <v>2.0000000000000001E-4</v>
      </c>
      <c r="AM18" s="7">
        <v>0</v>
      </c>
      <c r="AN18" s="7">
        <v>1E-4</v>
      </c>
      <c r="AO18" s="7">
        <v>1E-4</v>
      </c>
      <c r="AP18" s="7">
        <v>2.0000000000000001E-4</v>
      </c>
      <c r="AQ18" s="7">
        <v>1E-4</v>
      </c>
      <c r="AR18" s="7">
        <v>0</v>
      </c>
      <c r="AS18" s="7">
        <v>1E-4</v>
      </c>
      <c r="AT18" s="7">
        <v>1E-4</v>
      </c>
      <c r="AU18" s="7">
        <v>1E-4</v>
      </c>
      <c r="AV18" s="7">
        <v>1E-4</v>
      </c>
      <c r="AW18" s="7">
        <v>0</v>
      </c>
      <c r="AX18" s="7">
        <v>1E-4</v>
      </c>
      <c r="AY18" s="7">
        <v>1E-4</v>
      </c>
      <c r="AZ18" s="7">
        <v>1E-4</v>
      </c>
      <c r="BA18" s="7">
        <v>0</v>
      </c>
      <c r="BB18" s="7">
        <v>0</v>
      </c>
      <c r="BC18" s="7">
        <v>1E-4</v>
      </c>
      <c r="BD18" s="7">
        <v>1E-4</v>
      </c>
      <c r="BE18" s="7">
        <f ca="1">IFERROR(VLOOKUP($A18,INDIRECT(#REF!&amp;"!$A$6:$C$200"),3,0),0)</f>
        <v>0</v>
      </c>
      <c r="BF18" s="7">
        <f ca="1">IFERROR(VLOOKUP($A18,INDIRECT(#REF!&amp;"!$A$6:$C$200"),3,0),0)</f>
        <v>0</v>
      </c>
      <c r="BG18" s="7">
        <f ca="1">IFERROR(VLOOKUP($A18,INDIRECT(#REF!&amp;"!$A$6:$C$200"),3,0),0)</f>
        <v>0</v>
      </c>
      <c r="BH18" s="8">
        <f ca="1">IFERROR(VLOOKUP($A18,INDIRECT(#REF!&amp;"!$A$6:$C$200"),3,0),0)</f>
        <v>0</v>
      </c>
      <c r="BI18" s="8">
        <f ca="1">IFERROR(VLOOKUP($A18,INDIRECT(#REF!&amp;"!$A$6:$C$200"),3,0),0)</f>
        <v>0</v>
      </c>
      <c r="BJ18" s="8">
        <f ca="1">IFERROR(VLOOKUP($A18,INDIRECT(#REF!&amp;"!$A$6:$C$200"),3,0),0)</f>
        <v>0</v>
      </c>
      <c r="BK18" s="8">
        <f ca="1">IFERROR(VLOOKUP($A18,INDIRECT(#REF!&amp;"!$A$6:$C$200"),3,0),0)</f>
        <v>0</v>
      </c>
      <c r="BL18" s="8">
        <f ca="1">IFERROR(VLOOKUP($A18,INDIRECT(#REF!&amp;"!$A$6:$C$200"),3,0),0)</f>
        <v>0</v>
      </c>
      <c r="BM18" s="8">
        <f ca="1">IFERROR(VLOOKUP($A18,INDIRECT(#REF!&amp;"!$A$6:$C$200"),3,0),0)</f>
        <v>0</v>
      </c>
      <c r="BN18" s="8">
        <f ca="1">IFERROR(VLOOKUP($A18,INDIRECT(#REF!&amp;"!$A$6:$C$200"),3,0),0)</f>
        <v>0</v>
      </c>
      <c r="BO18" s="8">
        <f ca="1">IFERROR(VLOOKUP($A18,INDIRECT(#REF!&amp;"!$A$6:$C$200"),3,0),0)</f>
        <v>0</v>
      </c>
      <c r="BP18" s="7">
        <f ca="1">IFERROR(VLOOKUP($A18,INDIRECT(#REF!&amp;"!$A$6:$C$200"),3,0),0)</f>
        <v>0</v>
      </c>
      <c r="BQ18" s="7">
        <f ca="1">IFERROR(VLOOKUP($A18,INDIRECT(#REF!&amp;"!$A$6:$C$200"),3,0),0)</f>
        <v>0</v>
      </c>
      <c r="BR18" s="7">
        <f ca="1">IFERROR(VLOOKUP($A18,INDIRECT(#REF!&amp;"!$A$6:$C$200"),3,0),0)</f>
        <v>0</v>
      </c>
      <c r="BS18" s="7">
        <f ca="1">IFERROR(VLOOKUP($A18,INDIRECT(#REF!&amp;"!$A$6:$C$200"),3,0),0)</f>
        <v>0</v>
      </c>
      <c r="BT18" s="7">
        <f ca="1">IFERROR(VLOOKUP($A18,INDIRECT(#REF!&amp;"!$A$6:$C$200"),3,0),0)</f>
        <v>0</v>
      </c>
      <c r="BU18" s="7">
        <f ca="1">IFERROR(VLOOKUP($A18,INDIRECT(#REF!&amp;"!$A$6:$C$200"),3,0),0)</f>
        <v>0</v>
      </c>
      <c r="BV18" s="7">
        <f ca="1">IFERROR(VLOOKUP($A18,INDIRECT(#REF!&amp;"!$A$6:$C$200"),3,0),0)</f>
        <v>0</v>
      </c>
      <c r="BW18" s="7">
        <f ca="1">IFERROR(VLOOKUP($A18,INDIRECT(#REF!&amp;"!$A$6:$C$200"),3,0),0)</f>
        <v>0</v>
      </c>
      <c r="BX18" s="7">
        <f ca="1">IFERROR(VLOOKUP($A18,INDIRECT(#REF!&amp;"!$A$6:$C$200"),3,0),0)</f>
        <v>0</v>
      </c>
      <c r="BY18" s="7">
        <f ca="1">IFERROR(VLOOKUP($A18,INDIRECT(#REF!&amp;"!$A$6:$C$200"),3,0),0)</f>
        <v>0</v>
      </c>
      <c r="BZ18" s="7">
        <f ca="1">IFERROR(VLOOKUP($A18,INDIRECT(#REF!&amp;"!$A$6:$C$200"),3,0),0)</f>
        <v>0</v>
      </c>
      <c r="CA18" s="7">
        <f ca="1">IFERROR(VLOOKUP($A18,INDIRECT(#REF!&amp;"!$A$6:$C$200"),3,0),0)</f>
        <v>0</v>
      </c>
      <c r="CB18" s="7">
        <f ca="1">IFERROR(VLOOKUP($A18,INDIRECT(#REF!&amp;"!$A$6:$C$200"),3,0),0)</f>
        <v>0</v>
      </c>
      <c r="CC18" s="7">
        <f ca="1">IFERROR(VLOOKUP($A18,INDIRECT(#REF!&amp;"!$A$6:$C$200"),3,0),0)</f>
        <v>0</v>
      </c>
      <c r="CD18" s="7" t="str">
        <f ca="1">IF(CD17="","",IFERROR(VLOOKUP($A18,INDIRECT(#REF!&amp;"!$A$6:$C$200"),3,0),0))</f>
        <v/>
      </c>
      <c r="CE18" s="7" t="str">
        <f ca="1">IF(CE17="","",IFERROR(VLOOKUP($A18,INDIRECT(#REF!&amp;"!$A$6:$C$200"),3,0),0))</f>
        <v/>
      </c>
      <c r="CF18" s="7" t="str">
        <f ca="1">IF(CF17="","",IFERROR(VLOOKUP($A18,INDIRECT(#REF!&amp;"!$A$6:$C$200"),3,0),0))</f>
        <v/>
      </c>
      <c r="CG18" s="7" t="str">
        <f ca="1">IF(CG17="","",IFERROR(VLOOKUP($A18,INDIRECT(#REF!&amp;"!$A$6:$C$200"),3,0),0))</f>
        <v/>
      </c>
      <c r="CH18" s="7" t="str">
        <f ca="1">IF(CH17="","",IFERROR(VLOOKUP($A18,INDIRECT(#REF!&amp;"!$A$6:$C$200"),3,0),0))</f>
        <v/>
      </c>
      <c r="CI18" s="7" t="str">
        <f ca="1">IF(CI17="","",IFERROR(VLOOKUP($A18,INDIRECT(#REF!&amp;"!$A$6:$C$200"),3,0),0))</f>
        <v/>
      </c>
      <c r="CJ18" s="7" t="str">
        <f ca="1">IF(CJ17="","",IFERROR(VLOOKUP($A18,INDIRECT(#REF!&amp;"!$A$6:$C$200"),3,0),0))</f>
        <v/>
      </c>
      <c r="CK18" s="7" t="str">
        <f ca="1">IF(CK17="","",IFERROR(VLOOKUP($A18,INDIRECT(#REF!&amp;"!$A$6:$C$200"),3,0),0))</f>
        <v/>
      </c>
      <c r="CL18" s="7" t="str">
        <f ca="1">IF(CL17="","",IFERROR(VLOOKUP($A18,INDIRECT(#REF!&amp;"!$A$6:$C$200"),3,0),0))</f>
        <v/>
      </c>
      <c r="CM18" s="7" t="str">
        <f ca="1">IF(CM17="","",IFERROR(VLOOKUP($A18,INDIRECT(#REF!&amp;"!$A$6:$C$200"),3,0),0))</f>
        <v/>
      </c>
      <c r="CN18" s="7" t="str">
        <f ca="1">IF(CN17="","",IFERROR(VLOOKUP($A18,INDIRECT(#REF!&amp;"!$A$6:$C$200"),3,0),0))</f>
        <v/>
      </c>
      <c r="CO18" s="7" t="str">
        <f ca="1">IF(CO17="","",IFERROR(VLOOKUP($A18,INDIRECT(#REF!&amp;"!$A$6:$C$200"),3,0),0))</f>
        <v/>
      </c>
      <c r="CP18" s="7" t="str">
        <f ca="1">IF(CP17="","",IFERROR(VLOOKUP($A18,INDIRECT(#REF!&amp;"!$A$6:$C$200"),3,0),0))</f>
        <v/>
      </c>
      <c r="CQ18" s="7" t="str">
        <f ca="1">IF(CQ17="","",IFERROR(VLOOKUP($A18,INDIRECT(#REF!&amp;"!$A$6:$C$200"),3,0),0))</f>
        <v/>
      </c>
      <c r="CR18" s="7" t="str">
        <f ca="1">IF(CR17="","",IFERROR(VLOOKUP($A18,INDIRECT(#REF!&amp;"!$A$6:$C$200"),3,0),0))</f>
        <v/>
      </c>
      <c r="CS18" s="7" t="str">
        <f ca="1">IF(CS17="","",IFERROR(VLOOKUP($A18,INDIRECT(#REF!&amp;"!$A$6:$C$200"),3,0),0))</f>
        <v/>
      </c>
      <c r="CT18" s="7" t="str">
        <f ca="1">IF(CT17="","",IFERROR(VLOOKUP($A18,INDIRECT(#REF!&amp;"!$A$6:$C$200"),3,0),0))</f>
        <v/>
      </c>
      <c r="CU18" s="7" t="str">
        <f ca="1">IF(CU17="","",IFERROR(VLOOKUP($A18,INDIRECT(#REF!&amp;"!$A$6:$C$200"),3,0),0))</f>
        <v/>
      </c>
      <c r="CV18" s="7" t="str">
        <f ca="1">IF(CV17="","",IFERROR(VLOOKUP($A18,INDIRECT(#REF!&amp;"!$A$6:$C$200"),3,0),0))</f>
        <v/>
      </c>
      <c r="CW18" s="7" t="str">
        <f ca="1">IF(CW17="","",IFERROR(VLOOKUP($A18,INDIRECT(#REF!&amp;"!$A$6:$C$200"),3,0),0))</f>
        <v/>
      </c>
      <c r="CX18" s="7" t="str">
        <f ca="1">IF(CX17="","",IFERROR(VLOOKUP($A18,INDIRECT(#REF!&amp;"!$A$6:$C$200"),3,0),0))</f>
        <v/>
      </c>
      <c r="CY18" s="7" t="str">
        <f ca="1">IF(CY17="","",IFERROR(VLOOKUP($A18,INDIRECT(#REF!&amp;"!$A$6:$C$200"),3,0),0))</f>
        <v/>
      </c>
      <c r="CZ18" s="7" t="str">
        <f ca="1">IF(CZ17="","",IFERROR(VLOOKUP($A18,INDIRECT(#REF!&amp;"!$A$6:$C$200"),3,0),0))</f>
        <v/>
      </c>
      <c r="DA18" s="7" t="str">
        <f ca="1">IF(DA17="","",IFERROR(VLOOKUP($A18,INDIRECT(#REF!&amp;"!$A$6:$C$200"),3,0),0))</f>
        <v/>
      </c>
      <c r="DB18" s="7" t="str">
        <f ca="1">IF(DB17="","",IFERROR(VLOOKUP($A18,INDIRECT(#REF!&amp;"!$A$6:$C$200"),3,0),0))</f>
        <v/>
      </c>
      <c r="DC18" s="7" t="str">
        <f ca="1">IF(DC17="","",IFERROR(VLOOKUP($A18,INDIRECT(#REF!&amp;"!$A$6:$C$200"),3,0),0))</f>
        <v/>
      </c>
      <c r="DD18" s="7" t="str">
        <f ca="1">IF(DD17="","",IFERROR(VLOOKUP($A18,INDIRECT(#REF!&amp;"!$A$6:$C$200"),3,0),0))</f>
        <v/>
      </c>
      <c r="DE18" s="7" t="str">
        <f ca="1">IF(DE17="","",IFERROR(VLOOKUP($A18,INDIRECT(#REF!&amp;"!$A$6:$C$200"),3,0),0))</f>
        <v/>
      </c>
      <c r="DF18" s="7" t="str">
        <f ca="1">IF(DF17="","",IFERROR(VLOOKUP($A18,INDIRECT(#REF!&amp;"!$A$6:$C$200"),3,0),0))</f>
        <v/>
      </c>
      <c r="DG18" s="7" t="str">
        <f ca="1">IF(DG17="","",IFERROR(VLOOKUP($A18,INDIRECT(#REF!&amp;"!$A$6:$C$200"),3,0),0))</f>
        <v/>
      </c>
      <c r="DH18" s="7" t="str">
        <f ca="1">IF(DH17="","",IFERROR(VLOOKUP($A18,INDIRECT(#REF!&amp;"!$A$6:$C$200"),3,0),0))</f>
        <v/>
      </c>
      <c r="DI18" s="7" t="str">
        <f ca="1">IF(DI17="","",IFERROR(VLOOKUP($A18,INDIRECT(#REF!&amp;"!$A$6:$C$200"),3,0),0))</f>
        <v/>
      </c>
      <c r="DJ18" s="7" t="str">
        <f ca="1">IF(DJ17="","",IFERROR(VLOOKUP($A18,INDIRECT(#REF!&amp;"!$A$6:$C$200"),3,0),0))</f>
        <v/>
      </c>
      <c r="DK18" s="7" t="str">
        <f ca="1">IF(DK17="","",IFERROR(VLOOKUP($A18,INDIRECT(#REF!&amp;"!$A$6:$C$200"),3,0),0))</f>
        <v/>
      </c>
    </row>
    <row r="19" spans="1:115">
      <c r="A19" s="6" t="s">
        <v>21</v>
      </c>
      <c r="B19" s="7">
        <v>1.1666666666666665E-4</v>
      </c>
      <c r="C19" s="7">
        <v>1.4285714285714287E-4</v>
      </c>
      <c r="D19" s="7">
        <v>1.5714285714285716E-4</v>
      </c>
      <c r="E19" s="7">
        <v>2.2857142857142862E-4</v>
      </c>
      <c r="F19" s="7">
        <v>1.4285714285714287E-4</v>
      </c>
      <c r="G19" s="7">
        <v>1.5714285714285716E-4</v>
      </c>
      <c r="H19" s="7">
        <f t="shared" ca="1" si="5"/>
        <v>4.2857142857142863E-5</v>
      </c>
      <c r="I19" s="7">
        <f t="shared" ca="1" si="3"/>
        <v>0</v>
      </c>
      <c r="J19" s="7">
        <f t="shared" ca="1" si="4"/>
        <v>0</v>
      </c>
      <c r="K19" s="7">
        <f t="shared" ca="1" si="0"/>
        <v>0</v>
      </c>
      <c r="L19" s="7">
        <f t="shared" ca="1" si="1"/>
        <v>0</v>
      </c>
      <c r="M19" s="8">
        <v>2.9999999999999997E-4</v>
      </c>
      <c r="N19" s="8">
        <v>0</v>
      </c>
      <c r="O19" s="8">
        <v>0</v>
      </c>
      <c r="P19" s="8">
        <v>1E-4</v>
      </c>
      <c r="Q19" s="8">
        <v>0</v>
      </c>
      <c r="R19" s="8">
        <v>2.9999999999999997E-4</v>
      </c>
      <c r="S19" s="8">
        <v>1E-4</v>
      </c>
      <c r="T19" s="8">
        <v>1E-4</v>
      </c>
      <c r="U19" s="8">
        <v>1E-4</v>
      </c>
      <c r="V19" s="8">
        <v>2.0000000000000001E-4</v>
      </c>
      <c r="W19" s="8">
        <v>2.0000000000000001E-4</v>
      </c>
      <c r="X19" s="8">
        <v>2.0000000000000001E-4</v>
      </c>
      <c r="Y19" s="8">
        <v>1E-4</v>
      </c>
      <c r="Z19" s="8">
        <v>1E-4</v>
      </c>
      <c r="AA19" s="8">
        <v>1E-4</v>
      </c>
      <c r="AB19" s="8">
        <v>0</v>
      </c>
      <c r="AC19" s="8">
        <v>4.0000000000000002E-4</v>
      </c>
      <c r="AD19" s="8">
        <v>1E-4</v>
      </c>
      <c r="AE19" s="8">
        <v>2.0000000000000001E-4</v>
      </c>
      <c r="AF19" s="8">
        <v>2.0000000000000001E-4</v>
      </c>
      <c r="AG19" s="8">
        <v>2.9999999999999997E-4</v>
      </c>
      <c r="AH19" s="8">
        <v>4.0000000000000002E-4</v>
      </c>
      <c r="AI19" s="8">
        <v>1E-4</v>
      </c>
      <c r="AJ19" s="8">
        <v>2.0000000000000001E-4</v>
      </c>
      <c r="AK19" s="8">
        <v>2.0000000000000001E-4</v>
      </c>
      <c r="AL19" s="8">
        <v>2.0000000000000001E-4</v>
      </c>
      <c r="AM19" s="7">
        <v>2.0000000000000001E-4</v>
      </c>
      <c r="AN19" s="7">
        <v>2.9999999999999997E-4</v>
      </c>
      <c r="AO19" s="7">
        <v>2.0000000000000001E-4</v>
      </c>
      <c r="AP19" s="7">
        <v>2.0000000000000001E-4</v>
      </c>
      <c r="AQ19" s="7">
        <v>1E-4</v>
      </c>
      <c r="AR19" s="7">
        <v>1E-4</v>
      </c>
      <c r="AS19" s="7">
        <v>1E-4</v>
      </c>
      <c r="AT19" s="7">
        <v>0</v>
      </c>
      <c r="AU19" s="7">
        <v>2.0000000000000001E-4</v>
      </c>
      <c r="AV19" s="7">
        <v>2.0000000000000001E-4</v>
      </c>
      <c r="AW19" s="7">
        <v>1E-4</v>
      </c>
      <c r="AX19" s="7">
        <v>2.0000000000000001E-4</v>
      </c>
      <c r="AY19" s="7">
        <v>1E-4</v>
      </c>
      <c r="AZ19" s="7">
        <v>1E-4</v>
      </c>
      <c r="BA19" s="7">
        <v>2.0000000000000001E-4</v>
      </c>
      <c r="BB19" s="7">
        <v>1E-4</v>
      </c>
      <c r="BC19" s="7">
        <v>1E-4</v>
      </c>
      <c r="BD19" s="7">
        <v>1E-4</v>
      </c>
      <c r="BE19" s="7">
        <f ca="1">IFERROR(VLOOKUP($A19,INDIRECT(#REF!&amp;"!$A$6:$C$200"),3,0),0)</f>
        <v>0</v>
      </c>
      <c r="BF19" s="7">
        <f ca="1">IFERROR(VLOOKUP($A19,INDIRECT(#REF!&amp;"!$A$6:$C$200"),3,0),0)</f>
        <v>0</v>
      </c>
      <c r="BG19" s="7">
        <f ca="1">IFERROR(VLOOKUP($A19,INDIRECT(#REF!&amp;"!$A$6:$C$200"),3,0),0)</f>
        <v>0</v>
      </c>
      <c r="BH19" s="8">
        <f ca="1">IFERROR(VLOOKUP($A19,INDIRECT(#REF!&amp;"!$A$6:$C$200"),3,0),0)</f>
        <v>0</v>
      </c>
      <c r="BI19" s="8">
        <f ca="1">IFERROR(VLOOKUP($A19,INDIRECT(#REF!&amp;"!$A$6:$C$200"),3,0),0)</f>
        <v>0</v>
      </c>
      <c r="BJ19" s="8">
        <f ca="1">IFERROR(VLOOKUP($A19,INDIRECT(#REF!&amp;"!$A$6:$C$200"),3,0),0)</f>
        <v>0</v>
      </c>
      <c r="BK19" s="8">
        <f ca="1">IFERROR(VLOOKUP($A19,INDIRECT(#REF!&amp;"!$A$6:$C$200"),3,0),0)</f>
        <v>0</v>
      </c>
      <c r="BL19" s="8">
        <f ca="1">IFERROR(VLOOKUP($A19,INDIRECT(#REF!&amp;"!$A$6:$C$200"),3,0),0)</f>
        <v>0</v>
      </c>
      <c r="BM19" s="8">
        <f ca="1">IFERROR(VLOOKUP($A19,INDIRECT(#REF!&amp;"!$A$6:$C$200"),3,0),0)</f>
        <v>0</v>
      </c>
      <c r="BN19" s="8">
        <f ca="1">IFERROR(VLOOKUP($A19,INDIRECT(#REF!&amp;"!$A$6:$C$200"),3,0),0)</f>
        <v>0</v>
      </c>
      <c r="BO19" s="8">
        <f ca="1">IFERROR(VLOOKUP($A19,INDIRECT(#REF!&amp;"!$A$6:$C$200"),3,0),0)</f>
        <v>0</v>
      </c>
      <c r="BP19" s="7">
        <f ca="1">IFERROR(VLOOKUP($A19,INDIRECT(#REF!&amp;"!$A$6:$C$200"),3,0),0)</f>
        <v>0</v>
      </c>
      <c r="BQ19" s="7">
        <f ca="1">IFERROR(VLOOKUP($A19,INDIRECT(#REF!&amp;"!$A$6:$C$200"),3,0),0)</f>
        <v>0</v>
      </c>
      <c r="BR19" s="7">
        <f ca="1">IFERROR(VLOOKUP($A19,INDIRECT(#REF!&amp;"!$A$6:$C$200"),3,0),0)</f>
        <v>0</v>
      </c>
      <c r="BS19" s="7">
        <f ca="1">IFERROR(VLOOKUP($A19,INDIRECT(#REF!&amp;"!$A$6:$C$200"),3,0),0)</f>
        <v>0</v>
      </c>
      <c r="BT19" s="7">
        <f ca="1">IFERROR(VLOOKUP($A19,INDIRECT(#REF!&amp;"!$A$6:$C$200"),3,0),0)</f>
        <v>0</v>
      </c>
      <c r="BU19" s="7">
        <f ca="1">IFERROR(VLOOKUP($A19,INDIRECT(#REF!&amp;"!$A$6:$C$200"),3,0),0)</f>
        <v>0</v>
      </c>
      <c r="BV19" s="7">
        <f ca="1">IFERROR(VLOOKUP($A19,INDIRECT(#REF!&amp;"!$A$6:$C$200"),3,0),0)</f>
        <v>0</v>
      </c>
      <c r="BW19" s="7">
        <f ca="1">IFERROR(VLOOKUP($A19,INDIRECT(#REF!&amp;"!$A$6:$C$200"),3,0),0)</f>
        <v>0</v>
      </c>
      <c r="BX19" s="7">
        <f ca="1">IFERROR(VLOOKUP($A19,INDIRECT(#REF!&amp;"!$A$6:$C$200"),3,0),0)</f>
        <v>0</v>
      </c>
      <c r="BY19" s="7">
        <f ca="1">IFERROR(VLOOKUP($A19,INDIRECT(#REF!&amp;"!$A$6:$C$200"),3,0),0)</f>
        <v>0</v>
      </c>
      <c r="BZ19" s="7">
        <f ca="1">IFERROR(VLOOKUP($A19,INDIRECT(#REF!&amp;"!$A$6:$C$200"),3,0),0)</f>
        <v>0</v>
      </c>
      <c r="CA19" s="7">
        <f ca="1">IFERROR(VLOOKUP($A19,INDIRECT(#REF!&amp;"!$A$6:$C$200"),3,0),0)</f>
        <v>0</v>
      </c>
      <c r="CB19" s="7">
        <f ca="1">IFERROR(VLOOKUP($A19,INDIRECT(#REF!&amp;"!$A$6:$C$200"),3,0),0)</f>
        <v>0</v>
      </c>
      <c r="CC19" s="7">
        <f ca="1">IFERROR(VLOOKUP($A19,INDIRECT(#REF!&amp;"!$A$6:$C$200"),3,0),0)</f>
        <v>0</v>
      </c>
      <c r="CD19" s="7" t="str">
        <f ca="1">IF(CD18="","",IFERROR(VLOOKUP($A19,INDIRECT(#REF!&amp;"!$A$6:$C$200"),3,0),0))</f>
        <v/>
      </c>
      <c r="CE19" s="7" t="str">
        <f ca="1">IF(CE18="","",IFERROR(VLOOKUP($A19,INDIRECT(#REF!&amp;"!$A$6:$C$200"),3,0),0))</f>
        <v/>
      </c>
      <c r="CF19" s="7" t="str">
        <f ca="1">IF(CF18="","",IFERROR(VLOOKUP($A19,INDIRECT(#REF!&amp;"!$A$6:$C$200"),3,0),0))</f>
        <v/>
      </c>
      <c r="CG19" s="7" t="str">
        <f ca="1">IF(CG18="","",IFERROR(VLOOKUP($A19,INDIRECT(#REF!&amp;"!$A$6:$C$200"),3,0),0))</f>
        <v/>
      </c>
      <c r="CH19" s="7" t="str">
        <f ca="1">IF(CH18="","",IFERROR(VLOOKUP($A19,INDIRECT(#REF!&amp;"!$A$6:$C$200"),3,0),0))</f>
        <v/>
      </c>
      <c r="CI19" s="7" t="str">
        <f ca="1">IF(CI18="","",IFERROR(VLOOKUP($A19,INDIRECT(#REF!&amp;"!$A$6:$C$200"),3,0),0))</f>
        <v/>
      </c>
      <c r="CJ19" s="7" t="str">
        <f ca="1">IF(CJ18="","",IFERROR(VLOOKUP($A19,INDIRECT(#REF!&amp;"!$A$6:$C$200"),3,0),0))</f>
        <v/>
      </c>
      <c r="CK19" s="7" t="str">
        <f ca="1">IF(CK18="","",IFERROR(VLOOKUP($A19,INDIRECT(#REF!&amp;"!$A$6:$C$200"),3,0),0))</f>
        <v/>
      </c>
      <c r="CL19" s="7" t="str">
        <f ca="1">IF(CL18="","",IFERROR(VLOOKUP($A19,INDIRECT(#REF!&amp;"!$A$6:$C$200"),3,0),0))</f>
        <v/>
      </c>
      <c r="CM19" s="7" t="str">
        <f ca="1">IF(CM18="","",IFERROR(VLOOKUP($A19,INDIRECT(#REF!&amp;"!$A$6:$C$200"),3,0),0))</f>
        <v/>
      </c>
      <c r="CN19" s="7" t="str">
        <f ca="1">IF(CN18="","",IFERROR(VLOOKUP($A19,INDIRECT(#REF!&amp;"!$A$6:$C$200"),3,0),0))</f>
        <v/>
      </c>
      <c r="CO19" s="7" t="str">
        <f ca="1">IF(CO18="","",IFERROR(VLOOKUP($A19,INDIRECT(#REF!&amp;"!$A$6:$C$200"),3,0),0))</f>
        <v/>
      </c>
      <c r="CP19" s="7" t="str">
        <f ca="1">IF(CP18="","",IFERROR(VLOOKUP($A19,INDIRECT(#REF!&amp;"!$A$6:$C$200"),3,0),0))</f>
        <v/>
      </c>
      <c r="CQ19" s="7" t="str">
        <f ca="1">IF(CQ18="","",IFERROR(VLOOKUP($A19,INDIRECT(#REF!&amp;"!$A$6:$C$200"),3,0),0))</f>
        <v/>
      </c>
      <c r="CR19" s="7" t="str">
        <f ca="1">IF(CR18="","",IFERROR(VLOOKUP($A19,INDIRECT(#REF!&amp;"!$A$6:$C$200"),3,0),0))</f>
        <v/>
      </c>
      <c r="CS19" s="7" t="str">
        <f ca="1">IF(CS18="","",IFERROR(VLOOKUP($A19,INDIRECT(#REF!&amp;"!$A$6:$C$200"),3,0),0))</f>
        <v/>
      </c>
      <c r="CT19" s="7" t="str">
        <f ca="1">IF(CT18="","",IFERROR(VLOOKUP($A19,INDIRECT(#REF!&amp;"!$A$6:$C$200"),3,0),0))</f>
        <v/>
      </c>
      <c r="CU19" s="7" t="str">
        <f ca="1">IF(CU18="","",IFERROR(VLOOKUP($A19,INDIRECT(#REF!&amp;"!$A$6:$C$200"),3,0),0))</f>
        <v/>
      </c>
      <c r="CV19" s="7" t="str">
        <f ca="1">IF(CV18="","",IFERROR(VLOOKUP($A19,INDIRECT(#REF!&amp;"!$A$6:$C$200"),3,0),0))</f>
        <v/>
      </c>
      <c r="CW19" s="7" t="str">
        <f ca="1">IF(CW18="","",IFERROR(VLOOKUP($A19,INDIRECT(#REF!&amp;"!$A$6:$C$200"),3,0),0))</f>
        <v/>
      </c>
      <c r="CX19" s="7" t="str">
        <f ca="1">IF(CX18="","",IFERROR(VLOOKUP($A19,INDIRECT(#REF!&amp;"!$A$6:$C$200"),3,0),0))</f>
        <v/>
      </c>
      <c r="CY19" s="7" t="str">
        <f ca="1">IF(CY18="","",IFERROR(VLOOKUP($A19,INDIRECT(#REF!&amp;"!$A$6:$C$200"),3,0),0))</f>
        <v/>
      </c>
      <c r="CZ19" s="7" t="str">
        <f ca="1">IF(CZ18="","",IFERROR(VLOOKUP($A19,INDIRECT(#REF!&amp;"!$A$6:$C$200"),3,0),0))</f>
        <v/>
      </c>
      <c r="DA19" s="7" t="str">
        <f ca="1">IF(DA18="","",IFERROR(VLOOKUP($A19,INDIRECT(#REF!&amp;"!$A$6:$C$200"),3,0),0))</f>
        <v/>
      </c>
      <c r="DB19" s="7" t="str">
        <f ca="1">IF(DB18="","",IFERROR(VLOOKUP($A19,INDIRECT(#REF!&amp;"!$A$6:$C$200"),3,0),0))</f>
        <v/>
      </c>
      <c r="DC19" s="7" t="str">
        <f ca="1">IF(DC18="","",IFERROR(VLOOKUP($A19,INDIRECT(#REF!&amp;"!$A$6:$C$200"),3,0),0))</f>
        <v/>
      </c>
      <c r="DD19" s="7" t="str">
        <f ca="1">IF(DD18="","",IFERROR(VLOOKUP($A19,INDIRECT(#REF!&amp;"!$A$6:$C$200"),3,0),0))</f>
        <v/>
      </c>
      <c r="DE19" s="7" t="str">
        <f ca="1">IF(DE18="","",IFERROR(VLOOKUP($A19,INDIRECT(#REF!&amp;"!$A$6:$C$200"),3,0),0))</f>
        <v/>
      </c>
      <c r="DF19" s="7" t="str">
        <f ca="1">IF(DF18="","",IFERROR(VLOOKUP($A19,INDIRECT(#REF!&amp;"!$A$6:$C$200"),3,0),0))</f>
        <v/>
      </c>
      <c r="DG19" s="7" t="str">
        <f ca="1">IF(DG18="","",IFERROR(VLOOKUP($A19,INDIRECT(#REF!&amp;"!$A$6:$C$200"),3,0),0))</f>
        <v/>
      </c>
      <c r="DH19" s="7" t="str">
        <f ca="1">IF(DH18="","",IFERROR(VLOOKUP($A19,INDIRECT(#REF!&amp;"!$A$6:$C$200"),3,0),0))</f>
        <v/>
      </c>
      <c r="DI19" s="7" t="str">
        <f ca="1">IF(DI18="","",IFERROR(VLOOKUP($A19,INDIRECT(#REF!&amp;"!$A$6:$C$200"),3,0),0))</f>
        <v/>
      </c>
      <c r="DJ19" s="7" t="str">
        <f ca="1">IF(DJ18="","",IFERROR(VLOOKUP($A19,INDIRECT(#REF!&amp;"!$A$6:$C$200"),3,0),0))</f>
        <v/>
      </c>
      <c r="DK19" s="7" t="str">
        <f ca="1">IF(DK18="","",IFERROR(VLOOKUP($A19,INDIRECT(#REF!&amp;"!$A$6:$C$200"),3,0),0))</f>
        <v/>
      </c>
    </row>
    <row r="20" spans="1:115">
      <c r="A20" s="6" t="s">
        <v>22</v>
      </c>
      <c r="B20" s="7">
        <v>1.6666666666666666E-4</v>
      </c>
      <c r="C20" s="7">
        <v>1E-4</v>
      </c>
      <c r="D20" s="7">
        <v>1.5714285714285716E-4</v>
      </c>
      <c r="E20" s="7">
        <v>7.1428571428571434E-5</v>
      </c>
      <c r="F20" s="7">
        <v>1.1428571428571431E-4</v>
      </c>
      <c r="G20" s="7">
        <v>1.1428571428571431E-4</v>
      </c>
      <c r="H20" s="7">
        <f t="shared" ca="1" si="5"/>
        <v>5.7142857142857148E-5</v>
      </c>
      <c r="I20" s="7">
        <f t="shared" ca="1" si="3"/>
        <v>0</v>
      </c>
      <c r="J20" s="7">
        <f t="shared" ca="1" si="4"/>
        <v>0</v>
      </c>
      <c r="K20" s="7">
        <f t="shared" ca="1" si="0"/>
        <v>0</v>
      </c>
      <c r="L20" s="7">
        <f t="shared" ca="1" si="1"/>
        <v>0</v>
      </c>
      <c r="M20" s="8">
        <v>2.0000000000000001E-4</v>
      </c>
      <c r="N20" s="8">
        <v>2.9999999999999997E-4</v>
      </c>
      <c r="O20" s="8">
        <v>2.0000000000000001E-4</v>
      </c>
      <c r="P20" s="8">
        <v>2.0000000000000001E-4</v>
      </c>
      <c r="Q20" s="8">
        <v>0</v>
      </c>
      <c r="R20" s="8">
        <v>1E-4</v>
      </c>
      <c r="S20" s="8">
        <v>1E-4</v>
      </c>
      <c r="T20" s="8">
        <v>2.0000000000000001E-4</v>
      </c>
      <c r="U20" s="8">
        <v>1E-4</v>
      </c>
      <c r="V20" s="8">
        <v>1E-4</v>
      </c>
      <c r="W20" s="8">
        <v>0</v>
      </c>
      <c r="X20" s="8">
        <v>0</v>
      </c>
      <c r="Y20" s="8">
        <v>2.0000000000000001E-4</v>
      </c>
      <c r="Z20" s="8">
        <v>2.0000000000000001E-4</v>
      </c>
      <c r="AA20" s="8">
        <v>2.9999999999999997E-4</v>
      </c>
      <c r="AB20" s="8">
        <v>2.0000000000000001E-4</v>
      </c>
      <c r="AC20" s="8">
        <v>2.0000000000000001E-4</v>
      </c>
      <c r="AD20" s="8">
        <v>1E-4</v>
      </c>
      <c r="AE20" s="8">
        <v>1E-4</v>
      </c>
      <c r="AF20" s="8">
        <v>0</v>
      </c>
      <c r="AG20" s="8">
        <v>0</v>
      </c>
      <c r="AH20" s="8">
        <v>1E-4</v>
      </c>
      <c r="AI20" s="8">
        <v>0</v>
      </c>
      <c r="AJ20" s="8">
        <v>1E-4</v>
      </c>
      <c r="AK20" s="8">
        <v>1E-4</v>
      </c>
      <c r="AL20" s="8">
        <v>1E-4</v>
      </c>
      <c r="AM20" s="7">
        <v>1E-4</v>
      </c>
      <c r="AN20" s="7">
        <v>1E-4</v>
      </c>
      <c r="AO20" s="7">
        <v>2.0000000000000001E-4</v>
      </c>
      <c r="AP20" s="7">
        <v>2.0000000000000001E-4</v>
      </c>
      <c r="AQ20" s="7">
        <v>0</v>
      </c>
      <c r="AR20" s="7">
        <v>1E-4</v>
      </c>
      <c r="AS20" s="7">
        <v>1E-4</v>
      </c>
      <c r="AT20" s="7">
        <v>1E-4</v>
      </c>
      <c r="AU20" s="7">
        <v>0</v>
      </c>
      <c r="AV20" s="7">
        <v>1E-4</v>
      </c>
      <c r="AW20" s="7">
        <v>1E-4</v>
      </c>
      <c r="AX20" s="7">
        <v>2.0000000000000001E-4</v>
      </c>
      <c r="AY20" s="7">
        <v>2.0000000000000001E-4</v>
      </c>
      <c r="AZ20" s="7">
        <v>1E-4</v>
      </c>
      <c r="BA20" s="7">
        <v>1E-4</v>
      </c>
      <c r="BB20" s="7">
        <v>2.0000000000000001E-4</v>
      </c>
      <c r="BC20" s="7">
        <v>1E-4</v>
      </c>
      <c r="BD20" s="7">
        <v>1E-4</v>
      </c>
      <c r="BE20" s="7">
        <f ca="1">IFERROR(VLOOKUP($A20,INDIRECT(#REF!&amp;"!$A$6:$C$200"),3,0),0)</f>
        <v>0</v>
      </c>
      <c r="BF20" s="7">
        <f ca="1">IFERROR(VLOOKUP($A20,INDIRECT(#REF!&amp;"!$A$6:$C$200"),3,0),0)</f>
        <v>0</v>
      </c>
      <c r="BG20" s="7">
        <f ca="1">IFERROR(VLOOKUP($A20,INDIRECT(#REF!&amp;"!$A$6:$C$200"),3,0),0)</f>
        <v>0</v>
      </c>
      <c r="BH20" s="8">
        <f ca="1">IFERROR(VLOOKUP($A20,INDIRECT(#REF!&amp;"!$A$6:$C$200"),3,0),0)</f>
        <v>0</v>
      </c>
      <c r="BI20" s="8">
        <f ca="1">IFERROR(VLOOKUP($A20,INDIRECT(#REF!&amp;"!$A$6:$C$200"),3,0),0)</f>
        <v>0</v>
      </c>
      <c r="BJ20" s="8">
        <f ca="1">IFERROR(VLOOKUP($A20,INDIRECT(#REF!&amp;"!$A$6:$C$200"),3,0),0)</f>
        <v>0</v>
      </c>
      <c r="BK20" s="8">
        <f ca="1">IFERROR(VLOOKUP($A20,INDIRECT(#REF!&amp;"!$A$6:$C$200"),3,0),0)</f>
        <v>0</v>
      </c>
      <c r="BL20" s="8">
        <f ca="1">IFERROR(VLOOKUP($A20,INDIRECT(#REF!&amp;"!$A$6:$C$200"),3,0),0)</f>
        <v>0</v>
      </c>
      <c r="BM20" s="8">
        <f ca="1">IFERROR(VLOOKUP($A20,INDIRECT(#REF!&amp;"!$A$6:$C$200"),3,0),0)</f>
        <v>0</v>
      </c>
      <c r="BN20" s="8">
        <f ca="1">IFERROR(VLOOKUP($A20,INDIRECT(#REF!&amp;"!$A$6:$C$200"),3,0),0)</f>
        <v>0</v>
      </c>
      <c r="BO20" s="8">
        <f ca="1">IFERROR(VLOOKUP($A20,INDIRECT(#REF!&amp;"!$A$6:$C$200"),3,0),0)</f>
        <v>0</v>
      </c>
      <c r="BP20" s="7">
        <f ca="1">IFERROR(VLOOKUP($A20,INDIRECT(#REF!&amp;"!$A$6:$C$200"),3,0),0)</f>
        <v>0</v>
      </c>
      <c r="BQ20" s="7">
        <f ca="1">IFERROR(VLOOKUP($A20,INDIRECT(#REF!&amp;"!$A$6:$C$200"),3,0),0)</f>
        <v>0</v>
      </c>
      <c r="BR20" s="7">
        <f ca="1">IFERROR(VLOOKUP($A20,INDIRECT(#REF!&amp;"!$A$6:$C$200"),3,0),0)</f>
        <v>0</v>
      </c>
      <c r="BS20" s="7">
        <f ca="1">IFERROR(VLOOKUP($A20,INDIRECT(#REF!&amp;"!$A$6:$C$200"),3,0),0)</f>
        <v>0</v>
      </c>
      <c r="BT20" s="7">
        <f ca="1">IFERROR(VLOOKUP($A20,INDIRECT(#REF!&amp;"!$A$6:$C$200"),3,0),0)</f>
        <v>0</v>
      </c>
      <c r="BU20" s="7">
        <f ca="1">IFERROR(VLOOKUP($A20,INDIRECT(#REF!&amp;"!$A$6:$C$200"),3,0),0)</f>
        <v>0</v>
      </c>
      <c r="BV20" s="7">
        <f ca="1">IFERROR(VLOOKUP($A20,INDIRECT(#REF!&amp;"!$A$6:$C$200"),3,0),0)</f>
        <v>0</v>
      </c>
      <c r="BW20" s="7">
        <f ca="1">IFERROR(VLOOKUP($A20,INDIRECT(#REF!&amp;"!$A$6:$C$200"),3,0),0)</f>
        <v>0</v>
      </c>
      <c r="BX20" s="7">
        <f ca="1">IFERROR(VLOOKUP($A20,INDIRECT(#REF!&amp;"!$A$6:$C$200"),3,0),0)</f>
        <v>0</v>
      </c>
      <c r="BY20" s="7">
        <f ca="1">IFERROR(VLOOKUP($A20,INDIRECT(#REF!&amp;"!$A$6:$C$200"),3,0),0)</f>
        <v>0</v>
      </c>
      <c r="BZ20" s="7">
        <f ca="1">IFERROR(VLOOKUP($A20,INDIRECT(#REF!&amp;"!$A$6:$C$200"),3,0),0)</f>
        <v>0</v>
      </c>
      <c r="CA20" s="7">
        <f ca="1">IFERROR(VLOOKUP($A20,INDIRECT(#REF!&amp;"!$A$6:$C$200"),3,0),0)</f>
        <v>0</v>
      </c>
      <c r="CB20" s="7">
        <f ca="1">IFERROR(VLOOKUP($A20,INDIRECT(#REF!&amp;"!$A$6:$C$200"),3,0),0)</f>
        <v>0</v>
      </c>
      <c r="CC20" s="7">
        <f ca="1">IFERROR(VLOOKUP($A20,INDIRECT(#REF!&amp;"!$A$6:$C$200"),3,0),0)</f>
        <v>0</v>
      </c>
      <c r="CD20" s="7" t="str">
        <f ca="1">IF(CD19="","",IFERROR(VLOOKUP($A20,INDIRECT(#REF!&amp;"!$A$6:$C$200"),3,0),0))</f>
        <v/>
      </c>
      <c r="CE20" s="7" t="str">
        <f ca="1">IF(CE19="","",IFERROR(VLOOKUP($A20,INDIRECT(#REF!&amp;"!$A$6:$C$200"),3,0),0))</f>
        <v/>
      </c>
      <c r="CF20" s="7" t="str">
        <f ca="1">IF(CF19="","",IFERROR(VLOOKUP($A20,INDIRECT(#REF!&amp;"!$A$6:$C$200"),3,0),0))</f>
        <v/>
      </c>
      <c r="CG20" s="7" t="str">
        <f ca="1">IF(CG19="","",IFERROR(VLOOKUP($A20,INDIRECT(#REF!&amp;"!$A$6:$C$200"),3,0),0))</f>
        <v/>
      </c>
      <c r="CH20" s="7" t="str">
        <f ca="1">IF(CH19="","",IFERROR(VLOOKUP($A20,INDIRECT(#REF!&amp;"!$A$6:$C$200"),3,0),0))</f>
        <v/>
      </c>
      <c r="CI20" s="7" t="str">
        <f ca="1">IF(CI19="","",IFERROR(VLOOKUP($A20,INDIRECT(#REF!&amp;"!$A$6:$C$200"),3,0),0))</f>
        <v/>
      </c>
      <c r="CJ20" s="7" t="str">
        <f ca="1">IF(CJ19="","",IFERROR(VLOOKUP($A20,INDIRECT(#REF!&amp;"!$A$6:$C$200"),3,0),0))</f>
        <v/>
      </c>
      <c r="CK20" s="7" t="str">
        <f ca="1">IF(CK19="","",IFERROR(VLOOKUP($A20,INDIRECT(#REF!&amp;"!$A$6:$C$200"),3,0),0))</f>
        <v/>
      </c>
      <c r="CL20" s="7" t="str">
        <f ca="1">IF(CL19="","",IFERROR(VLOOKUP($A20,INDIRECT(#REF!&amp;"!$A$6:$C$200"),3,0),0))</f>
        <v/>
      </c>
      <c r="CM20" s="7" t="str">
        <f ca="1">IF(CM19="","",IFERROR(VLOOKUP($A20,INDIRECT(#REF!&amp;"!$A$6:$C$200"),3,0),0))</f>
        <v/>
      </c>
      <c r="CN20" s="7" t="str">
        <f ca="1">IF(CN19="","",IFERROR(VLOOKUP($A20,INDIRECT(#REF!&amp;"!$A$6:$C$200"),3,0),0))</f>
        <v/>
      </c>
      <c r="CO20" s="7" t="str">
        <f ca="1">IF(CO19="","",IFERROR(VLOOKUP($A20,INDIRECT(#REF!&amp;"!$A$6:$C$200"),3,0),0))</f>
        <v/>
      </c>
      <c r="CP20" s="7" t="str">
        <f ca="1">IF(CP19="","",IFERROR(VLOOKUP($A20,INDIRECT(#REF!&amp;"!$A$6:$C$200"),3,0),0))</f>
        <v/>
      </c>
      <c r="CQ20" s="7" t="str">
        <f ca="1">IF(CQ19="","",IFERROR(VLOOKUP($A20,INDIRECT(#REF!&amp;"!$A$6:$C$200"),3,0),0))</f>
        <v/>
      </c>
      <c r="CR20" s="7" t="str">
        <f ca="1">IF(CR19="","",IFERROR(VLOOKUP($A20,INDIRECT(#REF!&amp;"!$A$6:$C$200"),3,0),0))</f>
        <v/>
      </c>
      <c r="CS20" s="7" t="str">
        <f ca="1">IF(CS19="","",IFERROR(VLOOKUP($A20,INDIRECT(#REF!&amp;"!$A$6:$C$200"),3,0),0))</f>
        <v/>
      </c>
      <c r="CT20" s="7" t="str">
        <f ca="1">IF(CT19="","",IFERROR(VLOOKUP($A20,INDIRECT(#REF!&amp;"!$A$6:$C$200"),3,0),0))</f>
        <v/>
      </c>
      <c r="CU20" s="7" t="str">
        <f ca="1">IF(CU19="","",IFERROR(VLOOKUP($A20,INDIRECT(#REF!&amp;"!$A$6:$C$200"),3,0),0))</f>
        <v/>
      </c>
      <c r="CV20" s="7" t="str">
        <f ca="1">IF(CV19="","",IFERROR(VLOOKUP($A20,INDIRECT(#REF!&amp;"!$A$6:$C$200"),3,0),0))</f>
        <v/>
      </c>
      <c r="CW20" s="7" t="str">
        <f ca="1">IF(CW19="","",IFERROR(VLOOKUP($A20,INDIRECT(#REF!&amp;"!$A$6:$C$200"),3,0),0))</f>
        <v/>
      </c>
      <c r="CX20" s="7" t="str">
        <f ca="1">IF(CX19="","",IFERROR(VLOOKUP($A20,INDIRECT(#REF!&amp;"!$A$6:$C$200"),3,0),0))</f>
        <v/>
      </c>
      <c r="CY20" s="7" t="str">
        <f ca="1">IF(CY19="","",IFERROR(VLOOKUP($A20,INDIRECT(#REF!&amp;"!$A$6:$C$200"),3,0),0))</f>
        <v/>
      </c>
      <c r="CZ20" s="7" t="str">
        <f ca="1">IF(CZ19="","",IFERROR(VLOOKUP($A20,INDIRECT(#REF!&amp;"!$A$6:$C$200"),3,0),0))</f>
        <v/>
      </c>
      <c r="DA20" s="7" t="str">
        <f ca="1">IF(DA19="","",IFERROR(VLOOKUP($A20,INDIRECT(#REF!&amp;"!$A$6:$C$200"),3,0),0))</f>
        <v/>
      </c>
      <c r="DB20" s="7" t="str">
        <f ca="1">IF(DB19="","",IFERROR(VLOOKUP($A20,INDIRECT(#REF!&amp;"!$A$6:$C$200"),3,0),0))</f>
        <v/>
      </c>
      <c r="DC20" s="7" t="str">
        <f ca="1">IF(DC19="","",IFERROR(VLOOKUP($A20,INDIRECT(#REF!&amp;"!$A$6:$C$200"),3,0),0))</f>
        <v/>
      </c>
      <c r="DD20" s="7" t="str">
        <f ca="1">IF(DD19="","",IFERROR(VLOOKUP($A20,INDIRECT(#REF!&amp;"!$A$6:$C$200"),3,0),0))</f>
        <v/>
      </c>
      <c r="DE20" s="7" t="str">
        <f ca="1">IF(DE19="","",IFERROR(VLOOKUP($A20,INDIRECT(#REF!&amp;"!$A$6:$C$200"),3,0),0))</f>
        <v/>
      </c>
      <c r="DF20" s="7" t="str">
        <f ca="1">IF(DF19="","",IFERROR(VLOOKUP($A20,INDIRECT(#REF!&amp;"!$A$6:$C$200"),3,0),0))</f>
        <v/>
      </c>
      <c r="DG20" s="7" t="str">
        <f ca="1">IF(DG19="","",IFERROR(VLOOKUP($A20,INDIRECT(#REF!&amp;"!$A$6:$C$200"),3,0),0))</f>
        <v/>
      </c>
      <c r="DH20" s="7" t="str">
        <f ca="1">IF(DH19="","",IFERROR(VLOOKUP($A20,INDIRECT(#REF!&amp;"!$A$6:$C$200"),3,0),0))</f>
        <v/>
      </c>
      <c r="DI20" s="7" t="str">
        <f ca="1">IF(DI19="","",IFERROR(VLOOKUP($A20,INDIRECT(#REF!&amp;"!$A$6:$C$200"),3,0),0))</f>
        <v/>
      </c>
      <c r="DJ20" s="7" t="str">
        <f ca="1">IF(DJ19="","",IFERROR(VLOOKUP($A20,INDIRECT(#REF!&amp;"!$A$6:$C$200"),3,0),0))</f>
        <v/>
      </c>
      <c r="DK20" s="7" t="str">
        <f ca="1">IF(DK19="","",IFERROR(VLOOKUP($A20,INDIRECT(#REF!&amp;"!$A$6:$C$200"),3,0),0))</f>
        <v/>
      </c>
    </row>
    <row r="21" spans="1:115">
      <c r="A21" s="6" t="s">
        <v>23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f t="shared" ca="1" si="5"/>
        <v>0</v>
      </c>
      <c r="I21" s="7">
        <f t="shared" ca="1" si="3"/>
        <v>0</v>
      </c>
      <c r="J21" s="7">
        <f t="shared" ca="1" si="4"/>
        <v>0</v>
      </c>
      <c r="K21" s="7">
        <f t="shared" ca="1" si="0"/>
        <v>0</v>
      </c>
      <c r="L21" s="7">
        <f t="shared" ca="1" si="1"/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7">
        <v>0</v>
      </c>
      <c r="AN21" s="8">
        <v>0</v>
      </c>
      <c r="AO21" s="8">
        <v>0</v>
      </c>
      <c r="AP21" s="8">
        <v>0</v>
      </c>
      <c r="AQ21" s="8">
        <v>0</v>
      </c>
      <c r="AR21" s="7">
        <v>0</v>
      </c>
      <c r="AS21" s="8">
        <v>0</v>
      </c>
      <c r="AT21" s="8">
        <v>0</v>
      </c>
      <c r="AU21" s="7">
        <v>0</v>
      </c>
      <c r="AV21" s="8">
        <v>0</v>
      </c>
      <c r="AW21" s="8">
        <v>0</v>
      </c>
      <c r="AX21" s="7">
        <v>0</v>
      </c>
      <c r="AY21" s="8">
        <v>0</v>
      </c>
      <c r="AZ21" s="8">
        <v>0</v>
      </c>
      <c r="BA21" s="8">
        <v>0</v>
      </c>
      <c r="BB21" s="8">
        <v>0</v>
      </c>
      <c r="BC21" s="7">
        <v>0</v>
      </c>
      <c r="BD21" s="7">
        <v>0</v>
      </c>
      <c r="BE21" s="7">
        <f ca="1">IFERROR(VLOOKUP($A21,INDIRECT(#REF!&amp;"!$A$6:$C$200"),3,0),0)</f>
        <v>0</v>
      </c>
      <c r="BF21" s="8">
        <f ca="1">IFERROR(VLOOKUP($A21,INDIRECT(#REF!&amp;"!$A$6:$C$200"),3,0),0)</f>
        <v>0</v>
      </c>
      <c r="BG21" s="8">
        <f ca="1">IFERROR(VLOOKUP($A21,INDIRECT(#REF!&amp;"!$A$6:$C$200"),3,0),0)</f>
        <v>0</v>
      </c>
      <c r="BH21" s="8">
        <f ca="1">IFERROR(VLOOKUP($A21,INDIRECT(#REF!&amp;"!$A$6:$C$200"),3,0),0)</f>
        <v>0</v>
      </c>
      <c r="BI21" s="8">
        <f ca="1">IFERROR(VLOOKUP($A21,INDIRECT(#REF!&amp;"!$A$6:$C$200"),3,0),0)</f>
        <v>0</v>
      </c>
      <c r="BJ21" s="8">
        <f ca="1">IFERROR(VLOOKUP($A21,INDIRECT(#REF!&amp;"!$A$6:$C$200"),3,0),0)</f>
        <v>0</v>
      </c>
      <c r="BK21" s="8">
        <f ca="1">IFERROR(VLOOKUP($A21,INDIRECT(#REF!&amp;"!$A$6:$C$200"),3,0),0)</f>
        <v>0</v>
      </c>
      <c r="BL21" s="7">
        <f ca="1">IFERROR(VLOOKUP($A21,INDIRECT(#REF!&amp;"!$A$6:$C$200"),3,0),0)</f>
        <v>0</v>
      </c>
      <c r="BM21" s="8">
        <f ca="1">IFERROR(VLOOKUP($A21,INDIRECT(#REF!&amp;"!$A$6:$C$200"),3,0),0)</f>
        <v>0</v>
      </c>
      <c r="BN21" s="8">
        <f ca="1">IFERROR(VLOOKUP($A21,INDIRECT(#REF!&amp;"!$A$6:$C$200"),3,0),0)</f>
        <v>0</v>
      </c>
      <c r="BO21" s="8">
        <f ca="1">IFERROR(VLOOKUP($A21,INDIRECT(#REF!&amp;"!$A$6:$C$200"),3,0),0)</f>
        <v>0</v>
      </c>
      <c r="BP21" s="7">
        <f ca="1">IFERROR(VLOOKUP($A21,INDIRECT(#REF!&amp;"!$A$6:$C$200"),3,0),0)</f>
        <v>0</v>
      </c>
      <c r="BQ21" s="7">
        <f ca="1">IFERROR(VLOOKUP($A21,INDIRECT(#REF!&amp;"!$A$6:$C$200"),3,0),0)</f>
        <v>0</v>
      </c>
      <c r="BR21" s="8">
        <f ca="1">IFERROR(VLOOKUP($A21,INDIRECT(#REF!&amp;"!$A$6:$C$200"),3,0),0)</f>
        <v>0</v>
      </c>
      <c r="BS21" s="7">
        <f ca="1">IFERROR(VLOOKUP($A21,INDIRECT(#REF!&amp;"!$A$6:$C$200"),3,0),0)</f>
        <v>0</v>
      </c>
      <c r="BT21" s="7">
        <f ca="1">IFERROR(VLOOKUP($A21,INDIRECT(#REF!&amp;"!$A$6:$C$200"),3,0),0)</f>
        <v>0</v>
      </c>
      <c r="BU21" s="7">
        <f ca="1">IFERROR(VLOOKUP($A21,INDIRECT(#REF!&amp;"!$A$6:$C$200"),3,0),0)</f>
        <v>0</v>
      </c>
      <c r="BV21" s="7">
        <f ca="1">IFERROR(VLOOKUP($A21,INDIRECT(#REF!&amp;"!$A$6:$C$200"),3,0),0)</f>
        <v>0</v>
      </c>
      <c r="BW21" s="7">
        <f ca="1">IFERROR(VLOOKUP($A21,INDIRECT(#REF!&amp;"!$A$6:$C$200"),3,0),0)</f>
        <v>0</v>
      </c>
      <c r="BX21" s="7">
        <f ca="1">IFERROR(VLOOKUP($A21,INDIRECT(#REF!&amp;"!$A$6:$C$200"),3,0),0)</f>
        <v>0</v>
      </c>
      <c r="BY21" s="7">
        <f ca="1">IFERROR(VLOOKUP($A21,INDIRECT(#REF!&amp;"!$A$6:$C$200"),3,0),0)</f>
        <v>0</v>
      </c>
      <c r="BZ21" s="7">
        <f ca="1">IFERROR(VLOOKUP($A21,INDIRECT(#REF!&amp;"!$A$6:$C$200"),3,0),0)</f>
        <v>0</v>
      </c>
      <c r="CA21" s="7">
        <f ca="1">IFERROR(VLOOKUP($A21,INDIRECT(#REF!&amp;"!$A$6:$C$200"),3,0),0)</f>
        <v>0</v>
      </c>
      <c r="CB21" s="7">
        <f ca="1">IFERROR(VLOOKUP($A21,INDIRECT(#REF!&amp;"!$A$6:$C$200"),3,0),0)</f>
        <v>0</v>
      </c>
      <c r="CC21" s="7">
        <f ca="1">IFERROR(VLOOKUP($A21,INDIRECT(#REF!&amp;"!$A$6:$C$200"),3,0),0)</f>
        <v>0</v>
      </c>
      <c r="CD21" s="7" t="str">
        <f ca="1">IF(CD20="","",IFERROR(VLOOKUP($A21,INDIRECT(#REF!&amp;"!$A$6:$C$200"),3,0),0))</f>
        <v/>
      </c>
      <c r="CE21" s="7" t="str">
        <f ca="1">IF(CE20="","",IFERROR(VLOOKUP($A21,INDIRECT(#REF!&amp;"!$A$6:$C$200"),3,0),0))</f>
        <v/>
      </c>
      <c r="CF21" s="7" t="str">
        <f ca="1">IF(CF20="","",IFERROR(VLOOKUP($A21,INDIRECT(#REF!&amp;"!$A$6:$C$200"),3,0),0))</f>
        <v/>
      </c>
      <c r="CG21" s="7" t="str">
        <f ca="1">IF(CG20="","",IFERROR(VLOOKUP($A21,INDIRECT(#REF!&amp;"!$A$6:$C$200"),3,0),0))</f>
        <v/>
      </c>
      <c r="CH21" s="7" t="str">
        <f ca="1">IF(CH20="","",IFERROR(VLOOKUP($A21,INDIRECT(#REF!&amp;"!$A$6:$C$200"),3,0),0))</f>
        <v/>
      </c>
      <c r="CI21" s="7" t="str">
        <f ca="1">IF(CI20="","",IFERROR(VLOOKUP($A21,INDIRECT(#REF!&amp;"!$A$6:$C$200"),3,0),0))</f>
        <v/>
      </c>
      <c r="CJ21" s="7" t="str">
        <f ca="1">IF(CJ20="","",IFERROR(VLOOKUP($A21,INDIRECT(#REF!&amp;"!$A$6:$C$200"),3,0),0))</f>
        <v/>
      </c>
      <c r="CK21" s="7" t="str">
        <f ca="1">IF(CK20="","",IFERROR(VLOOKUP($A21,INDIRECT(#REF!&amp;"!$A$6:$C$200"),3,0),0))</f>
        <v/>
      </c>
      <c r="CL21" s="7" t="str">
        <f ca="1">IF(CL20="","",IFERROR(VLOOKUP($A21,INDIRECT(#REF!&amp;"!$A$6:$C$200"),3,0),0))</f>
        <v/>
      </c>
      <c r="CM21" s="7" t="str">
        <f ca="1">IF(CM20="","",IFERROR(VLOOKUP($A21,INDIRECT(#REF!&amp;"!$A$6:$C$200"),3,0),0))</f>
        <v/>
      </c>
      <c r="CN21" s="7" t="str">
        <f ca="1">IF(CN20="","",IFERROR(VLOOKUP($A21,INDIRECT(#REF!&amp;"!$A$6:$C$200"),3,0),0))</f>
        <v/>
      </c>
      <c r="CO21" s="7" t="str">
        <f ca="1">IF(CO20="","",IFERROR(VLOOKUP($A21,INDIRECT(#REF!&amp;"!$A$6:$C$200"),3,0),0))</f>
        <v/>
      </c>
      <c r="CP21" s="7" t="str">
        <f ca="1">IF(CP20="","",IFERROR(VLOOKUP($A21,INDIRECT(#REF!&amp;"!$A$6:$C$200"),3,0),0))</f>
        <v/>
      </c>
      <c r="CQ21" s="7" t="str">
        <f ca="1">IF(CQ20="","",IFERROR(VLOOKUP($A21,INDIRECT(#REF!&amp;"!$A$6:$C$200"),3,0),0))</f>
        <v/>
      </c>
      <c r="CR21" s="7" t="str">
        <f ca="1">IF(CR20="","",IFERROR(VLOOKUP($A21,INDIRECT(#REF!&amp;"!$A$6:$C$200"),3,0),0))</f>
        <v/>
      </c>
      <c r="CS21" s="7" t="str">
        <f ca="1">IF(CS20="","",IFERROR(VLOOKUP($A21,INDIRECT(#REF!&amp;"!$A$6:$C$200"),3,0),0))</f>
        <v/>
      </c>
      <c r="CT21" s="7" t="str">
        <f ca="1">IF(CT20="","",IFERROR(VLOOKUP($A21,INDIRECT(#REF!&amp;"!$A$6:$C$200"),3,0),0))</f>
        <v/>
      </c>
      <c r="CU21" s="7" t="str">
        <f ca="1">IF(CU20="","",IFERROR(VLOOKUP($A21,INDIRECT(#REF!&amp;"!$A$6:$C$200"),3,0),0))</f>
        <v/>
      </c>
      <c r="CV21" s="7" t="str">
        <f ca="1">IF(CV20="","",IFERROR(VLOOKUP($A21,INDIRECT(#REF!&amp;"!$A$6:$C$200"),3,0),0))</f>
        <v/>
      </c>
      <c r="CW21" s="7" t="str">
        <f ca="1">IF(CW20="","",IFERROR(VLOOKUP($A21,INDIRECT(#REF!&amp;"!$A$6:$C$200"),3,0),0))</f>
        <v/>
      </c>
      <c r="CX21" s="7" t="str">
        <f ca="1">IF(CX20="","",IFERROR(VLOOKUP($A21,INDIRECT(#REF!&amp;"!$A$6:$C$200"),3,0),0))</f>
        <v/>
      </c>
      <c r="CY21" s="7" t="str">
        <f ca="1">IF(CY20="","",IFERROR(VLOOKUP($A21,INDIRECT(#REF!&amp;"!$A$6:$C$200"),3,0),0))</f>
        <v/>
      </c>
      <c r="CZ21" s="7" t="str">
        <f ca="1">IF(CZ20="","",IFERROR(VLOOKUP($A21,INDIRECT(#REF!&amp;"!$A$6:$C$200"),3,0),0))</f>
        <v/>
      </c>
      <c r="DA21" s="7" t="str">
        <f ca="1">IF(DA20="","",IFERROR(VLOOKUP($A21,INDIRECT(#REF!&amp;"!$A$6:$C$200"),3,0),0))</f>
        <v/>
      </c>
      <c r="DB21" s="7" t="str">
        <f ca="1">IF(DB20="","",IFERROR(VLOOKUP($A21,INDIRECT(#REF!&amp;"!$A$6:$C$200"),3,0),0))</f>
        <v/>
      </c>
      <c r="DC21" s="7" t="str">
        <f ca="1">IF(DC20="","",IFERROR(VLOOKUP($A21,INDIRECT(#REF!&amp;"!$A$6:$C$200"),3,0),0))</f>
        <v/>
      </c>
      <c r="DD21" s="7" t="str">
        <f ca="1">IF(DD20="","",IFERROR(VLOOKUP($A21,INDIRECT(#REF!&amp;"!$A$6:$C$200"),3,0),0))</f>
        <v/>
      </c>
      <c r="DE21" s="7" t="str">
        <f ca="1">IF(DE20="","",IFERROR(VLOOKUP($A21,INDIRECT(#REF!&amp;"!$A$6:$C$200"),3,0),0))</f>
        <v/>
      </c>
      <c r="DF21" s="7" t="str">
        <f ca="1">IF(DF20="","",IFERROR(VLOOKUP($A21,INDIRECT(#REF!&amp;"!$A$6:$C$200"),3,0),0))</f>
        <v/>
      </c>
      <c r="DG21" s="7" t="str">
        <f ca="1">IF(DG20="","",IFERROR(VLOOKUP($A21,INDIRECT(#REF!&amp;"!$A$6:$C$200"),3,0),0))</f>
        <v/>
      </c>
      <c r="DH21" s="7" t="str">
        <f ca="1">IF(DH20="","",IFERROR(VLOOKUP($A21,INDIRECT(#REF!&amp;"!$A$6:$C$200"),3,0),0))</f>
        <v/>
      </c>
      <c r="DI21" s="7" t="str">
        <f ca="1">IF(DI20="","",IFERROR(VLOOKUP($A21,INDIRECT(#REF!&amp;"!$A$6:$C$200"),3,0),0))</f>
        <v/>
      </c>
      <c r="DJ21" s="7" t="str">
        <f ca="1">IF(DJ20="","",IFERROR(VLOOKUP($A21,INDIRECT(#REF!&amp;"!$A$6:$C$200"),3,0),0))</f>
        <v/>
      </c>
      <c r="DK21" s="7" t="str">
        <f ca="1">IF(DK20="","",IFERROR(VLOOKUP($A21,INDIRECT(#REF!&amp;"!$A$6:$C$200"),3,0),0))</f>
        <v/>
      </c>
    </row>
    <row r="22" spans="1:115">
      <c r="A22" s="6" t="s">
        <v>24</v>
      </c>
      <c r="B22" s="7">
        <v>9.9999999999999991E-5</v>
      </c>
      <c r="C22" s="7">
        <v>2.8571428571428574E-5</v>
      </c>
      <c r="D22" s="7">
        <v>7.1428571428571434E-5</v>
      </c>
      <c r="E22" s="7">
        <v>1.0000000000000002E-4</v>
      </c>
      <c r="F22" s="7">
        <v>7.1428571428571434E-5</v>
      </c>
      <c r="G22" s="7">
        <v>4.2857142857142863E-5</v>
      </c>
      <c r="H22" s="7">
        <f t="shared" ca="1" si="5"/>
        <v>4.2857142857142863E-5</v>
      </c>
      <c r="I22" s="7">
        <f t="shared" ca="1" si="3"/>
        <v>0</v>
      </c>
      <c r="J22" s="7">
        <f t="shared" ca="1" si="4"/>
        <v>0</v>
      </c>
      <c r="K22" s="7">
        <f t="shared" ca="1" si="0"/>
        <v>0</v>
      </c>
      <c r="L22" s="7">
        <f t="shared" ca="1" si="1"/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5.9999999999999995E-4</v>
      </c>
      <c r="S22" s="8">
        <v>2.0000000000000001E-4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1E-4</v>
      </c>
      <c r="AB22" s="8">
        <v>1E-4</v>
      </c>
      <c r="AC22" s="8">
        <v>2.0000000000000001E-4</v>
      </c>
      <c r="AD22" s="8">
        <v>1E-4</v>
      </c>
      <c r="AE22" s="8">
        <v>0</v>
      </c>
      <c r="AF22" s="8">
        <v>0</v>
      </c>
      <c r="AG22" s="8">
        <v>1E-4</v>
      </c>
      <c r="AH22" s="8">
        <v>0</v>
      </c>
      <c r="AI22" s="8">
        <v>1E-4</v>
      </c>
      <c r="AJ22" s="8">
        <v>1E-4</v>
      </c>
      <c r="AK22" s="8">
        <v>0</v>
      </c>
      <c r="AL22" s="8">
        <v>2.9999999999999997E-4</v>
      </c>
      <c r="AM22" s="7">
        <v>1E-4</v>
      </c>
      <c r="AN22" s="7">
        <v>1E-4</v>
      </c>
      <c r="AO22" s="7">
        <v>1E-4</v>
      </c>
      <c r="AP22" s="7">
        <v>0</v>
      </c>
      <c r="AQ22" s="7">
        <v>0</v>
      </c>
      <c r="AR22" s="7">
        <v>1E-4</v>
      </c>
      <c r="AS22" s="7">
        <v>1E-4</v>
      </c>
      <c r="AT22" s="7">
        <v>1E-4</v>
      </c>
      <c r="AU22" s="7">
        <v>1E-4</v>
      </c>
      <c r="AV22" s="7">
        <v>0</v>
      </c>
      <c r="AW22" s="7">
        <v>0</v>
      </c>
      <c r="AX22" s="7">
        <v>0</v>
      </c>
      <c r="AY22" s="7">
        <v>0</v>
      </c>
      <c r="AZ22" s="7">
        <v>1E-4</v>
      </c>
      <c r="BA22" s="7">
        <v>1E-4</v>
      </c>
      <c r="BB22" s="7">
        <v>1E-4</v>
      </c>
      <c r="BC22" s="7">
        <v>1E-4</v>
      </c>
      <c r="BD22" s="7">
        <v>1E-4</v>
      </c>
      <c r="BE22" s="7">
        <f ca="1">IFERROR(VLOOKUP($A22,INDIRECT(#REF!&amp;"!$A$6:$C$200"),3,0),0)</f>
        <v>0</v>
      </c>
      <c r="BF22" s="7">
        <f ca="1">IFERROR(VLOOKUP($A22,INDIRECT(#REF!&amp;"!$A$6:$C$200"),3,0),0)</f>
        <v>0</v>
      </c>
      <c r="BG22" s="7">
        <f ca="1">IFERROR(VLOOKUP($A22,INDIRECT(#REF!&amp;"!$A$6:$C$200"),3,0),0)</f>
        <v>0</v>
      </c>
      <c r="BH22" s="8">
        <f ca="1">IFERROR(VLOOKUP($A22,INDIRECT(#REF!&amp;"!$A$6:$C$200"),3,0),0)</f>
        <v>0</v>
      </c>
      <c r="BI22" s="8">
        <f ca="1">IFERROR(VLOOKUP($A22,INDIRECT(#REF!&amp;"!$A$6:$C$200"),3,0),0)</f>
        <v>0</v>
      </c>
      <c r="BJ22" s="8">
        <f ca="1">IFERROR(VLOOKUP($A22,INDIRECT(#REF!&amp;"!$A$6:$C$200"),3,0),0)</f>
        <v>0</v>
      </c>
      <c r="BK22" s="8">
        <f ca="1">IFERROR(VLOOKUP($A22,INDIRECT(#REF!&amp;"!$A$6:$C$200"),3,0),0)</f>
        <v>0</v>
      </c>
      <c r="BL22" s="8">
        <f ca="1">IFERROR(VLOOKUP($A22,INDIRECT(#REF!&amp;"!$A$6:$C$200"),3,0),0)</f>
        <v>0</v>
      </c>
      <c r="BM22" s="8">
        <f ca="1">IFERROR(VLOOKUP($A22,INDIRECT(#REF!&amp;"!$A$6:$C$200"),3,0),0)</f>
        <v>0</v>
      </c>
      <c r="BN22" s="8">
        <f ca="1">IFERROR(VLOOKUP($A22,INDIRECT(#REF!&amp;"!$A$6:$C$200"),3,0),0)</f>
        <v>0</v>
      </c>
      <c r="BO22" s="8">
        <f ca="1">IFERROR(VLOOKUP($A22,INDIRECT(#REF!&amp;"!$A$6:$C$200"),3,0),0)</f>
        <v>0</v>
      </c>
      <c r="BP22" s="7">
        <f ca="1">IFERROR(VLOOKUP($A22,INDIRECT(#REF!&amp;"!$A$6:$C$200"),3,0),0)</f>
        <v>0</v>
      </c>
      <c r="BQ22" s="7">
        <f ca="1">IFERROR(VLOOKUP($A22,INDIRECT(#REF!&amp;"!$A$6:$C$200"),3,0),0)</f>
        <v>0</v>
      </c>
      <c r="BR22" s="7">
        <f ca="1">IFERROR(VLOOKUP($A22,INDIRECT(#REF!&amp;"!$A$6:$C$200"),3,0),0)</f>
        <v>0</v>
      </c>
      <c r="BS22" s="7">
        <f ca="1">IFERROR(VLOOKUP($A22,INDIRECT(#REF!&amp;"!$A$6:$C$200"),3,0),0)</f>
        <v>0</v>
      </c>
      <c r="BT22" s="7">
        <f ca="1">IFERROR(VLOOKUP($A22,INDIRECT(#REF!&amp;"!$A$6:$C$200"),3,0),0)</f>
        <v>0</v>
      </c>
      <c r="BU22" s="7">
        <f ca="1">IFERROR(VLOOKUP($A22,INDIRECT(#REF!&amp;"!$A$6:$C$200"),3,0),0)</f>
        <v>0</v>
      </c>
      <c r="BV22" s="7">
        <f ca="1">IFERROR(VLOOKUP($A22,INDIRECT(#REF!&amp;"!$A$6:$C$200"),3,0),0)</f>
        <v>0</v>
      </c>
      <c r="BW22" s="7">
        <f ca="1">IFERROR(VLOOKUP($A22,INDIRECT(#REF!&amp;"!$A$6:$C$200"),3,0),0)</f>
        <v>0</v>
      </c>
      <c r="BX22" s="7">
        <f ca="1">IFERROR(VLOOKUP($A22,INDIRECT(#REF!&amp;"!$A$6:$C$200"),3,0),0)</f>
        <v>0</v>
      </c>
      <c r="BY22" s="7">
        <f ca="1">IFERROR(VLOOKUP($A22,INDIRECT(#REF!&amp;"!$A$6:$C$200"),3,0),0)</f>
        <v>0</v>
      </c>
      <c r="BZ22" s="7">
        <f ca="1">IFERROR(VLOOKUP($A22,INDIRECT(#REF!&amp;"!$A$6:$C$200"),3,0),0)</f>
        <v>0</v>
      </c>
      <c r="CA22" s="7">
        <f ca="1">IFERROR(VLOOKUP($A22,INDIRECT(#REF!&amp;"!$A$6:$C$200"),3,0),0)</f>
        <v>0</v>
      </c>
      <c r="CB22" s="7">
        <f ca="1">IFERROR(VLOOKUP($A22,INDIRECT(#REF!&amp;"!$A$6:$C$200"),3,0),0)</f>
        <v>0</v>
      </c>
      <c r="CC22" s="7">
        <f ca="1">IFERROR(VLOOKUP($A22,INDIRECT(#REF!&amp;"!$A$6:$C$200"),3,0),0)</f>
        <v>0</v>
      </c>
      <c r="CD22" s="7" t="str">
        <f ca="1">IF(CD21="","",IFERROR(VLOOKUP($A22,INDIRECT(#REF!&amp;"!$A$6:$C$200"),3,0),0))</f>
        <v/>
      </c>
      <c r="CE22" s="7" t="str">
        <f ca="1">IF(CE21="","",IFERROR(VLOOKUP($A22,INDIRECT(#REF!&amp;"!$A$6:$C$200"),3,0),0))</f>
        <v/>
      </c>
      <c r="CF22" s="7" t="str">
        <f ca="1">IF(CF21="","",IFERROR(VLOOKUP($A22,INDIRECT(#REF!&amp;"!$A$6:$C$200"),3,0),0))</f>
        <v/>
      </c>
      <c r="CG22" s="7" t="str">
        <f ca="1">IF(CG21="","",IFERROR(VLOOKUP($A22,INDIRECT(#REF!&amp;"!$A$6:$C$200"),3,0),0))</f>
        <v/>
      </c>
      <c r="CH22" s="7" t="str">
        <f ca="1">IF(CH21="","",IFERROR(VLOOKUP($A22,INDIRECT(#REF!&amp;"!$A$6:$C$200"),3,0),0))</f>
        <v/>
      </c>
      <c r="CI22" s="7" t="str">
        <f ca="1">IF(CI21="","",IFERROR(VLOOKUP($A22,INDIRECT(#REF!&amp;"!$A$6:$C$200"),3,0),0))</f>
        <v/>
      </c>
      <c r="CJ22" s="7" t="str">
        <f ca="1">IF(CJ21="","",IFERROR(VLOOKUP($A22,INDIRECT(#REF!&amp;"!$A$6:$C$200"),3,0),0))</f>
        <v/>
      </c>
      <c r="CK22" s="7" t="str">
        <f ca="1">IF(CK21="","",IFERROR(VLOOKUP($A22,INDIRECT(#REF!&amp;"!$A$6:$C$200"),3,0),0))</f>
        <v/>
      </c>
      <c r="CL22" s="7" t="str">
        <f ca="1">IF(CL21="","",IFERROR(VLOOKUP($A22,INDIRECT(#REF!&amp;"!$A$6:$C$200"),3,0),0))</f>
        <v/>
      </c>
      <c r="CM22" s="7" t="str">
        <f ca="1">IF(CM21="","",IFERROR(VLOOKUP($A22,INDIRECT(#REF!&amp;"!$A$6:$C$200"),3,0),0))</f>
        <v/>
      </c>
      <c r="CN22" s="7" t="str">
        <f ca="1">IF(CN21="","",IFERROR(VLOOKUP($A22,INDIRECT(#REF!&amp;"!$A$6:$C$200"),3,0),0))</f>
        <v/>
      </c>
      <c r="CO22" s="7" t="str">
        <f ca="1">IF(CO21="","",IFERROR(VLOOKUP($A22,INDIRECT(#REF!&amp;"!$A$6:$C$200"),3,0),0))</f>
        <v/>
      </c>
      <c r="CP22" s="7" t="str">
        <f ca="1">IF(CP21="","",IFERROR(VLOOKUP($A22,INDIRECT(#REF!&amp;"!$A$6:$C$200"),3,0),0))</f>
        <v/>
      </c>
      <c r="CQ22" s="7" t="str">
        <f ca="1">IF(CQ21="","",IFERROR(VLOOKUP($A22,INDIRECT(#REF!&amp;"!$A$6:$C$200"),3,0),0))</f>
        <v/>
      </c>
      <c r="CR22" s="7" t="str">
        <f ca="1">IF(CR21="","",IFERROR(VLOOKUP($A22,INDIRECT(#REF!&amp;"!$A$6:$C$200"),3,0),0))</f>
        <v/>
      </c>
      <c r="CS22" s="7" t="str">
        <f ca="1">IF(CS21="","",IFERROR(VLOOKUP($A22,INDIRECT(#REF!&amp;"!$A$6:$C$200"),3,0),0))</f>
        <v/>
      </c>
      <c r="CT22" s="7" t="str">
        <f ca="1">IF(CT21="","",IFERROR(VLOOKUP($A22,INDIRECT(#REF!&amp;"!$A$6:$C$200"),3,0),0))</f>
        <v/>
      </c>
      <c r="CU22" s="7" t="str">
        <f ca="1">IF(CU21="","",IFERROR(VLOOKUP($A22,INDIRECT(#REF!&amp;"!$A$6:$C$200"),3,0),0))</f>
        <v/>
      </c>
      <c r="CV22" s="7" t="str">
        <f ca="1">IF(CV21="","",IFERROR(VLOOKUP($A22,INDIRECT(#REF!&amp;"!$A$6:$C$200"),3,0),0))</f>
        <v/>
      </c>
      <c r="CW22" s="7" t="str">
        <f ca="1">IF(CW21="","",IFERROR(VLOOKUP($A22,INDIRECT(#REF!&amp;"!$A$6:$C$200"),3,0),0))</f>
        <v/>
      </c>
      <c r="CX22" s="7" t="str">
        <f ca="1">IF(CX21="","",IFERROR(VLOOKUP($A22,INDIRECT(#REF!&amp;"!$A$6:$C$200"),3,0),0))</f>
        <v/>
      </c>
      <c r="CY22" s="7" t="str">
        <f ca="1">IF(CY21="","",IFERROR(VLOOKUP($A22,INDIRECT(#REF!&amp;"!$A$6:$C$200"),3,0),0))</f>
        <v/>
      </c>
      <c r="CZ22" s="7" t="str">
        <f ca="1">IF(CZ21="","",IFERROR(VLOOKUP($A22,INDIRECT(#REF!&amp;"!$A$6:$C$200"),3,0),0))</f>
        <v/>
      </c>
      <c r="DA22" s="7" t="str">
        <f ca="1">IF(DA21="","",IFERROR(VLOOKUP($A22,INDIRECT(#REF!&amp;"!$A$6:$C$200"),3,0),0))</f>
        <v/>
      </c>
      <c r="DB22" s="7" t="str">
        <f ca="1">IF(DB21="","",IFERROR(VLOOKUP($A22,INDIRECT(#REF!&amp;"!$A$6:$C$200"),3,0),0))</f>
        <v/>
      </c>
      <c r="DC22" s="7" t="str">
        <f ca="1">IF(DC21="","",IFERROR(VLOOKUP($A22,INDIRECT(#REF!&amp;"!$A$6:$C$200"),3,0),0))</f>
        <v/>
      </c>
      <c r="DD22" s="7" t="str">
        <f ca="1">IF(DD21="","",IFERROR(VLOOKUP($A22,INDIRECT(#REF!&amp;"!$A$6:$C$200"),3,0),0))</f>
        <v/>
      </c>
      <c r="DE22" s="7" t="str">
        <f ca="1">IF(DE21="","",IFERROR(VLOOKUP($A22,INDIRECT(#REF!&amp;"!$A$6:$C$200"),3,0),0))</f>
        <v/>
      </c>
      <c r="DF22" s="7" t="str">
        <f ca="1">IF(DF21="","",IFERROR(VLOOKUP($A22,INDIRECT(#REF!&amp;"!$A$6:$C$200"),3,0),0))</f>
        <v/>
      </c>
      <c r="DG22" s="7" t="str">
        <f ca="1">IF(DG21="","",IFERROR(VLOOKUP($A22,INDIRECT(#REF!&amp;"!$A$6:$C$200"),3,0),0))</f>
        <v/>
      </c>
      <c r="DH22" s="7" t="str">
        <f ca="1">IF(DH21="","",IFERROR(VLOOKUP($A22,INDIRECT(#REF!&amp;"!$A$6:$C$200"),3,0),0))</f>
        <v/>
      </c>
      <c r="DI22" s="7" t="str">
        <f ca="1">IF(DI21="","",IFERROR(VLOOKUP($A22,INDIRECT(#REF!&amp;"!$A$6:$C$200"),3,0),0))</f>
        <v/>
      </c>
      <c r="DJ22" s="7" t="str">
        <f ca="1">IF(DJ21="","",IFERROR(VLOOKUP($A22,INDIRECT(#REF!&amp;"!$A$6:$C$200"),3,0),0))</f>
        <v/>
      </c>
      <c r="DK22" s="7" t="str">
        <f ca="1">IF(DK21="","",IFERROR(VLOOKUP($A22,INDIRECT(#REF!&amp;"!$A$6:$C$200"),3,0),0))</f>
        <v/>
      </c>
    </row>
    <row r="23" spans="1:115">
      <c r="A23" s="6" t="s">
        <v>25</v>
      </c>
      <c r="B23" s="7">
        <v>3.3333333333333335E-5</v>
      </c>
      <c r="C23" s="7">
        <v>7.1428571428571434E-5</v>
      </c>
      <c r="D23" s="7">
        <v>0</v>
      </c>
      <c r="E23" s="7">
        <v>2.8571428571428574E-5</v>
      </c>
      <c r="F23" s="7">
        <v>0</v>
      </c>
      <c r="G23" s="7">
        <v>2.8571428571428574E-5</v>
      </c>
      <c r="H23" s="7">
        <f t="shared" ca="1" si="5"/>
        <v>2.8571428571428574E-5</v>
      </c>
      <c r="I23" s="7">
        <f t="shared" ca="1" si="3"/>
        <v>0</v>
      </c>
      <c r="J23" s="7">
        <f t="shared" ca="1" si="4"/>
        <v>0</v>
      </c>
      <c r="K23" s="7">
        <f t="shared" ca="1" si="0"/>
        <v>0</v>
      </c>
      <c r="L23" s="7">
        <f t="shared" ca="1" si="1"/>
        <v>0</v>
      </c>
      <c r="M23" s="8">
        <v>0</v>
      </c>
      <c r="N23" s="8">
        <v>0</v>
      </c>
      <c r="O23" s="8">
        <v>1E-4</v>
      </c>
      <c r="P23" s="8">
        <v>0</v>
      </c>
      <c r="Q23" s="8">
        <v>0</v>
      </c>
      <c r="R23" s="8">
        <v>1E-4</v>
      </c>
      <c r="S23" s="8">
        <v>2.0000000000000001E-4</v>
      </c>
      <c r="T23" s="8">
        <v>2.0000000000000001E-4</v>
      </c>
      <c r="U23" s="8">
        <v>0</v>
      </c>
      <c r="V23" s="8">
        <v>1E-4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1E-4</v>
      </c>
      <c r="AH23" s="8">
        <v>0</v>
      </c>
      <c r="AI23" s="8">
        <v>0</v>
      </c>
      <c r="AJ23" s="8">
        <v>1E-4</v>
      </c>
      <c r="AK23" s="8">
        <v>0</v>
      </c>
      <c r="AL23" s="8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>
        <v>0</v>
      </c>
      <c r="AW23" s="7">
        <v>1E-4</v>
      </c>
      <c r="AX23" s="7">
        <v>0</v>
      </c>
      <c r="AY23" s="8">
        <v>0</v>
      </c>
      <c r="AZ23" s="7">
        <v>1E-4</v>
      </c>
      <c r="BA23" s="7">
        <v>0</v>
      </c>
      <c r="BB23" s="7">
        <v>1E-4</v>
      </c>
      <c r="BC23" s="7">
        <v>1E-4</v>
      </c>
      <c r="BD23" s="7">
        <v>0</v>
      </c>
      <c r="BE23" s="7">
        <f ca="1">IFERROR(VLOOKUP($A23,INDIRECT(#REF!&amp;"!$A$6:$C$200"),3,0),0)</f>
        <v>0</v>
      </c>
      <c r="BF23" s="7">
        <f ca="1">IFERROR(VLOOKUP($A23,INDIRECT(#REF!&amp;"!$A$6:$C$200"),3,0),0)</f>
        <v>0</v>
      </c>
      <c r="BG23" s="7">
        <f ca="1">IFERROR(VLOOKUP($A23,INDIRECT(#REF!&amp;"!$A$6:$C$200"),3,0),0)</f>
        <v>0</v>
      </c>
      <c r="BH23" s="8">
        <f ca="1">IFERROR(VLOOKUP($A23,INDIRECT(#REF!&amp;"!$A$6:$C$200"),3,0),0)</f>
        <v>0</v>
      </c>
      <c r="BI23" s="8">
        <f ca="1">IFERROR(VLOOKUP($A23,INDIRECT(#REF!&amp;"!$A$6:$C$200"),3,0),0)</f>
        <v>0</v>
      </c>
      <c r="BJ23" s="8">
        <f ca="1">IFERROR(VLOOKUP($A23,INDIRECT(#REF!&amp;"!$A$6:$C$200"),3,0),0)</f>
        <v>0</v>
      </c>
      <c r="BK23" s="8">
        <f ca="1">IFERROR(VLOOKUP($A23,INDIRECT(#REF!&amp;"!$A$6:$C$200"),3,0),0)</f>
        <v>0</v>
      </c>
      <c r="BL23" s="8">
        <f ca="1">IFERROR(VLOOKUP($A23,INDIRECT(#REF!&amp;"!$A$6:$C$200"),3,0),0)</f>
        <v>0</v>
      </c>
      <c r="BM23" s="8">
        <f ca="1">IFERROR(VLOOKUP($A23,INDIRECT(#REF!&amp;"!$A$6:$C$200"),3,0),0)</f>
        <v>0</v>
      </c>
      <c r="BN23" s="8">
        <f ca="1">IFERROR(VLOOKUP($A23,INDIRECT(#REF!&amp;"!$A$6:$C$200"),3,0),0)</f>
        <v>0</v>
      </c>
      <c r="BO23" s="8">
        <f ca="1">IFERROR(VLOOKUP($A23,INDIRECT(#REF!&amp;"!$A$6:$C$200"),3,0),0)</f>
        <v>0</v>
      </c>
      <c r="BP23" s="7">
        <f ca="1">IFERROR(VLOOKUP($A23,INDIRECT(#REF!&amp;"!$A$6:$C$200"),3,0),0)</f>
        <v>0</v>
      </c>
      <c r="BQ23" s="7">
        <f ca="1">IFERROR(VLOOKUP($A23,INDIRECT(#REF!&amp;"!$A$6:$C$200"),3,0),0)</f>
        <v>0</v>
      </c>
      <c r="BR23" s="7">
        <f ca="1">IFERROR(VLOOKUP($A23,INDIRECT(#REF!&amp;"!$A$6:$C$200"),3,0),0)</f>
        <v>0</v>
      </c>
      <c r="BS23" s="7">
        <f ca="1">IFERROR(VLOOKUP($A23,INDIRECT(#REF!&amp;"!$A$6:$C$200"),3,0),0)</f>
        <v>0</v>
      </c>
      <c r="BT23" s="7">
        <f ca="1">IFERROR(VLOOKUP($A23,INDIRECT(#REF!&amp;"!$A$6:$C$200"),3,0),0)</f>
        <v>0</v>
      </c>
      <c r="BU23" s="7">
        <f ca="1">IFERROR(VLOOKUP($A23,INDIRECT(#REF!&amp;"!$A$6:$C$200"),3,0),0)</f>
        <v>0</v>
      </c>
      <c r="BV23" s="7">
        <f ca="1">IFERROR(VLOOKUP($A23,INDIRECT(#REF!&amp;"!$A$6:$C$200"),3,0),0)</f>
        <v>0</v>
      </c>
      <c r="BW23" s="7">
        <f ca="1">IFERROR(VLOOKUP($A23,INDIRECT(#REF!&amp;"!$A$6:$C$200"),3,0),0)</f>
        <v>0</v>
      </c>
      <c r="BX23" s="7">
        <f ca="1">IFERROR(VLOOKUP($A23,INDIRECT(#REF!&amp;"!$A$6:$C$200"),3,0),0)</f>
        <v>0</v>
      </c>
      <c r="BY23" s="7">
        <f ca="1">IFERROR(VLOOKUP($A23,INDIRECT(#REF!&amp;"!$A$6:$C$200"),3,0),0)</f>
        <v>0</v>
      </c>
      <c r="BZ23" s="7">
        <f ca="1">IFERROR(VLOOKUP($A23,INDIRECT(#REF!&amp;"!$A$6:$C$200"),3,0),0)</f>
        <v>0</v>
      </c>
      <c r="CA23" s="7">
        <f ca="1">IFERROR(VLOOKUP($A23,INDIRECT(#REF!&amp;"!$A$6:$C$200"),3,0),0)</f>
        <v>0</v>
      </c>
      <c r="CB23" s="7">
        <f ca="1">IFERROR(VLOOKUP($A23,INDIRECT(#REF!&amp;"!$A$6:$C$200"),3,0),0)</f>
        <v>0</v>
      </c>
      <c r="CC23" s="7">
        <f ca="1">IFERROR(VLOOKUP($A23,INDIRECT(#REF!&amp;"!$A$6:$C$200"),3,0),0)</f>
        <v>0</v>
      </c>
      <c r="CD23" s="7" t="str">
        <f ca="1">IF(CD22="","",IFERROR(VLOOKUP($A23,INDIRECT(#REF!&amp;"!$A$6:$C$200"),3,0),0))</f>
        <v/>
      </c>
      <c r="CE23" s="7" t="str">
        <f ca="1">IF(CE22="","",IFERROR(VLOOKUP($A23,INDIRECT(#REF!&amp;"!$A$6:$C$200"),3,0),0))</f>
        <v/>
      </c>
      <c r="CF23" s="7" t="str">
        <f ca="1">IF(CF22="","",IFERROR(VLOOKUP($A23,INDIRECT(#REF!&amp;"!$A$6:$C$200"),3,0),0))</f>
        <v/>
      </c>
      <c r="CG23" s="7" t="str">
        <f ca="1">IF(CG22="","",IFERROR(VLOOKUP($A23,INDIRECT(#REF!&amp;"!$A$6:$C$200"),3,0),0))</f>
        <v/>
      </c>
      <c r="CH23" s="7" t="str">
        <f ca="1">IF(CH22="","",IFERROR(VLOOKUP($A23,INDIRECT(#REF!&amp;"!$A$6:$C$200"),3,0),0))</f>
        <v/>
      </c>
      <c r="CI23" s="7" t="str">
        <f ca="1">IF(CI22="","",IFERROR(VLOOKUP($A23,INDIRECT(#REF!&amp;"!$A$6:$C$200"),3,0),0))</f>
        <v/>
      </c>
      <c r="CJ23" s="7" t="str">
        <f ca="1">IF(CJ22="","",IFERROR(VLOOKUP($A23,INDIRECT(#REF!&amp;"!$A$6:$C$200"),3,0),0))</f>
        <v/>
      </c>
      <c r="CK23" s="7" t="str">
        <f ca="1">IF(CK22="","",IFERROR(VLOOKUP($A23,INDIRECT(#REF!&amp;"!$A$6:$C$200"),3,0),0))</f>
        <v/>
      </c>
      <c r="CL23" s="7" t="str">
        <f ca="1">IF(CL22="","",IFERROR(VLOOKUP($A23,INDIRECT(#REF!&amp;"!$A$6:$C$200"),3,0),0))</f>
        <v/>
      </c>
      <c r="CM23" s="7" t="str">
        <f ca="1">IF(CM22="","",IFERROR(VLOOKUP($A23,INDIRECT(#REF!&amp;"!$A$6:$C$200"),3,0),0))</f>
        <v/>
      </c>
      <c r="CN23" s="7" t="str">
        <f ca="1">IF(CN22="","",IFERROR(VLOOKUP($A23,INDIRECT(#REF!&amp;"!$A$6:$C$200"),3,0),0))</f>
        <v/>
      </c>
      <c r="CO23" s="7" t="str">
        <f ca="1">IF(CO22="","",IFERROR(VLOOKUP($A23,INDIRECT(#REF!&amp;"!$A$6:$C$200"),3,0),0))</f>
        <v/>
      </c>
      <c r="CP23" s="7" t="str">
        <f ca="1">IF(CP22="","",IFERROR(VLOOKUP($A23,INDIRECT(#REF!&amp;"!$A$6:$C$200"),3,0),0))</f>
        <v/>
      </c>
      <c r="CQ23" s="7" t="str">
        <f ca="1">IF(CQ22="","",IFERROR(VLOOKUP($A23,INDIRECT(#REF!&amp;"!$A$6:$C$200"),3,0),0))</f>
        <v/>
      </c>
      <c r="CR23" s="7" t="str">
        <f ca="1">IF(CR22="","",IFERROR(VLOOKUP($A23,INDIRECT(#REF!&amp;"!$A$6:$C$200"),3,0),0))</f>
        <v/>
      </c>
      <c r="CS23" s="7" t="str">
        <f ca="1">IF(CS22="","",IFERROR(VLOOKUP($A23,INDIRECT(#REF!&amp;"!$A$6:$C$200"),3,0),0))</f>
        <v/>
      </c>
      <c r="CT23" s="7" t="str">
        <f ca="1">IF(CT22="","",IFERROR(VLOOKUP($A23,INDIRECT(#REF!&amp;"!$A$6:$C$200"),3,0),0))</f>
        <v/>
      </c>
      <c r="CU23" s="7" t="str">
        <f ca="1">IF(CU22="","",IFERROR(VLOOKUP($A23,INDIRECT(#REF!&amp;"!$A$6:$C$200"),3,0),0))</f>
        <v/>
      </c>
      <c r="CV23" s="7" t="str">
        <f ca="1">IF(CV22="","",IFERROR(VLOOKUP($A23,INDIRECT(#REF!&amp;"!$A$6:$C$200"),3,0),0))</f>
        <v/>
      </c>
      <c r="CW23" s="7" t="str">
        <f ca="1">IF(CW22="","",IFERROR(VLOOKUP($A23,INDIRECT(#REF!&amp;"!$A$6:$C$200"),3,0),0))</f>
        <v/>
      </c>
      <c r="CX23" s="7" t="str">
        <f ca="1">IF(CX22="","",IFERROR(VLOOKUP($A23,INDIRECT(#REF!&amp;"!$A$6:$C$200"),3,0),0))</f>
        <v/>
      </c>
      <c r="CY23" s="7" t="str">
        <f ca="1">IF(CY22="","",IFERROR(VLOOKUP($A23,INDIRECT(#REF!&amp;"!$A$6:$C$200"),3,0),0))</f>
        <v/>
      </c>
      <c r="CZ23" s="7" t="str">
        <f ca="1">IF(CZ22="","",IFERROR(VLOOKUP($A23,INDIRECT(#REF!&amp;"!$A$6:$C$200"),3,0),0))</f>
        <v/>
      </c>
      <c r="DA23" s="7" t="str">
        <f ca="1">IF(DA22="","",IFERROR(VLOOKUP($A23,INDIRECT(#REF!&amp;"!$A$6:$C$200"),3,0),0))</f>
        <v/>
      </c>
      <c r="DB23" s="7" t="str">
        <f ca="1">IF(DB22="","",IFERROR(VLOOKUP($A23,INDIRECT(#REF!&amp;"!$A$6:$C$200"),3,0),0))</f>
        <v/>
      </c>
      <c r="DC23" s="7" t="str">
        <f ca="1">IF(DC22="","",IFERROR(VLOOKUP($A23,INDIRECT(#REF!&amp;"!$A$6:$C$200"),3,0),0))</f>
        <v/>
      </c>
      <c r="DD23" s="7" t="str">
        <f ca="1">IF(DD22="","",IFERROR(VLOOKUP($A23,INDIRECT(#REF!&amp;"!$A$6:$C$200"),3,0),0))</f>
        <v/>
      </c>
      <c r="DE23" s="7" t="str">
        <f ca="1">IF(DE22="","",IFERROR(VLOOKUP($A23,INDIRECT(#REF!&amp;"!$A$6:$C$200"),3,0),0))</f>
        <v/>
      </c>
      <c r="DF23" s="7" t="str">
        <f ca="1">IF(DF22="","",IFERROR(VLOOKUP($A23,INDIRECT(#REF!&amp;"!$A$6:$C$200"),3,0),0))</f>
        <v/>
      </c>
      <c r="DG23" s="7" t="str">
        <f ca="1">IF(DG22="","",IFERROR(VLOOKUP($A23,INDIRECT(#REF!&amp;"!$A$6:$C$200"),3,0),0))</f>
        <v/>
      </c>
      <c r="DH23" s="7" t="str">
        <f ca="1">IF(DH22="","",IFERROR(VLOOKUP($A23,INDIRECT(#REF!&amp;"!$A$6:$C$200"),3,0),0))</f>
        <v/>
      </c>
      <c r="DI23" s="7" t="str">
        <f ca="1">IF(DI22="","",IFERROR(VLOOKUP($A23,INDIRECT(#REF!&amp;"!$A$6:$C$200"),3,0),0))</f>
        <v/>
      </c>
      <c r="DJ23" s="7" t="str">
        <f ca="1">IF(DJ22="","",IFERROR(VLOOKUP($A23,INDIRECT(#REF!&amp;"!$A$6:$C$200"),3,0),0))</f>
        <v/>
      </c>
      <c r="DK23" s="7" t="str">
        <f ca="1">IF(DK22="","",IFERROR(VLOOKUP($A23,INDIRECT(#REF!&amp;"!$A$6:$C$200"),3,0),0))</f>
        <v/>
      </c>
    </row>
    <row r="24" spans="1:115">
      <c r="A24" s="6" t="s">
        <v>26</v>
      </c>
      <c r="B24" s="7">
        <v>5.0000000000000002E-5</v>
      </c>
      <c r="C24" s="7">
        <v>5.7142857142857148E-5</v>
      </c>
      <c r="D24" s="7">
        <v>8.5714285714285726E-5</v>
      </c>
      <c r="E24" s="7">
        <v>1.1428571428571431E-4</v>
      </c>
      <c r="F24" s="7">
        <v>8.5714285714285726E-5</v>
      </c>
      <c r="G24" s="7">
        <v>1.0000000000000002E-4</v>
      </c>
      <c r="H24" s="7">
        <f t="shared" ca="1" si="5"/>
        <v>2.8571428571428574E-5</v>
      </c>
      <c r="I24" s="7">
        <f t="shared" ca="1" si="3"/>
        <v>0</v>
      </c>
      <c r="J24" s="7">
        <f t="shared" ca="1" si="4"/>
        <v>0</v>
      </c>
      <c r="K24" s="7">
        <f t="shared" ca="1" si="0"/>
        <v>0</v>
      </c>
      <c r="L24" s="7">
        <f t="shared" ca="1" si="1"/>
        <v>0</v>
      </c>
      <c r="M24" s="8">
        <v>1E-4</v>
      </c>
      <c r="N24" s="8">
        <v>0</v>
      </c>
      <c r="O24" s="8">
        <v>0</v>
      </c>
      <c r="P24" s="8">
        <v>1E-4</v>
      </c>
      <c r="Q24" s="8">
        <v>1E-4</v>
      </c>
      <c r="R24" s="8">
        <v>0</v>
      </c>
      <c r="S24" s="8">
        <v>0</v>
      </c>
      <c r="T24" s="8">
        <v>1E-4</v>
      </c>
      <c r="U24" s="8">
        <v>0</v>
      </c>
      <c r="V24" s="8">
        <v>0</v>
      </c>
      <c r="W24" s="8">
        <v>1E-4</v>
      </c>
      <c r="X24" s="8">
        <v>1E-4</v>
      </c>
      <c r="Y24" s="8">
        <v>1E-4</v>
      </c>
      <c r="Z24" s="8">
        <v>0</v>
      </c>
      <c r="AA24" s="8">
        <v>2.0000000000000001E-4</v>
      </c>
      <c r="AB24" s="8">
        <v>1E-4</v>
      </c>
      <c r="AC24" s="8">
        <v>0</v>
      </c>
      <c r="AD24" s="8">
        <v>1E-4</v>
      </c>
      <c r="AE24" s="8">
        <v>1E-4</v>
      </c>
      <c r="AF24" s="8">
        <v>1E-4</v>
      </c>
      <c r="AG24" s="8">
        <v>1E-4</v>
      </c>
      <c r="AH24" s="8">
        <v>1E-4</v>
      </c>
      <c r="AI24" s="8">
        <v>1E-4</v>
      </c>
      <c r="AJ24" s="8">
        <v>1E-4</v>
      </c>
      <c r="AK24" s="8">
        <v>2.0000000000000001E-4</v>
      </c>
      <c r="AL24" s="8">
        <v>1E-4</v>
      </c>
      <c r="AM24" s="7">
        <v>1E-4</v>
      </c>
      <c r="AN24" s="7">
        <v>1E-4</v>
      </c>
      <c r="AO24" s="7">
        <v>1E-4</v>
      </c>
      <c r="AP24" s="7">
        <v>1E-4</v>
      </c>
      <c r="AQ24" s="7">
        <v>0</v>
      </c>
      <c r="AR24" s="7">
        <v>1E-4</v>
      </c>
      <c r="AS24" s="7">
        <v>1E-4</v>
      </c>
      <c r="AT24" s="7">
        <v>1E-4</v>
      </c>
      <c r="AU24" s="7">
        <v>1E-4</v>
      </c>
      <c r="AV24" s="7">
        <v>1E-4</v>
      </c>
      <c r="AW24" s="7">
        <v>1E-4</v>
      </c>
      <c r="AX24" s="7">
        <v>1E-4</v>
      </c>
      <c r="AY24" s="7">
        <v>1E-4</v>
      </c>
      <c r="AZ24" s="7">
        <v>1E-4</v>
      </c>
      <c r="BA24" s="7">
        <v>1E-4</v>
      </c>
      <c r="BB24" s="7">
        <v>1E-4</v>
      </c>
      <c r="BC24" s="7">
        <v>1E-4</v>
      </c>
      <c r="BD24" s="7">
        <v>0</v>
      </c>
      <c r="BE24" s="7">
        <f ca="1">IFERROR(VLOOKUP($A24,INDIRECT(#REF!&amp;"!$A$6:$C$200"),3,0),0)</f>
        <v>0</v>
      </c>
      <c r="BF24" s="7">
        <f ca="1">IFERROR(VLOOKUP($A24,INDIRECT(#REF!&amp;"!$A$6:$C$200"),3,0),0)</f>
        <v>0</v>
      </c>
      <c r="BG24" s="7">
        <f ca="1">IFERROR(VLOOKUP($A24,INDIRECT(#REF!&amp;"!$A$6:$C$200"),3,0),0)</f>
        <v>0</v>
      </c>
      <c r="BH24" s="8">
        <f ca="1">IFERROR(VLOOKUP($A24,INDIRECT(#REF!&amp;"!$A$6:$C$200"),3,0),0)</f>
        <v>0</v>
      </c>
      <c r="BI24" s="8">
        <f ca="1">IFERROR(VLOOKUP($A24,INDIRECT(#REF!&amp;"!$A$6:$C$200"),3,0),0)</f>
        <v>0</v>
      </c>
      <c r="BJ24" s="8">
        <f ca="1">IFERROR(VLOOKUP($A24,INDIRECT(#REF!&amp;"!$A$6:$C$200"),3,0),0)</f>
        <v>0</v>
      </c>
      <c r="BK24" s="8">
        <f ca="1">IFERROR(VLOOKUP($A24,INDIRECT(#REF!&amp;"!$A$6:$C$200"),3,0),0)</f>
        <v>0</v>
      </c>
      <c r="BL24" s="8">
        <f ca="1">IFERROR(VLOOKUP($A24,INDIRECT(#REF!&amp;"!$A$6:$C$200"),3,0),0)</f>
        <v>0</v>
      </c>
      <c r="BM24" s="8">
        <f ca="1">IFERROR(VLOOKUP($A24,INDIRECT(#REF!&amp;"!$A$6:$C$200"),3,0),0)</f>
        <v>0</v>
      </c>
      <c r="BN24" s="8">
        <f ca="1">IFERROR(VLOOKUP($A24,INDIRECT(#REF!&amp;"!$A$6:$C$200"),3,0),0)</f>
        <v>0</v>
      </c>
      <c r="BO24" s="8">
        <f ca="1">IFERROR(VLOOKUP($A24,INDIRECT(#REF!&amp;"!$A$6:$C$200"),3,0),0)</f>
        <v>0</v>
      </c>
      <c r="BP24" s="7">
        <f ca="1">IFERROR(VLOOKUP($A24,INDIRECT(#REF!&amp;"!$A$6:$C$200"),3,0),0)</f>
        <v>0</v>
      </c>
      <c r="BQ24" s="7">
        <f ca="1">IFERROR(VLOOKUP($A24,INDIRECT(#REF!&amp;"!$A$6:$C$200"),3,0),0)</f>
        <v>0</v>
      </c>
      <c r="BR24" s="7">
        <f ca="1">IFERROR(VLOOKUP($A24,INDIRECT(#REF!&amp;"!$A$6:$C$200"),3,0),0)</f>
        <v>0</v>
      </c>
      <c r="BS24" s="7">
        <f ca="1">IFERROR(VLOOKUP($A24,INDIRECT(#REF!&amp;"!$A$6:$C$200"),3,0),0)</f>
        <v>0</v>
      </c>
      <c r="BT24" s="7">
        <f ca="1">IFERROR(VLOOKUP($A24,INDIRECT(#REF!&amp;"!$A$6:$C$200"),3,0),0)</f>
        <v>0</v>
      </c>
      <c r="BU24" s="7">
        <f ca="1">IFERROR(VLOOKUP($A24,INDIRECT(#REF!&amp;"!$A$6:$C$200"),3,0),0)</f>
        <v>0</v>
      </c>
      <c r="BV24" s="7">
        <f ca="1">IFERROR(VLOOKUP($A24,INDIRECT(#REF!&amp;"!$A$6:$C$200"),3,0),0)</f>
        <v>0</v>
      </c>
      <c r="BW24" s="7">
        <f ca="1">IFERROR(VLOOKUP($A24,INDIRECT(#REF!&amp;"!$A$6:$C$200"),3,0),0)</f>
        <v>0</v>
      </c>
      <c r="BX24" s="7">
        <f ca="1">IFERROR(VLOOKUP($A24,INDIRECT(#REF!&amp;"!$A$6:$C$200"),3,0),0)</f>
        <v>0</v>
      </c>
      <c r="BY24" s="7">
        <f ca="1">IFERROR(VLOOKUP($A24,INDIRECT(#REF!&amp;"!$A$6:$C$200"),3,0),0)</f>
        <v>0</v>
      </c>
      <c r="BZ24" s="7">
        <f ca="1">IFERROR(VLOOKUP($A24,INDIRECT(#REF!&amp;"!$A$6:$C$200"),3,0),0)</f>
        <v>0</v>
      </c>
      <c r="CA24" s="7">
        <f ca="1">IFERROR(VLOOKUP($A24,INDIRECT(#REF!&amp;"!$A$6:$C$200"),3,0),0)</f>
        <v>0</v>
      </c>
      <c r="CB24" s="7">
        <f ca="1">IFERROR(VLOOKUP($A24,INDIRECT(#REF!&amp;"!$A$6:$C$200"),3,0),0)</f>
        <v>0</v>
      </c>
      <c r="CC24" s="7">
        <f ca="1">IFERROR(VLOOKUP($A24,INDIRECT(#REF!&amp;"!$A$6:$C$200"),3,0),0)</f>
        <v>0</v>
      </c>
      <c r="CD24" s="7" t="str">
        <f ca="1">IF(CD23="","",IFERROR(VLOOKUP($A24,INDIRECT(#REF!&amp;"!$A$6:$C$200"),3,0),0))</f>
        <v/>
      </c>
      <c r="CE24" s="7" t="str">
        <f ca="1">IF(CE23="","",IFERROR(VLOOKUP($A24,INDIRECT(#REF!&amp;"!$A$6:$C$200"),3,0),0))</f>
        <v/>
      </c>
      <c r="CF24" s="7" t="str">
        <f ca="1">IF(CF23="","",IFERROR(VLOOKUP($A24,INDIRECT(#REF!&amp;"!$A$6:$C$200"),3,0),0))</f>
        <v/>
      </c>
      <c r="CG24" s="7" t="str">
        <f ca="1">IF(CG23="","",IFERROR(VLOOKUP($A24,INDIRECT(#REF!&amp;"!$A$6:$C$200"),3,0),0))</f>
        <v/>
      </c>
      <c r="CH24" s="7" t="str">
        <f ca="1">IF(CH23="","",IFERROR(VLOOKUP($A24,INDIRECT(#REF!&amp;"!$A$6:$C$200"),3,0),0))</f>
        <v/>
      </c>
      <c r="CI24" s="7" t="str">
        <f ca="1">IF(CI23="","",IFERROR(VLOOKUP($A24,INDIRECT(#REF!&amp;"!$A$6:$C$200"),3,0),0))</f>
        <v/>
      </c>
      <c r="CJ24" s="7" t="str">
        <f ca="1">IF(CJ23="","",IFERROR(VLOOKUP($A24,INDIRECT(#REF!&amp;"!$A$6:$C$200"),3,0),0))</f>
        <v/>
      </c>
      <c r="CK24" s="7" t="str">
        <f ca="1">IF(CK23="","",IFERROR(VLOOKUP($A24,INDIRECT(#REF!&amp;"!$A$6:$C$200"),3,0),0))</f>
        <v/>
      </c>
      <c r="CL24" s="7" t="str">
        <f ca="1">IF(CL23="","",IFERROR(VLOOKUP($A24,INDIRECT(#REF!&amp;"!$A$6:$C$200"),3,0),0))</f>
        <v/>
      </c>
      <c r="CM24" s="7" t="str">
        <f ca="1">IF(CM23="","",IFERROR(VLOOKUP($A24,INDIRECT(#REF!&amp;"!$A$6:$C$200"),3,0),0))</f>
        <v/>
      </c>
      <c r="CN24" s="7" t="str">
        <f ca="1">IF(CN23="","",IFERROR(VLOOKUP($A24,INDIRECT(#REF!&amp;"!$A$6:$C$200"),3,0),0))</f>
        <v/>
      </c>
      <c r="CO24" s="7" t="str">
        <f ca="1">IF(CO23="","",IFERROR(VLOOKUP($A24,INDIRECT(#REF!&amp;"!$A$6:$C$200"),3,0),0))</f>
        <v/>
      </c>
      <c r="CP24" s="7" t="str">
        <f ca="1">IF(CP23="","",IFERROR(VLOOKUP($A24,INDIRECT(#REF!&amp;"!$A$6:$C$200"),3,0),0))</f>
        <v/>
      </c>
      <c r="CQ24" s="7" t="str">
        <f ca="1">IF(CQ23="","",IFERROR(VLOOKUP($A24,INDIRECT(#REF!&amp;"!$A$6:$C$200"),3,0),0))</f>
        <v/>
      </c>
      <c r="CR24" s="7" t="str">
        <f ca="1">IF(CR23="","",IFERROR(VLOOKUP($A24,INDIRECT(#REF!&amp;"!$A$6:$C$200"),3,0),0))</f>
        <v/>
      </c>
      <c r="CS24" s="7" t="str">
        <f ca="1">IF(CS23="","",IFERROR(VLOOKUP($A24,INDIRECT(#REF!&amp;"!$A$6:$C$200"),3,0),0))</f>
        <v/>
      </c>
      <c r="CT24" s="7" t="str">
        <f ca="1">IF(CT23="","",IFERROR(VLOOKUP($A24,INDIRECT(#REF!&amp;"!$A$6:$C$200"),3,0),0))</f>
        <v/>
      </c>
      <c r="CU24" s="7" t="str">
        <f ca="1">IF(CU23="","",IFERROR(VLOOKUP($A24,INDIRECT(#REF!&amp;"!$A$6:$C$200"),3,0),0))</f>
        <v/>
      </c>
      <c r="CV24" s="7" t="str">
        <f ca="1">IF(CV23="","",IFERROR(VLOOKUP($A24,INDIRECT(#REF!&amp;"!$A$6:$C$200"),3,0),0))</f>
        <v/>
      </c>
      <c r="CW24" s="7" t="str">
        <f ca="1">IF(CW23="","",IFERROR(VLOOKUP($A24,INDIRECT(#REF!&amp;"!$A$6:$C$200"),3,0),0))</f>
        <v/>
      </c>
      <c r="CX24" s="7" t="str">
        <f ca="1">IF(CX23="","",IFERROR(VLOOKUP($A24,INDIRECT(#REF!&amp;"!$A$6:$C$200"),3,0),0))</f>
        <v/>
      </c>
      <c r="CY24" s="7" t="str">
        <f ca="1">IF(CY23="","",IFERROR(VLOOKUP($A24,INDIRECT(#REF!&amp;"!$A$6:$C$200"),3,0),0))</f>
        <v/>
      </c>
      <c r="CZ24" s="7" t="str">
        <f ca="1">IF(CZ23="","",IFERROR(VLOOKUP($A24,INDIRECT(#REF!&amp;"!$A$6:$C$200"),3,0),0))</f>
        <v/>
      </c>
      <c r="DA24" s="7" t="str">
        <f ca="1">IF(DA23="","",IFERROR(VLOOKUP($A24,INDIRECT(#REF!&amp;"!$A$6:$C$200"),3,0),0))</f>
        <v/>
      </c>
      <c r="DB24" s="7" t="str">
        <f ca="1">IF(DB23="","",IFERROR(VLOOKUP($A24,INDIRECT(#REF!&amp;"!$A$6:$C$200"),3,0),0))</f>
        <v/>
      </c>
      <c r="DC24" s="7" t="str">
        <f ca="1">IF(DC23="","",IFERROR(VLOOKUP($A24,INDIRECT(#REF!&amp;"!$A$6:$C$200"),3,0),0))</f>
        <v/>
      </c>
      <c r="DD24" s="7" t="str">
        <f ca="1">IF(DD23="","",IFERROR(VLOOKUP($A24,INDIRECT(#REF!&amp;"!$A$6:$C$200"),3,0),0))</f>
        <v/>
      </c>
      <c r="DE24" s="7" t="str">
        <f ca="1">IF(DE23="","",IFERROR(VLOOKUP($A24,INDIRECT(#REF!&amp;"!$A$6:$C$200"),3,0),0))</f>
        <v/>
      </c>
      <c r="DF24" s="7" t="str">
        <f ca="1">IF(DF23="","",IFERROR(VLOOKUP($A24,INDIRECT(#REF!&amp;"!$A$6:$C$200"),3,0),0))</f>
        <v/>
      </c>
      <c r="DG24" s="7" t="str">
        <f ca="1">IF(DG23="","",IFERROR(VLOOKUP($A24,INDIRECT(#REF!&amp;"!$A$6:$C$200"),3,0),0))</f>
        <v/>
      </c>
      <c r="DH24" s="7" t="str">
        <f ca="1">IF(DH23="","",IFERROR(VLOOKUP($A24,INDIRECT(#REF!&amp;"!$A$6:$C$200"),3,0),0))</f>
        <v/>
      </c>
      <c r="DI24" s="7" t="str">
        <f ca="1">IF(DI23="","",IFERROR(VLOOKUP($A24,INDIRECT(#REF!&amp;"!$A$6:$C$200"),3,0),0))</f>
        <v/>
      </c>
      <c r="DJ24" s="7" t="str">
        <f ca="1">IF(DJ23="","",IFERROR(VLOOKUP($A24,INDIRECT(#REF!&amp;"!$A$6:$C$200"),3,0),0))</f>
        <v/>
      </c>
      <c r="DK24" s="7" t="str">
        <f ca="1">IF(DK23="","",IFERROR(VLOOKUP($A24,INDIRECT(#REF!&amp;"!$A$6:$C$200"),3,0),0))</f>
        <v/>
      </c>
    </row>
    <row r="25" spans="1:115">
      <c r="A25" s="6" t="s">
        <v>27</v>
      </c>
      <c r="B25" s="7">
        <v>0</v>
      </c>
      <c r="C25" s="7">
        <v>0</v>
      </c>
      <c r="D25" s="7">
        <v>2.8571428571428574E-5</v>
      </c>
      <c r="E25" s="7">
        <v>1.4285714285714287E-5</v>
      </c>
      <c r="F25" s="7">
        <v>1.4285714285714287E-5</v>
      </c>
      <c r="G25" s="7">
        <v>5.7142857142857148E-5</v>
      </c>
      <c r="H25" s="7">
        <f t="shared" ca="1" si="5"/>
        <v>4.2857142857142863E-5</v>
      </c>
      <c r="I25" s="7">
        <f t="shared" ca="1" si="3"/>
        <v>0</v>
      </c>
      <c r="J25" s="7">
        <f t="shared" ca="1" si="4"/>
        <v>0</v>
      </c>
      <c r="K25" s="7">
        <f t="shared" ca="1" si="0"/>
        <v>0</v>
      </c>
      <c r="L25" s="7">
        <f t="shared" ca="1" si="1"/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1E-4</v>
      </c>
      <c r="AB25" s="8">
        <v>0</v>
      </c>
      <c r="AC25" s="8">
        <v>0</v>
      </c>
      <c r="AD25" s="8">
        <v>0</v>
      </c>
      <c r="AE25" s="8">
        <v>0</v>
      </c>
      <c r="AF25" s="8">
        <v>1E-4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7">
        <v>1E-4</v>
      </c>
      <c r="AN25" s="7">
        <v>0</v>
      </c>
      <c r="AO25" s="8">
        <v>0</v>
      </c>
      <c r="AP25" s="7">
        <v>0</v>
      </c>
      <c r="AQ25" s="7">
        <v>0</v>
      </c>
      <c r="AR25" s="7">
        <v>0</v>
      </c>
      <c r="AS25" s="7">
        <v>1E-4</v>
      </c>
      <c r="AT25" s="7">
        <v>0</v>
      </c>
      <c r="AU25" s="7">
        <v>0</v>
      </c>
      <c r="AV25" s="7">
        <v>0</v>
      </c>
      <c r="AW25" s="7">
        <v>0</v>
      </c>
      <c r="AX25" s="7">
        <v>1E-4</v>
      </c>
      <c r="AY25" s="7">
        <v>1E-4</v>
      </c>
      <c r="AZ25" s="7">
        <v>1E-4</v>
      </c>
      <c r="BA25" s="7">
        <v>1E-4</v>
      </c>
      <c r="BB25" s="7">
        <v>1E-4</v>
      </c>
      <c r="BC25" s="7">
        <v>1E-4</v>
      </c>
      <c r="BD25" s="7">
        <v>1E-4</v>
      </c>
      <c r="BE25" s="7">
        <f ca="1">IFERROR(VLOOKUP($A25,INDIRECT(#REF!&amp;"!$A$6:$C$200"),3,0),0)</f>
        <v>0</v>
      </c>
      <c r="BF25" s="7">
        <f ca="1">IFERROR(VLOOKUP($A25,INDIRECT(#REF!&amp;"!$A$6:$C$200"),3,0),0)</f>
        <v>0</v>
      </c>
      <c r="BG25" s="7">
        <f ca="1">IFERROR(VLOOKUP($A25,INDIRECT(#REF!&amp;"!$A$6:$C$200"),3,0),0)</f>
        <v>0</v>
      </c>
      <c r="BH25" s="8">
        <f ca="1">IFERROR(VLOOKUP($A25,INDIRECT(#REF!&amp;"!$A$6:$C$200"),3,0),0)</f>
        <v>0</v>
      </c>
      <c r="BI25" s="8">
        <f ca="1">IFERROR(VLOOKUP($A25,INDIRECT(#REF!&amp;"!$A$6:$C$200"),3,0),0)</f>
        <v>0</v>
      </c>
      <c r="BJ25" s="8">
        <f ca="1">IFERROR(VLOOKUP($A25,INDIRECT(#REF!&amp;"!$A$6:$C$200"),3,0),0)</f>
        <v>0</v>
      </c>
      <c r="BK25" s="8">
        <f ca="1">IFERROR(VLOOKUP($A25,INDIRECT(#REF!&amp;"!$A$6:$C$200"),3,0),0)</f>
        <v>0</v>
      </c>
      <c r="BL25" s="8">
        <f ca="1">IFERROR(VLOOKUP($A25,INDIRECT(#REF!&amp;"!$A$6:$C$200"),3,0),0)</f>
        <v>0</v>
      </c>
      <c r="BM25" s="8">
        <f ca="1">IFERROR(VLOOKUP($A25,INDIRECT(#REF!&amp;"!$A$6:$C$200"),3,0),0)</f>
        <v>0</v>
      </c>
      <c r="BN25" s="8">
        <f ca="1">IFERROR(VLOOKUP($A25,INDIRECT(#REF!&amp;"!$A$6:$C$200"),3,0),0)</f>
        <v>0</v>
      </c>
      <c r="BO25" s="8">
        <f ca="1">IFERROR(VLOOKUP($A25,INDIRECT(#REF!&amp;"!$A$6:$C$200"),3,0),0)</f>
        <v>0</v>
      </c>
      <c r="BP25" s="7">
        <f ca="1">IFERROR(VLOOKUP($A25,INDIRECT(#REF!&amp;"!$A$6:$C$200"),3,0),0)</f>
        <v>0</v>
      </c>
      <c r="BQ25" s="7">
        <f ca="1">IFERROR(VLOOKUP($A25,INDIRECT(#REF!&amp;"!$A$6:$C$200"),3,0),0)</f>
        <v>0</v>
      </c>
      <c r="BR25" s="7">
        <f ca="1">IFERROR(VLOOKUP($A25,INDIRECT(#REF!&amp;"!$A$6:$C$200"),3,0),0)</f>
        <v>0</v>
      </c>
      <c r="BS25" s="7">
        <f ca="1">IFERROR(VLOOKUP($A25,INDIRECT(#REF!&amp;"!$A$6:$C$200"),3,0),0)</f>
        <v>0</v>
      </c>
      <c r="BT25" s="7">
        <f ca="1">IFERROR(VLOOKUP($A25,INDIRECT(#REF!&amp;"!$A$6:$C$200"),3,0),0)</f>
        <v>0</v>
      </c>
      <c r="BU25" s="7">
        <f ca="1">IFERROR(VLOOKUP($A25,INDIRECT(#REF!&amp;"!$A$6:$C$200"),3,0),0)</f>
        <v>0</v>
      </c>
      <c r="BV25" s="7">
        <f ca="1">IFERROR(VLOOKUP($A25,INDIRECT(#REF!&amp;"!$A$6:$C$200"),3,0),0)</f>
        <v>0</v>
      </c>
      <c r="BW25" s="7">
        <f ca="1">IFERROR(VLOOKUP($A25,INDIRECT(#REF!&amp;"!$A$6:$C$200"),3,0),0)</f>
        <v>0</v>
      </c>
      <c r="BX25" s="7">
        <f ca="1">IFERROR(VLOOKUP($A25,INDIRECT(#REF!&amp;"!$A$6:$C$200"),3,0),0)</f>
        <v>0</v>
      </c>
      <c r="BY25" s="7">
        <f ca="1">IFERROR(VLOOKUP($A25,INDIRECT(#REF!&amp;"!$A$6:$C$200"),3,0),0)</f>
        <v>0</v>
      </c>
      <c r="BZ25" s="7">
        <f ca="1">IFERROR(VLOOKUP($A25,INDIRECT(#REF!&amp;"!$A$6:$C$200"),3,0),0)</f>
        <v>0</v>
      </c>
      <c r="CA25" s="7">
        <f ca="1">IFERROR(VLOOKUP($A25,INDIRECT(#REF!&amp;"!$A$6:$C$200"),3,0),0)</f>
        <v>0</v>
      </c>
      <c r="CB25" s="7">
        <f ca="1">IFERROR(VLOOKUP($A25,INDIRECT(#REF!&amp;"!$A$6:$C$200"),3,0),0)</f>
        <v>0</v>
      </c>
      <c r="CC25" s="7">
        <f ca="1">IFERROR(VLOOKUP($A25,INDIRECT(#REF!&amp;"!$A$6:$C$200"),3,0),0)</f>
        <v>0</v>
      </c>
      <c r="CD25" s="7" t="str">
        <f ca="1">IF(CD24="","",IFERROR(VLOOKUP($A25,INDIRECT(#REF!&amp;"!$A$6:$C$200"),3,0),0))</f>
        <v/>
      </c>
      <c r="CE25" s="7" t="str">
        <f ca="1">IF(CE24="","",IFERROR(VLOOKUP($A25,INDIRECT(#REF!&amp;"!$A$6:$C$200"),3,0),0))</f>
        <v/>
      </c>
      <c r="CF25" s="7" t="str">
        <f ca="1">IF(CF24="","",IFERROR(VLOOKUP($A25,INDIRECT(#REF!&amp;"!$A$6:$C$200"),3,0),0))</f>
        <v/>
      </c>
      <c r="CG25" s="7" t="str">
        <f ca="1">IF(CG24="","",IFERROR(VLOOKUP($A25,INDIRECT(#REF!&amp;"!$A$6:$C$200"),3,0),0))</f>
        <v/>
      </c>
      <c r="CH25" s="7" t="str">
        <f ca="1">IF(CH24="","",IFERROR(VLOOKUP($A25,INDIRECT(#REF!&amp;"!$A$6:$C$200"),3,0),0))</f>
        <v/>
      </c>
      <c r="CI25" s="7" t="str">
        <f ca="1">IF(CI24="","",IFERROR(VLOOKUP($A25,INDIRECT(#REF!&amp;"!$A$6:$C$200"),3,0),0))</f>
        <v/>
      </c>
      <c r="CJ25" s="7" t="str">
        <f ca="1">IF(CJ24="","",IFERROR(VLOOKUP($A25,INDIRECT(#REF!&amp;"!$A$6:$C$200"),3,0),0))</f>
        <v/>
      </c>
      <c r="CK25" s="7" t="str">
        <f ca="1">IF(CK24="","",IFERROR(VLOOKUP($A25,INDIRECT(#REF!&amp;"!$A$6:$C$200"),3,0),0))</f>
        <v/>
      </c>
      <c r="CL25" s="7" t="str">
        <f ca="1">IF(CL24="","",IFERROR(VLOOKUP($A25,INDIRECT(#REF!&amp;"!$A$6:$C$200"),3,0),0))</f>
        <v/>
      </c>
      <c r="CM25" s="7" t="str">
        <f ca="1">IF(CM24="","",IFERROR(VLOOKUP($A25,INDIRECT(#REF!&amp;"!$A$6:$C$200"),3,0),0))</f>
        <v/>
      </c>
      <c r="CN25" s="7" t="str">
        <f ca="1">IF(CN24="","",IFERROR(VLOOKUP($A25,INDIRECT(#REF!&amp;"!$A$6:$C$200"),3,0),0))</f>
        <v/>
      </c>
      <c r="CO25" s="7" t="str">
        <f ca="1">IF(CO24="","",IFERROR(VLOOKUP($A25,INDIRECT(#REF!&amp;"!$A$6:$C$200"),3,0),0))</f>
        <v/>
      </c>
      <c r="CP25" s="7" t="str">
        <f ca="1">IF(CP24="","",IFERROR(VLOOKUP($A25,INDIRECT(#REF!&amp;"!$A$6:$C$200"),3,0),0))</f>
        <v/>
      </c>
      <c r="CQ25" s="7" t="str">
        <f ca="1">IF(CQ24="","",IFERROR(VLOOKUP($A25,INDIRECT(#REF!&amp;"!$A$6:$C$200"),3,0),0))</f>
        <v/>
      </c>
      <c r="CR25" s="7" t="str">
        <f ca="1">IF(CR24="","",IFERROR(VLOOKUP($A25,INDIRECT(#REF!&amp;"!$A$6:$C$200"),3,0),0))</f>
        <v/>
      </c>
      <c r="CS25" s="7" t="str">
        <f ca="1">IF(CS24="","",IFERROR(VLOOKUP($A25,INDIRECT(#REF!&amp;"!$A$6:$C$200"),3,0),0))</f>
        <v/>
      </c>
      <c r="CT25" s="7" t="str">
        <f ca="1">IF(CT24="","",IFERROR(VLOOKUP($A25,INDIRECT(#REF!&amp;"!$A$6:$C$200"),3,0),0))</f>
        <v/>
      </c>
      <c r="CU25" s="7" t="str">
        <f ca="1">IF(CU24="","",IFERROR(VLOOKUP($A25,INDIRECT(#REF!&amp;"!$A$6:$C$200"),3,0),0))</f>
        <v/>
      </c>
      <c r="CV25" s="7" t="str">
        <f ca="1">IF(CV24="","",IFERROR(VLOOKUP($A25,INDIRECT(#REF!&amp;"!$A$6:$C$200"),3,0),0))</f>
        <v/>
      </c>
      <c r="CW25" s="7" t="str">
        <f ca="1">IF(CW24="","",IFERROR(VLOOKUP($A25,INDIRECT(#REF!&amp;"!$A$6:$C$200"),3,0),0))</f>
        <v/>
      </c>
      <c r="CX25" s="7" t="str">
        <f ca="1">IF(CX24="","",IFERROR(VLOOKUP($A25,INDIRECT(#REF!&amp;"!$A$6:$C$200"),3,0),0))</f>
        <v/>
      </c>
      <c r="CY25" s="7" t="str">
        <f ca="1">IF(CY24="","",IFERROR(VLOOKUP($A25,INDIRECT(#REF!&amp;"!$A$6:$C$200"),3,0),0))</f>
        <v/>
      </c>
      <c r="CZ25" s="7" t="str">
        <f ca="1">IF(CZ24="","",IFERROR(VLOOKUP($A25,INDIRECT(#REF!&amp;"!$A$6:$C$200"),3,0),0))</f>
        <v/>
      </c>
      <c r="DA25" s="7" t="str">
        <f ca="1">IF(DA24="","",IFERROR(VLOOKUP($A25,INDIRECT(#REF!&amp;"!$A$6:$C$200"),3,0),0))</f>
        <v/>
      </c>
      <c r="DB25" s="7" t="str">
        <f ca="1">IF(DB24="","",IFERROR(VLOOKUP($A25,INDIRECT(#REF!&amp;"!$A$6:$C$200"),3,0),0))</f>
        <v/>
      </c>
      <c r="DC25" s="7" t="str">
        <f ca="1">IF(DC24="","",IFERROR(VLOOKUP($A25,INDIRECT(#REF!&amp;"!$A$6:$C$200"),3,0),0))</f>
        <v/>
      </c>
      <c r="DD25" s="7" t="str">
        <f ca="1">IF(DD24="","",IFERROR(VLOOKUP($A25,INDIRECT(#REF!&amp;"!$A$6:$C$200"),3,0),0))</f>
        <v/>
      </c>
      <c r="DE25" s="7" t="str">
        <f ca="1">IF(DE24="","",IFERROR(VLOOKUP($A25,INDIRECT(#REF!&amp;"!$A$6:$C$200"),3,0),0))</f>
        <v/>
      </c>
      <c r="DF25" s="7" t="str">
        <f ca="1">IF(DF24="","",IFERROR(VLOOKUP($A25,INDIRECT(#REF!&amp;"!$A$6:$C$200"),3,0),0))</f>
        <v/>
      </c>
      <c r="DG25" s="7" t="str">
        <f ca="1">IF(DG24="","",IFERROR(VLOOKUP($A25,INDIRECT(#REF!&amp;"!$A$6:$C$200"),3,0),0))</f>
        <v/>
      </c>
      <c r="DH25" s="7" t="str">
        <f ca="1">IF(DH24="","",IFERROR(VLOOKUP($A25,INDIRECT(#REF!&amp;"!$A$6:$C$200"),3,0),0))</f>
        <v/>
      </c>
      <c r="DI25" s="7" t="str">
        <f ca="1">IF(DI24="","",IFERROR(VLOOKUP($A25,INDIRECT(#REF!&amp;"!$A$6:$C$200"),3,0),0))</f>
        <v/>
      </c>
      <c r="DJ25" s="7" t="str">
        <f ca="1">IF(DJ24="","",IFERROR(VLOOKUP($A25,INDIRECT(#REF!&amp;"!$A$6:$C$200"),3,0),0))</f>
        <v/>
      </c>
      <c r="DK25" s="7" t="str">
        <f ca="1">IF(DK24="","",IFERROR(VLOOKUP($A25,INDIRECT(#REF!&amp;"!$A$6:$C$200"),3,0),0))</f>
        <v/>
      </c>
    </row>
    <row r="26" spans="1:115">
      <c r="A26" s="6" t="s">
        <v>28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f t="shared" ca="1" si="5"/>
        <v>0</v>
      </c>
      <c r="I26" s="7">
        <f t="shared" ca="1" si="3"/>
        <v>0</v>
      </c>
      <c r="J26" s="7">
        <f t="shared" ca="1" si="4"/>
        <v>0</v>
      </c>
      <c r="K26" s="7">
        <f t="shared" ca="1" si="0"/>
        <v>0</v>
      </c>
      <c r="L26" s="7">
        <f t="shared" ca="1" si="1"/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7">
        <v>0</v>
      </c>
      <c r="AN26" s="8">
        <v>0</v>
      </c>
      <c r="AO26" s="8">
        <v>0</v>
      </c>
      <c r="AP26" s="7">
        <v>0</v>
      </c>
      <c r="AQ26" s="8">
        <v>0</v>
      </c>
      <c r="AR26" s="7">
        <v>0</v>
      </c>
      <c r="AS26" s="8">
        <v>0</v>
      </c>
      <c r="AT26" s="7">
        <v>0</v>
      </c>
      <c r="AU26" s="7">
        <v>0</v>
      </c>
      <c r="AV26" s="8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8">
        <v>0</v>
      </c>
      <c r="BC26" s="7">
        <v>0</v>
      </c>
      <c r="BD26" s="7">
        <v>0</v>
      </c>
      <c r="BE26" s="8">
        <f ca="1">IFERROR(VLOOKUP($A26,INDIRECT(#REF!&amp;"!$A$6:$C$200"),3,0),0)</f>
        <v>0</v>
      </c>
      <c r="BF26" s="8">
        <f ca="1">IFERROR(VLOOKUP($A26,INDIRECT(#REF!&amp;"!$A$6:$C$200"),3,0),0)</f>
        <v>0</v>
      </c>
      <c r="BG26" s="8">
        <f ca="1">IFERROR(VLOOKUP($A26,INDIRECT(#REF!&amp;"!$A$6:$C$200"),3,0),0)</f>
        <v>0</v>
      </c>
      <c r="BH26" s="8">
        <f ca="1">IFERROR(VLOOKUP($A26,INDIRECT(#REF!&amp;"!$A$6:$C$200"),3,0),0)</f>
        <v>0</v>
      </c>
      <c r="BI26" s="7">
        <f ca="1">IFERROR(VLOOKUP($A26,INDIRECT(#REF!&amp;"!$A$6:$C$200"),3,0),0)</f>
        <v>0</v>
      </c>
      <c r="BJ26" s="8">
        <f ca="1">IFERROR(VLOOKUP($A26,INDIRECT(#REF!&amp;"!$A$6:$C$200"),3,0),0)</f>
        <v>0</v>
      </c>
      <c r="BK26" s="8">
        <f ca="1">IFERROR(VLOOKUP($A26,INDIRECT(#REF!&amp;"!$A$6:$C$200"),3,0),0)</f>
        <v>0</v>
      </c>
      <c r="BL26" s="8">
        <f ca="1">IFERROR(VLOOKUP($A26,INDIRECT(#REF!&amp;"!$A$6:$C$200"),3,0),0)</f>
        <v>0</v>
      </c>
      <c r="BM26" s="8">
        <f ca="1">IFERROR(VLOOKUP($A26,INDIRECT(#REF!&amp;"!$A$6:$C$200"),3,0),0)</f>
        <v>0</v>
      </c>
      <c r="BN26" s="8">
        <f ca="1">IFERROR(VLOOKUP($A26,INDIRECT(#REF!&amp;"!$A$6:$C$200"),3,0),0)</f>
        <v>0</v>
      </c>
      <c r="BO26" s="8">
        <f ca="1">IFERROR(VLOOKUP($A26,INDIRECT(#REF!&amp;"!$A$6:$C$200"),3,0),0)</f>
        <v>0</v>
      </c>
      <c r="BP26" s="7">
        <f ca="1">IFERROR(VLOOKUP($A26,INDIRECT(#REF!&amp;"!$A$6:$C$200"),3,0),0)</f>
        <v>0</v>
      </c>
      <c r="BQ26" s="7">
        <f ca="1">IFERROR(VLOOKUP($A26,INDIRECT(#REF!&amp;"!$A$6:$C$200"),3,0),0)</f>
        <v>0</v>
      </c>
      <c r="BR26" s="7">
        <f ca="1">IFERROR(VLOOKUP($A26,INDIRECT(#REF!&amp;"!$A$6:$C$200"),3,0),0)</f>
        <v>0</v>
      </c>
      <c r="BS26" s="7">
        <f ca="1">IFERROR(VLOOKUP($A26,INDIRECT(#REF!&amp;"!$A$6:$C$200"),3,0),0)</f>
        <v>0</v>
      </c>
      <c r="BT26" s="7">
        <f ca="1">IFERROR(VLOOKUP($A26,INDIRECT(#REF!&amp;"!$A$6:$C$200"),3,0),0)</f>
        <v>0</v>
      </c>
      <c r="BU26" s="7">
        <f ca="1">IFERROR(VLOOKUP($A26,INDIRECT(#REF!&amp;"!$A$6:$C$200"),3,0),0)</f>
        <v>0</v>
      </c>
      <c r="BV26" s="7">
        <f ca="1">IFERROR(VLOOKUP($A26,INDIRECT(#REF!&amp;"!$A$6:$C$200"),3,0),0)</f>
        <v>0</v>
      </c>
      <c r="BW26" s="7">
        <f ca="1">IFERROR(VLOOKUP($A26,INDIRECT(#REF!&amp;"!$A$6:$C$200"),3,0),0)</f>
        <v>0</v>
      </c>
      <c r="BX26" s="7">
        <f ca="1">IFERROR(VLOOKUP($A26,INDIRECT(#REF!&amp;"!$A$6:$C$200"),3,0),0)</f>
        <v>0</v>
      </c>
      <c r="BY26" s="7">
        <f ca="1">IFERROR(VLOOKUP($A26,INDIRECT(#REF!&amp;"!$A$6:$C$200"),3,0),0)</f>
        <v>0</v>
      </c>
      <c r="BZ26" s="7">
        <f ca="1">IFERROR(VLOOKUP($A26,INDIRECT(#REF!&amp;"!$A$6:$C$200"),3,0),0)</f>
        <v>0</v>
      </c>
      <c r="CA26" s="7">
        <f ca="1">IFERROR(VLOOKUP($A26,INDIRECT(#REF!&amp;"!$A$6:$C$200"),3,0),0)</f>
        <v>0</v>
      </c>
      <c r="CB26" s="7">
        <f ca="1">IFERROR(VLOOKUP($A26,INDIRECT(#REF!&amp;"!$A$6:$C$200"),3,0),0)</f>
        <v>0</v>
      </c>
      <c r="CC26" s="7">
        <f ca="1">IFERROR(VLOOKUP($A26,INDIRECT(#REF!&amp;"!$A$6:$C$200"),3,0),0)</f>
        <v>0</v>
      </c>
      <c r="CD26" s="7" t="str">
        <f ca="1">IF(CD25="","",IFERROR(VLOOKUP($A26,INDIRECT(#REF!&amp;"!$A$6:$C$200"),3,0),0))</f>
        <v/>
      </c>
      <c r="CE26" s="7" t="str">
        <f ca="1">IF(CE25="","",IFERROR(VLOOKUP($A26,INDIRECT(#REF!&amp;"!$A$6:$C$200"),3,0),0))</f>
        <v/>
      </c>
      <c r="CF26" s="7" t="str">
        <f ca="1">IF(CF25="","",IFERROR(VLOOKUP($A26,INDIRECT(#REF!&amp;"!$A$6:$C$200"),3,0),0))</f>
        <v/>
      </c>
      <c r="CG26" s="7" t="str">
        <f ca="1">IF(CG25="","",IFERROR(VLOOKUP($A26,INDIRECT(#REF!&amp;"!$A$6:$C$200"),3,0),0))</f>
        <v/>
      </c>
      <c r="CH26" s="7" t="str">
        <f ca="1">IF(CH25="","",IFERROR(VLOOKUP($A26,INDIRECT(#REF!&amp;"!$A$6:$C$200"),3,0),0))</f>
        <v/>
      </c>
      <c r="CI26" s="7" t="str">
        <f ca="1">IF(CI25="","",IFERROR(VLOOKUP($A26,INDIRECT(#REF!&amp;"!$A$6:$C$200"),3,0),0))</f>
        <v/>
      </c>
      <c r="CJ26" s="7" t="str">
        <f ca="1">IF(CJ25="","",IFERROR(VLOOKUP($A26,INDIRECT(#REF!&amp;"!$A$6:$C$200"),3,0),0))</f>
        <v/>
      </c>
      <c r="CK26" s="7" t="str">
        <f ca="1">IF(CK25="","",IFERROR(VLOOKUP($A26,INDIRECT(#REF!&amp;"!$A$6:$C$200"),3,0),0))</f>
        <v/>
      </c>
      <c r="CL26" s="7" t="str">
        <f ca="1">IF(CL25="","",IFERROR(VLOOKUP($A26,INDIRECT(#REF!&amp;"!$A$6:$C$200"),3,0),0))</f>
        <v/>
      </c>
      <c r="CM26" s="7" t="str">
        <f ca="1">IF(CM25="","",IFERROR(VLOOKUP($A26,INDIRECT(#REF!&amp;"!$A$6:$C$200"),3,0),0))</f>
        <v/>
      </c>
      <c r="CN26" s="7" t="str">
        <f ca="1">IF(CN25="","",IFERROR(VLOOKUP($A26,INDIRECT(#REF!&amp;"!$A$6:$C$200"),3,0),0))</f>
        <v/>
      </c>
      <c r="CO26" s="7" t="str">
        <f ca="1">IF(CO25="","",IFERROR(VLOOKUP($A26,INDIRECT(#REF!&amp;"!$A$6:$C$200"),3,0),0))</f>
        <v/>
      </c>
      <c r="CP26" s="7" t="str">
        <f ca="1">IF(CP25="","",IFERROR(VLOOKUP($A26,INDIRECT(#REF!&amp;"!$A$6:$C$200"),3,0),0))</f>
        <v/>
      </c>
      <c r="CQ26" s="7" t="str">
        <f ca="1">IF(CQ25="","",IFERROR(VLOOKUP($A26,INDIRECT(#REF!&amp;"!$A$6:$C$200"),3,0),0))</f>
        <v/>
      </c>
      <c r="CR26" s="7" t="str">
        <f ca="1">IF(CR25="","",IFERROR(VLOOKUP($A26,INDIRECT(#REF!&amp;"!$A$6:$C$200"),3,0),0))</f>
        <v/>
      </c>
      <c r="CS26" s="7" t="str">
        <f ca="1">IF(CS25="","",IFERROR(VLOOKUP($A26,INDIRECT(#REF!&amp;"!$A$6:$C$200"),3,0),0))</f>
        <v/>
      </c>
      <c r="CT26" s="7" t="str">
        <f ca="1">IF(CT25="","",IFERROR(VLOOKUP($A26,INDIRECT(#REF!&amp;"!$A$6:$C$200"),3,0),0))</f>
        <v/>
      </c>
      <c r="CU26" s="7" t="str">
        <f ca="1">IF(CU25="","",IFERROR(VLOOKUP($A26,INDIRECT(#REF!&amp;"!$A$6:$C$200"),3,0),0))</f>
        <v/>
      </c>
      <c r="CV26" s="7" t="str">
        <f ca="1">IF(CV25="","",IFERROR(VLOOKUP($A26,INDIRECT(#REF!&amp;"!$A$6:$C$200"),3,0),0))</f>
        <v/>
      </c>
      <c r="CW26" s="7" t="str">
        <f ca="1">IF(CW25="","",IFERROR(VLOOKUP($A26,INDIRECT(#REF!&amp;"!$A$6:$C$200"),3,0),0))</f>
        <v/>
      </c>
      <c r="CX26" s="7" t="str">
        <f ca="1">IF(CX25="","",IFERROR(VLOOKUP($A26,INDIRECT(#REF!&amp;"!$A$6:$C$200"),3,0),0))</f>
        <v/>
      </c>
      <c r="CY26" s="7" t="str">
        <f ca="1">IF(CY25="","",IFERROR(VLOOKUP($A26,INDIRECT(#REF!&amp;"!$A$6:$C$200"),3,0),0))</f>
        <v/>
      </c>
      <c r="CZ26" s="7" t="str">
        <f ca="1">IF(CZ25="","",IFERROR(VLOOKUP($A26,INDIRECT(#REF!&amp;"!$A$6:$C$200"),3,0),0))</f>
        <v/>
      </c>
      <c r="DA26" s="7" t="str">
        <f ca="1">IF(DA25="","",IFERROR(VLOOKUP($A26,INDIRECT(#REF!&amp;"!$A$6:$C$200"),3,0),0))</f>
        <v/>
      </c>
      <c r="DB26" s="7" t="str">
        <f ca="1">IF(DB25="","",IFERROR(VLOOKUP($A26,INDIRECT(#REF!&amp;"!$A$6:$C$200"),3,0),0))</f>
        <v/>
      </c>
      <c r="DC26" s="7" t="str">
        <f ca="1">IF(DC25="","",IFERROR(VLOOKUP($A26,INDIRECT(#REF!&amp;"!$A$6:$C$200"),3,0),0))</f>
        <v/>
      </c>
      <c r="DD26" s="7" t="str">
        <f ca="1">IF(DD25="","",IFERROR(VLOOKUP($A26,INDIRECT(#REF!&amp;"!$A$6:$C$200"),3,0),0))</f>
        <v/>
      </c>
      <c r="DE26" s="7" t="str">
        <f ca="1">IF(DE25="","",IFERROR(VLOOKUP($A26,INDIRECT(#REF!&amp;"!$A$6:$C$200"),3,0),0))</f>
        <v/>
      </c>
      <c r="DF26" s="7" t="str">
        <f ca="1">IF(DF25="","",IFERROR(VLOOKUP($A26,INDIRECT(#REF!&amp;"!$A$6:$C$200"),3,0),0))</f>
        <v/>
      </c>
      <c r="DG26" s="7" t="str">
        <f ca="1">IF(DG25="","",IFERROR(VLOOKUP($A26,INDIRECT(#REF!&amp;"!$A$6:$C$200"),3,0),0))</f>
        <v/>
      </c>
      <c r="DH26" s="7" t="str">
        <f ca="1">IF(DH25="","",IFERROR(VLOOKUP($A26,INDIRECT(#REF!&amp;"!$A$6:$C$200"),3,0),0))</f>
        <v/>
      </c>
      <c r="DI26" s="7" t="str">
        <f ca="1">IF(DI25="","",IFERROR(VLOOKUP($A26,INDIRECT(#REF!&amp;"!$A$6:$C$200"),3,0),0))</f>
        <v/>
      </c>
      <c r="DJ26" s="7" t="str">
        <f ca="1">IF(DJ25="","",IFERROR(VLOOKUP($A26,INDIRECT(#REF!&amp;"!$A$6:$C$200"),3,0),0))</f>
        <v/>
      </c>
      <c r="DK26" s="7" t="str">
        <f ca="1">IF(DK25="","",IFERROR(VLOOKUP($A26,INDIRECT(#REF!&amp;"!$A$6:$C$200"),3,0),0))</f>
        <v/>
      </c>
    </row>
    <row r="27" spans="1:115">
      <c r="A27" s="6" t="s">
        <v>29</v>
      </c>
      <c r="B27" s="7">
        <v>2.5000000000000001E-4</v>
      </c>
      <c r="C27" s="7">
        <v>1.7142857142857145E-4</v>
      </c>
      <c r="D27" s="7">
        <v>3.1428571428571432E-4</v>
      </c>
      <c r="E27" s="7">
        <v>1.5714285714285716E-4</v>
      </c>
      <c r="F27" s="7">
        <v>1.1428571428571431E-4</v>
      </c>
      <c r="G27" s="7">
        <v>1.8571428571428574E-4</v>
      </c>
      <c r="H27" s="7">
        <f t="shared" ca="1" si="5"/>
        <v>1E-4</v>
      </c>
      <c r="I27" s="7">
        <f t="shared" ca="1" si="3"/>
        <v>0</v>
      </c>
      <c r="J27" s="7">
        <f t="shared" ca="1" si="4"/>
        <v>0</v>
      </c>
      <c r="K27" s="7">
        <f t="shared" ca="1" si="0"/>
        <v>0</v>
      </c>
      <c r="L27" s="7">
        <f t="shared" ca="1" si="1"/>
        <v>0</v>
      </c>
      <c r="M27" s="8">
        <v>4.0000000000000002E-4</v>
      </c>
      <c r="N27" s="8">
        <v>1E-4</v>
      </c>
      <c r="O27" s="8">
        <v>2.0000000000000001E-4</v>
      </c>
      <c r="P27" s="8">
        <v>2.0000000000000001E-4</v>
      </c>
      <c r="Q27" s="8">
        <v>4.0000000000000002E-4</v>
      </c>
      <c r="R27" s="8">
        <v>2.0000000000000001E-4</v>
      </c>
      <c r="S27" s="8">
        <v>2.0000000000000001E-4</v>
      </c>
      <c r="T27" s="8">
        <v>1E-4</v>
      </c>
      <c r="U27" s="8">
        <v>1E-4</v>
      </c>
      <c r="V27" s="8">
        <v>2.0000000000000001E-4</v>
      </c>
      <c r="W27" s="8">
        <v>1E-4</v>
      </c>
      <c r="X27" s="8">
        <v>1E-4</v>
      </c>
      <c r="Y27" s="8">
        <v>4.0000000000000002E-4</v>
      </c>
      <c r="Z27" s="8">
        <v>2.0000000000000001E-4</v>
      </c>
      <c r="AA27" s="8">
        <v>5.0000000000000001E-4</v>
      </c>
      <c r="AB27" s="8">
        <v>5.0000000000000001E-4</v>
      </c>
      <c r="AC27" s="8">
        <v>2.9999999999999997E-4</v>
      </c>
      <c r="AD27" s="8">
        <v>2.0000000000000001E-4</v>
      </c>
      <c r="AE27" s="8">
        <v>2.9999999999999997E-4</v>
      </c>
      <c r="AF27" s="8">
        <v>2.0000000000000001E-4</v>
      </c>
      <c r="AG27" s="8">
        <v>1E-4</v>
      </c>
      <c r="AH27" s="8">
        <v>2.0000000000000001E-4</v>
      </c>
      <c r="AI27" s="8">
        <v>1E-4</v>
      </c>
      <c r="AJ27" s="8">
        <v>1E-4</v>
      </c>
      <c r="AK27" s="8">
        <v>2.9999999999999997E-4</v>
      </c>
      <c r="AL27" s="8">
        <v>1E-4</v>
      </c>
      <c r="AM27" s="7">
        <v>2.0000000000000001E-4</v>
      </c>
      <c r="AN27" s="7">
        <v>1E-4</v>
      </c>
      <c r="AO27" s="7">
        <v>1E-4</v>
      </c>
      <c r="AP27" s="7">
        <v>2.0000000000000001E-4</v>
      </c>
      <c r="AQ27" s="7">
        <v>1E-4</v>
      </c>
      <c r="AR27" s="7">
        <v>1E-4</v>
      </c>
      <c r="AS27" s="7">
        <v>1E-4</v>
      </c>
      <c r="AT27" s="7">
        <v>1E-4</v>
      </c>
      <c r="AU27" s="7">
        <v>2.0000000000000001E-4</v>
      </c>
      <c r="AV27" s="7">
        <v>2.0000000000000001E-4</v>
      </c>
      <c r="AW27" s="7">
        <v>2.0000000000000001E-4</v>
      </c>
      <c r="AX27" s="7">
        <v>1E-4</v>
      </c>
      <c r="AY27" s="7">
        <v>2.0000000000000001E-4</v>
      </c>
      <c r="AZ27" s="7">
        <v>2.0000000000000001E-4</v>
      </c>
      <c r="BA27" s="7">
        <v>2.0000000000000001E-4</v>
      </c>
      <c r="BB27" s="7">
        <v>2.0000000000000001E-4</v>
      </c>
      <c r="BC27" s="7">
        <v>2.0000000000000001E-4</v>
      </c>
      <c r="BD27" s="7">
        <v>2.9999999999999997E-4</v>
      </c>
      <c r="BE27" s="7">
        <f ca="1">IFERROR(VLOOKUP($A27,INDIRECT(#REF!&amp;"!$A$6:$C$200"),3,0),0)</f>
        <v>0</v>
      </c>
      <c r="BF27" s="7">
        <f ca="1">IFERROR(VLOOKUP($A27,INDIRECT(#REF!&amp;"!$A$6:$C$200"),3,0),0)</f>
        <v>0</v>
      </c>
      <c r="BG27" s="7">
        <f ca="1">IFERROR(VLOOKUP($A27,INDIRECT(#REF!&amp;"!$A$6:$C$200"),3,0),0)</f>
        <v>0</v>
      </c>
      <c r="BH27" s="8">
        <f ca="1">IFERROR(VLOOKUP($A27,INDIRECT(#REF!&amp;"!$A$6:$C$200"),3,0),0)</f>
        <v>0</v>
      </c>
      <c r="BI27" s="8">
        <f ca="1">IFERROR(VLOOKUP($A27,INDIRECT(#REF!&amp;"!$A$6:$C$200"),3,0),0)</f>
        <v>0</v>
      </c>
      <c r="BJ27" s="8">
        <f ca="1">IFERROR(VLOOKUP($A27,INDIRECT(#REF!&amp;"!$A$6:$C$200"),3,0),0)</f>
        <v>0</v>
      </c>
      <c r="BK27" s="8">
        <f ca="1">IFERROR(VLOOKUP($A27,INDIRECT(#REF!&amp;"!$A$6:$C$200"),3,0),0)</f>
        <v>0</v>
      </c>
      <c r="BL27" s="8">
        <f ca="1">IFERROR(VLOOKUP($A27,INDIRECT(#REF!&amp;"!$A$6:$C$200"),3,0),0)</f>
        <v>0</v>
      </c>
      <c r="BM27" s="8">
        <f ca="1">IFERROR(VLOOKUP($A27,INDIRECT(#REF!&amp;"!$A$6:$C$200"),3,0),0)</f>
        <v>0</v>
      </c>
      <c r="BN27" s="8">
        <f ca="1">IFERROR(VLOOKUP($A27,INDIRECT(#REF!&amp;"!$A$6:$C$200"),3,0),0)</f>
        <v>0</v>
      </c>
      <c r="BO27" s="8">
        <f ca="1">IFERROR(VLOOKUP($A27,INDIRECT(#REF!&amp;"!$A$6:$C$200"),3,0),0)</f>
        <v>0</v>
      </c>
      <c r="BP27" s="7">
        <f ca="1">IFERROR(VLOOKUP($A27,INDIRECT(#REF!&amp;"!$A$6:$C$200"),3,0),0)</f>
        <v>0</v>
      </c>
      <c r="BQ27" s="7">
        <f ca="1">IFERROR(VLOOKUP($A27,INDIRECT(#REF!&amp;"!$A$6:$C$200"),3,0),0)</f>
        <v>0</v>
      </c>
      <c r="BR27" s="7">
        <f ca="1">IFERROR(VLOOKUP($A27,INDIRECT(#REF!&amp;"!$A$6:$C$200"),3,0),0)</f>
        <v>0</v>
      </c>
      <c r="BS27" s="7">
        <f ca="1">IFERROR(VLOOKUP($A27,INDIRECT(#REF!&amp;"!$A$6:$C$200"),3,0),0)</f>
        <v>0</v>
      </c>
      <c r="BT27" s="7">
        <f ca="1">IFERROR(VLOOKUP($A27,INDIRECT(#REF!&amp;"!$A$6:$C$200"),3,0),0)</f>
        <v>0</v>
      </c>
      <c r="BU27" s="7">
        <f ca="1">IFERROR(VLOOKUP($A27,INDIRECT(#REF!&amp;"!$A$6:$C$200"),3,0),0)</f>
        <v>0</v>
      </c>
      <c r="BV27" s="7">
        <f ca="1">IFERROR(VLOOKUP($A27,INDIRECT(#REF!&amp;"!$A$6:$C$200"),3,0),0)</f>
        <v>0</v>
      </c>
      <c r="BW27" s="7">
        <f ca="1">IFERROR(VLOOKUP($A27,INDIRECT(#REF!&amp;"!$A$6:$C$200"),3,0),0)</f>
        <v>0</v>
      </c>
      <c r="BX27" s="7">
        <f ca="1">IFERROR(VLOOKUP($A27,INDIRECT(#REF!&amp;"!$A$6:$C$200"),3,0),0)</f>
        <v>0</v>
      </c>
      <c r="BY27" s="7">
        <f ca="1">IFERROR(VLOOKUP($A27,INDIRECT(#REF!&amp;"!$A$6:$C$200"),3,0),0)</f>
        <v>0</v>
      </c>
      <c r="BZ27" s="7">
        <f ca="1">IFERROR(VLOOKUP($A27,INDIRECT(#REF!&amp;"!$A$6:$C$200"),3,0),0)</f>
        <v>0</v>
      </c>
      <c r="CA27" s="7">
        <f ca="1">IFERROR(VLOOKUP($A27,INDIRECT(#REF!&amp;"!$A$6:$C$200"),3,0),0)</f>
        <v>0</v>
      </c>
      <c r="CB27" s="7">
        <f ca="1">IFERROR(VLOOKUP($A27,INDIRECT(#REF!&amp;"!$A$6:$C$200"),3,0),0)</f>
        <v>0</v>
      </c>
      <c r="CC27" s="7">
        <f ca="1">IFERROR(VLOOKUP($A27,INDIRECT(#REF!&amp;"!$A$6:$C$200"),3,0),0)</f>
        <v>0</v>
      </c>
      <c r="CD27" s="7" t="str">
        <f ca="1">IF(CD26="","",IFERROR(VLOOKUP($A27,INDIRECT(#REF!&amp;"!$A$6:$C$200"),3,0),0))</f>
        <v/>
      </c>
      <c r="CE27" s="7" t="str">
        <f ca="1">IF(CE26="","",IFERROR(VLOOKUP($A27,INDIRECT(#REF!&amp;"!$A$6:$C$200"),3,0),0))</f>
        <v/>
      </c>
      <c r="CF27" s="7" t="str">
        <f ca="1">IF(CF26="","",IFERROR(VLOOKUP($A27,INDIRECT(#REF!&amp;"!$A$6:$C$200"),3,0),0))</f>
        <v/>
      </c>
      <c r="CG27" s="7" t="str">
        <f ca="1">IF(CG26="","",IFERROR(VLOOKUP($A27,INDIRECT(#REF!&amp;"!$A$6:$C$200"),3,0),0))</f>
        <v/>
      </c>
      <c r="CH27" s="7" t="str">
        <f ca="1">IF(CH26="","",IFERROR(VLOOKUP($A27,INDIRECT(#REF!&amp;"!$A$6:$C$200"),3,0),0))</f>
        <v/>
      </c>
      <c r="CI27" s="7" t="str">
        <f ca="1">IF(CI26="","",IFERROR(VLOOKUP($A27,INDIRECT(#REF!&amp;"!$A$6:$C$200"),3,0),0))</f>
        <v/>
      </c>
      <c r="CJ27" s="7" t="str">
        <f ca="1">IF(CJ26="","",IFERROR(VLOOKUP($A27,INDIRECT(#REF!&amp;"!$A$6:$C$200"),3,0),0))</f>
        <v/>
      </c>
      <c r="CK27" s="7" t="str">
        <f ca="1">IF(CK26="","",IFERROR(VLOOKUP($A27,INDIRECT(#REF!&amp;"!$A$6:$C$200"),3,0),0))</f>
        <v/>
      </c>
      <c r="CL27" s="7" t="str">
        <f ca="1">IF(CL26="","",IFERROR(VLOOKUP($A27,INDIRECT(#REF!&amp;"!$A$6:$C$200"),3,0),0))</f>
        <v/>
      </c>
      <c r="CM27" s="7" t="str">
        <f ca="1">IF(CM26="","",IFERROR(VLOOKUP($A27,INDIRECT(#REF!&amp;"!$A$6:$C$200"),3,0),0))</f>
        <v/>
      </c>
      <c r="CN27" s="7" t="str">
        <f ca="1">IF(CN26="","",IFERROR(VLOOKUP($A27,INDIRECT(#REF!&amp;"!$A$6:$C$200"),3,0),0))</f>
        <v/>
      </c>
      <c r="CO27" s="7" t="str">
        <f ca="1">IF(CO26="","",IFERROR(VLOOKUP($A27,INDIRECT(#REF!&amp;"!$A$6:$C$200"),3,0),0))</f>
        <v/>
      </c>
      <c r="CP27" s="7" t="str">
        <f ca="1">IF(CP26="","",IFERROR(VLOOKUP($A27,INDIRECT(#REF!&amp;"!$A$6:$C$200"),3,0),0))</f>
        <v/>
      </c>
      <c r="CQ27" s="7" t="str">
        <f ca="1">IF(CQ26="","",IFERROR(VLOOKUP($A27,INDIRECT(#REF!&amp;"!$A$6:$C$200"),3,0),0))</f>
        <v/>
      </c>
      <c r="CR27" s="7" t="str">
        <f ca="1">IF(CR26="","",IFERROR(VLOOKUP($A27,INDIRECT(#REF!&amp;"!$A$6:$C$200"),3,0),0))</f>
        <v/>
      </c>
      <c r="CS27" s="7" t="str">
        <f ca="1">IF(CS26="","",IFERROR(VLOOKUP($A27,INDIRECT(#REF!&amp;"!$A$6:$C$200"),3,0),0))</f>
        <v/>
      </c>
      <c r="CT27" s="7" t="str">
        <f ca="1">IF(CT26="","",IFERROR(VLOOKUP($A27,INDIRECT(#REF!&amp;"!$A$6:$C$200"),3,0),0))</f>
        <v/>
      </c>
      <c r="CU27" s="7" t="str">
        <f ca="1">IF(CU26="","",IFERROR(VLOOKUP($A27,INDIRECT(#REF!&amp;"!$A$6:$C$200"),3,0),0))</f>
        <v/>
      </c>
      <c r="CV27" s="7" t="str">
        <f ca="1">IF(CV26="","",IFERROR(VLOOKUP($A27,INDIRECT(#REF!&amp;"!$A$6:$C$200"),3,0),0))</f>
        <v/>
      </c>
      <c r="CW27" s="7" t="str">
        <f ca="1">IF(CW26="","",IFERROR(VLOOKUP($A27,INDIRECT(#REF!&amp;"!$A$6:$C$200"),3,0),0))</f>
        <v/>
      </c>
      <c r="CX27" s="7" t="str">
        <f ca="1">IF(CX26="","",IFERROR(VLOOKUP($A27,INDIRECT(#REF!&amp;"!$A$6:$C$200"),3,0),0))</f>
        <v/>
      </c>
      <c r="CY27" s="7" t="str">
        <f ca="1">IF(CY26="","",IFERROR(VLOOKUP($A27,INDIRECT(#REF!&amp;"!$A$6:$C$200"),3,0),0))</f>
        <v/>
      </c>
      <c r="CZ27" s="7" t="str">
        <f ca="1">IF(CZ26="","",IFERROR(VLOOKUP($A27,INDIRECT(#REF!&amp;"!$A$6:$C$200"),3,0),0))</f>
        <v/>
      </c>
      <c r="DA27" s="7" t="str">
        <f ca="1">IF(DA26="","",IFERROR(VLOOKUP($A27,INDIRECT(#REF!&amp;"!$A$6:$C$200"),3,0),0))</f>
        <v/>
      </c>
      <c r="DB27" s="7" t="str">
        <f ca="1">IF(DB26="","",IFERROR(VLOOKUP($A27,INDIRECT(#REF!&amp;"!$A$6:$C$200"),3,0),0))</f>
        <v/>
      </c>
      <c r="DC27" s="7" t="str">
        <f ca="1">IF(DC26="","",IFERROR(VLOOKUP($A27,INDIRECT(#REF!&amp;"!$A$6:$C$200"),3,0),0))</f>
        <v/>
      </c>
      <c r="DD27" s="7" t="str">
        <f ca="1">IF(DD26="","",IFERROR(VLOOKUP($A27,INDIRECT(#REF!&amp;"!$A$6:$C$200"),3,0),0))</f>
        <v/>
      </c>
      <c r="DE27" s="7" t="str">
        <f ca="1">IF(DE26="","",IFERROR(VLOOKUP($A27,INDIRECT(#REF!&amp;"!$A$6:$C$200"),3,0),0))</f>
        <v/>
      </c>
      <c r="DF27" s="7" t="str">
        <f ca="1">IF(DF26="","",IFERROR(VLOOKUP($A27,INDIRECT(#REF!&amp;"!$A$6:$C$200"),3,0),0))</f>
        <v/>
      </c>
      <c r="DG27" s="7" t="str">
        <f ca="1">IF(DG26="","",IFERROR(VLOOKUP($A27,INDIRECT(#REF!&amp;"!$A$6:$C$200"),3,0),0))</f>
        <v/>
      </c>
      <c r="DH27" s="7" t="str">
        <f ca="1">IF(DH26="","",IFERROR(VLOOKUP($A27,INDIRECT(#REF!&amp;"!$A$6:$C$200"),3,0),0))</f>
        <v/>
      </c>
      <c r="DI27" s="7" t="str">
        <f ca="1">IF(DI26="","",IFERROR(VLOOKUP($A27,INDIRECT(#REF!&amp;"!$A$6:$C$200"),3,0),0))</f>
        <v/>
      </c>
      <c r="DJ27" s="7" t="str">
        <f ca="1">IF(DJ26="","",IFERROR(VLOOKUP($A27,INDIRECT(#REF!&amp;"!$A$6:$C$200"),3,0),0))</f>
        <v/>
      </c>
      <c r="DK27" s="7" t="str">
        <f ca="1">IF(DK26="","",IFERROR(VLOOKUP($A27,INDIRECT(#REF!&amp;"!$A$6:$C$200"),3,0),0))</f>
        <v/>
      </c>
    </row>
    <row r="28" spans="1:115">
      <c r="A28" s="6" t="s">
        <v>30</v>
      </c>
      <c r="B28" s="7">
        <v>1.4999999999999999E-4</v>
      </c>
      <c r="C28" s="7">
        <v>4.2857142857142863E-5</v>
      </c>
      <c r="D28" s="7">
        <v>1.1428571428571431E-4</v>
      </c>
      <c r="E28" s="7">
        <v>1.5714285714285716E-4</v>
      </c>
      <c r="F28" s="7">
        <v>1.0000000000000002E-4</v>
      </c>
      <c r="G28" s="7">
        <v>1.285714285714286E-4</v>
      </c>
      <c r="H28" s="7">
        <f t="shared" ca="1" si="5"/>
        <v>2.8571428571428574E-5</v>
      </c>
      <c r="I28" s="7">
        <f t="shared" ca="1" si="3"/>
        <v>0</v>
      </c>
      <c r="J28" s="7">
        <f t="shared" ca="1" si="4"/>
        <v>0</v>
      </c>
      <c r="K28" s="7">
        <f t="shared" ca="1" si="0"/>
        <v>0</v>
      </c>
      <c r="L28" s="7">
        <f t="shared" ca="1" si="1"/>
        <v>0</v>
      </c>
      <c r="M28" s="8">
        <v>0</v>
      </c>
      <c r="N28" s="8">
        <v>1E-4</v>
      </c>
      <c r="O28" s="8">
        <v>0</v>
      </c>
      <c r="P28" s="8">
        <v>2.9999999999999997E-4</v>
      </c>
      <c r="Q28" s="8">
        <v>2.9999999999999997E-4</v>
      </c>
      <c r="R28" s="8">
        <v>2.0000000000000001E-4</v>
      </c>
      <c r="S28" s="8">
        <v>1E-4</v>
      </c>
      <c r="T28" s="8">
        <v>0</v>
      </c>
      <c r="U28" s="8">
        <v>1E-4</v>
      </c>
      <c r="V28" s="8">
        <v>0</v>
      </c>
      <c r="W28" s="8">
        <v>0</v>
      </c>
      <c r="X28" s="8">
        <v>0</v>
      </c>
      <c r="Y28" s="8">
        <v>1E-4</v>
      </c>
      <c r="Z28" s="8">
        <v>1E-4</v>
      </c>
      <c r="AA28" s="8">
        <v>2.0000000000000001E-4</v>
      </c>
      <c r="AB28" s="8">
        <v>2.0000000000000001E-4</v>
      </c>
      <c r="AC28" s="8">
        <v>1E-4</v>
      </c>
      <c r="AD28" s="8">
        <v>1E-4</v>
      </c>
      <c r="AE28" s="8">
        <v>1E-4</v>
      </c>
      <c r="AF28" s="8">
        <v>0</v>
      </c>
      <c r="AG28" s="8">
        <v>2.0000000000000001E-4</v>
      </c>
      <c r="AH28" s="8">
        <v>1E-4</v>
      </c>
      <c r="AI28" s="8">
        <v>2.0000000000000001E-4</v>
      </c>
      <c r="AJ28" s="8">
        <v>2.0000000000000001E-4</v>
      </c>
      <c r="AK28" s="8">
        <v>2.0000000000000001E-4</v>
      </c>
      <c r="AL28" s="8">
        <v>1E-4</v>
      </c>
      <c r="AM28" s="7">
        <v>1E-4</v>
      </c>
      <c r="AN28" s="7">
        <v>0</v>
      </c>
      <c r="AO28" s="7">
        <v>2.0000000000000001E-4</v>
      </c>
      <c r="AP28" s="7">
        <v>1E-4</v>
      </c>
      <c r="AQ28" s="7">
        <v>1E-4</v>
      </c>
      <c r="AR28" s="7">
        <v>1E-4</v>
      </c>
      <c r="AS28" s="7">
        <v>1E-4</v>
      </c>
      <c r="AT28" s="7">
        <v>1E-4</v>
      </c>
      <c r="AU28" s="7">
        <v>2.0000000000000001E-4</v>
      </c>
      <c r="AV28" s="7">
        <v>1E-4</v>
      </c>
      <c r="AW28" s="7">
        <v>2.0000000000000001E-4</v>
      </c>
      <c r="AX28" s="7">
        <v>1E-4</v>
      </c>
      <c r="AY28" s="7">
        <v>1E-4</v>
      </c>
      <c r="AZ28" s="7">
        <v>1E-4</v>
      </c>
      <c r="BA28" s="7">
        <v>1E-4</v>
      </c>
      <c r="BB28" s="7">
        <v>1E-4</v>
      </c>
      <c r="BC28" s="7">
        <v>1E-4</v>
      </c>
      <c r="BD28" s="7">
        <v>0</v>
      </c>
      <c r="BE28" s="7">
        <f ca="1">IFERROR(VLOOKUP($A28,INDIRECT(#REF!&amp;"!$A$6:$C$200"),3,0),0)</f>
        <v>0</v>
      </c>
      <c r="BF28" s="7">
        <f ca="1">IFERROR(VLOOKUP($A28,INDIRECT(#REF!&amp;"!$A$6:$C$200"),3,0),0)</f>
        <v>0</v>
      </c>
      <c r="BG28" s="7">
        <f ca="1">IFERROR(VLOOKUP($A28,INDIRECT(#REF!&amp;"!$A$6:$C$200"),3,0),0)</f>
        <v>0</v>
      </c>
      <c r="BH28" s="8">
        <f ca="1">IFERROR(VLOOKUP($A28,INDIRECT(#REF!&amp;"!$A$6:$C$200"),3,0),0)</f>
        <v>0</v>
      </c>
      <c r="BI28" s="8">
        <f ca="1">IFERROR(VLOOKUP($A28,INDIRECT(#REF!&amp;"!$A$6:$C$200"),3,0),0)</f>
        <v>0</v>
      </c>
      <c r="BJ28" s="8">
        <f ca="1">IFERROR(VLOOKUP($A28,INDIRECT(#REF!&amp;"!$A$6:$C$200"),3,0),0)</f>
        <v>0</v>
      </c>
      <c r="BK28" s="8">
        <f ca="1">IFERROR(VLOOKUP($A28,INDIRECT(#REF!&amp;"!$A$6:$C$200"),3,0),0)</f>
        <v>0</v>
      </c>
      <c r="BL28" s="8">
        <f ca="1">IFERROR(VLOOKUP($A28,INDIRECT(#REF!&amp;"!$A$6:$C$200"),3,0),0)</f>
        <v>0</v>
      </c>
      <c r="BM28" s="8">
        <f ca="1">IFERROR(VLOOKUP($A28,INDIRECT(#REF!&amp;"!$A$6:$C$200"),3,0),0)</f>
        <v>0</v>
      </c>
      <c r="BN28" s="8">
        <f ca="1">IFERROR(VLOOKUP($A28,INDIRECT(#REF!&amp;"!$A$6:$C$200"),3,0),0)</f>
        <v>0</v>
      </c>
      <c r="BO28" s="8">
        <f ca="1">IFERROR(VLOOKUP($A28,INDIRECT(#REF!&amp;"!$A$6:$C$200"),3,0),0)</f>
        <v>0</v>
      </c>
      <c r="BP28" s="7">
        <f ca="1">IFERROR(VLOOKUP($A28,INDIRECT(#REF!&amp;"!$A$6:$C$200"),3,0),0)</f>
        <v>0</v>
      </c>
      <c r="BQ28" s="7">
        <f ca="1">IFERROR(VLOOKUP($A28,INDIRECT(#REF!&amp;"!$A$6:$C$200"),3,0),0)</f>
        <v>0</v>
      </c>
      <c r="BR28" s="7">
        <f ca="1">IFERROR(VLOOKUP($A28,INDIRECT(#REF!&amp;"!$A$6:$C$200"),3,0),0)</f>
        <v>0</v>
      </c>
      <c r="BS28" s="7">
        <f ca="1">IFERROR(VLOOKUP($A28,INDIRECT(#REF!&amp;"!$A$6:$C$200"),3,0),0)</f>
        <v>0</v>
      </c>
      <c r="BT28" s="7">
        <f ca="1">IFERROR(VLOOKUP($A28,INDIRECT(#REF!&amp;"!$A$6:$C$200"),3,0),0)</f>
        <v>0</v>
      </c>
      <c r="BU28" s="7">
        <f ca="1">IFERROR(VLOOKUP($A28,INDIRECT(#REF!&amp;"!$A$6:$C$200"),3,0),0)</f>
        <v>0</v>
      </c>
      <c r="BV28" s="7">
        <f ca="1">IFERROR(VLOOKUP($A28,INDIRECT(#REF!&amp;"!$A$6:$C$200"),3,0),0)</f>
        <v>0</v>
      </c>
      <c r="BW28" s="7">
        <f ca="1">IFERROR(VLOOKUP($A28,INDIRECT(#REF!&amp;"!$A$6:$C$200"),3,0),0)</f>
        <v>0</v>
      </c>
      <c r="BX28" s="7">
        <f ca="1">IFERROR(VLOOKUP($A28,INDIRECT(#REF!&amp;"!$A$6:$C$200"),3,0),0)</f>
        <v>0</v>
      </c>
      <c r="BY28" s="7">
        <f ca="1">IFERROR(VLOOKUP($A28,INDIRECT(#REF!&amp;"!$A$6:$C$200"),3,0),0)</f>
        <v>0</v>
      </c>
      <c r="BZ28" s="7">
        <f ca="1">IFERROR(VLOOKUP($A28,INDIRECT(#REF!&amp;"!$A$6:$C$200"),3,0),0)</f>
        <v>0</v>
      </c>
      <c r="CA28" s="7">
        <f ca="1">IFERROR(VLOOKUP($A28,INDIRECT(#REF!&amp;"!$A$6:$C$200"),3,0),0)</f>
        <v>0</v>
      </c>
      <c r="CB28" s="7">
        <f ca="1">IFERROR(VLOOKUP($A28,INDIRECT(#REF!&amp;"!$A$6:$C$200"),3,0),0)</f>
        <v>0</v>
      </c>
      <c r="CC28" s="7">
        <f ca="1">IFERROR(VLOOKUP($A28,INDIRECT(#REF!&amp;"!$A$6:$C$200"),3,0),0)</f>
        <v>0</v>
      </c>
      <c r="CD28" s="7" t="str">
        <f ca="1">IF(CD27="","",IFERROR(VLOOKUP($A28,INDIRECT(#REF!&amp;"!$A$6:$C$200"),3,0),0))</f>
        <v/>
      </c>
      <c r="CE28" s="7" t="str">
        <f ca="1">IF(CE27="","",IFERROR(VLOOKUP($A28,INDIRECT(#REF!&amp;"!$A$6:$C$200"),3,0),0))</f>
        <v/>
      </c>
      <c r="CF28" s="7" t="str">
        <f ca="1">IF(CF27="","",IFERROR(VLOOKUP($A28,INDIRECT(#REF!&amp;"!$A$6:$C$200"),3,0),0))</f>
        <v/>
      </c>
      <c r="CG28" s="7" t="str">
        <f ca="1">IF(CG27="","",IFERROR(VLOOKUP($A28,INDIRECT(#REF!&amp;"!$A$6:$C$200"),3,0),0))</f>
        <v/>
      </c>
      <c r="CH28" s="7" t="str">
        <f ca="1">IF(CH27="","",IFERROR(VLOOKUP($A28,INDIRECT(#REF!&amp;"!$A$6:$C$200"),3,0),0))</f>
        <v/>
      </c>
      <c r="CI28" s="7" t="str">
        <f ca="1">IF(CI27="","",IFERROR(VLOOKUP($A28,INDIRECT(#REF!&amp;"!$A$6:$C$200"),3,0),0))</f>
        <v/>
      </c>
      <c r="CJ28" s="7" t="str">
        <f ca="1">IF(CJ27="","",IFERROR(VLOOKUP($A28,INDIRECT(#REF!&amp;"!$A$6:$C$200"),3,0),0))</f>
        <v/>
      </c>
      <c r="CK28" s="7" t="str">
        <f ca="1">IF(CK27="","",IFERROR(VLOOKUP($A28,INDIRECT(#REF!&amp;"!$A$6:$C$200"),3,0),0))</f>
        <v/>
      </c>
      <c r="CL28" s="7" t="str">
        <f ca="1">IF(CL27="","",IFERROR(VLOOKUP($A28,INDIRECT(#REF!&amp;"!$A$6:$C$200"),3,0),0))</f>
        <v/>
      </c>
      <c r="CM28" s="7" t="str">
        <f ca="1">IF(CM27="","",IFERROR(VLOOKUP($A28,INDIRECT(#REF!&amp;"!$A$6:$C$200"),3,0),0))</f>
        <v/>
      </c>
      <c r="CN28" s="7" t="str">
        <f ca="1">IF(CN27="","",IFERROR(VLOOKUP($A28,INDIRECT(#REF!&amp;"!$A$6:$C$200"),3,0),0))</f>
        <v/>
      </c>
      <c r="CO28" s="7" t="str">
        <f ca="1">IF(CO27="","",IFERROR(VLOOKUP($A28,INDIRECT(#REF!&amp;"!$A$6:$C$200"),3,0),0))</f>
        <v/>
      </c>
      <c r="CP28" s="7" t="str">
        <f ca="1">IF(CP27="","",IFERROR(VLOOKUP($A28,INDIRECT(#REF!&amp;"!$A$6:$C$200"),3,0),0))</f>
        <v/>
      </c>
      <c r="CQ28" s="7" t="str">
        <f ca="1">IF(CQ27="","",IFERROR(VLOOKUP($A28,INDIRECT(#REF!&amp;"!$A$6:$C$200"),3,0),0))</f>
        <v/>
      </c>
      <c r="CR28" s="7" t="str">
        <f ca="1">IF(CR27="","",IFERROR(VLOOKUP($A28,INDIRECT(#REF!&amp;"!$A$6:$C$200"),3,0),0))</f>
        <v/>
      </c>
      <c r="CS28" s="7" t="str">
        <f ca="1">IF(CS27="","",IFERROR(VLOOKUP($A28,INDIRECT(#REF!&amp;"!$A$6:$C$200"),3,0),0))</f>
        <v/>
      </c>
      <c r="CT28" s="7" t="str">
        <f ca="1">IF(CT27="","",IFERROR(VLOOKUP($A28,INDIRECT(#REF!&amp;"!$A$6:$C$200"),3,0),0))</f>
        <v/>
      </c>
      <c r="CU28" s="7" t="str">
        <f ca="1">IF(CU27="","",IFERROR(VLOOKUP($A28,INDIRECT(#REF!&amp;"!$A$6:$C$200"),3,0),0))</f>
        <v/>
      </c>
      <c r="CV28" s="7" t="str">
        <f ca="1">IF(CV27="","",IFERROR(VLOOKUP($A28,INDIRECT(#REF!&amp;"!$A$6:$C$200"),3,0),0))</f>
        <v/>
      </c>
      <c r="CW28" s="7" t="str">
        <f ca="1">IF(CW27="","",IFERROR(VLOOKUP($A28,INDIRECT(#REF!&amp;"!$A$6:$C$200"),3,0),0))</f>
        <v/>
      </c>
      <c r="CX28" s="7" t="str">
        <f ca="1">IF(CX27="","",IFERROR(VLOOKUP($A28,INDIRECT(#REF!&amp;"!$A$6:$C$200"),3,0),0))</f>
        <v/>
      </c>
      <c r="CY28" s="7" t="str">
        <f ca="1">IF(CY27="","",IFERROR(VLOOKUP($A28,INDIRECT(#REF!&amp;"!$A$6:$C$200"),3,0),0))</f>
        <v/>
      </c>
      <c r="CZ28" s="7" t="str">
        <f ca="1">IF(CZ27="","",IFERROR(VLOOKUP($A28,INDIRECT(#REF!&amp;"!$A$6:$C$200"),3,0),0))</f>
        <v/>
      </c>
      <c r="DA28" s="7" t="str">
        <f ca="1">IF(DA27="","",IFERROR(VLOOKUP($A28,INDIRECT(#REF!&amp;"!$A$6:$C$200"),3,0),0))</f>
        <v/>
      </c>
      <c r="DB28" s="7" t="str">
        <f ca="1">IF(DB27="","",IFERROR(VLOOKUP($A28,INDIRECT(#REF!&amp;"!$A$6:$C$200"),3,0),0))</f>
        <v/>
      </c>
      <c r="DC28" s="7" t="str">
        <f ca="1">IF(DC27="","",IFERROR(VLOOKUP($A28,INDIRECT(#REF!&amp;"!$A$6:$C$200"),3,0),0))</f>
        <v/>
      </c>
      <c r="DD28" s="7" t="str">
        <f ca="1">IF(DD27="","",IFERROR(VLOOKUP($A28,INDIRECT(#REF!&amp;"!$A$6:$C$200"),3,0),0))</f>
        <v/>
      </c>
      <c r="DE28" s="7" t="str">
        <f ca="1">IF(DE27="","",IFERROR(VLOOKUP($A28,INDIRECT(#REF!&amp;"!$A$6:$C$200"),3,0),0))</f>
        <v/>
      </c>
      <c r="DF28" s="7" t="str">
        <f ca="1">IF(DF27="","",IFERROR(VLOOKUP($A28,INDIRECT(#REF!&amp;"!$A$6:$C$200"),3,0),0))</f>
        <v/>
      </c>
      <c r="DG28" s="7" t="str">
        <f ca="1">IF(DG27="","",IFERROR(VLOOKUP($A28,INDIRECT(#REF!&amp;"!$A$6:$C$200"),3,0),0))</f>
        <v/>
      </c>
      <c r="DH28" s="7" t="str">
        <f ca="1">IF(DH27="","",IFERROR(VLOOKUP($A28,INDIRECT(#REF!&amp;"!$A$6:$C$200"),3,0),0))</f>
        <v/>
      </c>
      <c r="DI28" s="7" t="str">
        <f ca="1">IF(DI27="","",IFERROR(VLOOKUP($A28,INDIRECT(#REF!&amp;"!$A$6:$C$200"),3,0),0))</f>
        <v/>
      </c>
      <c r="DJ28" s="7" t="str">
        <f ca="1">IF(DJ27="","",IFERROR(VLOOKUP($A28,INDIRECT(#REF!&amp;"!$A$6:$C$200"),3,0),0))</f>
        <v/>
      </c>
      <c r="DK28" s="7" t="str">
        <f ca="1">IF(DK27="","",IFERROR(VLOOKUP($A28,INDIRECT(#REF!&amp;"!$A$6:$C$200"),3,0),0))</f>
        <v/>
      </c>
    </row>
    <row r="29" spans="1:115">
      <c r="A29" s="6" t="s">
        <v>31</v>
      </c>
      <c r="B29" s="7">
        <v>2.1666666666666668E-4</v>
      </c>
      <c r="C29" s="7">
        <v>2.2857142857142859E-4</v>
      </c>
      <c r="D29" s="7">
        <v>2.4285714285714291E-4</v>
      </c>
      <c r="E29" s="7">
        <v>2.2857142857142859E-4</v>
      </c>
      <c r="F29" s="7">
        <v>1.5714285714285716E-4</v>
      </c>
      <c r="G29" s="7">
        <v>2.0000000000000004E-4</v>
      </c>
      <c r="H29" s="7">
        <f t="shared" ca="1" si="5"/>
        <v>5.7142857142857148E-5</v>
      </c>
      <c r="I29" s="7">
        <f t="shared" ca="1" si="3"/>
        <v>0</v>
      </c>
      <c r="J29" s="7">
        <f t="shared" ca="1" si="4"/>
        <v>0</v>
      </c>
      <c r="K29" s="7">
        <f t="shared" ca="1" si="0"/>
        <v>0</v>
      </c>
      <c r="L29" s="7">
        <f t="shared" ca="1" si="1"/>
        <v>0</v>
      </c>
      <c r="M29" s="8">
        <v>2.0000000000000001E-4</v>
      </c>
      <c r="N29" s="8">
        <v>1E-4</v>
      </c>
      <c r="O29" s="8">
        <v>1E-4</v>
      </c>
      <c r="P29" s="8">
        <v>2.0000000000000001E-4</v>
      </c>
      <c r="Q29" s="8">
        <v>5.9999999999999995E-4</v>
      </c>
      <c r="R29" s="8">
        <v>1E-4</v>
      </c>
      <c r="S29" s="8">
        <v>2.0000000000000001E-4</v>
      </c>
      <c r="T29" s="8">
        <v>2.9999999999999997E-4</v>
      </c>
      <c r="U29" s="8">
        <v>1E-4</v>
      </c>
      <c r="V29" s="8">
        <v>2.0000000000000001E-4</v>
      </c>
      <c r="W29" s="8">
        <v>2.0000000000000001E-4</v>
      </c>
      <c r="X29" s="8">
        <v>2.0000000000000001E-4</v>
      </c>
      <c r="Y29" s="8">
        <v>4.0000000000000002E-4</v>
      </c>
      <c r="Z29" s="8">
        <v>2.9999999999999997E-4</v>
      </c>
      <c r="AA29" s="8">
        <v>4.0000000000000002E-4</v>
      </c>
      <c r="AB29" s="8">
        <v>2.0000000000000001E-4</v>
      </c>
      <c r="AC29" s="8">
        <v>2.0000000000000001E-4</v>
      </c>
      <c r="AD29" s="8">
        <v>2.0000000000000001E-4</v>
      </c>
      <c r="AE29" s="8">
        <v>2.0000000000000001E-4</v>
      </c>
      <c r="AF29" s="8">
        <v>2.0000000000000001E-4</v>
      </c>
      <c r="AG29" s="8">
        <v>2.9999999999999997E-4</v>
      </c>
      <c r="AH29" s="8">
        <v>2.9999999999999997E-4</v>
      </c>
      <c r="AI29" s="8">
        <v>2.0000000000000001E-4</v>
      </c>
      <c r="AJ29" s="8">
        <v>2.9999999999999997E-4</v>
      </c>
      <c r="AK29" s="8">
        <v>2.0000000000000001E-4</v>
      </c>
      <c r="AL29" s="8">
        <v>1E-4</v>
      </c>
      <c r="AM29" s="7">
        <v>2.0000000000000001E-4</v>
      </c>
      <c r="AN29" s="7">
        <v>1E-4</v>
      </c>
      <c r="AO29" s="7">
        <v>1E-4</v>
      </c>
      <c r="AP29" s="7">
        <v>2.0000000000000001E-4</v>
      </c>
      <c r="AQ29" s="7">
        <v>1E-4</v>
      </c>
      <c r="AR29" s="7">
        <v>2.0000000000000001E-4</v>
      </c>
      <c r="AS29" s="7">
        <v>2.0000000000000001E-4</v>
      </c>
      <c r="AT29" s="7">
        <v>2.0000000000000001E-4</v>
      </c>
      <c r="AU29" s="7">
        <v>2.9999999999999997E-4</v>
      </c>
      <c r="AV29" s="7">
        <v>2.0000000000000001E-4</v>
      </c>
      <c r="AW29" s="7">
        <v>2.0000000000000001E-4</v>
      </c>
      <c r="AX29" s="7">
        <v>2.0000000000000001E-4</v>
      </c>
      <c r="AY29" s="7">
        <v>2.0000000000000001E-4</v>
      </c>
      <c r="AZ29" s="7">
        <v>1E-4</v>
      </c>
      <c r="BA29" s="7">
        <v>2.0000000000000001E-4</v>
      </c>
      <c r="BB29" s="7">
        <v>1E-4</v>
      </c>
      <c r="BC29" s="7">
        <v>2.0000000000000001E-4</v>
      </c>
      <c r="BD29" s="7">
        <v>1E-4</v>
      </c>
      <c r="BE29" s="7">
        <f ca="1">IFERROR(VLOOKUP($A29,INDIRECT(#REF!&amp;"!$A$6:$C$200"),3,0),0)</f>
        <v>0</v>
      </c>
      <c r="BF29" s="7">
        <f ca="1">IFERROR(VLOOKUP($A29,INDIRECT(#REF!&amp;"!$A$6:$C$200"),3,0),0)</f>
        <v>0</v>
      </c>
      <c r="BG29" s="7">
        <f ca="1">IFERROR(VLOOKUP($A29,INDIRECT(#REF!&amp;"!$A$6:$C$200"),3,0),0)</f>
        <v>0</v>
      </c>
      <c r="BH29" s="8">
        <f ca="1">IFERROR(VLOOKUP($A29,INDIRECT(#REF!&amp;"!$A$6:$C$200"),3,0),0)</f>
        <v>0</v>
      </c>
      <c r="BI29" s="8">
        <f ca="1">IFERROR(VLOOKUP($A29,INDIRECT(#REF!&amp;"!$A$6:$C$200"),3,0),0)</f>
        <v>0</v>
      </c>
      <c r="BJ29" s="8">
        <f ca="1">IFERROR(VLOOKUP($A29,INDIRECT(#REF!&amp;"!$A$6:$C$200"),3,0),0)</f>
        <v>0</v>
      </c>
      <c r="BK29" s="8">
        <f ca="1">IFERROR(VLOOKUP($A29,INDIRECT(#REF!&amp;"!$A$6:$C$200"),3,0),0)</f>
        <v>0</v>
      </c>
      <c r="BL29" s="8">
        <f ca="1">IFERROR(VLOOKUP($A29,INDIRECT(#REF!&amp;"!$A$6:$C$200"),3,0),0)</f>
        <v>0</v>
      </c>
      <c r="BM29" s="8">
        <f ca="1">IFERROR(VLOOKUP($A29,INDIRECT(#REF!&amp;"!$A$6:$C$200"),3,0),0)</f>
        <v>0</v>
      </c>
      <c r="BN29" s="8">
        <f ca="1">IFERROR(VLOOKUP($A29,INDIRECT(#REF!&amp;"!$A$6:$C$200"),3,0),0)</f>
        <v>0</v>
      </c>
      <c r="BO29" s="8">
        <f ca="1">IFERROR(VLOOKUP($A29,INDIRECT(#REF!&amp;"!$A$6:$C$200"),3,0),0)</f>
        <v>0</v>
      </c>
      <c r="BP29" s="7">
        <f ca="1">IFERROR(VLOOKUP($A29,INDIRECT(#REF!&amp;"!$A$6:$C$200"),3,0),0)</f>
        <v>0</v>
      </c>
      <c r="BQ29" s="7">
        <f ca="1">IFERROR(VLOOKUP($A29,INDIRECT(#REF!&amp;"!$A$6:$C$200"),3,0),0)</f>
        <v>0</v>
      </c>
      <c r="BR29" s="7">
        <f ca="1">IFERROR(VLOOKUP($A29,INDIRECT(#REF!&amp;"!$A$6:$C$200"),3,0),0)</f>
        <v>0</v>
      </c>
      <c r="BS29" s="7">
        <f ca="1">IFERROR(VLOOKUP($A29,INDIRECT(#REF!&amp;"!$A$6:$C$200"),3,0),0)</f>
        <v>0</v>
      </c>
      <c r="BT29" s="7">
        <f ca="1">IFERROR(VLOOKUP($A29,INDIRECT(#REF!&amp;"!$A$6:$C$200"),3,0),0)</f>
        <v>0</v>
      </c>
      <c r="BU29" s="7">
        <f ca="1">IFERROR(VLOOKUP($A29,INDIRECT(#REF!&amp;"!$A$6:$C$200"),3,0),0)</f>
        <v>0</v>
      </c>
      <c r="BV29" s="7">
        <f ca="1">IFERROR(VLOOKUP($A29,INDIRECT(#REF!&amp;"!$A$6:$C$200"),3,0),0)</f>
        <v>0</v>
      </c>
      <c r="BW29" s="7">
        <f ca="1">IFERROR(VLOOKUP($A29,INDIRECT(#REF!&amp;"!$A$6:$C$200"),3,0),0)</f>
        <v>0</v>
      </c>
      <c r="BX29" s="7">
        <f ca="1">IFERROR(VLOOKUP($A29,INDIRECT(#REF!&amp;"!$A$6:$C$200"),3,0),0)</f>
        <v>0</v>
      </c>
      <c r="BY29" s="7">
        <f ca="1">IFERROR(VLOOKUP($A29,INDIRECT(#REF!&amp;"!$A$6:$C$200"),3,0),0)</f>
        <v>0</v>
      </c>
      <c r="BZ29" s="7">
        <f ca="1">IFERROR(VLOOKUP($A29,INDIRECT(#REF!&amp;"!$A$6:$C$200"),3,0),0)</f>
        <v>0</v>
      </c>
      <c r="CA29" s="7">
        <f ca="1">IFERROR(VLOOKUP($A29,INDIRECT(#REF!&amp;"!$A$6:$C$200"),3,0),0)</f>
        <v>0</v>
      </c>
      <c r="CB29" s="7">
        <f ca="1">IFERROR(VLOOKUP($A29,INDIRECT(#REF!&amp;"!$A$6:$C$200"),3,0),0)</f>
        <v>0</v>
      </c>
      <c r="CC29" s="7">
        <f ca="1">IFERROR(VLOOKUP($A29,INDIRECT(#REF!&amp;"!$A$6:$C$200"),3,0),0)</f>
        <v>0</v>
      </c>
      <c r="CD29" s="7" t="str">
        <f ca="1">IF(CD28="","",IFERROR(VLOOKUP($A29,INDIRECT(#REF!&amp;"!$A$6:$C$200"),3,0),0))</f>
        <v/>
      </c>
      <c r="CE29" s="7" t="str">
        <f ca="1">IF(CE28="","",IFERROR(VLOOKUP($A29,INDIRECT(#REF!&amp;"!$A$6:$C$200"),3,0),0))</f>
        <v/>
      </c>
      <c r="CF29" s="7" t="str">
        <f ca="1">IF(CF28="","",IFERROR(VLOOKUP($A29,INDIRECT(#REF!&amp;"!$A$6:$C$200"),3,0),0))</f>
        <v/>
      </c>
      <c r="CG29" s="7" t="str">
        <f ca="1">IF(CG28="","",IFERROR(VLOOKUP($A29,INDIRECT(#REF!&amp;"!$A$6:$C$200"),3,0),0))</f>
        <v/>
      </c>
      <c r="CH29" s="7" t="str">
        <f ca="1">IF(CH28="","",IFERROR(VLOOKUP($A29,INDIRECT(#REF!&amp;"!$A$6:$C$200"),3,0),0))</f>
        <v/>
      </c>
      <c r="CI29" s="7" t="str">
        <f ca="1">IF(CI28="","",IFERROR(VLOOKUP($A29,INDIRECT(#REF!&amp;"!$A$6:$C$200"),3,0),0))</f>
        <v/>
      </c>
      <c r="CJ29" s="7" t="str">
        <f ca="1">IF(CJ28="","",IFERROR(VLOOKUP($A29,INDIRECT(#REF!&amp;"!$A$6:$C$200"),3,0),0))</f>
        <v/>
      </c>
      <c r="CK29" s="7" t="str">
        <f ca="1">IF(CK28="","",IFERROR(VLOOKUP($A29,INDIRECT(#REF!&amp;"!$A$6:$C$200"),3,0),0))</f>
        <v/>
      </c>
      <c r="CL29" s="7" t="str">
        <f ca="1">IF(CL28="","",IFERROR(VLOOKUP($A29,INDIRECT(#REF!&amp;"!$A$6:$C$200"),3,0),0))</f>
        <v/>
      </c>
      <c r="CM29" s="7" t="str">
        <f ca="1">IF(CM28="","",IFERROR(VLOOKUP($A29,INDIRECT(#REF!&amp;"!$A$6:$C$200"),3,0),0))</f>
        <v/>
      </c>
      <c r="CN29" s="7" t="str">
        <f ca="1">IF(CN28="","",IFERROR(VLOOKUP($A29,INDIRECT(#REF!&amp;"!$A$6:$C$200"),3,0),0))</f>
        <v/>
      </c>
      <c r="CO29" s="7" t="str">
        <f ca="1">IF(CO28="","",IFERROR(VLOOKUP($A29,INDIRECT(#REF!&amp;"!$A$6:$C$200"),3,0),0))</f>
        <v/>
      </c>
      <c r="CP29" s="7" t="str">
        <f ca="1">IF(CP28="","",IFERROR(VLOOKUP($A29,INDIRECT(#REF!&amp;"!$A$6:$C$200"),3,0),0))</f>
        <v/>
      </c>
      <c r="CQ29" s="7" t="str">
        <f ca="1">IF(CQ28="","",IFERROR(VLOOKUP($A29,INDIRECT(#REF!&amp;"!$A$6:$C$200"),3,0),0))</f>
        <v/>
      </c>
      <c r="CR29" s="7" t="str">
        <f ca="1">IF(CR28="","",IFERROR(VLOOKUP($A29,INDIRECT(#REF!&amp;"!$A$6:$C$200"),3,0),0))</f>
        <v/>
      </c>
      <c r="CS29" s="7" t="str">
        <f ca="1">IF(CS28="","",IFERROR(VLOOKUP($A29,INDIRECT(#REF!&amp;"!$A$6:$C$200"),3,0),0))</f>
        <v/>
      </c>
      <c r="CT29" s="7" t="str">
        <f ca="1">IF(CT28="","",IFERROR(VLOOKUP($A29,INDIRECT(#REF!&amp;"!$A$6:$C$200"),3,0),0))</f>
        <v/>
      </c>
      <c r="CU29" s="7" t="str">
        <f ca="1">IF(CU28="","",IFERROR(VLOOKUP($A29,INDIRECT(#REF!&amp;"!$A$6:$C$200"),3,0),0))</f>
        <v/>
      </c>
      <c r="CV29" s="7" t="str">
        <f ca="1">IF(CV28="","",IFERROR(VLOOKUP($A29,INDIRECT(#REF!&amp;"!$A$6:$C$200"),3,0),0))</f>
        <v/>
      </c>
      <c r="CW29" s="7" t="str">
        <f ca="1">IF(CW28="","",IFERROR(VLOOKUP($A29,INDIRECT(#REF!&amp;"!$A$6:$C$200"),3,0),0))</f>
        <v/>
      </c>
      <c r="CX29" s="7" t="str">
        <f ca="1">IF(CX28="","",IFERROR(VLOOKUP($A29,INDIRECT(#REF!&amp;"!$A$6:$C$200"),3,0),0))</f>
        <v/>
      </c>
      <c r="CY29" s="7" t="str">
        <f ca="1">IF(CY28="","",IFERROR(VLOOKUP($A29,INDIRECT(#REF!&amp;"!$A$6:$C$200"),3,0),0))</f>
        <v/>
      </c>
      <c r="CZ29" s="7" t="str">
        <f ca="1">IF(CZ28="","",IFERROR(VLOOKUP($A29,INDIRECT(#REF!&amp;"!$A$6:$C$200"),3,0),0))</f>
        <v/>
      </c>
      <c r="DA29" s="7" t="str">
        <f ca="1">IF(DA28="","",IFERROR(VLOOKUP($A29,INDIRECT(#REF!&amp;"!$A$6:$C$200"),3,0),0))</f>
        <v/>
      </c>
      <c r="DB29" s="7" t="str">
        <f ca="1">IF(DB28="","",IFERROR(VLOOKUP($A29,INDIRECT(#REF!&amp;"!$A$6:$C$200"),3,0),0))</f>
        <v/>
      </c>
      <c r="DC29" s="7" t="str">
        <f ca="1">IF(DC28="","",IFERROR(VLOOKUP($A29,INDIRECT(#REF!&amp;"!$A$6:$C$200"),3,0),0))</f>
        <v/>
      </c>
      <c r="DD29" s="7" t="str">
        <f ca="1">IF(DD28="","",IFERROR(VLOOKUP($A29,INDIRECT(#REF!&amp;"!$A$6:$C$200"),3,0),0))</f>
        <v/>
      </c>
      <c r="DE29" s="7" t="str">
        <f ca="1">IF(DE28="","",IFERROR(VLOOKUP($A29,INDIRECT(#REF!&amp;"!$A$6:$C$200"),3,0),0))</f>
        <v/>
      </c>
      <c r="DF29" s="7" t="str">
        <f ca="1">IF(DF28="","",IFERROR(VLOOKUP($A29,INDIRECT(#REF!&amp;"!$A$6:$C$200"),3,0),0))</f>
        <v/>
      </c>
      <c r="DG29" s="7" t="str">
        <f ca="1">IF(DG28="","",IFERROR(VLOOKUP($A29,INDIRECT(#REF!&amp;"!$A$6:$C$200"),3,0),0))</f>
        <v/>
      </c>
      <c r="DH29" s="7" t="str">
        <f ca="1">IF(DH28="","",IFERROR(VLOOKUP($A29,INDIRECT(#REF!&amp;"!$A$6:$C$200"),3,0),0))</f>
        <v/>
      </c>
      <c r="DI29" s="7" t="str">
        <f ca="1">IF(DI28="","",IFERROR(VLOOKUP($A29,INDIRECT(#REF!&amp;"!$A$6:$C$200"),3,0),0))</f>
        <v/>
      </c>
      <c r="DJ29" s="7" t="str">
        <f ca="1">IF(DJ28="","",IFERROR(VLOOKUP($A29,INDIRECT(#REF!&amp;"!$A$6:$C$200"),3,0),0))</f>
        <v/>
      </c>
      <c r="DK29" s="7" t="str">
        <f ca="1">IF(DK28="","",IFERROR(VLOOKUP($A29,INDIRECT(#REF!&amp;"!$A$6:$C$200"),3,0),0))</f>
        <v/>
      </c>
    </row>
    <row r="30" spans="1:115">
      <c r="A30" s="6" t="s">
        <v>32</v>
      </c>
      <c r="B30" s="7">
        <v>1.6666666666666667E-5</v>
      </c>
      <c r="C30" s="7">
        <v>0</v>
      </c>
      <c r="D30" s="7">
        <v>0</v>
      </c>
      <c r="E30" s="7">
        <v>0</v>
      </c>
      <c r="F30" s="7">
        <v>0</v>
      </c>
      <c r="G30" s="7">
        <v>1.4285714285714287E-5</v>
      </c>
      <c r="H30" s="7">
        <f t="shared" ca="1" si="5"/>
        <v>0</v>
      </c>
      <c r="I30" s="7">
        <f t="shared" ca="1" si="3"/>
        <v>0</v>
      </c>
      <c r="J30" s="7">
        <f t="shared" ca="1" si="4"/>
        <v>0</v>
      </c>
      <c r="K30" s="7">
        <f t="shared" ca="1" si="0"/>
        <v>0</v>
      </c>
      <c r="L30" s="7">
        <f t="shared" ca="1" si="1"/>
        <v>0</v>
      </c>
      <c r="M30" s="8">
        <v>0</v>
      </c>
      <c r="N30" s="8">
        <v>0</v>
      </c>
      <c r="O30" s="8">
        <v>0</v>
      </c>
      <c r="P30" s="8">
        <v>0</v>
      </c>
      <c r="Q30" s="8">
        <v>1E-4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8">
        <v>0</v>
      </c>
      <c r="AS30" s="7">
        <v>0</v>
      </c>
      <c r="AT30" s="7">
        <v>0</v>
      </c>
      <c r="AU30" s="7">
        <v>0</v>
      </c>
      <c r="AV30" s="7">
        <v>0</v>
      </c>
      <c r="AW30" s="8">
        <v>0</v>
      </c>
      <c r="AX30" s="7">
        <v>0</v>
      </c>
      <c r="AY30" s="7">
        <v>0</v>
      </c>
      <c r="AZ30" s="7">
        <v>0</v>
      </c>
      <c r="BA30" s="7">
        <v>1E-4</v>
      </c>
      <c r="BB30" s="7">
        <v>0</v>
      </c>
      <c r="BC30" s="7">
        <v>0</v>
      </c>
      <c r="BD30" s="7">
        <v>0</v>
      </c>
      <c r="BE30" s="7">
        <f ca="1">IFERROR(VLOOKUP($A30,INDIRECT(#REF!&amp;"!$A$6:$C$200"),3,0),0)</f>
        <v>0</v>
      </c>
      <c r="BF30" s="7">
        <f ca="1">IFERROR(VLOOKUP($A30,INDIRECT(#REF!&amp;"!$A$6:$C$200"),3,0),0)</f>
        <v>0</v>
      </c>
      <c r="BG30" s="7">
        <f ca="1">IFERROR(VLOOKUP($A30,INDIRECT(#REF!&amp;"!$A$6:$C$200"),3,0),0)</f>
        <v>0</v>
      </c>
      <c r="BH30" s="8">
        <f ca="1">IFERROR(VLOOKUP($A30,INDIRECT(#REF!&amp;"!$A$6:$C$200"),3,0),0)</f>
        <v>0</v>
      </c>
      <c r="BI30" s="8">
        <f ca="1">IFERROR(VLOOKUP($A30,INDIRECT(#REF!&amp;"!$A$6:$C$200"),3,0),0)</f>
        <v>0</v>
      </c>
      <c r="BJ30" s="8">
        <f ca="1">IFERROR(VLOOKUP($A30,INDIRECT(#REF!&amp;"!$A$6:$C$200"),3,0),0)</f>
        <v>0</v>
      </c>
      <c r="BK30" s="8">
        <f ca="1">IFERROR(VLOOKUP($A30,INDIRECT(#REF!&amp;"!$A$6:$C$200"),3,0),0)</f>
        <v>0</v>
      </c>
      <c r="BL30" s="8">
        <f ca="1">IFERROR(VLOOKUP($A30,INDIRECT(#REF!&amp;"!$A$6:$C$200"),3,0),0)</f>
        <v>0</v>
      </c>
      <c r="BM30" s="8">
        <f ca="1">IFERROR(VLOOKUP($A30,INDIRECT(#REF!&amp;"!$A$6:$C$200"),3,0),0)</f>
        <v>0</v>
      </c>
      <c r="BN30" s="8">
        <f ca="1">IFERROR(VLOOKUP($A30,INDIRECT(#REF!&amp;"!$A$6:$C$200"),3,0),0)</f>
        <v>0</v>
      </c>
      <c r="BO30" s="8">
        <f ca="1">IFERROR(VLOOKUP($A30,INDIRECT(#REF!&amp;"!$A$6:$C$200"),3,0),0)</f>
        <v>0</v>
      </c>
      <c r="BP30" s="7">
        <f ca="1">IFERROR(VLOOKUP($A30,INDIRECT(#REF!&amp;"!$A$6:$C$200"),3,0),0)</f>
        <v>0</v>
      </c>
      <c r="BQ30" s="7">
        <f ca="1">IFERROR(VLOOKUP($A30,INDIRECT(#REF!&amp;"!$A$6:$C$200"),3,0),0)</f>
        <v>0</v>
      </c>
      <c r="BR30" s="7">
        <f ca="1">IFERROR(VLOOKUP($A30,INDIRECT(#REF!&amp;"!$A$6:$C$200"),3,0),0)</f>
        <v>0</v>
      </c>
      <c r="BS30" s="7">
        <f ca="1">IFERROR(VLOOKUP($A30,INDIRECT(#REF!&amp;"!$A$6:$C$200"),3,0),0)</f>
        <v>0</v>
      </c>
      <c r="BT30" s="7">
        <f ca="1">IFERROR(VLOOKUP($A30,INDIRECT(#REF!&amp;"!$A$6:$C$200"),3,0),0)</f>
        <v>0</v>
      </c>
      <c r="BU30" s="7">
        <f ca="1">IFERROR(VLOOKUP($A30,INDIRECT(#REF!&amp;"!$A$6:$C$200"),3,0),0)</f>
        <v>0</v>
      </c>
      <c r="BV30" s="7">
        <f ca="1">IFERROR(VLOOKUP($A30,INDIRECT(#REF!&amp;"!$A$6:$C$200"),3,0),0)</f>
        <v>0</v>
      </c>
      <c r="BW30" s="7">
        <f ca="1">IFERROR(VLOOKUP($A30,INDIRECT(#REF!&amp;"!$A$6:$C$200"),3,0),0)</f>
        <v>0</v>
      </c>
      <c r="BX30" s="7">
        <f ca="1">IFERROR(VLOOKUP($A30,INDIRECT(#REF!&amp;"!$A$6:$C$200"),3,0),0)</f>
        <v>0</v>
      </c>
      <c r="BY30" s="7">
        <f ca="1">IFERROR(VLOOKUP($A30,INDIRECT(#REF!&amp;"!$A$6:$C$200"),3,0),0)</f>
        <v>0</v>
      </c>
      <c r="BZ30" s="7">
        <f ca="1">IFERROR(VLOOKUP($A30,INDIRECT(#REF!&amp;"!$A$6:$C$200"),3,0),0)</f>
        <v>0</v>
      </c>
      <c r="CA30" s="7">
        <f ca="1">IFERROR(VLOOKUP($A30,INDIRECT(#REF!&amp;"!$A$6:$C$200"),3,0),0)</f>
        <v>0</v>
      </c>
      <c r="CB30" s="7">
        <f ca="1">IFERROR(VLOOKUP($A30,INDIRECT(#REF!&amp;"!$A$6:$C$200"),3,0),0)</f>
        <v>0</v>
      </c>
      <c r="CC30" s="7">
        <f ca="1">IFERROR(VLOOKUP($A30,INDIRECT(#REF!&amp;"!$A$6:$C$200"),3,0),0)</f>
        <v>0</v>
      </c>
      <c r="CD30" s="7" t="str">
        <f ca="1">IF(CD29="","",IFERROR(VLOOKUP($A30,INDIRECT(#REF!&amp;"!$A$6:$C$200"),3,0),0))</f>
        <v/>
      </c>
      <c r="CE30" s="7" t="str">
        <f ca="1">IF(CE29="","",IFERROR(VLOOKUP($A30,INDIRECT(#REF!&amp;"!$A$6:$C$200"),3,0),0))</f>
        <v/>
      </c>
      <c r="CF30" s="7" t="str">
        <f ca="1">IF(CF29="","",IFERROR(VLOOKUP($A30,INDIRECT(#REF!&amp;"!$A$6:$C$200"),3,0),0))</f>
        <v/>
      </c>
      <c r="CG30" s="7" t="str">
        <f ca="1">IF(CG29="","",IFERROR(VLOOKUP($A30,INDIRECT(#REF!&amp;"!$A$6:$C$200"),3,0),0))</f>
        <v/>
      </c>
      <c r="CH30" s="7" t="str">
        <f ca="1">IF(CH29="","",IFERROR(VLOOKUP($A30,INDIRECT(#REF!&amp;"!$A$6:$C$200"),3,0),0))</f>
        <v/>
      </c>
      <c r="CI30" s="7" t="str">
        <f ca="1">IF(CI29="","",IFERROR(VLOOKUP($A30,INDIRECT(#REF!&amp;"!$A$6:$C$200"),3,0),0))</f>
        <v/>
      </c>
      <c r="CJ30" s="7" t="str">
        <f ca="1">IF(CJ29="","",IFERROR(VLOOKUP($A30,INDIRECT(#REF!&amp;"!$A$6:$C$200"),3,0),0))</f>
        <v/>
      </c>
      <c r="CK30" s="7" t="str">
        <f ca="1">IF(CK29="","",IFERROR(VLOOKUP($A30,INDIRECT(#REF!&amp;"!$A$6:$C$200"),3,0),0))</f>
        <v/>
      </c>
      <c r="CL30" s="7" t="str">
        <f ca="1">IF(CL29="","",IFERROR(VLOOKUP($A30,INDIRECT(#REF!&amp;"!$A$6:$C$200"),3,0),0))</f>
        <v/>
      </c>
      <c r="CM30" s="7" t="str">
        <f ca="1">IF(CM29="","",IFERROR(VLOOKUP($A30,INDIRECT(#REF!&amp;"!$A$6:$C$200"),3,0),0))</f>
        <v/>
      </c>
      <c r="CN30" s="7" t="str">
        <f ca="1">IF(CN29="","",IFERROR(VLOOKUP($A30,INDIRECT(#REF!&amp;"!$A$6:$C$200"),3,0),0))</f>
        <v/>
      </c>
      <c r="CO30" s="7" t="str">
        <f ca="1">IF(CO29="","",IFERROR(VLOOKUP($A30,INDIRECT(#REF!&amp;"!$A$6:$C$200"),3,0),0))</f>
        <v/>
      </c>
      <c r="CP30" s="7" t="str">
        <f ca="1">IF(CP29="","",IFERROR(VLOOKUP($A30,INDIRECT(#REF!&amp;"!$A$6:$C$200"),3,0),0))</f>
        <v/>
      </c>
      <c r="CQ30" s="7" t="str">
        <f ca="1">IF(CQ29="","",IFERROR(VLOOKUP($A30,INDIRECT(#REF!&amp;"!$A$6:$C$200"),3,0),0))</f>
        <v/>
      </c>
      <c r="CR30" s="7" t="str">
        <f ca="1">IF(CR29="","",IFERROR(VLOOKUP($A30,INDIRECT(#REF!&amp;"!$A$6:$C$200"),3,0),0))</f>
        <v/>
      </c>
      <c r="CS30" s="7" t="str">
        <f ca="1">IF(CS29="","",IFERROR(VLOOKUP($A30,INDIRECT(#REF!&amp;"!$A$6:$C$200"),3,0),0))</f>
        <v/>
      </c>
      <c r="CT30" s="7" t="str">
        <f ca="1">IF(CT29="","",IFERROR(VLOOKUP($A30,INDIRECT(#REF!&amp;"!$A$6:$C$200"),3,0),0))</f>
        <v/>
      </c>
      <c r="CU30" s="7" t="str">
        <f ca="1">IF(CU29="","",IFERROR(VLOOKUP($A30,INDIRECT(#REF!&amp;"!$A$6:$C$200"),3,0),0))</f>
        <v/>
      </c>
      <c r="CV30" s="7" t="str">
        <f ca="1">IF(CV29="","",IFERROR(VLOOKUP($A30,INDIRECT(#REF!&amp;"!$A$6:$C$200"),3,0),0))</f>
        <v/>
      </c>
      <c r="CW30" s="7" t="str">
        <f ca="1">IF(CW29="","",IFERROR(VLOOKUP($A30,INDIRECT(#REF!&amp;"!$A$6:$C$200"),3,0),0))</f>
        <v/>
      </c>
      <c r="CX30" s="7" t="str">
        <f ca="1">IF(CX29="","",IFERROR(VLOOKUP($A30,INDIRECT(#REF!&amp;"!$A$6:$C$200"),3,0),0))</f>
        <v/>
      </c>
      <c r="CY30" s="7" t="str">
        <f ca="1">IF(CY29="","",IFERROR(VLOOKUP($A30,INDIRECT(#REF!&amp;"!$A$6:$C$200"),3,0),0))</f>
        <v/>
      </c>
      <c r="CZ30" s="7" t="str">
        <f ca="1">IF(CZ29="","",IFERROR(VLOOKUP($A30,INDIRECT(#REF!&amp;"!$A$6:$C$200"),3,0),0))</f>
        <v/>
      </c>
      <c r="DA30" s="7" t="str">
        <f ca="1">IF(DA29="","",IFERROR(VLOOKUP($A30,INDIRECT(#REF!&amp;"!$A$6:$C$200"),3,0),0))</f>
        <v/>
      </c>
      <c r="DB30" s="7" t="str">
        <f ca="1">IF(DB29="","",IFERROR(VLOOKUP($A30,INDIRECT(#REF!&amp;"!$A$6:$C$200"),3,0),0))</f>
        <v/>
      </c>
      <c r="DC30" s="7" t="str">
        <f ca="1">IF(DC29="","",IFERROR(VLOOKUP($A30,INDIRECT(#REF!&amp;"!$A$6:$C$200"),3,0),0))</f>
        <v/>
      </c>
      <c r="DD30" s="7" t="str">
        <f ca="1">IF(DD29="","",IFERROR(VLOOKUP($A30,INDIRECT(#REF!&amp;"!$A$6:$C$200"),3,0),0))</f>
        <v/>
      </c>
      <c r="DE30" s="7" t="str">
        <f ca="1">IF(DE29="","",IFERROR(VLOOKUP($A30,INDIRECT(#REF!&amp;"!$A$6:$C$200"),3,0),0))</f>
        <v/>
      </c>
      <c r="DF30" s="7" t="str">
        <f ca="1">IF(DF29="","",IFERROR(VLOOKUP($A30,INDIRECT(#REF!&amp;"!$A$6:$C$200"),3,0),0))</f>
        <v/>
      </c>
      <c r="DG30" s="7" t="str">
        <f ca="1">IF(DG29="","",IFERROR(VLOOKUP($A30,INDIRECT(#REF!&amp;"!$A$6:$C$200"),3,0),0))</f>
        <v/>
      </c>
      <c r="DH30" s="7" t="str">
        <f ca="1">IF(DH29="","",IFERROR(VLOOKUP($A30,INDIRECT(#REF!&amp;"!$A$6:$C$200"),3,0),0))</f>
        <v/>
      </c>
      <c r="DI30" s="7" t="str">
        <f ca="1">IF(DI29="","",IFERROR(VLOOKUP($A30,INDIRECT(#REF!&amp;"!$A$6:$C$200"),3,0),0))</f>
        <v/>
      </c>
      <c r="DJ30" s="7" t="str">
        <f ca="1">IF(DJ29="","",IFERROR(VLOOKUP($A30,INDIRECT(#REF!&amp;"!$A$6:$C$200"),3,0),0))</f>
        <v/>
      </c>
      <c r="DK30" s="7" t="str">
        <f ca="1">IF(DK29="","",IFERROR(VLOOKUP($A30,INDIRECT(#REF!&amp;"!$A$6:$C$200"),3,0),0))</f>
        <v/>
      </c>
    </row>
    <row r="31" spans="1:115">
      <c r="A31" s="6" t="s">
        <v>33</v>
      </c>
      <c r="B31" s="7">
        <v>3.3333333333333335E-5</v>
      </c>
      <c r="C31" s="7">
        <v>2.8571428571428574E-5</v>
      </c>
      <c r="D31" s="7">
        <v>4.2857142857142863E-5</v>
      </c>
      <c r="E31" s="7">
        <v>1.1428571428571427E-4</v>
      </c>
      <c r="F31" s="7">
        <v>0</v>
      </c>
      <c r="G31" s="7">
        <v>1.4285714285714287E-5</v>
      </c>
      <c r="H31" s="7">
        <f t="shared" ca="1" si="5"/>
        <v>0</v>
      </c>
      <c r="I31" s="7">
        <f t="shared" ca="1" si="3"/>
        <v>0</v>
      </c>
      <c r="J31" s="7">
        <f t="shared" ca="1" si="4"/>
        <v>0</v>
      </c>
      <c r="K31" s="7">
        <f t="shared" ca="1" si="0"/>
        <v>0</v>
      </c>
      <c r="L31" s="7">
        <f t="shared" ca="1" si="1"/>
        <v>0</v>
      </c>
      <c r="M31" s="8">
        <v>0</v>
      </c>
      <c r="N31" s="8">
        <v>0</v>
      </c>
      <c r="O31" s="8">
        <v>0</v>
      </c>
      <c r="P31" s="8">
        <v>0</v>
      </c>
      <c r="Q31" s="8">
        <v>2.0000000000000001E-4</v>
      </c>
      <c r="R31" s="8">
        <v>0</v>
      </c>
      <c r="S31" s="8">
        <v>1E-4</v>
      </c>
      <c r="T31" s="8">
        <v>1E-4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1E-4</v>
      </c>
      <c r="AA31" s="8">
        <v>0</v>
      </c>
      <c r="AB31" s="8">
        <v>0</v>
      </c>
      <c r="AC31" s="8">
        <v>0</v>
      </c>
      <c r="AD31" s="8">
        <v>0</v>
      </c>
      <c r="AE31" s="8">
        <v>1E-4</v>
      </c>
      <c r="AF31" s="8">
        <v>1E-4</v>
      </c>
      <c r="AG31" s="8">
        <v>0</v>
      </c>
      <c r="AH31" s="8">
        <v>1E-4</v>
      </c>
      <c r="AI31" s="8">
        <v>0</v>
      </c>
      <c r="AJ31" s="8">
        <v>2.9999999999999997E-4</v>
      </c>
      <c r="AK31" s="8">
        <v>2.9999999999999997E-4</v>
      </c>
      <c r="AL31" s="8">
        <v>1E-4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>
        <v>0</v>
      </c>
      <c r="AW31" s="7">
        <v>0</v>
      </c>
      <c r="AX31" s="7">
        <v>0</v>
      </c>
      <c r="AY31" s="7">
        <v>1E-4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7">
        <f ca="1">IFERROR(VLOOKUP($A31,INDIRECT(#REF!&amp;"!$A$6:$C$200"),3,0),0)</f>
        <v>0</v>
      </c>
      <c r="BF31" s="7">
        <f ca="1">IFERROR(VLOOKUP($A31,INDIRECT(#REF!&amp;"!$A$6:$C$200"),3,0),0)</f>
        <v>0</v>
      </c>
      <c r="BG31" s="7">
        <f ca="1">IFERROR(VLOOKUP($A31,INDIRECT(#REF!&amp;"!$A$6:$C$200"),3,0),0)</f>
        <v>0</v>
      </c>
      <c r="BH31" s="8">
        <f ca="1">IFERROR(VLOOKUP($A31,INDIRECT(#REF!&amp;"!$A$6:$C$200"),3,0),0)</f>
        <v>0</v>
      </c>
      <c r="BI31" s="8">
        <f ca="1">IFERROR(VLOOKUP($A31,INDIRECT(#REF!&amp;"!$A$6:$C$200"),3,0),0)</f>
        <v>0</v>
      </c>
      <c r="BJ31" s="8">
        <f ca="1">IFERROR(VLOOKUP($A31,INDIRECT(#REF!&amp;"!$A$6:$C$200"),3,0),0)</f>
        <v>0</v>
      </c>
      <c r="BK31" s="8">
        <f ca="1">IFERROR(VLOOKUP($A31,INDIRECT(#REF!&amp;"!$A$6:$C$200"),3,0),0)</f>
        <v>0</v>
      </c>
      <c r="BL31" s="8">
        <f ca="1">IFERROR(VLOOKUP($A31,INDIRECT(#REF!&amp;"!$A$6:$C$200"),3,0),0)</f>
        <v>0</v>
      </c>
      <c r="BM31" s="8">
        <f ca="1">IFERROR(VLOOKUP($A31,INDIRECT(#REF!&amp;"!$A$6:$C$200"),3,0),0)</f>
        <v>0</v>
      </c>
      <c r="BN31" s="8">
        <f ca="1">IFERROR(VLOOKUP($A31,INDIRECT(#REF!&amp;"!$A$6:$C$200"),3,0),0)</f>
        <v>0</v>
      </c>
      <c r="BO31" s="8">
        <f ca="1">IFERROR(VLOOKUP($A31,INDIRECT(#REF!&amp;"!$A$6:$C$200"),3,0),0)</f>
        <v>0</v>
      </c>
      <c r="BP31" s="7">
        <f ca="1">IFERROR(VLOOKUP($A31,INDIRECT(#REF!&amp;"!$A$6:$C$200"),3,0),0)</f>
        <v>0</v>
      </c>
      <c r="BQ31" s="7">
        <f ca="1">IFERROR(VLOOKUP($A31,INDIRECT(#REF!&amp;"!$A$6:$C$200"),3,0),0)</f>
        <v>0</v>
      </c>
      <c r="BR31" s="7">
        <f ca="1">IFERROR(VLOOKUP($A31,INDIRECT(#REF!&amp;"!$A$6:$C$200"),3,0),0)</f>
        <v>0</v>
      </c>
      <c r="BS31" s="7">
        <f ca="1">IFERROR(VLOOKUP($A31,INDIRECT(#REF!&amp;"!$A$6:$C$200"),3,0),0)</f>
        <v>0</v>
      </c>
      <c r="BT31" s="7">
        <f ca="1">IFERROR(VLOOKUP($A31,INDIRECT(#REF!&amp;"!$A$6:$C$200"),3,0),0)</f>
        <v>0</v>
      </c>
      <c r="BU31" s="7">
        <f ca="1">IFERROR(VLOOKUP($A31,INDIRECT(#REF!&amp;"!$A$6:$C$200"),3,0),0)</f>
        <v>0</v>
      </c>
      <c r="BV31" s="7">
        <f ca="1">IFERROR(VLOOKUP($A31,INDIRECT(#REF!&amp;"!$A$6:$C$200"),3,0),0)</f>
        <v>0</v>
      </c>
      <c r="BW31" s="7">
        <f ca="1">IFERROR(VLOOKUP($A31,INDIRECT(#REF!&amp;"!$A$6:$C$200"),3,0),0)</f>
        <v>0</v>
      </c>
      <c r="BX31" s="7">
        <f ca="1">IFERROR(VLOOKUP($A31,INDIRECT(#REF!&amp;"!$A$6:$C$200"),3,0),0)</f>
        <v>0</v>
      </c>
      <c r="BY31" s="7">
        <f ca="1">IFERROR(VLOOKUP($A31,INDIRECT(#REF!&amp;"!$A$6:$C$200"),3,0),0)</f>
        <v>0</v>
      </c>
      <c r="BZ31" s="7">
        <f ca="1">IFERROR(VLOOKUP($A31,INDIRECT(#REF!&amp;"!$A$6:$C$200"),3,0),0)</f>
        <v>0</v>
      </c>
      <c r="CA31" s="7">
        <f ca="1">IFERROR(VLOOKUP($A31,INDIRECT(#REF!&amp;"!$A$6:$C$200"),3,0),0)</f>
        <v>0</v>
      </c>
      <c r="CB31" s="7">
        <f ca="1">IFERROR(VLOOKUP($A31,INDIRECT(#REF!&amp;"!$A$6:$C$200"),3,0),0)</f>
        <v>0</v>
      </c>
      <c r="CC31" s="7">
        <f ca="1">IFERROR(VLOOKUP($A31,INDIRECT(#REF!&amp;"!$A$6:$C$200"),3,0),0)</f>
        <v>0</v>
      </c>
      <c r="CD31" s="7" t="str">
        <f ca="1">IF(CD30="","",IFERROR(VLOOKUP($A31,INDIRECT(#REF!&amp;"!$A$6:$C$200"),3,0),0))</f>
        <v/>
      </c>
      <c r="CE31" s="7" t="str">
        <f ca="1">IF(CE30="","",IFERROR(VLOOKUP($A31,INDIRECT(#REF!&amp;"!$A$6:$C$200"),3,0),0))</f>
        <v/>
      </c>
      <c r="CF31" s="7" t="str">
        <f ca="1">IF(CF30="","",IFERROR(VLOOKUP($A31,INDIRECT(#REF!&amp;"!$A$6:$C$200"),3,0),0))</f>
        <v/>
      </c>
      <c r="CG31" s="7" t="str">
        <f ca="1">IF(CG30="","",IFERROR(VLOOKUP($A31,INDIRECT(#REF!&amp;"!$A$6:$C$200"),3,0),0))</f>
        <v/>
      </c>
      <c r="CH31" s="7" t="str">
        <f ca="1">IF(CH30="","",IFERROR(VLOOKUP($A31,INDIRECT(#REF!&amp;"!$A$6:$C$200"),3,0),0))</f>
        <v/>
      </c>
      <c r="CI31" s="7" t="str">
        <f ca="1">IF(CI30="","",IFERROR(VLOOKUP($A31,INDIRECT(#REF!&amp;"!$A$6:$C$200"),3,0),0))</f>
        <v/>
      </c>
      <c r="CJ31" s="7" t="str">
        <f ca="1">IF(CJ30="","",IFERROR(VLOOKUP($A31,INDIRECT(#REF!&amp;"!$A$6:$C$200"),3,0),0))</f>
        <v/>
      </c>
      <c r="CK31" s="7" t="str">
        <f ca="1">IF(CK30="","",IFERROR(VLOOKUP($A31,INDIRECT(#REF!&amp;"!$A$6:$C$200"),3,0),0))</f>
        <v/>
      </c>
      <c r="CL31" s="7" t="str">
        <f ca="1">IF(CL30="","",IFERROR(VLOOKUP($A31,INDIRECT(#REF!&amp;"!$A$6:$C$200"),3,0),0))</f>
        <v/>
      </c>
      <c r="CM31" s="7" t="str">
        <f ca="1">IF(CM30="","",IFERROR(VLOOKUP($A31,INDIRECT(#REF!&amp;"!$A$6:$C$200"),3,0),0))</f>
        <v/>
      </c>
      <c r="CN31" s="7" t="str">
        <f ca="1">IF(CN30="","",IFERROR(VLOOKUP($A31,INDIRECT(#REF!&amp;"!$A$6:$C$200"),3,0),0))</f>
        <v/>
      </c>
      <c r="CO31" s="7" t="str">
        <f ca="1">IF(CO30="","",IFERROR(VLOOKUP($A31,INDIRECT(#REF!&amp;"!$A$6:$C$200"),3,0),0))</f>
        <v/>
      </c>
      <c r="CP31" s="7" t="str">
        <f ca="1">IF(CP30="","",IFERROR(VLOOKUP($A31,INDIRECT(#REF!&amp;"!$A$6:$C$200"),3,0),0))</f>
        <v/>
      </c>
      <c r="CQ31" s="7" t="str">
        <f ca="1">IF(CQ30="","",IFERROR(VLOOKUP($A31,INDIRECT(#REF!&amp;"!$A$6:$C$200"),3,0),0))</f>
        <v/>
      </c>
      <c r="CR31" s="7" t="str">
        <f ca="1">IF(CR30="","",IFERROR(VLOOKUP($A31,INDIRECT(#REF!&amp;"!$A$6:$C$200"),3,0),0))</f>
        <v/>
      </c>
      <c r="CS31" s="7" t="str">
        <f ca="1">IF(CS30="","",IFERROR(VLOOKUP($A31,INDIRECT(#REF!&amp;"!$A$6:$C$200"),3,0),0))</f>
        <v/>
      </c>
      <c r="CT31" s="7" t="str">
        <f ca="1">IF(CT30="","",IFERROR(VLOOKUP($A31,INDIRECT(#REF!&amp;"!$A$6:$C$200"),3,0),0))</f>
        <v/>
      </c>
      <c r="CU31" s="7" t="str">
        <f ca="1">IF(CU30="","",IFERROR(VLOOKUP($A31,INDIRECT(#REF!&amp;"!$A$6:$C$200"),3,0),0))</f>
        <v/>
      </c>
      <c r="CV31" s="7" t="str">
        <f ca="1">IF(CV30="","",IFERROR(VLOOKUP($A31,INDIRECT(#REF!&amp;"!$A$6:$C$200"),3,0),0))</f>
        <v/>
      </c>
      <c r="CW31" s="7" t="str">
        <f ca="1">IF(CW30="","",IFERROR(VLOOKUP($A31,INDIRECT(#REF!&amp;"!$A$6:$C$200"),3,0),0))</f>
        <v/>
      </c>
      <c r="CX31" s="7" t="str">
        <f ca="1">IF(CX30="","",IFERROR(VLOOKUP($A31,INDIRECT(#REF!&amp;"!$A$6:$C$200"),3,0),0))</f>
        <v/>
      </c>
      <c r="CY31" s="7" t="str">
        <f ca="1">IF(CY30="","",IFERROR(VLOOKUP($A31,INDIRECT(#REF!&amp;"!$A$6:$C$200"),3,0),0))</f>
        <v/>
      </c>
      <c r="CZ31" s="7" t="str">
        <f ca="1">IF(CZ30="","",IFERROR(VLOOKUP($A31,INDIRECT(#REF!&amp;"!$A$6:$C$200"),3,0),0))</f>
        <v/>
      </c>
      <c r="DA31" s="7" t="str">
        <f ca="1">IF(DA30="","",IFERROR(VLOOKUP($A31,INDIRECT(#REF!&amp;"!$A$6:$C$200"),3,0),0))</f>
        <v/>
      </c>
      <c r="DB31" s="7" t="str">
        <f ca="1">IF(DB30="","",IFERROR(VLOOKUP($A31,INDIRECT(#REF!&amp;"!$A$6:$C$200"),3,0),0))</f>
        <v/>
      </c>
      <c r="DC31" s="7" t="str">
        <f ca="1">IF(DC30="","",IFERROR(VLOOKUP($A31,INDIRECT(#REF!&amp;"!$A$6:$C$200"),3,0),0))</f>
        <v/>
      </c>
      <c r="DD31" s="7" t="str">
        <f ca="1">IF(DD30="","",IFERROR(VLOOKUP($A31,INDIRECT(#REF!&amp;"!$A$6:$C$200"),3,0),0))</f>
        <v/>
      </c>
      <c r="DE31" s="7" t="str">
        <f ca="1">IF(DE30="","",IFERROR(VLOOKUP($A31,INDIRECT(#REF!&amp;"!$A$6:$C$200"),3,0),0))</f>
        <v/>
      </c>
      <c r="DF31" s="7" t="str">
        <f ca="1">IF(DF30="","",IFERROR(VLOOKUP($A31,INDIRECT(#REF!&amp;"!$A$6:$C$200"),3,0),0))</f>
        <v/>
      </c>
      <c r="DG31" s="7" t="str">
        <f ca="1">IF(DG30="","",IFERROR(VLOOKUP($A31,INDIRECT(#REF!&amp;"!$A$6:$C$200"),3,0),0))</f>
        <v/>
      </c>
      <c r="DH31" s="7" t="str">
        <f ca="1">IF(DH30="","",IFERROR(VLOOKUP($A31,INDIRECT(#REF!&amp;"!$A$6:$C$200"),3,0),0))</f>
        <v/>
      </c>
      <c r="DI31" s="7" t="str">
        <f ca="1">IF(DI30="","",IFERROR(VLOOKUP($A31,INDIRECT(#REF!&amp;"!$A$6:$C$200"),3,0),0))</f>
        <v/>
      </c>
      <c r="DJ31" s="7" t="str">
        <f ca="1">IF(DJ30="","",IFERROR(VLOOKUP($A31,INDIRECT(#REF!&amp;"!$A$6:$C$200"),3,0),0))</f>
        <v/>
      </c>
      <c r="DK31" s="7" t="str">
        <f ca="1">IF(DK30="","",IFERROR(VLOOKUP($A31,INDIRECT(#REF!&amp;"!$A$6:$C$200"),3,0),0))</f>
        <v/>
      </c>
    </row>
    <row r="32" spans="1:115">
      <c r="A32" s="6" t="s">
        <v>34</v>
      </c>
      <c r="B32" s="7">
        <v>1.6666666666666667E-5</v>
      </c>
      <c r="C32" s="7">
        <v>1.4285714285714287E-5</v>
      </c>
      <c r="D32" s="7">
        <v>2.8571428571428574E-5</v>
      </c>
      <c r="E32" s="7">
        <v>1.4285714285714287E-5</v>
      </c>
      <c r="F32" s="7">
        <v>2.8571428571428574E-5</v>
      </c>
      <c r="G32" s="7">
        <v>0</v>
      </c>
      <c r="H32" s="7">
        <f t="shared" ca="1" si="5"/>
        <v>0</v>
      </c>
      <c r="I32" s="7">
        <f t="shared" ca="1" si="3"/>
        <v>0</v>
      </c>
      <c r="J32" s="7">
        <f t="shared" ca="1" si="4"/>
        <v>0</v>
      </c>
      <c r="K32" s="7">
        <f t="shared" ca="1" si="0"/>
        <v>0</v>
      </c>
      <c r="L32" s="7">
        <f t="shared" ca="1" si="1"/>
        <v>0</v>
      </c>
      <c r="M32" s="8">
        <v>0</v>
      </c>
      <c r="N32" s="8">
        <v>0</v>
      </c>
      <c r="O32" s="8">
        <v>0</v>
      </c>
      <c r="P32" s="8">
        <v>1E-4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1E-4</v>
      </c>
      <c r="Z32" s="8">
        <v>0</v>
      </c>
      <c r="AA32" s="8">
        <v>1E-4</v>
      </c>
      <c r="AB32" s="8">
        <v>1E-4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1E-4</v>
      </c>
      <c r="AJ32" s="8">
        <v>0</v>
      </c>
      <c r="AK32" s="8">
        <v>0</v>
      </c>
      <c r="AL32" s="8">
        <v>0</v>
      </c>
      <c r="AM32" s="7">
        <v>0</v>
      </c>
      <c r="AN32" s="7">
        <v>0</v>
      </c>
      <c r="AO32" s="7">
        <v>0</v>
      </c>
      <c r="AP32" s="7">
        <v>0</v>
      </c>
      <c r="AQ32" s="7">
        <v>1E-4</v>
      </c>
      <c r="AR32" s="7">
        <v>1E-4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0</v>
      </c>
      <c r="BB32" s="8">
        <v>0</v>
      </c>
      <c r="BC32" s="7">
        <v>0</v>
      </c>
      <c r="BD32" s="7">
        <v>0</v>
      </c>
      <c r="BE32" s="7">
        <f ca="1">IFERROR(VLOOKUP($A32,INDIRECT(#REF!&amp;"!$A$6:$C$200"),3,0),0)</f>
        <v>0</v>
      </c>
      <c r="BF32" s="8">
        <f ca="1">IFERROR(VLOOKUP($A32,INDIRECT(#REF!&amp;"!$A$6:$C$200"),3,0),0)</f>
        <v>0</v>
      </c>
      <c r="BG32" s="8">
        <f ca="1">IFERROR(VLOOKUP($A32,INDIRECT(#REF!&amp;"!$A$6:$C$200"),3,0),0)</f>
        <v>0</v>
      </c>
      <c r="BH32" s="8">
        <f ca="1">IFERROR(VLOOKUP($A32,INDIRECT(#REF!&amp;"!$A$6:$C$200"),3,0),0)</f>
        <v>0</v>
      </c>
      <c r="BI32" s="7">
        <f ca="1">IFERROR(VLOOKUP($A32,INDIRECT(#REF!&amp;"!$A$6:$C$200"),3,0),0)</f>
        <v>0</v>
      </c>
      <c r="BJ32" s="8">
        <f ca="1">IFERROR(VLOOKUP($A32,INDIRECT(#REF!&amp;"!$A$6:$C$200"),3,0),0)</f>
        <v>0</v>
      </c>
      <c r="BK32" s="8">
        <f ca="1">IFERROR(VLOOKUP($A32,INDIRECT(#REF!&amp;"!$A$6:$C$200"),3,0),0)</f>
        <v>0</v>
      </c>
      <c r="BL32" s="8">
        <f ca="1">IFERROR(VLOOKUP($A32,INDIRECT(#REF!&amp;"!$A$6:$C$200"),3,0),0)</f>
        <v>0</v>
      </c>
      <c r="BM32" s="8">
        <f ca="1">IFERROR(VLOOKUP($A32,INDIRECT(#REF!&amp;"!$A$6:$C$200"),3,0),0)</f>
        <v>0</v>
      </c>
      <c r="BN32" s="8">
        <f ca="1">IFERROR(VLOOKUP($A32,INDIRECT(#REF!&amp;"!$A$6:$C$200"),3,0),0)</f>
        <v>0</v>
      </c>
      <c r="BO32" s="8">
        <f ca="1">IFERROR(VLOOKUP($A32,INDIRECT(#REF!&amp;"!$A$6:$C$200"),3,0),0)</f>
        <v>0</v>
      </c>
      <c r="BP32" s="7">
        <f ca="1">IFERROR(VLOOKUP($A32,INDIRECT(#REF!&amp;"!$A$6:$C$200"),3,0),0)</f>
        <v>0</v>
      </c>
      <c r="BQ32" s="7">
        <f ca="1">IFERROR(VLOOKUP($A32,INDIRECT(#REF!&amp;"!$A$6:$C$200"),3,0),0)</f>
        <v>0</v>
      </c>
      <c r="BR32" s="7">
        <f ca="1">IFERROR(VLOOKUP($A32,INDIRECT(#REF!&amp;"!$A$6:$C$200"),3,0),0)</f>
        <v>0</v>
      </c>
      <c r="BS32" s="7">
        <f ca="1">IFERROR(VLOOKUP($A32,INDIRECT(#REF!&amp;"!$A$6:$C$200"),3,0),0)</f>
        <v>0</v>
      </c>
      <c r="BT32" s="7">
        <f ca="1">IFERROR(VLOOKUP($A32,INDIRECT(#REF!&amp;"!$A$6:$C$200"),3,0),0)</f>
        <v>0</v>
      </c>
      <c r="BU32" s="7">
        <f ca="1">IFERROR(VLOOKUP($A32,INDIRECT(#REF!&amp;"!$A$6:$C$200"),3,0),0)</f>
        <v>0</v>
      </c>
      <c r="BV32" s="7">
        <f ca="1">IFERROR(VLOOKUP($A32,INDIRECT(#REF!&amp;"!$A$6:$C$200"),3,0),0)</f>
        <v>0</v>
      </c>
      <c r="BW32" s="7">
        <f ca="1">IFERROR(VLOOKUP($A32,INDIRECT(#REF!&amp;"!$A$6:$C$200"),3,0),0)</f>
        <v>0</v>
      </c>
      <c r="BX32" s="7">
        <f ca="1">IFERROR(VLOOKUP($A32,INDIRECT(#REF!&amp;"!$A$6:$C$200"),3,0),0)</f>
        <v>0</v>
      </c>
      <c r="BY32" s="7">
        <f ca="1">IFERROR(VLOOKUP($A32,INDIRECT(#REF!&amp;"!$A$6:$C$200"),3,0),0)</f>
        <v>0</v>
      </c>
      <c r="BZ32" s="7">
        <f ca="1">IFERROR(VLOOKUP($A32,INDIRECT(#REF!&amp;"!$A$6:$C$200"),3,0),0)</f>
        <v>0</v>
      </c>
      <c r="CA32" s="7">
        <f ca="1">IFERROR(VLOOKUP($A32,INDIRECT(#REF!&amp;"!$A$6:$C$200"),3,0),0)</f>
        <v>0</v>
      </c>
      <c r="CB32" s="7">
        <f ca="1">IFERROR(VLOOKUP($A32,INDIRECT(#REF!&amp;"!$A$6:$C$200"),3,0),0)</f>
        <v>0</v>
      </c>
      <c r="CC32" s="7">
        <f ca="1">IFERROR(VLOOKUP($A32,INDIRECT(#REF!&amp;"!$A$6:$C$200"),3,0),0)</f>
        <v>0</v>
      </c>
      <c r="CD32" s="7" t="str">
        <f ca="1">IF(CD31="","",IFERROR(VLOOKUP($A32,INDIRECT(#REF!&amp;"!$A$6:$C$200"),3,0),0))</f>
        <v/>
      </c>
      <c r="CE32" s="7" t="str">
        <f ca="1">IF(CE31="","",IFERROR(VLOOKUP($A32,INDIRECT(#REF!&amp;"!$A$6:$C$200"),3,0),0))</f>
        <v/>
      </c>
      <c r="CF32" s="7" t="str">
        <f ca="1">IF(CF31="","",IFERROR(VLOOKUP($A32,INDIRECT(#REF!&amp;"!$A$6:$C$200"),3,0),0))</f>
        <v/>
      </c>
      <c r="CG32" s="7" t="str">
        <f ca="1">IF(CG31="","",IFERROR(VLOOKUP($A32,INDIRECT(#REF!&amp;"!$A$6:$C$200"),3,0),0))</f>
        <v/>
      </c>
      <c r="CH32" s="7" t="str">
        <f ca="1">IF(CH31="","",IFERROR(VLOOKUP($A32,INDIRECT(#REF!&amp;"!$A$6:$C$200"),3,0),0))</f>
        <v/>
      </c>
      <c r="CI32" s="7" t="str">
        <f ca="1">IF(CI31="","",IFERROR(VLOOKUP($A32,INDIRECT(#REF!&amp;"!$A$6:$C$200"),3,0),0))</f>
        <v/>
      </c>
      <c r="CJ32" s="7" t="str">
        <f ca="1">IF(CJ31="","",IFERROR(VLOOKUP($A32,INDIRECT(#REF!&amp;"!$A$6:$C$200"),3,0),0))</f>
        <v/>
      </c>
      <c r="CK32" s="7" t="str">
        <f ca="1">IF(CK31="","",IFERROR(VLOOKUP($A32,INDIRECT(#REF!&amp;"!$A$6:$C$200"),3,0),0))</f>
        <v/>
      </c>
      <c r="CL32" s="7" t="str">
        <f ca="1">IF(CL31="","",IFERROR(VLOOKUP($A32,INDIRECT(#REF!&amp;"!$A$6:$C$200"),3,0),0))</f>
        <v/>
      </c>
      <c r="CM32" s="7" t="str">
        <f ca="1">IF(CM31="","",IFERROR(VLOOKUP($A32,INDIRECT(#REF!&amp;"!$A$6:$C$200"),3,0),0))</f>
        <v/>
      </c>
      <c r="CN32" s="7" t="str">
        <f ca="1">IF(CN31="","",IFERROR(VLOOKUP($A32,INDIRECT(#REF!&amp;"!$A$6:$C$200"),3,0),0))</f>
        <v/>
      </c>
      <c r="CO32" s="7" t="str">
        <f ca="1">IF(CO31="","",IFERROR(VLOOKUP($A32,INDIRECT(#REF!&amp;"!$A$6:$C$200"),3,0),0))</f>
        <v/>
      </c>
      <c r="CP32" s="7" t="str">
        <f ca="1">IF(CP31="","",IFERROR(VLOOKUP($A32,INDIRECT(#REF!&amp;"!$A$6:$C$200"),3,0),0))</f>
        <v/>
      </c>
      <c r="CQ32" s="7" t="str">
        <f ca="1">IF(CQ31="","",IFERROR(VLOOKUP($A32,INDIRECT(#REF!&amp;"!$A$6:$C$200"),3,0),0))</f>
        <v/>
      </c>
      <c r="CR32" s="7" t="str">
        <f ca="1">IF(CR31="","",IFERROR(VLOOKUP($A32,INDIRECT(#REF!&amp;"!$A$6:$C$200"),3,0),0))</f>
        <v/>
      </c>
      <c r="CS32" s="7" t="str">
        <f ca="1">IF(CS31="","",IFERROR(VLOOKUP($A32,INDIRECT(#REF!&amp;"!$A$6:$C$200"),3,0),0))</f>
        <v/>
      </c>
      <c r="CT32" s="7" t="str">
        <f ca="1">IF(CT31="","",IFERROR(VLOOKUP($A32,INDIRECT(#REF!&amp;"!$A$6:$C$200"),3,0),0))</f>
        <v/>
      </c>
      <c r="CU32" s="7" t="str">
        <f ca="1">IF(CU31="","",IFERROR(VLOOKUP($A32,INDIRECT(#REF!&amp;"!$A$6:$C$200"),3,0),0))</f>
        <v/>
      </c>
      <c r="CV32" s="7" t="str">
        <f ca="1">IF(CV31="","",IFERROR(VLOOKUP($A32,INDIRECT(#REF!&amp;"!$A$6:$C$200"),3,0),0))</f>
        <v/>
      </c>
      <c r="CW32" s="7" t="str">
        <f ca="1">IF(CW31="","",IFERROR(VLOOKUP($A32,INDIRECT(#REF!&amp;"!$A$6:$C$200"),3,0),0))</f>
        <v/>
      </c>
      <c r="CX32" s="7" t="str">
        <f ca="1">IF(CX31="","",IFERROR(VLOOKUP($A32,INDIRECT(#REF!&amp;"!$A$6:$C$200"),3,0),0))</f>
        <v/>
      </c>
      <c r="CY32" s="7" t="str">
        <f ca="1">IF(CY31="","",IFERROR(VLOOKUP($A32,INDIRECT(#REF!&amp;"!$A$6:$C$200"),3,0),0))</f>
        <v/>
      </c>
      <c r="CZ32" s="7" t="str">
        <f ca="1">IF(CZ31="","",IFERROR(VLOOKUP($A32,INDIRECT(#REF!&amp;"!$A$6:$C$200"),3,0),0))</f>
        <v/>
      </c>
      <c r="DA32" s="7" t="str">
        <f ca="1">IF(DA31="","",IFERROR(VLOOKUP($A32,INDIRECT(#REF!&amp;"!$A$6:$C$200"),3,0),0))</f>
        <v/>
      </c>
      <c r="DB32" s="7" t="str">
        <f ca="1">IF(DB31="","",IFERROR(VLOOKUP($A32,INDIRECT(#REF!&amp;"!$A$6:$C$200"),3,0),0))</f>
        <v/>
      </c>
      <c r="DC32" s="7" t="str">
        <f ca="1">IF(DC31="","",IFERROR(VLOOKUP($A32,INDIRECT(#REF!&amp;"!$A$6:$C$200"),3,0),0))</f>
        <v/>
      </c>
      <c r="DD32" s="7" t="str">
        <f ca="1">IF(DD31="","",IFERROR(VLOOKUP($A32,INDIRECT(#REF!&amp;"!$A$6:$C$200"),3,0),0))</f>
        <v/>
      </c>
      <c r="DE32" s="7" t="str">
        <f ca="1">IF(DE31="","",IFERROR(VLOOKUP($A32,INDIRECT(#REF!&amp;"!$A$6:$C$200"),3,0),0))</f>
        <v/>
      </c>
      <c r="DF32" s="7" t="str">
        <f ca="1">IF(DF31="","",IFERROR(VLOOKUP($A32,INDIRECT(#REF!&amp;"!$A$6:$C$200"),3,0),0))</f>
        <v/>
      </c>
      <c r="DG32" s="7" t="str">
        <f ca="1">IF(DG31="","",IFERROR(VLOOKUP($A32,INDIRECT(#REF!&amp;"!$A$6:$C$200"),3,0),0))</f>
        <v/>
      </c>
      <c r="DH32" s="7" t="str">
        <f ca="1">IF(DH31="","",IFERROR(VLOOKUP($A32,INDIRECT(#REF!&amp;"!$A$6:$C$200"),3,0),0))</f>
        <v/>
      </c>
      <c r="DI32" s="7" t="str">
        <f ca="1">IF(DI31="","",IFERROR(VLOOKUP($A32,INDIRECT(#REF!&amp;"!$A$6:$C$200"),3,0),0))</f>
        <v/>
      </c>
      <c r="DJ32" s="7" t="str">
        <f ca="1">IF(DJ31="","",IFERROR(VLOOKUP($A32,INDIRECT(#REF!&amp;"!$A$6:$C$200"),3,0),0))</f>
        <v/>
      </c>
      <c r="DK32" s="7" t="str">
        <f ca="1">IF(DK31="","",IFERROR(VLOOKUP($A32,INDIRECT(#REF!&amp;"!$A$6:$C$200"),3,0),0))</f>
        <v/>
      </c>
    </row>
    <row r="33" spans="1:115">
      <c r="A33" s="6" t="s">
        <v>35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f t="shared" ca="1" si="5"/>
        <v>0</v>
      </c>
      <c r="I33" s="7">
        <f t="shared" ca="1" si="3"/>
        <v>0</v>
      </c>
      <c r="J33" s="7">
        <f t="shared" ca="1" si="4"/>
        <v>0</v>
      </c>
      <c r="K33" s="7">
        <f t="shared" ca="1" si="0"/>
        <v>0</v>
      </c>
      <c r="L33" s="7">
        <f t="shared" ca="1" si="1"/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7">
        <v>0</v>
      </c>
      <c r="AN33" s="8">
        <v>0</v>
      </c>
      <c r="AO33" s="8">
        <v>0</v>
      </c>
      <c r="AP33" s="8">
        <v>0</v>
      </c>
      <c r="AQ33" s="8">
        <v>0</v>
      </c>
      <c r="AR33" s="7">
        <v>0</v>
      </c>
      <c r="AS33" s="7">
        <v>0</v>
      </c>
      <c r="AT33" s="7">
        <v>0</v>
      </c>
      <c r="AU33" s="7">
        <v>0</v>
      </c>
      <c r="AV33" s="8">
        <v>0</v>
      </c>
      <c r="AW33" s="8">
        <v>0</v>
      </c>
      <c r="AX33" s="7">
        <v>0</v>
      </c>
      <c r="AY33" s="7">
        <v>0</v>
      </c>
      <c r="AZ33" s="7">
        <v>0</v>
      </c>
      <c r="BA33" s="8">
        <v>0</v>
      </c>
      <c r="BB33" s="8">
        <v>0</v>
      </c>
      <c r="BC33" s="7">
        <v>0</v>
      </c>
      <c r="BD33" s="7">
        <v>0</v>
      </c>
      <c r="BE33" s="8">
        <f ca="1">IFERROR(VLOOKUP($A33,INDIRECT(#REF!&amp;"!$A$6:$C$200"),3,0),0)</f>
        <v>0</v>
      </c>
      <c r="BF33" s="8">
        <f ca="1">IFERROR(VLOOKUP($A33,INDIRECT(#REF!&amp;"!$A$6:$C$200"),3,0),0)</f>
        <v>0</v>
      </c>
      <c r="BG33" s="8">
        <f ca="1">IFERROR(VLOOKUP($A33,INDIRECT(#REF!&amp;"!$A$6:$C$200"),3,0),0)</f>
        <v>0</v>
      </c>
      <c r="BH33" s="8">
        <f ca="1">IFERROR(VLOOKUP($A33,INDIRECT(#REF!&amp;"!$A$6:$C$200"),3,0),0)</f>
        <v>0</v>
      </c>
      <c r="BI33" s="7">
        <f ca="1">IFERROR(VLOOKUP($A33,INDIRECT(#REF!&amp;"!$A$6:$C$200"),3,0),0)</f>
        <v>0</v>
      </c>
      <c r="BJ33" s="8">
        <f ca="1">IFERROR(VLOOKUP($A33,INDIRECT(#REF!&amp;"!$A$6:$C$200"),3,0),0)</f>
        <v>0</v>
      </c>
      <c r="BK33" s="8">
        <f ca="1">IFERROR(VLOOKUP($A33,INDIRECT(#REF!&amp;"!$A$6:$C$200"),3,0),0)</f>
        <v>0</v>
      </c>
      <c r="BL33" s="7">
        <f ca="1">IFERROR(VLOOKUP($A33,INDIRECT(#REF!&amp;"!$A$6:$C$200"),3,0),0)</f>
        <v>0</v>
      </c>
      <c r="BM33" s="8">
        <f ca="1">IFERROR(VLOOKUP($A33,INDIRECT(#REF!&amp;"!$A$6:$C$200"),3,0),0)</f>
        <v>0</v>
      </c>
      <c r="BN33" s="8">
        <f ca="1">IFERROR(VLOOKUP($A33,INDIRECT(#REF!&amp;"!$A$6:$C$200"),3,0),0)</f>
        <v>0</v>
      </c>
      <c r="BO33" s="8">
        <f ca="1">IFERROR(VLOOKUP($A33,INDIRECT(#REF!&amp;"!$A$6:$C$200"),3,0),0)</f>
        <v>0</v>
      </c>
      <c r="BP33" s="7">
        <f ca="1">IFERROR(VLOOKUP($A33,INDIRECT(#REF!&amp;"!$A$6:$C$200"),3,0),0)</f>
        <v>0</v>
      </c>
      <c r="BQ33" s="7">
        <f ca="1">IFERROR(VLOOKUP($A33,INDIRECT(#REF!&amp;"!$A$6:$C$200"),3,0),0)</f>
        <v>0</v>
      </c>
      <c r="BR33" s="8">
        <f ca="1">IFERROR(VLOOKUP($A33,INDIRECT(#REF!&amp;"!$A$6:$C$200"),3,0),0)</f>
        <v>0</v>
      </c>
      <c r="BS33" s="8">
        <f ca="1">IFERROR(VLOOKUP($A33,INDIRECT(#REF!&amp;"!$A$6:$C$200"),3,0),0)</f>
        <v>0</v>
      </c>
      <c r="BT33" s="7">
        <f ca="1">IFERROR(VLOOKUP($A33,INDIRECT(#REF!&amp;"!$A$6:$C$200"),3,0),0)</f>
        <v>0</v>
      </c>
      <c r="BU33" s="7">
        <f ca="1">IFERROR(VLOOKUP($A33,INDIRECT(#REF!&amp;"!$A$6:$C$200"),3,0),0)</f>
        <v>0</v>
      </c>
      <c r="BV33" s="7">
        <f ca="1">IFERROR(VLOOKUP($A33,INDIRECT(#REF!&amp;"!$A$6:$C$200"),3,0),0)</f>
        <v>0</v>
      </c>
      <c r="BW33" s="7">
        <f ca="1">IFERROR(VLOOKUP($A33,INDIRECT(#REF!&amp;"!$A$6:$C$200"),3,0),0)</f>
        <v>0</v>
      </c>
      <c r="BX33" s="7">
        <f ca="1">IFERROR(VLOOKUP($A33,INDIRECT(#REF!&amp;"!$A$6:$C$200"),3,0),0)</f>
        <v>0</v>
      </c>
      <c r="BY33" s="7">
        <f ca="1">IFERROR(VLOOKUP($A33,INDIRECT(#REF!&amp;"!$A$6:$C$200"),3,0),0)</f>
        <v>0</v>
      </c>
      <c r="BZ33" s="7">
        <f ca="1">IFERROR(VLOOKUP($A33,INDIRECT(#REF!&amp;"!$A$6:$C$200"),3,0),0)</f>
        <v>0</v>
      </c>
      <c r="CA33" s="7">
        <f ca="1">IFERROR(VLOOKUP($A33,INDIRECT(#REF!&amp;"!$A$6:$C$200"),3,0),0)</f>
        <v>0</v>
      </c>
      <c r="CB33" s="7">
        <f ca="1">IFERROR(VLOOKUP($A33,INDIRECT(#REF!&amp;"!$A$6:$C$200"),3,0),0)</f>
        <v>0</v>
      </c>
      <c r="CC33" s="7">
        <f ca="1">IFERROR(VLOOKUP($A33,INDIRECT(#REF!&amp;"!$A$6:$C$200"),3,0),0)</f>
        <v>0</v>
      </c>
      <c r="CD33" s="7" t="str">
        <f ca="1">IF(CD32="","",IFERROR(VLOOKUP($A33,INDIRECT(#REF!&amp;"!$A$6:$C$200"),3,0),0))</f>
        <v/>
      </c>
      <c r="CE33" s="7" t="str">
        <f ca="1">IF(CE32="","",IFERROR(VLOOKUP($A33,INDIRECT(#REF!&amp;"!$A$6:$C$200"),3,0),0))</f>
        <v/>
      </c>
      <c r="CF33" s="7" t="str">
        <f ca="1">IF(CF32="","",IFERROR(VLOOKUP($A33,INDIRECT(#REF!&amp;"!$A$6:$C$200"),3,0),0))</f>
        <v/>
      </c>
      <c r="CG33" s="7" t="str">
        <f ca="1">IF(CG32="","",IFERROR(VLOOKUP($A33,INDIRECT(#REF!&amp;"!$A$6:$C$200"),3,0),0))</f>
        <v/>
      </c>
      <c r="CH33" s="7" t="str">
        <f ca="1">IF(CH32="","",IFERROR(VLOOKUP($A33,INDIRECT(#REF!&amp;"!$A$6:$C$200"),3,0),0))</f>
        <v/>
      </c>
      <c r="CI33" s="7" t="str">
        <f ca="1">IF(CI32="","",IFERROR(VLOOKUP($A33,INDIRECT(#REF!&amp;"!$A$6:$C$200"),3,0),0))</f>
        <v/>
      </c>
      <c r="CJ33" s="7" t="str">
        <f ca="1">IF(CJ32="","",IFERROR(VLOOKUP($A33,INDIRECT(#REF!&amp;"!$A$6:$C$200"),3,0),0))</f>
        <v/>
      </c>
      <c r="CK33" s="7" t="str">
        <f ca="1">IF(CK32="","",IFERROR(VLOOKUP($A33,INDIRECT(#REF!&amp;"!$A$6:$C$200"),3,0),0))</f>
        <v/>
      </c>
      <c r="CL33" s="7" t="str">
        <f ca="1">IF(CL32="","",IFERROR(VLOOKUP($A33,INDIRECT(#REF!&amp;"!$A$6:$C$200"),3,0),0))</f>
        <v/>
      </c>
      <c r="CM33" s="7" t="str">
        <f ca="1">IF(CM32="","",IFERROR(VLOOKUP($A33,INDIRECT(#REF!&amp;"!$A$6:$C$200"),3,0),0))</f>
        <v/>
      </c>
      <c r="CN33" s="7" t="str">
        <f ca="1">IF(CN32="","",IFERROR(VLOOKUP($A33,INDIRECT(#REF!&amp;"!$A$6:$C$200"),3,0),0))</f>
        <v/>
      </c>
      <c r="CO33" s="7" t="str">
        <f ca="1">IF(CO32="","",IFERROR(VLOOKUP($A33,INDIRECT(#REF!&amp;"!$A$6:$C$200"),3,0),0))</f>
        <v/>
      </c>
      <c r="CP33" s="7" t="str">
        <f ca="1">IF(CP32="","",IFERROR(VLOOKUP($A33,INDIRECT(#REF!&amp;"!$A$6:$C$200"),3,0),0))</f>
        <v/>
      </c>
      <c r="CQ33" s="7" t="str">
        <f ca="1">IF(CQ32="","",IFERROR(VLOOKUP($A33,INDIRECT(#REF!&amp;"!$A$6:$C$200"),3,0),0))</f>
        <v/>
      </c>
      <c r="CR33" s="7" t="str">
        <f ca="1">IF(CR32="","",IFERROR(VLOOKUP($A33,INDIRECT(#REF!&amp;"!$A$6:$C$200"),3,0),0))</f>
        <v/>
      </c>
      <c r="CS33" s="7" t="str">
        <f ca="1">IF(CS32="","",IFERROR(VLOOKUP($A33,INDIRECT(#REF!&amp;"!$A$6:$C$200"),3,0),0))</f>
        <v/>
      </c>
      <c r="CT33" s="7" t="str">
        <f ca="1">IF(CT32="","",IFERROR(VLOOKUP($A33,INDIRECT(#REF!&amp;"!$A$6:$C$200"),3,0),0))</f>
        <v/>
      </c>
      <c r="CU33" s="7" t="str">
        <f ca="1">IF(CU32="","",IFERROR(VLOOKUP($A33,INDIRECT(#REF!&amp;"!$A$6:$C$200"),3,0),0))</f>
        <v/>
      </c>
      <c r="CV33" s="7" t="str">
        <f ca="1">IF(CV32="","",IFERROR(VLOOKUP($A33,INDIRECT(#REF!&amp;"!$A$6:$C$200"),3,0),0))</f>
        <v/>
      </c>
      <c r="CW33" s="7" t="str">
        <f ca="1">IF(CW32="","",IFERROR(VLOOKUP($A33,INDIRECT(#REF!&amp;"!$A$6:$C$200"),3,0),0))</f>
        <v/>
      </c>
      <c r="CX33" s="7" t="str">
        <f ca="1">IF(CX32="","",IFERROR(VLOOKUP($A33,INDIRECT(#REF!&amp;"!$A$6:$C$200"),3,0),0))</f>
        <v/>
      </c>
      <c r="CY33" s="7" t="str">
        <f ca="1">IF(CY32="","",IFERROR(VLOOKUP($A33,INDIRECT(#REF!&amp;"!$A$6:$C$200"),3,0),0))</f>
        <v/>
      </c>
      <c r="CZ33" s="7" t="str">
        <f ca="1">IF(CZ32="","",IFERROR(VLOOKUP($A33,INDIRECT(#REF!&amp;"!$A$6:$C$200"),3,0),0))</f>
        <v/>
      </c>
      <c r="DA33" s="7" t="str">
        <f ca="1">IF(DA32="","",IFERROR(VLOOKUP($A33,INDIRECT(#REF!&amp;"!$A$6:$C$200"),3,0),0))</f>
        <v/>
      </c>
      <c r="DB33" s="7" t="str">
        <f ca="1">IF(DB32="","",IFERROR(VLOOKUP($A33,INDIRECT(#REF!&amp;"!$A$6:$C$200"),3,0),0))</f>
        <v/>
      </c>
      <c r="DC33" s="7" t="str">
        <f ca="1">IF(DC32="","",IFERROR(VLOOKUP($A33,INDIRECT(#REF!&amp;"!$A$6:$C$200"),3,0),0))</f>
        <v/>
      </c>
      <c r="DD33" s="7" t="str">
        <f ca="1">IF(DD32="","",IFERROR(VLOOKUP($A33,INDIRECT(#REF!&amp;"!$A$6:$C$200"),3,0),0))</f>
        <v/>
      </c>
      <c r="DE33" s="7" t="str">
        <f ca="1">IF(DE32="","",IFERROR(VLOOKUP($A33,INDIRECT(#REF!&amp;"!$A$6:$C$200"),3,0),0))</f>
        <v/>
      </c>
      <c r="DF33" s="7" t="str">
        <f ca="1">IF(DF32="","",IFERROR(VLOOKUP($A33,INDIRECT(#REF!&amp;"!$A$6:$C$200"),3,0),0))</f>
        <v/>
      </c>
      <c r="DG33" s="7" t="str">
        <f ca="1">IF(DG32="","",IFERROR(VLOOKUP($A33,INDIRECT(#REF!&amp;"!$A$6:$C$200"),3,0),0))</f>
        <v/>
      </c>
      <c r="DH33" s="7" t="str">
        <f ca="1">IF(DH32="","",IFERROR(VLOOKUP($A33,INDIRECT(#REF!&amp;"!$A$6:$C$200"),3,0),0))</f>
        <v/>
      </c>
      <c r="DI33" s="7" t="str">
        <f ca="1">IF(DI32="","",IFERROR(VLOOKUP($A33,INDIRECT(#REF!&amp;"!$A$6:$C$200"),3,0),0))</f>
        <v/>
      </c>
      <c r="DJ33" s="7" t="str">
        <f ca="1">IF(DJ32="","",IFERROR(VLOOKUP($A33,INDIRECT(#REF!&amp;"!$A$6:$C$200"),3,0),0))</f>
        <v/>
      </c>
      <c r="DK33" s="7" t="str">
        <f ca="1">IF(DK32="","",IFERROR(VLOOKUP($A33,INDIRECT(#REF!&amp;"!$A$6:$C$200"),3,0),0))</f>
        <v/>
      </c>
    </row>
    <row r="34" spans="1:115">
      <c r="A34" s="6" t="s">
        <v>36</v>
      </c>
      <c r="B34" s="7">
        <v>5.0000000000000002E-5</v>
      </c>
      <c r="C34" s="7">
        <v>2.8571428571428574E-5</v>
      </c>
      <c r="D34" s="7">
        <v>2.8571428571428574E-5</v>
      </c>
      <c r="E34" s="7">
        <v>2.8571428571428574E-5</v>
      </c>
      <c r="F34" s="7">
        <v>2.8571428571428574E-5</v>
      </c>
      <c r="G34" s="7">
        <v>2.8571428571428574E-5</v>
      </c>
      <c r="H34" s="7">
        <f t="shared" ca="1" si="5"/>
        <v>1.4285714285714287E-5</v>
      </c>
      <c r="I34" s="7">
        <f t="shared" ca="1" si="3"/>
        <v>0</v>
      </c>
      <c r="J34" s="7">
        <f t="shared" ca="1" si="4"/>
        <v>0</v>
      </c>
      <c r="K34" s="7">
        <f t="shared" ref="K34:K67" ca="1" si="6">AVERAGE(BW34:CB34)</f>
        <v>0</v>
      </c>
      <c r="L34" s="7">
        <f t="shared" ref="L34:L67" ca="1" si="7">AVERAGE(BX34:CB34)</f>
        <v>0</v>
      </c>
      <c r="M34" s="8">
        <v>1E-4</v>
      </c>
      <c r="N34" s="8">
        <v>0</v>
      </c>
      <c r="O34" s="8">
        <v>0</v>
      </c>
      <c r="P34" s="8">
        <v>1E-4</v>
      </c>
      <c r="Q34" s="8">
        <v>1E-4</v>
      </c>
      <c r="R34" s="8">
        <v>0</v>
      </c>
      <c r="S34" s="8">
        <v>1E-4</v>
      </c>
      <c r="T34" s="8">
        <v>0</v>
      </c>
      <c r="U34" s="8">
        <v>0</v>
      </c>
      <c r="V34" s="8">
        <v>1E-4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1E-4</v>
      </c>
      <c r="AD34" s="8">
        <v>1E-4</v>
      </c>
      <c r="AE34" s="8">
        <v>0</v>
      </c>
      <c r="AF34" s="8">
        <v>0</v>
      </c>
      <c r="AG34" s="8">
        <v>1E-4</v>
      </c>
      <c r="AH34" s="8">
        <v>0</v>
      </c>
      <c r="AI34" s="8">
        <v>0</v>
      </c>
      <c r="AJ34" s="8">
        <v>1E-4</v>
      </c>
      <c r="AK34" s="8">
        <v>0</v>
      </c>
      <c r="AL34" s="8">
        <v>0</v>
      </c>
      <c r="AM34" s="7">
        <v>0</v>
      </c>
      <c r="AN34" s="7">
        <v>0</v>
      </c>
      <c r="AO34" s="7">
        <v>1E-4</v>
      </c>
      <c r="AP34" s="8">
        <v>0</v>
      </c>
      <c r="AQ34" s="7">
        <v>0</v>
      </c>
      <c r="AR34" s="7">
        <v>1E-4</v>
      </c>
      <c r="AS34" s="7">
        <v>0</v>
      </c>
      <c r="AT34" s="7">
        <v>0</v>
      </c>
      <c r="AU34" s="7">
        <v>0</v>
      </c>
      <c r="AV34" s="7">
        <v>0</v>
      </c>
      <c r="AW34" s="7">
        <v>1E-4</v>
      </c>
      <c r="AX34" s="7">
        <v>1E-4</v>
      </c>
      <c r="AY34" s="7">
        <v>0</v>
      </c>
      <c r="AZ34" s="7">
        <v>0</v>
      </c>
      <c r="BA34" s="7">
        <v>0</v>
      </c>
      <c r="BB34" s="7">
        <v>1E-4</v>
      </c>
      <c r="BC34" s="7">
        <v>0</v>
      </c>
      <c r="BD34" s="7">
        <v>0</v>
      </c>
      <c r="BE34" s="7">
        <f ca="1">IFERROR(VLOOKUP($A34,INDIRECT(#REF!&amp;"!$A$6:$C$200"),3,0),0)</f>
        <v>0</v>
      </c>
      <c r="BF34" s="7">
        <f ca="1">IFERROR(VLOOKUP($A34,INDIRECT(#REF!&amp;"!$A$6:$C$200"),3,0),0)</f>
        <v>0</v>
      </c>
      <c r="BG34" s="7">
        <f ca="1">IFERROR(VLOOKUP($A34,INDIRECT(#REF!&amp;"!$A$6:$C$200"),3,0),0)</f>
        <v>0</v>
      </c>
      <c r="BH34" s="8">
        <f ca="1">IFERROR(VLOOKUP($A34,INDIRECT(#REF!&amp;"!$A$6:$C$200"),3,0),0)</f>
        <v>0</v>
      </c>
      <c r="BI34" s="8">
        <f ca="1">IFERROR(VLOOKUP($A34,INDIRECT(#REF!&amp;"!$A$6:$C$200"),3,0),0)</f>
        <v>0</v>
      </c>
      <c r="BJ34" s="8">
        <f ca="1">IFERROR(VLOOKUP($A34,INDIRECT(#REF!&amp;"!$A$6:$C$200"),3,0),0)</f>
        <v>0</v>
      </c>
      <c r="BK34" s="8">
        <f ca="1">IFERROR(VLOOKUP($A34,INDIRECT(#REF!&amp;"!$A$6:$C$200"),3,0),0)</f>
        <v>0</v>
      </c>
      <c r="BL34" s="7">
        <f ca="1">IFERROR(VLOOKUP($A34,INDIRECT(#REF!&amp;"!$A$6:$C$200"),3,0),0)</f>
        <v>0</v>
      </c>
      <c r="BM34" s="8">
        <f ca="1">IFERROR(VLOOKUP($A34,INDIRECT(#REF!&amp;"!$A$6:$C$200"),3,0),0)</f>
        <v>0</v>
      </c>
      <c r="BN34" s="8">
        <f ca="1">IFERROR(VLOOKUP($A34,INDIRECT(#REF!&amp;"!$A$6:$C$200"),3,0),0)</f>
        <v>0</v>
      </c>
      <c r="BO34" s="8">
        <f ca="1">IFERROR(VLOOKUP($A34,INDIRECT(#REF!&amp;"!$A$6:$C$200"),3,0),0)</f>
        <v>0</v>
      </c>
      <c r="BP34" s="7">
        <f ca="1">IFERROR(VLOOKUP($A34,INDIRECT(#REF!&amp;"!$A$6:$C$200"),3,0),0)</f>
        <v>0</v>
      </c>
      <c r="BQ34" s="7">
        <f ca="1">IFERROR(VLOOKUP($A34,INDIRECT(#REF!&amp;"!$A$6:$C$200"),3,0),0)</f>
        <v>0</v>
      </c>
      <c r="BR34" s="8">
        <f ca="1">IFERROR(VLOOKUP($A34,INDIRECT(#REF!&amp;"!$A$6:$C$200"),3,0),0)</f>
        <v>0</v>
      </c>
      <c r="BS34" s="7">
        <f ca="1">IFERROR(VLOOKUP($A34,INDIRECT(#REF!&amp;"!$A$6:$C$200"),3,0),0)</f>
        <v>0</v>
      </c>
      <c r="BT34" s="7">
        <f ca="1">IFERROR(VLOOKUP($A34,INDIRECT(#REF!&amp;"!$A$6:$C$200"),3,0),0)</f>
        <v>0</v>
      </c>
      <c r="BU34" s="7">
        <f ca="1">IFERROR(VLOOKUP($A34,INDIRECT(#REF!&amp;"!$A$6:$C$200"),3,0),0)</f>
        <v>0</v>
      </c>
      <c r="BV34" s="7">
        <f ca="1">IFERROR(VLOOKUP($A34,INDIRECT(#REF!&amp;"!$A$6:$C$200"),3,0),0)</f>
        <v>0</v>
      </c>
      <c r="BW34" s="7">
        <f ca="1">IFERROR(VLOOKUP($A34,INDIRECT(#REF!&amp;"!$A$6:$C$200"),3,0),0)</f>
        <v>0</v>
      </c>
      <c r="BX34" s="7">
        <f ca="1">IFERROR(VLOOKUP($A34,INDIRECT(#REF!&amp;"!$A$6:$C$200"),3,0),0)</f>
        <v>0</v>
      </c>
      <c r="BY34" s="7">
        <f ca="1">IFERROR(VLOOKUP($A34,INDIRECT(#REF!&amp;"!$A$6:$C$200"),3,0),0)</f>
        <v>0</v>
      </c>
      <c r="BZ34" s="7">
        <f ca="1">IFERROR(VLOOKUP($A34,INDIRECT(#REF!&amp;"!$A$6:$C$200"),3,0),0)</f>
        <v>0</v>
      </c>
      <c r="CA34" s="7">
        <f ca="1">IFERROR(VLOOKUP($A34,INDIRECT(#REF!&amp;"!$A$6:$C$200"),3,0),0)</f>
        <v>0</v>
      </c>
      <c r="CB34" s="7">
        <f ca="1">IFERROR(VLOOKUP($A34,INDIRECT(#REF!&amp;"!$A$6:$C$200"),3,0),0)</f>
        <v>0</v>
      </c>
      <c r="CC34" s="7">
        <f ca="1">IFERROR(VLOOKUP($A34,INDIRECT(#REF!&amp;"!$A$6:$C$200"),3,0),0)</f>
        <v>0</v>
      </c>
      <c r="CD34" s="7" t="str">
        <f ca="1">IF(CD33="","",IFERROR(VLOOKUP($A34,INDIRECT(#REF!&amp;"!$A$6:$C$200"),3,0),0))</f>
        <v/>
      </c>
      <c r="CE34" s="7" t="str">
        <f ca="1">IF(CE33="","",IFERROR(VLOOKUP($A34,INDIRECT(#REF!&amp;"!$A$6:$C$200"),3,0),0))</f>
        <v/>
      </c>
      <c r="CF34" s="7" t="str">
        <f ca="1">IF(CF33="","",IFERROR(VLOOKUP($A34,INDIRECT(#REF!&amp;"!$A$6:$C$200"),3,0),0))</f>
        <v/>
      </c>
      <c r="CG34" s="7" t="str">
        <f ca="1">IF(CG33="","",IFERROR(VLOOKUP($A34,INDIRECT(#REF!&amp;"!$A$6:$C$200"),3,0),0))</f>
        <v/>
      </c>
      <c r="CH34" s="7" t="str">
        <f ca="1">IF(CH33="","",IFERROR(VLOOKUP($A34,INDIRECT(#REF!&amp;"!$A$6:$C$200"),3,0),0))</f>
        <v/>
      </c>
      <c r="CI34" s="7" t="str">
        <f ca="1">IF(CI33="","",IFERROR(VLOOKUP($A34,INDIRECT(#REF!&amp;"!$A$6:$C$200"),3,0),0))</f>
        <v/>
      </c>
      <c r="CJ34" s="7" t="str">
        <f ca="1">IF(CJ33="","",IFERROR(VLOOKUP($A34,INDIRECT(#REF!&amp;"!$A$6:$C$200"),3,0),0))</f>
        <v/>
      </c>
      <c r="CK34" s="7" t="str">
        <f ca="1">IF(CK33="","",IFERROR(VLOOKUP($A34,INDIRECT(#REF!&amp;"!$A$6:$C$200"),3,0),0))</f>
        <v/>
      </c>
      <c r="CL34" s="7" t="str">
        <f ca="1">IF(CL33="","",IFERROR(VLOOKUP($A34,INDIRECT(#REF!&amp;"!$A$6:$C$200"),3,0),0))</f>
        <v/>
      </c>
      <c r="CM34" s="7" t="str">
        <f ca="1">IF(CM33="","",IFERROR(VLOOKUP($A34,INDIRECT(#REF!&amp;"!$A$6:$C$200"),3,0),0))</f>
        <v/>
      </c>
      <c r="CN34" s="7" t="str">
        <f ca="1">IF(CN33="","",IFERROR(VLOOKUP($A34,INDIRECT(#REF!&amp;"!$A$6:$C$200"),3,0),0))</f>
        <v/>
      </c>
      <c r="CO34" s="7" t="str">
        <f ca="1">IF(CO33="","",IFERROR(VLOOKUP($A34,INDIRECT(#REF!&amp;"!$A$6:$C$200"),3,0),0))</f>
        <v/>
      </c>
      <c r="CP34" s="7" t="str">
        <f ca="1">IF(CP33="","",IFERROR(VLOOKUP($A34,INDIRECT(#REF!&amp;"!$A$6:$C$200"),3,0),0))</f>
        <v/>
      </c>
      <c r="CQ34" s="7" t="str">
        <f ca="1">IF(CQ33="","",IFERROR(VLOOKUP($A34,INDIRECT(#REF!&amp;"!$A$6:$C$200"),3,0),0))</f>
        <v/>
      </c>
      <c r="CR34" s="7" t="str">
        <f ca="1">IF(CR33="","",IFERROR(VLOOKUP($A34,INDIRECT(#REF!&amp;"!$A$6:$C$200"),3,0),0))</f>
        <v/>
      </c>
      <c r="CS34" s="7" t="str">
        <f ca="1">IF(CS33="","",IFERROR(VLOOKUP($A34,INDIRECT(#REF!&amp;"!$A$6:$C$200"),3,0),0))</f>
        <v/>
      </c>
      <c r="CT34" s="7" t="str">
        <f ca="1">IF(CT33="","",IFERROR(VLOOKUP($A34,INDIRECT(#REF!&amp;"!$A$6:$C$200"),3,0),0))</f>
        <v/>
      </c>
      <c r="CU34" s="7" t="str">
        <f ca="1">IF(CU33="","",IFERROR(VLOOKUP($A34,INDIRECT(#REF!&amp;"!$A$6:$C$200"),3,0),0))</f>
        <v/>
      </c>
      <c r="CV34" s="7" t="str">
        <f ca="1">IF(CV33="","",IFERROR(VLOOKUP($A34,INDIRECT(#REF!&amp;"!$A$6:$C$200"),3,0),0))</f>
        <v/>
      </c>
      <c r="CW34" s="7" t="str">
        <f ca="1">IF(CW33="","",IFERROR(VLOOKUP($A34,INDIRECT(#REF!&amp;"!$A$6:$C$200"),3,0),0))</f>
        <v/>
      </c>
      <c r="CX34" s="7" t="str">
        <f ca="1">IF(CX33="","",IFERROR(VLOOKUP($A34,INDIRECT(#REF!&amp;"!$A$6:$C$200"),3,0),0))</f>
        <v/>
      </c>
      <c r="CY34" s="7" t="str">
        <f ca="1">IF(CY33="","",IFERROR(VLOOKUP($A34,INDIRECT(#REF!&amp;"!$A$6:$C$200"),3,0),0))</f>
        <v/>
      </c>
      <c r="CZ34" s="7" t="str">
        <f ca="1">IF(CZ33="","",IFERROR(VLOOKUP($A34,INDIRECT(#REF!&amp;"!$A$6:$C$200"),3,0),0))</f>
        <v/>
      </c>
      <c r="DA34" s="7" t="str">
        <f ca="1">IF(DA33="","",IFERROR(VLOOKUP($A34,INDIRECT(#REF!&amp;"!$A$6:$C$200"),3,0),0))</f>
        <v/>
      </c>
      <c r="DB34" s="7" t="str">
        <f ca="1">IF(DB33="","",IFERROR(VLOOKUP($A34,INDIRECT(#REF!&amp;"!$A$6:$C$200"),3,0),0))</f>
        <v/>
      </c>
      <c r="DC34" s="7" t="str">
        <f ca="1">IF(DC33="","",IFERROR(VLOOKUP($A34,INDIRECT(#REF!&amp;"!$A$6:$C$200"),3,0),0))</f>
        <v/>
      </c>
      <c r="DD34" s="7" t="str">
        <f ca="1">IF(DD33="","",IFERROR(VLOOKUP($A34,INDIRECT(#REF!&amp;"!$A$6:$C$200"),3,0),0))</f>
        <v/>
      </c>
      <c r="DE34" s="7" t="str">
        <f ca="1">IF(DE33="","",IFERROR(VLOOKUP($A34,INDIRECT(#REF!&amp;"!$A$6:$C$200"),3,0),0))</f>
        <v/>
      </c>
      <c r="DF34" s="7" t="str">
        <f ca="1">IF(DF33="","",IFERROR(VLOOKUP($A34,INDIRECT(#REF!&amp;"!$A$6:$C$200"),3,0),0))</f>
        <v/>
      </c>
      <c r="DG34" s="7" t="str">
        <f ca="1">IF(DG33="","",IFERROR(VLOOKUP($A34,INDIRECT(#REF!&amp;"!$A$6:$C$200"),3,0),0))</f>
        <v/>
      </c>
      <c r="DH34" s="7" t="str">
        <f ca="1">IF(DH33="","",IFERROR(VLOOKUP($A34,INDIRECT(#REF!&amp;"!$A$6:$C$200"),3,0),0))</f>
        <v/>
      </c>
      <c r="DI34" s="7" t="str">
        <f ca="1">IF(DI33="","",IFERROR(VLOOKUP($A34,INDIRECT(#REF!&amp;"!$A$6:$C$200"),3,0),0))</f>
        <v/>
      </c>
      <c r="DJ34" s="7" t="str">
        <f ca="1">IF(DJ33="","",IFERROR(VLOOKUP($A34,INDIRECT(#REF!&amp;"!$A$6:$C$200"),3,0),0))</f>
        <v/>
      </c>
      <c r="DK34" s="7" t="str">
        <f ca="1">IF(DK33="","",IFERROR(VLOOKUP($A34,INDIRECT(#REF!&amp;"!$A$6:$C$200"),3,0),0))</f>
        <v/>
      </c>
    </row>
    <row r="35" spans="1:115">
      <c r="A35" s="6" t="s">
        <v>37</v>
      </c>
      <c r="B35" s="7">
        <v>1.6500000000000002E-3</v>
      </c>
      <c r="C35" s="7">
        <v>2.2857142857142859E-3</v>
      </c>
      <c r="D35" s="7">
        <v>9.5714285714285714E-4</v>
      </c>
      <c r="E35" s="7">
        <v>4.1428571428571431E-4</v>
      </c>
      <c r="F35" s="7">
        <v>2.1428571428571433E-4</v>
      </c>
      <c r="G35" s="7">
        <v>3.8571428571428573E-4</v>
      </c>
      <c r="H35" s="7">
        <f t="shared" ca="1" si="5"/>
        <v>1.2857142857142858E-4</v>
      </c>
      <c r="I35" s="7">
        <f t="shared" ca="1" si="3"/>
        <v>0</v>
      </c>
      <c r="J35" s="7">
        <f t="shared" ca="1" si="4"/>
        <v>0</v>
      </c>
      <c r="K35" s="7">
        <f t="shared" ca="1" si="6"/>
        <v>0</v>
      </c>
      <c r="L35" s="7">
        <f t="shared" ca="1" si="7"/>
        <v>0</v>
      </c>
      <c r="M35" s="8">
        <v>1.2999999999999999E-3</v>
      </c>
      <c r="N35" s="8">
        <v>1.8E-3</v>
      </c>
      <c r="O35" s="8">
        <v>1.4E-3</v>
      </c>
      <c r="P35" s="8">
        <v>1.1000000000000001E-3</v>
      </c>
      <c r="Q35" s="8">
        <v>2.3999999999999998E-3</v>
      </c>
      <c r="R35" s="8">
        <v>1.9E-3</v>
      </c>
      <c r="S35" s="8">
        <v>1.1000000000000001E-3</v>
      </c>
      <c r="T35" s="8">
        <v>2.3999999999999998E-3</v>
      </c>
      <c r="U35" s="8">
        <v>2.8E-3</v>
      </c>
      <c r="V35" s="8">
        <v>1.6999999999999999E-3</v>
      </c>
      <c r="W35" s="8">
        <v>2.5999999999999999E-3</v>
      </c>
      <c r="X35" s="8">
        <v>2.5999999999999999E-3</v>
      </c>
      <c r="Y35" s="8">
        <v>2.8E-3</v>
      </c>
      <c r="Z35" s="8">
        <v>2E-3</v>
      </c>
      <c r="AA35" s="8">
        <v>1.5E-3</v>
      </c>
      <c r="AB35" s="8">
        <v>1.1000000000000001E-3</v>
      </c>
      <c r="AC35" s="8">
        <v>8.9999999999999998E-4</v>
      </c>
      <c r="AD35" s="8">
        <v>4.0000000000000002E-4</v>
      </c>
      <c r="AE35" s="8">
        <v>4.0000000000000002E-4</v>
      </c>
      <c r="AF35" s="8">
        <v>4.0000000000000002E-4</v>
      </c>
      <c r="AG35" s="8">
        <v>2.9999999999999997E-4</v>
      </c>
      <c r="AH35" s="8">
        <v>2.0000000000000001E-4</v>
      </c>
      <c r="AI35" s="8">
        <v>2.0000000000000001E-4</v>
      </c>
      <c r="AJ35" s="8">
        <v>5.0000000000000001E-4</v>
      </c>
      <c r="AK35" s="8">
        <v>6.9999999999999999E-4</v>
      </c>
      <c r="AL35" s="8">
        <v>5.9999999999999995E-4</v>
      </c>
      <c r="AM35" s="7">
        <v>4.0000000000000002E-4</v>
      </c>
      <c r="AN35" s="7">
        <v>2.9999999999999997E-4</v>
      </c>
      <c r="AO35" s="7">
        <v>2.9999999999999997E-4</v>
      </c>
      <c r="AP35" s="7">
        <v>2.0000000000000001E-4</v>
      </c>
      <c r="AQ35" s="7">
        <v>1E-4</v>
      </c>
      <c r="AR35" s="7">
        <v>2.0000000000000001E-4</v>
      </c>
      <c r="AS35" s="7">
        <v>2.0000000000000001E-4</v>
      </c>
      <c r="AT35" s="7">
        <v>2.0000000000000001E-4</v>
      </c>
      <c r="AU35" s="7">
        <v>4.0000000000000002E-4</v>
      </c>
      <c r="AV35" s="7">
        <v>4.0000000000000002E-4</v>
      </c>
      <c r="AW35" s="7">
        <v>5.0000000000000001E-4</v>
      </c>
      <c r="AX35" s="7">
        <v>2.9999999999999997E-4</v>
      </c>
      <c r="AY35" s="7">
        <v>2.0000000000000001E-4</v>
      </c>
      <c r="AZ35" s="7">
        <v>4.0000000000000002E-4</v>
      </c>
      <c r="BA35" s="7">
        <v>5.0000000000000001E-4</v>
      </c>
      <c r="BB35" s="7">
        <v>5.0000000000000001E-4</v>
      </c>
      <c r="BC35" s="7">
        <v>2.0000000000000001E-4</v>
      </c>
      <c r="BD35" s="7">
        <v>2.0000000000000001E-4</v>
      </c>
      <c r="BE35" s="7">
        <f ca="1">IFERROR(VLOOKUP($A35,INDIRECT(#REF!&amp;"!$A$6:$C$200"),3,0),0)</f>
        <v>0</v>
      </c>
      <c r="BF35" s="7">
        <f ca="1">IFERROR(VLOOKUP($A35,INDIRECT(#REF!&amp;"!$A$6:$C$200"),3,0),0)</f>
        <v>0</v>
      </c>
      <c r="BG35" s="7">
        <f ca="1">IFERROR(VLOOKUP($A35,INDIRECT(#REF!&amp;"!$A$6:$C$200"),3,0),0)</f>
        <v>0</v>
      </c>
      <c r="BH35" s="8">
        <f ca="1">IFERROR(VLOOKUP($A35,INDIRECT(#REF!&amp;"!$A$6:$C$200"),3,0),0)</f>
        <v>0</v>
      </c>
      <c r="BI35" s="8">
        <f ca="1">IFERROR(VLOOKUP($A35,INDIRECT(#REF!&amp;"!$A$6:$C$200"),3,0),0)</f>
        <v>0</v>
      </c>
      <c r="BJ35" s="8">
        <f ca="1">IFERROR(VLOOKUP($A35,INDIRECT(#REF!&amp;"!$A$6:$C$200"),3,0),0)</f>
        <v>0</v>
      </c>
      <c r="BK35" s="8">
        <f ca="1">IFERROR(VLOOKUP($A35,INDIRECT(#REF!&amp;"!$A$6:$C$200"),3,0),0)</f>
        <v>0</v>
      </c>
      <c r="BL35" s="8">
        <f ca="1">IFERROR(VLOOKUP($A35,INDIRECT(#REF!&amp;"!$A$6:$C$200"),3,0),0)</f>
        <v>0</v>
      </c>
      <c r="BM35" s="8">
        <f ca="1">IFERROR(VLOOKUP($A35,INDIRECT(#REF!&amp;"!$A$6:$C$200"),3,0),0)</f>
        <v>0</v>
      </c>
      <c r="BN35" s="8">
        <f ca="1">IFERROR(VLOOKUP($A35,INDIRECT(#REF!&amp;"!$A$6:$C$200"),3,0),0)</f>
        <v>0</v>
      </c>
      <c r="BO35" s="8">
        <f ca="1">IFERROR(VLOOKUP($A35,INDIRECT(#REF!&amp;"!$A$6:$C$200"),3,0),0)</f>
        <v>0</v>
      </c>
      <c r="BP35" s="7">
        <f ca="1">IFERROR(VLOOKUP($A35,INDIRECT(#REF!&amp;"!$A$6:$C$200"),3,0),0)</f>
        <v>0</v>
      </c>
      <c r="BQ35" s="7">
        <f ca="1">IFERROR(VLOOKUP($A35,INDIRECT(#REF!&amp;"!$A$6:$C$200"),3,0),0)</f>
        <v>0</v>
      </c>
      <c r="BR35" s="7">
        <f ca="1">IFERROR(VLOOKUP($A35,INDIRECT(#REF!&amp;"!$A$6:$C$200"),3,0),0)</f>
        <v>0</v>
      </c>
      <c r="BS35" s="7">
        <f ca="1">IFERROR(VLOOKUP($A35,INDIRECT(#REF!&amp;"!$A$6:$C$200"),3,0),0)</f>
        <v>0</v>
      </c>
      <c r="BT35" s="7">
        <f ca="1">IFERROR(VLOOKUP($A35,INDIRECT(#REF!&amp;"!$A$6:$C$200"),3,0),0)</f>
        <v>0</v>
      </c>
      <c r="BU35" s="7">
        <f ca="1">IFERROR(VLOOKUP($A35,INDIRECT(#REF!&amp;"!$A$6:$C$200"),3,0),0)</f>
        <v>0</v>
      </c>
      <c r="BV35" s="7">
        <f ca="1">IFERROR(VLOOKUP($A35,INDIRECT(#REF!&amp;"!$A$6:$C$200"),3,0),0)</f>
        <v>0</v>
      </c>
      <c r="BW35" s="7">
        <f ca="1">IFERROR(VLOOKUP($A35,INDIRECT(#REF!&amp;"!$A$6:$C$200"),3,0),0)</f>
        <v>0</v>
      </c>
      <c r="BX35" s="7">
        <f ca="1">IFERROR(VLOOKUP($A35,INDIRECT(#REF!&amp;"!$A$6:$C$200"),3,0),0)</f>
        <v>0</v>
      </c>
      <c r="BY35" s="7">
        <f ca="1">IFERROR(VLOOKUP($A35,INDIRECT(#REF!&amp;"!$A$6:$C$200"),3,0),0)</f>
        <v>0</v>
      </c>
      <c r="BZ35" s="7">
        <f ca="1">IFERROR(VLOOKUP($A35,INDIRECT(#REF!&amp;"!$A$6:$C$200"),3,0),0)</f>
        <v>0</v>
      </c>
      <c r="CA35" s="7">
        <f ca="1">IFERROR(VLOOKUP($A35,INDIRECT(#REF!&amp;"!$A$6:$C$200"),3,0),0)</f>
        <v>0</v>
      </c>
      <c r="CB35" s="7">
        <f ca="1">IFERROR(VLOOKUP($A35,INDIRECT(#REF!&amp;"!$A$6:$C$200"),3,0),0)</f>
        <v>0</v>
      </c>
      <c r="CC35" s="7">
        <f ca="1">IFERROR(VLOOKUP($A35,INDIRECT(#REF!&amp;"!$A$6:$C$200"),3,0),0)</f>
        <v>0</v>
      </c>
      <c r="CD35" s="7" t="str">
        <f ca="1">IF(CD34="","",IFERROR(VLOOKUP($A35,INDIRECT(#REF!&amp;"!$A$6:$C$200"),3,0),0))</f>
        <v/>
      </c>
      <c r="CE35" s="7" t="str">
        <f ca="1">IF(CE34="","",IFERROR(VLOOKUP($A35,INDIRECT(#REF!&amp;"!$A$6:$C$200"),3,0),0))</f>
        <v/>
      </c>
      <c r="CF35" s="7" t="str">
        <f ca="1">IF(CF34="","",IFERROR(VLOOKUP($A35,INDIRECT(#REF!&amp;"!$A$6:$C$200"),3,0),0))</f>
        <v/>
      </c>
      <c r="CG35" s="7" t="str">
        <f ca="1">IF(CG34="","",IFERROR(VLOOKUP($A35,INDIRECT(#REF!&amp;"!$A$6:$C$200"),3,0),0))</f>
        <v/>
      </c>
      <c r="CH35" s="7" t="str">
        <f ca="1">IF(CH34="","",IFERROR(VLOOKUP($A35,INDIRECT(#REF!&amp;"!$A$6:$C$200"),3,0),0))</f>
        <v/>
      </c>
      <c r="CI35" s="7" t="str">
        <f ca="1">IF(CI34="","",IFERROR(VLOOKUP($A35,INDIRECT(#REF!&amp;"!$A$6:$C$200"),3,0),0))</f>
        <v/>
      </c>
      <c r="CJ35" s="7" t="str">
        <f ca="1">IF(CJ34="","",IFERROR(VLOOKUP($A35,INDIRECT(#REF!&amp;"!$A$6:$C$200"),3,0),0))</f>
        <v/>
      </c>
      <c r="CK35" s="7" t="str">
        <f ca="1">IF(CK34="","",IFERROR(VLOOKUP($A35,INDIRECT(#REF!&amp;"!$A$6:$C$200"),3,0),0))</f>
        <v/>
      </c>
      <c r="CL35" s="7" t="str">
        <f ca="1">IF(CL34="","",IFERROR(VLOOKUP($A35,INDIRECT(#REF!&amp;"!$A$6:$C$200"),3,0),0))</f>
        <v/>
      </c>
      <c r="CM35" s="7" t="str">
        <f ca="1">IF(CM34="","",IFERROR(VLOOKUP($A35,INDIRECT(#REF!&amp;"!$A$6:$C$200"),3,0),0))</f>
        <v/>
      </c>
      <c r="CN35" s="7" t="str">
        <f ca="1">IF(CN34="","",IFERROR(VLOOKUP($A35,INDIRECT(#REF!&amp;"!$A$6:$C$200"),3,0),0))</f>
        <v/>
      </c>
      <c r="CO35" s="7" t="str">
        <f ca="1">IF(CO34="","",IFERROR(VLOOKUP($A35,INDIRECT(#REF!&amp;"!$A$6:$C$200"),3,0),0))</f>
        <v/>
      </c>
      <c r="CP35" s="7" t="str">
        <f ca="1">IF(CP34="","",IFERROR(VLOOKUP($A35,INDIRECT(#REF!&amp;"!$A$6:$C$200"),3,0),0))</f>
        <v/>
      </c>
      <c r="CQ35" s="7" t="str">
        <f ca="1">IF(CQ34="","",IFERROR(VLOOKUP($A35,INDIRECT(#REF!&amp;"!$A$6:$C$200"),3,0),0))</f>
        <v/>
      </c>
      <c r="CR35" s="7" t="str">
        <f ca="1">IF(CR34="","",IFERROR(VLOOKUP($A35,INDIRECT(#REF!&amp;"!$A$6:$C$200"),3,0),0))</f>
        <v/>
      </c>
      <c r="CS35" s="7" t="str">
        <f ca="1">IF(CS34="","",IFERROR(VLOOKUP($A35,INDIRECT(#REF!&amp;"!$A$6:$C$200"),3,0),0))</f>
        <v/>
      </c>
      <c r="CT35" s="7" t="str">
        <f ca="1">IF(CT34="","",IFERROR(VLOOKUP($A35,INDIRECT(#REF!&amp;"!$A$6:$C$200"),3,0),0))</f>
        <v/>
      </c>
      <c r="CU35" s="7" t="str">
        <f ca="1">IF(CU34="","",IFERROR(VLOOKUP($A35,INDIRECT(#REF!&amp;"!$A$6:$C$200"),3,0),0))</f>
        <v/>
      </c>
      <c r="CV35" s="7" t="str">
        <f ca="1">IF(CV34="","",IFERROR(VLOOKUP($A35,INDIRECT(#REF!&amp;"!$A$6:$C$200"),3,0),0))</f>
        <v/>
      </c>
      <c r="CW35" s="7" t="str">
        <f ca="1">IF(CW34="","",IFERROR(VLOOKUP($A35,INDIRECT(#REF!&amp;"!$A$6:$C$200"),3,0),0))</f>
        <v/>
      </c>
      <c r="CX35" s="7" t="str">
        <f ca="1">IF(CX34="","",IFERROR(VLOOKUP($A35,INDIRECT(#REF!&amp;"!$A$6:$C$200"),3,0),0))</f>
        <v/>
      </c>
      <c r="CY35" s="7" t="str">
        <f ca="1">IF(CY34="","",IFERROR(VLOOKUP($A35,INDIRECT(#REF!&amp;"!$A$6:$C$200"),3,0),0))</f>
        <v/>
      </c>
      <c r="CZ35" s="7" t="str">
        <f ca="1">IF(CZ34="","",IFERROR(VLOOKUP($A35,INDIRECT(#REF!&amp;"!$A$6:$C$200"),3,0),0))</f>
        <v/>
      </c>
      <c r="DA35" s="7" t="str">
        <f ca="1">IF(DA34="","",IFERROR(VLOOKUP($A35,INDIRECT(#REF!&amp;"!$A$6:$C$200"),3,0),0))</f>
        <v/>
      </c>
      <c r="DB35" s="7" t="str">
        <f ca="1">IF(DB34="","",IFERROR(VLOOKUP($A35,INDIRECT(#REF!&amp;"!$A$6:$C$200"),3,0),0))</f>
        <v/>
      </c>
      <c r="DC35" s="7" t="str">
        <f ca="1">IF(DC34="","",IFERROR(VLOOKUP($A35,INDIRECT(#REF!&amp;"!$A$6:$C$200"),3,0),0))</f>
        <v/>
      </c>
      <c r="DD35" s="7" t="str">
        <f ca="1">IF(DD34="","",IFERROR(VLOOKUP($A35,INDIRECT(#REF!&amp;"!$A$6:$C$200"),3,0),0))</f>
        <v/>
      </c>
      <c r="DE35" s="7" t="str">
        <f ca="1">IF(DE34="","",IFERROR(VLOOKUP($A35,INDIRECT(#REF!&amp;"!$A$6:$C$200"),3,0),0))</f>
        <v/>
      </c>
      <c r="DF35" s="7" t="str">
        <f ca="1">IF(DF34="","",IFERROR(VLOOKUP($A35,INDIRECT(#REF!&amp;"!$A$6:$C$200"),3,0),0))</f>
        <v/>
      </c>
      <c r="DG35" s="7" t="str">
        <f ca="1">IF(DG34="","",IFERROR(VLOOKUP($A35,INDIRECT(#REF!&amp;"!$A$6:$C$200"),3,0),0))</f>
        <v/>
      </c>
      <c r="DH35" s="7" t="str">
        <f ca="1">IF(DH34="","",IFERROR(VLOOKUP($A35,INDIRECT(#REF!&amp;"!$A$6:$C$200"),3,0),0))</f>
        <v/>
      </c>
      <c r="DI35" s="7" t="str">
        <f ca="1">IF(DI34="","",IFERROR(VLOOKUP($A35,INDIRECT(#REF!&amp;"!$A$6:$C$200"),3,0),0))</f>
        <v/>
      </c>
      <c r="DJ35" s="7" t="str">
        <f ca="1">IF(DJ34="","",IFERROR(VLOOKUP($A35,INDIRECT(#REF!&amp;"!$A$6:$C$200"),3,0),0))</f>
        <v/>
      </c>
      <c r="DK35" s="7" t="str">
        <f ca="1">IF(DK34="","",IFERROR(VLOOKUP($A35,INDIRECT(#REF!&amp;"!$A$6:$C$200"),3,0),0))</f>
        <v/>
      </c>
    </row>
    <row r="36" spans="1:115">
      <c r="A36" s="6" t="s">
        <v>38</v>
      </c>
      <c r="B36" s="7">
        <v>3.3333333333333335E-5</v>
      </c>
      <c r="C36" s="7">
        <v>1.4285714285714287E-5</v>
      </c>
      <c r="D36" s="7">
        <v>5.7142857142857148E-5</v>
      </c>
      <c r="E36" s="7">
        <v>4.2857142857142863E-5</v>
      </c>
      <c r="F36" s="7">
        <v>1.4285714285714287E-5</v>
      </c>
      <c r="G36" s="7">
        <v>5.7142857142857148E-5</v>
      </c>
      <c r="H36" s="7">
        <f t="shared" ca="1" si="5"/>
        <v>4.2857142857142863E-5</v>
      </c>
      <c r="I36" s="7">
        <f t="shared" ca="1" si="3"/>
        <v>0</v>
      </c>
      <c r="J36" s="7">
        <f t="shared" ca="1" si="4"/>
        <v>0</v>
      </c>
      <c r="K36" s="7">
        <f t="shared" ca="1" si="6"/>
        <v>0</v>
      </c>
      <c r="L36" s="7">
        <f t="shared" ca="1" si="7"/>
        <v>0</v>
      </c>
      <c r="M36" s="8">
        <v>0</v>
      </c>
      <c r="N36" s="8">
        <v>0</v>
      </c>
      <c r="O36" s="8">
        <v>0</v>
      </c>
      <c r="P36" s="8">
        <v>0</v>
      </c>
      <c r="Q36" s="8">
        <v>2.0000000000000001E-4</v>
      </c>
      <c r="R36" s="8">
        <v>0</v>
      </c>
      <c r="S36" s="8">
        <v>0</v>
      </c>
      <c r="T36" s="8">
        <v>1E-4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1E-4</v>
      </c>
      <c r="AA36" s="8">
        <v>1E-4</v>
      </c>
      <c r="AB36" s="8">
        <v>1E-4</v>
      </c>
      <c r="AC36" s="8">
        <v>0</v>
      </c>
      <c r="AD36" s="8">
        <v>1E-4</v>
      </c>
      <c r="AE36" s="8">
        <v>0</v>
      </c>
      <c r="AF36" s="8">
        <v>0</v>
      </c>
      <c r="AG36" s="8">
        <v>0</v>
      </c>
      <c r="AH36" s="8">
        <v>1E-4</v>
      </c>
      <c r="AI36" s="8">
        <v>1E-4</v>
      </c>
      <c r="AJ36" s="8">
        <v>0</v>
      </c>
      <c r="AK36" s="8">
        <v>1E-4</v>
      </c>
      <c r="AL36" s="8">
        <v>0</v>
      </c>
      <c r="AM36" s="7">
        <v>0</v>
      </c>
      <c r="AN36" s="7">
        <v>0</v>
      </c>
      <c r="AO36" s="7">
        <v>0</v>
      </c>
      <c r="AP36" s="7">
        <v>0</v>
      </c>
      <c r="AQ36" s="7">
        <v>0</v>
      </c>
      <c r="AR36" s="7">
        <v>1E-4</v>
      </c>
      <c r="AS36" s="7">
        <v>0</v>
      </c>
      <c r="AT36" s="7">
        <v>0</v>
      </c>
      <c r="AU36" s="7">
        <v>1E-4</v>
      </c>
      <c r="AV36" s="7">
        <v>1E-4</v>
      </c>
      <c r="AW36" s="7">
        <v>1E-4</v>
      </c>
      <c r="AX36" s="7">
        <v>0</v>
      </c>
      <c r="AY36" s="7">
        <v>0</v>
      </c>
      <c r="AZ36" s="7">
        <v>0</v>
      </c>
      <c r="BA36" s="7">
        <v>1E-4</v>
      </c>
      <c r="BB36" s="7">
        <v>1E-4</v>
      </c>
      <c r="BC36" s="7">
        <v>1E-4</v>
      </c>
      <c r="BD36" s="7">
        <v>1E-4</v>
      </c>
      <c r="BE36" s="7">
        <f ca="1">IFERROR(VLOOKUP($A36,INDIRECT(#REF!&amp;"!$A$6:$C$200"),3,0),0)</f>
        <v>0</v>
      </c>
      <c r="BF36" s="7">
        <f ca="1">IFERROR(VLOOKUP($A36,INDIRECT(#REF!&amp;"!$A$6:$C$200"),3,0),0)</f>
        <v>0</v>
      </c>
      <c r="BG36" s="7">
        <f ca="1">IFERROR(VLOOKUP($A36,INDIRECT(#REF!&amp;"!$A$6:$C$200"),3,0),0)</f>
        <v>0</v>
      </c>
      <c r="BH36" s="8">
        <f ca="1">IFERROR(VLOOKUP($A36,INDIRECT(#REF!&amp;"!$A$6:$C$200"),3,0),0)</f>
        <v>0</v>
      </c>
      <c r="BI36" s="8">
        <f ca="1">IFERROR(VLOOKUP($A36,INDIRECT(#REF!&amp;"!$A$6:$C$200"),3,0),0)</f>
        <v>0</v>
      </c>
      <c r="BJ36" s="8">
        <f ca="1">IFERROR(VLOOKUP($A36,INDIRECT(#REF!&amp;"!$A$6:$C$200"),3,0),0)</f>
        <v>0</v>
      </c>
      <c r="BK36" s="8">
        <f ca="1">IFERROR(VLOOKUP($A36,INDIRECT(#REF!&amp;"!$A$6:$C$200"),3,0),0)</f>
        <v>0</v>
      </c>
      <c r="BL36" s="8">
        <f ca="1">IFERROR(VLOOKUP($A36,INDIRECT(#REF!&amp;"!$A$6:$C$200"),3,0),0)</f>
        <v>0</v>
      </c>
      <c r="BM36" s="8">
        <f ca="1">IFERROR(VLOOKUP($A36,INDIRECT(#REF!&amp;"!$A$6:$C$200"),3,0),0)</f>
        <v>0</v>
      </c>
      <c r="BN36" s="8">
        <f ca="1">IFERROR(VLOOKUP($A36,INDIRECT(#REF!&amp;"!$A$6:$C$200"),3,0),0)</f>
        <v>0</v>
      </c>
      <c r="BO36" s="8">
        <f ca="1">IFERROR(VLOOKUP($A36,INDIRECT(#REF!&amp;"!$A$6:$C$200"),3,0),0)</f>
        <v>0</v>
      </c>
      <c r="BP36" s="7">
        <f ca="1">IFERROR(VLOOKUP($A36,INDIRECT(#REF!&amp;"!$A$6:$C$200"),3,0),0)</f>
        <v>0</v>
      </c>
      <c r="BQ36" s="7">
        <f ca="1">IFERROR(VLOOKUP($A36,INDIRECT(#REF!&amp;"!$A$6:$C$200"),3,0),0)</f>
        <v>0</v>
      </c>
      <c r="BR36" s="7">
        <f ca="1">IFERROR(VLOOKUP($A36,INDIRECT(#REF!&amp;"!$A$6:$C$200"),3,0),0)</f>
        <v>0</v>
      </c>
      <c r="BS36" s="7">
        <f ca="1">IFERROR(VLOOKUP($A36,INDIRECT(#REF!&amp;"!$A$6:$C$200"),3,0),0)</f>
        <v>0</v>
      </c>
      <c r="BT36" s="7">
        <f ca="1">IFERROR(VLOOKUP($A36,INDIRECT(#REF!&amp;"!$A$6:$C$200"),3,0),0)</f>
        <v>0</v>
      </c>
      <c r="BU36" s="7">
        <f ca="1">IFERROR(VLOOKUP($A36,INDIRECT(#REF!&amp;"!$A$6:$C$200"),3,0),0)</f>
        <v>0</v>
      </c>
      <c r="BV36" s="7">
        <f ca="1">IFERROR(VLOOKUP($A36,INDIRECT(#REF!&amp;"!$A$6:$C$200"),3,0),0)</f>
        <v>0</v>
      </c>
      <c r="BW36" s="7">
        <f ca="1">IFERROR(VLOOKUP($A36,INDIRECT(#REF!&amp;"!$A$6:$C$200"),3,0),0)</f>
        <v>0</v>
      </c>
      <c r="BX36" s="7">
        <f ca="1">IFERROR(VLOOKUP($A36,INDIRECT(#REF!&amp;"!$A$6:$C$200"),3,0),0)</f>
        <v>0</v>
      </c>
      <c r="BY36" s="7">
        <f ca="1">IFERROR(VLOOKUP($A36,INDIRECT(#REF!&amp;"!$A$6:$C$200"),3,0),0)</f>
        <v>0</v>
      </c>
      <c r="BZ36" s="7">
        <f ca="1">IFERROR(VLOOKUP($A36,INDIRECT(#REF!&amp;"!$A$6:$C$200"),3,0),0)</f>
        <v>0</v>
      </c>
      <c r="CA36" s="7">
        <f ca="1">IFERROR(VLOOKUP($A36,INDIRECT(#REF!&amp;"!$A$6:$C$200"),3,0),0)</f>
        <v>0</v>
      </c>
      <c r="CB36" s="7">
        <f ca="1">IFERROR(VLOOKUP($A36,INDIRECT(#REF!&amp;"!$A$6:$C$200"),3,0),0)</f>
        <v>0</v>
      </c>
      <c r="CC36" s="7">
        <f ca="1">IFERROR(VLOOKUP($A36,INDIRECT(#REF!&amp;"!$A$6:$C$200"),3,0),0)</f>
        <v>0</v>
      </c>
      <c r="CD36" s="7" t="str">
        <f ca="1">IF(CD35="","",IFERROR(VLOOKUP($A36,INDIRECT(#REF!&amp;"!$A$6:$C$200"),3,0),0))</f>
        <v/>
      </c>
      <c r="CE36" s="7" t="str">
        <f ca="1">IF(CE35="","",IFERROR(VLOOKUP($A36,INDIRECT(#REF!&amp;"!$A$6:$C$200"),3,0),0))</f>
        <v/>
      </c>
      <c r="CF36" s="7" t="str">
        <f ca="1">IF(CF35="","",IFERROR(VLOOKUP($A36,INDIRECT(#REF!&amp;"!$A$6:$C$200"),3,0),0))</f>
        <v/>
      </c>
      <c r="CG36" s="7" t="str">
        <f ca="1">IF(CG35="","",IFERROR(VLOOKUP($A36,INDIRECT(#REF!&amp;"!$A$6:$C$200"),3,0),0))</f>
        <v/>
      </c>
      <c r="CH36" s="7" t="str">
        <f ca="1">IF(CH35="","",IFERROR(VLOOKUP($A36,INDIRECT(#REF!&amp;"!$A$6:$C$200"),3,0),0))</f>
        <v/>
      </c>
      <c r="CI36" s="7" t="str">
        <f ca="1">IF(CI35="","",IFERROR(VLOOKUP($A36,INDIRECT(#REF!&amp;"!$A$6:$C$200"),3,0),0))</f>
        <v/>
      </c>
      <c r="CJ36" s="7" t="str">
        <f ca="1">IF(CJ35="","",IFERROR(VLOOKUP($A36,INDIRECT(#REF!&amp;"!$A$6:$C$200"),3,0),0))</f>
        <v/>
      </c>
      <c r="CK36" s="7" t="str">
        <f ca="1">IF(CK35="","",IFERROR(VLOOKUP($A36,INDIRECT(#REF!&amp;"!$A$6:$C$200"),3,0),0))</f>
        <v/>
      </c>
      <c r="CL36" s="7" t="str">
        <f ca="1">IF(CL35="","",IFERROR(VLOOKUP($A36,INDIRECT(#REF!&amp;"!$A$6:$C$200"),3,0),0))</f>
        <v/>
      </c>
      <c r="CM36" s="7" t="str">
        <f ca="1">IF(CM35="","",IFERROR(VLOOKUP($A36,INDIRECT(#REF!&amp;"!$A$6:$C$200"),3,0),0))</f>
        <v/>
      </c>
      <c r="CN36" s="7" t="str">
        <f ca="1">IF(CN35="","",IFERROR(VLOOKUP($A36,INDIRECT(#REF!&amp;"!$A$6:$C$200"),3,0),0))</f>
        <v/>
      </c>
      <c r="CO36" s="7" t="str">
        <f ca="1">IF(CO35="","",IFERROR(VLOOKUP($A36,INDIRECT(#REF!&amp;"!$A$6:$C$200"),3,0),0))</f>
        <v/>
      </c>
      <c r="CP36" s="7" t="str">
        <f ca="1">IF(CP35="","",IFERROR(VLOOKUP($A36,INDIRECT(#REF!&amp;"!$A$6:$C$200"),3,0),0))</f>
        <v/>
      </c>
      <c r="CQ36" s="7" t="str">
        <f ca="1">IF(CQ35="","",IFERROR(VLOOKUP($A36,INDIRECT(#REF!&amp;"!$A$6:$C$200"),3,0),0))</f>
        <v/>
      </c>
      <c r="CR36" s="7" t="str">
        <f ca="1">IF(CR35="","",IFERROR(VLOOKUP($A36,INDIRECT(#REF!&amp;"!$A$6:$C$200"),3,0),0))</f>
        <v/>
      </c>
      <c r="CS36" s="7" t="str">
        <f ca="1">IF(CS35="","",IFERROR(VLOOKUP($A36,INDIRECT(#REF!&amp;"!$A$6:$C$200"),3,0),0))</f>
        <v/>
      </c>
      <c r="CT36" s="7" t="str">
        <f ca="1">IF(CT35="","",IFERROR(VLOOKUP($A36,INDIRECT(#REF!&amp;"!$A$6:$C$200"),3,0),0))</f>
        <v/>
      </c>
      <c r="CU36" s="7" t="str">
        <f ca="1">IF(CU35="","",IFERROR(VLOOKUP($A36,INDIRECT(#REF!&amp;"!$A$6:$C$200"),3,0),0))</f>
        <v/>
      </c>
      <c r="CV36" s="7" t="str">
        <f ca="1">IF(CV35="","",IFERROR(VLOOKUP($A36,INDIRECT(#REF!&amp;"!$A$6:$C$200"),3,0),0))</f>
        <v/>
      </c>
      <c r="CW36" s="7" t="str">
        <f ca="1">IF(CW35="","",IFERROR(VLOOKUP($A36,INDIRECT(#REF!&amp;"!$A$6:$C$200"),3,0),0))</f>
        <v/>
      </c>
      <c r="CX36" s="7" t="str">
        <f ca="1">IF(CX35="","",IFERROR(VLOOKUP($A36,INDIRECT(#REF!&amp;"!$A$6:$C$200"),3,0),0))</f>
        <v/>
      </c>
      <c r="CY36" s="7" t="str">
        <f ca="1">IF(CY35="","",IFERROR(VLOOKUP($A36,INDIRECT(#REF!&amp;"!$A$6:$C$200"),3,0),0))</f>
        <v/>
      </c>
      <c r="CZ36" s="7" t="str">
        <f ca="1">IF(CZ35="","",IFERROR(VLOOKUP($A36,INDIRECT(#REF!&amp;"!$A$6:$C$200"),3,0),0))</f>
        <v/>
      </c>
      <c r="DA36" s="7" t="str">
        <f ca="1">IF(DA35="","",IFERROR(VLOOKUP($A36,INDIRECT(#REF!&amp;"!$A$6:$C$200"),3,0),0))</f>
        <v/>
      </c>
      <c r="DB36" s="7" t="str">
        <f ca="1">IF(DB35="","",IFERROR(VLOOKUP($A36,INDIRECT(#REF!&amp;"!$A$6:$C$200"),3,0),0))</f>
        <v/>
      </c>
      <c r="DC36" s="7" t="str">
        <f ca="1">IF(DC35="","",IFERROR(VLOOKUP($A36,INDIRECT(#REF!&amp;"!$A$6:$C$200"),3,0),0))</f>
        <v/>
      </c>
      <c r="DD36" s="7" t="str">
        <f ca="1">IF(DD35="","",IFERROR(VLOOKUP($A36,INDIRECT(#REF!&amp;"!$A$6:$C$200"),3,0),0))</f>
        <v/>
      </c>
      <c r="DE36" s="7" t="str">
        <f ca="1">IF(DE35="","",IFERROR(VLOOKUP($A36,INDIRECT(#REF!&amp;"!$A$6:$C$200"),3,0),0))</f>
        <v/>
      </c>
      <c r="DF36" s="7" t="str">
        <f ca="1">IF(DF35="","",IFERROR(VLOOKUP($A36,INDIRECT(#REF!&amp;"!$A$6:$C$200"),3,0),0))</f>
        <v/>
      </c>
      <c r="DG36" s="7" t="str">
        <f ca="1">IF(DG35="","",IFERROR(VLOOKUP($A36,INDIRECT(#REF!&amp;"!$A$6:$C$200"),3,0),0))</f>
        <v/>
      </c>
      <c r="DH36" s="7" t="str">
        <f ca="1">IF(DH35="","",IFERROR(VLOOKUP($A36,INDIRECT(#REF!&amp;"!$A$6:$C$200"),3,0),0))</f>
        <v/>
      </c>
      <c r="DI36" s="7" t="str">
        <f ca="1">IF(DI35="","",IFERROR(VLOOKUP($A36,INDIRECT(#REF!&amp;"!$A$6:$C$200"),3,0),0))</f>
        <v/>
      </c>
      <c r="DJ36" s="7" t="str">
        <f ca="1">IF(DJ35="","",IFERROR(VLOOKUP($A36,INDIRECT(#REF!&amp;"!$A$6:$C$200"),3,0),0))</f>
        <v/>
      </c>
      <c r="DK36" s="7" t="str">
        <f ca="1">IF(DK35="","",IFERROR(VLOOKUP($A36,INDIRECT(#REF!&amp;"!$A$6:$C$200"),3,0),0))</f>
        <v/>
      </c>
    </row>
    <row r="37" spans="1:115">
      <c r="A37" s="6" t="s">
        <v>39</v>
      </c>
      <c r="B37" s="7">
        <v>6.666666666666667E-5</v>
      </c>
      <c r="C37" s="7">
        <v>1.4285714285714287E-5</v>
      </c>
      <c r="D37" s="7">
        <v>1.4285714285714287E-5</v>
      </c>
      <c r="E37" s="7">
        <v>1.4285714285714287E-5</v>
      </c>
      <c r="F37" s="7">
        <v>7.1428571428571434E-5</v>
      </c>
      <c r="G37" s="7">
        <v>2.8571428571428574E-5</v>
      </c>
      <c r="H37" s="7">
        <f t="shared" ca="1" si="5"/>
        <v>0</v>
      </c>
      <c r="I37" s="7">
        <f t="shared" ca="1" si="3"/>
        <v>0</v>
      </c>
      <c r="J37" s="7">
        <f t="shared" ca="1" si="4"/>
        <v>0</v>
      </c>
      <c r="K37" s="7">
        <f t="shared" ca="1" si="6"/>
        <v>0</v>
      </c>
      <c r="L37" s="7">
        <f t="shared" ca="1" si="7"/>
        <v>0</v>
      </c>
      <c r="M37" s="8">
        <v>0</v>
      </c>
      <c r="N37" s="8">
        <v>0</v>
      </c>
      <c r="O37" s="8">
        <v>1E-4</v>
      </c>
      <c r="P37" s="8">
        <v>1E-4</v>
      </c>
      <c r="Q37" s="8">
        <v>2.0000000000000001E-4</v>
      </c>
      <c r="R37" s="8">
        <v>0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1E-4</v>
      </c>
      <c r="Z37" s="8">
        <v>0</v>
      </c>
      <c r="AA37" s="8">
        <v>1E-4</v>
      </c>
      <c r="AB37" s="8">
        <v>0</v>
      </c>
      <c r="AC37" s="8">
        <v>0</v>
      </c>
      <c r="AD37" s="8">
        <v>0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1E-4</v>
      </c>
      <c r="AM37" s="7">
        <v>0</v>
      </c>
      <c r="AN37" s="7">
        <v>1E-4</v>
      </c>
      <c r="AO37" s="7">
        <v>1E-4</v>
      </c>
      <c r="AP37" s="7">
        <v>0</v>
      </c>
      <c r="AQ37" s="7">
        <v>0</v>
      </c>
      <c r="AR37" s="7">
        <v>1E-4</v>
      </c>
      <c r="AS37" s="7">
        <v>1E-4</v>
      </c>
      <c r="AT37" s="7">
        <v>1E-4</v>
      </c>
      <c r="AU37" s="7">
        <v>1E-4</v>
      </c>
      <c r="AV37" s="7">
        <v>0</v>
      </c>
      <c r="AW37" s="7">
        <v>0</v>
      </c>
      <c r="AX37" s="7">
        <v>0</v>
      </c>
      <c r="AY37" s="7">
        <v>0</v>
      </c>
      <c r="AZ37" s="7">
        <v>1E-4</v>
      </c>
      <c r="BA37" s="7">
        <v>0</v>
      </c>
      <c r="BB37" s="7">
        <v>0</v>
      </c>
      <c r="BC37" s="7">
        <v>0</v>
      </c>
      <c r="BD37" s="7">
        <v>0</v>
      </c>
      <c r="BE37" s="7">
        <f ca="1">IFERROR(VLOOKUP($A37,INDIRECT(#REF!&amp;"!$A$6:$C$200"),3,0),0)</f>
        <v>0</v>
      </c>
      <c r="BF37" s="7">
        <f ca="1">IFERROR(VLOOKUP($A37,INDIRECT(#REF!&amp;"!$A$6:$C$200"),3,0),0)</f>
        <v>0</v>
      </c>
      <c r="BG37" s="7">
        <f ca="1">IFERROR(VLOOKUP($A37,INDIRECT(#REF!&amp;"!$A$6:$C$200"),3,0),0)</f>
        <v>0</v>
      </c>
      <c r="BH37" s="8">
        <f ca="1">IFERROR(VLOOKUP($A37,INDIRECT(#REF!&amp;"!$A$6:$C$200"),3,0),0)</f>
        <v>0</v>
      </c>
      <c r="BI37" s="8">
        <f ca="1">IFERROR(VLOOKUP($A37,INDIRECT(#REF!&amp;"!$A$6:$C$200"),3,0),0)</f>
        <v>0</v>
      </c>
      <c r="BJ37" s="8">
        <f ca="1">IFERROR(VLOOKUP($A37,INDIRECT(#REF!&amp;"!$A$6:$C$200"),3,0),0)</f>
        <v>0</v>
      </c>
      <c r="BK37" s="8">
        <f ca="1">IFERROR(VLOOKUP($A37,INDIRECT(#REF!&amp;"!$A$6:$C$200"),3,0),0)</f>
        <v>0</v>
      </c>
      <c r="BL37" s="8">
        <f ca="1">IFERROR(VLOOKUP($A37,INDIRECT(#REF!&amp;"!$A$6:$C$200"),3,0),0)</f>
        <v>0</v>
      </c>
      <c r="BM37" s="8">
        <f ca="1">IFERROR(VLOOKUP($A37,INDIRECT(#REF!&amp;"!$A$6:$C$200"),3,0),0)</f>
        <v>0</v>
      </c>
      <c r="BN37" s="8">
        <f ca="1">IFERROR(VLOOKUP($A37,INDIRECT(#REF!&amp;"!$A$6:$C$200"),3,0),0)</f>
        <v>0</v>
      </c>
      <c r="BO37" s="8">
        <f ca="1">IFERROR(VLOOKUP($A37,INDIRECT(#REF!&amp;"!$A$6:$C$200"),3,0),0)</f>
        <v>0</v>
      </c>
      <c r="BP37" s="7">
        <f ca="1">IFERROR(VLOOKUP($A37,INDIRECT(#REF!&amp;"!$A$6:$C$200"),3,0),0)</f>
        <v>0</v>
      </c>
      <c r="BQ37" s="7">
        <f ca="1">IFERROR(VLOOKUP($A37,INDIRECT(#REF!&amp;"!$A$6:$C$200"),3,0),0)</f>
        <v>0</v>
      </c>
      <c r="BR37" s="7">
        <f ca="1">IFERROR(VLOOKUP($A37,INDIRECT(#REF!&amp;"!$A$6:$C$200"),3,0),0)</f>
        <v>0</v>
      </c>
      <c r="BS37" s="7">
        <f ca="1">IFERROR(VLOOKUP($A37,INDIRECT(#REF!&amp;"!$A$6:$C$200"),3,0),0)</f>
        <v>0</v>
      </c>
      <c r="BT37" s="7">
        <f ca="1">IFERROR(VLOOKUP($A37,INDIRECT(#REF!&amp;"!$A$6:$C$200"),3,0),0)</f>
        <v>0</v>
      </c>
      <c r="BU37" s="7">
        <f ca="1">IFERROR(VLOOKUP($A37,INDIRECT(#REF!&amp;"!$A$6:$C$200"),3,0),0)</f>
        <v>0</v>
      </c>
      <c r="BV37" s="7">
        <f ca="1">IFERROR(VLOOKUP($A37,INDIRECT(#REF!&amp;"!$A$6:$C$200"),3,0),0)</f>
        <v>0</v>
      </c>
      <c r="BW37" s="7">
        <f ca="1">IFERROR(VLOOKUP($A37,INDIRECT(#REF!&amp;"!$A$6:$C$200"),3,0),0)</f>
        <v>0</v>
      </c>
      <c r="BX37" s="7">
        <f ca="1">IFERROR(VLOOKUP($A37,INDIRECT(#REF!&amp;"!$A$6:$C$200"),3,0),0)</f>
        <v>0</v>
      </c>
      <c r="BY37" s="7">
        <f ca="1">IFERROR(VLOOKUP($A37,INDIRECT(#REF!&amp;"!$A$6:$C$200"),3,0),0)</f>
        <v>0</v>
      </c>
      <c r="BZ37" s="7">
        <f ca="1">IFERROR(VLOOKUP($A37,INDIRECT(#REF!&amp;"!$A$6:$C$200"),3,0),0)</f>
        <v>0</v>
      </c>
      <c r="CA37" s="7">
        <f ca="1">IFERROR(VLOOKUP($A37,INDIRECT(#REF!&amp;"!$A$6:$C$200"),3,0),0)</f>
        <v>0</v>
      </c>
      <c r="CB37" s="7">
        <f ca="1">IFERROR(VLOOKUP($A37,INDIRECT(#REF!&amp;"!$A$6:$C$200"),3,0),0)</f>
        <v>0</v>
      </c>
      <c r="CC37" s="7">
        <f ca="1">IFERROR(VLOOKUP($A37,INDIRECT(#REF!&amp;"!$A$6:$C$200"),3,0),0)</f>
        <v>0</v>
      </c>
      <c r="CD37" s="7" t="str">
        <f ca="1">IF(CD36="","",IFERROR(VLOOKUP($A37,INDIRECT(#REF!&amp;"!$A$6:$C$200"),3,0),0))</f>
        <v/>
      </c>
      <c r="CE37" s="7" t="str">
        <f ca="1">IF(CE36="","",IFERROR(VLOOKUP($A37,INDIRECT(#REF!&amp;"!$A$6:$C$200"),3,0),0))</f>
        <v/>
      </c>
      <c r="CF37" s="7" t="str">
        <f ca="1">IF(CF36="","",IFERROR(VLOOKUP($A37,INDIRECT(#REF!&amp;"!$A$6:$C$200"),3,0),0))</f>
        <v/>
      </c>
      <c r="CG37" s="7" t="str">
        <f ca="1">IF(CG36="","",IFERROR(VLOOKUP($A37,INDIRECT(#REF!&amp;"!$A$6:$C$200"),3,0),0))</f>
        <v/>
      </c>
      <c r="CH37" s="7" t="str">
        <f ca="1">IF(CH36="","",IFERROR(VLOOKUP($A37,INDIRECT(#REF!&amp;"!$A$6:$C$200"),3,0),0))</f>
        <v/>
      </c>
      <c r="CI37" s="7" t="str">
        <f ca="1">IF(CI36="","",IFERROR(VLOOKUP($A37,INDIRECT(#REF!&amp;"!$A$6:$C$200"),3,0),0))</f>
        <v/>
      </c>
      <c r="CJ37" s="7" t="str">
        <f ca="1">IF(CJ36="","",IFERROR(VLOOKUP($A37,INDIRECT(#REF!&amp;"!$A$6:$C$200"),3,0),0))</f>
        <v/>
      </c>
      <c r="CK37" s="7" t="str">
        <f ca="1">IF(CK36="","",IFERROR(VLOOKUP($A37,INDIRECT(#REF!&amp;"!$A$6:$C$200"),3,0),0))</f>
        <v/>
      </c>
      <c r="CL37" s="7" t="str">
        <f ca="1">IF(CL36="","",IFERROR(VLOOKUP($A37,INDIRECT(#REF!&amp;"!$A$6:$C$200"),3,0),0))</f>
        <v/>
      </c>
      <c r="CM37" s="7" t="str">
        <f ca="1">IF(CM36="","",IFERROR(VLOOKUP($A37,INDIRECT(#REF!&amp;"!$A$6:$C$200"),3,0),0))</f>
        <v/>
      </c>
      <c r="CN37" s="7" t="str">
        <f ca="1">IF(CN36="","",IFERROR(VLOOKUP($A37,INDIRECT(#REF!&amp;"!$A$6:$C$200"),3,0),0))</f>
        <v/>
      </c>
      <c r="CO37" s="7" t="str">
        <f ca="1">IF(CO36="","",IFERROR(VLOOKUP($A37,INDIRECT(#REF!&amp;"!$A$6:$C$200"),3,0),0))</f>
        <v/>
      </c>
      <c r="CP37" s="7" t="str">
        <f ca="1">IF(CP36="","",IFERROR(VLOOKUP($A37,INDIRECT(#REF!&amp;"!$A$6:$C$200"),3,0),0))</f>
        <v/>
      </c>
      <c r="CQ37" s="7" t="str">
        <f ca="1">IF(CQ36="","",IFERROR(VLOOKUP($A37,INDIRECT(#REF!&amp;"!$A$6:$C$200"),3,0),0))</f>
        <v/>
      </c>
      <c r="CR37" s="7" t="str">
        <f ca="1">IF(CR36="","",IFERROR(VLOOKUP($A37,INDIRECT(#REF!&amp;"!$A$6:$C$200"),3,0),0))</f>
        <v/>
      </c>
      <c r="CS37" s="7" t="str">
        <f ca="1">IF(CS36="","",IFERROR(VLOOKUP($A37,INDIRECT(#REF!&amp;"!$A$6:$C$200"),3,0),0))</f>
        <v/>
      </c>
      <c r="CT37" s="7" t="str">
        <f ca="1">IF(CT36="","",IFERROR(VLOOKUP($A37,INDIRECT(#REF!&amp;"!$A$6:$C$200"),3,0),0))</f>
        <v/>
      </c>
      <c r="CU37" s="7" t="str">
        <f ca="1">IF(CU36="","",IFERROR(VLOOKUP($A37,INDIRECT(#REF!&amp;"!$A$6:$C$200"),3,0),0))</f>
        <v/>
      </c>
      <c r="CV37" s="7" t="str">
        <f ca="1">IF(CV36="","",IFERROR(VLOOKUP($A37,INDIRECT(#REF!&amp;"!$A$6:$C$200"),3,0),0))</f>
        <v/>
      </c>
      <c r="CW37" s="7" t="str">
        <f ca="1">IF(CW36="","",IFERROR(VLOOKUP($A37,INDIRECT(#REF!&amp;"!$A$6:$C$200"),3,0),0))</f>
        <v/>
      </c>
      <c r="CX37" s="7" t="str">
        <f ca="1">IF(CX36="","",IFERROR(VLOOKUP($A37,INDIRECT(#REF!&amp;"!$A$6:$C$200"),3,0),0))</f>
        <v/>
      </c>
      <c r="CY37" s="7" t="str">
        <f ca="1">IF(CY36="","",IFERROR(VLOOKUP($A37,INDIRECT(#REF!&amp;"!$A$6:$C$200"),3,0),0))</f>
        <v/>
      </c>
      <c r="CZ37" s="7" t="str">
        <f ca="1">IF(CZ36="","",IFERROR(VLOOKUP($A37,INDIRECT(#REF!&amp;"!$A$6:$C$200"),3,0),0))</f>
        <v/>
      </c>
      <c r="DA37" s="7" t="str">
        <f ca="1">IF(DA36="","",IFERROR(VLOOKUP($A37,INDIRECT(#REF!&amp;"!$A$6:$C$200"),3,0),0))</f>
        <v/>
      </c>
      <c r="DB37" s="7" t="str">
        <f ca="1">IF(DB36="","",IFERROR(VLOOKUP($A37,INDIRECT(#REF!&amp;"!$A$6:$C$200"),3,0),0))</f>
        <v/>
      </c>
      <c r="DC37" s="7" t="str">
        <f ca="1">IF(DC36="","",IFERROR(VLOOKUP($A37,INDIRECT(#REF!&amp;"!$A$6:$C$200"),3,0),0))</f>
        <v/>
      </c>
      <c r="DD37" s="7" t="str">
        <f ca="1">IF(DD36="","",IFERROR(VLOOKUP($A37,INDIRECT(#REF!&amp;"!$A$6:$C$200"),3,0),0))</f>
        <v/>
      </c>
      <c r="DE37" s="7" t="str">
        <f ca="1">IF(DE36="","",IFERROR(VLOOKUP($A37,INDIRECT(#REF!&amp;"!$A$6:$C$200"),3,0),0))</f>
        <v/>
      </c>
      <c r="DF37" s="7" t="str">
        <f ca="1">IF(DF36="","",IFERROR(VLOOKUP($A37,INDIRECT(#REF!&amp;"!$A$6:$C$200"),3,0),0))</f>
        <v/>
      </c>
      <c r="DG37" s="7" t="str">
        <f ca="1">IF(DG36="","",IFERROR(VLOOKUP($A37,INDIRECT(#REF!&amp;"!$A$6:$C$200"),3,0),0))</f>
        <v/>
      </c>
      <c r="DH37" s="7" t="str">
        <f ca="1">IF(DH36="","",IFERROR(VLOOKUP($A37,INDIRECT(#REF!&amp;"!$A$6:$C$200"),3,0),0))</f>
        <v/>
      </c>
      <c r="DI37" s="7" t="str">
        <f ca="1">IF(DI36="","",IFERROR(VLOOKUP($A37,INDIRECT(#REF!&amp;"!$A$6:$C$200"),3,0),0))</f>
        <v/>
      </c>
      <c r="DJ37" s="7" t="str">
        <f ca="1">IF(DJ36="","",IFERROR(VLOOKUP($A37,INDIRECT(#REF!&amp;"!$A$6:$C$200"),3,0),0))</f>
        <v/>
      </c>
      <c r="DK37" s="7" t="str">
        <f ca="1">IF(DK36="","",IFERROR(VLOOKUP($A37,INDIRECT(#REF!&amp;"!$A$6:$C$200"),3,0),0))</f>
        <v/>
      </c>
    </row>
    <row r="38" spans="1:115">
      <c r="A38" s="6" t="s">
        <v>40</v>
      </c>
      <c r="B38" s="7">
        <v>3.3333333333333335E-5</v>
      </c>
      <c r="C38" s="7">
        <v>2.8571428571428574E-5</v>
      </c>
      <c r="D38" s="7">
        <v>7.1428571428571434E-5</v>
      </c>
      <c r="E38" s="7">
        <v>7.1428571428571434E-5</v>
      </c>
      <c r="F38" s="7">
        <v>1.0000000000000002E-4</v>
      </c>
      <c r="G38" s="7">
        <v>1.4285714285714287E-4</v>
      </c>
      <c r="H38" s="7">
        <f t="shared" ca="1" si="5"/>
        <v>1.4285714285714287E-5</v>
      </c>
      <c r="I38" s="7">
        <f t="shared" ca="1" si="3"/>
        <v>0</v>
      </c>
      <c r="J38" s="7">
        <f t="shared" ca="1" si="4"/>
        <v>0</v>
      </c>
      <c r="K38" s="7">
        <f t="shared" ca="1" si="6"/>
        <v>0</v>
      </c>
      <c r="L38" s="7">
        <f t="shared" ca="1" si="7"/>
        <v>0</v>
      </c>
      <c r="M38" s="8">
        <v>1E-4</v>
      </c>
      <c r="N38" s="8">
        <v>0</v>
      </c>
      <c r="O38" s="8">
        <v>0</v>
      </c>
      <c r="P38" s="8">
        <v>0</v>
      </c>
      <c r="Q38" s="8">
        <v>0</v>
      </c>
      <c r="R38" s="8">
        <v>1E-4</v>
      </c>
      <c r="S38" s="8">
        <v>0</v>
      </c>
      <c r="T38" s="8">
        <v>0</v>
      </c>
      <c r="U38" s="8">
        <v>1E-4</v>
      </c>
      <c r="V38" s="8">
        <v>0</v>
      </c>
      <c r="W38" s="8">
        <v>0</v>
      </c>
      <c r="X38" s="8">
        <v>0</v>
      </c>
      <c r="Y38" s="8">
        <v>1E-4</v>
      </c>
      <c r="Z38" s="8">
        <v>0</v>
      </c>
      <c r="AA38" s="8">
        <v>1E-4</v>
      </c>
      <c r="AB38" s="8">
        <v>1E-4</v>
      </c>
      <c r="AC38" s="8">
        <v>1E-4</v>
      </c>
      <c r="AD38" s="8">
        <v>1E-4</v>
      </c>
      <c r="AE38" s="8">
        <v>1E-4</v>
      </c>
      <c r="AF38" s="8">
        <v>0</v>
      </c>
      <c r="AG38" s="8">
        <v>0</v>
      </c>
      <c r="AH38" s="8">
        <v>0</v>
      </c>
      <c r="AI38" s="8">
        <v>1E-4</v>
      </c>
      <c r="AJ38" s="8">
        <v>1E-4</v>
      </c>
      <c r="AK38" s="8">
        <v>1E-4</v>
      </c>
      <c r="AL38" s="8">
        <v>1E-4</v>
      </c>
      <c r="AM38" s="7">
        <v>1E-4</v>
      </c>
      <c r="AN38" s="8">
        <v>0</v>
      </c>
      <c r="AO38" s="7">
        <v>2.0000000000000001E-4</v>
      </c>
      <c r="AP38" s="7">
        <v>1E-4</v>
      </c>
      <c r="AQ38" s="7">
        <v>1E-4</v>
      </c>
      <c r="AR38" s="7">
        <v>1E-4</v>
      </c>
      <c r="AS38" s="7">
        <v>1E-4</v>
      </c>
      <c r="AT38" s="7">
        <v>1E-4</v>
      </c>
      <c r="AU38" s="7">
        <v>2.0000000000000001E-4</v>
      </c>
      <c r="AV38" s="7">
        <v>2.0000000000000001E-4</v>
      </c>
      <c r="AW38" s="7">
        <v>1E-4</v>
      </c>
      <c r="AX38" s="7">
        <v>1E-4</v>
      </c>
      <c r="AY38" s="7">
        <v>1E-4</v>
      </c>
      <c r="AZ38" s="7">
        <v>2.0000000000000001E-4</v>
      </c>
      <c r="BA38" s="7">
        <v>1E-4</v>
      </c>
      <c r="BB38" s="7">
        <v>1E-4</v>
      </c>
      <c r="BC38" s="7">
        <v>0</v>
      </c>
      <c r="BD38" s="7">
        <v>0</v>
      </c>
      <c r="BE38" s="7">
        <f ca="1">IFERROR(VLOOKUP($A38,INDIRECT(#REF!&amp;"!$A$6:$C$200"),3,0),0)</f>
        <v>0</v>
      </c>
      <c r="BF38" s="7">
        <f ca="1">IFERROR(VLOOKUP($A38,INDIRECT(#REF!&amp;"!$A$6:$C$200"),3,0),0)</f>
        <v>0</v>
      </c>
      <c r="BG38" s="7">
        <f ca="1">IFERROR(VLOOKUP($A38,INDIRECT(#REF!&amp;"!$A$6:$C$200"),3,0),0)</f>
        <v>0</v>
      </c>
      <c r="BH38" s="8">
        <f ca="1">IFERROR(VLOOKUP($A38,INDIRECT(#REF!&amp;"!$A$6:$C$200"),3,0),0)</f>
        <v>0</v>
      </c>
      <c r="BI38" s="8">
        <f ca="1">IFERROR(VLOOKUP($A38,INDIRECT(#REF!&amp;"!$A$6:$C$200"),3,0),0)</f>
        <v>0</v>
      </c>
      <c r="BJ38" s="8">
        <f ca="1">IFERROR(VLOOKUP($A38,INDIRECT(#REF!&amp;"!$A$6:$C$200"),3,0),0)</f>
        <v>0</v>
      </c>
      <c r="BK38" s="8">
        <f ca="1">IFERROR(VLOOKUP($A38,INDIRECT(#REF!&amp;"!$A$6:$C$200"),3,0),0)</f>
        <v>0</v>
      </c>
      <c r="BL38" s="8">
        <f ca="1">IFERROR(VLOOKUP($A38,INDIRECT(#REF!&amp;"!$A$6:$C$200"),3,0),0)</f>
        <v>0</v>
      </c>
      <c r="BM38" s="8">
        <f ca="1">IFERROR(VLOOKUP($A38,INDIRECT(#REF!&amp;"!$A$6:$C$200"),3,0),0)</f>
        <v>0</v>
      </c>
      <c r="BN38" s="8">
        <f ca="1">IFERROR(VLOOKUP($A38,INDIRECT(#REF!&amp;"!$A$6:$C$200"),3,0),0)</f>
        <v>0</v>
      </c>
      <c r="BO38" s="8">
        <f ca="1">IFERROR(VLOOKUP($A38,INDIRECT(#REF!&amp;"!$A$6:$C$200"),3,0),0)</f>
        <v>0</v>
      </c>
      <c r="BP38" s="7">
        <f ca="1">IFERROR(VLOOKUP($A38,INDIRECT(#REF!&amp;"!$A$6:$C$200"),3,0),0)</f>
        <v>0</v>
      </c>
      <c r="BQ38" s="7">
        <f ca="1">IFERROR(VLOOKUP($A38,INDIRECT(#REF!&amp;"!$A$6:$C$200"),3,0),0)</f>
        <v>0</v>
      </c>
      <c r="BR38" s="7">
        <f ca="1">IFERROR(VLOOKUP($A38,INDIRECT(#REF!&amp;"!$A$6:$C$200"),3,0),0)</f>
        <v>0</v>
      </c>
      <c r="BS38" s="7">
        <f ca="1">IFERROR(VLOOKUP($A38,INDIRECT(#REF!&amp;"!$A$6:$C$200"),3,0),0)</f>
        <v>0</v>
      </c>
      <c r="BT38" s="7">
        <f ca="1">IFERROR(VLOOKUP($A38,INDIRECT(#REF!&amp;"!$A$6:$C$200"),3,0),0)</f>
        <v>0</v>
      </c>
      <c r="BU38" s="7">
        <f ca="1">IFERROR(VLOOKUP($A38,INDIRECT(#REF!&amp;"!$A$6:$C$200"),3,0),0)</f>
        <v>0</v>
      </c>
      <c r="BV38" s="7">
        <f ca="1">IFERROR(VLOOKUP($A38,INDIRECT(#REF!&amp;"!$A$6:$C$200"),3,0),0)</f>
        <v>0</v>
      </c>
      <c r="BW38" s="7">
        <f ca="1">IFERROR(VLOOKUP($A38,INDIRECT(#REF!&amp;"!$A$6:$C$200"),3,0),0)</f>
        <v>0</v>
      </c>
      <c r="BX38" s="7">
        <f ca="1">IFERROR(VLOOKUP($A38,INDIRECT(#REF!&amp;"!$A$6:$C$200"),3,0),0)</f>
        <v>0</v>
      </c>
      <c r="BY38" s="7">
        <f ca="1">IFERROR(VLOOKUP($A38,INDIRECT(#REF!&amp;"!$A$6:$C$200"),3,0),0)</f>
        <v>0</v>
      </c>
      <c r="BZ38" s="7">
        <f ca="1">IFERROR(VLOOKUP($A38,INDIRECT(#REF!&amp;"!$A$6:$C$200"),3,0),0)</f>
        <v>0</v>
      </c>
      <c r="CA38" s="7">
        <f ca="1">IFERROR(VLOOKUP($A38,INDIRECT(#REF!&amp;"!$A$6:$C$200"),3,0),0)</f>
        <v>0</v>
      </c>
      <c r="CB38" s="7">
        <f ca="1">IFERROR(VLOOKUP($A38,INDIRECT(#REF!&amp;"!$A$6:$C$200"),3,0),0)</f>
        <v>0</v>
      </c>
      <c r="CC38" s="7">
        <f ca="1">IFERROR(VLOOKUP($A38,INDIRECT(#REF!&amp;"!$A$6:$C$200"),3,0),0)</f>
        <v>0</v>
      </c>
      <c r="CD38" s="7" t="str">
        <f ca="1">IF(CD37="","",IFERROR(VLOOKUP($A38,INDIRECT(#REF!&amp;"!$A$6:$C$200"),3,0),0))</f>
        <v/>
      </c>
      <c r="CE38" s="7" t="str">
        <f ca="1">IF(CE37="","",IFERROR(VLOOKUP($A38,INDIRECT(#REF!&amp;"!$A$6:$C$200"),3,0),0))</f>
        <v/>
      </c>
      <c r="CF38" s="7" t="str">
        <f ca="1">IF(CF37="","",IFERROR(VLOOKUP($A38,INDIRECT(#REF!&amp;"!$A$6:$C$200"),3,0),0))</f>
        <v/>
      </c>
      <c r="CG38" s="7" t="str">
        <f ca="1">IF(CG37="","",IFERROR(VLOOKUP($A38,INDIRECT(#REF!&amp;"!$A$6:$C$200"),3,0),0))</f>
        <v/>
      </c>
      <c r="CH38" s="7" t="str">
        <f ca="1">IF(CH37="","",IFERROR(VLOOKUP($A38,INDIRECT(#REF!&amp;"!$A$6:$C$200"),3,0),0))</f>
        <v/>
      </c>
      <c r="CI38" s="7" t="str">
        <f ca="1">IF(CI37="","",IFERROR(VLOOKUP($A38,INDIRECT(#REF!&amp;"!$A$6:$C$200"),3,0),0))</f>
        <v/>
      </c>
      <c r="CJ38" s="7" t="str">
        <f ca="1">IF(CJ37="","",IFERROR(VLOOKUP($A38,INDIRECT(#REF!&amp;"!$A$6:$C$200"),3,0),0))</f>
        <v/>
      </c>
      <c r="CK38" s="7" t="str">
        <f ca="1">IF(CK37="","",IFERROR(VLOOKUP($A38,INDIRECT(#REF!&amp;"!$A$6:$C$200"),3,0),0))</f>
        <v/>
      </c>
      <c r="CL38" s="7" t="str">
        <f ca="1">IF(CL37="","",IFERROR(VLOOKUP($A38,INDIRECT(#REF!&amp;"!$A$6:$C$200"),3,0),0))</f>
        <v/>
      </c>
      <c r="CM38" s="7" t="str">
        <f ca="1">IF(CM37="","",IFERROR(VLOOKUP($A38,INDIRECT(#REF!&amp;"!$A$6:$C$200"),3,0),0))</f>
        <v/>
      </c>
      <c r="CN38" s="7" t="str">
        <f ca="1">IF(CN37="","",IFERROR(VLOOKUP($A38,INDIRECT(#REF!&amp;"!$A$6:$C$200"),3,0),0))</f>
        <v/>
      </c>
      <c r="CO38" s="7" t="str">
        <f ca="1">IF(CO37="","",IFERROR(VLOOKUP($A38,INDIRECT(#REF!&amp;"!$A$6:$C$200"),3,0),0))</f>
        <v/>
      </c>
      <c r="CP38" s="7" t="str">
        <f ca="1">IF(CP37="","",IFERROR(VLOOKUP($A38,INDIRECT(#REF!&amp;"!$A$6:$C$200"),3,0),0))</f>
        <v/>
      </c>
      <c r="CQ38" s="7" t="str">
        <f ca="1">IF(CQ37="","",IFERROR(VLOOKUP($A38,INDIRECT(#REF!&amp;"!$A$6:$C$200"),3,0),0))</f>
        <v/>
      </c>
      <c r="CR38" s="7" t="str">
        <f ca="1">IF(CR37="","",IFERROR(VLOOKUP($A38,INDIRECT(#REF!&amp;"!$A$6:$C$200"),3,0),0))</f>
        <v/>
      </c>
      <c r="CS38" s="7" t="str">
        <f ca="1">IF(CS37="","",IFERROR(VLOOKUP($A38,INDIRECT(#REF!&amp;"!$A$6:$C$200"),3,0),0))</f>
        <v/>
      </c>
      <c r="CT38" s="7" t="str">
        <f ca="1">IF(CT37="","",IFERROR(VLOOKUP($A38,INDIRECT(#REF!&amp;"!$A$6:$C$200"),3,0),0))</f>
        <v/>
      </c>
      <c r="CU38" s="7" t="str">
        <f ca="1">IF(CU37="","",IFERROR(VLOOKUP($A38,INDIRECT(#REF!&amp;"!$A$6:$C$200"),3,0),0))</f>
        <v/>
      </c>
      <c r="CV38" s="7" t="str">
        <f ca="1">IF(CV37="","",IFERROR(VLOOKUP($A38,INDIRECT(#REF!&amp;"!$A$6:$C$200"),3,0),0))</f>
        <v/>
      </c>
      <c r="CW38" s="7" t="str">
        <f ca="1">IF(CW37="","",IFERROR(VLOOKUP($A38,INDIRECT(#REF!&amp;"!$A$6:$C$200"),3,0),0))</f>
        <v/>
      </c>
      <c r="CX38" s="7" t="str">
        <f ca="1">IF(CX37="","",IFERROR(VLOOKUP($A38,INDIRECT(#REF!&amp;"!$A$6:$C$200"),3,0),0))</f>
        <v/>
      </c>
      <c r="CY38" s="7" t="str">
        <f ca="1">IF(CY37="","",IFERROR(VLOOKUP($A38,INDIRECT(#REF!&amp;"!$A$6:$C$200"),3,0),0))</f>
        <v/>
      </c>
      <c r="CZ38" s="7" t="str">
        <f ca="1">IF(CZ37="","",IFERROR(VLOOKUP($A38,INDIRECT(#REF!&amp;"!$A$6:$C$200"),3,0),0))</f>
        <v/>
      </c>
      <c r="DA38" s="7" t="str">
        <f ca="1">IF(DA37="","",IFERROR(VLOOKUP($A38,INDIRECT(#REF!&amp;"!$A$6:$C$200"),3,0),0))</f>
        <v/>
      </c>
      <c r="DB38" s="7" t="str">
        <f ca="1">IF(DB37="","",IFERROR(VLOOKUP($A38,INDIRECT(#REF!&amp;"!$A$6:$C$200"),3,0),0))</f>
        <v/>
      </c>
      <c r="DC38" s="7" t="str">
        <f ca="1">IF(DC37="","",IFERROR(VLOOKUP($A38,INDIRECT(#REF!&amp;"!$A$6:$C$200"),3,0),0))</f>
        <v/>
      </c>
      <c r="DD38" s="7" t="str">
        <f ca="1">IF(DD37="","",IFERROR(VLOOKUP($A38,INDIRECT(#REF!&amp;"!$A$6:$C$200"),3,0),0))</f>
        <v/>
      </c>
      <c r="DE38" s="7" t="str">
        <f ca="1">IF(DE37="","",IFERROR(VLOOKUP($A38,INDIRECT(#REF!&amp;"!$A$6:$C$200"),3,0),0))</f>
        <v/>
      </c>
      <c r="DF38" s="7" t="str">
        <f ca="1">IF(DF37="","",IFERROR(VLOOKUP($A38,INDIRECT(#REF!&amp;"!$A$6:$C$200"),3,0),0))</f>
        <v/>
      </c>
      <c r="DG38" s="7" t="str">
        <f ca="1">IF(DG37="","",IFERROR(VLOOKUP($A38,INDIRECT(#REF!&amp;"!$A$6:$C$200"),3,0),0))</f>
        <v/>
      </c>
      <c r="DH38" s="7" t="str">
        <f ca="1">IF(DH37="","",IFERROR(VLOOKUP($A38,INDIRECT(#REF!&amp;"!$A$6:$C$200"),3,0),0))</f>
        <v/>
      </c>
      <c r="DI38" s="7" t="str">
        <f ca="1">IF(DI37="","",IFERROR(VLOOKUP($A38,INDIRECT(#REF!&amp;"!$A$6:$C$200"),3,0),0))</f>
        <v/>
      </c>
      <c r="DJ38" s="7" t="str">
        <f ca="1">IF(DJ37="","",IFERROR(VLOOKUP($A38,INDIRECT(#REF!&amp;"!$A$6:$C$200"),3,0),0))</f>
        <v/>
      </c>
      <c r="DK38" s="7" t="str">
        <f ca="1">IF(DK37="","",IFERROR(VLOOKUP($A38,INDIRECT(#REF!&amp;"!$A$6:$C$200"),3,0),0))</f>
        <v/>
      </c>
    </row>
    <row r="39" spans="1:115">
      <c r="A39" s="6" t="s">
        <v>41</v>
      </c>
      <c r="B39" s="7">
        <v>2.1666666666666668E-4</v>
      </c>
      <c r="C39" s="7">
        <v>2.5714285714285715E-4</v>
      </c>
      <c r="D39" s="7">
        <v>3.428571428571429E-4</v>
      </c>
      <c r="E39" s="7">
        <v>5.2857142857142849E-4</v>
      </c>
      <c r="F39" s="7">
        <v>5.0000000000000012E-4</v>
      </c>
      <c r="G39" s="7">
        <v>4.0000000000000007E-4</v>
      </c>
      <c r="H39" s="7">
        <f t="shared" ca="1" si="5"/>
        <v>1.8571428571428572E-4</v>
      </c>
      <c r="I39" s="7">
        <f t="shared" ca="1" si="3"/>
        <v>0</v>
      </c>
      <c r="J39" s="7">
        <f t="shared" ca="1" si="4"/>
        <v>0</v>
      </c>
      <c r="K39" s="7">
        <f t="shared" ca="1" si="6"/>
        <v>0</v>
      </c>
      <c r="L39" s="7">
        <f t="shared" ca="1" si="7"/>
        <v>0</v>
      </c>
      <c r="M39" s="8">
        <v>4.0000000000000002E-4</v>
      </c>
      <c r="N39" s="8">
        <v>1E-4</v>
      </c>
      <c r="O39" s="8">
        <v>1E-4</v>
      </c>
      <c r="P39" s="8">
        <v>4.0000000000000002E-4</v>
      </c>
      <c r="Q39" s="8">
        <v>2.0000000000000001E-4</v>
      </c>
      <c r="R39" s="8">
        <v>1E-4</v>
      </c>
      <c r="S39" s="8">
        <v>2.9999999999999997E-4</v>
      </c>
      <c r="T39" s="8">
        <v>0</v>
      </c>
      <c r="U39" s="8">
        <v>5.0000000000000001E-4</v>
      </c>
      <c r="V39" s="8">
        <v>2.0000000000000001E-4</v>
      </c>
      <c r="W39" s="8">
        <v>2.0000000000000001E-4</v>
      </c>
      <c r="X39" s="8">
        <v>2.0000000000000001E-4</v>
      </c>
      <c r="Y39" s="8">
        <v>4.0000000000000002E-4</v>
      </c>
      <c r="Z39" s="8">
        <v>2.0000000000000001E-4</v>
      </c>
      <c r="AA39" s="8">
        <v>2.9999999999999997E-4</v>
      </c>
      <c r="AB39" s="8">
        <v>2.0000000000000001E-4</v>
      </c>
      <c r="AC39" s="8">
        <v>4.0000000000000002E-4</v>
      </c>
      <c r="AD39" s="8">
        <v>4.0000000000000002E-4</v>
      </c>
      <c r="AE39" s="8">
        <v>5.0000000000000001E-4</v>
      </c>
      <c r="AF39" s="8">
        <v>4.0000000000000002E-4</v>
      </c>
      <c r="AG39" s="8">
        <v>4.0000000000000002E-4</v>
      </c>
      <c r="AH39" s="8">
        <v>5.0000000000000001E-4</v>
      </c>
      <c r="AI39" s="8">
        <v>6.9999999999999999E-4</v>
      </c>
      <c r="AJ39" s="8">
        <v>5.0000000000000001E-4</v>
      </c>
      <c r="AK39" s="8">
        <v>5.0000000000000001E-4</v>
      </c>
      <c r="AL39" s="8">
        <v>5.0000000000000001E-4</v>
      </c>
      <c r="AM39" s="7">
        <v>5.9999999999999995E-4</v>
      </c>
      <c r="AN39" s="7">
        <v>5.0000000000000001E-4</v>
      </c>
      <c r="AO39" s="7">
        <v>6.9999999999999999E-4</v>
      </c>
      <c r="AP39" s="7">
        <v>5.9999999999999995E-4</v>
      </c>
      <c r="AQ39" s="7">
        <v>5.0000000000000001E-4</v>
      </c>
      <c r="AR39" s="7">
        <v>4.0000000000000002E-4</v>
      </c>
      <c r="AS39" s="7">
        <v>4.0000000000000002E-4</v>
      </c>
      <c r="AT39" s="7">
        <v>4.0000000000000002E-4</v>
      </c>
      <c r="AU39" s="7">
        <v>4.0000000000000002E-4</v>
      </c>
      <c r="AV39" s="7">
        <v>4.0000000000000002E-4</v>
      </c>
      <c r="AW39" s="7">
        <v>2.9999999999999997E-4</v>
      </c>
      <c r="AX39" s="7">
        <v>4.0000000000000002E-4</v>
      </c>
      <c r="AY39" s="7">
        <v>5.0000000000000001E-4</v>
      </c>
      <c r="AZ39" s="7">
        <v>4.0000000000000002E-4</v>
      </c>
      <c r="BA39" s="7">
        <v>4.0000000000000002E-4</v>
      </c>
      <c r="BB39" s="7">
        <v>4.0000000000000002E-4</v>
      </c>
      <c r="BC39" s="7">
        <v>4.0000000000000002E-4</v>
      </c>
      <c r="BD39" s="7">
        <v>5.0000000000000001E-4</v>
      </c>
      <c r="BE39" s="7">
        <f ca="1">IFERROR(VLOOKUP($A39,INDIRECT(#REF!&amp;"!$A$6:$C$200"),3,0),0)</f>
        <v>0</v>
      </c>
      <c r="BF39" s="7">
        <f ca="1">IFERROR(VLOOKUP($A39,INDIRECT(#REF!&amp;"!$A$6:$C$200"),3,0),0)</f>
        <v>0</v>
      </c>
      <c r="BG39" s="7">
        <f ca="1">IFERROR(VLOOKUP($A39,INDIRECT(#REF!&amp;"!$A$6:$C$200"),3,0),0)</f>
        <v>0</v>
      </c>
      <c r="BH39" s="8">
        <f ca="1">IFERROR(VLOOKUP($A39,INDIRECT(#REF!&amp;"!$A$6:$C$200"),3,0),0)</f>
        <v>0</v>
      </c>
      <c r="BI39" s="8">
        <f ca="1">IFERROR(VLOOKUP($A39,INDIRECT(#REF!&amp;"!$A$6:$C$200"),3,0),0)</f>
        <v>0</v>
      </c>
      <c r="BJ39" s="8">
        <f ca="1">IFERROR(VLOOKUP($A39,INDIRECT(#REF!&amp;"!$A$6:$C$200"),3,0),0)</f>
        <v>0</v>
      </c>
      <c r="BK39" s="8">
        <f ca="1">IFERROR(VLOOKUP($A39,INDIRECT(#REF!&amp;"!$A$6:$C$200"),3,0),0)</f>
        <v>0</v>
      </c>
      <c r="BL39" s="8">
        <f ca="1">IFERROR(VLOOKUP($A39,INDIRECT(#REF!&amp;"!$A$6:$C$200"),3,0),0)</f>
        <v>0</v>
      </c>
      <c r="BM39" s="8">
        <f ca="1">IFERROR(VLOOKUP($A39,INDIRECT(#REF!&amp;"!$A$6:$C$200"),3,0),0)</f>
        <v>0</v>
      </c>
      <c r="BN39" s="8">
        <f ca="1">IFERROR(VLOOKUP($A39,INDIRECT(#REF!&amp;"!$A$6:$C$200"),3,0),0)</f>
        <v>0</v>
      </c>
      <c r="BO39" s="8">
        <f ca="1">IFERROR(VLOOKUP($A39,INDIRECT(#REF!&amp;"!$A$6:$C$200"),3,0),0)</f>
        <v>0</v>
      </c>
      <c r="BP39" s="7">
        <f ca="1">IFERROR(VLOOKUP($A39,INDIRECT(#REF!&amp;"!$A$6:$C$200"),3,0),0)</f>
        <v>0</v>
      </c>
      <c r="BQ39" s="7">
        <f ca="1">IFERROR(VLOOKUP($A39,INDIRECT(#REF!&amp;"!$A$6:$C$200"),3,0),0)</f>
        <v>0</v>
      </c>
      <c r="BR39" s="7">
        <f ca="1">IFERROR(VLOOKUP($A39,INDIRECT(#REF!&amp;"!$A$6:$C$200"),3,0),0)</f>
        <v>0</v>
      </c>
      <c r="BS39" s="7">
        <f ca="1">IFERROR(VLOOKUP($A39,INDIRECT(#REF!&amp;"!$A$6:$C$200"),3,0),0)</f>
        <v>0</v>
      </c>
      <c r="BT39" s="7">
        <f ca="1">IFERROR(VLOOKUP($A39,INDIRECT(#REF!&amp;"!$A$6:$C$200"),3,0),0)</f>
        <v>0</v>
      </c>
      <c r="BU39" s="7">
        <f ca="1">IFERROR(VLOOKUP($A39,INDIRECT(#REF!&amp;"!$A$6:$C$200"),3,0),0)</f>
        <v>0</v>
      </c>
      <c r="BV39" s="7">
        <f ca="1">IFERROR(VLOOKUP($A39,INDIRECT(#REF!&amp;"!$A$6:$C$200"),3,0),0)</f>
        <v>0</v>
      </c>
      <c r="BW39" s="7">
        <f ca="1">IFERROR(VLOOKUP($A39,INDIRECT(#REF!&amp;"!$A$6:$C$200"),3,0),0)</f>
        <v>0</v>
      </c>
      <c r="BX39" s="7">
        <f ca="1">IFERROR(VLOOKUP($A39,INDIRECT(#REF!&amp;"!$A$6:$C$200"),3,0),0)</f>
        <v>0</v>
      </c>
      <c r="BY39" s="7">
        <f ca="1">IFERROR(VLOOKUP($A39,INDIRECT(#REF!&amp;"!$A$6:$C$200"),3,0),0)</f>
        <v>0</v>
      </c>
      <c r="BZ39" s="7">
        <f ca="1">IFERROR(VLOOKUP($A39,INDIRECT(#REF!&amp;"!$A$6:$C$200"),3,0),0)</f>
        <v>0</v>
      </c>
      <c r="CA39" s="7">
        <f ca="1">IFERROR(VLOOKUP($A39,INDIRECT(#REF!&amp;"!$A$6:$C$200"),3,0),0)</f>
        <v>0</v>
      </c>
      <c r="CB39" s="7">
        <f ca="1">IFERROR(VLOOKUP($A39,INDIRECT(#REF!&amp;"!$A$6:$C$200"),3,0),0)</f>
        <v>0</v>
      </c>
      <c r="CC39" s="7">
        <f ca="1">IFERROR(VLOOKUP($A39,INDIRECT(#REF!&amp;"!$A$6:$C$200"),3,0),0)</f>
        <v>0</v>
      </c>
      <c r="CD39" s="7" t="str">
        <f ca="1">IF(CD38="","",IFERROR(VLOOKUP($A39,INDIRECT(#REF!&amp;"!$A$6:$C$200"),3,0),0))</f>
        <v/>
      </c>
      <c r="CE39" s="7" t="str">
        <f ca="1">IF(CE38="","",IFERROR(VLOOKUP($A39,INDIRECT(#REF!&amp;"!$A$6:$C$200"),3,0),0))</f>
        <v/>
      </c>
      <c r="CF39" s="7" t="str">
        <f ca="1">IF(CF38="","",IFERROR(VLOOKUP($A39,INDIRECT(#REF!&amp;"!$A$6:$C$200"),3,0),0))</f>
        <v/>
      </c>
      <c r="CG39" s="7" t="str">
        <f ca="1">IF(CG38="","",IFERROR(VLOOKUP($A39,INDIRECT(#REF!&amp;"!$A$6:$C$200"),3,0),0))</f>
        <v/>
      </c>
      <c r="CH39" s="7" t="str">
        <f ca="1">IF(CH38="","",IFERROR(VLOOKUP($A39,INDIRECT(#REF!&amp;"!$A$6:$C$200"),3,0),0))</f>
        <v/>
      </c>
      <c r="CI39" s="7" t="str">
        <f ca="1">IF(CI38="","",IFERROR(VLOOKUP($A39,INDIRECT(#REF!&amp;"!$A$6:$C$200"),3,0),0))</f>
        <v/>
      </c>
      <c r="CJ39" s="7" t="str">
        <f ca="1">IF(CJ38="","",IFERROR(VLOOKUP($A39,INDIRECT(#REF!&amp;"!$A$6:$C$200"),3,0),0))</f>
        <v/>
      </c>
      <c r="CK39" s="7" t="str">
        <f ca="1">IF(CK38="","",IFERROR(VLOOKUP($A39,INDIRECT(#REF!&amp;"!$A$6:$C$200"),3,0),0))</f>
        <v/>
      </c>
      <c r="CL39" s="7" t="str">
        <f ca="1">IF(CL38="","",IFERROR(VLOOKUP($A39,INDIRECT(#REF!&amp;"!$A$6:$C$200"),3,0),0))</f>
        <v/>
      </c>
      <c r="CM39" s="7" t="str">
        <f ca="1">IF(CM38="","",IFERROR(VLOOKUP($A39,INDIRECT(#REF!&amp;"!$A$6:$C$200"),3,0),0))</f>
        <v/>
      </c>
      <c r="CN39" s="7" t="str">
        <f ca="1">IF(CN38="","",IFERROR(VLOOKUP($A39,INDIRECT(#REF!&amp;"!$A$6:$C$200"),3,0),0))</f>
        <v/>
      </c>
      <c r="CO39" s="7" t="str">
        <f ca="1">IF(CO38="","",IFERROR(VLOOKUP($A39,INDIRECT(#REF!&amp;"!$A$6:$C$200"),3,0),0))</f>
        <v/>
      </c>
      <c r="CP39" s="7" t="str">
        <f ca="1">IF(CP38="","",IFERROR(VLOOKUP($A39,INDIRECT(#REF!&amp;"!$A$6:$C$200"),3,0),0))</f>
        <v/>
      </c>
      <c r="CQ39" s="7" t="str">
        <f ca="1">IF(CQ38="","",IFERROR(VLOOKUP($A39,INDIRECT(#REF!&amp;"!$A$6:$C$200"),3,0),0))</f>
        <v/>
      </c>
      <c r="CR39" s="7" t="str">
        <f ca="1">IF(CR38="","",IFERROR(VLOOKUP($A39,INDIRECT(#REF!&amp;"!$A$6:$C$200"),3,0),0))</f>
        <v/>
      </c>
      <c r="CS39" s="7" t="str">
        <f ca="1">IF(CS38="","",IFERROR(VLOOKUP($A39,INDIRECT(#REF!&amp;"!$A$6:$C$200"),3,0),0))</f>
        <v/>
      </c>
      <c r="CT39" s="7" t="str">
        <f ca="1">IF(CT38="","",IFERROR(VLOOKUP($A39,INDIRECT(#REF!&amp;"!$A$6:$C$200"),3,0),0))</f>
        <v/>
      </c>
      <c r="CU39" s="7" t="str">
        <f ca="1">IF(CU38="","",IFERROR(VLOOKUP($A39,INDIRECT(#REF!&amp;"!$A$6:$C$200"),3,0),0))</f>
        <v/>
      </c>
      <c r="CV39" s="7" t="str">
        <f ca="1">IF(CV38="","",IFERROR(VLOOKUP($A39,INDIRECT(#REF!&amp;"!$A$6:$C$200"),3,0),0))</f>
        <v/>
      </c>
      <c r="CW39" s="7" t="str">
        <f ca="1">IF(CW38="","",IFERROR(VLOOKUP($A39,INDIRECT(#REF!&amp;"!$A$6:$C$200"),3,0),0))</f>
        <v/>
      </c>
      <c r="CX39" s="7" t="str">
        <f ca="1">IF(CX38="","",IFERROR(VLOOKUP($A39,INDIRECT(#REF!&amp;"!$A$6:$C$200"),3,0),0))</f>
        <v/>
      </c>
      <c r="CY39" s="7" t="str">
        <f ca="1">IF(CY38="","",IFERROR(VLOOKUP($A39,INDIRECT(#REF!&amp;"!$A$6:$C$200"),3,0),0))</f>
        <v/>
      </c>
      <c r="CZ39" s="7" t="str">
        <f ca="1">IF(CZ38="","",IFERROR(VLOOKUP($A39,INDIRECT(#REF!&amp;"!$A$6:$C$200"),3,0),0))</f>
        <v/>
      </c>
      <c r="DA39" s="7" t="str">
        <f ca="1">IF(DA38="","",IFERROR(VLOOKUP($A39,INDIRECT(#REF!&amp;"!$A$6:$C$200"),3,0),0))</f>
        <v/>
      </c>
      <c r="DB39" s="7" t="str">
        <f ca="1">IF(DB38="","",IFERROR(VLOOKUP($A39,INDIRECT(#REF!&amp;"!$A$6:$C$200"),3,0),0))</f>
        <v/>
      </c>
      <c r="DC39" s="7" t="str">
        <f ca="1">IF(DC38="","",IFERROR(VLOOKUP($A39,INDIRECT(#REF!&amp;"!$A$6:$C$200"),3,0),0))</f>
        <v/>
      </c>
      <c r="DD39" s="7" t="str">
        <f ca="1">IF(DD38="","",IFERROR(VLOOKUP($A39,INDIRECT(#REF!&amp;"!$A$6:$C$200"),3,0),0))</f>
        <v/>
      </c>
      <c r="DE39" s="7" t="str">
        <f ca="1">IF(DE38="","",IFERROR(VLOOKUP($A39,INDIRECT(#REF!&amp;"!$A$6:$C$200"),3,0),0))</f>
        <v/>
      </c>
      <c r="DF39" s="7" t="str">
        <f ca="1">IF(DF38="","",IFERROR(VLOOKUP($A39,INDIRECT(#REF!&amp;"!$A$6:$C$200"),3,0),0))</f>
        <v/>
      </c>
      <c r="DG39" s="7" t="str">
        <f ca="1">IF(DG38="","",IFERROR(VLOOKUP($A39,INDIRECT(#REF!&amp;"!$A$6:$C$200"),3,0),0))</f>
        <v/>
      </c>
      <c r="DH39" s="7" t="str">
        <f ca="1">IF(DH38="","",IFERROR(VLOOKUP($A39,INDIRECT(#REF!&amp;"!$A$6:$C$200"),3,0),0))</f>
        <v/>
      </c>
      <c r="DI39" s="7" t="str">
        <f ca="1">IF(DI38="","",IFERROR(VLOOKUP($A39,INDIRECT(#REF!&amp;"!$A$6:$C$200"),3,0),0))</f>
        <v/>
      </c>
      <c r="DJ39" s="7" t="str">
        <f ca="1">IF(DJ38="","",IFERROR(VLOOKUP($A39,INDIRECT(#REF!&amp;"!$A$6:$C$200"),3,0),0))</f>
        <v/>
      </c>
      <c r="DK39" s="7" t="str">
        <f ca="1">IF(DK38="","",IFERROR(VLOOKUP($A39,INDIRECT(#REF!&amp;"!$A$6:$C$200"),3,0),0))</f>
        <v/>
      </c>
    </row>
    <row r="40" spans="1:115">
      <c r="A40" s="6" t="s">
        <v>42</v>
      </c>
      <c r="B40" s="7">
        <v>0</v>
      </c>
      <c r="C40" s="7">
        <v>1.4285714285714287E-5</v>
      </c>
      <c r="D40" s="7">
        <v>0</v>
      </c>
      <c r="E40" s="7">
        <v>0</v>
      </c>
      <c r="F40" s="7">
        <v>0</v>
      </c>
      <c r="G40" s="7">
        <v>0</v>
      </c>
      <c r="H40" s="7">
        <f t="shared" ca="1" si="5"/>
        <v>0</v>
      </c>
      <c r="I40" s="7">
        <f t="shared" ca="1" si="3"/>
        <v>0</v>
      </c>
      <c r="J40" s="7">
        <f t="shared" ca="1" si="4"/>
        <v>0</v>
      </c>
      <c r="K40" s="7">
        <f t="shared" ca="1" si="6"/>
        <v>0</v>
      </c>
      <c r="L40" s="7">
        <f t="shared" ca="1" si="7"/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8">
        <v>1E-4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0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7">
        <v>0</v>
      </c>
      <c r="AN40" s="7">
        <v>0</v>
      </c>
      <c r="AO40" s="7">
        <v>0</v>
      </c>
      <c r="AP40" s="8">
        <v>0</v>
      </c>
      <c r="AQ40" s="7">
        <v>0</v>
      </c>
      <c r="AR40" s="8">
        <v>0</v>
      </c>
      <c r="AS40" s="7">
        <v>0</v>
      </c>
      <c r="AT40" s="8">
        <v>0</v>
      </c>
      <c r="AU40" s="7">
        <v>0</v>
      </c>
      <c r="AV40" s="8">
        <v>0</v>
      </c>
      <c r="AW40" s="8">
        <v>0</v>
      </c>
      <c r="AX40" s="7">
        <v>0</v>
      </c>
      <c r="AY40" s="7">
        <v>0</v>
      </c>
      <c r="AZ40" s="7">
        <v>0</v>
      </c>
      <c r="BA40" s="7">
        <v>0</v>
      </c>
      <c r="BB40" s="7">
        <v>0</v>
      </c>
      <c r="BC40" s="7">
        <v>0</v>
      </c>
      <c r="BD40" s="7">
        <v>0</v>
      </c>
      <c r="BE40" s="7">
        <f ca="1">IFERROR(VLOOKUP($A40,INDIRECT(#REF!&amp;"!$A$6:$C$200"),3,0),0)</f>
        <v>0</v>
      </c>
      <c r="BF40" s="7">
        <f ca="1">IFERROR(VLOOKUP($A40,INDIRECT(#REF!&amp;"!$A$6:$C$200"),3,0),0)</f>
        <v>0</v>
      </c>
      <c r="BG40" s="7">
        <f ca="1">IFERROR(VLOOKUP($A40,INDIRECT(#REF!&amp;"!$A$6:$C$200"),3,0),0)</f>
        <v>0</v>
      </c>
      <c r="BH40" s="8">
        <f ca="1">IFERROR(VLOOKUP($A40,INDIRECT(#REF!&amp;"!$A$6:$C$200"),3,0),0)</f>
        <v>0</v>
      </c>
      <c r="BI40" s="7">
        <f ca="1">IFERROR(VLOOKUP($A40,INDIRECT(#REF!&amp;"!$A$6:$C$200"),3,0),0)</f>
        <v>0</v>
      </c>
      <c r="BJ40" s="8">
        <f ca="1">IFERROR(VLOOKUP($A40,INDIRECT(#REF!&amp;"!$A$6:$C$200"),3,0),0)</f>
        <v>0</v>
      </c>
      <c r="BK40" s="8">
        <f ca="1">IFERROR(VLOOKUP($A40,INDIRECT(#REF!&amp;"!$A$6:$C$200"),3,0),0)</f>
        <v>0</v>
      </c>
      <c r="BL40" s="8">
        <f ca="1">IFERROR(VLOOKUP($A40,INDIRECT(#REF!&amp;"!$A$6:$C$200"),3,0),0)</f>
        <v>0</v>
      </c>
      <c r="BM40" s="8">
        <f ca="1">IFERROR(VLOOKUP($A40,INDIRECT(#REF!&amp;"!$A$6:$C$200"),3,0),0)</f>
        <v>0</v>
      </c>
      <c r="BN40" s="8">
        <f ca="1">IFERROR(VLOOKUP($A40,INDIRECT(#REF!&amp;"!$A$6:$C$200"),3,0),0)</f>
        <v>0</v>
      </c>
      <c r="BO40" s="8">
        <f ca="1">IFERROR(VLOOKUP($A40,INDIRECT(#REF!&amp;"!$A$6:$C$200"),3,0),0)</f>
        <v>0</v>
      </c>
      <c r="BP40" s="7">
        <f ca="1">IFERROR(VLOOKUP($A40,INDIRECT(#REF!&amp;"!$A$6:$C$200"),3,0),0)</f>
        <v>0</v>
      </c>
      <c r="BQ40" s="7">
        <f ca="1">IFERROR(VLOOKUP($A40,INDIRECT(#REF!&amp;"!$A$6:$C$200"),3,0),0)</f>
        <v>0</v>
      </c>
      <c r="BR40" s="7">
        <f ca="1">IFERROR(VLOOKUP($A40,INDIRECT(#REF!&amp;"!$A$6:$C$200"),3,0),0)</f>
        <v>0</v>
      </c>
      <c r="BS40" s="7">
        <f ca="1">IFERROR(VLOOKUP($A40,INDIRECT(#REF!&amp;"!$A$6:$C$200"),3,0),0)</f>
        <v>0</v>
      </c>
      <c r="BT40" s="7">
        <f ca="1">IFERROR(VLOOKUP($A40,INDIRECT(#REF!&amp;"!$A$6:$C$200"),3,0),0)</f>
        <v>0</v>
      </c>
      <c r="BU40" s="7">
        <f ca="1">IFERROR(VLOOKUP($A40,INDIRECT(#REF!&amp;"!$A$6:$C$200"),3,0),0)</f>
        <v>0</v>
      </c>
      <c r="BV40" s="7">
        <f ca="1">IFERROR(VLOOKUP($A40,INDIRECT(#REF!&amp;"!$A$6:$C$200"),3,0),0)</f>
        <v>0</v>
      </c>
      <c r="BW40" s="7">
        <f ca="1">IFERROR(VLOOKUP($A40,INDIRECT(#REF!&amp;"!$A$6:$C$200"),3,0),0)</f>
        <v>0</v>
      </c>
      <c r="BX40" s="7">
        <f ca="1">IFERROR(VLOOKUP($A40,INDIRECT(#REF!&amp;"!$A$6:$C$200"),3,0),0)</f>
        <v>0</v>
      </c>
      <c r="BY40" s="7">
        <f ca="1">IFERROR(VLOOKUP($A40,INDIRECT(#REF!&amp;"!$A$6:$C$200"),3,0),0)</f>
        <v>0</v>
      </c>
      <c r="BZ40" s="7">
        <f ca="1">IFERROR(VLOOKUP($A40,INDIRECT(#REF!&amp;"!$A$6:$C$200"),3,0),0)</f>
        <v>0</v>
      </c>
      <c r="CA40" s="7">
        <f ca="1">IFERROR(VLOOKUP($A40,INDIRECT(#REF!&amp;"!$A$6:$C$200"),3,0),0)</f>
        <v>0</v>
      </c>
      <c r="CB40" s="7">
        <f ca="1">IFERROR(VLOOKUP($A40,INDIRECT(#REF!&amp;"!$A$6:$C$200"),3,0),0)</f>
        <v>0</v>
      </c>
      <c r="CC40" s="7">
        <f ca="1">IFERROR(VLOOKUP($A40,INDIRECT(#REF!&amp;"!$A$6:$C$200"),3,0),0)</f>
        <v>0</v>
      </c>
      <c r="CD40" s="7" t="str">
        <f ca="1">IF(CD39="","",IFERROR(VLOOKUP($A40,INDIRECT(#REF!&amp;"!$A$6:$C$200"),3,0),0))</f>
        <v/>
      </c>
      <c r="CE40" s="7" t="str">
        <f ca="1">IF(CE39="","",IFERROR(VLOOKUP($A40,INDIRECT(#REF!&amp;"!$A$6:$C$200"),3,0),0))</f>
        <v/>
      </c>
      <c r="CF40" s="7" t="str">
        <f ca="1">IF(CF39="","",IFERROR(VLOOKUP($A40,INDIRECT(#REF!&amp;"!$A$6:$C$200"),3,0),0))</f>
        <v/>
      </c>
      <c r="CG40" s="7" t="str">
        <f ca="1">IF(CG39="","",IFERROR(VLOOKUP($A40,INDIRECT(#REF!&amp;"!$A$6:$C$200"),3,0),0))</f>
        <v/>
      </c>
      <c r="CH40" s="7" t="str">
        <f ca="1">IF(CH39="","",IFERROR(VLOOKUP($A40,INDIRECT(#REF!&amp;"!$A$6:$C$200"),3,0),0))</f>
        <v/>
      </c>
      <c r="CI40" s="7" t="str">
        <f ca="1">IF(CI39="","",IFERROR(VLOOKUP($A40,INDIRECT(#REF!&amp;"!$A$6:$C$200"),3,0),0))</f>
        <v/>
      </c>
      <c r="CJ40" s="7" t="str">
        <f ca="1">IF(CJ39="","",IFERROR(VLOOKUP($A40,INDIRECT(#REF!&amp;"!$A$6:$C$200"),3,0),0))</f>
        <v/>
      </c>
      <c r="CK40" s="7" t="str">
        <f ca="1">IF(CK39="","",IFERROR(VLOOKUP($A40,INDIRECT(#REF!&amp;"!$A$6:$C$200"),3,0),0))</f>
        <v/>
      </c>
      <c r="CL40" s="7" t="str">
        <f ca="1">IF(CL39="","",IFERROR(VLOOKUP($A40,INDIRECT(#REF!&amp;"!$A$6:$C$200"),3,0),0))</f>
        <v/>
      </c>
      <c r="CM40" s="7" t="str">
        <f ca="1">IF(CM39="","",IFERROR(VLOOKUP($A40,INDIRECT(#REF!&amp;"!$A$6:$C$200"),3,0),0))</f>
        <v/>
      </c>
      <c r="CN40" s="7" t="str">
        <f ca="1">IF(CN39="","",IFERROR(VLOOKUP($A40,INDIRECT(#REF!&amp;"!$A$6:$C$200"),3,0),0))</f>
        <v/>
      </c>
      <c r="CO40" s="7" t="str">
        <f ca="1">IF(CO39="","",IFERROR(VLOOKUP($A40,INDIRECT(#REF!&amp;"!$A$6:$C$200"),3,0),0))</f>
        <v/>
      </c>
      <c r="CP40" s="7" t="str">
        <f ca="1">IF(CP39="","",IFERROR(VLOOKUP($A40,INDIRECT(#REF!&amp;"!$A$6:$C$200"),3,0),0))</f>
        <v/>
      </c>
      <c r="CQ40" s="7" t="str">
        <f ca="1">IF(CQ39="","",IFERROR(VLOOKUP($A40,INDIRECT(#REF!&amp;"!$A$6:$C$200"),3,0),0))</f>
        <v/>
      </c>
      <c r="CR40" s="7" t="str">
        <f ca="1">IF(CR39="","",IFERROR(VLOOKUP($A40,INDIRECT(#REF!&amp;"!$A$6:$C$200"),3,0),0))</f>
        <v/>
      </c>
      <c r="CS40" s="7" t="str">
        <f ca="1">IF(CS39="","",IFERROR(VLOOKUP($A40,INDIRECT(#REF!&amp;"!$A$6:$C$200"),3,0),0))</f>
        <v/>
      </c>
      <c r="CT40" s="7" t="str">
        <f ca="1">IF(CT39="","",IFERROR(VLOOKUP($A40,INDIRECT(#REF!&amp;"!$A$6:$C$200"),3,0),0))</f>
        <v/>
      </c>
      <c r="CU40" s="7" t="str">
        <f ca="1">IF(CU39="","",IFERROR(VLOOKUP($A40,INDIRECT(#REF!&amp;"!$A$6:$C$200"),3,0),0))</f>
        <v/>
      </c>
      <c r="CV40" s="7" t="str">
        <f ca="1">IF(CV39="","",IFERROR(VLOOKUP($A40,INDIRECT(#REF!&amp;"!$A$6:$C$200"),3,0),0))</f>
        <v/>
      </c>
      <c r="CW40" s="7" t="str">
        <f ca="1">IF(CW39="","",IFERROR(VLOOKUP($A40,INDIRECT(#REF!&amp;"!$A$6:$C$200"),3,0),0))</f>
        <v/>
      </c>
      <c r="CX40" s="7" t="str">
        <f ca="1">IF(CX39="","",IFERROR(VLOOKUP($A40,INDIRECT(#REF!&amp;"!$A$6:$C$200"),3,0),0))</f>
        <v/>
      </c>
      <c r="CY40" s="7" t="str">
        <f ca="1">IF(CY39="","",IFERROR(VLOOKUP($A40,INDIRECT(#REF!&amp;"!$A$6:$C$200"),3,0),0))</f>
        <v/>
      </c>
      <c r="CZ40" s="7" t="str">
        <f ca="1">IF(CZ39="","",IFERROR(VLOOKUP($A40,INDIRECT(#REF!&amp;"!$A$6:$C$200"),3,0),0))</f>
        <v/>
      </c>
      <c r="DA40" s="7" t="str">
        <f ca="1">IF(DA39="","",IFERROR(VLOOKUP($A40,INDIRECT(#REF!&amp;"!$A$6:$C$200"),3,0),0))</f>
        <v/>
      </c>
      <c r="DB40" s="7" t="str">
        <f ca="1">IF(DB39="","",IFERROR(VLOOKUP($A40,INDIRECT(#REF!&amp;"!$A$6:$C$200"),3,0),0))</f>
        <v/>
      </c>
      <c r="DC40" s="7" t="str">
        <f ca="1">IF(DC39="","",IFERROR(VLOOKUP($A40,INDIRECT(#REF!&amp;"!$A$6:$C$200"),3,0),0))</f>
        <v/>
      </c>
      <c r="DD40" s="7" t="str">
        <f ca="1">IF(DD39="","",IFERROR(VLOOKUP($A40,INDIRECT(#REF!&amp;"!$A$6:$C$200"),3,0),0))</f>
        <v/>
      </c>
      <c r="DE40" s="7" t="str">
        <f ca="1">IF(DE39="","",IFERROR(VLOOKUP($A40,INDIRECT(#REF!&amp;"!$A$6:$C$200"),3,0),0))</f>
        <v/>
      </c>
      <c r="DF40" s="7" t="str">
        <f ca="1">IF(DF39="","",IFERROR(VLOOKUP($A40,INDIRECT(#REF!&amp;"!$A$6:$C$200"),3,0),0))</f>
        <v/>
      </c>
      <c r="DG40" s="7" t="str">
        <f ca="1">IF(DG39="","",IFERROR(VLOOKUP($A40,INDIRECT(#REF!&amp;"!$A$6:$C$200"),3,0),0))</f>
        <v/>
      </c>
      <c r="DH40" s="7" t="str">
        <f ca="1">IF(DH39="","",IFERROR(VLOOKUP($A40,INDIRECT(#REF!&amp;"!$A$6:$C$200"),3,0),0))</f>
        <v/>
      </c>
      <c r="DI40" s="7" t="str">
        <f ca="1">IF(DI39="","",IFERROR(VLOOKUP($A40,INDIRECT(#REF!&amp;"!$A$6:$C$200"),3,0),0))</f>
        <v/>
      </c>
      <c r="DJ40" s="7" t="str">
        <f ca="1">IF(DJ39="","",IFERROR(VLOOKUP($A40,INDIRECT(#REF!&amp;"!$A$6:$C$200"),3,0),0))</f>
        <v/>
      </c>
      <c r="DK40" s="7" t="str">
        <f ca="1">IF(DK39="","",IFERROR(VLOOKUP($A40,INDIRECT(#REF!&amp;"!$A$6:$C$200"),3,0),0))</f>
        <v/>
      </c>
    </row>
    <row r="41" spans="1:115">
      <c r="A41" s="6" t="s">
        <v>43</v>
      </c>
      <c r="B41" s="7">
        <v>0</v>
      </c>
      <c r="C41" s="7">
        <v>1.4285714285714287E-5</v>
      </c>
      <c r="D41" s="7">
        <v>0</v>
      </c>
      <c r="E41" s="7">
        <v>2.8571428571428574E-5</v>
      </c>
      <c r="F41" s="7">
        <v>5.7142857142857148E-5</v>
      </c>
      <c r="G41" s="7">
        <v>2.8571428571428574E-5</v>
      </c>
      <c r="H41" s="7">
        <f t="shared" ca="1" si="5"/>
        <v>0</v>
      </c>
      <c r="I41" s="7">
        <f t="shared" ca="1" si="3"/>
        <v>0</v>
      </c>
      <c r="J41" s="7">
        <f t="shared" ca="1" si="4"/>
        <v>0</v>
      </c>
      <c r="K41" s="7">
        <f t="shared" ca="1" si="6"/>
        <v>0</v>
      </c>
      <c r="L41" s="7">
        <f t="shared" ca="1" si="7"/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1E-4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2.0000000000000001E-4</v>
      </c>
      <c r="AJ41" s="8">
        <v>0</v>
      </c>
      <c r="AK41" s="8">
        <v>0</v>
      </c>
      <c r="AL41" s="8">
        <v>0</v>
      </c>
      <c r="AM41" s="7">
        <v>0</v>
      </c>
      <c r="AN41" s="7">
        <v>1E-4</v>
      </c>
      <c r="AO41" s="7">
        <v>0</v>
      </c>
      <c r="AP41" s="7">
        <v>1E-4</v>
      </c>
      <c r="AQ41" s="7">
        <v>0</v>
      </c>
      <c r="AR41" s="7">
        <v>1E-4</v>
      </c>
      <c r="AS41" s="7">
        <v>1E-4</v>
      </c>
      <c r="AT41" s="7">
        <v>0</v>
      </c>
      <c r="AU41" s="7">
        <v>0</v>
      </c>
      <c r="AV41" s="7">
        <v>0</v>
      </c>
      <c r="AW41" s="8">
        <v>0</v>
      </c>
      <c r="AX41" s="7">
        <v>0</v>
      </c>
      <c r="AY41" s="7">
        <v>1E-4</v>
      </c>
      <c r="AZ41" s="7">
        <v>1E-4</v>
      </c>
      <c r="BA41" s="7">
        <v>0</v>
      </c>
      <c r="BB41" s="8">
        <v>0</v>
      </c>
      <c r="BC41" s="7">
        <v>0</v>
      </c>
      <c r="BD41" s="7">
        <v>0</v>
      </c>
      <c r="BE41" s="7">
        <f ca="1">IFERROR(VLOOKUP($A41,INDIRECT(#REF!&amp;"!$A$6:$C$200"),3,0),0)</f>
        <v>0</v>
      </c>
      <c r="BF41" s="7">
        <f ca="1">IFERROR(VLOOKUP($A41,INDIRECT(#REF!&amp;"!$A$6:$C$200"),3,0),0)</f>
        <v>0</v>
      </c>
      <c r="BG41" s="7">
        <f ca="1">IFERROR(VLOOKUP($A41,INDIRECT(#REF!&amp;"!$A$6:$C$200"),3,0),0)</f>
        <v>0</v>
      </c>
      <c r="BH41" s="8">
        <f ca="1">IFERROR(VLOOKUP($A41,INDIRECT(#REF!&amp;"!$A$6:$C$200"),3,0),0)</f>
        <v>0</v>
      </c>
      <c r="BI41" s="7">
        <f ca="1">IFERROR(VLOOKUP($A41,INDIRECT(#REF!&amp;"!$A$6:$C$200"),3,0),0)</f>
        <v>0</v>
      </c>
      <c r="BJ41" s="8">
        <f ca="1">IFERROR(VLOOKUP($A41,INDIRECT(#REF!&amp;"!$A$6:$C$200"),3,0),0)</f>
        <v>0</v>
      </c>
      <c r="BK41" s="8">
        <f ca="1">IFERROR(VLOOKUP($A41,INDIRECT(#REF!&amp;"!$A$6:$C$200"),3,0),0)</f>
        <v>0</v>
      </c>
      <c r="BL41" s="7">
        <f ca="1">IFERROR(VLOOKUP($A41,INDIRECT(#REF!&amp;"!$A$6:$C$200"),3,0),0)</f>
        <v>0</v>
      </c>
      <c r="BM41" s="8">
        <f ca="1">IFERROR(VLOOKUP($A41,INDIRECT(#REF!&amp;"!$A$6:$C$200"),3,0),0)</f>
        <v>0</v>
      </c>
      <c r="BN41" s="8">
        <f ca="1">IFERROR(VLOOKUP($A41,INDIRECT(#REF!&amp;"!$A$6:$C$200"),3,0),0)</f>
        <v>0</v>
      </c>
      <c r="BO41" s="8">
        <f ca="1">IFERROR(VLOOKUP($A41,INDIRECT(#REF!&amp;"!$A$6:$C$200"),3,0),0)</f>
        <v>0</v>
      </c>
      <c r="BP41" s="7">
        <f ca="1">IFERROR(VLOOKUP($A41,INDIRECT(#REF!&amp;"!$A$6:$C$200"),3,0),0)</f>
        <v>0</v>
      </c>
      <c r="BQ41" s="7">
        <f ca="1">IFERROR(VLOOKUP($A41,INDIRECT(#REF!&amp;"!$A$6:$C$200"),3,0),0)</f>
        <v>0</v>
      </c>
      <c r="BR41" s="7">
        <f ca="1">IFERROR(VLOOKUP($A41,INDIRECT(#REF!&amp;"!$A$6:$C$200"),3,0),0)</f>
        <v>0</v>
      </c>
      <c r="BS41" s="7">
        <f ca="1">IFERROR(VLOOKUP($A41,INDIRECT(#REF!&amp;"!$A$6:$C$200"),3,0),0)</f>
        <v>0</v>
      </c>
      <c r="BT41" s="7">
        <f ca="1">IFERROR(VLOOKUP($A41,INDIRECT(#REF!&amp;"!$A$6:$C$200"),3,0),0)</f>
        <v>0</v>
      </c>
      <c r="BU41" s="7">
        <f ca="1">IFERROR(VLOOKUP($A41,INDIRECT(#REF!&amp;"!$A$6:$C$200"),3,0),0)</f>
        <v>0</v>
      </c>
      <c r="BV41" s="7">
        <f ca="1">IFERROR(VLOOKUP($A41,INDIRECT(#REF!&amp;"!$A$6:$C$200"),3,0),0)</f>
        <v>0</v>
      </c>
      <c r="BW41" s="7">
        <f ca="1">IFERROR(VLOOKUP($A41,INDIRECT(#REF!&amp;"!$A$6:$C$200"),3,0),0)</f>
        <v>0</v>
      </c>
      <c r="BX41" s="7">
        <f ca="1">IFERROR(VLOOKUP($A41,INDIRECT(#REF!&amp;"!$A$6:$C$200"),3,0),0)</f>
        <v>0</v>
      </c>
      <c r="BY41" s="7">
        <f ca="1">IFERROR(VLOOKUP($A41,INDIRECT(#REF!&amp;"!$A$6:$C$200"),3,0),0)</f>
        <v>0</v>
      </c>
      <c r="BZ41" s="7">
        <f ca="1">IFERROR(VLOOKUP($A41,INDIRECT(#REF!&amp;"!$A$6:$C$200"),3,0),0)</f>
        <v>0</v>
      </c>
      <c r="CA41" s="7">
        <f ca="1">IFERROR(VLOOKUP($A41,INDIRECT(#REF!&amp;"!$A$6:$C$200"),3,0),0)</f>
        <v>0</v>
      </c>
      <c r="CB41" s="7">
        <f ca="1">IFERROR(VLOOKUP($A41,INDIRECT(#REF!&amp;"!$A$6:$C$200"),3,0),0)</f>
        <v>0</v>
      </c>
      <c r="CC41" s="7">
        <f ca="1">IFERROR(VLOOKUP($A41,INDIRECT(#REF!&amp;"!$A$6:$C$200"),3,0),0)</f>
        <v>0</v>
      </c>
      <c r="CD41" s="7" t="str">
        <f ca="1">IF(CD40="","",IFERROR(VLOOKUP($A41,INDIRECT(#REF!&amp;"!$A$6:$C$200"),3,0),0))</f>
        <v/>
      </c>
      <c r="CE41" s="7" t="str">
        <f ca="1">IF(CE40="","",IFERROR(VLOOKUP($A41,INDIRECT(#REF!&amp;"!$A$6:$C$200"),3,0),0))</f>
        <v/>
      </c>
      <c r="CF41" s="7" t="str">
        <f ca="1">IF(CF40="","",IFERROR(VLOOKUP($A41,INDIRECT(#REF!&amp;"!$A$6:$C$200"),3,0),0))</f>
        <v/>
      </c>
      <c r="CG41" s="7" t="str">
        <f ca="1">IF(CG40="","",IFERROR(VLOOKUP($A41,INDIRECT(#REF!&amp;"!$A$6:$C$200"),3,0),0))</f>
        <v/>
      </c>
      <c r="CH41" s="7" t="str">
        <f ca="1">IF(CH40="","",IFERROR(VLOOKUP($A41,INDIRECT(#REF!&amp;"!$A$6:$C$200"),3,0),0))</f>
        <v/>
      </c>
      <c r="CI41" s="7" t="str">
        <f ca="1">IF(CI40="","",IFERROR(VLOOKUP($A41,INDIRECT(#REF!&amp;"!$A$6:$C$200"),3,0),0))</f>
        <v/>
      </c>
      <c r="CJ41" s="7" t="str">
        <f ca="1">IF(CJ40="","",IFERROR(VLOOKUP($A41,INDIRECT(#REF!&amp;"!$A$6:$C$200"),3,0),0))</f>
        <v/>
      </c>
      <c r="CK41" s="7" t="str">
        <f ca="1">IF(CK40="","",IFERROR(VLOOKUP($A41,INDIRECT(#REF!&amp;"!$A$6:$C$200"),3,0),0))</f>
        <v/>
      </c>
      <c r="CL41" s="7" t="str">
        <f ca="1">IF(CL40="","",IFERROR(VLOOKUP($A41,INDIRECT(#REF!&amp;"!$A$6:$C$200"),3,0),0))</f>
        <v/>
      </c>
      <c r="CM41" s="7" t="str">
        <f ca="1">IF(CM40="","",IFERROR(VLOOKUP($A41,INDIRECT(#REF!&amp;"!$A$6:$C$200"),3,0),0))</f>
        <v/>
      </c>
      <c r="CN41" s="7" t="str">
        <f ca="1">IF(CN40="","",IFERROR(VLOOKUP($A41,INDIRECT(#REF!&amp;"!$A$6:$C$200"),3,0),0))</f>
        <v/>
      </c>
      <c r="CO41" s="7" t="str">
        <f ca="1">IF(CO40="","",IFERROR(VLOOKUP($A41,INDIRECT(#REF!&amp;"!$A$6:$C$200"),3,0),0))</f>
        <v/>
      </c>
      <c r="CP41" s="7" t="str">
        <f ca="1">IF(CP40="","",IFERROR(VLOOKUP($A41,INDIRECT(#REF!&amp;"!$A$6:$C$200"),3,0),0))</f>
        <v/>
      </c>
      <c r="CQ41" s="7" t="str">
        <f ca="1">IF(CQ40="","",IFERROR(VLOOKUP($A41,INDIRECT(#REF!&amp;"!$A$6:$C$200"),3,0),0))</f>
        <v/>
      </c>
      <c r="CR41" s="7" t="str">
        <f ca="1">IF(CR40="","",IFERROR(VLOOKUP($A41,INDIRECT(#REF!&amp;"!$A$6:$C$200"),3,0),0))</f>
        <v/>
      </c>
      <c r="CS41" s="7" t="str">
        <f ca="1">IF(CS40="","",IFERROR(VLOOKUP($A41,INDIRECT(#REF!&amp;"!$A$6:$C$200"),3,0),0))</f>
        <v/>
      </c>
      <c r="CT41" s="7" t="str">
        <f ca="1">IF(CT40="","",IFERROR(VLOOKUP($A41,INDIRECT(#REF!&amp;"!$A$6:$C$200"),3,0),0))</f>
        <v/>
      </c>
      <c r="CU41" s="7" t="str">
        <f ca="1">IF(CU40="","",IFERROR(VLOOKUP($A41,INDIRECT(#REF!&amp;"!$A$6:$C$200"),3,0),0))</f>
        <v/>
      </c>
      <c r="CV41" s="7" t="str">
        <f ca="1">IF(CV40="","",IFERROR(VLOOKUP($A41,INDIRECT(#REF!&amp;"!$A$6:$C$200"),3,0),0))</f>
        <v/>
      </c>
      <c r="CW41" s="7" t="str">
        <f ca="1">IF(CW40="","",IFERROR(VLOOKUP($A41,INDIRECT(#REF!&amp;"!$A$6:$C$200"),3,0),0))</f>
        <v/>
      </c>
      <c r="CX41" s="7" t="str">
        <f ca="1">IF(CX40="","",IFERROR(VLOOKUP($A41,INDIRECT(#REF!&amp;"!$A$6:$C$200"),3,0),0))</f>
        <v/>
      </c>
      <c r="CY41" s="7" t="str">
        <f ca="1">IF(CY40="","",IFERROR(VLOOKUP($A41,INDIRECT(#REF!&amp;"!$A$6:$C$200"),3,0),0))</f>
        <v/>
      </c>
      <c r="CZ41" s="7" t="str">
        <f ca="1">IF(CZ40="","",IFERROR(VLOOKUP($A41,INDIRECT(#REF!&amp;"!$A$6:$C$200"),3,0),0))</f>
        <v/>
      </c>
      <c r="DA41" s="7" t="str">
        <f ca="1">IF(DA40="","",IFERROR(VLOOKUP($A41,INDIRECT(#REF!&amp;"!$A$6:$C$200"),3,0),0))</f>
        <v/>
      </c>
      <c r="DB41" s="7" t="str">
        <f ca="1">IF(DB40="","",IFERROR(VLOOKUP($A41,INDIRECT(#REF!&amp;"!$A$6:$C$200"),3,0),0))</f>
        <v/>
      </c>
      <c r="DC41" s="7" t="str">
        <f ca="1">IF(DC40="","",IFERROR(VLOOKUP($A41,INDIRECT(#REF!&amp;"!$A$6:$C$200"),3,0),0))</f>
        <v/>
      </c>
      <c r="DD41" s="7" t="str">
        <f ca="1">IF(DD40="","",IFERROR(VLOOKUP($A41,INDIRECT(#REF!&amp;"!$A$6:$C$200"),3,0),0))</f>
        <v/>
      </c>
      <c r="DE41" s="7" t="str">
        <f ca="1">IF(DE40="","",IFERROR(VLOOKUP($A41,INDIRECT(#REF!&amp;"!$A$6:$C$200"),3,0),0))</f>
        <v/>
      </c>
      <c r="DF41" s="7" t="str">
        <f ca="1">IF(DF40="","",IFERROR(VLOOKUP($A41,INDIRECT(#REF!&amp;"!$A$6:$C$200"),3,0),0))</f>
        <v/>
      </c>
      <c r="DG41" s="7" t="str">
        <f ca="1">IF(DG40="","",IFERROR(VLOOKUP($A41,INDIRECT(#REF!&amp;"!$A$6:$C$200"),3,0),0))</f>
        <v/>
      </c>
      <c r="DH41" s="7" t="str">
        <f ca="1">IF(DH40="","",IFERROR(VLOOKUP($A41,INDIRECT(#REF!&amp;"!$A$6:$C$200"),3,0),0))</f>
        <v/>
      </c>
      <c r="DI41" s="7" t="str">
        <f ca="1">IF(DI40="","",IFERROR(VLOOKUP($A41,INDIRECT(#REF!&amp;"!$A$6:$C$200"),3,0),0))</f>
        <v/>
      </c>
      <c r="DJ41" s="7" t="str">
        <f ca="1">IF(DJ40="","",IFERROR(VLOOKUP($A41,INDIRECT(#REF!&amp;"!$A$6:$C$200"),3,0),0))</f>
        <v/>
      </c>
      <c r="DK41" s="7" t="str">
        <f ca="1">IF(DK40="","",IFERROR(VLOOKUP($A41,INDIRECT(#REF!&amp;"!$A$6:$C$200"),3,0),0))</f>
        <v/>
      </c>
    </row>
    <row r="42" spans="1:115">
      <c r="A42" s="6" t="s">
        <v>44</v>
      </c>
      <c r="B42" s="7">
        <v>0</v>
      </c>
      <c r="C42" s="7">
        <v>0</v>
      </c>
      <c r="D42" s="7">
        <v>1.4285714285714287E-5</v>
      </c>
      <c r="E42" s="7">
        <v>0</v>
      </c>
      <c r="F42" s="7">
        <v>0</v>
      </c>
      <c r="G42" s="7">
        <v>0</v>
      </c>
      <c r="H42" s="7">
        <f t="shared" ca="1" si="5"/>
        <v>0</v>
      </c>
      <c r="I42" s="7">
        <f t="shared" ca="1" si="3"/>
        <v>0</v>
      </c>
      <c r="J42" s="7">
        <f t="shared" ca="1" si="4"/>
        <v>0</v>
      </c>
      <c r="K42" s="7">
        <f t="shared" ca="1" si="6"/>
        <v>0</v>
      </c>
      <c r="L42" s="7">
        <f t="shared" ca="1" si="7"/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1E-4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7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7">
        <v>0</v>
      </c>
      <c r="AV42" s="8">
        <v>0</v>
      </c>
      <c r="AW42" s="8">
        <v>0</v>
      </c>
      <c r="AX42" s="7">
        <v>0</v>
      </c>
      <c r="AY42" s="7">
        <v>0</v>
      </c>
      <c r="AZ42" s="7">
        <v>0</v>
      </c>
      <c r="BA42" s="8">
        <v>0</v>
      </c>
      <c r="BB42" s="8">
        <v>0</v>
      </c>
      <c r="BC42" s="7">
        <v>0</v>
      </c>
      <c r="BD42" s="7">
        <v>0</v>
      </c>
      <c r="BE42" s="8">
        <f ca="1">IFERROR(VLOOKUP($A42,INDIRECT(#REF!&amp;"!$A$6:$C$200"),3,0),0)</f>
        <v>0</v>
      </c>
      <c r="BF42" s="8">
        <f ca="1">IFERROR(VLOOKUP($A42,INDIRECT(#REF!&amp;"!$A$6:$C$200"),3,0),0)</f>
        <v>0</v>
      </c>
      <c r="BG42" s="7">
        <f ca="1">IFERROR(VLOOKUP($A42,INDIRECT(#REF!&amp;"!$A$6:$C$200"),3,0),0)</f>
        <v>0</v>
      </c>
      <c r="BH42" s="8">
        <f ca="1">IFERROR(VLOOKUP($A42,INDIRECT(#REF!&amp;"!$A$6:$C$200"),3,0),0)</f>
        <v>0</v>
      </c>
      <c r="BI42" s="8">
        <f ca="1">IFERROR(VLOOKUP($A42,INDIRECT(#REF!&amp;"!$A$6:$C$200"),3,0),0)</f>
        <v>0</v>
      </c>
      <c r="BJ42" s="8">
        <f ca="1">IFERROR(VLOOKUP($A42,INDIRECT(#REF!&amp;"!$A$6:$C$200"),3,0),0)</f>
        <v>0</v>
      </c>
      <c r="BK42" s="8">
        <f ca="1">IFERROR(VLOOKUP($A42,INDIRECT(#REF!&amp;"!$A$6:$C$200"),3,0),0)</f>
        <v>0</v>
      </c>
      <c r="BL42" s="7">
        <f ca="1">IFERROR(VLOOKUP($A42,INDIRECT(#REF!&amp;"!$A$6:$C$200"),3,0),0)</f>
        <v>0</v>
      </c>
      <c r="BM42" s="8">
        <f ca="1">IFERROR(VLOOKUP($A42,INDIRECT(#REF!&amp;"!$A$6:$C$200"),3,0),0)</f>
        <v>0</v>
      </c>
      <c r="BN42" s="8">
        <f ca="1">IFERROR(VLOOKUP($A42,INDIRECT(#REF!&amp;"!$A$6:$C$200"),3,0),0)</f>
        <v>0</v>
      </c>
      <c r="BO42" s="8">
        <f ca="1">IFERROR(VLOOKUP($A42,INDIRECT(#REF!&amp;"!$A$6:$C$200"),3,0),0)</f>
        <v>0</v>
      </c>
      <c r="BP42" s="7">
        <f ca="1">IFERROR(VLOOKUP($A42,INDIRECT(#REF!&amp;"!$A$6:$C$200"),3,0),0)</f>
        <v>0</v>
      </c>
      <c r="BQ42" s="7">
        <f ca="1">IFERROR(VLOOKUP($A42,INDIRECT(#REF!&amp;"!$A$6:$C$200"),3,0),0)</f>
        <v>0</v>
      </c>
      <c r="BR42" s="8">
        <f ca="1">IFERROR(VLOOKUP($A42,INDIRECT(#REF!&amp;"!$A$6:$C$200"),3,0),0)</f>
        <v>0</v>
      </c>
      <c r="BS42" s="8">
        <f ca="1">IFERROR(VLOOKUP($A42,INDIRECT(#REF!&amp;"!$A$6:$C$200"),3,0),0)</f>
        <v>0</v>
      </c>
      <c r="BT42" s="7">
        <f ca="1">IFERROR(VLOOKUP($A42,INDIRECT(#REF!&amp;"!$A$6:$C$200"),3,0),0)</f>
        <v>0</v>
      </c>
      <c r="BU42" s="7">
        <f ca="1">IFERROR(VLOOKUP($A42,INDIRECT(#REF!&amp;"!$A$6:$C$200"),3,0),0)</f>
        <v>0</v>
      </c>
      <c r="BV42" s="7">
        <f ca="1">IFERROR(VLOOKUP($A42,INDIRECT(#REF!&amp;"!$A$6:$C$200"),3,0),0)</f>
        <v>0</v>
      </c>
      <c r="BW42" s="7">
        <f ca="1">IFERROR(VLOOKUP($A42,INDIRECT(#REF!&amp;"!$A$6:$C$200"),3,0),0)</f>
        <v>0</v>
      </c>
      <c r="BX42" s="7">
        <f ca="1">IFERROR(VLOOKUP($A42,INDIRECT(#REF!&amp;"!$A$6:$C$200"),3,0),0)</f>
        <v>0</v>
      </c>
      <c r="BY42" s="7">
        <f ca="1">IFERROR(VLOOKUP($A42,INDIRECT(#REF!&amp;"!$A$6:$C$200"),3,0),0)</f>
        <v>0</v>
      </c>
      <c r="BZ42" s="7">
        <f ca="1">IFERROR(VLOOKUP($A42,INDIRECT(#REF!&amp;"!$A$6:$C$200"),3,0),0)</f>
        <v>0</v>
      </c>
      <c r="CA42" s="7">
        <f ca="1">IFERROR(VLOOKUP($A42,INDIRECT(#REF!&amp;"!$A$6:$C$200"),3,0),0)</f>
        <v>0</v>
      </c>
      <c r="CB42" s="7">
        <f ca="1">IFERROR(VLOOKUP($A42,INDIRECT(#REF!&amp;"!$A$6:$C$200"),3,0),0)</f>
        <v>0</v>
      </c>
      <c r="CC42" s="7">
        <f ca="1">IFERROR(VLOOKUP($A42,INDIRECT(#REF!&amp;"!$A$6:$C$200"),3,0),0)</f>
        <v>0</v>
      </c>
      <c r="CD42" s="7" t="str">
        <f ca="1">IF(CD41="","",IFERROR(VLOOKUP($A42,INDIRECT(#REF!&amp;"!$A$6:$C$200"),3,0),0))</f>
        <v/>
      </c>
      <c r="CE42" s="7" t="str">
        <f ca="1">IF(CE41="","",IFERROR(VLOOKUP($A42,INDIRECT(#REF!&amp;"!$A$6:$C$200"),3,0),0))</f>
        <v/>
      </c>
      <c r="CF42" s="7" t="str">
        <f ca="1">IF(CF41="","",IFERROR(VLOOKUP($A42,INDIRECT(#REF!&amp;"!$A$6:$C$200"),3,0),0))</f>
        <v/>
      </c>
      <c r="CG42" s="7" t="str">
        <f ca="1">IF(CG41="","",IFERROR(VLOOKUP($A42,INDIRECT(#REF!&amp;"!$A$6:$C$200"),3,0),0))</f>
        <v/>
      </c>
      <c r="CH42" s="7" t="str">
        <f ca="1">IF(CH41="","",IFERROR(VLOOKUP($A42,INDIRECT(#REF!&amp;"!$A$6:$C$200"),3,0),0))</f>
        <v/>
      </c>
      <c r="CI42" s="7" t="str">
        <f ca="1">IF(CI41="","",IFERROR(VLOOKUP($A42,INDIRECT(#REF!&amp;"!$A$6:$C$200"),3,0),0))</f>
        <v/>
      </c>
      <c r="CJ42" s="7" t="str">
        <f ca="1">IF(CJ41="","",IFERROR(VLOOKUP($A42,INDIRECT(#REF!&amp;"!$A$6:$C$200"),3,0),0))</f>
        <v/>
      </c>
      <c r="CK42" s="7" t="str">
        <f ca="1">IF(CK41="","",IFERROR(VLOOKUP($A42,INDIRECT(#REF!&amp;"!$A$6:$C$200"),3,0),0))</f>
        <v/>
      </c>
      <c r="CL42" s="7" t="str">
        <f ca="1">IF(CL41="","",IFERROR(VLOOKUP($A42,INDIRECT(#REF!&amp;"!$A$6:$C$200"),3,0),0))</f>
        <v/>
      </c>
      <c r="CM42" s="7" t="str">
        <f ca="1">IF(CM41="","",IFERROR(VLOOKUP($A42,INDIRECT(#REF!&amp;"!$A$6:$C$200"),3,0),0))</f>
        <v/>
      </c>
      <c r="CN42" s="7" t="str">
        <f ca="1">IF(CN41="","",IFERROR(VLOOKUP($A42,INDIRECT(#REF!&amp;"!$A$6:$C$200"),3,0),0))</f>
        <v/>
      </c>
      <c r="CO42" s="7" t="str">
        <f ca="1">IF(CO41="","",IFERROR(VLOOKUP($A42,INDIRECT(#REF!&amp;"!$A$6:$C$200"),3,0),0))</f>
        <v/>
      </c>
      <c r="CP42" s="7" t="str">
        <f ca="1">IF(CP41="","",IFERROR(VLOOKUP($A42,INDIRECT(#REF!&amp;"!$A$6:$C$200"),3,0),0))</f>
        <v/>
      </c>
      <c r="CQ42" s="7" t="str">
        <f ca="1">IF(CQ41="","",IFERROR(VLOOKUP($A42,INDIRECT(#REF!&amp;"!$A$6:$C$200"),3,0),0))</f>
        <v/>
      </c>
      <c r="CR42" s="7" t="str">
        <f ca="1">IF(CR41="","",IFERROR(VLOOKUP($A42,INDIRECT(#REF!&amp;"!$A$6:$C$200"),3,0),0))</f>
        <v/>
      </c>
      <c r="CS42" s="7" t="str">
        <f ca="1">IF(CS41="","",IFERROR(VLOOKUP($A42,INDIRECT(#REF!&amp;"!$A$6:$C$200"),3,0),0))</f>
        <v/>
      </c>
      <c r="CT42" s="7" t="str">
        <f ca="1">IF(CT41="","",IFERROR(VLOOKUP($A42,INDIRECT(#REF!&amp;"!$A$6:$C$200"),3,0),0))</f>
        <v/>
      </c>
      <c r="CU42" s="7" t="str">
        <f ca="1">IF(CU41="","",IFERROR(VLOOKUP($A42,INDIRECT(#REF!&amp;"!$A$6:$C$200"),3,0),0))</f>
        <v/>
      </c>
      <c r="CV42" s="7" t="str">
        <f ca="1">IF(CV41="","",IFERROR(VLOOKUP($A42,INDIRECT(#REF!&amp;"!$A$6:$C$200"),3,0),0))</f>
        <v/>
      </c>
      <c r="CW42" s="7" t="str">
        <f ca="1">IF(CW41="","",IFERROR(VLOOKUP($A42,INDIRECT(#REF!&amp;"!$A$6:$C$200"),3,0),0))</f>
        <v/>
      </c>
      <c r="CX42" s="7" t="str">
        <f ca="1">IF(CX41="","",IFERROR(VLOOKUP($A42,INDIRECT(#REF!&amp;"!$A$6:$C$200"),3,0),0))</f>
        <v/>
      </c>
      <c r="CY42" s="7" t="str">
        <f ca="1">IF(CY41="","",IFERROR(VLOOKUP($A42,INDIRECT(#REF!&amp;"!$A$6:$C$200"),3,0),0))</f>
        <v/>
      </c>
      <c r="CZ42" s="7" t="str">
        <f ca="1">IF(CZ41="","",IFERROR(VLOOKUP($A42,INDIRECT(#REF!&amp;"!$A$6:$C$200"),3,0),0))</f>
        <v/>
      </c>
      <c r="DA42" s="7" t="str">
        <f ca="1">IF(DA41="","",IFERROR(VLOOKUP($A42,INDIRECT(#REF!&amp;"!$A$6:$C$200"),3,0),0))</f>
        <v/>
      </c>
      <c r="DB42" s="7" t="str">
        <f ca="1">IF(DB41="","",IFERROR(VLOOKUP($A42,INDIRECT(#REF!&amp;"!$A$6:$C$200"),3,0),0))</f>
        <v/>
      </c>
      <c r="DC42" s="7" t="str">
        <f ca="1">IF(DC41="","",IFERROR(VLOOKUP($A42,INDIRECT(#REF!&amp;"!$A$6:$C$200"),3,0),0))</f>
        <v/>
      </c>
      <c r="DD42" s="7" t="str">
        <f ca="1">IF(DD41="","",IFERROR(VLOOKUP($A42,INDIRECT(#REF!&amp;"!$A$6:$C$200"),3,0),0))</f>
        <v/>
      </c>
      <c r="DE42" s="7" t="str">
        <f ca="1">IF(DE41="","",IFERROR(VLOOKUP($A42,INDIRECT(#REF!&amp;"!$A$6:$C$200"),3,0),0))</f>
        <v/>
      </c>
      <c r="DF42" s="7" t="str">
        <f ca="1">IF(DF41="","",IFERROR(VLOOKUP($A42,INDIRECT(#REF!&amp;"!$A$6:$C$200"),3,0),0))</f>
        <v/>
      </c>
      <c r="DG42" s="7" t="str">
        <f ca="1">IF(DG41="","",IFERROR(VLOOKUP($A42,INDIRECT(#REF!&amp;"!$A$6:$C$200"),3,0),0))</f>
        <v/>
      </c>
      <c r="DH42" s="7" t="str">
        <f ca="1">IF(DH41="","",IFERROR(VLOOKUP($A42,INDIRECT(#REF!&amp;"!$A$6:$C$200"),3,0),0))</f>
        <v/>
      </c>
      <c r="DI42" s="7" t="str">
        <f ca="1">IF(DI41="","",IFERROR(VLOOKUP($A42,INDIRECT(#REF!&amp;"!$A$6:$C$200"),3,0),0))</f>
        <v/>
      </c>
      <c r="DJ42" s="7" t="str">
        <f ca="1">IF(DJ41="","",IFERROR(VLOOKUP($A42,INDIRECT(#REF!&amp;"!$A$6:$C$200"),3,0),0))</f>
        <v/>
      </c>
      <c r="DK42" s="7" t="str">
        <f ca="1">IF(DK41="","",IFERROR(VLOOKUP($A42,INDIRECT(#REF!&amp;"!$A$6:$C$200"),3,0),0))</f>
        <v/>
      </c>
    </row>
    <row r="43" spans="1:115">
      <c r="A43" s="6" t="s">
        <v>45</v>
      </c>
      <c r="B43" s="7">
        <v>6.666666666666667E-5</v>
      </c>
      <c r="C43" s="7">
        <v>1.4285714285714287E-5</v>
      </c>
      <c r="D43" s="7">
        <v>0</v>
      </c>
      <c r="E43" s="7">
        <v>5.7142857142857148E-5</v>
      </c>
      <c r="F43" s="7">
        <v>2.8571428571428574E-5</v>
      </c>
      <c r="G43" s="7">
        <v>4.2857142857142863E-5</v>
      </c>
      <c r="H43" s="7">
        <f t="shared" ca="1" si="5"/>
        <v>0</v>
      </c>
      <c r="I43" s="7">
        <f t="shared" ca="1" si="3"/>
        <v>0</v>
      </c>
      <c r="J43" s="7">
        <f t="shared" ca="1" si="4"/>
        <v>0</v>
      </c>
      <c r="K43" s="7">
        <f t="shared" ca="1" si="6"/>
        <v>0</v>
      </c>
      <c r="L43" s="7">
        <f t="shared" ca="1" si="7"/>
        <v>0</v>
      </c>
      <c r="M43" s="8">
        <v>0</v>
      </c>
      <c r="N43" s="8">
        <v>0</v>
      </c>
      <c r="O43" s="8">
        <v>1E-4</v>
      </c>
      <c r="P43" s="8">
        <v>1E-4</v>
      </c>
      <c r="Q43" s="8">
        <v>0</v>
      </c>
      <c r="R43" s="8">
        <v>2.0000000000000001E-4</v>
      </c>
      <c r="S43" s="8">
        <v>0</v>
      </c>
      <c r="T43" s="8">
        <v>0</v>
      </c>
      <c r="U43" s="8">
        <v>1E-4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8">
        <v>0</v>
      </c>
      <c r="AF43" s="8">
        <v>0</v>
      </c>
      <c r="AG43" s="8">
        <v>0</v>
      </c>
      <c r="AH43" s="8">
        <v>0</v>
      </c>
      <c r="AI43" s="8">
        <v>1E-4</v>
      </c>
      <c r="AJ43" s="8">
        <v>1E-4</v>
      </c>
      <c r="AK43" s="8">
        <v>0</v>
      </c>
      <c r="AL43" s="8">
        <v>2.0000000000000001E-4</v>
      </c>
      <c r="AM43" s="7">
        <v>0</v>
      </c>
      <c r="AN43" s="7">
        <v>0</v>
      </c>
      <c r="AO43" s="7">
        <v>1E-4</v>
      </c>
      <c r="AP43" s="7">
        <v>0</v>
      </c>
      <c r="AQ43" s="7">
        <v>0</v>
      </c>
      <c r="AR43" s="7">
        <v>1E-4</v>
      </c>
      <c r="AS43" s="7">
        <v>0</v>
      </c>
      <c r="AT43" s="7">
        <v>0</v>
      </c>
      <c r="AU43" s="7">
        <v>1E-4</v>
      </c>
      <c r="AV43" s="7">
        <v>0</v>
      </c>
      <c r="AW43" s="7">
        <v>0</v>
      </c>
      <c r="AX43" s="7">
        <v>1E-4</v>
      </c>
      <c r="AY43" s="7">
        <v>1E-4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E43" s="7">
        <f ca="1">IFERROR(VLOOKUP($A43,INDIRECT(#REF!&amp;"!$A$6:$C$200"),3,0),0)</f>
        <v>0</v>
      </c>
      <c r="BF43" s="7">
        <f ca="1">IFERROR(VLOOKUP($A43,INDIRECT(#REF!&amp;"!$A$6:$C$200"),3,0),0)</f>
        <v>0</v>
      </c>
      <c r="BG43" s="7">
        <f ca="1">IFERROR(VLOOKUP($A43,INDIRECT(#REF!&amp;"!$A$6:$C$200"),3,0),0)</f>
        <v>0</v>
      </c>
      <c r="BH43" s="8">
        <f ca="1">IFERROR(VLOOKUP($A43,INDIRECT(#REF!&amp;"!$A$6:$C$200"),3,0),0)</f>
        <v>0</v>
      </c>
      <c r="BI43" s="8">
        <f ca="1">IFERROR(VLOOKUP($A43,INDIRECT(#REF!&amp;"!$A$6:$C$200"),3,0),0)</f>
        <v>0</v>
      </c>
      <c r="BJ43" s="8">
        <f ca="1">IFERROR(VLOOKUP($A43,INDIRECT(#REF!&amp;"!$A$6:$C$200"),3,0),0)</f>
        <v>0</v>
      </c>
      <c r="BK43" s="8">
        <f ca="1">IFERROR(VLOOKUP($A43,INDIRECT(#REF!&amp;"!$A$6:$C$200"),3,0),0)</f>
        <v>0</v>
      </c>
      <c r="BL43" s="8">
        <f ca="1">IFERROR(VLOOKUP($A43,INDIRECT(#REF!&amp;"!$A$6:$C$200"),3,0),0)</f>
        <v>0</v>
      </c>
      <c r="BM43" s="8">
        <f ca="1">IFERROR(VLOOKUP($A43,INDIRECT(#REF!&amp;"!$A$6:$C$200"),3,0),0)</f>
        <v>0</v>
      </c>
      <c r="BN43" s="8">
        <f ca="1">IFERROR(VLOOKUP($A43,INDIRECT(#REF!&amp;"!$A$6:$C$200"),3,0),0)</f>
        <v>0</v>
      </c>
      <c r="BO43" s="8">
        <f ca="1">IFERROR(VLOOKUP($A43,INDIRECT(#REF!&amp;"!$A$6:$C$200"),3,0),0)</f>
        <v>0</v>
      </c>
      <c r="BP43" s="7">
        <f ca="1">IFERROR(VLOOKUP($A43,INDIRECT(#REF!&amp;"!$A$6:$C$200"),3,0),0)</f>
        <v>0</v>
      </c>
      <c r="BQ43" s="7">
        <f ca="1">IFERROR(VLOOKUP($A43,INDIRECT(#REF!&amp;"!$A$6:$C$200"),3,0),0)</f>
        <v>0</v>
      </c>
      <c r="BR43" s="7">
        <f ca="1">IFERROR(VLOOKUP($A43,INDIRECT(#REF!&amp;"!$A$6:$C$200"),3,0),0)</f>
        <v>0</v>
      </c>
      <c r="BS43" s="7">
        <f ca="1">IFERROR(VLOOKUP($A43,INDIRECT(#REF!&amp;"!$A$6:$C$200"),3,0),0)</f>
        <v>0</v>
      </c>
      <c r="BT43" s="7">
        <f ca="1">IFERROR(VLOOKUP($A43,INDIRECT(#REF!&amp;"!$A$6:$C$200"),3,0),0)</f>
        <v>0</v>
      </c>
      <c r="BU43" s="7">
        <f ca="1">IFERROR(VLOOKUP($A43,INDIRECT(#REF!&amp;"!$A$6:$C$200"),3,0),0)</f>
        <v>0</v>
      </c>
      <c r="BV43" s="7">
        <f ca="1">IFERROR(VLOOKUP($A43,INDIRECT(#REF!&amp;"!$A$6:$C$200"),3,0),0)</f>
        <v>0</v>
      </c>
      <c r="BW43" s="7">
        <f ca="1">IFERROR(VLOOKUP($A43,INDIRECT(#REF!&amp;"!$A$6:$C$200"),3,0),0)</f>
        <v>0</v>
      </c>
      <c r="BX43" s="7">
        <f ca="1">IFERROR(VLOOKUP($A43,INDIRECT(#REF!&amp;"!$A$6:$C$200"),3,0),0)</f>
        <v>0</v>
      </c>
      <c r="BY43" s="7">
        <f ca="1">IFERROR(VLOOKUP($A43,INDIRECT(#REF!&amp;"!$A$6:$C$200"),3,0),0)</f>
        <v>0</v>
      </c>
      <c r="BZ43" s="7">
        <f ca="1">IFERROR(VLOOKUP($A43,INDIRECT(#REF!&amp;"!$A$6:$C$200"),3,0),0)</f>
        <v>0</v>
      </c>
      <c r="CA43" s="7">
        <f ca="1">IFERROR(VLOOKUP($A43,INDIRECT(#REF!&amp;"!$A$6:$C$200"),3,0),0)</f>
        <v>0</v>
      </c>
      <c r="CB43" s="7">
        <f ca="1">IFERROR(VLOOKUP($A43,INDIRECT(#REF!&amp;"!$A$6:$C$200"),3,0),0)</f>
        <v>0</v>
      </c>
      <c r="CC43" s="7">
        <f ca="1">IFERROR(VLOOKUP($A43,INDIRECT(#REF!&amp;"!$A$6:$C$200"),3,0),0)</f>
        <v>0</v>
      </c>
      <c r="CD43" s="7" t="str">
        <f ca="1">IF(CD42="","",IFERROR(VLOOKUP($A43,INDIRECT(#REF!&amp;"!$A$6:$C$200"),3,0),0))</f>
        <v/>
      </c>
      <c r="CE43" s="7" t="str">
        <f ca="1">IF(CE42="","",IFERROR(VLOOKUP($A43,INDIRECT(#REF!&amp;"!$A$6:$C$200"),3,0),0))</f>
        <v/>
      </c>
      <c r="CF43" s="7" t="str">
        <f ca="1">IF(CF42="","",IFERROR(VLOOKUP($A43,INDIRECT(#REF!&amp;"!$A$6:$C$200"),3,0),0))</f>
        <v/>
      </c>
      <c r="CG43" s="7" t="str">
        <f ca="1">IF(CG42="","",IFERROR(VLOOKUP($A43,INDIRECT(#REF!&amp;"!$A$6:$C$200"),3,0),0))</f>
        <v/>
      </c>
      <c r="CH43" s="7" t="str">
        <f ca="1">IF(CH42="","",IFERROR(VLOOKUP($A43,INDIRECT(#REF!&amp;"!$A$6:$C$200"),3,0),0))</f>
        <v/>
      </c>
      <c r="CI43" s="7" t="str">
        <f ca="1">IF(CI42="","",IFERROR(VLOOKUP($A43,INDIRECT(#REF!&amp;"!$A$6:$C$200"),3,0),0))</f>
        <v/>
      </c>
      <c r="CJ43" s="7" t="str">
        <f ca="1">IF(CJ42="","",IFERROR(VLOOKUP($A43,INDIRECT(#REF!&amp;"!$A$6:$C$200"),3,0),0))</f>
        <v/>
      </c>
      <c r="CK43" s="7" t="str">
        <f ca="1">IF(CK42="","",IFERROR(VLOOKUP($A43,INDIRECT(#REF!&amp;"!$A$6:$C$200"),3,0),0))</f>
        <v/>
      </c>
      <c r="CL43" s="7" t="str">
        <f ca="1">IF(CL42="","",IFERROR(VLOOKUP($A43,INDIRECT(#REF!&amp;"!$A$6:$C$200"),3,0),0))</f>
        <v/>
      </c>
      <c r="CM43" s="7" t="str">
        <f ca="1">IF(CM42="","",IFERROR(VLOOKUP($A43,INDIRECT(#REF!&amp;"!$A$6:$C$200"),3,0),0))</f>
        <v/>
      </c>
      <c r="CN43" s="7" t="str">
        <f ca="1">IF(CN42="","",IFERROR(VLOOKUP($A43,INDIRECT(#REF!&amp;"!$A$6:$C$200"),3,0),0))</f>
        <v/>
      </c>
      <c r="CO43" s="7" t="str">
        <f ca="1">IF(CO42="","",IFERROR(VLOOKUP($A43,INDIRECT(#REF!&amp;"!$A$6:$C$200"),3,0),0))</f>
        <v/>
      </c>
      <c r="CP43" s="7" t="str">
        <f ca="1">IF(CP42="","",IFERROR(VLOOKUP($A43,INDIRECT(#REF!&amp;"!$A$6:$C$200"),3,0),0))</f>
        <v/>
      </c>
      <c r="CQ43" s="7" t="str">
        <f ca="1">IF(CQ42="","",IFERROR(VLOOKUP($A43,INDIRECT(#REF!&amp;"!$A$6:$C$200"),3,0),0))</f>
        <v/>
      </c>
      <c r="CR43" s="7" t="str">
        <f ca="1">IF(CR42="","",IFERROR(VLOOKUP($A43,INDIRECT(#REF!&amp;"!$A$6:$C$200"),3,0),0))</f>
        <v/>
      </c>
      <c r="CS43" s="7" t="str">
        <f ca="1">IF(CS42="","",IFERROR(VLOOKUP($A43,INDIRECT(#REF!&amp;"!$A$6:$C$200"),3,0),0))</f>
        <v/>
      </c>
      <c r="CT43" s="7" t="str">
        <f ca="1">IF(CT42="","",IFERROR(VLOOKUP($A43,INDIRECT(#REF!&amp;"!$A$6:$C$200"),3,0),0))</f>
        <v/>
      </c>
      <c r="CU43" s="7" t="str">
        <f ca="1">IF(CU42="","",IFERROR(VLOOKUP($A43,INDIRECT(#REF!&amp;"!$A$6:$C$200"),3,0),0))</f>
        <v/>
      </c>
      <c r="CV43" s="7" t="str">
        <f ca="1">IF(CV42="","",IFERROR(VLOOKUP($A43,INDIRECT(#REF!&amp;"!$A$6:$C$200"),3,0),0))</f>
        <v/>
      </c>
      <c r="CW43" s="7" t="str">
        <f ca="1">IF(CW42="","",IFERROR(VLOOKUP($A43,INDIRECT(#REF!&amp;"!$A$6:$C$200"),3,0),0))</f>
        <v/>
      </c>
      <c r="CX43" s="7" t="str">
        <f ca="1">IF(CX42="","",IFERROR(VLOOKUP($A43,INDIRECT(#REF!&amp;"!$A$6:$C$200"),3,0),0))</f>
        <v/>
      </c>
      <c r="CY43" s="7" t="str">
        <f ca="1">IF(CY42="","",IFERROR(VLOOKUP($A43,INDIRECT(#REF!&amp;"!$A$6:$C$200"),3,0),0))</f>
        <v/>
      </c>
      <c r="CZ43" s="7" t="str">
        <f ca="1">IF(CZ42="","",IFERROR(VLOOKUP($A43,INDIRECT(#REF!&amp;"!$A$6:$C$200"),3,0),0))</f>
        <v/>
      </c>
      <c r="DA43" s="7" t="str">
        <f ca="1">IF(DA42="","",IFERROR(VLOOKUP($A43,INDIRECT(#REF!&amp;"!$A$6:$C$200"),3,0),0))</f>
        <v/>
      </c>
      <c r="DB43" s="7" t="str">
        <f ca="1">IF(DB42="","",IFERROR(VLOOKUP($A43,INDIRECT(#REF!&amp;"!$A$6:$C$200"),3,0),0))</f>
        <v/>
      </c>
      <c r="DC43" s="7" t="str">
        <f ca="1">IF(DC42="","",IFERROR(VLOOKUP($A43,INDIRECT(#REF!&amp;"!$A$6:$C$200"),3,0),0))</f>
        <v/>
      </c>
      <c r="DD43" s="7" t="str">
        <f ca="1">IF(DD42="","",IFERROR(VLOOKUP($A43,INDIRECT(#REF!&amp;"!$A$6:$C$200"),3,0),0))</f>
        <v/>
      </c>
      <c r="DE43" s="7" t="str">
        <f ca="1">IF(DE42="","",IFERROR(VLOOKUP($A43,INDIRECT(#REF!&amp;"!$A$6:$C$200"),3,0),0))</f>
        <v/>
      </c>
      <c r="DF43" s="7" t="str">
        <f ca="1">IF(DF42="","",IFERROR(VLOOKUP($A43,INDIRECT(#REF!&amp;"!$A$6:$C$200"),3,0),0))</f>
        <v/>
      </c>
      <c r="DG43" s="7" t="str">
        <f ca="1">IF(DG42="","",IFERROR(VLOOKUP($A43,INDIRECT(#REF!&amp;"!$A$6:$C$200"),3,0),0))</f>
        <v/>
      </c>
      <c r="DH43" s="7" t="str">
        <f ca="1">IF(DH42="","",IFERROR(VLOOKUP($A43,INDIRECT(#REF!&amp;"!$A$6:$C$200"),3,0),0))</f>
        <v/>
      </c>
      <c r="DI43" s="7" t="str">
        <f ca="1">IF(DI42="","",IFERROR(VLOOKUP($A43,INDIRECT(#REF!&amp;"!$A$6:$C$200"),3,0),0))</f>
        <v/>
      </c>
      <c r="DJ43" s="7" t="str">
        <f ca="1">IF(DJ42="","",IFERROR(VLOOKUP($A43,INDIRECT(#REF!&amp;"!$A$6:$C$200"),3,0),0))</f>
        <v/>
      </c>
      <c r="DK43" s="7" t="str">
        <f ca="1">IF(DK42="","",IFERROR(VLOOKUP($A43,INDIRECT(#REF!&amp;"!$A$6:$C$200"),3,0),0))</f>
        <v/>
      </c>
    </row>
    <row r="44" spans="1:115">
      <c r="A44" s="6" t="s">
        <v>46</v>
      </c>
      <c r="B44" s="7">
        <v>0</v>
      </c>
      <c r="C44" s="7">
        <v>0</v>
      </c>
      <c r="D44" s="7">
        <v>5.7142857142857148E-5</v>
      </c>
      <c r="E44" s="7">
        <v>4.2857142857142863E-5</v>
      </c>
      <c r="F44" s="7">
        <v>7.1428571428571434E-5</v>
      </c>
      <c r="G44" s="7">
        <v>1.4285714285714287E-5</v>
      </c>
      <c r="H44" s="7">
        <f t="shared" ca="1" si="5"/>
        <v>0</v>
      </c>
      <c r="I44" s="7">
        <f t="shared" ca="1" si="3"/>
        <v>0</v>
      </c>
      <c r="J44" s="7">
        <f t="shared" ca="1" si="4"/>
        <v>0</v>
      </c>
      <c r="K44" s="7">
        <f t="shared" ca="1" si="6"/>
        <v>0</v>
      </c>
      <c r="L44" s="7">
        <f t="shared" ca="1" si="7"/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4.0000000000000002E-4</v>
      </c>
      <c r="AB44" s="8">
        <v>0</v>
      </c>
      <c r="AC44" s="8">
        <v>0</v>
      </c>
      <c r="AD44" s="8">
        <v>0</v>
      </c>
      <c r="AE44" s="8">
        <v>0</v>
      </c>
      <c r="AF44" s="8">
        <v>0</v>
      </c>
      <c r="AG44" s="8">
        <v>0</v>
      </c>
      <c r="AH44" s="8">
        <v>0</v>
      </c>
      <c r="AI44" s="8">
        <v>0</v>
      </c>
      <c r="AJ44" s="8">
        <v>0</v>
      </c>
      <c r="AK44" s="8">
        <v>1E-4</v>
      </c>
      <c r="AL44" s="8">
        <v>2.0000000000000001E-4</v>
      </c>
      <c r="AM44" s="7">
        <v>0</v>
      </c>
      <c r="AN44" s="7">
        <v>1E-4</v>
      </c>
      <c r="AO44" s="7">
        <v>0</v>
      </c>
      <c r="AP44" s="8">
        <v>0</v>
      </c>
      <c r="AQ44" s="7">
        <v>2.0000000000000001E-4</v>
      </c>
      <c r="AR44" s="7">
        <v>2.0000000000000001E-4</v>
      </c>
      <c r="AS44" s="8">
        <v>0</v>
      </c>
      <c r="AT44" s="8">
        <v>0</v>
      </c>
      <c r="AU44" s="8">
        <v>0</v>
      </c>
      <c r="AV44" s="7">
        <v>1E-4</v>
      </c>
      <c r="AW44" s="8">
        <v>0</v>
      </c>
      <c r="AX44" s="7">
        <v>0</v>
      </c>
      <c r="AY44" s="7">
        <v>0</v>
      </c>
      <c r="AZ44" s="7">
        <v>0</v>
      </c>
      <c r="BA44" s="8">
        <v>0</v>
      </c>
      <c r="BB44" s="8">
        <v>0</v>
      </c>
      <c r="BC44" s="7">
        <v>0</v>
      </c>
      <c r="BD44" s="7">
        <v>0</v>
      </c>
      <c r="BE44" s="8">
        <f ca="1">IFERROR(VLOOKUP($A44,INDIRECT(#REF!&amp;"!$A$6:$C$200"),3,0),0)</f>
        <v>0</v>
      </c>
      <c r="BF44" s="8">
        <f ca="1">IFERROR(VLOOKUP($A44,INDIRECT(#REF!&amp;"!$A$6:$C$200"),3,0),0)</f>
        <v>0</v>
      </c>
      <c r="BG44" s="8">
        <f ca="1">IFERROR(VLOOKUP($A44,INDIRECT(#REF!&amp;"!$A$6:$C$200"),3,0),0)</f>
        <v>0</v>
      </c>
      <c r="BH44" s="8">
        <f ca="1">IFERROR(VLOOKUP($A44,INDIRECT(#REF!&amp;"!$A$6:$C$200"),3,0),0)</f>
        <v>0</v>
      </c>
      <c r="BI44" s="7">
        <f ca="1">IFERROR(VLOOKUP($A44,INDIRECT(#REF!&amp;"!$A$6:$C$200"),3,0),0)</f>
        <v>0</v>
      </c>
      <c r="BJ44" s="8">
        <f ca="1">IFERROR(VLOOKUP($A44,INDIRECT(#REF!&amp;"!$A$6:$C$200"),3,0),0)</f>
        <v>0</v>
      </c>
      <c r="BK44" s="8">
        <f ca="1">IFERROR(VLOOKUP($A44,INDIRECT(#REF!&amp;"!$A$6:$C$200"),3,0),0)</f>
        <v>0</v>
      </c>
      <c r="BL44" s="7">
        <f ca="1">IFERROR(VLOOKUP($A44,INDIRECT(#REF!&amp;"!$A$6:$C$200"),3,0),0)</f>
        <v>0</v>
      </c>
      <c r="BM44" s="8">
        <f ca="1">IFERROR(VLOOKUP($A44,INDIRECT(#REF!&amp;"!$A$6:$C$200"),3,0),0)</f>
        <v>0</v>
      </c>
      <c r="BN44" s="8">
        <f ca="1">IFERROR(VLOOKUP($A44,INDIRECT(#REF!&amp;"!$A$6:$C$200"),3,0),0)</f>
        <v>0</v>
      </c>
      <c r="BO44" s="8">
        <f ca="1">IFERROR(VLOOKUP($A44,INDIRECT(#REF!&amp;"!$A$6:$C$200"),3,0),0)</f>
        <v>0</v>
      </c>
      <c r="BP44" s="7">
        <f ca="1">IFERROR(VLOOKUP($A44,INDIRECT(#REF!&amp;"!$A$6:$C$200"),3,0),0)</f>
        <v>0</v>
      </c>
      <c r="BQ44" s="7">
        <f ca="1">IFERROR(VLOOKUP($A44,INDIRECT(#REF!&amp;"!$A$6:$C$200"),3,0),0)</f>
        <v>0</v>
      </c>
      <c r="BR44" s="8">
        <f ca="1">IFERROR(VLOOKUP($A44,INDIRECT(#REF!&amp;"!$A$6:$C$200"),3,0),0)</f>
        <v>0</v>
      </c>
      <c r="BS44" s="8">
        <f ca="1">IFERROR(VLOOKUP($A44,INDIRECT(#REF!&amp;"!$A$6:$C$200"),3,0),0)</f>
        <v>0</v>
      </c>
      <c r="BT44" s="7">
        <f ca="1">IFERROR(VLOOKUP($A44,INDIRECT(#REF!&amp;"!$A$6:$C$200"),3,0),0)</f>
        <v>0</v>
      </c>
      <c r="BU44" s="7">
        <f ca="1">IFERROR(VLOOKUP($A44,INDIRECT(#REF!&amp;"!$A$6:$C$200"),3,0),0)</f>
        <v>0</v>
      </c>
      <c r="BV44" s="7">
        <f ca="1">IFERROR(VLOOKUP($A44,INDIRECT(#REF!&amp;"!$A$6:$C$200"),3,0),0)</f>
        <v>0</v>
      </c>
      <c r="BW44" s="7">
        <f ca="1">IFERROR(VLOOKUP($A44,INDIRECT(#REF!&amp;"!$A$6:$C$200"),3,0),0)</f>
        <v>0</v>
      </c>
      <c r="BX44" s="7">
        <f ca="1">IFERROR(VLOOKUP($A44,INDIRECT(#REF!&amp;"!$A$6:$C$200"),3,0),0)</f>
        <v>0</v>
      </c>
      <c r="BY44" s="7">
        <f ca="1">IFERROR(VLOOKUP($A44,INDIRECT(#REF!&amp;"!$A$6:$C$200"),3,0),0)</f>
        <v>0</v>
      </c>
      <c r="BZ44" s="7">
        <f ca="1">IFERROR(VLOOKUP($A44,INDIRECT(#REF!&amp;"!$A$6:$C$200"),3,0),0)</f>
        <v>0</v>
      </c>
      <c r="CA44" s="7">
        <f ca="1">IFERROR(VLOOKUP($A44,INDIRECT(#REF!&amp;"!$A$6:$C$200"),3,0),0)</f>
        <v>0</v>
      </c>
      <c r="CB44" s="7">
        <f ca="1">IFERROR(VLOOKUP($A44,INDIRECT(#REF!&amp;"!$A$6:$C$200"),3,0),0)</f>
        <v>0</v>
      </c>
      <c r="CC44" s="7">
        <f ca="1">IFERROR(VLOOKUP($A44,INDIRECT(#REF!&amp;"!$A$6:$C$200"),3,0),0)</f>
        <v>0</v>
      </c>
      <c r="CD44" s="7" t="str">
        <f ca="1">IF(CD43="","",IFERROR(VLOOKUP($A44,INDIRECT(#REF!&amp;"!$A$6:$C$200"),3,0),0))</f>
        <v/>
      </c>
      <c r="CE44" s="7" t="str">
        <f ca="1">IF(CE43="","",IFERROR(VLOOKUP($A44,INDIRECT(#REF!&amp;"!$A$6:$C$200"),3,0),0))</f>
        <v/>
      </c>
      <c r="CF44" s="7" t="str">
        <f ca="1">IF(CF43="","",IFERROR(VLOOKUP($A44,INDIRECT(#REF!&amp;"!$A$6:$C$200"),3,0),0))</f>
        <v/>
      </c>
      <c r="CG44" s="7" t="str">
        <f ca="1">IF(CG43="","",IFERROR(VLOOKUP($A44,INDIRECT(#REF!&amp;"!$A$6:$C$200"),3,0),0))</f>
        <v/>
      </c>
      <c r="CH44" s="7" t="str">
        <f ca="1">IF(CH43="","",IFERROR(VLOOKUP($A44,INDIRECT(#REF!&amp;"!$A$6:$C$200"),3,0),0))</f>
        <v/>
      </c>
      <c r="CI44" s="7" t="str">
        <f ca="1">IF(CI43="","",IFERROR(VLOOKUP($A44,INDIRECT(#REF!&amp;"!$A$6:$C$200"),3,0),0))</f>
        <v/>
      </c>
      <c r="CJ44" s="7" t="str">
        <f ca="1">IF(CJ43="","",IFERROR(VLOOKUP($A44,INDIRECT(#REF!&amp;"!$A$6:$C$200"),3,0),0))</f>
        <v/>
      </c>
      <c r="CK44" s="7" t="str">
        <f ca="1">IF(CK43="","",IFERROR(VLOOKUP($A44,INDIRECT(#REF!&amp;"!$A$6:$C$200"),3,0),0))</f>
        <v/>
      </c>
      <c r="CL44" s="7" t="str">
        <f ca="1">IF(CL43="","",IFERROR(VLOOKUP($A44,INDIRECT(#REF!&amp;"!$A$6:$C$200"),3,0),0))</f>
        <v/>
      </c>
      <c r="CM44" s="7" t="str">
        <f ca="1">IF(CM43="","",IFERROR(VLOOKUP($A44,INDIRECT(#REF!&amp;"!$A$6:$C$200"),3,0),0))</f>
        <v/>
      </c>
      <c r="CN44" s="7" t="str">
        <f ca="1">IF(CN43="","",IFERROR(VLOOKUP($A44,INDIRECT(#REF!&amp;"!$A$6:$C$200"),3,0),0))</f>
        <v/>
      </c>
      <c r="CO44" s="7" t="str">
        <f ca="1">IF(CO43="","",IFERROR(VLOOKUP($A44,INDIRECT(#REF!&amp;"!$A$6:$C$200"),3,0),0))</f>
        <v/>
      </c>
      <c r="CP44" s="7" t="str">
        <f ca="1">IF(CP43="","",IFERROR(VLOOKUP($A44,INDIRECT(#REF!&amp;"!$A$6:$C$200"),3,0),0))</f>
        <v/>
      </c>
      <c r="CQ44" s="7" t="str">
        <f ca="1">IF(CQ43="","",IFERROR(VLOOKUP($A44,INDIRECT(#REF!&amp;"!$A$6:$C$200"),3,0),0))</f>
        <v/>
      </c>
      <c r="CR44" s="7" t="str">
        <f ca="1">IF(CR43="","",IFERROR(VLOOKUP($A44,INDIRECT(#REF!&amp;"!$A$6:$C$200"),3,0),0))</f>
        <v/>
      </c>
      <c r="CS44" s="7" t="str">
        <f ca="1">IF(CS43="","",IFERROR(VLOOKUP($A44,INDIRECT(#REF!&amp;"!$A$6:$C$200"),3,0),0))</f>
        <v/>
      </c>
      <c r="CT44" s="7" t="str">
        <f ca="1">IF(CT43="","",IFERROR(VLOOKUP($A44,INDIRECT(#REF!&amp;"!$A$6:$C$200"),3,0),0))</f>
        <v/>
      </c>
      <c r="CU44" s="7" t="str">
        <f ca="1">IF(CU43="","",IFERROR(VLOOKUP($A44,INDIRECT(#REF!&amp;"!$A$6:$C$200"),3,0),0))</f>
        <v/>
      </c>
      <c r="CV44" s="7" t="str">
        <f ca="1">IF(CV43="","",IFERROR(VLOOKUP($A44,INDIRECT(#REF!&amp;"!$A$6:$C$200"),3,0),0))</f>
        <v/>
      </c>
      <c r="CW44" s="7" t="str">
        <f ca="1">IF(CW43="","",IFERROR(VLOOKUP($A44,INDIRECT(#REF!&amp;"!$A$6:$C$200"),3,0),0))</f>
        <v/>
      </c>
      <c r="CX44" s="7" t="str">
        <f ca="1">IF(CX43="","",IFERROR(VLOOKUP($A44,INDIRECT(#REF!&amp;"!$A$6:$C$200"),3,0),0))</f>
        <v/>
      </c>
      <c r="CY44" s="7" t="str">
        <f ca="1">IF(CY43="","",IFERROR(VLOOKUP($A44,INDIRECT(#REF!&amp;"!$A$6:$C$200"),3,0),0))</f>
        <v/>
      </c>
      <c r="CZ44" s="7" t="str">
        <f ca="1">IF(CZ43="","",IFERROR(VLOOKUP($A44,INDIRECT(#REF!&amp;"!$A$6:$C$200"),3,0),0))</f>
        <v/>
      </c>
      <c r="DA44" s="7" t="str">
        <f ca="1">IF(DA43="","",IFERROR(VLOOKUP($A44,INDIRECT(#REF!&amp;"!$A$6:$C$200"),3,0),0))</f>
        <v/>
      </c>
      <c r="DB44" s="7" t="str">
        <f ca="1">IF(DB43="","",IFERROR(VLOOKUP($A44,INDIRECT(#REF!&amp;"!$A$6:$C$200"),3,0),0))</f>
        <v/>
      </c>
      <c r="DC44" s="7" t="str">
        <f ca="1">IF(DC43="","",IFERROR(VLOOKUP($A44,INDIRECT(#REF!&amp;"!$A$6:$C$200"),3,0),0))</f>
        <v/>
      </c>
      <c r="DD44" s="7" t="str">
        <f ca="1">IF(DD43="","",IFERROR(VLOOKUP($A44,INDIRECT(#REF!&amp;"!$A$6:$C$200"),3,0),0))</f>
        <v/>
      </c>
      <c r="DE44" s="7" t="str">
        <f ca="1">IF(DE43="","",IFERROR(VLOOKUP($A44,INDIRECT(#REF!&amp;"!$A$6:$C$200"),3,0),0))</f>
        <v/>
      </c>
      <c r="DF44" s="7" t="str">
        <f ca="1">IF(DF43="","",IFERROR(VLOOKUP($A44,INDIRECT(#REF!&amp;"!$A$6:$C$200"),3,0),0))</f>
        <v/>
      </c>
      <c r="DG44" s="7" t="str">
        <f ca="1">IF(DG43="","",IFERROR(VLOOKUP($A44,INDIRECT(#REF!&amp;"!$A$6:$C$200"),3,0),0))</f>
        <v/>
      </c>
      <c r="DH44" s="7" t="str">
        <f ca="1">IF(DH43="","",IFERROR(VLOOKUP($A44,INDIRECT(#REF!&amp;"!$A$6:$C$200"),3,0),0))</f>
        <v/>
      </c>
      <c r="DI44" s="7" t="str">
        <f ca="1">IF(DI43="","",IFERROR(VLOOKUP($A44,INDIRECT(#REF!&amp;"!$A$6:$C$200"),3,0),0))</f>
        <v/>
      </c>
      <c r="DJ44" s="7" t="str">
        <f ca="1">IF(DJ43="","",IFERROR(VLOOKUP($A44,INDIRECT(#REF!&amp;"!$A$6:$C$200"),3,0),0))</f>
        <v/>
      </c>
      <c r="DK44" s="7" t="str">
        <f ca="1">IF(DK43="","",IFERROR(VLOOKUP($A44,INDIRECT(#REF!&amp;"!$A$6:$C$200"),3,0),0))</f>
        <v/>
      </c>
    </row>
    <row r="45" spans="1:115">
      <c r="A45" s="6" t="s">
        <v>47</v>
      </c>
      <c r="B45" s="7">
        <v>1.6666666666666667E-5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f t="shared" ca="1" si="5"/>
        <v>0</v>
      </c>
      <c r="I45" s="7">
        <f t="shared" ca="1" si="3"/>
        <v>0</v>
      </c>
      <c r="J45" s="7">
        <f t="shared" ca="1" si="4"/>
        <v>0</v>
      </c>
      <c r="K45" s="7">
        <f t="shared" ca="1" si="6"/>
        <v>0</v>
      </c>
      <c r="L45" s="7">
        <f t="shared" ca="1" si="7"/>
        <v>0</v>
      </c>
      <c r="M45" s="8">
        <v>0</v>
      </c>
      <c r="N45" s="8">
        <v>0</v>
      </c>
      <c r="O45" s="8">
        <v>1E-4</v>
      </c>
      <c r="P45" s="8">
        <v>0</v>
      </c>
      <c r="Q45" s="8">
        <v>0</v>
      </c>
      <c r="R45" s="8">
        <v>0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0</v>
      </c>
      <c r="AE45" s="8">
        <v>0</v>
      </c>
      <c r="AF45" s="8">
        <v>0</v>
      </c>
      <c r="AG45" s="8">
        <v>0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7">
        <v>0</v>
      </c>
      <c r="AN45" s="7">
        <v>0</v>
      </c>
      <c r="AO45" s="8">
        <v>0</v>
      </c>
      <c r="AP45" s="8">
        <v>0</v>
      </c>
      <c r="AQ45" s="8">
        <v>0</v>
      </c>
      <c r="AR45" s="7">
        <v>0</v>
      </c>
      <c r="AS45" s="8">
        <v>0</v>
      </c>
      <c r="AT45" s="8">
        <v>0</v>
      </c>
      <c r="AU45" s="7">
        <v>0</v>
      </c>
      <c r="AV45" s="7">
        <v>0</v>
      </c>
      <c r="AW45" s="8">
        <v>0</v>
      </c>
      <c r="AX45" s="7">
        <v>0</v>
      </c>
      <c r="AY45" s="7">
        <v>0</v>
      </c>
      <c r="AZ45" s="7">
        <v>0</v>
      </c>
      <c r="BA45" s="8">
        <v>0</v>
      </c>
      <c r="BB45" s="8">
        <v>0</v>
      </c>
      <c r="BC45" s="7">
        <v>0</v>
      </c>
      <c r="BD45" s="7">
        <v>0</v>
      </c>
      <c r="BE45" s="7">
        <f ca="1">IFERROR(VLOOKUP($A45,INDIRECT(#REF!&amp;"!$A$6:$C$200"),3,0),0)</f>
        <v>0</v>
      </c>
      <c r="BF45" s="8">
        <f ca="1">IFERROR(VLOOKUP($A45,INDIRECT(#REF!&amp;"!$A$6:$C$200"),3,0),0)</f>
        <v>0</v>
      </c>
      <c r="BG45" s="8">
        <f ca="1">IFERROR(VLOOKUP($A45,INDIRECT(#REF!&amp;"!$A$6:$C$200"),3,0),0)</f>
        <v>0</v>
      </c>
      <c r="BH45" s="8">
        <f ca="1">IFERROR(VLOOKUP($A45,INDIRECT(#REF!&amp;"!$A$6:$C$200"),3,0),0)</f>
        <v>0</v>
      </c>
      <c r="BI45" s="7">
        <f ca="1">IFERROR(VLOOKUP($A45,INDIRECT(#REF!&amp;"!$A$6:$C$200"),3,0),0)</f>
        <v>0</v>
      </c>
      <c r="BJ45" s="8">
        <f ca="1">IFERROR(VLOOKUP($A45,INDIRECT(#REF!&amp;"!$A$6:$C$200"),3,0),0)</f>
        <v>0</v>
      </c>
      <c r="BK45" s="8">
        <f ca="1">IFERROR(VLOOKUP($A45,INDIRECT(#REF!&amp;"!$A$6:$C$200"),3,0),0)</f>
        <v>0</v>
      </c>
      <c r="BL45" s="8">
        <f ca="1">IFERROR(VLOOKUP($A45,INDIRECT(#REF!&amp;"!$A$6:$C$200"),3,0),0)</f>
        <v>0</v>
      </c>
      <c r="BM45" s="8">
        <f ca="1">IFERROR(VLOOKUP($A45,INDIRECT(#REF!&amp;"!$A$6:$C$200"),3,0),0)</f>
        <v>0</v>
      </c>
      <c r="BN45" s="8">
        <f ca="1">IFERROR(VLOOKUP($A45,INDIRECT(#REF!&amp;"!$A$6:$C$200"),3,0),0)</f>
        <v>0</v>
      </c>
      <c r="BO45" s="8">
        <f ca="1">IFERROR(VLOOKUP($A45,INDIRECT(#REF!&amp;"!$A$6:$C$200"),3,0),0)</f>
        <v>0</v>
      </c>
      <c r="BP45" s="7">
        <f ca="1">IFERROR(VLOOKUP($A45,INDIRECT(#REF!&amp;"!$A$6:$C$200"),3,0),0)</f>
        <v>0</v>
      </c>
      <c r="BQ45" s="7">
        <f ca="1">IFERROR(VLOOKUP($A45,INDIRECT(#REF!&amp;"!$A$6:$C$200"),3,0),0)</f>
        <v>0</v>
      </c>
      <c r="BR45" s="8">
        <f ca="1">IFERROR(VLOOKUP($A45,INDIRECT(#REF!&amp;"!$A$6:$C$200"),3,0),0)</f>
        <v>0</v>
      </c>
      <c r="BS45" s="8">
        <f ca="1">IFERROR(VLOOKUP($A45,INDIRECT(#REF!&amp;"!$A$6:$C$200"),3,0),0)</f>
        <v>0</v>
      </c>
      <c r="BT45" s="7">
        <f ca="1">IFERROR(VLOOKUP($A45,INDIRECT(#REF!&amp;"!$A$6:$C$200"),3,0),0)</f>
        <v>0</v>
      </c>
      <c r="BU45" s="7">
        <f ca="1">IFERROR(VLOOKUP($A45,INDIRECT(#REF!&amp;"!$A$6:$C$200"),3,0),0)</f>
        <v>0</v>
      </c>
      <c r="BV45" s="7">
        <f ca="1">IFERROR(VLOOKUP($A45,INDIRECT(#REF!&amp;"!$A$6:$C$200"),3,0),0)</f>
        <v>0</v>
      </c>
      <c r="BW45" s="7">
        <f ca="1">IFERROR(VLOOKUP($A45,INDIRECT(#REF!&amp;"!$A$6:$C$200"),3,0),0)</f>
        <v>0</v>
      </c>
      <c r="BX45" s="7">
        <f ca="1">IFERROR(VLOOKUP($A45,INDIRECT(#REF!&amp;"!$A$6:$C$200"),3,0),0)</f>
        <v>0</v>
      </c>
      <c r="BY45" s="7">
        <f ca="1">IFERROR(VLOOKUP($A45,INDIRECT(#REF!&amp;"!$A$6:$C$200"),3,0),0)</f>
        <v>0</v>
      </c>
      <c r="BZ45" s="7">
        <f ca="1">IFERROR(VLOOKUP($A45,INDIRECT(#REF!&amp;"!$A$6:$C$200"),3,0),0)</f>
        <v>0</v>
      </c>
      <c r="CA45" s="7">
        <f ca="1">IFERROR(VLOOKUP($A45,INDIRECT(#REF!&amp;"!$A$6:$C$200"),3,0),0)</f>
        <v>0</v>
      </c>
      <c r="CB45" s="7">
        <f ca="1">IFERROR(VLOOKUP($A45,INDIRECT(#REF!&amp;"!$A$6:$C$200"),3,0),0)</f>
        <v>0</v>
      </c>
      <c r="CC45" s="7">
        <f ca="1">IFERROR(VLOOKUP($A45,INDIRECT(#REF!&amp;"!$A$6:$C$200"),3,0),0)</f>
        <v>0</v>
      </c>
      <c r="CD45" s="7" t="str">
        <f ca="1">IF(CD44="","",IFERROR(VLOOKUP($A45,INDIRECT(#REF!&amp;"!$A$6:$C$200"),3,0),0))</f>
        <v/>
      </c>
      <c r="CE45" s="7" t="str">
        <f ca="1">IF(CE44="","",IFERROR(VLOOKUP($A45,INDIRECT(#REF!&amp;"!$A$6:$C$200"),3,0),0))</f>
        <v/>
      </c>
      <c r="CF45" s="7" t="str">
        <f ca="1">IF(CF44="","",IFERROR(VLOOKUP($A45,INDIRECT(#REF!&amp;"!$A$6:$C$200"),3,0),0))</f>
        <v/>
      </c>
      <c r="CG45" s="7" t="str">
        <f ca="1">IF(CG44="","",IFERROR(VLOOKUP($A45,INDIRECT(#REF!&amp;"!$A$6:$C$200"),3,0),0))</f>
        <v/>
      </c>
      <c r="CH45" s="7" t="str">
        <f ca="1">IF(CH44="","",IFERROR(VLOOKUP($A45,INDIRECT(#REF!&amp;"!$A$6:$C$200"),3,0),0))</f>
        <v/>
      </c>
      <c r="CI45" s="7" t="str">
        <f ca="1">IF(CI44="","",IFERROR(VLOOKUP($A45,INDIRECT(#REF!&amp;"!$A$6:$C$200"),3,0),0))</f>
        <v/>
      </c>
      <c r="CJ45" s="7" t="str">
        <f ca="1">IF(CJ44="","",IFERROR(VLOOKUP($A45,INDIRECT(#REF!&amp;"!$A$6:$C$200"),3,0),0))</f>
        <v/>
      </c>
      <c r="CK45" s="7" t="str">
        <f ca="1">IF(CK44="","",IFERROR(VLOOKUP($A45,INDIRECT(#REF!&amp;"!$A$6:$C$200"),3,0),0))</f>
        <v/>
      </c>
      <c r="CL45" s="7" t="str">
        <f ca="1">IF(CL44="","",IFERROR(VLOOKUP($A45,INDIRECT(#REF!&amp;"!$A$6:$C$200"),3,0),0))</f>
        <v/>
      </c>
      <c r="CM45" s="7" t="str">
        <f ca="1">IF(CM44="","",IFERROR(VLOOKUP($A45,INDIRECT(#REF!&amp;"!$A$6:$C$200"),3,0),0))</f>
        <v/>
      </c>
      <c r="CN45" s="7" t="str">
        <f ca="1">IF(CN44="","",IFERROR(VLOOKUP($A45,INDIRECT(#REF!&amp;"!$A$6:$C$200"),3,0),0))</f>
        <v/>
      </c>
      <c r="CO45" s="7" t="str">
        <f ca="1">IF(CO44="","",IFERROR(VLOOKUP($A45,INDIRECT(#REF!&amp;"!$A$6:$C$200"),3,0),0))</f>
        <v/>
      </c>
      <c r="CP45" s="7" t="str">
        <f ca="1">IF(CP44="","",IFERROR(VLOOKUP($A45,INDIRECT(#REF!&amp;"!$A$6:$C$200"),3,0),0))</f>
        <v/>
      </c>
      <c r="CQ45" s="7" t="str">
        <f ca="1">IF(CQ44="","",IFERROR(VLOOKUP($A45,INDIRECT(#REF!&amp;"!$A$6:$C$200"),3,0),0))</f>
        <v/>
      </c>
      <c r="CR45" s="7" t="str">
        <f ca="1">IF(CR44="","",IFERROR(VLOOKUP($A45,INDIRECT(#REF!&amp;"!$A$6:$C$200"),3,0),0))</f>
        <v/>
      </c>
      <c r="CS45" s="7" t="str">
        <f ca="1">IF(CS44="","",IFERROR(VLOOKUP($A45,INDIRECT(#REF!&amp;"!$A$6:$C$200"),3,0),0))</f>
        <v/>
      </c>
      <c r="CT45" s="7" t="str">
        <f ca="1">IF(CT44="","",IFERROR(VLOOKUP($A45,INDIRECT(#REF!&amp;"!$A$6:$C$200"),3,0),0))</f>
        <v/>
      </c>
      <c r="CU45" s="7" t="str">
        <f ca="1">IF(CU44="","",IFERROR(VLOOKUP($A45,INDIRECT(#REF!&amp;"!$A$6:$C$200"),3,0),0))</f>
        <v/>
      </c>
      <c r="CV45" s="7" t="str">
        <f ca="1">IF(CV44="","",IFERROR(VLOOKUP($A45,INDIRECT(#REF!&amp;"!$A$6:$C$200"),3,0),0))</f>
        <v/>
      </c>
      <c r="CW45" s="7" t="str">
        <f ca="1">IF(CW44="","",IFERROR(VLOOKUP($A45,INDIRECT(#REF!&amp;"!$A$6:$C$200"),3,0),0))</f>
        <v/>
      </c>
      <c r="CX45" s="7" t="str">
        <f ca="1">IF(CX44="","",IFERROR(VLOOKUP($A45,INDIRECT(#REF!&amp;"!$A$6:$C$200"),3,0),0))</f>
        <v/>
      </c>
      <c r="CY45" s="7" t="str">
        <f ca="1">IF(CY44="","",IFERROR(VLOOKUP($A45,INDIRECT(#REF!&amp;"!$A$6:$C$200"),3,0),0))</f>
        <v/>
      </c>
      <c r="CZ45" s="7" t="str">
        <f ca="1">IF(CZ44="","",IFERROR(VLOOKUP($A45,INDIRECT(#REF!&amp;"!$A$6:$C$200"),3,0),0))</f>
        <v/>
      </c>
      <c r="DA45" s="7" t="str">
        <f ca="1">IF(DA44="","",IFERROR(VLOOKUP($A45,INDIRECT(#REF!&amp;"!$A$6:$C$200"),3,0),0))</f>
        <v/>
      </c>
      <c r="DB45" s="7" t="str">
        <f ca="1">IF(DB44="","",IFERROR(VLOOKUP($A45,INDIRECT(#REF!&amp;"!$A$6:$C$200"),3,0),0))</f>
        <v/>
      </c>
      <c r="DC45" s="7" t="str">
        <f ca="1">IF(DC44="","",IFERROR(VLOOKUP($A45,INDIRECT(#REF!&amp;"!$A$6:$C$200"),3,0),0))</f>
        <v/>
      </c>
      <c r="DD45" s="7" t="str">
        <f ca="1">IF(DD44="","",IFERROR(VLOOKUP($A45,INDIRECT(#REF!&amp;"!$A$6:$C$200"),3,0),0))</f>
        <v/>
      </c>
      <c r="DE45" s="7" t="str">
        <f ca="1">IF(DE44="","",IFERROR(VLOOKUP($A45,INDIRECT(#REF!&amp;"!$A$6:$C$200"),3,0),0))</f>
        <v/>
      </c>
      <c r="DF45" s="7" t="str">
        <f ca="1">IF(DF44="","",IFERROR(VLOOKUP($A45,INDIRECT(#REF!&amp;"!$A$6:$C$200"),3,0),0))</f>
        <v/>
      </c>
      <c r="DG45" s="7" t="str">
        <f ca="1">IF(DG44="","",IFERROR(VLOOKUP($A45,INDIRECT(#REF!&amp;"!$A$6:$C$200"),3,0),0))</f>
        <v/>
      </c>
      <c r="DH45" s="7" t="str">
        <f ca="1">IF(DH44="","",IFERROR(VLOOKUP($A45,INDIRECT(#REF!&amp;"!$A$6:$C$200"),3,0),0))</f>
        <v/>
      </c>
      <c r="DI45" s="7" t="str">
        <f ca="1">IF(DI44="","",IFERROR(VLOOKUP($A45,INDIRECT(#REF!&amp;"!$A$6:$C$200"),3,0),0))</f>
        <v/>
      </c>
      <c r="DJ45" s="7" t="str">
        <f ca="1">IF(DJ44="","",IFERROR(VLOOKUP($A45,INDIRECT(#REF!&amp;"!$A$6:$C$200"),3,0),0))</f>
        <v/>
      </c>
      <c r="DK45" s="7" t="str">
        <f ca="1">IF(DK44="","",IFERROR(VLOOKUP($A45,INDIRECT(#REF!&amp;"!$A$6:$C$200"),3,0),0))</f>
        <v/>
      </c>
    </row>
    <row r="46" spans="1:115">
      <c r="A46" s="6" t="s">
        <v>48</v>
      </c>
      <c r="B46" s="7">
        <v>1.6666666666666667E-5</v>
      </c>
      <c r="C46" s="7">
        <v>1.4285714285714287E-5</v>
      </c>
      <c r="D46" s="7">
        <v>0</v>
      </c>
      <c r="E46" s="7">
        <v>1.4285714285714287E-5</v>
      </c>
      <c r="F46" s="7">
        <v>0</v>
      </c>
      <c r="G46" s="7">
        <v>0</v>
      </c>
      <c r="H46" s="7">
        <f t="shared" ca="1" si="5"/>
        <v>0</v>
      </c>
      <c r="I46" s="7">
        <f t="shared" ca="1" si="3"/>
        <v>0</v>
      </c>
      <c r="J46" s="7">
        <f t="shared" ca="1" si="4"/>
        <v>0</v>
      </c>
      <c r="K46" s="7">
        <f t="shared" ca="1" si="6"/>
        <v>0</v>
      </c>
      <c r="L46" s="7">
        <f t="shared" ca="1" si="7"/>
        <v>0</v>
      </c>
      <c r="M46" s="8">
        <v>0</v>
      </c>
      <c r="N46" s="8">
        <v>0</v>
      </c>
      <c r="O46" s="8">
        <v>0</v>
      </c>
      <c r="P46" s="8">
        <v>1E-4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1E-4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8">
        <v>0</v>
      </c>
      <c r="AF46" s="8">
        <v>0</v>
      </c>
      <c r="AG46" s="8">
        <v>0</v>
      </c>
      <c r="AH46" s="8">
        <v>0</v>
      </c>
      <c r="AI46" s="8">
        <v>0</v>
      </c>
      <c r="AJ46" s="8">
        <v>0</v>
      </c>
      <c r="AK46" s="8">
        <v>0</v>
      </c>
      <c r="AL46" s="8">
        <v>1E-4</v>
      </c>
      <c r="AM46" s="7">
        <v>0</v>
      </c>
      <c r="AN46" s="7">
        <v>0</v>
      </c>
      <c r="AO46" s="7">
        <v>0</v>
      </c>
      <c r="AP46" s="7">
        <v>0</v>
      </c>
      <c r="AQ46" s="8">
        <v>0</v>
      </c>
      <c r="AR46" s="7">
        <v>0</v>
      </c>
      <c r="AS46" s="7">
        <v>0</v>
      </c>
      <c r="AT46" s="7">
        <v>0</v>
      </c>
      <c r="AU46" s="7">
        <v>0</v>
      </c>
      <c r="AV46" s="7">
        <v>0</v>
      </c>
      <c r="AW46" s="7">
        <v>0</v>
      </c>
      <c r="AX46" s="7">
        <v>0</v>
      </c>
      <c r="AY46" s="7">
        <v>0</v>
      </c>
      <c r="AZ46" s="7">
        <v>0</v>
      </c>
      <c r="BA46" s="7">
        <v>0</v>
      </c>
      <c r="BB46" s="7">
        <v>0</v>
      </c>
      <c r="BC46" s="7">
        <v>0</v>
      </c>
      <c r="BD46" s="7">
        <v>0</v>
      </c>
      <c r="BE46" s="8">
        <f ca="1">IFERROR(VLOOKUP($A46,INDIRECT(#REF!&amp;"!$A$6:$C$200"),3,0),0)</f>
        <v>0</v>
      </c>
      <c r="BF46" s="7">
        <f ca="1">IFERROR(VLOOKUP($A46,INDIRECT(#REF!&amp;"!$A$6:$C$200"),3,0),0)</f>
        <v>0</v>
      </c>
      <c r="BG46" s="7">
        <f ca="1">IFERROR(VLOOKUP($A46,INDIRECT(#REF!&amp;"!$A$6:$C$200"),3,0),0)</f>
        <v>0</v>
      </c>
      <c r="BH46" s="8">
        <f ca="1">IFERROR(VLOOKUP($A46,INDIRECT(#REF!&amp;"!$A$6:$C$200"),3,0),0)</f>
        <v>0</v>
      </c>
      <c r="BI46" s="7">
        <f ca="1">IFERROR(VLOOKUP($A46,INDIRECT(#REF!&amp;"!$A$6:$C$200"),3,0),0)</f>
        <v>0</v>
      </c>
      <c r="BJ46" s="8">
        <f ca="1">IFERROR(VLOOKUP($A46,INDIRECT(#REF!&amp;"!$A$6:$C$200"),3,0),0)</f>
        <v>0</v>
      </c>
      <c r="BK46" s="8">
        <f ca="1">IFERROR(VLOOKUP($A46,INDIRECT(#REF!&amp;"!$A$6:$C$200"),3,0),0)</f>
        <v>0</v>
      </c>
      <c r="BL46" s="8">
        <f ca="1">IFERROR(VLOOKUP($A46,INDIRECT(#REF!&amp;"!$A$6:$C$200"),3,0),0)</f>
        <v>0</v>
      </c>
      <c r="BM46" s="8">
        <f ca="1">IFERROR(VLOOKUP($A46,INDIRECT(#REF!&amp;"!$A$6:$C$200"),3,0),0)</f>
        <v>0</v>
      </c>
      <c r="BN46" s="8">
        <f ca="1">IFERROR(VLOOKUP($A46,INDIRECT(#REF!&amp;"!$A$6:$C$200"),3,0),0)</f>
        <v>0</v>
      </c>
      <c r="BO46" s="8">
        <f ca="1">IFERROR(VLOOKUP($A46,INDIRECT(#REF!&amp;"!$A$6:$C$200"),3,0),0)</f>
        <v>0</v>
      </c>
      <c r="BP46" s="7">
        <f ca="1">IFERROR(VLOOKUP($A46,INDIRECT(#REF!&amp;"!$A$6:$C$200"),3,0),0)</f>
        <v>0</v>
      </c>
      <c r="BQ46" s="7">
        <f ca="1">IFERROR(VLOOKUP($A46,INDIRECT(#REF!&amp;"!$A$6:$C$200"),3,0),0)</f>
        <v>0</v>
      </c>
      <c r="BR46" s="7">
        <f ca="1">IFERROR(VLOOKUP($A46,INDIRECT(#REF!&amp;"!$A$6:$C$200"),3,0),0)</f>
        <v>0</v>
      </c>
      <c r="BS46" s="7">
        <f ca="1">IFERROR(VLOOKUP($A46,INDIRECT(#REF!&amp;"!$A$6:$C$200"),3,0),0)</f>
        <v>0</v>
      </c>
      <c r="BT46" s="7">
        <f ca="1">IFERROR(VLOOKUP($A46,INDIRECT(#REF!&amp;"!$A$6:$C$200"),3,0),0)</f>
        <v>0</v>
      </c>
      <c r="BU46" s="7">
        <f ca="1">IFERROR(VLOOKUP($A46,INDIRECT(#REF!&amp;"!$A$6:$C$200"),3,0),0)</f>
        <v>0</v>
      </c>
      <c r="BV46" s="7">
        <f ca="1">IFERROR(VLOOKUP($A46,INDIRECT(#REF!&amp;"!$A$6:$C$200"),3,0),0)</f>
        <v>0</v>
      </c>
      <c r="BW46" s="7">
        <f ca="1">IFERROR(VLOOKUP($A46,INDIRECT(#REF!&amp;"!$A$6:$C$200"),3,0),0)</f>
        <v>0</v>
      </c>
      <c r="BX46" s="7">
        <f ca="1">IFERROR(VLOOKUP($A46,INDIRECT(#REF!&amp;"!$A$6:$C$200"),3,0),0)</f>
        <v>0</v>
      </c>
      <c r="BY46" s="7">
        <f ca="1">IFERROR(VLOOKUP($A46,INDIRECT(#REF!&amp;"!$A$6:$C$200"),3,0),0)</f>
        <v>0</v>
      </c>
      <c r="BZ46" s="7">
        <f ca="1">IFERROR(VLOOKUP($A46,INDIRECT(#REF!&amp;"!$A$6:$C$200"),3,0),0)</f>
        <v>0</v>
      </c>
      <c r="CA46" s="7">
        <f ca="1">IFERROR(VLOOKUP($A46,INDIRECT(#REF!&amp;"!$A$6:$C$200"),3,0),0)</f>
        <v>0</v>
      </c>
      <c r="CB46" s="7">
        <f ca="1">IFERROR(VLOOKUP($A46,INDIRECT(#REF!&amp;"!$A$6:$C$200"),3,0),0)</f>
        <v>0</v>
      </c>
      <c r="CC46" s="7">
        <f ca="1">IFERROR(VLOOKUP($A46,INDIRECT(#REF!&amp;"!$A$6:$C$200"),3,0),0)</f>
        <v>0</v>
      </c>
      <c r="CD46" s="7" t="str">
        <f ca="1">IF(CD45="","",IFERROR(VLOOKUP($A46,INDIRECT(#REF!&amp;"!$A$6:$C$200"),3,0),0))</f>
        <v/>
      </c>
      <c r="CE46" s="7" t="str">
        <f ca="1">IF(CE45="","",IFERROR(VLOOKUP($A46,INDIRECT(#REF!&amp;"!$A$6:$C$200"),3,0),0))</f>
        <v/>
      </c>
      <c r="CF46" s="7" t="str">
        <f ca="1">IF(CF45="","",IFERROR(VLOOKUP($A46,INDIRECT(#REF!&amp;"!$A$6:$C$200"),3,0),0))</f>
        <v/>
      </c>
      <c r="CG46" s="7" t="str">
        <f ca="1">IF(CG45="","",IFERROR(VLOOKUP($A46,INDIRECT(#REF!&amp;"!$A$6:$C$200"),3,0),0))</f>
        <v/>
      </c>
      <c r="CH46" s="7" t="str">
        <f ca="1">IF(CH45="","",IFERROR(VLOOKUP($A46,INDIRECT(#REF!&amp;"!$A$6:$C$200"),3,0),0))</f>
        <v/>
      </c>
      <c r="CI46" s="7" t="str">
        <f ca="1">IF(CI45="","",IFERROR(VLOOKUP($A46,INDIRECT(#REF!&amp;"!$A$6:$C$200"),3,0),0))</f>
        <v/>
      </c>
      <c r="CJ46" s="7" t="str">
        <f ca="1">IF(CJ45="","",IFERROR(VLOOKUP($A46,INDIRECT(#REF!&amp;"!$A$6:$C$200"),3,0),0))</f>
        <v/>
      </c>
      <c r="CK46" s="7" t="str">
        <f ca="1">IF(CK45="","",IFERROR(VLOOKUP($A46,INDIRECT(#REF!&amp;"!$A$6:$C$200"),3,0),0))</f>
        <v/>
      </c>
      <c r="CL46" s="7" t="str">
        <f ca="1">IF(CL45="","",IFERROR(VLOOKUP($A46,INDIRECT(#REF!&amp;"!$A$6:$C$200"),3,0),0))</f>
        <v/>
      </c>
      <c r="CM46" s="7" t="str">
        <f ca="1">IF(CM45="","",IFERROR(VLOOKUP($A46,INDIRECT(#REF!&amp;"!$A$6:$C$200"),3,0),0))</f>
        <v/>
      </c>
      <c r="CN46" s="7" t="str">
        <f ca="1">IF(CN45="","",IFERROR(VLOOKUP($A46,INDIRECT(#REF!&amp;"!$A$6:$C$200"),3,0),0))</f>
        <v/>
      </c>
      <c r="CO46" s="7" t="str">
        <f ca="1">IF(CO45="","",IFERROR(VLOOKUP($A46,INDIRECT(#REF!&amp;"!$A$6:$C$200"),3,0),0))</f>
        <v/>
      </c>
      <c r="CP46" s="7" t="str">
        <f ca="1">IF(CP45="","",IFERROR(VLOOKUP($A46,INDIRECT(#REF!&amp;"!$A$6:$C$200"),3,0),0))</f>
        <v/>
      </c>
      <c r="CQ46" s="7" t="str">
        <f ca="1">IF(CQ45="","",IFERROR(VLOOKUP($A46,INDIRECT(#REF!&amp;"!$A$6:$C$200"),3,0),0))</f>
        <v/>
      </c>
      <c r="CR46" s="7" t="str">
        <f ca="1">IF(CR45="","",IFERROR(VLOOKUP($A46,INDIRECT(#REF!&amp;"!$A$6:$C$200"),3,0),0))</f>
        <v/>
      </c>
      <c r="CS46" s="7" t="str">
        <f ca="1">IF(CS45="","",IFERROR(VLOOKUP($A46,INDIRECT(#REF!&amp;"!$A$6:$C$200"),3,0),0))</f>
        <v/>
      </c>
      <c r="CT46" s="7" t="str">
        <f ca="1">IF(CT45="","",IFERROR(VLOOKUP($A46,INDIRECT(#REF!&amp;"!$A$6:$C$200"),3,0),0))</f>
        <v/>
      </c>
      <c r="CU46" s="7" t="str">
        <f ca="1">IF(CU45="","",IFERROR(VLOOKUP($A46,INDIRECT(#REF!&amp;"!$A$6:$C$200"),3,0),0))</f>
        <v/>
      </c>
      <c r="CV46" s="7" t="str">
        <f ca="1">IF(CV45="","",IFERROR(VLOOKUP($A46,INDIRECT(#REF!&amp;"!$A$6:$C$200"),3,0),0))</f>
        <v/>
      </c>
      <c r="CW46" s="7" t="str">
        <f ca="1">IF(CW45="","",IFERROR(VLOOKUP($A46,INDIRECT(#REF!&amp;"!$A$6:$C$200"),3,0),0))</f>
        <v/>
      </c>
      <c r="CX46" s="7" t="str">
        <f ca="1">IF(CX45="","",IFERROR(VLOOKUP($A46,INDIRECT(#REF!&amp;"!$A$6:$C$200"),3,0),0))</f>
        <v/>
      </c>
      <c r="CY46" s="7" t="str">
        <f ca="1">IF(CY45="","",IFERROR(VLOOKUP($A46,INDIRECT(#REF!&amp;"!$A$6:$C$200"),3,0),0))</f>
        <v/>
      </c>
      <c r="CZ46" s="7" t="str">
        <f ca="1">IF(CZ45="","",IFERROR(VLOOKUP($A46,INDIRECT(#REF!&amp;"!$A$6:$C$200"),3,0),0))</f>
        <v/>
      </c>
      <c r="DA46" s="7" t="str">
        <f ca="1">IF(DA45="","",IFERROR(VLOOKUP($A46,INDIRECT(#REF!&amp;"!$A$6:$C$200"),3,0),0))</f>
        <v/>
      </c>
      <c r="DB46" s="7" t="str">
        <f ca="1">IF(DB45="","",IFERROR(VLOOKUP($A46,INDIRECT(#REF!&amp;"!$A$6:$C$200"),3,0),0))</f>
        <v/>
      </c>
      <c r="DC46" s="7" t="str">
        <f ca="1">IF(DC45="","",IFERROR(VLOOKUP($A46,INDIRECT(#REF!&amp;"!$A$6:$C$200"),3,0),0))</f>
        <v/>
      </c>
      <c r="DD46" s="7" t="str">
        <f ca="1">IF(DD45="","",IFERROR(VLOOKUP($A46,INDIRECT(#REF!&amp;"!$A$6:$C$200"),3,0),0))</f>
        <v/>
      </c>
      <c r="DE46" s="7" t="str">
        <f ca="1">IF(DE45="","",IFERROR(VLOOKUP($A46,INDIRECT(#REF!&amp;"!$A$6:$C$200"),3,0),0))</f>
        <v/>
      </c>
      <c r="DF46" s="7" t="str">
        <f ca="1">IF(DF45="","",IFERROR(VLOOKUP($A46,INDIRECT(#REF!&amp;"!$A$6:$C$200"),3,0),0))</f>
        <v/>
      </c>
      <c r="DG46" s="7" t="str">
        <f ca="1">IF(DG45="","",IFERROR(VLOOKUP($A46,INDIRECT(#REF!&amp;"!$A$6:$C$200"),3,0),0))</f>
        <v/>
      </c>
      <c r="DH46" s="7" t="str">
        <f ca="1">IF(DH45="","",IFERROR(VLOOKUP($A46,INDIRECT(#REF!&amp;"!$A$6:$C$200"),3,0),0))</f>
        <v/>
      </c>
      <c r="DI46" s="7" t="str">
        <f ca="1">IF(DI45="","",IFERROR(VLOOKUP($A46,INDIRECT(#REF!&amp;"!$A$6:$C$200"),3,0),0))</f>
        <v/>
      </c>
      <c r="DJ46" s="7" t="str">
        <f ca="1">IF(DJ45="","",IFERROR(VLOOKUP($A46,INDIRECT(#REF!&amp;"!$A$6:$C$200"),3,0),0))</f>
        <v/>
      </c>
      <c r="DK46" s="7" t="str">
        <f ca="1">IF(DK45="","",IFERROR(VLOOKUP($A46,INDIRECT(#REF!&amp;"!$A$6:$C$200"),3,0),0))</f>
        <v/>
      </c>
    </row>
    <row r="47" spans="1:115">
      <c r="A47" s="6" t="s">
        <v>49</v>
      </c>
      <c r="B47" s="7">
        <v>0</v>
      </c>
      <c r="C47" s="7">
        <v>0</v>
      </c>
      <c r="D47" s="7">
        <v>1.4285714285714287E-5</v>
      </c>
      <c r="E47" s="7">
        <v>8.5714285714285713E-5</v>
      </c>
      <c r="F47" s="7">
        <v>3.4285714285714285E-4</v>
      </c>
      <c r="G47" s="7">
        <v>1.4285714285714287E-5</v>
      </c>
      <c r="H47" s="7">
        <f t="shared" ca="1" si="5"/>
        <v>0</v>
      </c>
      <c r="I47" s="7">
        <f t="shared" ca="1" si="3"/>
        <v>0</v>
      </c>
      <c r="J47" s="7">
        <f t="shared" ca="1" si="4"/>
        <v>0</v>
      </c>
      <c r="K47" s="7">
        <f t="shared" ca="1" si="6"/>
        <v>0</v>
      </c>
      <c r="L47" s="7">
        <f t="shared" ca="1" si="7"/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1E-4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7">
        <v>5.9999999999999995E-4</v>
      </c>
      <c r="AN47" s="7">
        <v>1.6000000000000001E-3</v>
      </c>
      <c r="AO47" s="7">
        <v>4.0000000000000002E-4</v>
      </c>
      <c r="AP47" s="7">
        <v>2.0000000000000001E-4</v>
      </c>
      <c r="AQ47" s="7">
        <v>1E-4</v>
      </c>
      <c r="AR47" s="7">
        <v>1E-4</v>
      </c>
      <c r="AS47" s="8">
        <v>0</v>
      </c>
      <c r="AT47" s="7">
        <v>0</v>
      </c>
      <c r="AU47" s="7">
        <v>0</v>
      </c>
      <c r="AV47" s="8">
        <v>0</v>
      </c>
      <c r="AW47" s="7">
        <v>1E-4</v>
      </c>
      <c r="AX47" s="7">
        <v>0</v>
      </c>
      <c r="AY47" s="7">
        <v>0</v>
      </c>
      <c r="AZ47" s="7">
        <v>0</v>
      </c>
      <c r="BA47" s="8">
        <v>0</v>
      </c>
      <c r="BB47" s="8">
        <v>0</v>
      </c>
      <c r="BC47" s="7">
        <v>0</v>
      </c>
      <c r="BD47" s="7">
        <v>0</v>
      </c>
      <c r="BE47" s="8">
        <f ca="1">IFERROR(VLOOKUP($A47,INDIRECT(#REF!&amp;"!$A$6:$C$200"),3,0),0)</f>
        <v>0</v>
      </c>
      <c r="BF47" s="8">
        <f ca="1">IFERROR(VLOOKUP($A47,INDIRECT(#REF!&amp;"!$A$6:$C$200"),3,0),0)</f>
        <v>0</v>
      </c>
      <c r="BG47" s="7">
        <f ca="1">IFERROR(VLOOKUP($A47,INDIRECT(#REF!&amp;"!$A$6:$C$200"),3,0),0)</f>
        <v>0</v>
      </c>
      <c r="BH47" s="8">
        <f ca="1">IFERROR(VLOOKUP($A47,INDIRECT(#REF!&amp;"!$A$6:$C$200"),3,0),0)</f>
        <v>0</v>
      </c>
      <c r="BI47" s="7">
        <f ca="1">IFERROR(VLOOKUP($A47,INDIRECT(#REF!&amp;"!$A$6:$C$200"),3,0),0)</f>
        <v>0</v>
      </c>
      <c r="BJ47" s="8">
        <f ca="1">IFERROR(VLOOKUP($A47,INDIRECT(#REF!&amp;"!$A$6:$C$200"),3,0),0)</f>
        <v>0</v>
      </c>
      <c r="BK47" s="8">
        <f ca="1">IFERROR(VLOOKUP($A47,INDIRECT(#REF!&amp;"!$A$6:$C$200"),3,0),0)</f>
        <v>0</v>
      </c>
      <c r="BL47" s="8">
        <f ca="1">IFERROR(VLOOKUP($A47,INDIRECT(#REF!&amp;"!$A$6:$C$200"),3,0),0)</f>
        <v>0</v>
      </c>
      <c r="BM47" s="8">
        <f ca="1">IFERROR(VLOOKUP($A47,INDIRECT(#REF!&amp;"!$A$6:$C$200"),3,0),0)</f>
        <v>0</v>
      </c>
      <c r="BN47" s="8">
        <f ca="1">IFERROR(VLOOKUP($A47,INDIRECT(#REF!&amp;"!$A$6:$C$200"),3,0),0)</f>
        <v>0</v>
      </c>
      <c r="BO47" s="8">
        <f ca="1">IFERROR(VLOOKUP($A47,INDIRECT(#REF!&amp;"!$A$6:$C$200"),3,0),0)</f>
        <v>0</v>
      </c>
      <c r="BP47" s="7">
        <f ca="1">IFERROR(VLOOKUP($A47,INDIRECT(#REF!&amp;"!$A$6:$C$200"),3,0),0)</f>
        <v>0</v>
      </c>
      <c r="BQ47" s="7">
        <f ca="1">IFERROR(VLOOKUP($A47,INDIRECT(#REF!&amp;"!$A$6:$C$200"),3,0),0)</f>
        <v>0</v>
      </c>
      <c r="BR47" s="8">
        <f ca="1">IFERROR(VLOOKUP($A47,INDIRECT(#REF!&amp;"!$A$6:$C$200"),3,0),0)</f>
        <v>0</v>
      </c>
      <c r="BS47" s="8">
        <f ca="1">IFERROR(VLOOKUP($A47,INDIRECT(#REF!&amp;"!$A$6:$C$200"),3,0),0)</f>
        <v>0</v>
      </c>
      <c r="BT47" s="7">
        <f ca="1">IFERROR(VLOOKUP($A47,INDIRECT(#REF!&amp;"!$A$6:$C$200"),3,0),0)</f>
        <v>0</v>
      </c>
      <c r="BU47" s="7">
        <f ca="1">IFERROR(VLOOKUP($A47,INDIRECT(#REF!&amp;"!$A$6:$C$200"),3,0),0)</f>
        <v>0</v>
      </c>
      <c r="BV47" s="7">
        <f ca="1">IFERROR(VLOOKUP($A47,INDIRECT(#REF!&amp;"!$A$6:$C$200"),3,0),0)</f>
        <v>0</v>
      </c>
      <c r="BW47" s="7">
        <f ca="1">IFERROR(VLOOKUP($A47,INDIRECT(#REF!&amp;"!$A$6:$C$200"),3,0),0)</f>
        <v>0</v>
      </c>
      <c r="BX47" s="7">
        <f ca="1">IFERROR(VLOOKUP($A47,INDIRECT(#REF!&amp;"!$A$6:$C$200"),3,0),0)</f>
        <v>0</v>
      </c>
      <c r="BY47" s="7">
        <f ca="1">IFERROR(VLOOKUP($A47,INDIRECT(#REF!&amp;"!$A$6:$C$200"),3,0),0)</f>
        <v>0</v>
      </c>
      <c r="BZ47" s="7">
        <f ca="1">IFERROR(VLOOKUP($A47,INDIRECT(#REF!&amp;"!$A$6:$C$200"),3,0),0)</f>
        <v>0</v>
      </c>
      <c r="CA47" s="7">
        <f ca="1">IFERROR(VLOOKUP($A47,INDIRECT(#REF!&amp;"!$A$6:$C$200"),3,0),0)</f>
        <v>0</v>
      </c>
      <c r="CB47" s="7">
        <f ca="1">IFERROR(VLOOKUP($A47,INDIRECT(#REF!&amp;"!$A$6:$C$200"),3,0),0)</f>
        <v>0</v>
      </c>
      <c r="CC47" s="7">
        <f ca="1">IFERROR(VLOOKUP($A47,INDIRECT(#REF!&amp;"!$A$6:$C$200"),3,0),0)</f>
        <v>0</v>
      </c>
      <c r="CD47" s="7" t="str">
        <f ca="1">IF(CD46="","",IFERROR(VLOOKUP($A47,INDIRECT(#REF!&amp;"!$A$6:$C$200"),3,0),0))</f>
        <v/>
      </c>
      <c r="CE47" s="7" t="str">
        <f ca="1">IF(CE46="","",IFERROR(VLOOKUP($A47,INDIRECT(#REF!&amp;"!$A$6:$C$200"),3,0),0))</f>
        <v/>
      </c>
      <c r="CF47" s="7" t="str">
        <f ca="1">IF(CF46="","",IFERROR(VLOOKUP($A47,INDIRECT(#REF!&amp;"!$A$6:$C$200"),3,0),0))</f>
        <v/>
      </c>
      <c r="CG47" s="7" t="str">
        <f ca="1">IF(CG46="","",IFERROR(VLOOKUP($A47,INDIRECT(#REF!&amp;"!$A$6:$C$200"),3,0),0))</f>
        <v/>
      </c>
      <c r="CH47" s="7" t="str">
        <f ca="1">IF(CH46="","",IFERROR(VLOOKUP($A47,INDIRECT(#REF!&amp;"!$A$6:$C$200"),3,0),0))</f>
        <v/>
      </c>
      <c r="CI47" s="7" t="str">
        <f ca="1">IF(CI46="","",IFERROR(VLOOKUP($A47,INDIRECT(#REF!&amp;"!$A$6:$C$200"),3,0),0))</f>
        <v/>
      </c>
      <c r="CJ47" s="7" t="str">
        <f ca="1">IF(CJ46="","",IFERROR(VLOOKUP($A47,INDIRECT(#REF!&amp;"!$A$6:$C$200"),3,0),0))</f>
        <v/>
      </c>
      <c r="CK47" s="7" t="str">
        <f ca="1">IF(CK46="","",IFERROR(VLOOKUP($A47,INDIRECT(#REF!&amp;"!$A$6:$C$200"),3,0),0))</f>
        <v/>
      </c>
      <c r="CL47" s="7" t="str">
        <f ca="1">IF(CL46="","",IFERROR(VLOOKUP($A47,INDIRECT(#REF!&amp;"!$A$6:$C$200"),3,0),0))</f>
        <v/>
      </c>
      <c r="CM47" s="7" t="str">
        <f ca="1">IF(CM46="","",IFERROR(VLOOKUP($A47,INDIRECT(#REF!&amp;"!$A$6:$C$200"),3,0),0))</f>
        <v/>
      </c>
      <c r="CN47" s="7" t="str">
        <f ca="1">IF(CN46="","",IFERROR(VLOOKUP($A47,INDIRECT(#REF!&amp;"!$A$6:$C$200"),3,0),0))</f>
        <v/>
      </c>
      <c r="CO47" s="7" t="str">
        <f ca="1">IF(CO46="","",IFERROR(VLOOKUP($A47,INDIRECT(#REF!&amp;"!$A$6:$C$200"),3,0),0))</f>
        <v/>
      </c>
      <c r="CP47" s="7" t="str">
        <f ca="1">IF(CP46="","",IFERROR(VLOOKUP($A47,INDIRECT(#REF!&amp;"!$A$6:$C$200"),3,0),0))</f>
        <v/>
      </c>
      <c r="CQ47" s="7" t="str">
        <f ca="1">IF(CQ46="","",IFERROR(VLOOKUP($A47,INDIRECT(#REF!&amp;"!$A$6:$C$200"),3,0),0))</f>
        <v/>
      </c>
      <c r="CR47" s="7" t="str">
        <f ca="1">IF(CR46="","",IFERROR(VLOOKUP($A47,INDIRECT(#REF!&amp;"!$A$6:$C$200"),3,0),0))</f>
        <v/>
      </c>
      <c r="CS47" s="7" t="str">
        <f ca="1">IF(CS46="","",IFERROR(VLOOKUP($A47,INDIRECT(#REF!&amp;"!$A$6:$C$200"),3,0),0))</f>
        <v/>
      </c>
      <c r="CT47" s="7" t="str">
        <f ca="1">IF(CT46="","",IFERROR(VLOOKUP($A47,INDIRECT(#REF!&amp;"!$A$6:$C$200"),3,0),0))</f>
        <v/>
      </c>
      <c r="CU47" s="7" t="str">
        <f ca="1">IF(CU46="","",IFERROR(VLOOKUP($A47,INDIRECT(#REF!&amp;"!$A$6:$C$200"),3,0),0))</f>
        <v/>
      </c>
      <c r="CV47" s="7" t="str">
        <f ca="1">IF(CV46="","",IFERROR(VLOOKUP($A47,INDIRECT(#REF!&amp;"!$A$6:$C$200"),3,0),0))</f>
        <v/>
      </c>
      <c r="CW47" s="7" t="str">
        <f ca="1">IF(CW46="","",IFERROR(VLOOKUP($A47,INDIRECT(#REF!&amp;"!$A$6:$C$200"),3,0),0))</f>
        <v/>
      </c>
      <c r="CX47" s="7" t="str">
        <f ca="1">IF(CX46="","",IFERROR(VLOOKUP($A47,INDIRECT(#REF!&amp;"!$A$6:$C$200"),3,0),0))</f>
        <v/>
      </c>
      <c r="CY47" s="7" t="str">
        <f ca="1">IF(CY46="","",IFERROR(VLOOKUP($A47,INDIRECT(#REF!&amp;"!$A$6:$C$200"),3,0),0))</f>
        <v/>
      </c>
      <c r="CZ47" s="7" t="str">
        <f ca="1">IF(CZ46="","",IFERROR(VLOOKUP($A47,INDIRECT(#REF!&amp;"!$A$6:$C$200"),3,0),0))</f>
        <v/>
      </c>
      <c r="DA47" s="7" t="str">
        <f ca="1">IF(DA46="","",IFERROR(VLOOKUP($A47,INDIRECT(#REF!&amp;"!$A$6:$C$200"),3,0),0))</f>
        <v/>
      </c>
      <c r="DB47" s="7" t="str">
        <f ca="1">IF(DB46="","",IFERROR(VLOOKUP($A47,INDIRECT(#REF!&amp;"!$A$6:$C$200"),3,0),0))</f>
        <v/>
      </c>
      <c r="DC47" s="7" t="str">
        <f ca="1">IF(DC46="","",IFERROR(VLOOKUP($A47,INDIRECT(#REF!&amp;"!$A$6:$C$200"),3,0),0))</f>
        <v/>
      </c>
      <c r="DD47" s="7" t="str">
        <f ca="1">IF(DD46="","",IFERROR(VLOOKUP($A47,INDIRECT(#REF!&amp;"!$A$6:$C$200"),3,0),0))</f>
        <v/>
      </c>
      <c r="DE47" s="7" t="str">
        <f ca="1">IF(DE46="","",IFERROR(VLOOKUP($A47,INDIRECT(#REF!&amp;"!$A$6:$C$200"),3,0),0))</f>
        <v/>
      </c>
      <c r="DF47" s="7" t="str">
        <f ca="1">IF(DF46="","",IFERROR(VLOOKUP($A47,INDIRECT(#REF!&amp;"!$A$6:$C$200"),3,0),0))</f>
        <v/>
      </c>
      <c r="DG47" s="7" t="str">
        <f ca="1">IF(DG46="","",IFERROR(VLOOKUP($A47,INDIRECT(#REF!&amp;"!$A$6:$C$200"),3,0),0))</f>
        <v/>
      </c>
      <c r="DH47" s="7" t="str">
        <f ca="1">IF(DH46="","",IFERROR(VLOOKUP($A47,INDIRECT(#REF!&amp;"!$A$6:$C$200"),3,0),0))</f>
        <v/>
      </c>
      <c r="DI47" s="7" t="str">
        <f ca="1">IF(DI46="","",IFERROR(VLOOKUP($A47,INDIRECT(#REF!&amp;"!$A$6:$C$200"),3,0),0))</f>
        <v/>
      </c>
      <c r="DJ47" s="7" t="str">
        <f ca="1">IF(DJ46="","",IFERROR(VLOOKUP($A47,INDIRECT(#REF!&amp;"!$A$6:$C$200"),3,0),0))</f>
        <v/>
      </c>
      <c r="DK47" s="7" t="str">
        <f ca="1">IF(DK46="","",IFERROR(VLOOKUP($A47,INDIRECT(#REF!&amp;"!$A$6:$C$200"),3,0),0))</f>
        <v/>
      </c>
    </row>
    <row r="48" spans="1:115">
      <c r="A48" s="6" t="s">
        <v>50</v>
      </c>
      <c r="B48" s="7">
        <v>0</v>
      </c>
      <c r="C48" s="7">
        <v>4.2857142857142863E-5</v>
      </c>
      <c r="D48" s="7">
        <v>2.8571428571428574E-5</v>
      </c>
      <c r="E48" s="7">
        <v>0</v>
      </c>
      <c r="F48" s="7">
        <v>0</v>
      </c>
      <c r="G48" s="7">
        <v>0</v>
      </c>
      <c r="H48" s="7">
        <f t="shared" ca="1" si="5"/>
        <v>0</v>
      </c>
      <c r="I48" s="7">
        <f t="shared" ca="1" si="3"/>
        <v>0</v>
      </c>
      <c r="J48" s="7">
        <f t="shared" ca="1" si="4"/>
        <v>0</v>
      </c>
      <c r="K48" s="7">
        <f t="shared" ca="1" si="6"/>
        <v>0</v>
      </c>
      <c r="L48" s="7">
        <f t="shared" ca="1" si="7"/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1E-4</v>
      </c>
      <c r="U48" s="8">
        <v>1E-4</v>
      </c>
      <c r="V48" s="8">
        <v>1E-4</v>
      </c>
      <c r="W48" s="8">
        <v>0</v>
      </c>
      <c r="X48" s="8">
        <v>0</v>
      </c>
      <c r="Y48" s="8">
        <v>0</v>
      </c>
      <c r="Z48" s="8">
        <v>2.0000000000000001E-4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7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7">
        <v>0</v>
      </c>
      <c r="AT48" s="8">
        <v>0</v>
      </c>
      <c r="AU48" s="8">
        <v>0</v>
      </c>
      <c r="AV48" s="8">
        <v>0</v>
      </c>
      <c r="AW48" s="8">
        <v>0</v>
      </c>
      <c r="AX48" s="7">
        <v>0</v>
      </c>
      <c r="AY48" s="7">
        <v>0</v>
      </c>
      <c r="AZ48" s="7">
        <v>0</v>
      </c>
      <c r="BA48" s="8">
        <v>0</v>
      </c>
      <c r="BB48" s="8">
        <v>0</v>
      </c>
      <c r="BC48" s="7">
        <v>0</v>
      </c>
      <c r="BD48" s="7">
        <v>0</v>
      </c>
      <c r="BE48" s="8">
        <f ca="1">IFERROR(VLOOKUP($A48,INDIRECT(#REF!&amp;"!$A$6:$C$200"),3,0),0)</f>
        <v>0</v>
      </c>
      <c r="BF48" s="8">
        <f ca="1">IFERROR(VLOOKUP($A48,INDIRECT(#REF!&amp;"!$A$6:$C$200"),3,0),0)</f>
        <v>0</v>
      </c>
      <c r="BG48" s="8">
        <f ca="1">IFERROR(VLOOKUP($A48,INDIRECT(#REF!&amp;"!$A$6:$C$200"),3,0),0)</f>
        <v>0</v>
      </c>
      <c r="BH48" s="8">
        <f ca="1">IFERROR(VLOOKUP($A48,INDIRECT(#REF!&amp;"!$A$6:$C$200"),3,0),0)</f>
        <v>0</v>
      </c>
      <c r="BI48" s="7">
        <f ca="1">IFERROR(VLOOKUP($A48,INDIRECT(#REF!&amp;"!$A$6:$C$200"),3,0),0)</f>
        <v>0</v>
      </c>
      <c r="BJ48" s="8">
        <f ca="1">IFERROR(VLOOKUP($A48,INDIRECT(#REF!&amp;"!$A$6:$C$200"),3,0),0)</f>
        <v>0</v>
      </c>
      <c r="BK48" s="8">
        <f ca="1">IFERROR(VLOOKUP($A48,INDIRECT(#REF!&amp;"!$A$6:$C$200"),3,0),0)</f>
        <v>0</v>
      </c>
      <c r="BL48" s="7">
        <f ca="1">IFERROR(VLOOKUP($A48,INDIRECT(#REF!&amp;"!$A$6:$C$200"),3,0),0)</f>
        <v>0</v>
      </c>
      <c r="BM48" s="8">
        <f ca="1">IFERROR(VLOOKUP($A48,INDIRECT(#REF!&amp;"!$A$6:$C$200"),3,0),0)</f>
        <v>0</v>
      </c>
      <c r="BN48" s="8">
        <f ca="1">IFERROR(VLOOKUP($A48,INDIRECT(#REF!&amp;"!$A$6:$C$200"),3,0),0)</f>
        <v>0</v>
      </c>
      <c r="BO48" s="8">
        <f ca="1">IFERROR(VLOOKUP($A48,INDIRECT(#REF!&amp;"!$A$6:$C$200"),3,0),0)</f>
        <v>0</v>
      </c>
      <c r="BP48" s="7">
        <f ca="1">IFERROR(VLOOKUP($A48,INDIRECT(#REF!&amp;"!$A$6:$C$200"),3,0),0)</f>
        <v>0</v>
      </c>
      <c r="BQ48" s="7">
        <f ca="1">IFERROR(VLOOKUP($A48,INDIRECT(#REF!&amp;"!$A$6:$C$200"),3,0),0)</f>
        <v>0</v>
      </c>
      <c r="BR48" s="8">
        <f ca="1">IFERROR(VLOOKUP($A48,INDIRECT(#REF!&amp;"!$A$6:$C$200"),3,0),0)</f>
        <v>0</v>
      </c>
      <c r="BS48" s="8">
        <f ca="1">IFERROR(VLOOKUP($A48,INDIRECT(#REF!&amp;"!$A$6:$C$200"),3,0),0)</f>
        <v>0</v>
      </c>
      <c r="BT48" s="7">
        <f ca="1">IFERROR(VLOOKUP($A48,INDIRECT(#REF!&amp;"!$A$6:$C$200"),3,0),0)</f>
        <v>0</v>
      </c>
      <c r="BU48" s="7">
        <f ca="1">IFERROR(VLOOKUP($A48,INDIRECT(#REF!&amp;"!$A$6:$C$200"),3,0),0)</f>
        <v>0</v>
      </c>
      <c r="BV48" s="7">
        <f ca="1">IFERROR(VLOOKUP($A48,INDIRECT(#REF!&amp;"!$A$6:$C$200"),3,0),0)</f>
        <v>0</v>
      </c>
      <c r="BW48" s="7">
        <f ca="1">IFERROR(VLOOKUP($A48,INDIRECT(#REF!&amp;"!$A$6:$C$200"),3,0),0)</f>
        <v>0</v>
      </c>
      <c r="BX48" s="7">
        <f ca="1">IFERROR(VLOOKUP($A48,INDIRECT(#REF!&amp;"!$A$6:$C$200"),3,0),0)</f>
        <v>0</v>
      </c>
      <c r="BY48" s="7">
        <f ca="1">IFERROR(VLOOKUP($A48,INDIRECT(#REF!&amp;"!$A$6:$C$200"),3,0),0)</f>
        <v>0</v>
      </c>
      <c r="BZ48" s="7">
        <f ca="1">IFERROR(VLOOKUP($A48,INDIRECT(#REF!&amp;"!$A$6:$C$200"),3,0),0)</f>
        <v>0</v>
      </c>
      <c r="CA48" s="7">
        <f ca="1">IFERROR(VLOOKUP($A48,INDIRECT(#REF!&amp;"!$A$6:$C$200"),3,0),0)</f>
        <v>0</v>
      </c>
      <c r="CB48" s="7">
        <f ca="1">IFERROR(VLOOKUP($A48,INDIRECT(#REF!&amp;"!$A$6:$C$200"),3,0),0)</f>
        <v>0</v>
      </c>
      <c r="CC48" s="7">
        <f ca="1">IFERROR(VLOOKUP($A48,INDIRECT(#REF!&amp;"!$A$6:$C$200"),3,0),0)</f>
        <v>0</v>
      </c>
      <c r="CD48" s="7" t="str">
        <f ca="1">IF(CD47="","",IFERROR(VLOOKUP($A48,INDIRECT(#REF!&amp;"!$A$6:$C$200"),3,0),0))</f>
        <v/>
      </c>
      <c r="CE48" s="7" t="str">
        <f ca="1">IF(CE47="","",IFERROR(VLOOKUP($A48,INDIRECT(#REF!&amp;"!$A$6:$C$200"),3,0),0))</f>
        <v/>
      </c>
      <c r="CF48" s="7" t="str">
        <f ca="1">IF(CF47="","",IFERROR(VLOOKUP($A48,INDIRECT(#REF!&amp;"!$A$6:$C$200"),3,0),0))</f>
        <v/>
      </c>
      <c r="CG48" s="7" t="str">
        <f ca="1">IF(CG47="","",IFERROR(VLOOKUP($A48,INDIRECT(#REF!&amp;"!$A$6:$C$200"),3,0),0))</f>
        <v/>
      </c>
      <c r="CH48" s="7" t="str">
        <f ca="1">IF(CH47="","",IFERROR(VLOOKUP($A48,INDIRECT(#REF!&amp;"!$A$6:$C$200"),3,0),0))</f>
        <v/>
      </c>
      <c r="CI48" s="7" t="str">
        <f ca="1">IF(CI47="","",IFERROR(VLOOKUP($A48,INDIRECT(#REF!&amp;"!$A$6:$C$200"),3,0),0))</f>
        <v/>
      </c>
      <c r="CJ48" s="7" t="str">
        <f ca="1">IF(CJ47="","",IFERROR(VLOOKUP($A48,INDIRECT(#REF!&amp;"!$A$6:$C$200"),3,0),0))</f>
        <v/>
      </c>
      <c r="CK48" s="7" t="str">
        <f ca="1">IF(CK47="","",IFERROR(VLOOKUP($A48,INDIRECT(#REF!&amp;"!$A$6:$C$200"),3,0),0))</f>
        <v/>
      </c>
      <c r="CL48" s="7" t="str">
        <f ca="1">IF(CL47="","",IFERROR(VLOOKUP($A48,INDIRECT(#REF!&amp;"!$A$6:$C$200"),3,0),0))</f>
        <v/>
      </c>
      <c r="CM48" s="7" t="str">
        <f ca="1">IF(CM47="","",IFERROR(VLOOKUP($A48,INDIRECT(#REF!&amp;"!$A$6:$C$200"),3,0),0))</f>
        <v/>
      </c>
      <c r="CN48" s="7" t="str">
        <f ca="1">IF(CN47="","",IFERROR(VLOOKUP($A48,INDIRECT(#REF!&amp;"!$A$6:$C$200"),3,0),0))</f>
        <v/>
      </c>
      <c r="CO48" s="7" t="str">
        <f ca="1">IF(CO47="","",IFERROR(VLOOKUP($A48,INDIRECT(#REF!&amp;"!$A$6:$C$200"),3,0),0))</f>
        <v/>
      </c>
      <c r="CP48" s="7" t="str">
        <f ca="1">IF(CP47="","",IFERROR(VLOOKUP($A48,INDIRECT(#REF!&amp;"!$A$6:$C$200"),3,0),0))</f>
        <v/>
      </c>
      <c r="CQ48" s="7" t="str">
        <f ca="1">IF(CQ47="","",IFERROR(VLOOKUP($A48,INDIRECT(#REF!&amp;"!$A$6:$C$200"),3,0),0))</f>
        <v/>
      </c>
      <c r="CR48" s="7" t="str">
        <f ca="1">IF(CR47="","",IFERROR(VLOOKUP($A48,INDIRECT(#REF!&amp;"!$A$6:$C$200"),3,0),0))</f>
        <v/>
      </c>
      <c r="CS48" s="7" t="str">
        <f ca="1">IF(CS47="","",IFERROR(VLOOKUP($A48,INDIRECT(#REF!&amp;"!$A$6:$C$200"),3,0),0))</f>
        <v/>
      </c>
      <c r="CT48" s="7" t="str">
        <f ca="1">IF(CT47="","",IFERROR(VLOOKUP($A48,INDIRECT(#REF!&amp;"!$A$6:$C$200"),3,0),0))</f>
        <v/>
      </c>
      <c r="CU48" s="7" t="str">
        <f ca="1">IF(CU47="","",IFERROR(VLOOKUP($A48,INDIRECT(#REF!&amp;"!$A$6:$C$200"),3,0),0))</f>
        <v/>
      </c>
      <c r="CV48" s="7" t="str">
        <f ca="1">IF(CV47="","",IFERROR(VLOOKUP($A48,INDIRECT(#REF!&amp;"!$A$6:$C$200"),3,0),0))</f>
        <v/>
      </c>
      <c r="CW48" s="7" t="str">
        <f ca="1">IF(CW47="","",IFERROR(VLOOKUP($A48,INDIRECT(#REF!&amp;"!$A$6:$C$200"),3,0),0))</f>
        <v/>
      </c>
      <c r="CX48" s="7" t="str">
        <f ca="1">IF(CX47="","",IFERROR(VLOOKUP($A48,INDIRECT(#REF!&amp;"!$A$6:$C$200"),3,0),0))</f>
        <v/>
      </c>
      <c r="CY48" s="7" t="str">
        <f ca="1">IF(CY47="","",IFERROR(VLOOKUP($A48,INDIRECT(#REF!&amp;"!$A$6:$C$200"),3,0),0))</f>
        <v/>
      </c>
      <c r="CZ48" s="7" t="str">
        <f ca="1">IF(CZ47="","",IFERROR(VLOOKUP($A48,INDIRECT(#REF!&amp;"!$A$6:$C$200"),3,0),0))</f>
        <v/>
      </c>
      <c r="DA48" s="7" t="str">
        <f ca="1">IF(DA47="","",IFERROR(VLOOKUP($A48,INDIRECT(#REF!&amp;"!$A$6:$C$200"),3,0),0))</f>
        <v/>
      </c>
      <c r="DB48" s="7" t="str">
        <f ca="1">IF(DB47="","",IFERROR(VLOOKUP($A48,INDIRECT(#REF!&amp;"!$A$6:$C$200"),3,0),0))</f>
        <v/>
      </c>
      <c r="DC48" s="7" t="str">
        <f ca="1">IF(DC47="","",IFERROR(VLOOKUP($A48,INDIRECT(#REF!&amp;"!$A$6:$C$200"),3,0),0))</f>
        <v/>
      </c>
      <c r="DD48" s="7" t="str">
        <f ca="1">IF(DD47="","",IFERROR(VLOOKUP($A48,INDIRECT(#REF!&amp;"!$A$6:$C$200"),3,0),0))</f>
        <v/>
      </c>
      <c r="DE48" s="7" t="str">
        <f ca="1">IF(DE47="","",IFERROR(VLOOKUP($A48,INDIRECT(#REF!&amp;"!$A$6:$C$200"),3,0),0))</f>
        <v/>
      </c>
      <c r="DF48" s="7" t="str">
        <f ca="1">IF(DF47="","",IFERROR(VLOOKUP($A48,INDIRECT(#REF!&amp;"!$A$6:$C$200"),3,0),0))</f>
        <v/>
      </c>
      <c r="DG48" s="7" t="str">
        <f ca="1">IF(DG47="","",IFERROR(VLOOKUP($A48,INDIRECT(#REF!&amp;"!$A$6:$C$200"),3,0),0))</f>
        <v/>
      </c>
      <c r="DH48" s="7" t="str">
        <f ca="1">IF(DH47="","",IFERROR(VLOOKUP($A48,INDIRECT(#REF!&amp;"!$A$6:$C$200"),3,0),0))</f>
        <v/>
      </c>
      <c r="DI48" s="7" t="str">
        <f ca="1">IF(DI47="","",IFERROR(VLOOKUP($A48,INDIRECT(#REF!&amp;"!$A$6:$C$200"),3,0),0))</f>
        <v/>
      </c>
      <c r="DJ48" s="7" t="str">
        <f ca="1">IF(DJ47="","",IFERROR(VLOOKUP($A48,INDIRECT(#REF!&amp;"!$A$6:$C$200"),3,0),0))</f>
        <v/>
      </c>
      <c r="DK48" s="7" t="str">
        <f ca="1">IF(DK47="","",IFERROR(VLOOKUP($A48,INDIRECT(#REF!&amp;"!$A$6:$C$200"),3,0),0))</f>
        <v/>
      </c>
    </row>
    <row r="49" spans="1:115">
      <c r="A49" s="6" t="s">
        <v>51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f t="shared" ca="1" si="5"/>
        <v>0</v>
      </c>
      <c r="I49" s="7">
        <f t="shared" ca="1" si="3"/>
        <v>0</v>
      </c>
      <c r="J49" s="7">
        <f t="shared" ca="1" si="4"/>
        <v>0</v>
      </c>
      <c r="K49" s="7">
        <f t="shared" ca="1" si="6"/>
        <v>0</v>
      </c>
      <c r="L49" s="7">
        <f t="shared" ca="1" si="7"/>
        <v>0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  <c r="R49" s="8">
        <v>0</v>
      </c>
      <c r="S49" s="8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7">
        <v>0</v>
      </c>
      <c r="AN49" s="7">
        <v>0</v>
      </c>
      <c r="AO49" s="8">
        <v>0</v>
      </c>
      <c r="AP49" s="8">
        <v>0</v>
      </c>
      <c r="AQ49" s="8">
        <v>0</v>
      </c>
      <c r="AR49" s="7">
        <v>0</v>
      </c>
      <c r="AS49" s="8">
        <v>0</v>
      </c>
      <c r="AT49" s="7">
        <v>0</v>
      </c>
      <c r="AU49" s="8">
        <v>0</v>
      </c>
      <c r="AV49" s="8">
        <v>0</v>
      </c>
      <c r="AW49" s="8">
        <v>0</v>
      </c>
      <c r="AX49" s="7">
        <v>0</v>
      </c>
      <c r="AY49" s="7">
        <v>0</v>
      </c>
      <c r="AZ49" s="7">
        <v>0</v>
      </c>
      <c r="BA49" s="8">
        <v>0</v>
      </c>
      <c r="BB49" s="8">
        <v>0</v>
      </c>
      <c r="BC49" s="7">
        <v>0</v>
      </c>
      <c r="BD49" s="7">
        <v>0</v>
      </c>
      <c r="BE49" s="7">
        <f ca="1">IFERROR(VLOOKUP($A49,INDIRECT(#REF!&amp;"!$A$6:$C$200"),3,0),0)</f>
        <v>0</v>
      </c>
      <c r="BF49" s="8">
        <f ca="1">IFERROR(VLOOKUP($A49,INDIRECT(#REF!&amp;"!$A$6:$C$200"),3,0),0)</f>
        <v>0</v>
      </c>
      <c r="BG49" s="7">
        <f ca="1">IFERROR(VLOOKUP($A49,INDIRECT(#REF!&amp;"!$A$6:$C$200"),3,0),0)</f>
        <v>0</v>
      </c>
      <c r="BH49" s="8">
        <f ca="1">IFERROR(VLOOKUP($A49,INDIRECT(#REF!&amp;"!$A$6:$C$200"),3,0),0)</f>
        <v>0</v>
      </c>
      <c r="BI49" s="8">
        <f ca="1">IFERROR(VLOOKUP($A49,INDIRECT(#REF!&amp;"!$A$6:$C$200"),3,0),0)</f>
        <v>0</v>
      </c>
      <c r="BJ49" s="8">
        <f ca="1">IFERROR(VLOOKUP($A49,INDIRECT(#REF!&amp;"!$A$6:$C$200"),3,0),0)</f>
        <v>0</v>
      </c>
      <c r="BK49" s="8">
        <f ca="1">IFERROR(VLOOKUP($A49,INDIRECT(#REF!&amp;"!$A$6:$C$200"),3,0),0)</f>
        <v>0</v>
      </c>
      <c r="BL49" s="7">
        <f ca="1">IFERROR(VLOOKUP($A49,INDIRECT(#REF!&amp;"!$A$6:$C$200"),3,0),0)</f>
        <v>0</v>
      </c>
      <c r="BM49" s="8">
        <f ca="1">IFERROR(VLOOKUP($A49,INDIRECT(#REF!&amp;"!$A$6:$C$200"),3,0),0)</f>
        <v>0</v>
      </c>
      <c r="BN49" s="8">
        <f ca="1">IFERROR(VLOOKUP($A49,INDIRECT(#REF!&amp;"!$A$6:$C$200"),3,0),0)</f>
        <v>0</v>
      </c>
      <c r="BO49" s="8">
        <f ca="1">IFERROR(VLOOKUP($A49,INDIRECT(#REF!&amp;"!$A$6:$C$200"),3,0),0)</f>
        <v>0</v>
      </c>
      <c r="BP49" s="7">
        <f ca="1">IFERROR(VLOOKUP($A49,INDIRECT(#REF!&amp;"!$A$6:$C$200"),3,0),0)</f>
        <v>0</v>
      </c>
      <c r="BQ49" s="7">
        <f ca="1">IFERROR(VLOOKUP($A49,INDIRECT(#REF!&amp;"!$A$6:$C$200"),3,0),0)</f>
        <v>0</v>
      </c>
      <c r="BR49" s="7">
        <f ca="1">IFERROR(VLOOKUP($A49,INDIRECT(#REF!&amp;"!$A$6:$C$200"),3,0),0)</f>
        <v>0</v>
      </c>
      <c r="BS49" s="8">
        <f ca="1">IFERROR(VLOOKUP($A49,INDIRECT(#REF!&amp;"!$A$6:$C$200"),3,0),0)</f>
        <v>0</v>
      </c>
      <c r="BT49" s="7">
        <f ca="1">IFERROR(VLOOKUP($A49,INDIRECT(#REF!&amp;"!$A$6:$C$200"),3,0),0)</f>
        <v>0</v>
      </c>
      <c r="BU49" s="7">
        <f ca="1">IFERROR(VLOOKUP($A49,INDIRECT(#REF!&amp;"!$A$6:$C$200"),3,0),0)</f>
        <v>0</v>
      </c>
      <c r="BV49" s="7">
        <f ca="1">IFERROR(VLOOKUP($A49,INDIRECT(#REF!&amp;"!$A$6:$C$200"),3,0),0)</f>
        <v>0</v>
      </c>
      <c r="BW49" s="7">
        <f ca="1">IFERROR(VLOOKUP($A49,INDIRECT(#REF!&amp;"!$A$6:$C$200"),3,0),0)</f>
        <v>0</v>
      </c>
      <c r="BX49" s="7">
        <f ca="1">IFERROR(VLOOKUP($A49,INDIRECT(#REF!&amp;"!$A$6:$C$200"),3,0),0)</f>
        <v>0</v>
      </c>
      <c r="BY49" s="7">
        <f ca="1">IFERROR(VLOOKUP($A49,INDIRECT(#REF!&amp;"!$A$6:$C$200"),3,0),0)</f>
        <v>0</v>
      </c>
      <c r="BZ49" s="7">
        <f ca="1">IFERROR(VLOOKUP($A49,INDIRECT(#REF!&amp;"!$A$6:$C$200"),3,0),0)</f>
        <v>0</v>
      </c>
      <c r="CA49" s="7">
        <f ca="1">IFERROR(VLOOKUP($A49,INDIRECT(#REF!&amp;"!$A$6:$C$200"),3,0),0)</f>
        <v>0</v>
      </c>
      <c r="CB49" s="7">
        <f ca="1">IFERROR(VLOOKUP($A49,INDIRECT(#REF!&amp;"!$A$6:$C$200"),3,0),0)</f>
        <v>0</v>
      </c>
      <c r="CC49" s="7">
        <f ca="1">IFERROR(VLOOKUP($A49,INDIRECT(#REF!&amp;"!$A$6:$C$200"),3,0),0)</f>
        <v>0</v>
      </c>
      <c r="CD49" s="7" t="str">
        <f ca="1">IF(CD48="","",IFERROR(VLOOKUP($A49,INDIRECT(#REF!&amp;"!$A$6:$C$200"),3,0),0))</f>
        <v/>
      </c>
      <c r="CE49" s="7" t="str">
        <f ca="1">IF(CE48="","",IFERROR(VLOOKUP($A49,INDIRECT(#REF!&amp;"!$A$6:$C$200"),3,0),0))</f>
        <v/>
      </c>
      <c r="CF49" s="7" t="str">
        <f ca="1">IF(CF48="","",IFERROR(VLOOKUP($A49,INDIRECT(#REF!&amp;"!$A$6:$C$200"),3,0),0))</f>
        <v/>
      </c>
      <c r="CG49" s="7" t="str">
        <f ca="1">IF(CG48="","",IFERROR(VLOOKUP($A49,INDIRECT(#REF!&amp;"!$A$6:$C$200"),3,0),0))</f>
        <v/>
      </c>
      <c r="CH49" s="7" t="str">
        <f ca="1">IF(CH48="","",IFERROR(VLOOKUP($A49,INDIRECT(#REF!&amp;"!$A$6:$C$200"),3,0),0))</f>
        <v/>
      </c>
      <c r="CI49" s="7" t="str">
        <f ca="1">IF(CI48="","",IFERROR(VLOOKUP($A49,INDIRECT(#REF!&amp;"!$A$6:$C$200"),3,0),0))</f>
        <v/>
      </c>
      <c r="CJ49" s="7" t="str">
        <f ca="1">IF(CJ48="","",IFERROR(VLOOKUP($A49,INDIRECT(#REF!&amp;"!$A$6:$C$200"),3,0),0))</f>
        <v/>
      </c>
      <c r="CK49" s="7" t="str">
        <f ca="1">IF(CK48="","",IFERROR(VLOOKUP($A49,INDIRECT(#REF!&amp;"!$A$6:$C$200"),3,0),0))</f>
        <v/>
      </c>
      <c r="CL49" s="7" t="str">
        <f ca="1">IF(CL48="","",IFERROR(VLOOKUP($A49,INDIRECT(#REF!&amp;"!$A$6:$C$200"),3,0),0))</f>
        <v/>
      </c>
      <c r="CM49" s="7" t="str">
        <f ca="1">IF(CM48="","",IFERROR(VLOOKUP($A49,INDIRECT(#REF!&amp;"!$A$6:$C$200"),3,0),0))</f>
        <v/>
      </c>
      <c r="CN49" s="7" t="str">
        <f ca="1">IF(CN48="","",IFERROR(VLOOKUP($A49,INDIRECT(#REF!&amp;"!$A$6:$C$200"),3,0),0))</f>
        <v/>
      </c>
      <c r="CO49" s="7" t="str">
        <f ca="1">IF(CO48="","",IFERROR(VLOOKUP($A49,INDIRECT(#REF!&amp;"!$A$6:$C$200"),3,0),0))</f>
        <v/>
      </c>
      <c r="CP49" s="7" t="str">
        <f ca="1">IF(CP48="","",IFERROR(VLOOKUP($A49,INDIRECT(#REF!&amp;"!$A$6:$C$200"),3,0),0))</f>
        <v/>
      </c>
      <c r="CQ49" s="7" t="str">
        <f ca="1">IF(CQ48="","",IFERROR(VLOOKUP($A49,INDIRECT(#REF!&amp;"!$A$6:$C$200"),3,0),0))</f>
        <v/>
      </c>
      <c r="CR49" s="7" t="str">
        <f ca="1">IF(CR48="","",IFERROR(VLOOKUP($A49,INDIRECT(#REF!&amp;"!$A$6:$C$200"),3,0),0))</f>
        <v/>
      </c>
      <c r="CS49" s="7" t="str">
        <f ca="1">IF(CS48="","",IFERROR(VLOOKUP($A49,INDIRECT(#REF!&amp;"!$A$6:$C$200"),3,0),0))</f>
        <v/>
      </c>
      <c r="CT49" s="7" t="str">
        <f ca="1">IF(CT48="","",IFERROR(VLOOKUP($A49,INDIRECT(#REF!&amp;"!$A$6:$C$200"),3,0),0))</f>
        <v/>
      </c>
      <c r="CU49" s="7" t="str">
        <f ca="1">IF(CU48="","",IFERROR(VLOOKUP($A49,INDIRECT(#REF!&amp;"!$A$6:$C$200"),3,0),0))</f>
        <v/>
      </c>
      <c r="CV49" s="7" t="str">
        <f ca="1">IF(CV48="","",IFERROR(VLOOKUP($A49,INDIRECT(#REF!&amp;"!$A$6:$C$200"),3,0),0))</f>
        <v/>
      </c>
      <c r="CW49" s="7" t="str">
        <f ca="1">IF(CW48="","",IFERROR(VLOOKUP($A49,INDIRECT(#REF!&amp;"!$A$6:$C$200"),3,0),0))</f>
        <v/>
      </c>
      <c r="CX49" s="7" t="str">
        <f ca="1">IF(CX48="","",IFERROR(VLOOKUP($A49,INDIRECT(#REF!&amp;"!$A$6:$C$200"),3,0),0))</f>
        <v/>
      </c>
      <c r="CY49" s="7" t="str">
        <f ca="1">IF(CY48="","",IFERROR(VLOOKUP($A49,INDIRECT(#REF!&amp;"!$A$6:$C$200"),3,0),0))</f>
        <v/>
      </c>
      <c r="CZ49" s="7" t="str">
        <f ca="1">IF(CZ48="","",IFERROR(VLOOKUP($A49,INDIRECT(#REF!&amp;"!$A$6:$C$200"),3,0),0))</f>
        <v/>
      </c>
      <c r="DA49" s="7" t="str">
        <f ca="1">IF(DA48="","",IFERROR(VLOOKUP($A49,INDIRECT(#REF!&amp;"!$A$6:$C$200"),3,0),0))</f>
        <v/>
      </c>
      <c r="DB49" s="7" t="str">
        <f ca="1">IF(DB48="","",IFERROR(VLOOKUP($A49,INDIRECT(#REF!&amp;"!$A$6:$C$200"),3,0),0))</f>
        <v/>
      </c>
      <c r="DC49" s="7" t="str">
        <f ca="1">IF(DC48="","",IFERROR(VLOOKUP($A49,INDIRECT(#REF!&amp;"!$A$6:$C$200"),3,0),0))</f>
        <v/>
      </c>
      <c r="DD49" s="7" t="str">
        <f ca="1">IF(DD48="","",IFERROR(VLOOKUP($A49,INDIRECT(#REF!&amp;"!$A$6:$C$200"),3,0),0))</f>
        <v/>
      </c>
      <c r="DE49" s="7" t="str">
        <f ca="1">IF(DE48="","",IFERROR(VLOOKUP($A49,INDIRECT(#REF!&amp;"!$A$6:$C$200"),3,0),0))</f>
        <v/>
      </c>
      <c r="DF49" s="7" t="str">
        <f ca="1">IF(DF48="","",IFERROR(VLOOKUP($A49,INDIRECT(#REF!&amp;"!$A$6:$C$200"),3,0),0))</f>
        <v/>
      </c>
      <c r="DG49" s="7" t="str">
        <f ca="1">IF(DG48="","",IFERROR(VLOOKUP($A49,INDIRECT(#REF!&amp;"!$A$6:$C$200"),3,0),0))</f>
        <v/>
      </c>
      <c r="DH49" s="7" t="str">
        <f ca="1">IF(DH48="","",IFERROR(VLOOKUP($A49,INDIRECT(#REF!&amp;"!$A$6:$C$200"),3,0),0))</f>
        <v/>
      </c>
      <c r="DI49" s="7" t="str">
        <f ca="1">IF(DI48="","",IFERROR(VLOOKUP($A49,INDIRECT(#REF!&amp;"!$A$6:$C$200"),3,0),0))</f>
        <v/>
      </c>
      <c r="DJ49" s="7" t="str">
        <f ca="1">IF(DJ48="","",IFERROR(VLOOKUP($A49,INDIRECT(#REF!&amp;"!$A$6:$C$200"),3,0),0))</f>
        <v/>
      </c>
      <c r="DK49" s="7" t="str">
        <f ca="1">IF(DK48="","",IFERROR(VLOOKUP($A49,INDIRECT(#REF!&amp;"!$A$6:$C$200"),3,0),0))</f>
        <v/>
      </c>
    </row>
    <row r="50" spans="1:115">
      <c r="A50" s="6" t="s">
        <v>52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f t="shared" ca="1" si="5"/>
        <v>0</v>
      </c>
      <c r="I50" s="7">
        <f t="shared" ca="1" si="3"/>
        <v>0</v>
      </c>
      <c r="J50" s="7">
        <f t="shared" ca="1" si="4"/>
        <v>0</v>
      </c>
      <c r="K50" s="7">
        <f t="shared" ca="1" si="6"/>
        <v>0</v>
      </c>
      <c r="L50" s="7">
        <f t="shared" ca="1" si="7"/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7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7">
        <v>0</v>
      </c>
      <c r="AY50" s="7">
        <v>0</v>
      </c>
      <c r="AZ50" s="7">
        <v>0</v>
      </c>
      <c r="BA50" s="8">
        <v>0</v>
      </c>
      <c r="BB50" s="8">
        <v>0</v>
      </c>
      <c r="BC50" s="7">
        <v>0</v>
      </c>
      <c r="BD50" s="7">
        <v>0</v>
      </c>
      <c r="BE50" s="8">
        <f ca="1">IFERROR(VLOOKUP($A50,INDIRECT(#REF!&amp;"!$A$6:$C$200"),3,0),0)</f>
        <v>0</v>
      </c>
      <c r="BF50" s="8">
        <f ca="1">IFERROR(VLOOKUP($A50,INDIRECT(#REF!&amp;"!$A$6:$C$200"),3,0),0)</f>
        <v>0</v>
      </c>
      <c r="BG50" s="8">
        <f ca="1">IFERROR(VLOOKUP($A50,INDIRECT(#REF!&amp;"!$A$6:$C$200"),3,0),0)</f>
        <v>0</v>
      </c>
      <c r="BH50" s="8">
        <f ca="1">IFERROR(VLOOKUP($A50,INDIRECT(#REF!&amp;"!$A$6:$C$200"),3,0),0)</f>
        <v>0</v>
      </c>
      <c r="BI50" s="7">
        <f ca="1">IFERROR(VLOOKUP($A50,INDIRECT(#REF!&amp;"!$A$6:$C$200"),3,0),0)</f>
        <v>0</v>
      </c>
      <c r="BJ50" s="8">
        <f ca="1">IFERROR(VLOOKUP($A50,INDIRECT(#REF!&amp;"!$A$6:$C$200"),3,0),0)</f>
        <v>0</v>
      </c>
      <c r="BK50" s="8">
        <f ca="1">IFERROR(VLOOKUP($A50,INDIRECT(#REF!&amp;"!$A$6:$C$200"),3,0),0)</f>
        <v>0</v>
      </c>
      <c r="BL50" s="7">
        <f ca="1">IFERROR(VLOOKUP($A50,INDIRECT(#REF!&amp;"!$A$6:$C$200"),3,0),0)</f>
        <v>0</v>
      </c>
      <c r="BM50" s="8">
        <f ca="1">IFERROR(VLOOKUP($A50,INDIRECT(#REF!&amp;"!$A$6:$C$200"),3,0),0)</f>
        <v>0</v>
      </c>
      <c r="BN50" s="8">
        <f ca="1">IFERROR(VLOOKUP($A50,INDIRECT(#REF!&amp;"!$A$6:$C$200"),3,0),0)</f>
        <v>0</v>
      </c>
      <c r="BO50" s="8">
        <f ca="1">IFERROR(VLOOKUP($A50,INDIRECT(#REF!&amp;"!$A$6:$C$200"),3,0),0)</f>
        <v>0</v>
      </c>
      <c r="BP50" s="7">
        <f ca="1">IFERROR(VLOOKUP($A50,INDIRECT(#REF!&amp;"!$A$6:$C$200"),3,0),0)</f>
        <v>0</v>
      </c>
      <c r="BQ50" s="7">
        <f ca="1">IFERROR(VLOOKUP($A50,INDIRECT(#REF!&amp;"!$A$6:$C$200"),3,0),0)</f>
        <v>0</v>
      </c>
      <c r="BR50" s="8">
        <f ca="1">IFERROR(VLOOKUP($A50,INDIRECT(#REF!&amp;"!$A$6:$C$200"),3,0),0)</f>
        <v>0</v>
      </c>
      <c r="BS50" s="8">
        <f ca="1">IFERROR(VLOOKUP($A50,INDIRECT(#REF!&amp;"!$A$6:$C$200"),3,0),0)</f>
        <v>0</v>
      </c>
      <c r="BT50" s="7">
        <f ca="1">IFERROR(VLOOKUP($A50,INDIRECT(#REF!&amp;"!$A$6:$C$200"),3,0),0)</f>
        <v>0</v>
      </c>
      <c r="BU50" s="7">
        <f ca="1">IFERROR(VLOOKUP($A50,INDIRECT(#REF!&amp;"!$A$6:$C$200"),3,0),0)</f>
        <v>0</v>
      </c>
      <c r="BV50" s="7">
        <f ca="1">IFERROR(VLOOKUP($A50,INDIRECT(#REF!&amp;"!$A$6:$C$200"),3,0),0)</f>
        <v>0</v>
      </c>
      <c r="BW50" s="7">
        <f ca="1">IFERROR(VLOOKUP($A50,INDIRECT(#REF!&amp;"!$A$6:$C$200"),3,0),0)</f>
        <v>0</v>
      </c>
      <c r="BX50" s="7">
        <f ca="1">IFERROR(VLOOKUP($A50,INDIRECT(#REF!&amp;"!$A$6:$C$200"),3,0),0)</f>
        <v>0</v>
      </c>
      <c r="BY50" s="7">
        <f ca="1">IFERROR(VLOOKUP($A50,INDIRECT(#REF!&amp;"!$A$6:$C$200"),3,0),0)</f>
        <v>0</v>
      </c>
      <c r="BZ50" s="7">
        <f ca="1">IFERROR(VLOOKUP($A50,INDIRECT(#REF!&amp;"!$A$6:$C$200"),3,0),0)</f>
        <v>0</v>
      </c>
      <c r="CA50" s="7">
        <f ca="1">IFERROR(VLOOKUP($A50,INDIRECT(#REF!&amp;"!$A$6:$C$200"),3,0),0)</f>
        <v>0</v>
      </c>
      <c r="CB50" s="7">
        <f ca="1">IFERROR(VLOOKUP($A50,INDIRECT(#REF!&amp;"!$A$6:$C$200"),3,0),0)</f>
        <v>0</v>
      </c>
      <c r="CC50" s="7">
        <f ca="1">IFERROR(VLOOKUP($A50,INDIRECT(#REF!&amp;"!$A$6:$C$200"),3,0),0)</f>
        <v>0</v>
      </c>
      <c r="CD50" s="7" t="str">
        <f ca="1">IF(CD49="","",IFERROR(VLOOKUP($A50,INDIRECT(#REF!&amp;"!$A$6:$C$200"),3,0),0))</f>
        <v/>
      </c>
      <c r="CE50" s="7" t="str">
        <f ca="1">IF(CE49="","",IFERROR(VLOOKUP($A50,INDIRECT(#REF!&amp;"!$A$6:$C$200"),3,0),0))</f>
        <v/>
      </c>
      <c r="CF50" s="7" t="str">
        <f ca="1">IF(CF49="","",IFERROR(VLOOKUP($A50,INDIRECT(#REF!&amp;"!$A$6:$C$200"),3,0),0))</f>
        <v/>
      </c>
      <c r="CG50" s="7" t="str">
        <f ca="1">IF(CG49="","",IFERROR(VLOOKUP($A50,INDIRECT(#REF!&amp;"!$A$6:$C$200"),3,0),0))</f>
        <v/>
      </c>
      <c r="CH50" s="7" t="str">
        <f ca="1">IF(CH49="","",IFERROR(VLOOKUP($A50,INDIRECT(#REF!&amp;"!$A$6:$C$200"),3,0),0))</f>
        <v/>
      </c>
      <c r="CI50" s="7" t="str">
        <f ca="1">IF(CI49="","",IFERROR(VLOOKUP($A50,INDIRECT(#REF!&amp;"!$A$6:$C$200"),3,0),0))</f>
        <v/>
      </c>
      <c r="CJ50" s="7" t="str">
        <f ca="1">IF(CJ49="","",IFERROR(VLOOKUP($A50,INDIRECT(#REF!&amp;"!$A$6:$C$200"),3,0),0))</f>
        <v/>
      </c>
      <c r="CK50" s="7" t="str">
        <f ca="1">IF(CK49="","",IFERROR(VLOOKUP($A50,INDIRECT(#REF!&amp;"!$A$6:$C$200"),3,0),0))</f>
        <v/>
      </c>
      <c r="CL50" s="7" t="str">
        <f ca="1">IF(CL49="","",IFERROR(VLOOKUP($A50,INDIRECT(#REF!&amp;"!$A$6:$C$200"),3,0),0))</f>
        <v/>
      </c>
      <c r="CM50" s="7" t="str">
        <f ca="1">IF(CM49="","",IFERROR(VLOOKUP($A50,INDIRECT(#REF!&amp;"!$A$6:$C$200"),3,0),0))</f>
        <v/>
      </c>
      <c r="CN50" s="7" t="str">
        <f ca="1">IF(CN49="","",IFERROR(VLOOKUP($A50,INDIRECT(#REF!&amp;"!$A$6:$C$200"),3,0),0))</f>
        <v/>
      </c>
      <c r="CO50" s="7" t="str">
        <f ca="1">IF(CO49="","",IFERROR(VLOOKUP($A50,INDIRECT(#REF!&amp;"!$A$6:$C$200"),3,0),0))</f>
        <v/>
      </c>
      <c r="CP50" s="7" t="str">
        <f ca="1">IF(CP49="","",IFERROR(VLOOKUP($A50,INDIRECT(#REF!&amp;"!$A$6:$C$200"),3,0),0))</f>
        <v/>
      </c>
      <c r="CQ50" s="7" t="str">
        <f ca="1">IF(CQ49="","",IFERROR(VLOOKUP($A50,INDIRECT(#REF!&amp;"!$A$6:$C$200"),3,0),0))</f>
        <v/>
      </c>
      <c r="CR50" s="7" t="str">
        <f ca="1">IF(CR49="","",IFERROR(VLOOKUP($A50,INDIRECT(#REF!&amp;"!$A$6:$C$200"),3,0),0))</f>
        <v/>
      </c>
      <c r="CS50" s="7" t="str">
        <f ca="1">IF(CS49="","",IFERROR(VLOOKUP($A50,INDIRECT(#REF!&amp;"!$A$6:$C$200"),3,0),0))</f>
        <v/>
      </c>
      <c r="CT50" s="7" t="str">
        <f ca="1">IF(CT49="","",IFERROR(VLOOKUP($A50,INDIRECT(#REF!&amp;"!$A$6:$C$200"),3,0),0))</f>
        <v/>
      </c>
      <c r="CU50" s="7" t="str">
        <f ca="1">IF(CU49="","",IFERROR(VLOOKUP($A50,INDIRECT(#REF!&amp;"!$A$6:$C$200"),3,0),0))</f>
        <v/>
      </c>
      <c r="CV50" s="7" t="str">
        <f ca="1">IF(CV49="","",IFERROR(VLOOKUP($A50,INDIRECT(#REF!&amp;"!$A$6:$C$200"),3,0),0))</f>
        <v/>
      </c>
      <c r="CW50" s="7" t="str">
        <f ca="1">IF(CW49="","",IFERROR(VLOOKUP($A50,INDIRECT(#REF!&amp;"!$A$6:$C$200"),3,0),0))</f>
        <v/>
      </c>
      <c r="CX50" s="7" t="str">
        <f ca="1">IF(CX49="","",IFERROR(VLOOKUP($A50,INDIRECT(#REF!&amp;"!$A$6:$C$200"),3,0),0))</f>
        <v/>
      </c>
      <c r="CY50" s="7" t="str">
        <f ca="1">IF(CY49="","",IFERROR(VLOOKUP($A50,INDIRECT(#REF!&amp;"!$A$6:$C$200"),3,0),0))</f>
        <v/>
      </c>
      <c r="CZ50" s="7" t="str">
        <f ca="1">IF(CZ49="","",IFERROR(VLOOKUP($A50,INDIRECT(#REF!&amp;"!$A$6:$C$200"),3,0),0))</f>
        <v/>
      </c>
      <c r="DA50" s="7" t="str">
        <f ca="1">IF(DA49="","",IFERROR(VLOOKUP($A50,INDIRECT(#REF!&amp;"!$A$6:$C$200"),3,0),0))</f>
        <v/>
      </c>
      <c r="DB50" s="7" t="str">
        <f ca="1">IF(DB49="","",IFERROR(VLOOKUP($A50,INDIRECT(#REF!&amp;"!$A$6:$C$200"),3,0),0))</f>
        <v/>
      </c>
      <c r="DC50" s="7" t="str">
        <f ca="1">IF(DC49="","",IFERROR(VLOOKUP($A50,INDIRECT(#REF!&amp;"!$A$6:$C$200"),3,0),0))</f>
        <v/>
      </c>
      <c r="DD50" s="7" t="str">
        <f ca="1">IF(DD49="","",IFERROR(VLOOKUP($A50,INDIRECT(#REF!&amp;"!$A$6:$C$200"),3,0),0))</f>
        <v/>
      </c>
      <c r="DE50" s="7" t="str">
        <f ca="1">IF(DE49="","",IFERROR(VLOOKUP($A50,INDIRECT(#REF!&amp;"!$A$6:$C$200"),3,0),0))</f>
        <v/>
      </c>
      <c r="DF50" s="7" t="str">
        <f ca="1">IF(DF49="","",IFERROR(VLOOKUP($A50,INDIRECT(#REF!&amp;"!$A$6:$C$200"),3,0),0))</f>
        <v/>
      </c>
      <c r="DG50" s="7" t="str">
        <f ca="1">IF(DG49="","",IFERROR(VLOOKUP($A50,INDIRECT(#REF!&amp;"!$A$6:$C$200"),3,0),0))</f>
        <v/>
      </c>
      <c r="DH50" s="7" t="str">
        <f ca="1">IF(DH49="","",IFERROR(VLOOKUP($A50,INDIRECT(#REF!&amp;"!$A$6:$C$200"),3,0),0))</f>
        <v/>
      </c>
      <c r="DI50" s="7" t="str">
        <f ca="1">IF(DI49="","",IFERROR(VLOOKUP($A50,INDIRECT(#REF!&amp;"!$A$6:$C$200"),3,0),0))</f>
        <v/>
      </c>
      <c r="DJ50" s="7" t="str">
        <f ca="1">IF(DJ49="","",IFERROR(VLOOKUP($A50,INDIRECT(#REF!&amp;"!$A$6:$C$200"),3,0),0))</f>
        <v/>
      </c>
      <c r="DK50" s="7" t="str">
        <f ca="1">IF(DK49="","",IFERROR(VLOOKUP($A50,INDIRECT(#REF!&amp;"!$A$6:$C$200"),3,0),0))</f>
        <v/>
      </c>
    </row>
    <row r="51" spans="1:115">
      <c r="A51" s="6" t="s">
        <v>53</v>
      </c>
      <c r="B51" s="7">
        <v>1.6666666666666667E-5</v>
      </c>
      <c r="C51" s="7">
        <v>1.4285714285714287E-5</v>
      </c>
      <c r="D51" s="7">
        <v>0</v>
      </c>
      <c r="E51" s="7">
        <v>0</v>
      </c>
      <c r="F51" s="7">
        <v>0</v>
      </c>
      <c r="G51" s="7">
        <v>0</v>
      </c>
      <c r="H51" s="7">
        <f t="shared" ca="1" si="5"/>
        <v>0</v>
      </c>
      <c r="I51" s="7">
        <f t="shared" ca="1" si="3"/>
        <v>0</v>
      </c>
      <c r="J51" s="7">
        <f t="shared" ca="1" si="4"/>
        <v>0</v>
      </c>
      <c r="K51" s="7">
        <f t="shared" ca="1" si="6"/>
        <v>0</v>
      </c>
      <c r="L51" s="7">
        <f t="shared" ca="1" si="7"/>
        <v>0</v>
      </c>
      <c r="M51" s="8">
        <v>0</v>
      </c>
      <c r="N51" s="8">
        <v>0</v>
      </c>
      <c r="O51" s="8">
        <v>0</v>
      </c>
      <c r="P51" s="8">
        <v>1E-4</v>
      </c>
      <c r="Q51" s="8">
        <v>0</v>
      </c>
      <c r="R51" s="8">
        <v>0</v>
      </c>
      <c r="S51" s="8">
        <v>0</v>
      </c>
      <c r="T51" s="8">
        <v>0</v>
      </c>
      <c r="U51" s="8">
        <v>1E-4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8">
        <v>0</v>
      </c>
      <c r="AC51" s="8">
        <v>0</v>
      </c>
      <c r="AD51" s="8">
        <v>0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7">
        <v>0</v>
      </c>
      <c r="AN51" s="8">
        <v>0</v>
      </c>
      <c r="AO51" s="7">
        <v>0</v>
      </c>
      <c r="AP51" s="7">
        <v>0</v>
      </c>
      <c r="AQ51" s="7">
        <v>0</v>
      </c>
      <c r="AR51" s="8">
        <v>0</v>
      </c>
      <c r="AS51" s="7">
        <v>0</v>
      </c>
      <c r="AT51" s="8">
        <v>0</v>
      </c>
      <c r="AU51" s="7">
        <v>0</v>
      </c>
      <c r="AV51" s="7">
        <v>0</v>
      </c>
      <c r="AW51" s="8">
        <v>0</v>
      </c>
      <c r="AX51" s="7">
        <v>0</v>
      </c>
      <c r="AY51" s="7">
        <v>0</v>
      </c>
      <c r="AZ51" s="7">
        <v>0</v>
      </c>
      <c r="BA51" s="8">
        <v>0</v>
      </c>
      <c r="BB51" s="8">
        <v>0</v>
      </c>
      <c r="BC51" s="7">
        <v>0</v>
      </c>
      <c r="BD51" s="7">
        <v>0</v>
      </c>
      <c r="BE51" s="8">
        <f ca="1">IFERROR(VLOOKUP($A51,INDIRECT(#REF!&amp;"!$A$6:$C$200"),3,0),0)</f>
        <v>0</v>
      </c>
      <c r="BF51" s="8">
        <f ca="1">IFERROR(VLOOKUP($A51,INDIRECT(#REF!&amp;"!$A$6:$C$200"),3,0),0)</f>
        <v>0</v>
      </c>
      <c r="BG51" s="7">
        <f ca="1">IFERROR(VLOOKUP($A51,INDIRECT(#REF!&amp;"!$A$6:$C$200"),3,0),0)</f>
        <v>0</v>
      </c>
      <c r="BH51" s="8">
        <f ca="1">IFERROR(VLOOKUP($A51,INDIRECT(#REF!&amp;"!$A$6:$C$200"),3,0),0)</f>
        <v>0</v>
      </c>
      <c r="BI51" s="7">
        <f ca="1">IFERROR(VLOOKUP($A51,INDIRECT(#REF!&amp;"!$A$6:$C$200"),3,0),0)</f>
        <v>0</v>
      </c>
      <c r="BJ51" s="8">
        <f ca="1">IFERROR(VLOOKUP($A51,INDIRECT(#REF!&amp;"!$A$6:$C$200"),3,0),0)</f>
        <v>0</v>
      </c>
      <c r="BK51" s="8">
        <f ca="1">IFERROR(VLOOKUP($A51,INDIRECT(#REF!&amp;"!$A$6:$C$200"),3,0),0)</f>
        <v>0</v>
      </c>
      <c r="BL51" s="7">
        <f ca="1">IFERROR(VLOOKUP($A51,INDIRECT(#REF!&amp;"!$A$6:$C$200"),3,0),0)</f>
        <v>0</v>
      </c>
      <c r="BM51" s="8">
        <f ca="1">IFERROR(VLOOKUP($A51,INDIRECT(#REF!&amp;"!$A$6:$C$200"),3,0),0)</f>
        <v>0</v>
      </c>
      <c r="BN51" s="8">
        <f ca="1">IFERROR(VLOOKUP($A51,INDIRECT(#REF!&amp;"!$A$6:$C$200"),3,0),0)</f>
        <v>0</v>
      </c>
      <c r="BO51" s="8">
        <f ca="1">IFERROR(VLOOKUP($A51,INDIRECT(#REF!&amp;"!$A$6:$C$200"),3,0),0)</f>
        <v>0</v>
      </c>
      <c r="BP51" s="7">
        <f ca="1">IFERROR(VLOOKUP($A51,INDIRECT(#REF!&amp;"!$A$6:$C$200"),3,0),0)</f>
        <v>0</v>
      </c>
      <c r="BQ51" s="7">
        <f ca="1">IFERROR(VLOOKUP($A51,INDIRECT(#REF!&amp;"!$A$6:$C$200"),3,0),0)</f>
        <v>0</v>
      </c>
      <c r="BR51" s="8">
        <f ca="1">IFERROR(VLOOKUP($A51,INDIRECT(#REF!&amp;"!$A$6:$C$200"),3,0),0)</f>
        <v>0</v>
      </c>
      <c r="BS51" s="8">
        <f ca="1">IFERROR(VLOOKUP($A51,INDIRECT(#REF!&amp;"!$A$6:$C$200"),3,0),0)</f>
        <v>0</v>
      </c>
      <c r="BT51" s="7">
        <f ca="1">IFERROR(VLOOKUP($A51,INDIRECT(#REF!&amp;"!$A$6:$C$200"),3,0),0)</f>
        <v>0</v>
      </c>
      <c r="BU51" s="7">
        <f ca="1">IFERROR(VLOOKUP($A51,INDIRECT(#REF!&amp;"!$A$6:$C$200"),3,0),0)</f>
        <v>0</v>
      </c>
      <c r="BV51" s="7">
        <f ca="1">IFERROR(VLOOKUP($A51,INDIRECT(#REF!&amp;"!$A$6:$C$200"),3,0),0)</f>
        <v>0</v>
      </c>
      <c r="BW51" s="7">
        <f ca="1">IFERROR(VLOOKUP($A51,INDIRECT(#REF!&amp;"!$A$6:$C$200"),3,0),0)</f>
        <v>0</v>
      </c>
      <c r="BX51" s="7">
        <f ca="1">IFERROR(VLOOKUP($A51,INDIRECT(#REF!&amp;"!$A$6:$C$200"),3,0),0)</f>
        <v>0</v>
      </c>
      <c r="BY51" s="7">
        <f ca="1">IFERROR(VLOOKUP($A51,INDIRECT(#REF!&amp;"!$A$6:$C$200"),3,0),0)</f>
        <v>0</v>
      </c>
      <c r="BZ51" s="7">
        <f ca="1">IFERROR(VLOOKUP($A51,INDIRECT(#REF!&amp;"!$A$6:$C$200"),3,0),0)</f>
        <v>0</v>
      </c>
      <c r="CA51" s="7">
        <f ca="1">IFERROR(VLOOKUP($A51,INDIRECT(#REF!&amp;"!$A$6:$C$200"),3,0),0)</f>
        <v>0</v>
      </c>
      <c r="CB51" s="7">
        <f ca="1">IFERROR(VLOOKUP($A51,INDIRECT(#REF!&amp;"!$A$6:$C$200"),3,0),0)</f>
        <v>0</v>
      </c>
      <c r="CC51" s="7">
        <f ca="1">IFERROR(VLOOKUP($A51,INDIRECT(#REF!&amp;"!$A$6:$C$200"),3,0),0)</f>
        <v>0</v>
      </c>
      <c r="CD51" s="7" t="str">
        <f ca="1">IF(CD50="","",IFERROR(VLOOKUP($A51,INDIRECT(#REF!&amp;"!$A$6:$C$200"),3,0),0))</f>
        <v/>
      </c>
      <c r="CE51" s="7" t="str">
        <f ca="1">IF(CE50="","",IFERROR(VLOOKUP($A51,INDIRECT(#REF!&amp;"!$A$6:$C$200"),3,0),0))</f>
        <v/>
      </c>
      <c r="CF51" s="7" t="str">
        <f ca="1">IF(CF50="","",IFERROR(VLOOKUP($A51,INDIRECT(#REF!&amp;"!$A$6:$C$200"),3,0),0))</f>
        <v/>
      </c>
      <c r="CG51" s="7" t="str">
        <f ca="1">IF(CG50="","",IFERROR(VLOOKUP($A51,INDIRECT(#REF!&amp;"!$A$6:$C$200"),3,0),0))</f>
        <v/>
      </c>
      <c r="CH51" s="7" t="str">
        <f ca="1">IF(CH50="","",IFERROR(VLOOKUP($A51,INDIRECT(#REF!&amp;"!$A$6:$C$200"),3,0),0))</f>
        <v/>
      </c>
      <c r="CI51" s="7" t="str">
        <f ca="1">IF(CI50="","",IFERROR(VLOOKUP($A51,INDIRECT(#REF!&amp;"!$A$6:$C$200"),3,0),0))</f>
        <v/>
      </c>
      <c r="CJ51" s="7" t="str">
        <f ca="1">IF(CJ50="","",IFERROR(VLOOKUP($A51,INDIRECT(#REF!&amp;"!$A$6:$C$200"),3,0),0))</f>
        <v/>
      </c>
      <c r="CK51" s="7" t="str">
        <f ca="1">IF(CK50="","",IFERROR(VLOOKUP($A51,INDIRECT(#REF!&amp;"!$A$6:$C$200"),3,0),0))</f>
        <v/>
      </c>
      <c r="CL51" s="7" t="str">
        <f ca="1">IF(CL50="","",IFERROR(VLOOKUP($A51,INDIRECT(#REF!&amp;"!$A$6:$C$200"),3,0),0))</f>
        <v/>
      </c>
      <c r="CM51" s="7" t="str">
        <f ca="1">IF(CM50="","",IFERROR(VLOOKUP($A51,INDIRECT(#REF!&amp;"!$A$6:$C$200"),3,0),0))</f>
        <v/>
      </c>
      <c r="CN51" s="7" t="str">
        <f ca="1">IF(CN50="","",IFERROR(VLOOKUP($A51,INDIRECT(#REF!&amp;"!$A$6:$C$200"),3,0),0))</f>
        <v/>
      </c>
      <c r="CO51" s="7" t="str">
        <f ca="1">IF(CO50="","",IFERROR(VLOOKUP($A51,INDIRECT(#REF!&amp;"!$A$6:$C$200"),3,0),0))</f>
        <v/>
      </c>
      <c r="CP51" s="7" t="str">
        <f ca="1">IF(CP50="","",IFERROR(VLOOKUP($A51,INDIRECT(#REF!&amp;"!$A$6:$C$200"),3,0),0))</f>
        <v/>
      </c>
      <c r="CQ51" s="7" t="str">
        <f ca="1">IF(CQ50="","",IFERROR(VLOOKUP($A51,INDIRECT(#REF!&amp;"!$A$6:$C$200"),3,0),0))</f>
        <v/>
      </c>
      <c r="CR51" s="7" t="str">
        <f ca="1">IF(CR50="","",IFERROR(VLOOKUP($A51,INDIRECT(#REF!&amp;"!$A$6:$C$200"),3,0),0))</f>
        <v/>
      </c>
      <c r="CS51" s="7" t="str">
        <f ca="1">IF(CS50="","",IFERROR(VLOOKUP($A51,INDIRECT(#REF!&amp;"!$A$6:$C$200"),3,0),0))</f>
        <v/>
      </c>
      <c r="CT51" s="7" t="str">
        <f ca="1">IF(CT50="","",IFERROR(VLOOKUP($A51,INDIRECT(#REF!&amp;"!$A$6:$C$200"),3,0),0))</f>
        <v/>
      </c>
      <c r="CU51" s="7" t="str">
        <f ca="1">IF(CU50="","",IFERROR(VLOOKUP($A51,INDIRECT(#REF!&amp;"!$A$6:$C$200"),3,0),0))</f>
        <v/>
      </c>
      <c r="CV51" s="7" t="str">
        <f ca="1">IF(CV50="","",IFERROR(VLOOKUP($A51,INDIRECT(#REF!&amp;"!$A$6:$C$200"),3,0),0))</f>
        <v/>
      </c>
      <c r="CW51" s="7" t="str">
        <f ca="1">IF(CW50="","",IFERROR(VLOOKUP($A51,INDIRECT(#REF!&amp;"!$A$6:$C$200"),3,0),0))</f>
        <v/>
      </c>
      <c r="CX51" s="7" t="str">
        <f ca="1">IF(CX50="","",IFERROR(VLOOKUP($A51,INDIRECT(#REF!&amp;"!$A$6:$C$200"),3,0),0))</f>
        <v/>
      </c>
      <c r="CY51" s="7" t="str">
        <f ca="1">IF(CY50="","",IFERROR(VLOOKUP($A51,INDIRECT(#REF!&amp;"!$A$6:$C$200"),3,0),0))</f>
        <v/>
      </c>
      <c r="CZ51" s="7" t="str">
        <f ca="1">IF(CZ50="","",IFERROR(VLOOKUP($A51,INDIRECT(#REF!&amp;"!$A$6:$C$200"),3,0),0))</f>
        <v/>
      </c>
      <c r="DA51" s="7" t="str">
        <f ca="1">IF(DA50="","",IFERROR(VLOOKUP($A51,INDIRECT(#REF!&amp;"!$A$6:$C$200"),3,0),0))</f>
        <v/>
      </c>
      <c r="DB51" s="7" t="str">
        <f ca="1">IF(DB50="","",IFERROR(VLOOKUP($A51,INDIRECT(#REF!&amp;"!$A$6:$C$200"),3,0),0))</f>
        <v/>
      </c>
      <c r="DC51" s="7" t="str">
        <f ca="1">IF(DC50="","",IFERROR(VLOOKUP($A51,INDIRECT(#REF!&amp;"!$A$6:$C$200"),3,0),0))</f>
        <v/>
      </c>
      <c r="DD51" s="7" t="str">
        <f ca="1">IF(DD50="","",IFERROR(VLOOKUP($A51,INDIRECT(#REF!&amp;"!$A$6:$C$200"),3,0),0))</f>
        <v/>
      </c>
      <c r="DE51" s="7" t="str">
        <f ca="1">IF(DE50="","",IFERROR(VLOOKUP($A51,INDIRECT(#REF!&amp;"!$A$6:$C$200"),3,0),0))</f>
        <v/>
      </c>
      <c r="DF51" s="7" t="str">
        <f ca="1">IF(DF50="","",IFERROR(VLOOKUP($A51,INDIRECT(#REF!&amp;"!$A$6:$C$200"),3,0),0))</f>
        <v/>
      </c>
      <c r="DG51" s="7" t="str">
        <f ca="1">IF(DG50="","",IFERROR(VLOOKUP($A51,INDIRECT(#REF!&amp;"!$A$6:$C$200"),3,0),0))</f>
        <v/>
      </c>
      <c r="DH51" s="7" t="str">
        <f ca="1">IF(DH50="","",IFERROR(VLOOKUP($A51,INDIRECT(#REF!&amp;"!$A$6:$C$200"),3,0),0))</f>
        <v/>
      </c>
      <c r="DI51" s="7" t="str">
        <f ca="1">IF(DI50="","",IFERROR(VLOOKUP($A51,INDIRECT(#REF!&amp;"!$A$6:$C$200"),3,0),0))</f>
        <v/>
      </c>
      <c r="DJ51" s="7" t="str">
        <f ca="1">IF(DJ50="","",IFERROR(VLOOKUP($A51,INDIRECT(#REF!&amp;"!$A$6:$C$200"),3,0),0))</f>
        <v/>
      </c>
      <c r="DK51" s="7" t="str">
        <f ca="1">IF(DK50="","",IFERROR(VLOOKUP($A51,INDIRECT(#REF!&amp;"!$A$6:$C$200"),3,0),0))</f>
        <v/>
      </c>
    </row>
    <row r="52" spans="1:115">
      <c r="A52" s="6" t="s">
        <v>54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f t="shared" ca="1" si="5"/>
        <v>0</v>
      </c>
      <c r="I52" s="7">
        <f t="shared" ca="1" si="3"/>
        <v>0</v>
      </c>
      <c r="J52" s="7">
        <f t="shared" ca="1" si="4"/>
        <v>0</v>
      </c>
      <c r="K52" s="7">
        <f t="shared" ca="1" si="6"/>
        <v>0</v>
      </c>
      <c r="L52" s="7">
        <f t="shared" ca="1" si="7"/>
        <v>0</v>
      </c>
      <c r="M52" s="8">
        <v>0</v>
      </c>
      <c r="N52" s="8">
        <v>0</v>
      </c>
      <c r="O52" s="8">
        <v>0</v>
      </c>
      <c r="P52" s="8">
        <v>0</v>
      </c>
      <c r="Q52" s="8">
        <v>0</v>
      </c>
      <c r="R52" s="8">
        <v>0</v>
      </c>
      <c r="S52" s="8">
        <v>0</v>
      </c>
      <c r="T52" s="8">
        <v>0</v>
      </c>
      <c r="U52" s="8">
        <v>0</v>
      </c>
      <c r="V52" s="8">
        <v>0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8">
        <v>0</v>
      </c>
      <c r="AC52" s="8">
        <v>0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  <c r="AJ52" s="8">
        <v>0</v>
      </c>
      <c r="AK52" s="8">
        <v>0</v>
      </c>
      <c r="AL52" s="8">
        <v>0</v>
      </c>
      <c r="AM52" s="7">
        <v>0</v>
      </c>
      <c r="AN52" s="8">
        <v>0</v>
      </c>
      <c r="AO52" s="8">
        <v>0</v>
      </c>
      <c r="AP52" s="8">
        <v>0</v>
      </c>
      <c r="AQ52" s="8">
        <v>0</v>
      </c>
      <c r="AR52" s="8">
        <v>0</v>
      </c>
      <c r="AS52" s="8">
        <v>0</v>
      </c>
      <c r="AT52" s="8">
        <v>0</v>
      </c>
      <c r="AU52" s="8">
        <v>0</v>
      </c>
      <c r="AV52" s="8">
        <v>0</v>
      </c>
      <c r="AW52" s="8">
        <v>0</v>
      </c>
      <c r="AX52" s="7">
        <v>0</v>
      </c>
      <c r="AY52" s="7">
        <v>0</v>
      </c>
      <c r="AZ52" s="7">
        <v>0</v>
      </c>
      <c r="BA52" s="8">
        <v>0</v>
      </c>
      <c r="BB52" s="8">
        <v>0</v>
      </c>
      <c r="BC52" s="7">
        <v>0</v>
      </c>
      <c r="BD52" s="7">
        <v>0</v>
      </c>
      <c r="BE52" s="8">
        <f ca="1">IFERROR(VLOOKUP($A52,INDIRECT(#REF!&amp;"!$A$6:$C$200"),3,0),0)</f>
        <v>0</v>
      </c>
      <c r="BF52" s="8">
        <f ca="1">IFERROR(VLOOKUP($A52,INDIRECT(#REF!&amp;"!$A$6:$C$200"),3,0),0)</f>
        <v>0</v>
      </c>
      <c r="BG52" s="8">
        <f ca="1">IFERROR(VLOOKUP($A52,INDIRECT(#REF!&amp;"!$A$6:$C$200"),3,0),0)</f>
        <v>0</v>
      </c>
      <c r="BH52" s="8">
        <f ca="1">IFERROR(VLOOKUP($A52,INDIRECT(#REF!&amp;"!$A$6:$C$200"),3,0),0)</f>
        <v>0</v>
      </c>
      <c r="BI52" s="7">
        <f ca="1">IFERROR(VLOOKUP($A52,INDIRECT(#REF!&amp;"!$A$6:$C$200"),3,0),0)</f>
        <v>0</v>
      </c>
      <c r="BJ52" s="8">
        <f ca="1">IFERROR(VLOOKUP($A52,INDIRECT(#REF!&amp;"!$A$6:$C$200"),3,0),0)</f>
        <v>0</v>
      </c>
      <c r="BK52" s="8">
        <f ca="1">IFERROR(VLOOKUP($A52,INDIRECT(#REF!&amp;"!$A$6:$C$200"),3,0),0)</f>
        <v>0</v>
      </c>
      <c r="BL52" s="7">
        <f ca="1">IFERROR(VLOOKUP($A52,INDIRECT(#REF!&amp;"!$A$6:$C$200"),3,0),0)</f>
        <v>0</v>
      </c>
      <c r="BM52" s="8">
        <f ca="1">IFERROR(VLOOKUP($A52,INDIRECT(#REF!&amp;"!$A$6:$C$200"),3,0),0)</f>
        <v>0</v>
      </c>
      <c r="BN52" s="8">
        <f ca="1">IFERROR(VLOOKUP($A52,INDIRECT(#REF!&amp;"!$A$6:$C$200"),3,0),0)</f>
        <v>0</v>
      </c>
      <c r="BO52" s="8">
        <f ca="1">IFERROR(VLOOKUP($A52,INDIRECT(#REF!&amp;"!$A$6:$C$200"),3,0),0)</f>
        <v>0</v>
      </c>
      <c r="BP52" s="7">
        <f ca="1">IFERROR(VLOOKUP($A52,INDIRECT(#REF!&amp;"!$A$6:$C$200"),3,0),0)</f>
        <v>0</v>
      </c>
      <c r="BQ52" s="7">
        <f ca="1">IFERROR(VLOOKUP($A52,INDIRECT(#REF!&amp;"!$A$6:$C$200"),3,0),0)</f>
        <v>0</v>
      </c>
      <c r="BR52" s="8">
        <f ca="1">IFERROR(VLOOKUP($A52,INDIRECT(#REF!&amp;"!$A$6:$C$200"),3,0),0)</f>
        <v>0</v>
      </c>
      <c r="BS52" s="8">
        <f ca="1">IFERROR(VLOOKUP($A52,INDIRECT(#REF!&amp;"!$A$6:$C$200"),3,0),0)</f>
        <v>0</v>
      </c>
      <c r="BT52" s="7">
        <f ca="1">IFERROR(VLOOKUP($A52,INDIRECT(#REF!&amp;"!$A$6:$C$200"),3,0),0)</f>
        <v>0</v>
      </c>
      <c r="BU52" s="7">
        <f ca="1">IFERROR(VLOOKUP($A52,INDIRECT(#REF!&amp;"!$A$6:$C$200"),3,0),0)</f>
        <v>0</v>
      </c>
      <c r="BV52" s="7">
        <f ca="1">IFERROR(VLOOKUP($A52,INDIRECT(#REF!&amp;"!$A$6:$C$200"),3,0),0)</f>
        <v>0</v>
      </c>
      <c r="BW52" s="7">
        <f ca="1">IFERROR(VLOOKUP($A52,INDIRECT(#REF!&amp;"!$A$6:$C$200"),3,0),0)</f>
        <v>0</v>
      </c>
      <c r="BX52" s="7">
        <f ca="1">IFERROR(VLOOKUP($A52,INDIRECT(#REF!&amp;"!$A$6:$C$200"),3,0),0)</f>
        <v>0</v>
      </c>
      <c r="BY52" s="7">
        <f ca="1">IFERROR(VLOOKUP($A52,INDIRECT(#REF!&amp;"!$A$6:$C$200"),3,0),0)</f>
        <v>0</v>
      </c>
      <c r="BZ52" s="7">
        <f ca="1">IFERROR(VLOOKUP($A52,INDIRECT(#REF!&amp;"!$A$6:$C$200"),3,0),0)</f>
        <v>0</v>
      </c>
      <c r="CA52" s="7">
        <f ca="1">IFERROR(VLOOKUP($A52,INDIRECT(#REF!&amp;"!$A$6:$C$200"),3,0),0)</f>
        <v>0</v>
      </c>
      <c r="CB52" s="7">
        <f ca="1">IFERROR(VLOOKUP($A52,INDIRECT(#REF!&amp;"!$A$6:$C$200"),3,0),0)</f>
        <v>0</v>
      </c>
      <c r="CC52" s="7">
        <f ca="1">IFERROR(VLOOKUP($A52,INDIRECT(#REF!&amp;"!$A$6:$C$200"),3,0),0)</f>
        <v>0</v>
      </c>
      <c r="CD52" s="7" t="str">
        <f ca="1">IF(CD51="","",IFERROR(VLOOKUP($A52,INDIRECT(#REF!&amp;"!$A$6:$C$200"),3,0),0))</f>
        <v/>
      </c>
      <c r="CE52" s="7" t="str">
        <f ca="1">IF(CE51="","",IFERROR(VLOOKUP($A52,INDIRECT(#REF!&amp;"!$A$6:$C$200"),3,0),0))</f>
        <v/>
      </c>
      <c r="CF52" s="7" t="str">
        <f ca="1">IF(CF51="","",IFERROR(VLOOKUP($A52,INDIRECT(#REF!&amp;"!$A$6:$C$200"),3,0),0))</f>
        <v/>
      </c>
      <c r="CG52" s="7" t="str">
        <f ca="1">IF(CG51="","",IFERROR(VLOOKUP($A52,INDIRECT(#REF!&amp;"!$A$6:$C$200"),3,0),0))</f>
        <v/>
      </c>
      <c r="CH52" s="7" t="str">
        <f ca="1">IF(CH51="","",IFERROR(VLOOKUP($A52,INDIRECT(#REF!&amp;"!$A$6:$C$200"),3,0),0))</f>
        <v/>
      </c>
      <c r="CI52" s="7" t="str">
        <f ca="1">IF(CI51="","",IFERROR(VLOOKUP($A52,INDIRECT(#REF!&amp;"!$A$6:$C$200"),3,0),0))</f>
        <v/>
      </c>
      <c r="CJ52" s="7" t="str">
        <f ca="1">IF(CJ51="","",IFERROR(VLOOKUP($A52,INDIRECT(#REF!&amp;"!$A$6:$C$200"),3,0),0))</f>
        <v/>
      </c>
      <c r="CK52" s="7" t="str">
        <f ca="1">IF(CK51="","",IFERROR(VLOOKUP($A52,INDIRECT(#REF!&amp;"!$A$6:$C$200"),3,0),0))</f>
        <v/>
      </c>
      <c r="CL52" s="7" t="str">
        <f ca="1">IF(CL51="","",IFERROR(VLOOKUP($A52,INDIRECT(#REF!&amp;"!$A$6:$C$200"),3,0),0))</f>
        <v/>
      </c>
      <c r="CM52" s="7" t="str">
        <f ca="1">IF(CM51="","",IFERROR(VLOOKUP($A52,INDIRECT(#REF!&amp;"!$A$6:$C$200"),3,0),0))</f>
        <v/>
      </c>
      <c r="CN52" s="7" t="str">
        <f ca="1">IF(CN51="","",IFERROR(VLOOKUP($A52,INDIRECT(#REF!&amp;"!$A$6:$C$200"),3,0),0))</f>
        <v/>
      </c>
      <c r="CO52" s="7" t="str">
        <f ca="1">IF(CO51="","",IFERROR(VLOOKUP($A52,INDIRECT(#REF!&amp;"!$A$6:$C$200"),3,0),0))</f>
        <v/>
      </c>
      <c r="CP52" s="7" t="str">
        <f ca="1">IF(CP51="","",IFERROR(VLOOKUP($A52,INDIRECT(#REF!&amp;"!$A$6:$C$200"),3,0),0))</f>
        <v/>
      </c>
      <c r="CQ52" s="7" t="str">
        <f ca="1">IF(CQ51="","",IFERROR(VLOOKUP($A52,INDIRECT(#REF!&amp;"!$A$6:$C$200"),3,0),0))</f>
        <v/>
      </c>
      <c r="CR52" s="7" t="str">
        <f ca="1">IF(CR51="","",IFERROR(VLOOKUP($A52,INDIRECT(#REF!&amp;"!$A$6:$C$200"),3,0),0))</f>
        <v/>
      </c>
      <c r="CS52" s="7" t="str">
        <f ca="1">IF(CS51="","",IFERROR(VLOOKUP($A52,INDIRECT(#REF!&amp;"!$A$6:$C$200"),3,0),0))</f>
        <v/>
      </c>
      <c r="CT52" s="7" t="str">
        <f ca="1">IF(CT51="","",IFERROR(VLOOKUP($A52,INDIRECT(#REF!&amp;"!$A$6:$C$200"),3,0),0))</f>
        <v/>
      </c>
      <c r="CU52" s="7" t="str">
        <f ca="1">IF(CU51="","",IFERROR(VLOOKUP($A52,INDIRECT(#REF!&amp;"!$A$6:$C$200"),3,0),0))</f>
        <v/>
      </c>
      <c r="CV52" s="7" t="str">
        <f ca="1">IF(CV51="","",IFERROR(VLOOKUP($A52,INDIRECT(#REF!&amp;"!$A$6:$C$200"),3,0),0))</f>
        <v/>
      </c>
      <c r="CW52" s="7" t="str">
        <f ca="1">IF(CW51="","",IFERROR(VLOOKUP($A52,INDIRECT(#REF!&amp;"!$A$6:$C$200"),3,0),0))</f>
        <v/>
      </c>
      <c r="CX52" s="7" t="str">
        <f ca="1">IF(CX51="","",IFERROR(VLOOKUP($A52,INDIRECT(#REF!&amp;"!$A$6:$C$200"),3,0),0))</f>
        <v/>
      </c>
      <c r="CY52" s="7" t="str">
        <f ca="1">IF(CY51="","",IFERROR(VLOOKUP($A52,INDIRECT(#REF!&amp;"!$A$6:$C$200"),3,0),0))</f>
        <v/>
      </c>
      <c r="CZ52" s="7" t="str">
        <f ca="1">IF(CZ51="","",IFERROR(VLOOKUP($A52,INDIRECT(#REF!&amp;"!$A$6:$C$200"),3,0),0))</f>
        <v/>
      </c>
      <c r="DA52" s="7" t="str">
        <f ca="1">IF(DA51="","",IFERROR(VLOOKUP($A52,INDIRECT(#REF!&amp;"!$A$6:$C$200"),3,0),0))</f>
        <v/>
      </c>
      <c r="DB52" s="7" t="str">
        <f ca="1">IF(DB51="","",IFERROR(VLOOKUP($A52,INDIRECT(#REF!&amp;"!$A$6:$C$200"),3,0),0))</f>
        <v/>
      </c>
      <c r="DC52" s="7" t="str">
        <f ca="1">IF(DC51="","",IFERROR(VLOOKUP($A52,INDIRECT(#REF!&amp;"!$A$6:$C$200"),3,0),0))</f>
        <v/>
      </c>
      <c r="DD52" s="7" t="str">
        <f ca="1">IF(DD51="","",IFERROR(VLOOKUP($A52,INDIRECT(#REF!&amp;"!$A$6:$C$200"),3,0),0))</f>
        <v/>
      </c>
      <c r="DE52" s="7" t="str">
        <f ca="1">IF(DE51="","",IFERROR(VLOOKUP($A52,INDIRECT(#REF!&amp;"!$A$6:$C$200"),3,0),0))</f>
        <v/>
      </c>
      <c r="DF52" s="7" t="str">
        <f ca="1">IF(DF51="","",IFERROR(VLOOKUP($A52,INDIRECT(#REF!&amp;"!$A$6:$C$200"),3,0),0))</f>
        <v/>
      </c>
      <c r="DG52" s="7" t="str">
        <f ca="1">IF(DG51="","",IFERROR(VLOOKUP($A52,INDIRECT(#REF!&amp;"!$A$6:$C$200"),3,0),0))</f>
        <v/>
      </c>
      <c r="DH52" s="7" t="str">
        <f ca="1">IF(DH51="","",IFERROR(VLOOKUP($A52,INDIRECT(#REF!&amp;"!$A$6:$C$200"),3,0),0))</f>
        <v/>
      </c>
      <c r="DI52" s="7" t="str">
        <f ca="1">IF(DI51="","",IFERROR(VLOOKUP($A52,INDIRECT(#REF!&amp;"!$A$6:$C$200"),3,0),0))</f>
        <v/>
      </c>
      <c r="DJ52" s="7" t="str">
        <f ca="1">IF(DJ51="","",IFERROR(VLOOKUP($A52,INDIRECT(#REF!&amp;"!$A$6:$C$200"),3,0),0))</f>
        <v/>
      </c>
      <c r="DK52" s="7" t="str">
        <f ca="1">IF(DK51="","",IFERROR(VLOOKUP($A52,INDIRECT(#REF!&amp;"!$A$6:$C$200"),3,0),0))</f>
        <v/>
      </c>
    </row>
    <row r="53" spans="1:115">
      <c r="A53" s="6" t="s">
        <v>55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f t="shared" ca="1" si="5"/>
        <v>0</v>
      </c>
      <c r="I53" s="7">
        <f t="shared" ca="1" si="3"/>
        <v>0</v>
      </c>
      <c r="J53" s="7">
        <f t="shared" ca="1" si="4"/>
        <v>0</v>
      </c>
      <c r="K53" s="7">
        <f t="shared" ca="1" si="6"/>
        <v>0</v>
      </c>
      <c r="L53" s="7">
        <f t="shared" ca="1" si="7"/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7">
        <v>0</v>
      </c>
      <c r="AN53" s="8">
        <v>0</v>
      </c>
      <c r="AO53" s="7">
        <v>0</v>
      </c>
      <c r="AP53" s="8">
        <v>0</v>
      </c>
      <c r="AQ53" s="8">
        <v>0</v>
      </c>
      <c r="AR53" s="8">
        <v>0</v>
      </c>
      <c r="AS53" s="8">
        <v>0</v>
      </c>
      <c r="AT53" s="8">
        <v>0</v>
      </c>
      <c r="AU53" s="8">
        <v>0</v>
      </c>
      <c r="AV53" s="8">
        <v>0</v>
      </c>
      <c r="AW53" s="8">
        <v>0</v>
      </c>
      <c r="AX53" s="7">
        <v>0</v>
      </c>
      <c r="AY53" s="7">
        <v>0</v>
      </c>
      <c r="AZ53" s="7">
        <v>0</v>
      </c>
      <c r="BA53" s="8">
        <v>0</v>
      </c>
      <c r="BB53" s="8">
        <v>0</v>
      </c>
      <c r="BC53" s="7">
        <v>0</v>
      </c>
      <c r="BD53" s="7">
        <v>0</v>
      </c>
      <c r="BE53" s="8">
        <f ca="1">IFERROR(VLOOKUP($A53,INDIRECT(#REF!&amp;"!$A$6:$C$200"),3,0),0)</f>
        <v>0</v>
      </c>
      <c r="BF53" s="7">
        <f ca="1">IFERROR(VLOOKUP($A53,INDIRECT(#REF!&amp;"!$A$6:$C$200"),3,0),0)</f>
        <v>0</v>
      </c>
      <c r="BG53" s="7">
        <f ca="1">IFERROR(VLOOKUP($A53,INDIRECT(#REF!&amp;"!$A$6:$C$200"),3,0),0)</f>
        <v>0</v>
      </c>
      <c r="BH53" s="8">
        <f ca="1">IFERROR(VLOOKUP($A53,INDIRECT(#REF!&amp;"!$A$6:$C$200"),3,0),0)</f>
        <v>0</v>
      </c>
      <c r="BI53" s="7">
        <f ca="1">IFERROR(VLOOKUP($A53,INDIRECT(#REF!&amp;"!$A$6:$C$200"),3,0),0)</f>
        <v>0</v>
      </c>
      <c r="BJ53" s="8">
        <f ca="1">IFERROR(VLOOKUP($A53,INDIRECT(#REF!&amp;"!$A$6:$C$200"),3,0),0)</f>
        <v>0</v>
      </c>
      <c r="BK53" s="8">
        <f ca="1">IFERROR(VLOOKUP($A53,INDIRECT(#REF!&amp;"!$A$6:$C$200"),3,0),0)</f>
        <v>0</v>
      </c>
      <c r="BL53" s="7">
        <f ca="1">IFERROR(VLOOKUP($A53,INDIRECT(#REF!&amp;"!$A$6:$C$200"),3,0),0)</f>
        <v>0</v>
      </c>
      <c r="BM53" s="8">
        <f ca="1">IFERROR(VLOOKUP($A53,INDIRECT(#REF!&amp;"!$A$6:$C$200"),3,0),0)</f>
        <v>0</v>
      </c>
      <c r="BN53" s="8">
        <f ca="1">IFERROR(VLOOKUP($A53,INDIRECT(#REF!&amp;"!$A$6:$C$200"),3,0),0)</f>
        <v>0</v>
      </c>
      <c r="BO53" s="8">
        <f ca="1">IFERROR(VLOOKUP($A53,INDIRECT(#REF!&amp;"!$A$6:$C$200"),3,0),0)</f>
        <v>0</v>
      </c>
      <c r="BP53" s="7">
        <f ca="1">IFERROR(VLOOKUP($A53,INDIRECT(#REF!&amp;"!$A$6:$C$200"),3,0),0)</f>
        <v>0</v>
      </c>
      <c r="BQ53" s="7">
        <f ca="1">IFERROR(VLOOKUP($A53,INDIRECT(#REF!&amp;"!$A$6:$C$200"),3,0),0)</f>
        <v>0</v>
      </c>
      <c r="BR53" s="7">
        <f ca="1">IFERROR(VLOOKUP($A53,INDIRECT(#REF!&amp;"!$A$6:$C$200"),3,0),0)</f>
        <v>0</v>
      </c>
      <c r="BS53" s="8">
        <f ca="1">IFERROR(VLOOKUP($A53,INDIRECT(#REF!&amp;"!$A$6:$C$200"),3,0),0)</f>
        <v>0</v>
      </c>
      <c r="BT53" s="7">
        <f ca="1">IFERROR(VLOOKUP($A53,INDIRECT(#REF!&amp;"!$A$6:$C$200"),3,0),0)</f>
        <v>0</v>
      </c>
      <c r="BU53" s="7">
        <f ca="1">IFERROR(VLOOKUP($A53,INDIRECT(#REF!&amp;"!$A$6:$C$200"),3,0),0)</f>
        <v>0</v>
      </c>
      <c r="BV53" s="7">
        <f ca="1">IFERROR(VLOOKUP($A53,INDIRECT(#REF!&amp;"!$A$6:$C$200"),3,0),0)</f>
        <v>0</v>
      </c>
      <c r="BW53" s="7">
        <f ca="1">IFERROR(VLOOKUP($A53,INDIRECT(#REF!&amp;"!$A$6:$C$200"),3,0),0)</f>
        <v>0</v>
      </c>
      <c r="BX53" s="7">
        <f ca="1">IFERROR(VLOOKUP($A53,INDIRECT(#REF!&amp;"!$A$6:$C$200"),3,0),0)</f>
        <v>0</v>
      </c>
      <c r="BY53" s="7">
        <f ca="1">IFERROR(VLOOKUP($A53,INDIRECT(#REF!&amp;"!$A$6:$C$200"),3,0),0)</f>
        <v>0</v>
      </c>
      <c r="BZ53" s="7">
        <f ca="1">IFERROR(VLOOKUP($A53,INDIRECT(#REF!&amp;"!$A$6:$C$200"),3,0),0)</f>
        <v>0</v>
      </c>
      <c r="CA53" s="7">
        <f ca="1">IFERROR(VLOOKUP($A53,INDIRECT(#REF!&amp;"!$A$6:$C$200"),3,0),0)</f>
        <v>0</v>
      </c>
      <c r="CB53" s="7">
        <f ca="1">IFERROR(VLOOKUP($A53,INDIRECT(#REF!&amp;"!$A$6:$C$200"),3,0),0)</f>
        <v>0</v>
      </c>
      <c r="CC53" s="7">
        <f ca="1">IFERROR(VLOOKUP($A53,INDIRECT(#REF!&amp;"!$A$6:$C$200"),3,0),0)</f>
        <v>0</v>
      </c>
      <c r="CD53" s="7" t="str">
        <f ca="1">IF(CD52="","",IFERROR(VLOOKUP($A53,INDIRECT(#REF!&amp;"!$A$6:$C$200"),3,0),0))</f>
        <v/>
      </c>
      <c r="CE53" s="7" t="str">
        <f ca="1">IF(CE52="","",IFERROR(VLOOKUP($A53,INDIRECT(#REF!&amp;"!$A$6:$C$200"),3,0),0))</f>
        <v/>
      </c>
      <c r="CF53" s="7" t="str">
        <f ca="1">IF(CF52="","",IFERROR(VLOOKUP($A53,INDIRECT(#REF!&amp;"!$A$6:$C$200"),3,0),0))</f>
        <v/>
      </c>
      <c r="CG53" s="7" t="str">
        <f ca="1">IF(CG52="","",IFERROR(VLOOKUP($A53,INDIRECT(#REF!&amp;"!$A$6:$C$200"),3,0),0))</f>
        <v/>
      </c>
      <c r="CH53" s="7" t="str">
        <f ca="1">IF(CH52="","",IFERROR(VLOOKUP($A53,INDIRECT(#REF!&amp;"!$A$6:$C$200"),3,0),0))</f>
        <v/>
      </c>
      <c r="CI53" s="7" t="str">
        <f ca="1">IF(CI52="","",IFERROR(VLOOKUP($A53,INDIRECT(#REF!&amp;"!$A$6:$C$200"),3,0),0))</f>
        <v/>
      </c>
      <c r="CJ53" s="7" t="str">
        <f ca="1">IF(CJ52="","",IFERROR(VLOOKUP($A53,INDIRECT(#REF!&amp;"!$A$6:$C$200"),3,0),0))</f>
        <v/>
      </c>
      <c r="CK53" s="7" t="str">
        <f ca="1">IF(CK52="","",IFERROR(VLOOKUP($A53,INDIRECT(#REF!&amp;"!$A$6:$C$200"),3,0),0))</f>
        <v/>
      </c>
      <c r="CL53" s="7" t="str">
        <f ca="1">IF(CL52="","",IFERROR(VLOOKUP($A53,INDIRECT(#REF!&amp;"!$A$6:$C$200"),3,0),0))</f>
        <v/>
      </c>
      <c r="CM53" s="7" t="str">
        <f ca="1">IF(CM52="","",IFERROR(VLOOKUP($A53,INDIRECT(#REF!&amp;"!$A$6:$C$200"),3,0),0))</f>
        <v/>
      </c>
      <c r="CN53" s="7" t="str">
        <f ca="1">IF(CN52="","",IFERROR(VLOOKUP($A53,INDIRECT(#REF!&amp;"!$A$6:$C$200"),3,0),0))</f>
        <v/>
      </c>
      <c r="CO53" s="7" t="str">
        <f ca="1">IF(CO52="","",IFERROR(VLOOKUP($A53,INDIRECT(#REF!&amp;"!$A$6:$C$200"),3,0),0))</f>
        <v/>
      </c>
      <c r="CP53" s="7" t="str">
        <f ca="1">IF(CP52="","",IFERROR(VLOOKUP($A53,INDIRECT(#REF!&amp;"!$A$6:$C$200"),3,0),0))</f>
        <v/>
      </c>
      <c r="CQ53" s="7" t="str">
        <f ca="1">IF(CQ52="","",IFERROR(VLOOKUP($A53,INDIRECT(#REF!&amp;"!$A$6:$C$200"),3,0),0))</f>
        <v/>
      </c>
      <c r="CR53" s="7" t="str">
        <f ca="1">IF(CR52="","",IFERROR(VLOOKUP($A53,INDIRECT(#REF!&amp;"!$A$6:$C$200"),3,0),0))</f>
        <v/>
      </c>
      <c r="CS53" s="7" t="str">
        <f ca="1">IF(CS52="","",IFERROR(VLOOKUP($A53,INDIRECT(#REF!&amp;"!$A$6:$C$200"),3,0),0))</f>
        <v/>
      </c>
      <c r="CT53" s="7" t="str">
        <f ca="1">IF(CT52="","",IFERROR(VLOOKUP($A53,INDIRECT(#REF!&amp;"!$A$6:$C$200"),3,0),0))</f>
        <v/>
      </c>
      <c r="CU53" s="7" t="str">
        <f ca="1">IF(CU52="","",IFERROR(VLOOKUP($A53,INDIRECT(#REF!&amp;"!$A$6:$C$200"),3,0),0))</f>
        <v/>
      </c>
      <c r="CV53" s="7" t="str">
        <f ca="1">IF(CV52="","",IFERROR(VLOOKUP($A53,INDIRECT(#REF!&amp;"!$A$6:$C$200"),3,0),0))</f>
        <v/>
      </c>
      <c r="CW53" s="7" t="str">
        <f ca="1">IF(CW52="","",IFERROR(VLOOKUP($A53,INDIRECT(#REF!&amp;"!$A$6:$C$200"),3,0),0))</f>
        <v/>
      </c>
      <c r="CX53" s="7" t="str">
        <f ca="1">IF(CX52="","",IFERROR(VLOOKUP($A53,INDIRECT(#REF!&amp;"!$A$6:$C$200"),3,0),0))</f>
        <v/>
      </c>
      <c r="CY53" s="7" t="str">
        <f ca="1">IF(CY52="","",IFERROR(VLOOKUP($A53,INDIRECT(#REF!&amp;"!$A$6:$C$200"),3,0),0))</f>
        <v/>
      </c>
      <c r="CZ53" s="7" t="str">
        <f ca="1">IF(CZ52="","",IFERROR(VLOOKUP($A53,INDIRECT(#REF!&amp;"!$A$6:$C$200"),3,0),0))</f>
        <v/>
      </c>
      <c r="DA53" s="7" t="str">
        <f ca="1">IF(DA52="","",IFERROR(VLOOKUP($A53,INDIRECT(#REF!&amp;"!$A$6:$C$200"),3,0),0))</f>
        <v/>
      </c>
      <c r="DB53" s="7" t="str">
        <f ca="1">IF(DB52="","",IFERROR(VLOOKUP($A53,INDIRECT(#REF!&amp;"!$A$6:$C$200"),3,0),0))</f>
        <v/>
      </c>
      <c r="DC53" s="7" t="str">
        <f ca="1">IF(DC52="","",IFERROR(VLOOKUP($A53,INDIRECT(#REF!&amp;"!$A$6:$C$200"),3,0),0))</f>
        <v/>
      </c>
      <c r="DD53" s="7" t="str">
        <f ca="1">IF(DD52="","",IFERROR(VLOOKUP($A53,INDIRECT(#REF!&amp;"!$A$6:$C$200"),3,0),0))</f>
        <v/>
      </c>
      <c r="DE53" s="7" t="str">
        <f ca="1">IF(DE52="","",IFERROR(VLOOKUP($A53,INDIRECT(#REF!&amp;"!$A$6:$C$200"),3,0),0))</f>
        <v/>
      </c>
      <c r="DF53" s="7" t="str">
        <f ca="1">IF(DF52="","",IFERROR(VLOOKUP($A53,INDIRECT(#REF!&amp;"!$A$6:$C$200"),3,0),0))</f>
        <v/>
      </c>
      <c r="DG53" s="7" t="str">
        <f ca="1">IF(DG52="","",IFERROR(VLOOKUP($A53,INDIRECT(#REF!&amp;"!$A$6:$C$200"),3,0),0))</f>
        <v/>
      </c>
      <c r="DH53" s="7" t="str">
        <f ca="1">IF(DH52="","",IFERROR(VLOOKUP($A53,INDIRECT(#REF!&amp;"!$A$6:$C$200"),3,0),0))</f>
        <v/>
      </c>
      <c r="DI53" s="7" t="str">
        <f ca="1">IF(DI52="","",IFERROR(VLOOKUP($A53,INDIRECT(#REF!&amp;"!$A$6:$C$200"),3,0),0))</f>
        <v/>
      </c>
      <c r="DJ53" s="7" t="str">
        <f ca="1">IF(DJ52="","",IFERROR(VLOOKUP($A53,INDIRECT(#REF!&amp;"!$A$6:$C$200"),3,0),0))</f>
        <v/>
      </c>
      <c r="DK53" s="7" t="str">
        <f ca="1">IF(DK52="","",IFERROR(VLOOKUP($A53,INDIRECT(#REF!&amp;"!$A$6:$C$200"),3,0),0))</f>
        <v/>
      </c>
    </row>
    <row r="54" spans="1:115">
      <c r="A54" s="6" t="s">
        <v>56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f t="shared" ca="1" si="5"/>
        <v>0</v>
      </c>
      <c r="I54" s="7">
        <f t="shared" ca="1" si="3"/>
        <v>0</v>
      </c>
      <c r="J54" s="7">
        <f t="shared" ca="1" si="4"/>
        <v>0</v>
      </c>
      <c r="K54" s="7">
        <f t="shared" ca="1" si="6"/>
        <v>0</v>
      </c>
      <c r="L54" s="7">
        <f t="shared" ca="1" si="7"/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>
        <v>0</v>
      </c>
      <c r="AE54" s="8">
        <v>0</v>
      </c>
      <c r="AF54" s="8">
        <v>0</v>
      </c>
      <c r="AG54" s="8">
        <v>0</v>
      </c>
      <c r="AH54" s="8">
        <v>0</v>
      </c>
      <c r="AI54" s="8">
        <v>0</v>
      </c>
      <c r="AJ54" s="8">
        <v>0</v>
      </c>
      <c r="AK54" s="8">
        <v>0</v>
      </c>
      <c r="AL54" s="8">
        <v>0</v>
      </c>
      <c r="AM54" s="7">
        <v>0</v>
      </c>
      <c r="AN54" s="8">
        <v>0</v>
      </c>
      <c r="AO54" s="8">
        <v>0</v>
      </c>
      <c r="AP54" s="8">
        <v>0</v>
      </c>
      <c r="AQ54" s="8">
        <v>0</v>
      </c>
      <c r="AR54" s="8">
        <v>0</v>
      </c>
      <c r="AS54" s="8">
        <v>0</v>
      </c>
      <c r="AT54" s="8">
        <v>0</v>
      </c>
      <c r="AU54" s="8">
        <v>0</v>
      </c>
      <c r="AV54" s="8">
        <v>0</v>
      </c>
      <c r="AW54" s="8">
        <v>0</v>
      </c>
      <c r="AX54" s="7">
        <v>0</v>
      </c>
      <c r="AY54" s="7">
        <v>0</v>
      </c>
      <c r="AZ54" s="7">
        <v>0</v>
      </c>
      <c r="BA54" s="8">
        <v>0</v>
      </c>
      <c r="BB54" s="8">
        <v>0</v>
      </c>
      <c r="BC54" s="7">
        <v>0</v>
      </c>
      <c r="BD54" s="7">
        <v>0</v>
      </c>
      <c r="BE54" s="8">
        <f ca="1">IFERROR(VLOOKUP($A54,INDIRECT(#REF!&amp;"!$A$6:$C$200"),3,0),0)</f>
        <v>0</v>
      </c>
      <c r="BF54" s="8">
        <f ca="1">IFERROR(VLOOKUP($A54,INDIRECT(#REF!&amp;"!$A$6:$C$200"),3,0),0)</f>
        <v>0</v>
      </c>
      <c r="BG54" s="8">
        <f ca="1">IFERROR(VLOOKUP($A54,INDIRECT(#REF!&amp;"!$A$6:$C$200"),3,0),0)</f>
        <v>0</v>
      </c>
      <c r="BH54" s="8">
        <f ca="1">IFERROR(VLOOKUP($A54,INDIRECT(#REF!&amp;"!$A$6:$C$200"),3,0),0)</f>
        <v>0</v>
      </c>
      <c r="BI54" s="7">
        <f ca="1">IFERROR(VLOOKUP($A54,INDIRECT(#REF!&amp;"!$A$6:$C$200"),3,0),0)</f>
        <v>0</v>
      </c>
      <c r="BJ54" s="8">
        <f ca="1">IFERROR(VLOOKUP($A54,INDIRECT(#REF!&amp;"!$A$6:$C$200"),3,0),0)</f>
        <v>0</v>
      </c>
      <c r="BK54" s="8">
        <f ca="1">IFERROR(VLOOKUP($A54,INDIRECT(#REF!&amp;"!$A$6:$C$200"),3,0),0)</f>
        <v>0</v>
      </c>
      <c r="BL54" s="7">
        <f ca="1">IFERROR(VLOOKUP($A54,INDIRECT(#REF!&amp;"!$A$6:$C$200"),3,0),0)</f>
        <v>0</v>
      </c>
      <c r="BM54" s="8">
        <f ca="1">IFERROR(VLOOKUP($A54,INDIRECT(#REF!&amp;"!$A$6:$C$200"),3,0),0)</f>
        <v>0</v>
      </c>
      <c r="BN54" s="8">
        <f ca="1">IFERROR(VLOOKUP($A54,INDIRECT(#REF!&amp;"!$A$6:$C$200"),3,0),0)</f>
        <v>0</v>
      </c>
      <c r="BO54" s="8">
        <f ca="1">IFERROR(VLOOKUP($A54,INDIRECT(#REF!&amp;"!$A$6:$C$200"),3,0),0)</f>
        <v>0</v>
      </c>
      <c r="BP54" s="7">
        <f ca="1">IFERROR(VLOOKUP($A54,INDIRECT(#REF!&amp;"!$A$6:$C$200"),3,0),0)</f>
        <v>0</v>
      </c>
      <c r="BQ54" s="7">
        <f ca="1">IFERROR(VLOOKUP($A54,INDIRECT(#REF!&amp;"!$A$6:$C$200"),3,0),0)</f>
        <v>0</v>
      </c>
      <c r="BR54" s="8">
        <f ca="1">IFERROR(VLOOKUP($A54,INDIRECT(#REF!&amp;"!$A$6:$C$200"),3,0),0)</f>
        <v>0</v>
      </c>
      <c r="BS54" s="8">
        <f ca="1">IFERROR(VLOOKUP($A54,INDIRECT(#REF!&amp;"!$A$6:$C$200"),3,0),0)</f>
        <v>0</v>
      </c>
      <c r="BT54" s="7">
        <f ca="1">IFERROR(VLOOKUP($A54,INDIRECT(#REF!&amp;"!$A$6:$C$200"),3,0),0)</f>
        <v>0</v>
      </c>
      <c r="BU54" s="7">
        <f ca="1">IFERROR(VLOOKUP($A54,INDIRECT(#REF!&amp;"!$A$6:$C$200"),3,0),0)</f>
        <v>0</v>
      </c>
      <c r="BV54" s="7">
        <f ca="1">IFERROR(VLOOKUP($A54,INDIRECT(#REF!&amp;"!$A$6:$C$200"),3,0),0)</f>
        <v>0</v>
      </c>
      <c r="BW54" s="7">
        <f ca="1">IFERROR(VLOOKUP($A54,INDIRECT(#REF!&amp;"!$A$6:$C$200"),3,0),0)</f>
        <v>0</v>
      </c>
      <c r="BX54" s="7">
        <f ca="1">IFERROR(VLOOKUP($A54,INDIRECT(#REF!&amp;"!$A$6:$C$200"),3,0),0)</f>
        <v>0</v>
      </c>
      <c r="BY54" s="7">
        <f ca="1">IFERROR(VLOOKUP($A54,INDIRECT(#REF!&amp;"!$A$6:$C$200"),3,0),0)</f>
        <v>0</v>
      </c>
      <c r="BZ54" s="7">
        <f ca="1">IFERROR(VLOOKUP($A54,INDIRECT(#REF!&amp;"!$A$6:$C$200"),3,0),0)</f>
        <v>0</v>
      </c>
      <c r="CA54" s="7">
        <f ca="1">IFERROR(VLOOKUP($A54,INDIRECT(#REF!&amp;"!$A$6:$C$200"),3,0),0)</f>
        <v>0</v>
      </c>
      <c r="CB54" s="7">
        <f ca="1">IFERROR(VLOOKUP($A54,INDIRECT(#REF!&amp;"!$A$6:$C$200"),3,0),0)</f>
        <v>0</v>
      </c>
      <c r="CC54" s="7">
        <f ca="1">IFERROR(VLOOKUP($A54,INDIRECT(#REF!&amp;"!$A$6:$C$200"),3,0),0)</f>
        <v>0</v>
      </c>
      <c r="CD54" s="7" t="str">
        <f ca="1">IF(CD53="","",IFERROR(VLOOKUP($A54,INDIRECT(#REF!&amp;"!$A$6:$C$200"),3,0),0))</f>
        <v/>
      </c>
      <c r="CE54" s="7" t="str">
        <f ca="1">IF(CE53="","",IFERROR(VLOOKUP($A54,INDIRECT(#REF!&amp;"!$A$6:$C$200"),3,0),0))</f>
        <v/>
      </c>
      <c r="CF54" s="7" t="str">
        <f ca="1">IF(CF53="","",IFERROR(VLOOKUP($A54,INDIRECT(#REF!&amp;"!$A$6:$C$200"),3,0),0))</f>
        <v/>
      </c>
      <c r="CG54" s="7" t="str">
        <f ca="1">IF(CG53="","",IFERROR(VLOOKUP($A54,INDIRECT(#REF!&amp;"!$A$6:$C$200"),3,0),0))</f>
        <v/>
      </c>
      <c r="CH54" s="7" t="str">
        <f ca="1">IF(CH53="","",IFERROR(VLOOKUP($A54,INDIRECT(#REF!&amp;"!$A$6:$C$200"),3,0),0))</f>
        <v/>
      </c>
      <c r="CI54" s="7" t="str">
        <f ca="1">IF(CI53="","",IFERROR(VLOOKUP($A54,INDIRECT(#REF!&amp;"!$A$6:$C$200"),3,0),0))</f>
        <v/>
      </c>
      <c r="CJ54" s="7" t="str">
        <f ca="1">IF(CJ53="","",IFERROR(VLOOKUP($A54,INDIRECT(#REF!&amp;"!$A$6:$C$200"),3,0),0))</f>
        <v/>
      </c>
      <c r="CK54" s="7" t="str">
        <f ca="1">IF(CK53="","",IFERROR(VLOOKUP($A54,INDIRECT(#REF!&amp;"!$A$6:$C$200"),3,0),0))</f>
        <v/>
      </c>
      <c r="CL54" s="7" t="str">
        <f ca="1">IF(CL53="","",IFERROR(VLOOKUP($A54,INDIRECT(#REF!&amp;"!$A$6:$C$200"),3,0),0))</f>
        <v/>
      </c>
      <c r="CM54" s="7" t="str">
        <f ca="1">IF(CM53="","",IFERROR(VLOOKUP($A54,INDIRECT(#REF!&amp;"!$A$6:$C$200"),3,0),0))</f>
        <v/>
      </c>
      <c r="CN54" s="7" t="str">
        <f ca="1">IF(CN53="","",IFERROR(VLOOKUP($A54,INDIRECT(#REF!&amp;"!$A$6:$C$200"),3,0),0))</f>
        <v/>
      </c>
      <c r="CO54" s="7" t="str">
        <f ca="1">IF(CO53="","",IFERROR(VLOOKUP($A54,INDIRECT(#REF!&amp;"!$A$6:$C$200"),3,0),0))</f>
        <v/>
      </c>
      <c r="CP54" s="7" t="str">
        <f ca="1">IF(CP53="","",IFERROR(VLOOKUP($A54,INDIRECT(#REF!&amp;"!$A$6:$C$200"),3,0),0))</f>
        <v/>
      </c>
      <c r="CQ54" s="7" t="str">
        <f ca="1">IF(CQ53="","",IFERROR(VLOOKUP($A54,INDIRECT(#REF!&amp;"!$A$6:$C$200"),3,0),0))</f>
        <v/>
      </c>
      <c r="CR54" s="7" t="str">
        <f ca="1">IF(CR53="","",IFERROR(VLOOKUP($A54,INDIRECT(#REF!&amp;"!$A$6:$C$200"),3,0),0))</f>
        <v/>
      </c>
      <c r="CS54" s="7" t="str">
        <f ca="1">IF(CS53="","",IFERROR(VLOOKUP($A54,INDIRECT(#REF!&amp;"!$A$6:$C$200"),3,0),0))</f>
        <v/>
      </c>
      <c r="CT54" s="7" t="str">
        <f ca="1">IF(CT53="","",IFERROR(VLOOKUP($A54,INDIRECT(#REF!&amp;"!$A$6:$C$200"),3,0),0))</f>
        <v/>
      </c>
      <c r="CU54" s="7" t="str">
        <f ca="1">IF(CU53="","",IFERROR(VLOOKUP($A54,INDIRECT(#REF!&amp;"!$A$6:$C$200"),3,0),0))</f>
        <v/>
      </c>
      <c r="CV54" s="7" t="str">
        <f ca="1">IF(CV53="","",IFERROR(VLOOKUP($A54,INDIRECT(#REF!&amp;"!$A$6:$C$200"),3,0),0))</f>
        <v/>
      </c>
      <c r="CW54" s="7" t="str">
        <f ca="1">IF(CW53="","",IFERROR(VLOOKUP($A54,INDIRECT(#REF!&amp;"!$A$6:$C$200"),3,0),0))</f>
        <v/>
      </c>
      <c r="CX54" s="7" t="str">
        <f ca="1">IF(CX53="","",IFERROR(VLOOKUP($A54,INDIRECT(#REF!&amp;"!$A$6:$C$200"),3,0),0))</f>
        <v/>
      </c>
      <c r="CY54" s="7" t="str">
        <f ca="1">IF(CY53="","",IFERROR(VLOOKUP($A54,INDIRECT(#REF!&amp;"!$A$6:$C$200"),3,0),0))</f>
        <v/>
      </c>
      <c r="CZ54" s="7" t="str">
        <f ca="1">IF(CZ53="","",IFERROR(VLOOKUP($A54,INDIRECT(#REF!&amp;"!$A$6:$C$200"),3,0),0))</f>
        <v/>
      </c>
      <c r="DA54" s="7" t="str">
        <f ca="1">IF(DA53="","",IFERROR(VLOOKUP($A54,INDIRECT(#REF!&amp;"!$A$6:$C$200"),3,0),0))</f>
        <v/>
      </c>
      <c r="DB54" s="7" t="str">
        <f ca="1">IF(DB53="","",IFERROR(VLOOKUP($A54,INDIRECT(#REF!&amp;"!$A$6:$C$200"),3,0),0))</f>
        <v/>
      </c>
      <c r="DC54" s="7" t="str">
        <f ca="1">IF(DC53="","",IFERROR(VLOOKUP($A54,INDIRECT(#REF!&amp;"!$A$6:$C$200"),3,0),0))</f>
        <v/>
      </c>
      <c r="DD54" s="7" t="str">
        <f ca="1">IF(DD53="","",IFERROR(VLOOKUP($A54,INDIRECT(#REF!&amp;"!$A$6:$C$200"),3,0),0))</f>
        <v/>
      </c>
      <c r="DE54" s="7" t="str">
        <f ca="1">IF(DE53="","",IFERROR(VLOOKUP($A54,INDIRECT(#REF!&amp;"!$A$6:$C$200"),3,0),0))</f>
        <v/>
      </c>
      <c r="DF54" s="7" t="str">
        <f ca="1">IF(DF53="","",IFERROR(VLOOKUP($A54,INDIRECT(#REF!&amp;"!$A$6:$C$200"),3,0),0))</f>
        <v/>
      </c>
      <c r="DG54" s="7" t="str">
        <f ca="1">IF(DG53="","",IFERROR(VLOOKUP($A54,INDIRECT(#REF!&amp;"!$A$6:$C$200"),3,0),0))</f>
        <v/>
      </c>
      <c r="DH54" s="7" t="str">
        <f ca="1">IF(DH53="","",IFERROR(VLOOKUP($A54,INDIRECT(#REF!&amp;"!$A$6:$C$200"),3,0),0))</f>
        <v/>
      </c>
      <c r="DI54" s="7" t="str">
        <f ca="1">IF(DI53="","",IFERROR(VLOOKUP($A54,INDIRECT(#REF!&amp;"!$A$6:$C$200"),3,0),0))</f>
        <v/>
      </c>
      <c r="DJ54" s="7" t="str">
        <f ca="1">IF(DJ53="","",IFERROR(VLOOKUP($A54,INDIRECT(#REF!&amp;"!$A$6:$C$200"),3,0),0))</f>
        <v/>
      </c>
      <c r="DK54" s="7" t="str">
        <f ca="1">IF(DK53="","",IFERROR(VLOOKUP($A54,INDIRECT(#REF!&amp;"!$A$6:$C$200"),3,0),0))</f>
        <v/>
      </c>
    </row>
    <row r="55" spans="1:115">
      <c r="A55" s="6" t="s">
        <v>57</v>
      </c>
      <c r="B55" s="7">
        <v>0</v>
      </c>
      <c r="C55" s="7">
        <v>1.4285714285714287E-5</v>
      </c>
      <c r="D55" s="7">
        <v>0</v>
      </c>
      <c r="E55" s="7">
        <v>0</v>
      </c>
      <c r="F55" s="7">
        <v>0</v>
      </c>
      <c r="G55" s="7">
        <v>0</v>
      </c>
      <c r="H55" s="7">
        <f t="shared" ca="1" si="5"/>
        <v>0</v>
      </c>
      <c r="I55" s="7">
        <f t="shared" ca="1" si="3"/>
        <v>0</v>
      </c>
      <c r="J55" s="7">
        <f t="shared" ca="1" si="4"/>
        <v>0</v>
      </c>
      <c r="K55" s="7">
        <f t="shared" ca="1" si="6"/>
        <v>0</v>
      </c>
      <c r="L55" s="7">
        <f t="shared" ca="1" si="7"/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0</v>
      </c>
      <c r="U55" s="8">
        <v>0</v>
      </c>
      <c r="V55" s="8">
        <v>1E-4</v>
      </c>
      <c r="W55" s="8">
        <v>0</v>
      </c>
      <c r="X55" s="8">
        <v>0</v>
      </c>
      <c r="Y55" s="8">
        <v>0</v>
      </c>
      <c r="Z55" s="8">
        <v>0</v>
      </c>
      <c r="AA55" s="8">
        <v>0</v>
      </c>
      <c r="AB55" s="8">
        <v>0</v>
      </c>
      <c r="AC55" s="8">
        <v>0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  <c r="AJ55" s="8">
        <v>0</v>
      </c>
      <c r="AK55" s="8">
        <v>0</v>
      </c>
      <c r="AL55" s="8">
        <v>0</v>
      </c>
      <c r="AM55" s="7">
        <v>0</v>
      </c>
      <c r="AN55" s="8">
        <v>0</v>
      </c>
      <c r="AO55" s="8">
        <v>0</v>
      </c>
      <c r="AP55" s="7">
        <v>0</v>
      </c>
      <c r="AQ55" s="7">
        <v>0</v>
      </c>
      <c r="AR55" s="8">
        <v>0</v>
      </c>
      <c r="AS55" s="8">
        <v>0</v>
      </c>
      <c r="AT55" s="8">
        <v>0</v>
      </c>
      <c r="AU55" s="7">
        <v>0</v>
      </c>
      <c r="AV55" s="8">
        <v>0</v>
      </c>
      <c r="AW55" s="7">
        <v>0</v>
      </c>
      <c r="AX55" s="7">
        <v>0</v>
      </c>
      <c r="AY55" s="7">
        <v>0</v>
      </c>
      <c r="AZ55" s="7">
        <v>0</v>
      </c>
      <c r="BA55" s="7">
        <v>0</v>
      </c>
      <c r="BB55" s="8">
        <v>0</v>
      </c>
      <c r="BC55" s="7">
        <v>0</v>
      </c>
      <c r="BD55" s="7">
        <v>0</v>
      </c>
      <c r="BE55" s="8">
        <f ca="1">IFERROR(VLOOKUP($A55,INDIRECT(#REF!&amp;"!$A$6:$C$200"),3,0),0)</f>
        <v>0</v>
      </c>
      <c r="BF55" s="7">
        <f ca="1">IFERROR(VLOOKUP($A55,INDIRECT(#REF!&amp;"!$A$6:$C$200"),3,0),0)</f>
        <v>0</v>
      </c>
      <c r="BG55" s="7">
        <f ca="1">IFERROR(VLOOKUP($A55,INDIRECT(#REF!&amp;"!$A$6:$C$200"),3,0),0)</f>
        <v>0</v>
      </c>
      <c r="BH55" s="8">
        <f ca="1">IFERROR(VLOOKUP($A55,INDIRECT(#REF!&amp;"!$A$6:$C$200"),3,0),0)</f>
        <v>0</v>
      </c>
      <c r="BI55" s="7">
        <f ca="1">IFERROR(VLOOKUP($A55,INDIRECT(#REF!&amp;"!$A$6:$C$200"),3,0),0)</f>
        <v>0</v>
      </c>
      <c r="BJ55" s="8">
        <f ca="1">IFERROR(VLOOKUP($A55,INDIRECT(#REF!&amp;"!$A$6:$C$200"),3,0),0)</f>
        <v>0</v>
      </c>
      <c r="BK55" s="8">
        <f ca="1">IFERROR(VLOOKUP($A55,INDIRECT(#REF!&amp;"!$A$6:$C$200"),3,0),0)</f>
        <v>0</v>
      </c>
      <c r="BL55" s="8">
        <f ca="1">IFERROR(VLOOKUP($A55,INDIRECT(#REF!&amp;"!$A$6:$C$200"),3,0),0)</f>
        <v>0</v>
      </c>
      <c r="BM55" s="8">
        <f ca="1">IFERROR(VLOOKUP($A55,INDIRECT(#REF!&amp;"!$A$6:$C$200"),3,0),0)</f>
        <v>0</v>
      </c>
      <c r="BN55" s="8">
        <f ca="1">IFERROR(VLOOKUP($A55,INDIRECT(#REF!&amp;"!$A$6:$C$200"),3,0),0)</f>
        <v>0</v>
      </c>
      <c r="BO55" s="8">
        <f ca="1">IFERROR(VLOOKUP($A55,INDIRECT(#REF!&amp;"!$A$6:$C$200"),3,0),0)</f>
        <v>0</v>
      </c>
      <c r="BP55" s="7">
        <f ca="1">IFERROR(VLOOKUP($A55,INDIRECT(#REF!&amp;"!$A$6:$C$200"),3,0),0)</f>
        <v>0</v>
      </c>
      <c r="BQ55" s="7">
        <f ca="1">IFERROR(VLOOKUP($A55,INDIRECT(#REF!&amp;"!$A$6:$C$200"),3,0),0)</f>
        <v>0</v>
      </c>
      <c r="BR55" s="8">
        <f ca="1">IFERROR(VLOOKUP($A55,INDIRECT(#REF!&amp;"!$A$6:$C$200"),3,0),0)</f>
        <v>0</v>
      </c>
      <c r="BS55" s="8">
        <f ca="1">IFERROR(VLOOKUP($A55,INDIRECT(#REF!&amp;"!$A$6:$C$200"),3,0),0)</f>
        <v>0</v>
      </c>
      <c r="BT55" s="7">
        <f ca="1">IFERROR(VLOOKUP($A55,INDIRECT(#REF!&amp;"!$A$6:$C$200"),3,0),0)</f>
        <v>0</v>
      </c>
      <c r="BU55" s="7">
        <f ca="1">IFERROR(VLOOKUP($A55,INDIRECT(#REF!&amp;"!$A$6:$C$200"),3,0),0)</f>
        <v>0</v>
      </c>
      <c r="BV55" s="7">
        <f ca="1">IFERROR(VLOOKUP($A55,INDIRECT(#REF!&amp;"!$A$6:$C$200"),3,0),0)</f>
        <v>0</v>
      </c>
      <c r="BW55" s="7">
        <f ca="1">IFERROR(VLOOKUP($A55,INDIRECT(#REF!&amp;"!$A$6:$C$200"),3,0),0)</f>
        <v>0</v>
      </c>
      <c r="BX55" s="7">
        <f ca="1">IFERROR(VLOOKUP($A55,INDIRECT(#REF!&amp;"!$A$6:$C$200"),3,0),0)</f>
        <v>0</v>
      </c>
      <c r="BY55" s="7">
        <f ca="1">IFERROR(VLOOKUP($A55,INDIRECT(#REF!&amp;"!$A$6:$C$200"),3,0),0)</f>
        <v>0</v>
      </c>
      <c r="BZ55" s="7">
        <f ca="1">IFERROR(VLOOKUP($A55,INDIRECT(#REF!&amp;"!$A$6:$C$200"),3,0),0)</f>
        <v>0</v>
      </c>
      <c r="CA55" s="7">
        <f ca="1">IFERROR(VLOOKUP($A55,INDIRECT(#REF!&amp;"!$A$6:$C$200"),3,0),0)</f>
        <v>0</v>
      </c>
      <c r="CB55" s="7">
        <f ca="1">IFERROR(VLOOKUP($A55,INDIRECT(#REF!&amp;"!$A$6:$C$200"),3,0),0)</f>
        <v>0</v>
      </c>
      <c r="CC55" s="7">
        <f ca="1">IFERROR(VLOOKUP($A55,INDIRECT(#REF!&amp;"!$A$6:$C$200"),3,0),0)</f>
        <v>0</v>
      </c>
      <c r="CD55" s="7" t="str">
        <f ca="1">IF(CD54="","",IFERROR(VLOOKUP($A55,INDIRECT(#REF!&amp;"!$A$6:$C$200"),3,0),0))</f>
        <v/>
      </c>
      <c r="CE55" s="7" t="str">
        <f ca="1">IF(CE54="","",IFERROR(VLOOKUP($A55,INDIRECT(#REF!&amp;"!$A$6:$C$200"),3,0),0))</f>
        <v/>
      </c>
      <c r="CF55" s="7" t="str">
        <f ca="1">IF(CF54="","",IFERROR(VLOOKUP($A55,INDIRECT(#REF!&amp;"!$A$6:$C$200"),3,0),0))</f>
        <v/>
      </c>
      <c r="CG55" s="7" t="str">
        <f ca="1">IF(CG54="","",IFERROR(VLOOKUP($A55,INDIRECT(#REF!&amp;"!$A$6:$C$200"),3,0),0))</f>
        <v/>
      </c>
      <c r="CH55" s="7" t="str">
        <f ca="1">IF(CH54="","",IFERROR(VLOOKUP($A55,INDIRECT(#REF!&amp;"!$A$6:$C$200"),3,0),0))</f>
        <v/>
      </c>
      <c r="CI55" s="7" t="str">
        <f ca="1">IF(CI54="","",IFERROR(VLOOKUP($A55,INDIRECT(#REF!&amp;"!$A$6:$C$200"),3,0),0))</f>
        <v/>
      </c>
      <c r="CJ55" s="7" t="str">
        <f ca="1">IF(CJ54="","",IFERROR(VLOOKUP($A55,INDIRECT(#REF!&amp;"!$A$6:$C$200"),3,0),0))</f>
        <v/>
      </c>
      <c r="CK55" s="7" t="str">
        <f ca="1">IF(CK54="","",IFERROR(VLOOKUP($A55,INDIRECT(#REF!&amp;"!$A$6:$C$200"),3,0),0))</f>
        <v/>
      </c>
      <c r="CL55" s="7" t="str">
        <f ca="1">IF(CL54="","",IFERROR(VLOOKUP($A55,INDIRECT(#REF!&amp;"!$A$6:$C$200"),3,0),0))</f>
        <v/>
      </c>
      <c r="CM55" s="7" t="str">
        <f ca="1">IF(CM54="","",IFERROR(VLOOKUP($A55,INDIRECT(#REF!&amp;"!$A$6:$C$200"),3,0),0))</f>
        <v/>
      </c>
      <c r="CN55" s="7" t="str">
        <f ca="1">IF(CN54="","",IFERROR(VLOOKUP($A55,INDIRECT(#REF!&amp;"!$A$6:$C$200"),3,0),0))</f>
        <v/>
      </c>
      <c r="CO55" s="7" t="str">
        <f ca="1">IF(CO54="","",IFERROR(VLOOKUP($A55,INDIRECT(#REF!&amp;"!$A$6:$C$200"),3,0),0))</f>
        <v/>
      </c>
      <c r="CP55" s="7" t="str">
        <f ca="1">IF(CP54="","",IFERROR(VLOOKUP($A55,INDIRECT(#REF!&amp;"!$A$6:$C$200"),3,0),0))</f>
        <v/>
      </c>
      <c r="CQ55" s="7" t="str">
        <f ca="1">IF(CQ54="","",IFERROR(VLOOKUP($A55,INDIRECT(#REF!&amp;"!$A$6:$C$200"),3,0),0))</f>
        <v/>
      </c>
      <c r="CR55" s="7" t="str">
        <f ca="1">IF(CR54="","",IFERROR(VLOOKUP($A55,INDIRECT(#REF!&amp;"!$A$6:$C$200"),3,0),0))</f>
        <v/>
      </c>
      <c r="CS55" s="7" t="str">
        <f ca="1">IF(CS54="","",IFERROR(VLOOKUP($A55,INDIRECT(#REF!&amp;"!$A$6:$C$200"),3,0),0))</f>
        <v/>
      </c>
      <c r="CT55" s="7" t="str">
        <f ca="1">IF(CT54="","",IFERROR(VLOOKUP($A55,INDIRECT(#REF!&amp;"!$A$6:$C$200"),3,0),0))</f>
        <v/>
      </c>
      <c r="CU55" s="7" t="str">
        <f ca="1">IF(CU54="","",IFERROR(VLOOKUP($A55,INDIRECT(#REF!&amp;"!$A$6:$C$200"),3,0),0))</f>
        <v/>
      </c>
      <c r="CV55" s="7" t="str">
        <f ca="1">IF(CV54="","",IFERROR(VLOOKUP($A55,INDIRECT(#REF!&amp;"!$A$6:$C$200"),3,0),0))</f>
        <v/>
      </c>
      <c r="CW55" s="7" t="str">
        <f ca="1">IF(CW54="","",IFERROR(VLOOKUP($A55,INDIRECT(#REF!&amp;"!$A$6:$C$200"),3,0),0))</f>
        <v/>
      </c>
      <c r="CX55" s="7" t="str">
        <f ca="1">IF(CX54="","",IFERROR(VLOOKUP($A55,INDIRECT(#REF!&amp;"!$A$6:$C$200"),3,0),0))</f>
        <v/>
      </c>
      <c r="CY55" s="7" t="str">
        <f ca="1">IF(CY54="","",IFERROR(VLOOKUP($A55,INDIRECT(#REF!&amp;"!$A$6:$C$200"),3,0),0))</f>
        <v/>
      </c>
      <c r="CZ55" s="7" t="str">
        <f ca="1">IF(CZ54="","",IFERROR(VLOOKUP($A55,INDIRECT(#REF!&amp;"!$A$6:$C$200"),3,0),0))</f>
        <v/>
      </c>
      <c r="DA55" s="7" t="str">
        <f ca="1">IF(DA54="","",IFERROR(VLOOKUP($A55,INDIRECT(#REF!&amp;"!$A$6:$C$200"),3,0),0))</f>
        <v/>
      </c>
      <c r="DB55" s="7" t="str">
        <f ca="1">IF(DB54="","",IFERROR(VLOOKUP($A55,INDIRECT(#REF!&amp;"!$A$6:$C$200"),3,0),0))</f>
        <v/>
      </c>
      <c r="DC55" s="7" t="str">
        <f ca="1">IF(DC54="","",IFERROR(VLOOKUP($A55,INDIRECT(#REF!&amp;"!$A$6:$C$200"),3,0),0))</f>
        <v/>
      </c>
      <c r="DD55" s="7" t="str">
        <f ca="1">IF(DD54="","",IFERROR(VLOOKUP($A55,INDIRECT(#REF!&amp;"!$A$6:$C$200"),3,0),0))</f>
        <v/>
      </c>
      <c r="DE55" s="7" t="str">
        <f ca="1">IF(DE54="","",IFERROR(VLOOKUP($A55,INDIRECT(#REF!&amp;"!$A$6:$C$200"),3,0),0))</f>
        <v/>
      </c>
      <c r="DF55" s="7" t="str">
        <f ca="1">IF(DF54="","",IFERROR(VLOOKUP($A55,INDIRECT(#REF!&amp;"!$A$6:$C$200"),3,0),0))</f>
        <v/>
      </c>
      <c r="DG55" s="7" t="str">
        <f ca="1">IF(DG54="","",IFERROR(VLOOKUP($A55,INDIRECT(#REF!&amp;"!$A$6:$C$200"),3,0),0))</f>
        <v/>
      </c>
      <c r="DH55" s="7" t="str">
        <f ca="1">IF(DH54="","",IFERROR(VLOOKUP($A55,INDIRECT(#REF!&amp;"!$A$6:$C$200"),3,0),0))</f>
        <v/>
      </c>
      <c r="DI55" s="7" t="str">
        <f ca="1">IF(DI54="","",IFERROR(VLOOKUP($A55,INDIRECT(#REF!&amp;"!$A$6:$C$200"),3,0),0))</f>
        <v/>
      </c>
      <c r="DJ55" s="7" t="str">
        <f ca="1">IF(DJ54="","",IFERROR(VLOOKUP($A55,INDIRECT(#REF!&amp;"!$A$6:$C$200"),3,0),0))</f>
        <v/>
      </c>
      <c r="DK55" s="7" t="str">
        <f ca="1">IF(DK54="","",IFERROR(VLOOKUP($A55,INDIRECT(#REF!&amp;"!$A$6:$C$200"),3,0),0))</f>
        <v/>
      </c>
    </row>
    <row r="56" spans="1:115">
      <c r="A56" s="6" t="s">
        <v>58</v>
      </c>
      <c r="B56" s="7">
        <v>5.0000000000000002E-5</v>
      </c>
      <c r="C56" s="7">
        <v>2.8571428571428574E-5</v>
      </c>
      <c r="D56" s="7">
        <v>2.8571428571428574E-5</v>
      </c>
      <c r="E56" s="7">
        <v>2.8571428571428574E-5</v>
      </c>
      <c r="F56" s="7">
        <v>4.2857142857142863E-5</v>
      </c>
      <c r="G56" s="7">
        <v>0</v>
      </c>
      <c r="H56" s="7">
        <f t="shared" ca="1" si="5"/>
        <v>1.4285714285714287E-5</v>
      </c>
      <c r="I56" s="7">
        <f t="shared" ca="1" si="3"/>
        <v>0</v>
      </c>
      <c r="J56" s="7">
        <f t="shared" ca="1" si="4"/>
        <v>0</v>
      </c>
      <c r="K56" s="7">
        <f t="shared" ca="1" si="6"/>
        <v>0</v>
      </c>
      <c r="L56" s="7">
        <f t="shared" ca="1" si="7"/>
        <v>0</v>
      </c>
      <c r="M56" s="8">
        <v>2.0000000000000001E-4</v>
      </c>
      <c r="N56" s="8">
        <v>1E-4</v>
      </c>
      <c r="O56" s="8">
        <v>0</v>
      </c>
      <c r="P56" s="8">
        <v>0</v>
      </c>
      <c r="Q56" s="8">
        <v>0</v>
      </c>
      <c r="R56" s="8">
        <v>0</v>
      </c>
      <c r="S56" s="8">
        <v>2.0000000000000001E-4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8">
        <v>0</v>
      </c>
      <c r="AC56" s="8">
        <v>1E-4</v>
      </c>
      <c r="AD56" s="8">
        <v>0</v>
      </c>
      <c r="AE56" s="8">
        <v>1E-4</v>
      </c>
      <c r="AF56" s="8">
        <v>0</v>
      </c>
      <c r="AG56" s="8">
        <v>1E-4</v>
      </c>
      <c r="AH56" s="8">
        <v>1E-4</v>
      </c>
      <c r="AI56" s="8">
        <v>0</v>
      </c>
      <c r="AJ56" s="8">
        <v>0</v>
      </c>
      <c r="AK56" s="8">
        <v>0</v>
      </c>
      <c r="AL56" s="8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1E-4</v>
      </c>
      <c r="AS56" s="7">
        <v>1E-4</v>
      </c>
      <c r="AT56" s="7">
        <v>1E-4</v>
      </c>
      <c r="AU56" s="7">
        <v>0</v>
      </c>
      <c r="AV56" s="7">
        <v>0</v>
      </c>
      <c r="AW56" s="7">
        <v>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  <c r="BC56" s="7">
        <v>0</v>
      </c>
      <c r="BD56" s="7">
        <v>1E-4</v>
      </c>
      <c r="BE56" s="7">
        <f ca="1">IFERROR(VLOOKUP($A56,INDIRECT(#REF!&amp;"!$A$6:$C$200"),3,0),0)</f>
        <v>0</v>
      </c>
      <c r="BF56" s="7">
        <f ca="1">IFERROR(VLOOKUP($A56,INDIRECT(#REF!&amp;"!$A$6:$C$200"),3,0),0)</f>
        <v>0</v>
      </c>
      <c r="BG56" s="7">
        <f ca="1">IFERROR(VLOOKUP($A56,INDIRECT(#REF!&amp;"!$A$6:$C$200"),3,0),0)</f>
        <v>0</v>
      </c>
      <c r="BH56" s="8">
        <f ca="1">IFERROR(VLOOKUP($A56,INDIRECT(#REF!&amp;"!$A$6:$C$200"),3,0),0)</f>
        <v>0</v>
      </c>
      <c r="BI56" s="8">
        <f ca="1">IFERROR(VLOOKUP($A56,INDIRECT(#REF!&amp;"!$A$6:$C$200"),3,0),0)</f>
        <v>0</v>
      </c>
      <c r="BJ56" s="8">
        <f ca="1">IFERROR(VLOOKUP($A56,INDIRECT(#REF!&amp;"!$A$6:$C$200"),3,0),0)</f>
        <v>0</v>
      </c>
      <c r="BK56" s="8">
        <f ca="1">IFERROR(VLOOKUP($A56,INDIRECT(#REF!&amp;"!$A$6:$C$200"),3,0),0)</f>
        <v>0</v>
      </c>
      <c r="BL56" s="8">
        <f ca="1">IFERROR(VLOOKUP($A56,INDIRECT(#REF!&amp;"!$A$6:$C$200"),3,0),0)</f>
        <v>0</v>
      </c>
      <c r="BM56" s="8">
        <f ca="1">IFERROR(VLOOKUP($A56,INDIRECT(#REF!&amp;"!$A$6:$C$200"),3,0),0)</f>
        <v>0</v>
      </c>
      <c r="BN56" s="8">
        <f ca="1">IFERROR(VLOOKUP($A56,INDIRECT(#REF!&amp;"!$A$6:$C$200"),3,0),0)</f>
        <v>0</v>
      </c>
      <c r="BO56" s="8">
        <f ca="1">IFERROR(VLOOKUP($A56,INDIRECT(#REF!&amp;"!$A$6:$C$200"),3,0),0)</f>
        <v>0</v>
      </c>
      <c r="BP56" s="7">
        <f ca="1">IFERROR(VLOOKUP($A56,INDIRECT(#REF!&amp;"!$A$6:$C$200"),3,0),0)</f>
        <v>0</v>
      </c>
      <c r="BQ56" s="7">
        <f ca="1">IFERROR(VLOOKUP($A56,INDIRECT(#REF!&amp;"!$A$6:$C$200"),3,0),0)</f>
        <v>0</v>
      </c>
      <c r="BR56" s="7">
        <f ca="1">IFERROR(VLOOKUP($A56,INDIRECT(#REF!&amp;"!$A$6:$C$200"),3,0),0)</f>
        <v>0</v>
      </c>
      <c r="BS56" s="7">
        <f ca="1">IFERROR(VLOOKUP($A56,INDIRECT(#REF!&amp;"!$A$6:$C$200"),3,0),0)</f>
        <v>0</v>
      </c>
      <c r="BT56" s="7">
        <f ca="1">IFERROR(VLOOKUP($A56,INDIRECT(#REF!&amp;"!$A$6:$C$200"),3,0),0)</f>
        <v>0</v>
      </c>
      <c r="BU56" s="7">
        <f ca="1">IFERROR(VLOOKUP($A56,INDIRECT(#REF!&amp;"!$A$6:$C$200"),3,0),0)</f>
        <v>0</v>
      </c>
      <c r="BV56" s="7">
        <f ca="1">IFERROR(VLOOKUP($A56,INDIRECT(#REF!&amp;"!$A$6:$C$200"),3,0),0)</f>
        <v>0</v>
      </c>
      <c r="BW56" s="7">
        <f ca="1">IFERROR(VLOOKUP($A56,INDIRECT(#REF!&amp;"!$A$6:$C$200"),3,0),0)</f>
        <v>0</v>
      </c>
      <c r="BX56" s="7">
        <f ca="1">IFERROR(VLOOKUP($A56,INDIRECT(#REF!&amp;"!$A$6:$C$200"),3,0),0)</f>
        <v>0</v>
      </c>
      <c r="BY56" s="7">
        <f ca="1">IFERROR(VLOOKUP($A56,INDIRECT(#REF!&amp;"!$A$6:$C$200"),3,0),0)</f>
        <v>0</v>
      </c>
      <c r="BZ56" s="7">
        <f ca="1">IFERROR(VLOOKUP($A56,INDIRECT(#REF!&amp;"!$A$6:$C$200"),3,0),0)</f>
        <v>0</v>
      </c>
      <c r="CA56" s="7">
        <f ca="1">IFERROR(VLOOKUP($A56,INDIRECT(#REF!&amp;"!$A$6:$C$200"),3,0),0)</f>
        <v>0</v>
      </c>
      <c r="CB56" s="7">
        <f ca="1">IFERROR(VLOOKUP($A56,INDIRECT(#REF!&amp;"!$A$6:$C$200"),3,0),0)</f>
        <v>0</v>
      </c>
      <c r="CC56" s="7">
        <f ca="1">IFERROR(VLOOKUP($A56,INDIRECT(#REF!&amp;"!$A$6:$C$200"),3,0),0)</f>
        <v>0</v>
      </c>
      <c r="CD56" s="7" t="str">
        <f ca="1">IF(CD55="","",IFERROR(VLOOKUP($A56,INDIRECT(#REF!&amp;"!$A$6:$C$200"),3,0),0))</f>
        <v/>
      </c>
      <c r="CE56" s="7" t="str">
        <f ca="1">IF(CE55="","",IFERROR(VLOOKUP($A56,INDIRECT(#REF!&amp;"!$A$6:$C$200"),3,0),0))</f>
        <v/>
      </c>
      <c r="CF56" s="7" t="str">
        <f ca="1">IF(CF55="","",IFERROR(VLOOKUP($A56,INDIRECT(#REF!&amp;"!$A$6:$C$200"),3,0),0))</f>
        <v/>
      </c>
      <c r="CG56" s="7" t="str">
        <f ca="1">IF(CG55="","",IFERROR(VLOOKUP($A56,INDIRECT(#REF!&amp;"!$A$6:$C$200"),3,0),0))</f>
        <v/>
      </c>
      <c r="CH56" s="7" t="str">
        <f ca="1">IF(CH55="","",IFERROR(VLOOKUP($A56,INDIRECT(#REF!&amp;"!$A$6:$C$200"),3,0),0))</f>
        <v/>
      </c>
      <c r="CI56" s="7" t="str">
        <f ca="1">IF(CI55="","",IFERROR(VLOOKUP($A56,INDIRECT(#REF!&amp;"!$A$6:$C$200"),3,0),0))</f>
        <v/>
      </c>
      <c r="CJ56" s="7" t="str">
        <f ca="1">IF(CJ55="","",IFERROR(VLOOKUP($A56,INDIRECT(#REF!&amp;"!$A$6:$C$200"),3,0),0))</f>
        <v/>
      </c>
      <c r="CK56" s="7" t="str">
        <f ca="1">IF(CK55="","",IFERROR(VLOOKUP($A56,INDIRECT(#REF!&amp;"!$A$6:$C$200"),3,0),0))</f>
        <v/>
      </c>
      <c r="CL56" s="7" t="str">
        <f ca="1">IF(CL55="","",IFERROR(VLOOKUP($A56,INDIRECT(#REF!&amp;"!$A$6:$C$200"),3,0),0))</f>
        <v/>
      </c>
      <c r="CM56" s="7" t="str">
        <f ca="1">IF(CM55="","",IFERROR(VLOOKUP($A56,INDIRECT(#REF!&amp;"!$A$6:$C$200"),3,0),0))</f>
        <v/>
      </c>
      <c r="CN56" s="7" t="str">
        <f ca="1">IF(CN55="","",IFERROR(VLOOKUP($A56,INDIRECT(#REF!&amp;"!$A$6:$C$200"),3,0),0))</f>
        <v/>
      </c>
      <c r="CO56" s="7" t="str">
        <f ca="1">IF(CO55="","",IFERROR(VLOOKUP($A56,INDIRECT(#REF!&amp;"!$A$6:$C$200"),3,0),0))</f>
        <v/>
      </c>
      <c r="CP56" s="7" t="str">
        <f ca="1">IF(CP55="","",IFERROR(VLOOKUP($A56,INDIRECT(#REF!&amp;"!$A$6:$C$200"),3,0),0))</f>
        <v/>
      </c>
      <c r="CQ56" s="7" t="str">
        <f ca="1">IF(CQ55="","",IFERROR(VLOOKUP($A56,INDIRECT(#REF!&amp;"!$A$6:$C$200"),3,0),0))</f>
        <v/>
      </c>
      <c r="CR56" s="7" t="str">
        <f ca="1">IF(CR55="","",IFERROR(VLOOKUP($A56,INDIRECT(#REF!&amp;"!$A$6:$C$200"),3,0),0))</f>
        <v/>
      </c>
      <c r="CS56" s="7" t="str">
        <f ca="1">IF(CS55="","",IFERROR(VLOOKUP($A56,INDIRECT(#REF!&amp;"!$A$6:$C$200"),3,0),0))</f>
        <v/>
      </c>
      <c r="CT56" s="7" t="str">
        <f ca="1">IF(CT55="","",IFERROR(VLOOKUP($A56,INDIRECT(#REF!&amp;"!$A$6:$C$200"),3,0),0))</f>
        <v/>
      </c>
      <c r="CU56" s="7" t="str">
        <f ca="1">IF(CU55="","",IFERROR(VLOOKUP($A56,INDIRECT(#REF!&amp;"!$A$6:$C$200"),3,0),0))</f>
        <v/>
      </c>
      <c r="CV56" s="7" t="str">
        <f ca="1">IF(CV55="","",IFERROR(VLOOKUP($A56,INDIRECT(#REF!&amp;"!$A$6:$C$200"),3,0),0))</f>
        <v/>
      </c>
      <c r="CW56" s="7" t="str">
        <f ca="1">IF(CW55="","",IFERROR(VLOOKUP($A56,INDIRECT(#REF!&amp;"!$A$6:$C$200"),3,0),0))</f>
        <v/>
      </c>
      <c r="CX56" s="7" t="str">
        <f ca="1">IF(CX55="","",IFERROR(VLOOKUP($A56,INDIRECT(#REF!&amp;"!$A$6:$C$200"),3,0),0))</f>
        <v/>
      </c>
      <c r="CY56" s="7" t="str">
        <f ca="1">IF(CY55="","",IFERROR(VLOOKUP($A56,INDIRECT(#REF!&amp;"!$A$6:$C$200"),3,0),0))</f>
        <v/>
      </c>
      <c r="CZ56" s="7" t="str">
        <f ca="1">IF(CZ55="","",IFERROR(VLOOKUP($A56,INDIRECT(#REF!&amp;"!$A$6:$C$200"),3,0),0))</f>
        <v/>
      </c>
      <c r="DA56" s="7" t="str">
        <f ca="1">IF(DA55="","",IFERROR(VLOOKUP($A56,INDIRECT(#REF!&amp;"!$A$6:$C$200"),3,0),0))</f>
        <v/>
      </c>
      <c r="DB56" s="7" t="str">
        <f ca="1">IF(DB55="","",IFERROR(VLOOKUP($A56,INDIRECT(#REF!&amp;"!$A$6:$C$200"),3,0),0))</f>
        <v/>
      </c>
      <c r="DC56" s="7" t="str">
        <f ca="1">IF(DC55="","",IFERROR(VLOOKUP($A56,INDIRECT(#REF!&amp;"!$A$6:$C$200"),3,0),0))</f>
        <v/>
      </c>
      <c r="DD56" s="7" t="str">
        <f ca="1">IF(DD55="","",IFERROR(VLOOKUP($A56,INDIRECT(#REF!&amp;"!$A$6:$C$200"),3,0),0))</f>
        <v/>
      </c>
      <c r="DE56" s="7" t="str">
        <f ca="1">IF(DE55="","",IFERROR(VLOOKUP($A56,INDIRECT(#REF!&amp;"!$A$6:$C$200"),3,0),0))</f>
        <v/>
      </c>
      <c r="DF56" s="7" t="str">
        <f ca="1">IF(DF55="","",IFERROR(VLOOKUP($A56,INDIRECT(#REF!&amp;"!$A$6:$C$200"),3,0),0))</f>
        <v/>
      </c>
      <c r="DG56" s="7" t="str">
        <f ca="1">IF(DG55="","",IFERROR(VLOOKUP($A56,INDIRECT(#REF!&amp;"!$A$6:$C$200"),3,0),0))</f>
        <v/>
      </c>
      <c r="DH56" s="7" t="str">
        <f ca="1">IF(DH55="","",IFERROR(VLOOKUP($A56,INDIRECT(#REF!&amp;"!$A$6:$C$200"),3,0),0))</f>
        <v/>
      </c>
      <c r="DI56" s="7" t="str">
        <f ca="1">IF(DI55="","",IFERROR(VLOOKUP($A56,INDIRECT(#REF!&amp;"!$A$6:$C$200"),3,0),0))</f>
        <v/>
      </c>
      <c r="DJ56" s="7" t="str">
        <f ca="1">IF(DJ55="","",IFERROR(VLOOKUP($A56,INDIRECT(#REF!&amp;"!$A$6:$C$200"),3,0),0))</f>
        <v/>
      </c>
      <c r="DK56" s="7" t="str">
        <f ca="1">IF(DK55="","",IFERROR(VLOOKUP($A56,INDIRECT(#REF!&amp;"!$A$6:$C$200"),3,0),0))</f>
        <v/>
      </c>
    </row>
    <row r="57" spans="1:115">
      <c r="A57" s="6" t="s">
        <v>59</v>
      </c>
      <c r="B57" s="7">
        <v>0</v>
      </c>
      <c r="C57" s="7">
        <v>0</v>
      </c>
      <c r="D57" s="7">
        <v>2.8571428571428574E-5</v>
      </c>
      <c r="E57" s="7">
        <v>1.4285714285714287E-5</v>
      </c>
      <c r="F57" s="7">
        <v>0</v>
      </c>
      <c r="G57" s="7">
        <v>0</v>
      </c>
      <c r="H57" s="7">
        <f t="shared" ca="1" si="5"/>
        <v>0</v>
      </c>
      <c r="I57" s="7">
        <f t="shared" ca="1" si="3"/>
        <v>0</v>
      </c>
      <c r="J57" s="7">
        <f t="shared" ca="1" si="4"/>
        <v>0</v>
      </c>
      <c r="K57" s="7">
        <f t="shared" ca="1" si="6"/>
        <v>0</v>
      </c>
      <c r="L57" s="7">
        <f t="shared" ca="1" si="7"/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8">
        <v>0</v>
      </c>
      <c r="AC57" s="8">
        <v>1E-4</v>
      </c>
      <c r="AD57" s="8">
        <v>1E-4</v>
      </c>
      <c r="AE57" s="8">
        <v>0</v>
      </c>
      <c r="AF57" s="8">
        <v>0</v>
      </c>
      <c r="AG57" s="8">
        <v>0</v>
      </c>
      <c r="AH57" s="8">
        <v>1E-4</v>
      </c>
      <c r="AI57" s="8">
        <v>0</v>
      </c>
      <c r="AJ57" s="8">
        <v>0</v>
      </c>
      <c r="AK57" s="8">
        <v>0</v>
      </c>
      <c r="AL57" s="8">
        <v>0</v>
      </c>
      <c r="AM57" s="7">
        <v>0</v>
      </c>
      <c r="AN57" s="7">
        <v>0</v>
      </c>
      <c r="AO57" s="7">
        <v>0</v>
      </c>
      <c r="AP57" s="8">
        <v>0</v>
      </c>
      <c r="AQ57" s="8">
        <v>0</v>
      </c>
      <c r="AR57" s="8">
        <v>0</v>
      </c>
      <c r="AS57" s="7">
        <v>0</v>
      </c>
      <c r="AT57" s="7">
        <v>0</v>
      </c>
      <c r="AU57" s="7">
        <v>0</v>
      </c>
      <c r="AV57" s="7">
        <v>0</v>
      </c>
      <c r="AW57" s="8">
        <v>0</v>
      </c>
      <c r="AX57" s="7">
        <v>0</v>
      </c>
      <c r="AY57" s="7">
        <v>0</v>
      </c>
      <c r="AZ57" s="7">
        <v>0</v>
      </c>
      <c r="BA57" s="8">
        <v>0</v>
      </c>
      <c r="BB57" s="8">
        <v>0</v>
      </c>
      <c r="BC57" s="7">
        <v>0</v>
      </c>
      <c r="BD57" s="7">
        <v>0</v>
      </c>
      <c r="BE57" s="8">
        <f ca="1">IFERROR(VLOOKUP($A57,INDIRECT(#REF!&amp;"!$A$6:$C$200"),3,0),0)</f>
        <v>0</v>
      </c>
      <c r="BF57" s="8">
        <f ca="1">IFERROR(VLOOKUP($A57,INDIRECT(#REF!&amp;"!$A$6:$C$200"),3,0),0)</f>
        <v>0</v>
      </c>
      <c r="BG57" s="7">
        <f ca="1">IFERROR(VLOOKUP($A57,INDIRECT(#REF!&amp;"!$A$6:$C$200"),3,0),0)</f>
        <v>0</v>
      </c>
      <c r="BH57" s="8">
        <f ca="1">IFERROR(VLOOKUP($A57,INDIRECT(#REF!&amp;"!$A$6:$C$200"),3,0),0)</f>
        <v>0</v>
      </c>
      <c r="BI57" s="7">
        <f ca="1">IFERROR(VLOOKUP($A57,INDIRECT(#REF!&amp;"!$A$6:$C$200"),3,0),0)</f>
        <v>0</v>
      </c>
      <c r="BJ57" s="8">
        <f ca="1">IFERROR(VLOOKUP($A57,INDIRECT(#REF!&amp;"!$A$6:$C$200"),3,0),0)</f>
        <v>0</v>
      </c>
      <c r="BK57" s="8">
        <f ca="1">IFERROR(VLOOKUP($A57,INDIRECT(#REF!&amp;"!$A$6:$C$200"),3,0),0)</f>
        <v>0</v>
      </c>
      <c r="BL57" s="7">
        <f ca="1">IFERROR(VLOOKUP($A57,INDIRECT(#REF!&amp;"!$A$6:$C$200"),3,0),0)</f>
        <v>0</v>
      </c>
      <c r="BM57" s="8">
        <f ca="1">IFERROR(VLOOKUP($A57,INDIRECT(#REF!&amp;"!$A$6:$C$200"),3,0),0)</f>
        <v>0</v>
      </c>
      <c r="BN57" s="8">
        <f ca="1">IFERROR(VLOOKUP($A57,INDIRECT(#REF!&amp;"!$A$6:$C$200"),3,0),0)</f>
        <v>0</v>
      </c>
      <c r="BO57" s="8">
        <f ca="1">IFERROR(VLOOKUP($A57,INDIRECT(#REF!&amp;"!$A$6:$C$200"),3,0),0)</f>
        <v>0</v>
      </c>
      <c r="BP57" s="7">
        <f ca="1">IFERROR(VLOOKUP($A57,INDIRECT(#REF!&amp;"!$A$6:$C$200"),3,0),0)</f>
        <v>0</v>
      </c>
      <c r="BQ57" s="7">
        <f ca="1">IFERROR(VLOOKUP($A57,INDIRECT(#REF!&amp;"!$A$6:$C$200"),3,0),0)</f>
        <v>0</v>
      </c>
      <c r="BR57" s="8">
        <f ca="1">IFERROR(VLOOKUP($A57,INDIRECT(#REF!&amp;"!$A$6:$C$200"),3,0),0)</f>
        <v>0</v>
      </c>
      <c r="BS57" s="7">
        <f ca="1">IFERROR(VLOOKUP($A57,INDIRECT(#REF!&amp;"!$A$6:$C$200"),3,0),0)</f>
        <v>0</v>
      </c>
      <c r="BT57" s="7">
        <f ca="1">IFERROR(VLOOKUP($A57,INDIRECT(#REF!&amp;"!$A$6:$C$200"),3,0),0)</f>
        <v>0</v>
      </c>
      <c r="BU57" s="7">
        <f ca="1">IFERROR(VLOOKUP($A57,INDIRECT(#REF!&amp;"!$A$6:$C$200"),3,0),0)</f>
        <v>0</v>
      </c>
      <c r="BV57" s="7">
        <f ca="1">IFERROR(VLOOKUP($A57,INDIRECT(#REF!&amp;"!$A$6:$C$200"),3,0),0)</f>
        <v>0</v>
      </c>
      <c r="BW57" s="7">
        <f ca="1">IFERROR(VLOOKUP($A57,INDIRECT(#REF!&amp;"!$A$6:$C$200"),3,0),0)</f>
        <v>0</v>
      </c>
      <c r="BX57" s="7">
        <f ca="1">IFERROR(VLOOKUP($A57,INDIRECT(#REF!&amp;"!$A$6:$C$200"),3,0),0)</f>
        <v>0</v>
      </c>
      <c r="BY57" s="7">
        <f ca="1">IFERROR(VLOOKUP($A57,INDIRECT(#REF!&amp;"!$A$6:$C$200"),3,0),0)</f>
        <v>0</v>
      </c>
      <c r="BZ57" s="7">
        <f ca="1">IFERROR(VLOOKUP($A57,INDIRECT(#REF!&amp;"!$A$6:$C$200"),3,0),0)</f>
        <v>0</v>
      </c>
      <c r="CA57" s="7">
        <f ca="1">IFERROR(VLOOKUP($A57,INDIRECT(#REF!&amp;"!$A$6:$C$200"),3,0),0)</f>
        <v>0</v>
      </c>
      <c r="CB57" s="7">
        <f ca="1">IFERROR(VLOOKUP($A57,INDIRECT(#REF!&amp;"!$A$6:$C$200"),3,0),0)</f>
        <v>0</v>
      </c>
      <c r="CC57" s="7">
        <f ca="1">IFERROR(VLOOKUP($A57,INDIRECT(#REF!&amp;"!$A$6:$C$200"),3,0),0)</f>
        <v>0</v>
      </c>
      <c r="CD57" s="7" t="str">
        <f ca="1">IF(CD56="","",IFERROR(VLOOKUP($A57,INDIRECT(#REF!&amp;"!$A$6:$C$200"),3,0),0))</f>
        <v/>
      </c>
      <c r="CE57" s="7" t="str">
        <f ca="1">IF(CE56="","",IFERROR(VLOOKUP($A57,INDIRECT(#REF!&amp;"!$A$6:$C$200"),3,0),0))</f>
        <v/>
      </c>
      <c r="CF57" s="7" t="str">
        <f ca="1">IF(CF56="","",IFERROR(VLOOKUP($A57,INDIRECT(#REF!&amp;"!$A$6:$C$200"),3,0),0))</f>
        <v/>
      </c>
      <c r="CG57" s="7" t="str">
        <f ca="1">IF(CG56="","",IFERROR(VLOOKUP($A57,INDIRECT(#REF!&amp;"!$A$6:$C$200"),3,0),0))</f>
        <v/>
      </c>
      <c r="CH57" s="7" t="str">
        <f ca="1">IF(CH56="","",IFERROR(VLOOKUP($A57,INDIRECT(#REF!&amp;"!$A$6:$C$200"),3,0),0))</f>
        <v/>
      </c>
      <c r="CI57" s="7" t="str">
        <f ca="1">IF(CI56="","",IFERROR(VLOOKUP($A57,INDIRECT(#REF!&amp;"!$A$6:$C$200"),3,0),0))</f>
        <v/>
      </c>
      <c r="CJ57" s="7" t="str">
        <f ca="1">IF(CJ56="","",IFERROR(VLOOKUP($A57,INDIRECT(#REF!&amp;"!$A$6:$C$200"),3,0),0))</f>
        <v/>
      </c>
      <c r="CK57" s="7" t="str">
        <f ca="1">IF(CK56="","",IFERROR(VLOOKUP($A57,INDIRECT(#REF!&amp;"!$A$6:$C$200"),3,0),0))</f>
        <v/>
      </c>
      <c r="CL57" s="7" t="str">
        <f ca="1">IF(CL56="","",IFERROR(VLOOKUP($A57,INDIRECT(#REF!&amp;"!$A$6:$C$200"),3,0),0))</f>
        <v/>
      </c>
      <c r="CM57" s="7" t="str">
        <f ca="1">IF(CM56="","",IFERROR(VLOOKUP($A57,INDIRECT(#REF!&amp;"!$A$6:$C$200"),3,0),0))</f>
        <v/>
      </c>
      <c r="CN57" s="7" t="str">
        <f ca="1">IF(CN56="","",IFERROR(VLOOKUP($A57,INDIRECT(#REF!&amp;"!$A$6:$C$200"),3,0),0))</f>
        <v/>
      </c>
      <c r="CO57" s="7" t="str">
        <f ca="1">IF(CO56="","",IFERROR(VLOOKUP($A57,INDIRECT(#REF!&amp;"!$A$6:$C$200"),3,0),0))</f>
        <v/>
      </c>
      <c r="CP57" s="7" t="str">
        <f ca="1">IF(CP56="","",IFERROR(VLOOKUP($A57,INDIRECT(#REF!&amp;"!$A$6:$C$200"),3,0),0))</f>
        <v/>
      </c>
      <c r="CQ57" s="7" t="str">
        <f ca="1">IF(CQ56="","",IFERROR(VLOOKUP($A57,INDIRECT(#REF!&amp;"!$A$6:$C$200"),3,0),0))</f>
        <v/>
      </c>
      <c r="CR57" s="7" t="str">
        <f ca="1">IF(CR56="","",IFERROR(VLOOKUP($A57,INDIRECT(#REF!&amp;"!$A$6:$C$200"),3,0),0))</f>
        <v/>
      </c>
      <c r="CS57" s="7" t="str">
        <f ca="1">IF(CS56="","",IFERROR(VLOOKUP($A57,INDIRECT(#REF!&amp;"!$A$6:$C$200"),3,0),0))</f>
        <v/>
      </c>
      <c r="CT57" s="7" t="str">
        <f ca="1">IF(CT56="","",IFERROR(VLOOKUP($A57,INDIRECT(#REF!&amp;"!$A$6:$C$200"),3,0),0))</f>
        <v/>
      </c>
      <c r="CU57" s="7" t="str">
        <f ca="1">IF(CU56="","",IFERROR(VLOOKUP($A57,INDIRECT(#REF!&amp;"!$A$6:$C$200"),3,0),0))</f>
        <v/>
      </c>
      <c r="CV57" s="7" t="str">
        <f ca="1">IF(CV56="","",IFERROR(VLOOKUP($A57,INDIRECT(#REF!&amp;"!$A$6:$C$200"),3,0),0))</f>
        <v/>
      </c>
      <c r="CW57" s="7" t="str">
        <f ca="1">IF(CW56="","",IFERROR(VLOOKUP($A57,INDIRECT(#REF!&amp;"!$A$6:$C$200"),3,0),0))</f>
        <v/>
      </c>
      <c r="CX57" s="7" t="str">
        <f ca="1">IF(CX56="","",IFERROR(VLOOKUP($A57,INDIRECT(#REF!&amp;"!$A$6:$C$200"),3,0),0))</f>
        <v/>
      </c>
      <c r="CY57" s="7" t="str">
        <f ca="1">IF(CY56="","",IFERROR(VLOOKUP($A57,INDIRECT(#REF!&amp;"!$A$6:$C$200"),3,0),0))</f>
        <v/>
      </c>
      <c r="CZ57" s="7" t="str">
        <f ca="1">IF(CZ56="","",IFERROR(VLOOKUP($A57,INDIRECT(#REF!&amp;"!$A$6:$C$200"),3,0),0))</f>
        <v/>
      </c>
      <c r="DA57" s="7" t="str">
        <f ca="1">IF(DA56="","",IFERROR(VLOOKUP($A57,INDIRECT(#REF!&amp;"!$A$6:$C$200"),3,0),0))</f>
        <v/>
      </c>
      <c r="DB57" s="7" t="str">
        <f ca="1">IF(DB56="","",IFERROR(VLOOKUP($A57,INDIRECT(#REF!&amp;"!$A$6:$C$200"),3,0),0))</f>
        <v/>
      </c>
      <c r="DC57" s="7" t="str">
        <f ca="1">IF(DC56="","",IFERROR(VLOOKUP($A57,INDIRECT(#REF!&amp;"!$A$6:$C$200"),3,0),0))</f>
        <v/>
      </c>
      <c r="DD57" s="7" t="str">
        <f ca="1">IF(DD56="","",IFERROR(VLOOKUP($A57,INDIRECT(#REF!&amp;"!$A$6:$C$200"),3,0),0))</f>
        <v/>
      </c>
      <c r="DE57" s="7" t="str">
        <f ca="1">IF(DE56="","",IFERROR(VLOOKUP($A57,INDIRECT(#REF!&amp;"!$A$6:$C$200"),3,0),0))</f>
        <v/>
      </c>
      <c r="DF57" s="7" t="str">
        <f ca="1">IF(DF56="","",IFERROR(VLOOKUP($A57,INDIRECT(#REF!&amp;"!$A$6:$C$200"),3,0),0))</f>
        <v/>
      </c>
      <c r="DG57" s="7" t="str">
        <f ca="1">IF(DG56="","",IFERROR(VLOOKUP($A57,INDIRECT(#REF!&amp;"!$A$6:$C$200"),3,0),0))</f>
        <v/>
      </c>
      <c r="DH57" s="7" t="str">
        <f ca="1">IF(DH56="","",IFERROR(VLOOKUP($A57,INDIRECT(#REF!&amp;"!$A$6:$C$200"),3,0),0))</f>
        <v/>
      </c>
      <c r="DI57" s="7" t="str">
        <f ca="1">IF(DI56="","",IFERROR(VLOOKUP($A57,INDIRECT(#REF!&amp;"!$A$6:$C$200"),3,0),0))</f>
        <v/>
      </c>
      <c r="DJ57" s="7" t="str">
        <f ca="1">IF(DJ56="","",IFERROR(VLOOKUP($A57,INDIRECT(#REF!&amp;"!$A$6:$C$200"),3,0),0))</f>
        <v/>
      </c>
      <c r="DK57" s="7" t="str">
        <f ca="1">IF(DK56="","",IFERROR(VLOOKUP($A57,INDIRECT(#REF!&amp;"!$A$6:$C$200"),3,0),0))</f>
        <v/>
      </c>
    </row>
    <row r="58" spans="1:115">
      <c r="A58" s="6" t="s">
        <v>60</v>
      </c>
      <c r="B58" s="7">
        <v>5.0000000000000002E-5</v>
      </c>
      <c r="C58" s="7">
        <v>0</v>
      </c>
      <c r="D58" s="7">
        <v>0</v>
      </c>
      <c r="E58" s="7">
        <v>1.4285714285714287E-5</v>
      </c>
      <c r="F58" s="7">
        <v>0</v>
      </c>
      <c r="G58" s="7">
        <v>0</v>
      </c>
      <c r="H58" s="7">
        <f t="shared" ca="1" si="5"/>
        <v>0</v>
      </c>
      <c r="I58" s="7">
        <f t="shared" ca="1" si="3"/>
        <v>0</v>
      </c>
      <c r="J58" s="7">
        <f t="shared" ca="1" si="4"/>
        <v>0</v>
      </c>
      <c r="K58" s="7">
        <f t="shared" ca="1" si="6"/>
        <v>0</v>
      </c>
      <c r="L58" s="7">
        <f t="shared" ca="1" si="7"/>
        <v>0</v>
      </c>
      <c r="M58" s="8">
        <v>0</v>
      </c>
      <c r="N58" s="8">
        <v>0</v>
      </c>
      <c r="O58" s="8">
        <v>1E-4</v>
      </c>
      <c r="P58" s="8">
        <v>1E-4</v>
      </c>
      <c r="Q58" s="8">
        <v>1E-4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1E-4</v>
      </c>
      <c r="AJ58" s="8">
        <v>0</v>
      </c>
      <c r="AK58" s="8">
        <v>0</v>
      </c>
      <c r="AL58" s="8">
        <v>0</v>
      </c>
      <c r="AM58" s="7">
        <v>0</v>
      </c>
      <c r="AN58" s="7">
        <v>0</v>
      </c>
      <c r="AO58" s="8">
        <v>0</v>
      </c>
      <c r="AP58" s="7">
        <v>0</v>
      </c>
      <c r="AQ58" s="7">
        <v>0</v>
      </c>
      <c r="AR58" s="7">
        <v>0</v>
      </c>
      <c r="AS58" s="8">
        <v>0</v>
      </c>
      <c r="AT58" s="7">
        <v>0</v>
      </c>
      <c r="AU58" s="7">
        <v>0</v>
      </c>
      <c r="AV58" s="7">
        <v>0</v>
      </c>
      <c r="AW58" s="7">
        <v>0</v>
      </c>
      <c r="AX58" s="7">
        <v>0</v>
      </c>
      <c r="AY58" s="7">
        <v>0</v>
      </c>
      <c r="AZ58" s="7">
        <v>0</v>
      </c>
      <c r="BA58" s="7">
        <v>0</v>
      </c>
      <c r="BB58" s="7">
        <v>0</v>
      </c>
      <c r="BC58" s="7">
        <v>0</v>
      </c>
      <c r="BD58" s="7">
        <v>0</v>
      </c>
      <c r="BE58" s="7">
        <f ca="1">IFERROR(VLOOKUP($A58,INDIRECT(#REF!&amp;"!$A$6:$C$200"),3,0),0)</f>
        <v>0</v>
      </c>
      <c r="BF58" s="7">
        <f ca="1">IFERROR(VLOOKUP($A58,INDIRECT(#REF!&amp;"!$A$6:$C$200"),3,0),0)</f>
        <v>0</v>
      </c>
      <c r="BG58" s="7">
        <f ca="1">IFERROR(VLOOKUP($A58,INDIRECT(#REF!&amp;"!$A$6:$C$200"),3,0),0)</f>
        <v>0</v>
      </c>
      <c r="BH58" s="8">
        <f ca="1">IFERROR(VLOOKUP($A58,INDIRECT(#REF!&amp;"!$A$6:$C$200"),3,0),0)</f>
        <v>0</v>
      </c>
      <c r="BI58" s="8">
        <f ca="1">IFERROR(VLOOKUP($A58,INDIRECT(#REF!&amp;"!$A$6:$C$200"),3,0),0)</f>
        <v>0</v>
      </c>
      <c r="BJ58" s="8">
        <f ca="1">IFERROR(VLOOKUP($A58,INDIRECT(#REF!&amp;"!$A$6:$C$200"),3,0),0)</f>
        <v>0</v>
      </c>
      <c r="BK58" s="8">
        <f ca="1">IFERROR(VLOOKUP($A58,INDIRECT(#REF!&amp;"!$A$6:$C$200"),3,0),0)</f>
        <v>0</v>
      </c>
      <c r="BL58" s="8">
        <f ca="1">IFERROR(VLOOKUP($A58,INDIRECT(#REF!&amp;"!$A$6:$C$200"),3,0),0)</f>
        <v>0</v>
      </c>
      <c r="BM58" s="8">
        <f ca="1">IFERROR(VLOOKUP($A58,INDIRECT(#REF!&amp;"!$A$6:$C$200"),3,0),0)</f>
        <v>0</v>
      </c>
      <c r="BN58" s="8">
        <f ca="1">IFERROR(VLOOKUP($A58,INDIRECT(#REF!&amp;"!$A$6:$C$200"),3,0),0)</f>
        <v>0</v>
      </c>
      <c r="BO58" s="8">
        <f ca="1">IFERROR(VLOOKUP($A58,INDIRECT(#REF!&amp;"!$A$6:$C$200"),3,0),0)</f>
        <v>0</v>
      </c>
      <c r="BP58" s="7">
        <f ca="1">IFERROR(VLOOKUP($A58,INDIRECT(#REF!&amp;"!$A$6:$C$200"),3,0),0)</f>
        <v>0</v>
      </c>
      <c r="BQ58" s="7">
        <f ca="1">IFERROR(VLOOKUP($A58,INDIRECT(#REF!&amp;"!$A$6:$C$200"),3,0),0)</f>
        <v>0</v>
      </c>
      <c r="BR58" s="7">
        <f ca="1">IFERROR(VLOOKUP($A58,INDIRECT(#REF!&amp;"!$A$6:$C$200"),3,0),0)</f>
        <v>0</v>
      </c>
      <c r="BS58" s="7">
        <f ca="1">IFERROR(VLOOKUP($A58,INDIRECT(#REF!&amp;"!$A$6:$C$200"),3,0),0)</f>
        <v>0</v>
      </c>
      <c r="BT58" s="7">
        <f ca="1">IFERROR(VLOOKUP($A58,INDIRECT(#REF!&amp;"!$A$6:$C$200"),3,0),0)</f>
        <v>0</v>
      </c>
      <c r="BU58" s="7">
        <f ca="1">IFERROR(VLOOKUP($A58,INDIRECT(#REF!&amp;"!$A$6:$C$200"),3,0),0)</f>
        <v>0</v>
      </c>
      <c r="BV58" s="7">
        <f ca="1">IFERROR(VLOOKUP($A58,INDIRECT(#REF!&amp;"!$A$6:$C$200"),3,0),0)</f>
        <v>0</v>
      </c>
      <c r="BW58" s="7">
        <f ca="1">IFERROR(VLOOKUP($A58,INDIRECT(#REF!&amp;"!$A$6:$C$200"),3,0),0)</f>
        <v>0</v>
      </c>
      <c r="BX58" s="7">
        <f ca="1">IFERROR(VLOOKUP($A58,INDIRECT(#REF!&amp;"!$A$6:$C$200"),3,0),0)</f>
        <v>0</v>
      </c>
      <c r="BY58" s="7">
        <f ca="1">IFERROR(VLOOKUP($A58,INDIRECT(#REF!&amp;"!$A$6:$C$200"),3,0),0)</f>
        <v>0</v>
      </c>
      <c r="BZ58" s="7">
        <f ca="1">IFERROR(VLOOKUP($A58,INDIRECT(#REF!&amp;"!$A$6:$C$200"),3,0),0)</f>
        <v>0</v>
      </c>
      <c r="CA58" s="7">
        <f ca="1">IFERROR(VLOOKUP($A58,INDIRECT(#REF!&amp;"!$A$6:$C$200"),3,0),0)</f>
        <v>0</v>
      </c>
      <c r="CB58" s="7">
        <f ca="1">IFERROR(VLOOKUP($A58,INDIRECT(#REF!&amp;"!$A$6:$C$200"),3,0),0)</f>
        <v>0</v>
      </c>
      <c r="CC58" s="7">
        <f ca="1">IFERROR(VLOOKUP($A58,INDIRECT(#REF!&amp;"!$A$6:$C$200"),3,0),0)</f>
        <v>0</v>
      </c>
      <c r="CD58" s="7" t="str">
        <f ca="1">IF(CD57="","",IFERROR(VLOOKUP($A58,INDIRECT(#REF!&amp;"!$A$6:$C$200"),3,0),0))</f>
        <v/>
      </c>
      <c r="CE58" s="7" t="str">
        <f ca="1">IF(CE57="","",IFERROR(VLOOKUP($A58,INDIRECT(#REF!&amp;"!$A$6:$C$200"),3,0),0))</f>
        <v/>
      </c>
      <c r="CF58" s="7" t="str">
        <f ca="1">IF(CF57="","",IFERROR(VLOOKUP($A58,INDIRECT(#REF!&amp;"!$A$6:$C$200"),3,0),0))</f>
        <v/>
      </c>
      <c r="CG58" s="7" t="str">
        <f ca="1">IF(CG57="","",IFERROR(VLOOKUP($A58,INDIRECT(#REF!&amp;"!$A$6:$C$200"),3,0),0))</f>
        <v/>
      </c>
      <c r="CH58" s="7" t="str">
        <f ca="1">IF(CH57="","",IFERROR(VLOOKUP($A58,INDIRECT(#REF!&amp;"!$A$6:$C$200"),3,0),0))</f>
        <v/>
      </c>
      <c r="CI58" s="7" t="str">
        <f ca="1">IF(CI57="","",IFERROR(VLOOKUP($A58,INDIRECT(#REF!&amp;"!$A$6:$C$200"),3,0),0))</f>
        <v/>
      </c>
      <c r="CJ58" s="7" t="str">
        <f ca="1">IF(CJ57="","",IFERROR(VLOOKUP($A58,INDIRECT(#REF!&amp;"!$A$6:$C$200"),3,0),0))</f>
        <v/>
      </c>
      <c r="CK58" s="7" t="str">
        <f ca="1">IF(CK57="","",IFERROR(VLOOKUP($A58,INDIRECT(#REF!&amp;"!$A$6:$C$200"),3,0),0))</f>
        <v/>
      </c>
      <c r="CL58" s="7" t="str">
        <f ca="1">IF(CL57="","",IFERROR(VLOOKUP($A58,INDIRECT(#REF!&amp;"!$A$6:$C$200"),3,0),0))</f>
        <v/>
      </c>
      <c r="CM58" s="7" t="str">
        <f ca="1">IF(CM57="","",IFERROR(VLOOKUP($A58,INDIRECT(#REF!&amp;"!$A$6:$C$200"),3,0),0))</f>
        <v/>
      </c>
      <c r="CN58" s="7" t="str">
        <f ca="1">IF(CN57="","",IFERROR(VLOOKUP($A58,INDIRECT(#REF!&amp;"!$A$6:$C$200"),3,0),0))</f>
        <v/>
      </c>
      <c r="CO58" s="7" t="str">
        <f ca="1">IF(CO57="","",IFERROR(VLOOKUP($A58,INDIRECT(#REF!&amp;"!$A$6:$C$200"),3,0),0))</f>
        <v/>
      </c>
      <c r="CP58" s="7" t="str">
        <f ca="1">IF(CP57="","",IFERROR(VLOOKUP($A58,INDIRECT(#REF!&amp;"!$A$6:$C$200"),3,0),0))</f>
        <v/>
      </c>
      <c r="CQ58" s="7" t="str">
        <f ca="1">IF(CQ57="","",IFERROR(VLOOKUP($A58,INDIRECT(#REF!&amp;"!$A$6:$C$200"),3,0),0))</f>
        <v/>
      </c>
      <c r="CR58" s="7" t="str">
        <f ca="1">IF(CR57="","",IFERROR(VLOOKUP($A58,INDIRECT(#REF!&amp;"!$A$6:$C$200"),3,0),0))</f>
        <v/>
      </c>
      <c r="CS58" s="7" t="str">
        <f ca="1">IF(CS57="","",IFERROR(VLOOKUP($A58,INDIRECT(#REF!&amp;"!$A$6:$C$200"),3,0),0))</f>
        <v/>
      </c>
      <c r="CT58" s="7" t="str">
        <f ca="1">IF(CT57="","",IFERROR(VLOOKUP($A58,INDIRECT(#REF!&amp;"!$A$6:$C$200"),3,0),0))</f>
        <v/>
      </c>
      <c r="CU58" s="7" t="str">
        <f ca="1">IF(CU57="","",IFERROR(VLOOKUP($A58,INDIRECT(#REF!&amp;"!$A$6:$C$200"),3,0),0))</f>
        <v/>
      </c>
      <c r="CV58" s="7" t="str">
        <f ca="1">IF(CV57="","",IFERROR(VLOOKUP($A58,INDIRECT(#REF!&amp;"!$A$6:$C$200"),3,0),0))</f>
        <v/>
      </c>
      <c r="CW58" s="7" t="str">
        <f ca="1">IF(CW57="","",IFERROR(VLOOKUP($A58,INDIRECT(#REF!&amp;"!$A$6:$C$200"),3,0),0))</f>
        <v/>
      </c>
      <c r="CX58" s="7" t="str">
        <f ca="1">IF(CX57="","",IFERROR(VLOOKUP($A58,INDIRECT(#REF!&amp;"!$A$6:$C$200"),3,0),0))</f>
        <v/>
      </c>
      <c r="CY58" s="7" t="str">
        <f ca="1">IF(CY57="","",IFERROR(VLOOKUP($A58,INDIRECT(#REF!&amp;"!$A$6:$C$200"),3,0),0))</f>
        <v/>
      </c>
      <c r="CZ58" s="7" t="str">
        <f ca="1">IF(CZ57="","",IFERROR(VLOOKUP($A58,INDIRECT(#REF!&amp;"!$A$6:$C$200"),3,0),0))</f>
        <v/>
      </c>
      <c r="DA58" s="7" t="str">
        <f ca="1">IF(DA57="","",IFERROR(VLOOKUP($A58,INDIRECT(#REF!&amp;"!$A$6:$C$200"),3,0),0))</f>
        <v/>
      </c>
      <c r="DB58" s="7" t="str">
        <f ca="1">IF(DB57="","",IFERROR(VLOOKUP($A58,INDIRECT(#REF!&amp;"!$A$6:$C$200"),3,0),0))</f>
        <v/>
      </c>
      <c r="DC58" s="7" t="str">
        <f ca="1">IF(DC57="","",IFERROR(VLOOKUP($A58,INDIRECT(#REF!&amp;"!$A$6:$C$200"),3,0),0))</f>
        <v/>
      </c>
      <c r="DD58" s="7" t="str">
        <f ca="1">IF(DD57="","",IFERROR(VLOOKUP($A58,INDIRECT(#REF!&amp;"!$A$6:$C$200"),3,0),0))</f>
        <v/>
      </c>
      <c r="DE58" s="7" t="str">
        <f ca="1">IF(DE57="","",IFERROR(VLOOKUP($A58,INDIRECT(#REF!&amp;"!$A$6:$C$200"),3,0),0))</f>
        <v/>
      </c>
      <c r="DF58" s="7" t="str">
        <f ca="1">IF(DF57="","",IFERROR(VLOOKUP($A58,INDIRECT(#REF!&amp;"!$A$6:$C$200"),3,0),0))</f>
        <v/>
      </c>
      <c r="DG58" s="7" t="str">
        <f ca="1">IF(DG57="","",IFERROR(VLOOKUP($A58,INDIRECT(#REF!&amp;"!$A$6:$C$200"),3,0),0))</f>
        <v/>
      </c>
      <c r="DH58" s="7" t="str">
        <f ca="1">IF(DH57="","",IFERROR(VLOOKUP($A58,INDIRECT(#REF!&amp;"!$A$6:$C$200"),3,0),0))</f>
        <v/>
      </c>
      <c r="DI58" s="7" t="str">
        <f ca="1">IF(DI57="","",IFERROR(VLOOKUP($A58,INDIRECT(#REF!&amp;"!$A$6:$C$200"),3,0),0))</f>
        <v/>
      </c>
      <c r="DJ58" s="7" t="str">
        <f ca="1">IF(DJ57="","",IFERROR(VLOOKUP($A58,INDIRECT(#REF!&amp;"!$A$6:$C$200"),3,0),0))</f>
        <v/>
      </c>
      <c r="DK58" s="7" t="str">
        <f ca="1">IF(DK57="","",IFERROR(VLOOKUP($A58,INDIRECT(#REF!&amp;"!$A$6:$C$200"),3,0),0))</f>
        <v/>
      </c>
    </row>
    <row r="59" spans="1:115">
      <c r="A59" s="6" t="s">
        <v>61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f t="shared" ca="1" si="5"/>
        <v>0</v>
      </c>
      <c r="I59" s="7">
        <f t="shared" ca="1" si="3"/>
        <v>0</v>
      </c>
      <c r="J59" s="7">
        <f t="shared" ca="1" si="4"/>
        <v>0</v>
      </c>
      <c r="K59" s="7">
        <f t="shared" ca="1" si="6"/>
        <v>0</v>
      </c>
      <c r="L59" s="7">
        <f t="shared" ca="1" si="7"/>
        <v>0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7">
        <v>0</v>
      </c>
      <c r="AN59" s="8">
        <v>0</v>
      </c>
      <c r="AO59" s="8">
        <v>0</v>
      </c>
      <c r="AP59" s="7">
        <v>0</v>
      </c>
      <c r="AQ59" s="8">
        <v>0</v>
      </c>
      <c r="AR59" s="8">
        <v>0</v>
      </c>
      <c r="AS59" s="8">
        <v>0</v>
      </c>
      <c r="AT59" s="8">
        <v>0</v>
      </c>
      <c r="AU59" s="8">
        <v>0</v>
      </c>
      <c r="AV59" s="8">
        <v>0</v>
      </c>
      <c r="AW59" s="8">
        <v>0</v>
      </c>
      <c r="AX59" s="7">
        <v>0</v>
      </c>
      <c r="AY59" s="7">
        <v>0</v>
      </c>
      <c r="AZ59" s="7">
        <v>0</v>
      </c>
      <c r="BA59" s="8">
        <v>0</v>
      </c>
      <c r="BB59" s="8">
        <v>0</v>
      </c>
      <c r="BC59" s="7">
        <v>0</v>
      </c>
      <c r="BD59" s="7">
        <v>0</v>
      </c>
      <c r="BE59" s="8">
        <f ca="1">IFERROR(VLOOKUP($A59,INDIRECT(#REF!&amp;"!$A$6:$C$200"),3,0),0)</f>
        <v>0</v>
      </c>
      <c r="BF59" s="7">
        <f ca="1">IFERROR(VLOOKUP($A59,INDIRECT(#REF!&amp;"!$A$6:$C$200"),3,0),0)</f>
        <v>0</v>
      </c>
      <c r="BG59" s="8">
        <f ca="1">IFERROR(VLOOKUP($A59,INDIRECT(#REF!&amp;"!$A$6:$C$200"),3,0),0)</f>
        <v>0</v>
      </c>
      <c r="BH59" s="8">
        <f ca="1">IFERROR(VLOOKUP($A59,INDIRECT(#REF!&amp;"!$A$6:$C$200"),3,0),0)</f>
        <v>0</v>
      </c>
      <c r="BI59" s="7">
        <f ca="1">IFERROR(VLOOKUP($A59,INDIRECT(#REF!&amp;"!$A$6:$C$200"),3,0),0)</f>
        <v>0</v>
      </c>
      <c r="BJ59" s="8">
        <f ca="1">IFERROR(VLOOKUP($A59,INDIRECT(#REF!&amp;"!$A$6:$C$200"),3,0),0)</f>
        <v>0</v>
      </c>
      <c r="BK59" s="8">
        <f ca="1">IFERROR(VLOOKUP($A59,INDIRECT(#REF!&amp;"!$A$6:$C$200"),3,0),0)</f>
        <v>0</v>
      </c>
      <c r="BL59" s="7">
        <f ca="1">IFERROR(VLOOKUP($A59,INDIRECT(#REF!&amp;"!$A$6:$C$200"),3,0),0)</f>
        <v>0</v>
      </c>
      <c r="BM59" s="8">
        <f ca="1">IFERROR(VLOOKUP($A59,INDIRECT(#REF!&amp;"!$A$6:$C$200"),3,0),0)</f>
        <v>0</v>
      </c>
      <c r="BN59" s="8">
        <f ca="1">IFERROR(VLOOKUP($A59,INDIRECT(#REF!&amp;"!$A$6:$C$200"),3,0),0)</f>
        <v>0</v>
      </c>
      <c r="BO59" s="8">
        <f ca="1">IFERROR(VLOOKUP($A59,INDIRECT(#REF!&amp;"!$A$6:$C$200"),3,0),0)</f>
        <v>0</v>
      </c>
      <c r="BP59" s="7">
        <f ca="1">IFERROR(VLOOKUP($A59,INDIRECT(#REF!&amp;"!$A$6:$C$200"),3,0),0)</f>
        <v>0</v>
      </c>
      <c r="BQ59" s="7">
        <f ca="1">IFERROR(VLOOKUP($A59,INDIRECT(#REF!&amp;"!$A$6:$C$200"),3,0),0)</f>
        <v>0</v>
      </c>
      <c r="BR59" s="7">
        <f ca="1">IFERROR(VLOOKUP($A59,INDIRECT(#REF!&amp;"!$A$6:$C$200"),3,0),0)</f>
        <v>0</v>
      </c>
      <c r="BS59" s="8">
        <f ca="1">IFERROR(VLOOKUP($A59,INDIRECT(#REF!&amp;"!$A$6:$C$200"),3,0),0)</f>
        <v>0</v>
      </c>
      <c r="BT59" s="7">
        <f ca="1">IFERROR(VLOOKUP($A59,INDIRECT(#REF!&amp;"!$A$6:$C$200"),3,0),0)</f>
        <v>0</v>
      </c>
      <c r="BU59" s="7">
        <f ca="1">IFERROR(VLOOKUP($A59,INDIRECT(#REF!&amp;"!$A$6:$C$200"),3,0),0)</f>
        <v>0</v>
      </c>
      <c r="BV59" s="7">
        <f ca="1">IFERROR(VLOOKUP($A59,INDIRECT(#REF!&amp;"!$A$6:$C$200"),3,0),0)</f>
        <v>0</v>
      </c>
      <c r="BW59" s="7">
        <f ca="1">IFERROR(VLOOKUP($A59,INDIRECT(#REF!&amp;"!$A$6:$C$200"),3,0),0)</f>
        <v>0</v>
      </c>
      <c r="BX59" s="7">
        <f ca="1">IFERROR(VLOOKUP($A59,INDIRECT(#REF!&amp;"!$A$6:$C$200"),3,0),0)</f>
        <v>0</v>
      </c>
      <c r="BY59" s="7">
        <f ca="1">IFERROR(VLOOKUP($A59,INDIRECT(#REF!&amp;"!$A$6:$C$200"),3,0),0)</f>
        <v>0</v>
      </c>
      <c r="BZ59" s="7">
        <f ca="1">IFERROR(VLOOKUP($A59,INDIRECT(#REF!&amp;"!$A$6:$C$200"),3,0),0)</f>
        <v>0</v>
      </c>
      <c r="CA59" s="7">
        <f ca="1">IFERROR(VLOOKUP($A59,INDIRECT(#REF!&amp;"!$A$6:$C$200"),3,0),0)</f>
        <v>0</v>
      </c>
      <c r="CB59" s="7">
        <f ca="1">IFERROR(VLOOKUP($A59,INDIRECT(#REF!&amp;"!$A$6:$C$200"),3,0),0)</f>
        <v>0</v>
      </c>
      <c r="CC59" s="7">
        <f ca="1">IFERROR(VLOOKUP($A59,INDIRECT(#REF!&amp;"!$A$6:$C$200"),3,0),0)</f>
        <v>0</v>
      </c>
      <c r="CD59" s="7" t="str">
        <f ca="1">IF(CD58="","",IFERROR(VLOOKUP($A59,INDIRECT(#REF!&amp;"!$A$6:$C$200"),3,0),0))</f>
        <v/>
      </c>
      <c r="CE59" s="7" t="str">
        <f ca="1">IF(CE58="","",IFERROR(VLOOKUP($A59,INDIRECT(#REF!&amp;"!$A$6:$C$200"),3,0),0))</f>
        <v/>
      </c>
      <c r="CF59" s="7" t="str">
        <f ca="1">IF(CF58="","",IFERROR(VLOOKUP($A59,INDIRECT(#REF!&amp;"!$A$6:$C$200"),3,0),0))</f>
        <v/>
      </c>
      <c r="CG59" s="7" t="str">
        <f ca="1">IF(CG58="","",IFERROR(VLOOKUP($A59,INDIRECT(#REF!&amp;"!$A$6:$C$200"),3,0),0))</f>
        <v/>
      </c>
      <c r="CH59" s="7" t="str">
        <f ca="1">IF(CH58="","",IFERROR(VLOOKUP($A59,INDIRECT(#REF!&amp;"!$A$6:$C$200"),3,0),0))</f>
        <v/>
      </c>
      <c r="CI59" s="7" t="str">
        <f ca="1">IF(CI58="","",IFERROR(VLOOKUP($A59,INDIRECT(#REF!&amp;"!$A$6:$C$200"),3,0),0))</f>
        <v/>
      </c>
      <c r="CJ59" s="7" t="str">
        <f ca="1">IF(CJ58="","",IFERROR(VLOOKUP($A59,INDIRECT(#REF!&amp;"!$A$6:$C$200"),3,0),0))</f>
        <v/>
      </c>
      <c r="CK59" s="7" t="str">
        <f ca="1">IF(CK58="","",IFERROR(VLOOKUP($A59,INDIRECT(#REF!&amp;"!$A$6:$C$200"),3,0),0))</f>
        <v/>
      </c>
      <c r="CL59" s="7" t="str">
        <f ca="1">IF(CL58="","",IFERROR(VLOOKUP($A59,INDIRECT(#REF!&amp;"!$A$6:$C$200"),3,0),0))</f>
        <v/>
      </c>
      <c r="CM59" s="7" t="str">
        <f ca="1">IF(CM58="","",IFERROR(VLOOKUP($A59,INDIRECT(#REF!&amp;"!$A$6:$C$200"),3,0),0))</f>
        <v/>
      </c>
      <c r="CN59" s="7" t="str">
        <f ca="1">IF(CN58="","",IFERROR(VLOOKUP($A59,INDIRECT(#REF!&amp;"!$A$6:$C$200"),3,0),0))</f>
        <v/>
      </c>
      <c r="CO59" s="7" t="str">
        <f ca="1">IF(CO58="","",IFERROR(VLOOKUP($A59,INDIRECT(#REF!&amp;"!$A$6:$C$200"),3,0),0))</f>
        <v/>
      </c>
      <c r="CP59" s="7" t="str">
        <f ca="1">IF(CP58="","",IFERROR(VLOOKUP($A59,INDIRECT(#REF!&amp;"!$A$6:$C$200"),3,0),0))</f>
        <v/>
      </c>
      <c r="CQ59" s="7" t="str">
        <f ca="1">IF(CQ58="","",IFERROR(VLOOKUP($A59,INDIRECT(#REF!&amp;"!$A$6:$C$200"),3,0),0))</f>
        <v/>
      </c>
      <c r="CR59" s="7" t="str">
        <f ca="1">IF(CR58="","",IFERROR(VLOOKUP($A59,INDIRECT(#REF!&amp;"!$A$6:$C$200"),3,0),0))</f>
        <v/>
      </c>
      <c r="CS59" s="7" t="str">
        <f ca="1">IF(CS58="","",IFERROR(VLOOKUP($A59,INDIRECT(#REF!&amp;"!$A$6:$C$200"),3,0),0))</f>
        <v/>
      </c>
      <c r="CT59" s="7" t="str">
        <f ca="1">IF(CT58="","",IFERROR(VLOOKUP($A59,INDIRECT(#REF!&amp;"!$A$6:$C$200"),3,0),0))</f>
        <v/>
      </c>
      <c r="CU59" s="7" t="str">
        <f ca="1">IF(CU58="","",IFERROR(VLOOKUP($A59,INDIRECT(#REF!&amp;"!$A$6:$C$200"),3,0),0))</f>
        <v/>
      </c>
      <c r="CV59" s="7" t="str">
        <f ca="1">IF(CV58="","",IFERROR(VLOOKUP($A59,INDIRECT(#REF!&amp;"!$A$6:$C$200"),3,0),0))</f>
        <v/>
      </c>
      <c r="CW59" s="7" t="str">
        <f ca="1">IF(CW58="","",IFERROR(VLOOKUP($A59,INDIRECT(#REF!&amp;"!$A$6:$C$200"),3,0),0))</f>
        <v/>
      </c>
      <c r="CX59" s="7" t="str">
        <f ca="1">IF(CX58="","",IFERROR(VLOOKUP($A59,INDIRECT(#REF!&amp;"!$A$6:$C$200"),3,0),0))</f>
        <v/>
      </c>
      <c r="CY59" s="7" t="str">
        <f ca="1">IF(CY58="","",IFERROR(VLOOKUP($A59,INDIRECT(#REF!&amp;"!$A$6:$C$200"),3,0),0))</f>
        <v/>
      </c>
      <c r="CZ59" s="7" t="str">
        <f ca="1">IF(CZ58="","",IFERROR(VLOOKUP($A59,INDIRECT(#REF!&amp;"!$A$6:$C$200"),3,0),0))</f>
        <v/>
      </c>
      <c r="DA59" s="7" t="str">
        <f ca="1">IF(DA58="","",IFERROR(VLOOKUP($A59,INDIRECT(#REF!&amp;"!$A$6:$C$200"),3,0),0))</f>
        <v/>
      </c>
      <c r="DB59" s="7" t="str">
        <f ca="1">IF(DB58="","",IFERROR(VLOOKUP($A59,INDIRECT(#REF!&amp;"!$A$6:$C$200"),3,0),0))</f>
        <v/>
      </c>
      <c r="DC59" s="7" t="str">
        <f ca="1">IF(DC58="","",IFERROR(VLOOKUP($A59,INDIRECT(#REF!&amp;"!$A$6:$C$200"),3,0),0))</f>
        <v/>
      </c>
      <c r="DD59" s="7" t="str">
        <f ca="1">IF(DD58="","",IFERROR(VLOOKUP($A59,INDIRECT(#REF!&amp;"!$A$6:$C$200"),3,0),0))</f>
        <v/>
      </c>
      <c r="DE59" s="7" t="str">
        <f ca="1">IF(DE58="","",IFERROR(VLOOKUP($A59,INDIRECT(#REF!&amp;"!$A$6:$C$200"),3,0),0))</f>
        <v/>
      </c>
      <c r="DF59" s="7" t="str">
        <f ca="1">IF(DF58="","",IFERROR(VLOOKUP($A59,INDIRECT(#REF!&amp;"!$A$6:$C$200"),3,0),0))</f>
        <v/>
      </c>
      <c r="DG59" s="7" t="str">
        <f ca="1">IF(DG58="","",IFERROR(VLOOKUP($A59,INDIRECT(#REF!&amp;"!$A$6:$C$200"),3,0),0))</f>
        <v/>
      </c>
      <c r="DH59" s="7" t="str">
        <f ca="1">IF(DH58="","",IFERROR(VLOOKUP($A59,INDIRECT(#REF!&amp;"!$A$6:$C$200"),3,0),0))</f>
        <v/>
      </c>
      <c r="DI59" s="7" t="str">
        <f ca="1">IF(DI58="","",IFERROR(VLOOKUP($A59,INDIRECT(#REF!&amp;"!$A$6:$C$200"),3,0),0))</f>
        <v/>
      </c>
      <c r="DJ59" s="7" t="str">
        <f ca="1">IF(DJ58="","",IFERROR(VLOOKUP($A59,INDIRECT(#REF!&amp;"!$A$6:$C$200"),3,0),0))</f>
        <v/>
      </c>
      <c r="DK59" s="7" t="str">
        <f ca="1">IF(DK58="","",IFERROR(VLOOKUP($A59,INDIRECT(#REF!&amp;"!$A$6:$C$200"),3,0),0))</f>
        <v/>
      </c>
    </row>
    <row r="60" spans="1:115">
      <c r="A60" s="6" t="s">
        <v>62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f t="shared" ca="1" si="5"/>
        <v>0</v>
      </c>
      <c r="I60" s="7">
        <f t="shared" ca="1" si="3"/>
        <v>0</v>
      </c>
      <c r="J60" s="7">
        <f t="shared" ca="1" si="4"/>
        <v>0</v>
      </c>
      <c r="K60" s="7">
        <f t="shared" ca="1" si="6"/>
        <v>0</v>
      </c>
      <c r="L60" s="7">
        <f t="shared" ca="1" si="7"/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0</v>
      </c>
      <c r="S60" s="8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7">
        <v>0</v>
      </c>
      <c r="AN60" s="8">
        <v>0</v>
      </c>
      <c r="AO60" s="8">
        <v>0</v>
      </c>
      <c r="AP60" s="8">
        <v>0</v>
      </c>
      <c r="AQ60" s="7">
        <v>0</v>
      </c>
      <c r="AR60" s="8">
        <v>0</v>
      </c>
      <c r="AS60" s="8">
        <v>0</v>
      </c>
      <c r="AT60" s="8">
        <v>0</v>
      </c>
      <c r="AU60" s="7">
        <v>0</v>
      </c>
      <c r="AV60" s="8">
        <v>0</v>
      </c>
      <c r="AW60" s="8">
        <v>0</v>
      </c>
      <c r="AX60" s="7">
        <v>0</v>
      </c>
      <c r="AY60" s="7">
        <v>0</v>
      </c>
      <c r="AZ60" s="7">
        <v>0</v>
      </c>
      <c r="BA60" s="8">
        <v>0</v>
      </c>
      <c r="BB60" s="7">
        <v>0</v>
      </c>
      <c r="BC60" s="7">
        <v>0</v>
      </c>
      <c r="BD60" s="7">
        <v>0</v>
      </c>
      <c r="BE60" s="8">
        <f ca="1">IFERROR(VLOOKUP($A60,INDIRECT(#REF!&amp;"!$A$6:$C$200"),3,0),0)</f>
        <v>0</v>
      </c>
      <c r="BF60" s="8">
        <f ca="1">IFERROR(VLOOKUP($A60,INDIRECT(#REF!&amp;"!$A$6:$C$200"),3,0),0)</f>
        <v>0</v>
      </c>
      <c r="BG60" s="8">
        <f ca="1">IFERROR(VLOOKUP($A60,INDIRECT(#REF!&amp;"!$A$6:$C$200"),3,0),0)</f>
        <v>0</v>
      </c>
      <c r="BH60" s="8">
        <f ca="1">IFERROR(VLOOKUP($A60,INDIRECT(#REF!&amp;"!$A$6:$C$200"),3,0),0)</f>
        <v>0</v>
      </c>
      <c r="BI60" s="7">
        <f ca="1">IFERROR(VLOOKUP($A60,INDIRECT(#REF!&amp;"!$A$6:$C$200"),3,0),0)</f>
        <v>0</v>
      </c>
      <c r="BJ60" s="8">
        <f ca="1">IFERROR(VLOOKUP($A60,INDIRECT(#REF!&amp;"!$A$6:$C$200"),3,0),0)</f>
        <v>0</v>
      </c>
      <c r="BK60" s="8">
        <f ca="1">IFERROR(VLOOKUP($A60,INDIRECT(#REF!&amp;"!$A$6:$C$200"),3,0),0)</f>
        <v>0</v>
      </c>
      <c r="BL60" s="7">
        <f ca="1">IFERROR(VLOOKUP($A60,INDIRECT(#REF!&amp;"!$A$6:$C$200"),3,0),0)</f>
        <v>0</v>
      </c>
      <c r="BM60" s="8">
        <f ca="1">IFERROR(VLOOKUP($A60,INDIRECT(#REF!&amp;"!$A$6:$C$200"),3,0),0)</f>
        <v>0</v>
      </c>
      <c r="BN60" s="8">
        <f ca="1">IFERROR(VLOOKUP($A60,INDIRECT(#REF!&amp;"!$A$6:$C$200"),3,0),0)</f>
        <v>0</v>
      </c>
      <c r="BO60" s="8">
        <f ca="1">IFERROR(VLOOKUP($A60,INDIRECT(#REF!&amp;"!$A$6:$C$200"),3,0),0)</f>
        <v>0</v>
      </c>
      <c r="BP60" s="7">
        <f ca="1">IFERROR(VLOOKUP($A60,INDIRECT(#REF!&amp;"!$A$6:$C$200"),3,0),0)</f>
        <v>0</v>
      </c>
      <c r="BQ60" s="7">
        <f ca="1">IFERROR(VLOOKUP($A60,INDIRECT(#REF!&amp;"!$A$6:$C$200"),3,0),0)</f>
        <v>0</v>
      </c>
      <c r="BR60" s="7">
        <f ca="1">IFERROR(VLOOKUP($A60,INDIRECT(#REF!&amp;"!$A$6:$C$200"),3,0),0)</f>
        <v>0</v>
      </c>
      <c r="BS60" s="7">
        <f ca="1">IFERROR(VLOOKUP($A60,INDIRECT(#REF!&amp;"!$A$6:$C$200"),3,0),0)</f>
        <v>0</v>
      </c>
      <c r="BT60" s="7">
        <f ca="1">IFERROR(VLOOKUP($A60,INDIRECT(#REF!&amp;"!$A$6:$C$200"),3,0),0)</f>
        <v>0</v>
      </c>
      <c r="BU60" s="7">
        <f ca="1">IFERROR(VLOOKUP($A60,INDIRECT(#REF!&amp;"!$A$6:$C$200"),3,0),0)</f>
        <v>0</v>
      </c>
      <c r="BV60" s="7">
        <f ca="1">IFERROR(VLOOKUP($A60,INDIRECT(#REF!&amp;"!$A$6:$C$200"),3,0),0)</f>
        <v>0</v>
      </c>
      <c r="BW60" s="7">
        <f ca="1">IFERROR(VLOOKUP($A60,INDIRECT(#REF!&amp;"!$A$6:$C$200"),3,0),0)</f>
        <v>0</v>
      </c>
      <c r="BX60" s="7">
        <f ca="1">IFERROR(VLOOKUP($A60,INDIRECT(#REF!&amp;"!$A$6:$C$200"),3,0),0)</f>
        <v>0</v>
      </c>
      <c r="BY60" s="7">
        <f ca="1">IFERROR(VLOOKUP($A60,INDIRECT(#REF!&amp;"!$A$6:$C$200"),3,0),0)</f>
        <v>0</v>
      </c>
      <c r="BZ60" s="7">
        <f ca="1">IFERROR(VLOOKUP($A60,INDIRECT(#REF!&amp;"!$A$6:$C$200"),3,0),0)</f>
        <v>0</v>
      </c>
      <c r="CA60" s="7">
        <f ca="1">IFERROR(VLOOKUP($A60,INDIRECT(#REF!&amp;"!$A$6:$C$200"),3,0),0)</f>
        <v>0</v>
      </c>
      <c r="CB60" s="7">
        <f ca="1">IFERROR(VLOOKUP($A60,INDIRECT(#REF!&amp;"!$A$6:$C$200"),3,0),0)</f>
        <v>0</v>
      </c>
      <c r="CC60" s="7">
        <f ca="1">IFERROR(VLOOKUP($A60,INDIRECT(#REF!&amp;"!$A$6:$C$200"),3,0),0)</f>
        <v>0</v>
      </c>
      <c r="CD60" s="7" t="str">
        <f ca="1">IF(CD59="","",IFERROR(VLOOKUP($A60,INDIRECT(#REF!&amp;"!$A$6:$C$200"),3,0),0))</f>
        <v/>
      </c>
      <c r="CE60" s="7" t="str">
        <f ca="1">IF(CE59="","",IFERROR(VLOOKUP($A60,INDIRECT(#REF!&amp;"!$A$6:$C$200"),3,0),0))</f>
        <v/>
      </c>
      <c r="CF60" s="7" t="str">
        <f ca="1">IF(CF59="","",IFERROR(VLOOKUP($A60,INDIRECT(#REF!&amp;"!$A$6:$C$200"),3,0),0))</f>
        <v/>
      </c>
      <c r="CG60" s="7" t="str">
        <f ca="1">IF(CG59="","",IFERROR(VLOOKUP($A60,INDIRECT(#REF!&amp;"!$A$6:$C$200"),3,0),0))</f>
        <v/>
      </c>
      <c r="CH60" s="7" t="str">
        <f ca="1">IF(CH59="","",IFERROR(VLOOKUP($A60,INDIRECT(#REF!&amp;"!$A$6:$C$200"),3,0),0))</f>
        <v/>
      </c>
      <c r="CI60" s="7" t="str">
        <f ca="1">IF(CI59="","",IFERROR(VLOOKUP($A60,INDIRECT(#REF!&amp;"!$A$6:$C$200"),3,0),0))</f>
        <v/>
      </c>
      <c r="CJ60" s="7" t="str">
        <f ca="1">IF(CJ59="","",IFERROR(VLOOKUP($A60,INDIRECT(#REF!&amp;"!$A$6:$C$200"),3,0),0))</f>
        <v/>
      </c>
      <c r="CK60" s="7" t="str">
        <f ca="1">IF(CK59="","",IFERROR(VLOOKUP($A60,INDIRECT(#REF!&amp;"!$A$6:$C$200"),3,0),0))</f>
        <v/>
      </c>
      <c r="CL60" s="7" t="str">
        <f ca="1">IF(CL59="","",IFERROR(VLOOKUP($A60,INDIRECT(#REF!&amp;"!$A$6:$C$200"),3,0),0))</f>
        <v/>
      </c>
      <c r="CM60" s="7" t="str">
        <f ca="1">IF(CM59="","",IFERROR(VLOOKUP($A60,INDIRECT(#REF!&amp;"!$A$6:$C$200"),3,0),0))</f>
        <v/>
      </c>
      <c r="CN60" s="7" t="str">
        <f ca="1">IF(CN59="","",IFERROR(VLOOKUP($A60,INDIRECT(#REF!&amp;"!$A$6:$C$200"),3,0),0))</f>
        <v/>
      </c>
      <c r="CO60" s="7" t="str">
        <f ca="1">IF(CO59="","",IFERROR(VLOOKUP($A60,INDIRECT(#REF!&amp;"!$A$6:$C$200"),3,0),0))</f>
        <v/>
      </c>
      <c r="CP60" s="7" t="str">
        <f ca="1">IF(CP59="","",IFERROR(VLOOKUP($A60,INDIRECT(#REF!&amp;"!$A$6:$C$200"),3,0),0))</f>
        <v/>
      </c>
      <c r="CQ60" s="7" t="str">
        <f ca="1">IF(CQ59="","",IFERROR(VLOOKUP($A60,INDIRECT(#REF!&amp;"!$A$6:$C$200"),3,0),0))</f>
        <v/>
      </c>
      <c r="CR60" s="7" t="str">
        <f ca="1">IF(CR59="","",IFERROR(VLOOKUP($A60,INDIRECT(#REF!&amp;"!$A$6:$C$200"),3,0),0))</f>
        <v/>
      </c>
      <c r="CS60" s="7" t="str">
        <f ca="1">IF(CS59="","",IFERROR(VLOOKUP($A60,INDIRECT(#REF!&amp;"!$A$6:$C$200"),3,0),0))</f>
        <v/>
      </c>
      <c r="CT60" s="7" t="str">
        <f ca="1">IF(CT59="","",IFERROR(VLOOKUP($A60,INDIRECT(#REF!&amp;"!$A$6:$C$200"),3,0),0))</f>
        <v/>
      </c>
      <c r="CU60" s="7" t="str">
        <f ca="1">IF(CU59="","",IFERROR(VLOOKUP($A60,INDIRECT(#REF!&amp;"!$A$6:$C$200"),3,0),0))</f>
        <v/>
      </c>
      <c r="CV60" s="7" t="str">
        <f ca="1">IF(CV59="","",IFERROR(VLOOKUP($A60,INDIRECT(#REF!&amp;"!$A$6:$C$200"),3,0),0))</f>
        <v/>
      </c>
      <c r="CW60" s="7" t="str">
        <f ca="1">IF(CW59="","",IFERROR(VLOOKUP($A60,INDIRECT(#REF!&amp;"!$A$6:$C$200"),3,0),0))</f>
        <v/>
      </c>
      <c r="CX60" s="7" t="str">
        <f ca="1">IF(CX59="","",IFERROR(VLOOKUP($A60,INDIRECT(#REF!&amp;"!$A$6:$C$200"),3,0),0))</f>
        <v/>
      </c>
      <c r="CY60" s="7" t="str">
        <f ca="1">IF(CY59="","",IFERROR(VLOOKUP($A60,INDIRECT(#REF!&amp;"!$A$6:$C$200"),3,0),0))</f>
        <v/>
      </c>
      <c r="CZ60" s="7" t="str">
        <f ca="1">IF(CZ59="","",IFERROR(VLOOKUP($A60,INDIRECT(#REF!&amp;"!$A$6:$C$200"),3,0),0))</f>
        <v/>
      </c>
      <c r="DA60" s="7" t="str">
        <f ca="1">IF(DA59="","",IFERROR(VLOOKUP($A60,INDIRECT(#REF!&amp;"!$A$6:$C$200"),3,0),0))</f>
        <v/>
      </c>
      <c r="DB60" s="7" t="str">
        <f ca="1">IF(DB59="","",IFERROR(VLOOKUP($A60,INDIRECT(#REF!&amp;"!$A$6:$C$200"),3,0),0))</f>
        <v/>
      </c>
      <c r="DC60" s="7" t="str">
        <f ca="1">IF(DC59="","",IFERROR(VLOOKUP($A60,INDIRECT(#REF!&amp;"!$A$6:$C$200"),3,0),0))</f>
        <v/>
      </c>
      <c r="DD60" s="7" t="str">
        <f ca="1">IF(DD59="","",IFERROR(VLOOKUP($A60,INDIRECT(#REF!&amp;"!$A$6:$C$200"),3,0),0))</f>
        <v/>
      </c>
      <c r="DE60" s="7" t="str">
        <f ca="1">IF(DE59="","",IFERROR(VLOOKUP($A60,INDIRECT(#REF!&amp;"!$A$6:$C$200"),3,0),0))</f>
        <v/>
      </c>
      <c r="DF60" s="7" t="str">
        <f ca="1">IF(DF59="","",IFERROR(VLOOKUP($A60,INDIRECT(#REF!&amp;"!$A$6:$C$200"),3,0),0))</f>
        <v/>
      </c>
      <c r="DG60" s="7" t="str">
        <f ca="1">IF(DG59="","",IFERROR(VLOOKUP($A60,INDIRECT(#REF!&amp;"!$A$6:$C$200"),3,0),0))</f>
        <v/>
      </c>
      <c r="DH60" s="7" t="str">
        <f ca="1">IF(DH59="","",IFERROR(VLOOKUP($A60,INDIRECT(#REF!&amp;"!$A$6:$C$200"),3,0),0))</f>
        <v/>
      </c>
      <c r="DI60" s="7" t="str">
        <f ca="1">IF(DI59="","",IFERROR(VLOOKUP($A60,INDIRECT(#REF!&amp;"!$A$6:$C$200"),3,0),0))</f>
        <v/>
      </c>
      <c r="DJ60" s="7" t="str">
        <f ca="1">IF(DJ59="","",IFERROR(VLOOKUP($A60,INDIRECT(#REF!&amp;"!$A$6:$C$200"),3,0),0))</f>
        <v/>
      </c>
      <c r="DK60" s="7" t="str">
        <f ca="1">IF(DK59="","",IFERROR(VLOOKUP($A60,INDIRECT(#REF!&amp;"!$A$6:$C$200"),3,0),0))</f>
        <v/>
      </c>
    </row>
    <row r="61" spans="1:115">
      <c r="A61" s="6" t="s">
        <v>63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f t="shared" ca="1" si="5"/>
        <v>0</v>
      </c>
      <c r="I61" s="7">
        <f t="shared" ca="1" si="3"/>
        <v>0</v>
      </c>
      <c r="J61" s="7">
        <f t="shared" ca="1" si="4"/>
        <v>0</v>
      </c>
      <c r="K61" s="7">
        <f t="shared" ca="1" si="6"/>
        <v>0</v>
      </c>
      <c r="L61" s="7">
        <f t="shared" ca="1" si="7"/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7">
        <v>0</v>
      </c>
      <c r="AN61" s="8">
        <v>0</v>
      </c>
      <c r="AO61" s="8">
        <v>0</v>
      </c>
      <c r="AP61" s="8">
        <v>0</v>
      </c>
      <c r="AQ61" s="8">
        <v>0</v>
      </c>
      <c r="AR61" s="8">
        <v>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7">
        <v>0</v>
      </c>
      <c r="AY61" s="7">
        <v>0</v>
      </c>
      <c r="AZ61" s="7">
        <v>0</v>
      </c>
      <c r="BA61" s="8">
        <v>0</v>
      </c>
      <c r="BB61" s="8">
        <v>0</v>
      </c>
      <c r="BC61" s="7">
        <v>0</v>
      </c>
      <c r="BD61" s="7">
        <v>0</v>
      </c>
      <c r="BE61" s="8">
        <f ca="1">IFERROR(VLOOKUP($A61,INDIRECT(#REF!&amp;"!$A$6:$C$200"),3,0),0)</f>
        <v>0</v>
      </c>
      <c r="BF61" s="8">
        <f ca="1">IFERROR(VLOOKUP($A61,INDIRECT(#REF!&amp;"!$A$6:$C$200"),3,0),0)</f>
        <v>0</v>
      </c>
      <c r="BG61" s="8">
        <f ca="1">IFERROR(VLOOKUP($A61,INDIRECT(#REF!&amp;"!$A$6:$C$200"),3,0),0)</f>
        <v>0</v>
      </c>
      <c r="BH61" s="8">
        <f ca="1">IFERROR(VLOOKUP($A61,INDIRECT(#REF!&amp;"!$A$6:$C$200"),3,0),0)</f>
        <v>0</v>
      </c>
      <c r="BI61" s="7">
        <f ca="1">IFERROR(VLOOKUP($A61,INDIRECT(#REF!&amp;"!$A$6:$C$200"),3,0),0)</f>
        <v>0</v>
      </c>
      <c r="BJ61" s="8">
        <f ca="1">IFERROR(VLOOKUP($A61,INDIRECT(#REF!&amp;"!$A$6:$C$200"),3,0),0)</f>
        <v>0</v>
      </c>
      <c r="BK61" s="8">
        <f ca="1">IFERROR(VLOOKUP($A61,INDIRECT(#REF!&amp;"!$A$6:$C$200"),3,0),0)</f>
        <v>0</v>
      </c>
      <c r="BL61" s="7">
        <f ca="1">IFERROR(VLOOKUP($A61,INDIRECT(#REF!&amp;"!$A$6:$C$200"),3,0),0)</f>
        <v>0</v>
      </c>
      <c r="BM61" s="8">
        <f ca="1">IFERROR(VLOOKUP($A61,INDIRECT(#REF!&amp;"!$A$6:$C$200"),3,0),0)</f>
        <v>0</v>
      </c>
      <c r="BN61" s="8">
        <f ca="1">IFERROR(VLOOKUP($A61,INDIRECT(#REF!&amp;"!$A$6:$C$200"),3,0),0)</f>
        <v>0</v>
      </c>
      <c r="BO61" s="8">
        <f ca="1">IFERROR(VLOOKUP($A61,INDIRECT(#REF!&amp;"!$A$6:$C$200"),3,0),0)</f>
        <v>0</v>
      </c>
      <c r="BP61" s="7">
        <f ca="1">IFERROR(VLOOKUP($A61,INDIRECT(#REF!&amp;"!$A$6:$C$200"),3,0),0)</f>
        <v>0</v>
      </c>
      <c r="BQ61" s="7">
        <f ca="1">IFERROR(VLOOKUP($A61,INDIRECT(#REF!&amp;"!$A$6:$C$200"),3,0),0)</f>
        <v>0</v>
      </c>
      <c r="BR61" s="8">
        <f ca="1">IFERROR(VLOOKUP($A61,INDIRECT(#REF!&amp;"!$A$6:$C$200"),3,0),0)</f>
        <v>0</v>
      </c>
      <c r="BS61" s="8">
        <f ca="1">IFERROR(VLOOKUP($A61,INDIRECT(#REF!&amp;"!$A$6:$C$200"),3,0),0)</f>
        <v>0</v>
      </c>
      <c r="BT61" s="7">
        <f ca="1">IFERROR(VLOOKUP($A61,INDIRECT(#REF!&amp;"!$A$6:$C$200"),3,0),0)</f>
        <v>0</v>
      </c>
      <c r="BU61" s="7">
        <f ca="1">IFERROR(VLOOKUP($A61,INDIRECT(#REF!&amp;"!$A$6:$C$200"),3,0),0)</f>
        <v>0</v>
      </c>
      <c r="BV61" s="7">
        <f ca="1">IFERROR(VLOOKUP($A61,INDIRECT(#REF!&amp;"!$A$6:$C$200"),3,0),0)</f>
        <v>0</v>
      </c>
      <c r="BW61" s="7">
        <f ca="1">IFERROR(VLOOKUP($A61,INDIRECT(#REF!&amp;"!$A$6:$C$200"),3,0),0)</f>
        <v>0</v>
      </c>
      <c r="BX61" s="7">
        <f ca="1">IFERROR(VLOOKUP($A61,INDIRECT(#REF!&amp;"!$A$6:$C$200"),3,0),0)</f>
        <v>0</v>
      </c>
      <c r="BY61" s="7">
        <f ca="1">IFERROR(VLOOKUP($A61,INDIRECT(#REF!&amp;"!$A$6:$C$200"),3,0),0)</f>
        <v>0</v>
      </c>
      <c r="BZ61" s="7">
        <f ca="1">IFERROR(VLOOKUP($A61,INDIRECT(#REF!&amp;"!$A$6:$C$200"),3,0),0)</f>
        <v>0</v>
      </c>
      <c r="CA61" s="7">
        <f ca="1">IFERROR(VLOOKUP($A61,INDIRECT(#REF!&amp;"!$A$6:$C$200"),3,0),0)</f>
        <v>0</v>
      </c>
      <c r="CB61" s="7">
        <f ca="1">IFERROR(VLOOKUP($A61,INDIRECT(#REF!&amp;"!$A$6:$C$200"),3,0),0)</f>
        <v>0</v>
      </c>
      <c r="CC61" s="7">
        <f ca="1">IFERROR(VLOOKUP($A61,INDIRECT(#REF!&amp;"!$A$6:$C$200"),3,0),0)</f>
        <v>0</v>
      </c>
      <c r="CD61" s="7" t="str">
        <f ca="1">IF(CD60="","",IFERROR(VLOOKUP($A61,INDIRECT(#REF!&amp;"!$A$6:$C$200"),3,0),0))</f>
        <v/>
      </c>
      <c r="CE61" s="7" t="str">
        <f ca="1">IF(CE60="","",IFERROR(VLOOKUP($A61,INDIRECT(#REF!&amp;"!$A$6:$C$200"),3,0),0))</f>
        <v/>
      </c>
      <c r="CF61" s="7" t="str">
        <f ca="1">IF(CF60="","",IFERROR(VLOOKUP($A61,INDIRECT(#REF!&amp;"!$A$6:$C$200"),3,0),0))</f>
        <v/>
      </c>
      <c r="CG61" s="7" t="str">
        <f ca="1">IF(CG60="","",IFERROR(VLOOKUP($A61,INDIRECT(#REF!&amp;"!$A$6:$C$200"),3,0),0))</f>
        <v/>
      </c>
      <c r="CH61" s="7" t="str">
        <f ca="1">IF(CH60="","",IFERROR(VLOOKUP($A61,INDIRECT(#REF!&amp;"!$A$6:$C$200"),3,0),0))</f>
        <v/>
      </c>
      <c r="CI61" s="7" t="str">
        <f ca="1">IF(CI60="","",IFERROR(VLOOKUP($A61,INDIRECT(#REF!&amp;"!$A$6:$C$200"),3,0),0))</f>
        <v/>
      </c>
      <c r="CJ61" s="7" t="str">
        <f ca="1">IF(CJ60="","",IFERROR(VLOOKUP($A61,INDIRECT(#REF!&amp;"!$A$6:$C$200"),3,0),0))</f>
        <v/>
      </c>
      <c r="CK61" s="7" t="str">
        <f ca="1">IF(CK60="","",IFERROR(VLOOKUP($A61,INDIRECT(#REF!&amp;"!$A$6:$C$200"),3,0),0))</f>
        <v/>
      </c>
      <c r="CL61" s="7" t="str">
        <f ca="1">IF(CL60="","",IFERROR(VLOOKUP($A61,INDIRECT(#REF!&amp;"!$A$6:$C$200"),3,0),0))</f>
        <v/>
      </c>
      <c r="CM61" s="7" t="str">
        <f ca="1">IF(CM60="","",IFERROR(VLOOKUP($A61,INDIRECT(#REF!&amp;"!$A$6:$C$200"),3,0),0))</f>
        <v/>
      </c>
      <c r="CN61" s="7" t="str">
        <f ca="1">IF(CN60="","",IFERROR(VLOOKUP($A61,INDIRECT(#REF!&amp;"!$A$6:$C$200"),3,0),0))</f>
        <v/>
      </c>
      <c r="CO61" s="7" t="str">
        <f ca="1">IF(CO60="","",IFERROR(VLOOKUP($A61,INDIRECT(#REF!&amp;"!$A$6:$C$200"),3,0),0))</f>
        <v/>
      </c>
      <c r="CP61" s="7" t="str">
        <f ca="1">IF(CP60="","",IFERROR(VLOOKUP($A61,INDIRECT(#REF!&amp;"!$A$6:$C$200"),3,0),0))</f>
        <v/>
      </c>
      <c r="CQ61" s="7" t="str">
        <f ca="1">IF(CQ60="","",IFERROR(VLOOKUP($A61,INDIRECT(#REF!&amp;"!$A$6:$C$200"),3,0),0))</f>
        <v/>
      </c>
      <c r="CR61" s="7" t="str">
        <f ca="1">IF(CR60="","",IFERROR(VLOOKUP($A61,INDIRECT(#REF!&amp;"!$A$6:$C$200"),3,0),0))</f>
        <v/>
      </c>
      <c r="CS61" s="7" t="str">
        <f ca="1">IF(CS60="","",IFERROR(VLOOKUP($A61,INDIRECT(#REF!&amp;"!$A$6:$C$200"),3,0),0))</f>
        <v/>
      </c>
      <c r="CT61" s="7" t="str">
        <f ca="1">IF(CT60="","",IFERROR(VLOOKUP($A61,INDIRECT(#REF!&amp;"!$A$6:$C$200"),3,0),0))</f>
        <v/>
      </c>
      <c r="CU61" s="7" t="str">
        <f ca="1">IF(CU60="","",IFERROR(VLOOKUP($A61,INDIRECT(#REF!&amp;"!$A$6:$C$200"),3,0),0))</f>
        <v/>
      </c>
      <c r="CV61" s="7" t="str">
        <f ca="1">IF(CV60="","",IFERROR(VLOOKUP($A61,INDIRECT(#REF!&amp;"!$A$6:$C$200"),3,0),0))</f>
        <v/>
      </c>
      <c r="CW61" s="7" t="str">
        <f ca="1">IF(CW60="","",IFERROR(VLOOKUP($A61,INDIRECT(#REF!&amp;"!$A$6:$C$200"),3,0),0))</f>
        <v/>
      </c>
      <c r="CX61" s="7" t="str">
        <f ca="1">IF(CX60="","",IFERROR(VLOOKUP($A61,INDIRECT(#REF!&amp;"!$A$6:$C$200"),3,0),0))</f>
        <v/>
      </c>
      <c r="CY61" s="7" t="str">
        <f ca="1">IF(CY60="","",IFERROR(VLOOKUP($A61,INDIRECT(#REF!&amp;"!$A$6:$C$200"),3,0),0))</f>
        <v/>
      </c>
      <c r="CZ61" s="7" t="str">
        <f ca="1">IF(CZ60="","",IFERROR(VLOOKUP($A61,INDIRECT(#REF!&amp;"!$A$6:$C$200"),3,0),0))</f>
        <v/>
      </c>
      <c r="DA61" s="7" t="str">
        <f ca="1">IF(DA60="","",IFERROR(VLOOKUP($A61,INDIRECT(#REF!&amp;"!$A$6:$C$200"),3,0),0))</f>
        <v/>
      </c>
      <c r="DB61" s="7" t="str">
        <f ca="1">IF(DB60="","",IFERROR(VLOOKUP($A61,INDIRECT(#REF!&amp;"!$A$6:$C$200"),3,0),0))</f>
        <v/>
      </c>
      <c r="DC61" s="7" t="str">
        <f ca="1">IF(DC60="","",IFERROR(VLOOKUP($A61,INDIRECT(#REF!&amp;"!$A$6:$C$200"),3,0),0))</f>
        <v/>
      </c>
      <c r="DD61" s="7" t="str">
        <f ca="1">IF(DD60="","",IFERROR(VLOOKUP($A61,INDIRECT(#REF!&amp;"!$A$6:$C$200"),3,0),0))</f>
        <v/>
      </c>
      <c r="DE61" s="7" t="str">
        <f ca="1">IF(DE60="","",IFERROR(VLOOKUP($A61,INDIRECT(#REF!&amp;"!$A$6:$C$200"),3,0),0))</f>
        <v/>
      </c>
      <c r="DF61" s="7" t="str">
        <f ca="1">IF(DF60="","",IFERROR(VLOOKUP($A61,INDIRECT(#REF!&amp;"!$A$6:$C$200"),3,0),0))</f>
        <v/>
      </c>
      <c r="DG61" s="7" t="str">
        <f ca="1">IF(DG60="","",IFERROR(VLOOKUP($A61,INDIRECT(#REF!&amp;"!$A$6:$C$200"),3,0),0))</f>
        <v/>
      </c>
      <c r="DH61" s="7" t="str">
        <f ca="1">IF(DH60="","",IFERROR(VLOOKUP($A61,INDIRECT(#REF!&amp;"!$A$6:$C$200"),3,0),0))</f>
        <v/>
      </c>
      <c r="DI61" s="7" t="str">
        <f ca="1">IF(DI60="","",IFERROR(VLOOKUP($A61,INDIRECT(#REF!&amp;"!$A$6:$C$200"),3,0),0))</f>
        <v/>
      </c>
      <c r="DJ61" s="7" t="str">
        <f ca="1">IF(DJ60="","",IFERROR(VLOOKUP($A61,INDIRECT(#REF!&amp;"!$A$6:$C$200"),3,0),0))</f>
        <v/>
      </c>
      <c r="DK61" s="7" t="str">
        <f ca="1">IF(DK60="","",IFERROR(VLOOKUP($A61,INDIRECT(#REF!&amp;"!$A$6:$C$200"),3,0),0))</f>
        <v/>
      </c>
    </row>
    <row r="62" spans="1:115">
      <c r="A62" s="6" t="s">
        <v>64</v>
      </c>
      <c r="B62" s="7">
        <v>0</v>
      </c>
      <c r="C62" s="7">
        <v>1.4285714285714287E-5</v>
      </c>
      <c r="D62" s="7">
        <v>0</v>
      </c>
      <c r="E62" s="7">
        <v>0</v>
      </c>
      <c r="F62" s="7">
        <v>0</v>
      </c>
      <c r="G62" s="7">
        <v>0</v>
      </c>
      <c r="H62" s="7">
        <f t="shared" ca="1" si="5"/>
        <v>0</v>
      </c>
      <c r="I62" s="7">
        <f t="shared" ca="1" si="3"/>
        <v>0</v>
      </c>
      <c r="J62" s="7">
        <f t="shared" ca="1" si="4"/>
        <v>0</v>
      </c>
      <c r="K62" s="7">
        <f t="shared" ca="1" si="6"/>
        <v>0</v>
      </c>
      <c r="L62" s="7">
        <f t="shared" ca="1" si="7"/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1E-4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7">
        <v>0</v>
      </c>
      <c r="AN62" s="7">
        <v>0</v>
      </c>
      <c r="AO62" s="7">
        <v>0</v>
      </c>
      <c r="AP62" s="8">
        <v>0</v>
      </c>
      <c r="AQ62" s="7">
        <v>0</v>
      </c>
      <c r="AR62" s="7">
        <v>0</v>
      </c>
      <c r="AS62" s="8">
        <v>0</v>
      </c>
      <c r="AT62" s="8">
        <v>0</v>
      </c>
      <c r="AU62" s="7">
        <v>0</v>
      </c>
      <c r="AV62" s="7">
        <v>0</v>
      </c>
      <c r="AW62" s="7">
        <v>0</v>
      </c>
      <c r="AX62" s="7">
        <v>0</v>
      </c>
      <c r="AY62" s="7">
        <v>0</v>
      </c>
      <c r="AZ62" s="7">
        <v>0</v>
      </c>
      <c r="BA62" s="8">
        <v>0</v>
      </c>
      <c r="BB62" s="8">
        <v>0</v>
      </c>
      <c r="BC62" s="7">
        <v>0</v>
      </c>
      <c r="BD62" s="7">
        <v>0</v>
      </c>
      <c r="BE62" s="8">
        <f ca="1">IFERROR(VLOOKUP($A62,INDIRECT(#REF!&amp;"!$A$6:$C$200"),3,0),0)</f>
        <v>0</v>
      </c>
      <c r="BF62" s="7">
        <f ca="1">IFERROR(VLOOKUP($A62,INDIRECT(#REF!&amp;"!$A$6:$C$200"),3,0),0)</f>
        <v>0</v>
      </c>
      <c r="BG62" s="8">
        <f ca="1">IFERROR(VLOOKUP($A62,INDIRECT(#REF!&amp;"!$A$6:$C$200"),3,0),0)</f>
        <v>0</v>
      </c>
      <c r="BH62" s="8">
        <f ca="1">IFERROR(VLOOKUP($A62,INDIRECT(#REF!&amp;"!$A$6:$C$200"),3,0),0)</f>
        <v>0</v>
      </c>
      <c r="BI62" s="7">
        <f ca="1">IFERROR(VLOOKUP($A62,INDIRECT(#REF!&amp;"!$A$6:$C$200"),3,0),0)</f>
        <v>0</v>
      </c>
      <c r="BJ62" s="8">
        <f ca="1">IFERROR(VLOOKUP($A62,INDIRECT(#REF!&amp;"!$A$6:$C$200"),3,0),0)</f>
        <v>0</v>
      </c>
      <c r="BK62" s="8">
        <f ca="1">IFERROR(VLOOKUP($A62,INDIRECT(#REF!&amp;"!$A$6:$C$200"),3,0),0)</f>
        <v>0</v>
      </c>
      <c r="BL62" s="8">
        <f ca="1">IFERROR(VLOOKUP($A62,INDIRECT(#REF!&amp;"!$A$6:$C$200"),3,0),0)</f>
        <v>0</v>
      </c>
      <c r="BM62" s="8">
        <f ca="1">IFERROR(VLOOKUP($A62,INDIRECT(#REF!&amp;"!$A$6:$C$200"),3,0),0)</f>
        <v>0</v>
      </c>
      <c r="BN62" s="8">
        <f ca="1">IFERROR(VLOOKUP($A62,INDIRECT(#REF!&amp;"!$A$6:$C$200"),3,0),0)</f>
        <v>0</v>
      </c>
      <c r="BO62" s="8">
        <f ca="1">IFERROR(VLOOKUP($A62,INDIRECT(#REF!&amp;"!$A$6:$C$200"),3,0),0)</f>
        <v>0</v>
      </c>
      <c r="BP62" s="7">
        <f ca="1">IFERROR(VLOOKUP($A62,INDIRECT(#REF!&amp;"!$A$6:$C$200"),3,0),0)</f>
        <v>0</v>
      </c>
      <c r="BQ62" s="7">
        <f ca="1">IFERROR(VLOOKUP($A62,INDIRECT(#REF!&amp;"!$A$6:$C$200"),3,0),0)</f>
        <v>0</v>
      </c>
      <c r="BR62" s="7">
        <f ca="1">IFERROR(VLOOKUP($A62,INDIRECT(#REF!&amp;"!$A$6:$C$200"),3,0),0)</f>
        <v>0</v>
      </c>
      <c r="BS62" s="7">
        <f ca="1">IFERROR(VLOOKUP($A62,INDIRECT(#REF!&amp;"!$A$6:$C$200"),3,0),0)</f>
        <v>0</v>
      </c>
      <c r="BT62" s="7">
        <f ca="1">IFERROR(VLOOKUP($A62,INDIRECT(#REF!&amp;"!$A$6:$C$200"),3,0),0)</f>
        <v>0</v>
      </c>
      <c r="BU62" s="7">
        <f ca="1">IFERROR(VLOOKUP($A62,INDIRECT(#REF!&amp;"!$A$6:$C$200"),3,0),0)</f>
        <v>0</v>
      </c>
      <c r="BV62" s="7">
        <f ca="1">IFERROR(VLOOKUP($A62,INDIRECT(#REF!&amp;"!$A$6:$C$200"),3,0),0)</f>
        <v>0</v>
      </c>
      <c r="BW62" s="7">
        <f ca="1">IFERROR(VLOOKUP($A62,INDIRECT(#REF!&amp;"!$A$6:$C$200"),3,0),0)</f>
        <v>0</v>
      </c>
      <c r="BX62" s="7">
        <f ca="1">IFERROR(VLOOKUP($A62,INDIRECT(#REF!&amp;"!$A$6:$C$200"),3,0),0)</f>
        <v>0</v>
      </c>
      <c r="BY62" s="7">
        <f ca="1">IFERROR(VLOOKUP($A62,INDIRECT(#REF!&amp;"!$A$6:$C$200"),3,0),0)</f>
        <v>0</v>
      </c>
      <c r="BZ62" s="7">
        <f ca="1">IFERROR(VLOOKUP($A62,INDIRECT(#REF!&amp;"!$A$6:$C$200"),3,0),0)</f>
        <v>0</v>
      </c>
      <c r="CA62" s="7">
        <f ca="1">IFERROR(VLOOKUP($A62,INDIRECT(#REF!&amp;"!$A$6:$C$200"),3,0),0)</f>
        <v>0</v>
      </c>
      <c r="CB62" s="7">
        <f ca="1">IFERROR(VLOOKUP($A62,INDIRECT(#REF!&amp;"!$A$6:$C$200"),3,0),0)</f>
        <v>0</v>
      </c>
      <c r="CC62" s="7">
        <f ca="1">IFERROR(VLOOKUP($A62,INDIRECT(#REF!&amp;"!$A$6:$C$200"),3,0),0)</f>
        <v>0</v>
      </c>
      <c r="CD62" s="7" t="str">
        <f ca="1">IF(CD61="","",IFERROR(VLOOKUP($A62,INDIRECT(#REF!&amp;"!$A$6:$C$200"),3,0),0))</f>
        <v/>
      </c>
      <c r="CE62" s="7" t="str">
        <f ca="1">IF(CE61="","",IFERROR(VLOOKUP($A62,INDIRECT(#REF!&amp;"!$A$6:$C$200"),3,0),0))</f>
        <v/>
      </c>
      <c r="CF62" s="7" t="str">
        <f ca="1">IF(CF61="","",IFERROR(VLOOKUP($A62,INDIRECT(#REF!&amp;"!$A$6:$C$200"),3,0),0))</f>
        <v/>
      </c>
      <c r="CG62" s="7" t="str">
        <f ca="1">IF(CG61="","",IFERROR(VLOOKUP($A62,INDIRECT(#REF!&amp;"!$A$6:$C$200"),3,0),0))</f>
        <v/>
      </c>
      <c r="CH62" s="7" t="str">
        <f ca="1">IF(CH61="","",IFERROR(VLOOKUP($A62,INDIRECT(#REF!&amp;"!$A$6:$C$200"),3,0),0))</f>
        <v/>
      </c>
      <c r="CI62" s="7" t="str">
        <f ca="1">IF(CI61="","",IFERROR(VLOOKUP($A62,INDIRECT(#REF!&amp;"!$A$6:$C$200"),3,0),0))</f>
        <v/>
      </c>
      <c r="CJ62" s="7" t="str">
        <f ca="1">IF(CJ61="","",IFERROR(VLOOKUP($A62,INDIRECT(#REF!&amp;"!$A$6:$C$200"),3,0),0))</f>
        <v/>
      </c>
      <c r="CK62" s="7" t="str">
        <f ca="1">IF(CK61="","",IFERROR(VLOOKUP($A62,INDIRECT(#REF!&amp;"!$A$6:$C$200"),3,0),0))</f>
        <v/>
      </c>
      <c r="CL62" s="7" t="str">
        <f ca="1">IF(CL61="","",IFERROR(VLOOKUP($A62,INDIRECT(#REF!&amp;"!$A$6:$C$200"),3,0),0))</f>
        <v/>
      </c>
      <c r="CM62" s="7" t="str">
        <f ca="1">IF(CM61="","",IFERROR(VLOOKUP($A62,INDIRECT(#REF!&amp;"!$A$6:$C$200"),3,0),0))</f>
        <v/>
      </c>
      <c r="CN62" s="7" t="str">
        <f ca="1">IF(CN61="","",IFERROR(VLOOKUP($A62,INDIRECT(#REF!&amp;"!$A$6:$C$200"),3,0),0))</f>
        <v/>
      </c>
      <c r="CO62" s="7" t="str">
        <f ca="1">IF(CO61="","",IFERROR(VLOOKUP($A62,INDIRECT(#REF!&amp;"!$A$6:$C$200"),3,0),0))</f>
        <v/>
      </c>
      <c r="CP62" s="7" t="str">
        <f ca="1">IF(CP61="","",IFERROR(VLOOKUP($A62,INDIRECT(#REF!&amp;"!$A$6:$C$200"),3,0),0))</f>
        <v/>
      </c>
      <c r="CQ62" s="7" t="str">
        <f ca="1">IF(CQ61="","",IFERROR(VLOOKUP($A62,INDIRECT(#REF!&amp;"!$A$6:$C$200"),3,0),0))</f>
        <v/>
      </c>
      <c r="CR62" s="7" t="str">
        <f ca="1">IF(CR61="","",IFERROR(VLOOKUP($A62,INDIRECT(#REF!&amp;"!$A$6:$C$200"),3,0),0))</f>
        <v/>
      </c>
      <c r="CS62" s="7" t="str">
        <f ca="1">IF(CS61="","",IFERROR(VLOOKUP($A62,INDIRECT(#REF!&amp;"!$A$6:$C$200"),3,0),0))</f>
        <v/>
      </c>
      <c r="CT62" s="7" t="str">
        <f ca="1">IF(CT61="","",IFERROR(VLOOKUP($A62,INDIRECT(#REF!&amp;"!$A$6:$C$200"),3,0),0))</f>
        <v/>
      </c>
      <c r="CU62" s="7" t="str">
        <f ca="1">IF(CU61="","",IFERROR(VLOOKUP($A62,INDIRECT(#REF!&amp;"!$A$6:$C$200"),3,0),0))</f>
        <v/>
      </c>
      <c r="CV62" s="7" t="str">
        <f ca="1">IF(CV61="","",IFERROR(VLOOKUP($A62,INDIRECT(#REF!&amp;"!$A$6:$C$200"),3,0),0))</f>
        <v/>
      </c>
      <c r="CW62" s="7" t="str">
        <f ca="1">IF(CW61="","",IFERROR(VLOOKUP($A62,INDIRECT(#REF!&amp;"!$A$6:$C$200"),3,0),0))</f>
        <v/>
      </c>
      <c r="CX62" s="7" t="str">
        <f ca="1">IF(CX61="","",IFERROR(VLOOKUP($A62,INDIRECT(#REF!&amp;"!$A$6:$C$200"),3,0),0))</f>
        <v/>
      </c>
      <c r="CY62" s="7" t="str">
        <f ca="1">IF(CY61="","",IFERROR(VLOOKUP($A62,INDIRECT(#REF!&amp;"!$A$6:$C$200"),3,0),0))</f>
        <v/>
      </c>
      <c r="CZ62" s="7" t="str">
        <f ca="1">IF(CZ61="","",IFERROR(VLOOKUP($A62,INDIRECT(#REF!&amp;"!$A$6:$C$200"),3,0),0))</f>
        <v/>
      </c>
      <c r="DA62" s="7" t="str">
        <f ca="1">IF(DA61="","",IFERROR(VLOOKUP($A62,INDIRECT(#REF!&amp;"!$A$6:$C$200"),3,0),0))</f>
        <v/>
      </c>
      <c r="DB62" s="7" t="str">
        <f ca="1">IF(DB61="","",IFERROR(VLOOKUP($A62,INDIRECT(#REF!&amp;"!$A$6:$C$200"),3,0),0))</f>
        <v/>
      </c>
      <c r="DC62" s="7" t="str">
        <f ca="1">IF(DC61="","",IFERROR(VLOOKUP($A62,INDIRECT(#REF!&amp;"!$A$6:$C$200"),3,0),0))</f>
        <v/>
      </c>
      <c r="DD62" s="7" t="str">
        <f ca="1">IF(DD61="","",IFERROR(VLOOKUP($A62,INDIRECT(#REF!&amp;"!$A$6:$C$200"),3,0),0))</f>
        <v/>
      </c>
      <c r="DE62" s="7" t="str">
        <f ca="1">IF(DE61="","",IFERROR(VLOOKUP($A62,INDIRECT(#REF!&amp;"!$A$6:$C$200"),3,0),0))</f>
        <v/>
      </c>
      <c r="DF62" s="7" t="str">
        <f ca="1">IF(DF61="","",IFERROR(VLOOKUP($A62,INDIRECT(#REF!&amp;"!$A$6:$C$200"),3,0),0))</f>
        <v/>
      </c>
      <c r="DG62" s="7" t="str">
        <f ca="1">IF(DG61="","",IFERROR(VLOOKUP($A62,INDIRECT(#REF!&amp;"!$A$6:$C$200"),3,0),0))</f>
        <v/>
      </c>
      <c r="DH62" s="7" t="str">
        <f ca="1">IF(DH61="","",IFERROR(VLOOKUP($A62,INDIRECT(#REF!&amp;"!$A$6:$C$200"),3,0),0))</f>
        <v/>
      </c>
      <c r="DI62" s="7" t="str">
        <f ca="1">IF(DI61="","",IFERROR(VLOOKUP($A62,INDIRECT(#REF!&amp;"!$A$6:$C$200"),3,0),0))</f>
        <v/>
      </c>
      <c r="DJ62" s="7" t="str">
        <f ca="1">IF(DJ61="","",IFERROR(VLOOKUP($A62,INDIRECT(#REF!&amp;"!$A$6:$C$200"),3,0),0))</f>
        <v/>
      </c>
      <c r="DK62" s="7" t="str">
        <f ca="1">IF(DK61="","",IFERROR(VLOOKUP($A62,INDIRECT(#REF!&amp;"!$A$6:$C$200"),3,0),0))</f>
        <v/>
      </c>
    </row>
    <row r="63" spans="1:115">
      <c r="A63" s="6" t="s">
        <v>65</v>
      </c>
      <c r="B63" s="7">
        <v>0</v>
      </c>
      <c r="C63" s="7">
        <v>2.8571428571428574E-5</v>
      </c>
      <c r="D63" s="7">
        <v>0</v>
      </c>
      <c r="E63" s="7">
        <v>1.4285714285714287E-5</v>
      </c>
      <c r="F63" s="7">
        <v>1.4285714285714287E-5</v>
      </c>
      <c r="G63" s="7">
        <v>0</v>
      </c>
      <c r="H63" s="7">
        <f t="shared" ca="1" si="5"/>
        <v>0</v>
      </c>
      <c r="I63" s="7">
        <f t="shared" ca="1" si="3"/>
        <v>0</v>
      </c>
      <c r="J63" s="7">
        <f t="shared" ca="1" si="4"/>
        <v>0</v>
      </c>
      <c r="K63" s="7">
        <f t="shared" ca="1" si="6"/>
        <v>0</v>
      </c>
      <c r="L63" s="7">
        <f t="shared" ca="1" si="7"/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2.0000000000000001E-4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  <c r="AJ63" s="8">
        <v>0</v>
      </c>
      <c r="AK63" s="8">
        <v>0</v>
      </c>
      <c r="AL63" s="8">
        <v>1E-4</v>
      </c>
      <c r="AM63" s="7">
        <v>0</v>
      </c>
      <c r="AN63" s="8">
        <v>0</v>
      </c>
      <c r="AO63" s="7">
        <v>0</v>
      </c>
      <c r="AP63" s="8">
        <v>0</v>
      </c>
      <c r="AQ63" s="7">
        <v>1E-4</v>
      </c>
      <c r="AR63" s="7">
        <v>0</v>
      </c>
      <c r="AS63" s="8">
        <v>0</v>
      </c>
      <c r="AT63" s="8">
        <v>0</v>
      </c>
      <c r="AU63" s="7">
        <v>0</v>
      </c>
      <c r="AV63" s="7">
        <v>0</v>
      </c>
      <c r="AW63" s="8">
        <v>0</v>
      </c>
      <c r="AX63" s="7">
        <v>0</v>
      </c>
      <c r="AY63" s="7">
        <v>0</v>
      </c>
      <c r="AZ63" s="7">
        <v>0</v>
      </c>
      <c r="BA63" s="8">
        <v>0</v>
      </c>
      <c r="BB63" s="7">
        <v>0</v>
      </c>
      <c r="BC63" s="7">
        <v>0</v>
      </c>
      <c r="BD63" s="7">
        <v>0</v>
      </c>
      <c r="BE63" s="8">
        <f ca="1">IFERROR(VLOOKUP($A63,INDIRECT(#REF!&amp;"!$A$6:$C$200"),3,0),0)</f>
        <v>0</v>
      </c>
      <c r="BF63" s="7">
        <f ca="1">IFERROR(VLOOKUP($A63,INDIRECT(#REF!&amp;"!$A$6:$C$200"),3,0),0)</f>
        <v>0</v>
      </c>
      <c r="BG63" s="8">
        <f ca="1">IFERROR(VLOOKUP($A63,INDIRECT(#REF!&amp;"!$A$6:$C$200"),3,0),0)</f>
        <v>0</v>
      </c>
      <c r="BH63" s="8">
        <f ca="1">IFERROR(VLOOKUP($A63,INDIRECT(#REF!&amp;"!$A$6:$C$200"),3,0),0)</f>
        <v>0</v>
      </c>
      <c r="BI63" s="8">
        <f ca="1">IFERROR(VLOOKUP($A63,INDIRECT(#REF!&amp;"!$A$6:$C$200"),3,0),0)</f>
        <v>0</v>
      </c>
      <c r="BJ63" s="8">
        <f ca="1">IFERROR(VLOOKUP($A63,INDIRECT(#REF!&amp;"!$A$6:$C$200"),3,0),0)</f>
        <v>0</v>
      </c>
      <c r="BK63" s="8">
        <f ca="1">IFERROR(VLOOKUP($A63,INDIRECT(#REF!&amp;"!$A$6:$C$200"),3,0),0)</f>
        <v>0</v>
      </c>
      <c r="BL63" s="8">
        <f ca="1">IFERROR(VLOOKUP($A63,INDIRECT(#REF!&amp;"!$A$6:$C$200"),3,0),0)</f>
        <v>0</v>
      </c>
      <c r="BM63" s="8">
        <f ca="1">IFERROR(VLOOKUP($A63,INDIRECT(#REF!&amp;"!$A$6:$C$200"),3,0),0)</f>
        <v>0</v>
      </c>
      <c r="BN63" s="8">
        <f ca="1">IFERROR(VLOOKUP($A63,INDIRECT(#REF!&amp;"!$A$6:$C$200"),3,0),0)</f>
        <v>0</v>
      </c>
      <c r="BO63" s="8">
        <f ca="1">IFERROR(VLOOKUP($A63,INDIRECT(#REF!&amp;"!$A$6:$C$200"),3,0),0)</f>
        <v>0</v>
      </c>
      <c r="BP63" s="7">
        <f ca="1">IFERROR(VLOOKUP($A63,INDIRECT(#REF!&amp;"!$A$6:$C$200"),3,0),0)</f>
        <v>0</v>
      </c>
      <c r="BQ63" s="7">
        <f ca="1">IFERROR(VLOOKUP($A63,INDIRECT(#REF!&amp;"!$A$6:$C$200"),3,0),0)</f>
        <v>0</v>
      </c>
      <c r="BR63" s="8">
        <f ca="1">IFERROR(VLOOKUP($A63,INDIRECT(#REF!&amp;"!$A$6:$C$200"),3,0),0)</f>
        <v>0</v>
      </c>
      <c r="BS63" s="7">
        <f ca="1">IFERROR(VLOOKUP($A63,INDIRECT(#REF!&amp;"!$A$6:$C$200"),3,0),0)</f>
        <v>0</v>
      </c>
      <c r="BT63" s="7">
        <f ca="1">IFERROR(VLOOKUP($A63,INDIRECT(#REF!&amp;"!$A$6:$C$200"),3,0),0)</f>
        <v>0</v>
      </c>
      <c r="BU63" s="7">
        <f ca="1">IFERROR(VLOOKUP($A63,INDIRECT(#REF!&amp;"!$A$6:$C$200"),3,0),0)</f>
        <v>0</v>
      </c>
      <c r="BV63" s="7">
        <f ca="1">IFERROR(VLOOKUP($A63,INDIRECT(#REF!&amp;"!$A$6:$C$200"),3,0),0)</f>
        <v>0</v>
      </c>
      <c r="BW63" s="7">
        <f ca="1">IFERROR(VLOOKUP($A63,INDIRECT(#REF!&amp;"!$A$6:$C$200"),3,0),0)</f>
        <v>0</v>
      </c>
      <c r="BX63" s="7">
        <f ca="1">IFERROR(VLOOKUP($A63,INDIRECT(#REF!&amp;"!$A$6:$C$200"),3,0),0)</f>
        <v>0</v>
      </c>
      <c r="BY63" s="7">
        <f ca="1">IFERROR(VLOOKUP($A63,INDIRECT(#REF!&amp;"!$A$6:$C$200"),3,0),0)</f>
        <v>0</v>
      </c>
      <c r="BZ63" s="7">
        <f ca="1">IFERROR(VLOOKUP($A63,INDIRECT(#REF!&amp;"!$A$6:$C$200"),3,0),0)</f>
        <v>0</v>
      </c>
      <c r="CA63" s="7">
        <f ca="1">IFERROR(VLOOKUP($A63,INDIRECT(#REF!&amp;"!$A$6:$C$200"),3,0),0)</f>
        <v>0</v>
      </c>
      <c r="CB63" s="7">
        <f ca="1">IFERROR(VLOOKUP($A63,INDIRECT(#REF!&amp;"!$A$6:$C$200"),3,0),0)</f>
        <v>0</v>
      </c>
      <c r="CC63" s="7">
        <f ca="1">IFERROR(VLOOKUP($A63,INDIRECT(#REF!&amp;"!$A$6:$C$200"),3,0),0)</f>
        <v>0</v>
      </c>
      <c r="CD63" s="7" t="str">
        <f ca="1">IF(CD62="","",IFERROR(VLOOKUP($A63,INDIRECT(#REF!&amp;"!$A$6:$C$200"),3,0),0))</f>
        <v/>
      </c>
      <c r="CE63" s="7" t="str">
        <f ca="1">IF(CE62="","",IFERROR(VLOOKUP($A63,INDIRECT(#REF!&amp;"!$A$6:$C$200"),3,0),0))</f>
        <v/>
      </c>
      <c r="CF63" s="7" t="str">
        <f ca="1">IF(CF62="","",IFERROR(VLOOKUP($A63,INDIRECT(#REF!&amp;"!$A$6:$C$200"),3,0),0))</f>
        <v/>
      </c>
      <c r="CG63" s="7" t="str">
        <f ca="1">IF(CG62="","",IFERROR(VLOOKUP($A63,INDIRECT(#REF!&amp;"!$A$6:$C$200"),3,0),0))</f>
        <v/>
      </c>
      <c r="CH63" s="7" t="str">
        <f ca="1">IF(CH62="","",IFERROR(VLOOKUP($A63,INDIRECT(#REF!&amp;"!$A$6:$C$200"),3,0),0))</f>
        <v/>
      </c>
      <c r="CI63" s="7" t="str">
        <f ca="1">IF(CI62="","",IFERROR(VLOOKUP($A63,INDIRECT(#REF!&amp;"!$A$6:$C$200"),3,0),0))</f>
        <v/>
      </c>
      <c r="CJ63" s="7" t="str">
        <f ca="1">IF(CJ62="","",IFERROR(VLOOKUP($A63,INDIRECT(#REF!&amp;"!$A$6:$C$200"),3,0),0))</f>
        <v/>
      </c>
      <c r="CK63" s="7" t="str">
        <f ca="1">IF(CK62="","",IFERROR(VLOOKUP($A63,INDIRECT(#REF!&amp;"!$A$6:$C$200"),3,0),0))</f>
        <v/>
      </c>
      <c r="CL63" s="7" t="str">
        <f ca="1">IF(CL62="","",IFERROR(VLOOKUP($A63,INDIRECT(#REF!&amp;"!$A$6:$C$200"),3,0),0))</f>
        <v/>
      </c>
      <c r="CM63" s="7" t="str">
        <f ca="1">IF(CM62="","",IFERROR(VLOOKUP($A63,INDIRECT(#REF!&amp;"!$A$6:$C$200"),3,0),0))</f>
        <v/>
      </c>
      <c r="CN63" s="7" t="str">
        <f ca="1">IF(CN62="","",IFERROR(VLOOKUP($A63,INDIRECT(#REF!&amp;"!$A$6:$C$200"),3,0),0))</f>
        <v/>
      </c>
      <c r="CO63" s="7" t="str">
        <f ca="1">IF(CO62="","",IFERROR(VLOOKUP($A63,INDIRECT(#REF!&amp;"!$A$6:$C$200"),3,0),0))</f>
        <v/>
      </c>
      <c r="CP63" s="7" t="str">
        <f ca="1">IF(CP62="","",IFERROR(VLOOKUP($A63,INDIRECT(#REF!&amp;"!$A$6:$C$200"),3,0),0))</f>
        <v/>
      </c>
      <c r="CQ63" s="7" t="str">
        <f ca="1">IF(CQ62="","",IFERROR(VLOOKUP($A63,INDIRECT(#REF!&amp;"!$A$6:$C$200"),3,0),0))</f>
        <v/>
      </c>
      <c r="CR63" s="7" t="str">
        <f ca="1">IF(CR62="","",IFERROR(VLOOKUP($A63,INDIRECT(#REF!&amp;"!$A$6:$C$200"),3,0),0))</f>
        <v/>
      </c>
      <c r="CS63" s="7" t="str">
        <f ca="1">IF(CS62="","",IFERROR(VLOOKUP($A63,INDIRECT(#REF!&amp;"!$A$6:$C$200"),3,0),0))</f>
        <v/>
      </c>
      <c r="CT63" s="7" t="str">
        <f ca="1">IF(CT62="","",IFERROR(VLOOKUP($A63,INDIRECT(#REF!&amp;"!$A$6:$C$200"),3,0),0))</f>
        <v/>
      </c>
      <c r="CU63" s="7" t="str">
        <f ca="1">IF(CU62="","",IFERROR(VLOOKUP($A63,INDIRECT(#REF!&amp;"!$A$6:$C$200"),3,0),0))</f>
        <v/>
      </c>
      <c r="CV63" s="7" t="str">
        <f ca="1">IF(CV62="","",IFERROR(VLOOKUP($A63,INDIRECT(#REF!&amp;"!$A$6:$C$200"),3,0),0))</f>
        <v/>
      </c>
      <c r="CW63" s="7" t="str">
        <f ca="1">IF(CW62="","",IFERROR(VLOOKUP($A63,INDIRECT(#REF!&amp;"!$A$6:$C$200"),3,0),0))</f>
        <v/>
      </c>
      <c r="CX63" s="7" t="str">
        <f ca="1">IF(CX62="","",IFERROR(VLOOKUP($A63,INDIRECT(#REF!&amp;"!$A$6:$C$200"),3,0),0))</f>
        <v/>
      </c>
      <c r="CY63" s="7" t="str">
        <f ca="1">IF(CY62="","",IFERROR(VLOOKUP($A63,INDIRECT(#REF!&amp;"!$A$6:$C$200"),3,0),0))</f>
        <v/>
      </c>
      <c r="CZ63" s="7" t="str">
        <f ca="1">IF(CZ62="","",IFERROR(VLOOKUP($A63,INDIRECT(#REF!&amp;"!$A$6:$C$200"),3,0),0))</f>
        <v/>
      </c>
      <c r="DA63" s="7" t="str">
        <f ca="1">IF(DA62="","",IFERROR(VLOOKUP($A63,INDIRECT(#REF!&amp;"!$A$6:$C$200"),3,0),0))</f>
        <v/>
      </c>
      <c r="DB63" s="7" t="str">
        <f ca="1">IF(DB62="","",IFERROR(VLOOKUP($A63,INDIRECT(#REF!&amp;"!$A$6:$C$200"),3,0),0))</f>
        <v/>
      </c>
      <c r="DC63" s="7" t="str">
        <f ca="1">IF(DC62="","",IFERROR(VLOOKUP($A63,INDIRECT(#REF!&amp;"!$A$6:$C$200"),3,0),0))</f>
        <v/>
      </c>
      <c r="DD63" s="7" t="str">
        <f ca="1">IF(DD62="","",IFERROR(VLOOKUP($A63,INDIRECT(#REF!&amp;"!$A$6:$C$200"),3,0),0))</f>
        <v/>
      </c>
      <c r="DE63" s="7" t="str">
        <f ca="1">IF(DE62="","",IFERROR(VLOOKUP($A63,INDIRECT(#REF!&amp;"!$A$6:$C$200"),3,0),0))</f>
        <v/>
      </c>
      <c r="DF63" s="7" t="str">
        <f ca="1">IF(DF62="","",IFERROR(VLOOKUP($A63,INDIRECT(#REF!&amp;"!$A$6:$C$200"),3,0),0))</f>
        <v/>
      </c>
      <c r="DG63" s="7" t="str">
        <f ca="1">IF(DG62="","",IFERROR(VLOOKUP($A63,INDIRECT(#REF!&amp;"!$A$6:$C$200"),3,0),0))</f>
        <v/>
      </c>
      <c r="DH63" s="7" t="str">
        <f ca="1">IF(DH62="","",IFERROR(VLOOKUP($A63,INDIRECT(#REF!&amp;"!$A$6:$C$200"),3,0),0))</f>
        <v/>
      </c>
      <c r="DI63" s="7" t="str">
        <f ca="1">IF(DI62="","",IFERROR(VLOOKUP($A63,INDIRECT(#REF!&amp;"!$A$6:$C$200"),3,0),0))</f>
        <v/>
      </c>
      <c r="DJ63" s="7" t="str">
        <f ca="1">IF(DJ62="","",IFERROR(VLOOKUP($A63,INDIRECT(#REF!&amp;"!$A$6:$C$200"),3,0),0))</f>
        <v/>
      </c>
      <c r="DK63" s="7" t="str">
        <f ca="1">IF(DK62="","",IFERROR(VLOOKUP($A63,INDIRECT(#REF!&amp;"!$A$6:$C$200"),3,0),0))</f>
        <v/>
      </c>
    </row>
    <row r="64" spans="1:115">
      <c r="A64" s="6" t="s">
        <v>66</v>
      </c>
      <c r="B64" s="7">
        <v>0</v>
      </c>
      <c r="C64" s="7">
        <v>1.4285714285714287E-5</v>
      </c>
      <c r="D64" s="7">
        <v>0</v>
      </c>
      <c r="E64" s="7">
        <v>0</v>
      </c>
      <c r="F64" s="7">
        <v>0</v>
      </c>
      <c r="G64" s="7">
        <v>0</v>
      </c>
      <c r="H64" s="7">
        <f t="shared" ca="1" si="5"/>
        <v>0</v>
      </c>
      <c r="I64" s="7">
        <f t="shared" ca="1" si="3"/>
        <v>0</v>
      </c>
      <c r="J64" s="7">
        <f t="shared" ca="1" si="4"/>
        <v>0</v>
      </c>
      <c r="K64" s="7">
        <f t="shared" ca="1" si="6"/>
        <v>0</v>
      </c>
      <c r="L64" s="7">
        <f t="shared" ca="1" si="7"/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1E-4</v>
      </c>
      <c r="Z64" s="8">
        <v>0</v>
      </c>
      <c r="AA64" s="8">
        <v>0</v>
      </c>
      <c r="AB64" s="8">
        <v>0</v>
      </c>
      <c r="AC64" s="8">
        <v>0</v>
      </c>
      <c r="AD64" s="8">
        <v>0</v>
      </c>
      <c r="AE64" s="8">
        <v>0</v>
      </c>
      <c r="AF64" s="8">
        <v>0</v>
      </c>
      <c r="AG64" s="8">
        <v>0</v>
      </c>
      <c r="AH64" s="8">
        <v>0</v>
      </c>
      <c r="AI64" s="8">
        <v>0</v>
      </c>
      <c r="AJ64" s="8">
        <v>0</v>
      </c>
      <c r="AK64" s="8">
        <v>0</v>
      </c>
      <c r="AL64" s="8">
        <v>0</v>
      </c>
      <c r="AM64" s="7">
        <v>0</v>
      </c>
      <c r="AN64" s="7">
        <v>0</v>
      </c>
      <c r="AO64" s="7">
        <v>0</v>
      </c>
      <c r="AP64" s="8">
        <v>0</v>
      </c>
      <c r="AQ64" s="7">
        <v>0</v>
      </c>
      <c r="AR64" s="8">
        <v>0</v>
      </c>
      <c r="AS64" s="7">
        <v>0</v>
      </c>
      <c r="AT64" s="8">
        <v>0</v>
      </c>
      <c r="AU64" s="8">
        <v>0</v>
      </c>
      <c r="AV64" s="8">
        <v>0</v>
      </c>
      <c r="AW64" s="7">
        <v>0</v>
      </c>
      <c r="AX64" s="7">
        <v>0</v>
      </c>
      <c r="AY64" s="7">
        <v>0</v>
      </c>
      <c r="AZ64" s="7">
        <v>0</v>
      </c>
      <c r="BA64" s="8">
        <v>0</v>
      </c>
      <c r="BB64" s="8">
        <v>0</v>
      </c>
      <c r="BC64" s="7">
        <v>0</v>
      </c>
      <c r="BD64" s="7">
        <v>0</v>
      </c>
      <c r="BE64" s="8">
        <f ca="1">IFERROR(VLOOKUP($A64,INDIRECT(#REF!&amp;"!$A$6:$C$200"),3,0),0)</f>
        <v>0</v>
      </c>
      <c r="BF64" s="8">
        <f ca="1">IFERROR(VLOOKUP($A64,INDIRECT(#REF!&amp;"!$A$6:$C$200"),3,0),0)</f>
        <v>0</v>
      </c>
      <c r="BG64" s="7">
        <f ca="1">IFERROR(VLOOKUP($A64,INDIRECT(#REF!&amp;"!$A$6:$C$200"),3,0),0)</f>
        <v>0</v>
      </c>
      <c r="BH64" s="8">
        <f ca="1">IFERROR(VLOOKUP($A64,INDIRECT(#REF!&amp;"!$A$6:$C$200"),3,0),0)</f>
        <v>0</v>
      </c>
      <c r="BI64" s="7">
        <f ca="1">IFERROR(VLOOKUP($A64,INDIRECT(#REF!&amp;"!$A$6:$C$200"),3,0),0)</f>
        <v>0</v>
      </c>
      <c r="BJ64" s="8">
        <f ca="1">IFERROR(VLOOKUP($A64,INDIRECT(#REF!&amp;"!$A$6:$C$200"),3,0),0)</f>
        <v>0</v>
      </c>
      <c r="BK64" s="8">
        <f ca="1">IFERROR(VLOOKUP($A64,INDIRECT(#REF!&amp;"!$A$6:$C$200"),3,0),0)</f>
        <v>0</v>
      </c>
      <c r="BL64" s="7">
        <f ca="1">IFERROR(VLOOKUP($A64,INDIRECT(#REF!&amp;"!$A$6:$C$200"),3,0),0)</f>
        <v>0</v>
      </c>
      <c r="BM64" s="8">
        <f ca="1">IFERROR(VLOOKUP($A64,INDIRECT(#REF!&amp;"!$A$6:$C$200"),3,0),0)</f>
        <v>0</v>
      </c>
      <c r="BN64" s="8">
        <f ca="1">IFERROR(VLOOKUP($A64,INDIRECT(#REF!&amp;"!$A$6:$C$200"),3,0),0)</f>
        <v>0</v>
      </c>
      <c r="BO64" s="8">
        <f ca="1">IFERROR(VLOOKUP($A64,INDIRECT(#REF!&amp;"!$A$6:$C$200"),3,0),0)</f>
        <v>0</v>
      </c>
      <c r="BP64" s="7">
        <f ca="1">IFERROR(VLOOKUP($A64,INDIRECT(#REF!&amp;"!$A$6:$C$200"),3,0),0)</f>
        <v>0</v>
      </c>
      <c r="BQ64" s="7">
        <f ca="1">IFERROR(VLOOKUP($A64,INDIRECT(#REF!&amp;"!$A$6:$C$200"),3,0),0)</f>
        <v>0</v>
      </c>
      <c r="BR64" s="7">
        <f ca="1">IFERROR(VLOOKUP($A64,INDIRECT(#REF!&amp;"!$A$6:$C$200"),3,0),0)</f>
        <v>0</v>
      </c>
      <c r="BS64" s="8">
        <f ca="1">IFERROR(VLOOKUP($A64,INDIRECT(#REF!&amp;"!$A$6:$C$200"),3,0),0)</f>
        <v>0</v>
      </c>
      <c r="BT64" s="7">
        <f ca="1">IFERROR(VLOOKUP($A64,INDIRECT(#REF!&amp;"!$A$6:$C$200"),3,0),0)</f>
        <v>0</v>
      </c>
      <c r="BU64" s="7">
        <f ca="1">IFERROR(VLOOKUP($A64,INDIRECT(#REF!&amp;"!$A$6:$C$200"),3,0),0)</f>
        <v>0</v>
      </c>
      <c r="BV64" s="7">
        <f ca="1">IFERROR(VLOOKUP($A64,INDIRECT(#REF!&amp;"!$A$6:$C$200"),3,0),0)</f>
        <v>0</v>
      </c>
      <c r="BW64" s="7">
        <f ca="1">IFERROR(VLOOKUP($A64,INDIRECT(#REF!&amp;"!$A$6:$C$200"),3,0),0)</f>
        <v>0</v>
      </c>
      <c r="BX64" s="7">
        <f ca="1">IFERROR(VLOOKUP($A64,INDIRECT(#REF!&amp;"!$A$6:$C$200"),3,0),0)</f>
        <v>0</v>
      </c>
      <c r="BY64" s="7">
        <f ca="1">IFERROR(VLOOKUP($A64,INDIRECT(#REF!&amp;"!$A$6:$C$200"),3,0),0)</f>
        <v>0</v>
      </c>
      <c r="BZ64" s="7">
        <f ca="1">IFERROR(VLOOKUP($A64,INDIRECT(#REF!&amp;"!$A$6:$C$200"),3,0),0)</f>
        <v>0</v>
      </c>
      <c r="CA64" s="7">
        <f ca="1">IFERROR(VLOOKUP($A64,INDIRECT(#REF!&amp;"!$A$6:$C$200"),3,0),0)</f>
        <v>0</v>
      </c>
      <c r="CB64" s="7">
        <f ca="1">IFERROR(VLOOKUP($A64,INDIRECT(#REF!&amp;"!$A$6:$C$200"),3,0),0)</f>
        <v>0</v>
      </c>
      <c r="CC64" s="7">
        <f ca="1">IFERROR(VLOOKUP($A64,INDIRECT(#REF!&amp;"!$A$6:$C$200"),3,0),0)</f>
        <v>0</v>
      </c>
      <c r="CD64" s="7" t="str">
        <f ca="1">IF(CD63="","",IFERROR(VLOOKUP($A64,INDIRECT(#REF!&amp;"!$A$6:$C$200"),3,0),0))</f>
        <v/>
      </c>
      <c r="CE64" s="7" t="str">
        <f ca="1">IF(CE63="","",IFERROR(VLOOKUP($A64,INDIRECT(#REF!&amp;"!$A$6:$C$200"),3,0),0))</f>
        <v/>
      </c>
      <c r="CF64" s="7" t="str">
        <f ca="1">IF(CF63="","",IFERROR(VLOOKUP($A64,INDIRECT(#REF!&amp;"!$A$6:$C$200"),3,0),0))</f>
        <v/>
      </c>
      <c r="CG64" s="7" t="str">
        <f ca="1">IF(CG63="","",IFERROR(VLOOKUP($A64,INDIRECT(#REF!&amp;"!$A$6:$C$200"),3,0),0))</f>
        <v/>
      </c>
      <c r="CH64" s="7" t="str">
        <f ca="1">IF(CH63="","",IFERROR(VLOOKUP($A64,INDIRECT(#REF!&amp;"!$A$6:$C$200"),3,0),0))</f>
        <v/>
      </c>
      <c r="CI64" s="7" t="str">
        <f ca="1">IF(CI63="","",IFERROR(VLOOKUP($A64,INDIRECT(#REF!&amp;"!$A$6:$C$200"),3,0),0))</f>
        <v/>
      </c>
      <c r="CJ64" s="7" t="str">
        <f ca="1">IF(CJ63="","",IFERROR(VLOOKUP($A64,INDIRECT(#REF!&amp;"!$A$6:$C$200"),3,0),0))</f>
        <v/>
      </c>
      <c r="CK64" s="7" t="str">
        <f ca="1">IF(CK63="","",IFERROR(VLOOKUP($A64,INDIRECT(#REF!&amp;"!$A$6:$C$200"),3,0),0))</f>
        <v/>
      </c>
      <c r="CL64" s="7" t="str">
        <f ca="1">IF(CL63="","",IFERROR(VLOOKUP($A64,INDIRECT(#REF!&amp;"!$A$6:$C$200"),3,0),0))</f>
        <v/>
      </c>
      <c r="CM64" s="7" t="str">
        <f ca="1">IF(CM63="","",IFERROR(VLOOKUP($A64,INDIRECT(#REF!&amp;"!$A$6:$C$200"),3,0),0))</f>
        <v/>
      </c>
      <c r="CN64" s="7" t="str">
        <f ca="1">IF(CN63="","",IFERROR(VLOOKUP($A64,INDIRECT(#REF!&amp;"!$A$6:$C$200"),3,0),0))</f>
        <v/>
      </c>
      <c r="CO64" s="7" t="str">
        <f ca="1">IF(CO63="","",IFERROR(VLOOKUP($A64,INDIRECT(#REF!&amp;"!$A$6:$C$200"),3,0),0))</f>
        <v/>
      </c>
      <c r="CP64" s="7" t="str">
        <f ca="1">IF(CP63="","",IFERROR(VLOOKUP($A64,INDIRECT(#REF!&amp;"!$A$6:$C$200"),3,0),0))</f>
        <v/>
      </c>
      <c r="CQ64" s="7" t="str">
        <f ca="1">IF(CQ63="","",IFERROR(VLOOKUP($A64,INDIRECT(#REF!&amp;"!$A$6:$C$200"),3,0),0))</f>
        <v/>
      </c>
      <c r="CR64" s="7" t="str">
        <f ca="1">IF(CR63="","",IFERROR(VLOOKUP($A64,INDIRECT(#REF!&amp;"!$A$6:$C$200"),3,0),0))</f>
        <v/>
      </c>
      <c r="CS64" s="7" t="str">
        <f ca="1">IF(CS63="","",IFERROR(VLOOKUP($A64,INDIRECT(#REF!&amp;"!$A$6:$C$200"),3,0),0))</f>
        <v/>
      </c>
      <c r="CT64" s="7" t="str">
        <f ca="1">IF(CT63="","",IFERROR(VLOOKUP($A64,INDIRECT(#REF!&amp;"!$A$6:$C$200"),3,0),0))</f>
        <v/>
      </c>
      <c r="CU64" s="7" t="str">
        <f ca="1">IF(CU63="","",IFERROR(VLOOKUP($A64,INDIRECT(#REF!&amp;"!$A$6:$C$200"),3,0),0))</f>
        <v/>
      </c>
      <c r="CV64" s="7" t="str">
        <f ca="1">IF(CV63="","",IFERROR(VLOOKUP($A64,INDIRECT(#REF!&amp;"!$A$6:$C$200"),3,0),0))</f>
        <v/>
      </c>
      <c r="CW64" s="7" t="str">
        <f ca="1">IF(CW63="","",IFERROR(VLOOKUP($A64,INDIRECT(#REF!&amp;"!$A$6:$C$200"),3,0),0))</f>
        <v/>
      </c>
      <c r="CX64" s="7" t="str">
        <f ca="1">IF(CX63="","",IFERROR(VLOOKUP($A64,INDIRECT(#REF!&amp;"!$A$6:$C$200"),3,0),0))</f>
        <v/>
      </c>
      <c r="CY64" s="7" t="str">
        <f ca="1">IF(CY63="","",IFERROR(VLOOKUP($A64,INDIRECT(#REF!&amp;"!$A$6:$C$200"),3,0),0))</f>
        <v/>
      </c>
      <c r="CZ64" s="7" t="str">
        <f ca="1">IF(CZ63="","",IFERROR(VLOOKUP($A64,INDIRECT(#REF!&amp;"!$A$6:$C$200"),3,0),0))</f>
        <v/>
      </c>
      <c r="DA64" s="7" t="str">
        <f ca="1">IF(DA63="","",IFERROR(VLOOKUP($A64,INDIRECT(#REF!&amp;"!$A$6:$C$200"),3,0),0))</f>
        <v/>
      </c>
      <c r="DB64" s="7" t="str">
        <f ca="1">IF(DB63="","",IFERROR(VLOOKUP($A64,INDIRECT(#REF!&amp;"!$A$6:$C$200"),3,0),0))</f>
        <v/>
      </c>
      <c r="DC64" s="7" t="str">
        <f ca="1">IF(DC63="","",IFERROR(VLOOKUP($A64,INDIRECT(#REF!&amp;"!$A$6:$C$200"),3,0),0))</f>
        <v/>
      </c>
      <c r="DD64" s="7" t="str">
        <f ca="1">IF(DD63="","",IFERROR(VLOOKUP($A64,INDIRECT(#REF!&amp;"!$A$6:$C$200"),3,0),0))</f>
        <v/>
      </c>
      <c r="DE64" s="7" t="str">
        <f ca="1">IF(DE63="","",IFERROR(VLOOKUP($A64,INDIRECT(#REF!&amp;"!$A$6:$C$200"),3,0),0))</f>
        <v/>
      </c>
      <c r="DF64" s="7" t="str">
        <f ca="1">IF(DF63="","",IFERROR(VLOOKUP($A64,INDIRECT(#REF!&amp;"!$A$6:$C$200"),3,0),0))</f>
        <v/>
      </c>
      <c r="DG64" s="7" t="str">
        <f ca="1">IF(DG63="","",IFERROR(VLOOKUP($A64,INDIRECT(#REF!&amp;"!$A$6:$C$200"),3,0),0))</f>
        <v/>
      </c>
      <c r="DH64" s="7" t="str">
        <f ca="1">IF(DH63="","",IFERROR(VLOOKUP($A64,INDIRECT(#REF!&amp;"!$A$6:$C$200"),3,0),0))</f>
        <v/>
      </c>
      <c r="DI64" s="7" t="str">
        <f ca="1">IF(DI63="","",IFERROR(VLOOKUP($A64,INDIRECT(#REF!&amp;"!$A$6:$C$200"),3,0),0))</f>
        <v/>
      </c>
      <c r="DJ64" s="7" t="str">
        <f ca="1">IF(DJ63="","",IFERROR(VLOOKUP($A64,INDIRECT(#REF!&amp;"!$A$6:$C$200"),3,0),0))</f>
        <v/>
      </c>
      <c r="DK64" s="7" t="str">
        <f ca="1">IF(DK63="","",IFERROR(VLOOKUP($A64,INDIRECT(#REF!&amp;"!$A$6:$C$200"),3,0),0))</f>
        <v/>
      </c>
    </row>
    <row r="65" spans="1:115">
      <c r="A65" s="6" t="s">
        <v>67</v>
      </c>
      <c r="B65" s="7">
        <v>0</v>
      </c>
      <c r="C65" s="7">
        <v>1.4285714285714287E-5</v>
      </c>
      <c r="D65" s="7">
        <v>0</v>
      </c>
      <c r="E65" s="7">
        <v>1.4285714285714287E-5</v>
      </c>
      <c r="F65" s="7">
        <v>0</v>
      </c>
      <c r="G65" s="7">
        <v>0</v>
      </c>
      <c r="H65" s="7">
        <f t="shared" ca="1" si="5"/>
        <v>0</v>
      </c>
      <c r="I65" s="7">
        <f t="shared" ca="1" si="3"/>
        <v>0</v>
      </c>
      <c r="J65" s="7">
        <f t="shared" ca="1" si="4"/>
        <v>0</v>
      </c>
      <c r="K65" s="7">
        <f t="shared" ca="1" si="6"/>
        <v>0</v>
      </c>
      <c r="L65" s="7">
        <f t="shared" ca="1" si="7"/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1E-4</v>
      </c>
      <c r="Z65" s="8">
        <v>0</v>
      </c>
      <c r="AA65" s="8">
        <v>0</v>
      </c>
      <c r="AB65" s="8">
        <v>0</v>
      </c>
      <c r="AC65" s="8">
        <v>0</v>
      </c>
      <c r="AD65" s="8">
        <v>0</v>
      </c>
      <c r="AE65" s="8">
        <v>0</v>
      </c>
      <c r="AF65" s="8">
        <v>0</v>
      </c>
      <c r="AG65" s="8">
        <v>1E-4</v>
      </c>
      <c r="AH65" s="8">
        <v>0</v>
      </c>
      <c r="AI65" s="8">
        <v>0</v>
      </c>
      <c r="AJ65" s="8">
        <v>0</v>
      </c>
      <c r="AK65" s="8">
        <v>0</v>
      </c>
      <c r="AL65" s="8">
        <v>0</v>
      </c>
      <c r="AM65" s="7">
        <v>0</v>
      </c>
      <c r="AN65" s="7">
        <v>0</v>
      </c>
      <c r="AO65" s="7">
        <v>0</v>
      </c>
      <c r="AP65" s="7">
        <v>0</v>
      </c>
      <c r="AQ65" s="7">
        <v>0</v>
      </c>
      <c r="AR65" s="7">
        <v>0</v>
      </c>
      <c r="AS65" s="8">
        <v>0</v>
      </c>
      <c r="AT65" s="8">
        <v>0</v>
      </c>
      <c r="AU65" s="7">
        <v>0</v>
      </c>
      <c r="AV65" s="8">
        <v>0</v>
      </c>
      <c r="AW65" s="7">
        <v>0</v>
      </c>
      <c r="AX65" s="7">
        <v>0</v>
      </c>
      <c r="AY65" s="7">
        <v>0</v>
      </c>
      <c r="AZ65" s="7">
        <v>0</v>
      </c>
      <c r="BA65" s="7">
        <v>0</v>
      </c>
      <c r="BB65" s="7">
        <v>0</v>
      </c>
      <c r="BC65" s="7">
        <v>0</v>
      </c>
      <c r="BD65" s="7">
        <v>0</v>
      </c>
      <c r="BE65" s="7">
        <f ca="1">IFERROR(VLOOKUP($A65,INDIRECT(#REF!&amp;"!$A$6:$C$200"),3,0),0)</f>
        <v>0</v>
      </c>
      <c r="BF65" s="8">
        <f ca="1">IFERROR(VLOOKUP($A65,INDIRECT(#REF!&amp;"!$A$6:$C$200"),3,0),0)</f>
        <v>0</v>
      </c>
      <c r="BG65" s="8">
        <f ca="1">IFERROR(VLOOKUP($A65,INDIRECT(#REF!&amp;"!$A$6:$C$200"),3,0),0)</f>
        <v>0</v>
      </c>
      <c r="BH65" s="8">
        <f ca="1">IFERROR(VLOOKUP($A65,INDIRECT(#REF!&amp;"!$A$6:$C$200"),3,0),0)</f>
        <v>0</v>
      </c>
      <c r="BI65" s="8">
        <f ca="1">IFERROR(VLOOKUP($A65,INDIRECT(#REF!&amp;"!$A$6:$C$200"),3,0),0)</f>
        <v>0</v>
      </c>
      <c r="BJ65" s="8">
        <f ca="1">IFERROR(VLOOKUP($A65,INDIRECT(#REF!&amp;"!$A$6:$C$200"),3,0),0)</f>
        <v>0</v>
      </c>
      <c r="BK65" s="8">
        <f ca="1">IFERROR(VLOOKUP($A65,INDIRECT(#REF!&amp;"!$A$6:$C$200"),3,0),0)</f>
        <v>0</v>
      </c>
      <c r="BL65" s="8">
        <f ca="1">IFERROR(VLOOKUP($A65,INDIRECT(#REF!&amp;"!$A$6:$C$200"),3,0),0)</f>
        <v>0</v>
      </c>
      <c r="BM65" s="8">
        <f ca="1">IFERROR(VLOOKUP($A65,INDIRECT(#REF!&amp;"!$A$6:$C$200"),3,0),0)</f>
        <v>0</v>
      </c>
      <c r="BN65" s="8">
        <f ca="1">IFERROR(VLOOKUP($A65,INDIRECT(#REF!&amp;"!$A$6:$C$200"),3,0),0)</f>
        <v>0</v>
      </c>
      <c r="BO65" s="8">
        <f ca="1">IFERROR(VLOOKUP($A65,INDIRECT(#REF!&amp;"!$A$6:$C$200"),3,0),0)</f>
        <v>0</v>
      </c>
      <c r="BP65" s="7">
        <f ca="1">IFERROR(VLOOKUP($A65,INDIRECT(#REF!&amp;"!$A$6:$C$200"),3,0),0)</f>
        <v>0</v>
      </c>
      <c r="BQ65" s="7">
        <f ca="1">IFERROR(VLOOKUP($A65,INDIRECT(#REF!&amp;"!$A$6:$C$200"),3,0),0)</f>
        <v>0</v>
      </c>
      <c r="BR65" s="7">
        <f ca="1">IFERROR(VLOOKUP($A65,INDIRECT(#REF!&amp;"!$A$6:$C$200"),3,0),0)</f>
        <v>0</v>
      </c>
      <c r="BS65" s="7">
        <f ca="1">IFERROR(VLOOKUP($A65,INDIRECT(#REF!&amp;"!$A$6:$C$200"),3,0),0)</f>
        <v>0</v>
      </c>
      <c r="BT65" s="7">
        <f ca="1">IFERROR(VLOOKUP($A65,INDIRECT(#REF!&amp;"!$A$6:$C$200"),3,0),0)</f>
        <v>0</v>
      </c>
      <c r="BU65" s="7">
        <f ca="1">IFERROR(VLOOKUP($A65,INDIRECT(#REF!&amp;"!$A$6:$C$200"),3,0),0)</f>
        <v>0</v>
      </c>
      <c r="BV65" s="7">
        <f ca="1">IFERROR(VLOOKUP($A65,INDIRECT(#REF!&amp;"!$A$6:$C$200"),3,0),0)</f>
        <v>0</v>
      </c>
      <c r="BW65" s="7">
        <f ca="1">IFERROR(VLOOKUP($A65,INDIRECT(#REF!&amp;"!$A$6:$C$200"),3,0),0)</f>
        <v>0</v>
      </c>
      <c r="BX65" s="7">
        <f ca="1">IFERROR(VLOOKUP($A65,INDIRECT(#REF!&amp;"!$A$6:$C$200"),3,0),0)</f>
        <v>0</v>
      </c>
      <c r="BY65" s="7">
        <f ca="1">IFERROR(VLOOKUP($A65,INDIRECT(#REF!&amp;"!$A$6:$C$200"),3,0),0)</f>
        <v>0</v>
      </c>
      <c r="BZ65" s="7">
        <f ca="1">IFERROR(VLOOKUP($A65,INDIRECT(#REF!&amp;"!$A$6:$C$200"),3,0),0)</f>
        <v>0</v>
      </c>
      <c r="CA65" s="7">
        <f ca="1">IFERROR(VLOOKUP($A65,INDIRECT(#REF!&amp;"!$A$6:$C$200"),3,0),0)</f>
        <v>0</v>
      </c>
      <c r="CB65" s="7">
        <f ca="1">IFERROR(VLOOKUP($A65,INDIRECT(#REF!&amp;"!$A$6:$C$200"),3,0),0)</f>
        <v>0</v>
      </c>
      <c r="CC65" s="7">
        <f ca="1">IFERROR(VLOOKUP($A65,INDIRECT(#REF!&amp;"!$A$6:$C$200"),3,0),0)</f>
        <v>0</v>
      </c>
      <c r="CD65" s="7" t="str">
        <f ca="1">IF(CD64="","",IFERROR(VLOOKUP($A65,INDIRECT(#REF!&amp;"!$A$6:$C$200"),3,0),0))</f>
        <v/>
      </c>
      <c r="CE65" s="7" t="str">
        <f ca="1">IF(CE64="","",IFERROR(VLOOKUP($A65,INDIRECT(#REF!&amp;"!$A$6:$C$200"),3,0),0))</f>
        <v/>
      </c>
      <c r="CF65" s="7" t="str">
        <f ca="1">IF(CF64="","",IFERROR(VLOOKUP($A65,INDIRECT(#REF!&amp;"!$A$6:$C$200"),3,0),0))</f>
        <v/>
      </c>
      <c r="CG65" s="7" t="str">
        <f ca="1">IF(CG64="","",IFERROR(VLOOKUP($A65,INDIRECT(#REF!&amp;"!$A$6:$C$200"),3,0),0))</f>
        <v/>
      </c>
      <c r="CH65" s="7" t="str">
        <f ca="1">IF(CH64="","",IFERROR(VLOOKUP($A65,INDIRECT(#REF!&amp;"!$A$6:$C$200"),3,0),0))</f>
        <v/>
      </c>
      <c r="CI65" s="7" t="str">
        <f ca="1">IF(CI64="","",IFERROR(VLOOKUP($A65,INDIRECT(#REF!&amp;"!$A$6:$C$200"),3,0),0))</f>
        <v/>
      </c>
      <c r="CJ65" s="7" t="str">
        <f ca="1">IF(CJ64="","",IFERROR(VLOOKUP($A65,INDIRECT(#REF!&amp;"!$A$6:$C$200"),3,0),0))</f>
        <v/>
      </c>
      <c r="CK65" s="7" t="str">
        <f ca="1">IF(CK64="","",IFERROR(VLOOKUP($A65,INDIRECT(#REF!&amp;"!$A$6:$C$200"),3,0),0))</f>
        <v/>
      </c>
      <c r="CL65" s="7" t="str">
        <f ca="1">IF(CL64="","",IFERROR(VLOOKUP($A65,INDIRECT(#REF!&amp;"!$A$6:$C$200"),3,0),0))</f>
        <v/>
      </c>
      <c r="CM65" s="7" t="str">
        <f ca="1">IF(CM64="","",IFERROR(VLOOKUP($A65,INDIRECT(#REF!&amp;"!$A$6:$C$200"),3,0),0))</f>
        <v/>
      </c>
      <c r="CN65" s="7" t="str">
        <f ca="1">IF(CN64="","",IFERROR(VLOOKUP($A65,INDIRECT(#REF!&amp;"!$A$6:$C$200"),3,0),0))</f>
        <v/>
      </c>
      <c r="CO65" s="7" t="str">
        <f ca="1">IF(CO64="","",IFERROR(VLOOKUP($A65,INDIRECT(#REF!&amp;"!$A$6:$C$200"),3,0),0))</f>
        <v/>
      </c>
      <c r="CP65" s="7" t="str">
        <f ca="1">IF(CP64="","",IFERROR(VLOOKUP($A65,INDIRECT(#REF!&amp;"!$A$6:$C$200"),3,0),0))</f>
        <v/>
      </c>
      <c r="CQ65" s="7" t="str">
        <f ca="1">IF(CQ64="","",IFERROR(VLOOKUP($A65,INDIRECT(#REF!&amp;"!$A$6:$C$200"),3,0),0))</f>
        <v/>
      </c>
      <c r="CR65" s="7" t="str">
        <f ca="1">IF(CR64="","",IFERROR(VLOOKUP($A65,INDIRECT(#REF!&amp;"!$A$6:$C$200"),3,0),0))</f>
        <v/>
      </c>
      <c r="CS65" s="7" t="str">
        <f ca="1">IF(CS64="","",IFERROR(VLOOKUP($A65,INDIRECT(#REF!&amp;"!$A$6:$C$200"),3,0),0))</f>
        <v/>
      </c>
      <c r="CT65" s="7" t="str">
        <f ca="1">IF(CT64="","",IFERROR(VLOOKUP($A65,INDIRECT(#REF!&amp;"!$A$6:$C$200"),3,0),0))</f>
        <v/>
      </c>
      <c r="CU65" s="7" t="str">
        <f ca="1">IF(CU64="","",IFERROR(VLOOKUP($A65,INDIRECT(#REF!&amp;"!$A$6:$C$200"),3,0),0))</f>
        <v/>
      </c>
      <c r="CV65" s="7" t="str">
        <f ca="1">IF(CV64="","",IFERROR(VLOOKUP($A65,INDIRECT(#REF!&amp;"!$A$6:$C$200"),3,0),0))</f>
        <v/>
      </c>
      <c r="CW65" s="7" t="str">
        <f ca="1">IF(CW64="","",IFERROR(VLOOKUP($A65,INDIRECT(#REF!&amp;"!$A$6:$C$200"),3,0),0))</f>
        <v/>
      </c>
      <c r="CX65" s="7" t="str">
        <f ca="1">IF(CX64="","",IFERROR(VLOOKUP($A65,INDIRECT(#REF!&amp;"!$A$6:$C$200"),3,0),0))</f>
        <v/>
      </c>
      <c r="CY65" s="7" t="str">
        <f ca="1">IF(CY64="","",IFERROR(VLOOKUP($A65,INDIRECT(#REF!&amp;"!$A$6:$C$200"),3,0),0))</f>
        <v/>
      </c>
      <c r="CZ65" s="7" t="str">
        <f ca="1">IF(CZ64="","",IFERROR(VLOOKUP($A65,INDIRECT(#REF!&amp;"!$A$6:$C$200"),3,0),0))</f>
        <v/>
      </c>
      <c r="DA65" s="7" t="str">
        <f ca="1">IF(DA64="","",IFERROR(VLOOKUP($A65,INDIRECT(#REF!&amp;"!$A$6:$C$200"),3,0),0))</f>
        <v/>
      </c>
      <c r="DB65" s="7" t="str">
        <f ca="1">IF(DB64="","",IFERROR(VLOOKUP($A65,INDIRECT(#REF!&amp;"!$A$6:$C$200"),3,0),0))</f>
        <v/>
      </c>
      <c r="DC65" s="7" t="str">
        <f ca="1">IF(DC64="","",IFERROR(VLOOKUP($A65,INDIRECT(#REF!&amp;"!$A$6:$C$200"),3,0),0))</f>
        <v/>
      </c>
      <c r="DD65" s="7" t="str">
        <f ca="1">IF(DD64="","",IFERROR(VLOOKUP($A65,INDIRECT(#REF!&amp;"!$A$6:$C$200"),3,0),0))</f>
        <v/>
      </c>
      <c r="DE65" s="7" t="str">
        <f ca="1">IF(DE64="","",IFERROR(VLOOKUP($A65,INDIRECT(#REF!&amp;"!$A$6:$C$200"),3,0),0))</f>
        <v/>
      </c>
      <c r="DF65" s="7" t="str">
        <f ca="1">IF(DF64="","",IFERROR(VLOOKUP($A65,INDIRECT(#REF!&amp;"!$A$6:$C$200"),3,0),0))</f>
        <v/>
      </c>
      <c r="DG65" s="7" t="str">
        <f ca="1">IF(DG64="","",IFERROR(VLOOKUP($A65,INDIRECT(#REF!&amp;"!$A$6:$C$200"),3,0),0))</f>
        <v/>
      </c>
      <c r="DH65" s="7" t="str">
        <f ca="1">IF(DH64="","",IFERROR(VLOOKUP($A65,INDIRECT(#REF!&amp;"!$A$6:$C$200"),3,0),0))</f>
        <v/>
      </c>
      <c r="DI65" s="7" t="str">
        <f ca="1">IF(DI64="","",IFERROR(VLOOKUP($A65,INDIRECT(#REF!&amp;"!$A$6:$C$200"),3,0),0))</f>
        <v/>
      </c>
      <c r="DJ65" s="7" t="str">
        <f ca="1">IF(DJ64="","",IFERROR(VLOOKUP($A65,INDIRECT(#REF!&amp;"!$A$6:$C$200"),3,0),0))</f>
        <v/>
      </c>
      <c r="DK65" s="7" t="str">
        <f ca="1">IF(DK64="","",IFERROR(VLOOKUP($A65,INDIRECT(#REF!&amp;"!$A$6:$C$200"),3,0),0))</f>
        <v/>
      </c>
    </row>
    <row r="66" spans="1:115">
      <c r="A66" s="6" t="s">
        <v>68</v>
      </c>
      <c r="B66" s="7">
        <v>1.6666666666666667E-5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f t="shared" ca="1" si="5"/>
        <v>0</v>
      </c>
      <c r="I66" s="7">
        <f t="shared" ca="1" si="3"/>
        <v>0</v>
      </c>
      <c r="J66" s="7">
        <f t="shared" ca="1" si="4"/>
        <v>0</v>
      </c>
      <c r="K66" s="7">
        <f t="shared" ca="1" si="6"/>
        <v>0</v>
      </c>
      <c r="L66" s="7">
        <f t="shared" ca="1" si="7"/>
        <v>0</v>
      </c>
      <c r="M66" s="8">
        <v>0</v>
      </c>
      <c r="N66" s="8">
        <v>0</v>
      </c>
      <c r="O66" s="8">
        <v>0</v>
      </c>
      <c r="P66" s="8">
        <v>0</v>
      </c>
      <c r="Q66" s="8">
        <v>1E-4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>
        <v>0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7">
        <v>0</v>
      </c>
      <c r="AN66" s="7">
        <v>0</v>
      </c>
      <c r="AO66" s="8">
        <v>0</v>
      </c>
      <c r="AP66" s="7">
        <v>0</v>
      </c>
      <c r="AQ66" s="8">
        <v>0</v>
      </c>
      <c r="AR66" s="8">
        <v>0</v>
      </c>
      <c r="AS66" s="8">
        <v>0</v>
      </c>
      <c r="AT66" s="7">
        <v>0</v>
      </c>
      <c r="AU66" s="8">
        <v>0</v>
      </c>
      <c r="AV66" s="7">
        <v>0</v>
      </c>
      <c r="AW66" s="7">
        <v>0</v>
      </c>
      <c r="AX66" s="7">
        <v>0</v>
      </c>
      <c r="AY66" s="7">
        <v>0</v>
      </c>
      <c r="AZ66" s="7">
        <v>0</v>
      </c>
      <c r="BA66" s="7">
        <v>0</v>
      </c>
      <c r="BB66" s="8">
        <v>0</v>
      </c>
      <c r="BC66" s="7">
        <v>0</v>
      </c>
      <c r="BD66" s="7">
        <v>0</v>
      </c>
      <c r="BE66" s="8">
        <f ca="1">IFERROR(VLOOKUP($A66,INDIRECT(#REF!&amp;"!$A$6:$C$200"),3,0),0)</f>
        <v>0</v>
      </c>
      <c r="BF66" s="7">
        <f ca="1">IFERROR(VLOOKUP($A66,INDIRECT(#REF!&amp;"!$A$6:$C$200"),3,0),0)</f>
        <v>0</v>
      </c>
      <c r="BG66" s="8">
        <f ca="1">IFERROR(VLOOKUP($A66,INDIRECT(#REF!&amp;"!$A$6:$C$200"),3,0),0)</f>
        <v>0</v>
      </c>
      <c r="BH66" s="8">
        <f ca="1">IFERROR(VLOOKUP($A66,INDIRECT(#REF!&amp;"!$A$6:$C$200"),3,0),0)</f>
        <v>0</v>
      </c>
      <c r="BI66" s="8">
        <f ca="1">IFERROR(VLOOKUP($A66,INDIRECT(#REF!&amp;"!$A$6:$C$200"),3,0),0)</f>
        <v>0</v>
      </c>
      <c r="BJ66" s="8">
        <f ca="1">IFERROR(VLOOKUP($A66,INDIRECT(#REF!&amp;"!$A$6:$C$200"),3,0),0)</f>
        <v>0</v>
      </c>
      <c r="BK66" s="8">
        <f ca="1">IFERROR(VLOOKUP($A66,INDIRECT(#REF!&amp;"!$A$6:$C$200"),3,0),0)</f>
        <v>0</v>
      </c>
      <c r="BL66" s="8">
        <f ca="1">IFERROR(VLOOKUP($A66,INDIRECT(#REF!&amp;"!$A$6:$C$200"),3,0),0)</f>
        <v>0</v>
      </c>
      <c r="BM66" s="8">
        <f ca="1">IFERROR(VLOOKUP($A66,INDIRECT(#REF!&amp;"!$A$6:$C$200"),3,0),0)</f>
        <v>0</v>
      </c>
      <c r="BN66" s="8">
        <f ca="1">IFERROR(VLOOKUP($A66,INDIRECT(#REF!&amp;"!$A$6:$C$200"),3,0),0)</f>
        <v>0</v>
      </c>
      <c r="BO66" s="8">
        <f ca="1">IFERROR(VLOOKUP($A66,INDIRECT(#REF!&amp;"!$A$6:$C$200"),3,0),0)</f>
        <v>0</v>
      </c>
      <c r="BP66" s="7">
        <f ca="1">IFERROR(VLOOKUP($A66,INDIRECT(#REF!&amp;"!$A$6:$C$200"),3,0),0)</f>
        <v>0</v>
      </c>
      <c r="BQ66" s="7">
        <f ca="1">IFERROR(VLOOKUP($A66,INDIRECT(#REF!&amp;"!$A$6:$C$200"),3,0),0)</f>
        <v>0</v>
      </c>
      <c r="BR66" s="7">
        <f ca="1">IFERROR(VLOOKUP($A66,INDIRECT(#REF!&amp;"!$A$6:$C$200"),3,0),0)</f>
        <v>0</v>
      </c>
      <c r="BS66" s="7">
        <f ca="1">IFERROR(VLOOKUP($A66,INDIRECT(#REF!&amp;"!$A$6:$C$200"),3,0),0)</f>
        <v>0</v>
      </c>
      <c r="BT66" s="7">
        <f ca="1">IFERROR(VLOOKUP($A66,INDIRECT(#REF!&amp;"!$A$6:$C$200"),3,0),0)</f>
        <v>0</v>
      </c>
      <c r="BU66" s="7">
        <f ca="1">IFERROR(VLOOKUP($A66,INDIRECT(#REF!&amp;"!$A$6:$C$200"),3,0),0)</f>
        <v>0</v>
      </c>
      <c r="BV66" s="7">
        <f ca="1">IFERROR(VLOOKUP($A66,INDIRECT(#REF!&amp;"!$A$6:$C$200"),3,0),0)</f>
        <v>0</v>
      </c>
      <c r="BW66" s="7">
        <f ca="1">IFERROR(VLOOKUP($A66,INDIRECT(#REF!&amp;"!$A$6:$C$200"),3,0),0)</f>
        <v>0</v>
      </c>
      <c r="BX66" s="7">
        <f ca="1">IFERROR(VLOOKUP($A66,INDIRECT(#REF!&amp;"!$A$6:$C$200"),3,0),0)</f>
        <v>0</v>
      </c>
      <c r="BY66" s="7">
        <f ca="1">IFERROR(VLOOKUP($A66,INDIRECT(#REF!&amp;"!$A$6:$C$200"),3,0),0)</f>
        <v>0</v>
      </c>
      <c r="BZ66" s="7">
        <f ca="1">IFERROR(VLOOKUP($A66,INDIRECT(#REF!&amp;"!$A$6:$C$200"),3,0),0)</f>
        <v>0</v>
      </c>
      <c r="CA66" s="7">
        <f ca="1">IFERROR(VLOOKUP($A66,INDIRECT(#REF!&amp;"!$A$6:$C$200"),3,0),0)</f>
        <v>0</v>
      </c>
      <c r="CB66" s="7">
        <f ca="1">IFERROR(VLOOKUP($A66,INDIRECT(#REF!&amp;"!$A$6:$C$200"),3,0),0)</f>
        <v>0</v>
      </c>
      <c r="CC66" s="7">
        <f ca="1">IFERROR(VLOOKUP($A66,INDIRECT(#REF!&amp;"!$A$6:$C$200"),3,0),0)</f>
        <v>0</v>
      </c>
      <c r="CD66" s="7" t="str">
        <f ca="1">IF(CD65="","",IFERROR(VLOOKUP($A66,INDIRECT(#REF!&amp;"!$A$6:$C$200"),3,0),0))</f>
        <v/>
      </c>
      <c r="CE66" s="7" t="str">
        <f ca="1">IF(CE65="","",IFERROR(VLOOKUP($A66,INDIRECT(#REF!&amp;"!$A$6:$C$200"),3,0),0))</f>
        <v/>
      </c>
      <c r="CF66" s="7" t="str">
        <f ca="1">IF(CF65="","",IFERROR(VLOOKUP($A66,INDIRECT(#REF!&amp;"!$A$6:$C$200"),3,0),0))</f>
        <v/>
      </c>
      <c r="CG66" s="7" t="str">
        <f ca="1">IF(CG65="","",IFERROR(VLOOKUP($A66,INDIRECT(#REF!&amp;"!$A$6:$C$200"),3,0),0))</f>
        <v/>
      </c>
      <c r="CH66" s="7" t="str">
        <f ca="1">IF(CH65="","",IFERROR(VLOOKUP($A66,INDIRECT(#REF!&amp;"!$A$6:$C$200"),3,0),0))</f>
        <v/>
      </c>
      <c r="CI66" s="7" t="str">
        <f ca="1">IF(CI65="","",IFERROR(VLOOKUP($A66,INDIRECT(#REF!&amp;"!$A$6:$C$200"),3,0),0))</f>
        <v/>
      </c>
      <c r="CJ66" s="7" t="str">
        <f ca="1">IF(CJ65="","",IFERROR(VLOOKUP($A66,INDIRECT(#REF!&amp;"!$A$6:$C$200"),3,0),0))</f>
        <v/>
      </c>
      <c r="CK66" s="7" t="str">
        <f ca="1">IF(CK65="","",IFERROR(VLOOKUP($A66,INDIRECT(#REF!&amp;"!$A$6:$C$200"),3,0),0))</f>
        <v/>
      </c>
      <c r="CL66" s="7" t="str">
        <f ca="1">IF(CL65="","",IFERROR(VLOOKUP($A66,INDIRECT(#REF!&amp;"!$A$6:$C$200"),3,0),0))</f>
        <v/>
      </c>
      <c r="CM66" s="7" t="str">
        <f ca="1">IF(CM65="","",IFERROR(VLOOKUP($A66,INDIRECT(#REF!&amp;"!$A$6:$C$200"),3,0),0))</f>
        <v/>
      </c>
      <c r="CN66" s="7" t="str">
        <f ca="1">IF(CN65="","",IFERROR(VLOOKUP($A66,INDIRECT(#REF!&amp;"!$A$6:$C$200"),3,0),0))</f>
        <v/>
      </c>
      <c r="CO66" s="7" t="str">
        <f ca="1">IF(CO65="","",IFERROR(VLOOKUP($A66,INDIRECT(#REF!&amp;"!$A$6:$C$200"),3,0),0))</f>
        <v/>
      </c>
      <c r="CP66" s="7" t="str">
        <f ca="1">IF(CP65="","",IFERROR(VLOOKUP($A66,INDIRECT(#REF!&amp;"!$A$6:$C$200"),3,0),0))</f>
        <v/>
      </c>
      <c r="CQ66" s="7" t="str">
        <f ca="1">IF(CQ65="","",IFERROR(VLOOKUP($A66,INDIRECT(#REF!&amp;"!$A$6:$C$200"),3,0),0))</f>
        <v/>
      </c>
      <c r="CR66" s="7" t="str">
        <f ca="1">IF(CR65="","",IFERROR(VLOOKUP($A66,INDIRECT(#REF!&amp;"!$A$6:$C$200"),3,0),0))</f>
        <v/>
      </c>
      <c r="CS66" s="7" t="str">
        <f ca="1">IF(CS65="","",IFERROR(VLOOKUP($A66,INDIRECT(#REF!&amp;"!$A$6:$C$200"),3,0),0))</f>
        <v/>
      </c>
      <c r="CT66" s="7" t="str">
        <f ca="1">IF(CT65="","",IFERROR(VLOOKUP($A66,INDIRECT(#REF!&amp;"!$A$6:$C$200"),3,0),0))</f>
        <v/>
      </c>
      <c r="CU66" s="7" t="str">
        <f ca="1">IF(CU65="","",IFERROR(VLOOKUP($A66,INDIRECT(#REF!&amp;"!$A$6:$C$200"),3,0),0))</f>
        <v/>
      </c>
      <c r="CV66" s="7" t="str">
        <f ca="1">IF(CV65="","",IFERROR(VLOOKUP($A66,INDIRECT(#REF!&amp;"!$A$6:$C$200"),3,0),0))</f>
        <v/>
      </c>
      <c r="CW66" s="7" t="str">
        <f ca="1">IF(CW65="","",IFERROR(VLOOKUP($A66,INDIRECT(#REF!&amp;"!$A$6:$C$200"),3,0),0))</f>
        <v/>
      </c>
      <c r="CX66" s="7" t="str">
        <f ca="1">IF(CX65="","",IFERROR(VLOOKUP($A66,INDIRECT(#REF!&amp;"!$A$6:$C$200"),3,0),0))</f>
        <v/>
      </c>
      <c r="CY66" s="7" t="str">
        <f ca="1">IF(CY65="","",IFERROR(VLOOKUP($A66,INDIRECT(#REF!&amp;"!$A$6:$C$200"),3,0),0))</f>
        <v/>
      </c>
      <c r="CZ66" s="7" t="str">
        <f ca="1">IF(CZ65="","",IFERROR(VLOOKUP($A66,INDIRECT(#REF!&amp;"!$A$6:$C$200"),3,0),0))</f>
        <v/>
      </c>
      <c r="DA66" s="7" t="str">
        <f ca="1">IF(DA65="","",IFERROR(VLOOKUP($A66,INDIRECT(#REF!&amp;"!$A$6:$C$200"),3,0),0))</f>
        <v/>
      </c>
      <c r="DB66" s="7" t="str">
        <f ca="1">IF(DB65="","",IFERROR(VLOOKUP($A66,INDIRECT(#REF!&amp;"!$A$6:$C$200"),3,0),0))</f>
        <v/>
      </c>
      <c r="DC66" s="7" t="str">
        <f ca="1">IF(DC65="","",IFERROR(VLOOKUP($A66,INDIRECT(#REF!&amp;"!$A$6:$C$200"),3,0),0))</f>
        <v/>
      </c>
      <c r="DD66" s="7" t="str">
        <f ca="1">IF(DD65="","",IFERROR(VLOOKUP($A66,INDIRECT(#REF!&amp;"!$A$6:$C$200"),3,0),0))</f>
        <v/>
      </c>
      <c r="DE66" s="7" t="str">
        <f ca="1">IF(DE65="","",IFERROR(VLOOKUP($A66,INDIRECT(#REF!&amp;"!$A$6:$C$200"),3,0),0))</f>
        <v/>
      </c>
      <c r="DF66" s="7" t="str">
        <f ca="1">IF(DF65="","",IFERROR(VLOOKUP($A66,INDIRECT(#REF!&amp;"!$A$6:$C$200"),3,0),0))</f>
        <v/>
      </c>
      <c r="DG66" s="7" t="str">
        <f ca="1">IF(DG65="","",IFERROR(VLOOKUP($A66,INDIRECT(#REF!&amp;"!$A$6:$C$200"),3,0),0))</f>
        <v/>
      </c>
      <c r="DH66" s="7" t="str">
        <f ca="1">IF(DH65="","",IFERROR(VLOOKUP($A66,INDIRECT(#REF!&amp;"!$A$6:$C$200"),3,0),0))</f>
        <v/>
      </c>
      <c r="DI66" s="7" t="str">
        <f ca="1">IF(DI65="","",IFERROR(VLOOKUP($A66,INDIRECT(#REF!&amp;"!$A$6:$C$200"),3,0),0))</f>
        <v/>
      </c>
      <c r="DJ66" s="7" t="str">
        <f ca="1">IF(DJ65="","",IFERROR(VLOOKUP($A66,INDIRECT(#REF!&amp;"!$A$6:$C$200"),3,0),0))</f>
        <v/>
      </c>
      <c r="DK66" s="7" t="str">
        <f ca="1">IF(DK65="","",IFERROR(VLOOKUP($A66,INDIRECT(#REF!&amp;"!$A$6:$C$200"),3,0),0))</f>
        <v/>
      </c>
    </row>
    <row r="67" spans="1:115">
      <c r="A67" s="6" t="s">
        <v>69</v>
      </c>
      <c r="B67" s="7">
        <v>0</v>
      </c>
      <c r="C67" s="7">
        <v>0</v>
      </c>
      <c r="D67" s="7">
        <v>1.4285714285714287E-5</v>
      </c>
      <c r="E67" s="7">
        <v>0</v>
      </c>
      <c r="F67" s="7">
        <v>0</v>
      </c>
      <c r="G67" s="7">
        <v>1.4285714285714287E-5</v>
      </c>
      <c r="H67" s="7">
        <f t="shared" ca="1" si="5"/>
        <v>0</v>
      </c>
      <c r="I67" s="7">
        <f t="shared" ref="I67" ca="1" si="8">AVERAGE(BI67:BO67)</f>
        <v>0</v>
      </c>
      <c r="J67" s="7">
        <f t="shared" ref="J67" ca="1" si="9">AVERAGE(BP67:BV67)</f>
        <v>0</v>
      </c>
      <c r="K67" s="7">
        <f t="shared" ca="1" si="6"/>
        <v>0</v>
      </c>
      <c r="L67" s="7">
        <f t="shared" ca="1" si="7"/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1E-4</v>
      </c>
      <c r="AE67" s="8">
        <v>0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7">
        <v>0</v>
      </c>
      <c r="AN67" s="8">
        <v>0</v>
      </c>
      <c r="AO67" s="8">
        <v>0</v>
      </c>
      <c r="AP67" s="8">
        <v>0</v>
      </c>
      <c r="AQ67" s="8">
        <v>0</v>
      </c>
      <c r="AR67" s="7">
        <v>0</v>
      </c>
      <c r="AS67" s="7">
        <v>0</v>
      </c>
      <c r="AT67" s="8">
        <v>0</v>
      </c>
      <c r="AU67" s="7">
        <v>0</v>
      </c>
      <c r="AV67" s="8">
        <v>0</v>
      </c>
      <c r="AW67" s="8">
        <v>0</v>
      </c>
      <c r="AX67" s="7">
        <v>1E-4</v>
      </c>
      <c r="AY67" s="7">
        <v>0</v>
      </c>
      <c r="AZ67" s="7">
        <v>0</v>
      </c>
      <c r="BA67" s="8">
        <v>0</v>
      </c>
      <c r="BB67" s="7">
        <v>0</v>
      </c>
      <c r="BC67" s="7">
        <v>0</v>
      </c>
      <c r="BD67" s="7">
        <v>0</v>
      </c>
      <c r="BE67" s="8">
        <f ca="1">IFERROR(VLOOKUP($A67,INDIRECT(#REF!&amp;"!$A$6:$C$200"),3,0),0)</f>
        <v>0</v>
      </c>
      <c r="BF67" s="7">
        <f ca="1">IFERROR(VLOOKUP($A67,INDIRECT(#REF!&amp;"!$A$6:$C$200"),3,0),0)</f>
        <v>0</v>
      </c>
      <c r="BG67" s="8">
        <f ca="1">IFERROR(VLOOKUP($A67,INDIRECT(#REF!&amp;"!$A$6:$C$200"),3,0),0)</f>
        <v>0</v>
      </c>
      <c r="BH67" s="8">
        <f ca="1">IFERROR(VLOOKUP($A67,INDIRECT(#REF!&amp;"!$A$6:$C$200"),3,0),0)</f>
        <v>0</v>
      </c>
      <c r="BI67" s="8">
        <f ca="1">IFERROR(VLOOKUP($A67,INDIRECT(#REF!&amp;"!$A$6:$C$200"),3,0),0)</f>
        <v>0</v>
      </c>
      <c r="BJ67" s="8">
        <f ca="1">IFERROR(VLOOKUP($A67,INDIRECT(#REF!&amp;"!$A$6:$C$200"),3,0),0)</f>
        <v>0</v>
      </c>
      <c r="BK67" s="8">
        <f ca="1">IFERROR(VLOOKUP($A67,INDIRECT(#REF!&amp;"!$A$6:$C$200"),3,0),0)</f>
        <v>0</v>
      </c>
      <c r="BL67" s="8">
        <f ca="1">IFERROR(VLOOKUP($A67,INDIRECT(#REF!&amp;"!$A$6:$C$200"),3,0),0)</f>
        <v>0</v>
      </c>
      <c r="BM67" s="8">
        <f ca="1">IFERROR(VLOOKUP($A67,INDIRECT(#REF!&amp;"!$A$6:$C$200"),3,0),0)</f>
        <v>0</v>
      </c>
      <c r="BN67" s="8">
        <f ca="1">IFERROR(VLOOKUP($A67,INDIRECT(#REF!&amp;"!$A$6:$C$200"),3,0),0)</f>
        <v>0</v>
      </c>
      <c r="BO67" s="8">
        <f ca="1">IFERROR(VLOOKUP($A67,INDIRECT(#REF!&amp;"!$A$6:$C$200"),3,0),0)</f>
        <v>0</v>
      </c>
      <c r="BP67" s="7">
        <f ca="1">IFERROR(VLOOKUP($A67,INDIRECT(#REF!&amp;"!$A$6:$C$200"),3,0),0)</f>
        <v>0</v>
      </c>
      <c r="BQ67" s="7">
        <f ca="1">IFERROR(VLOOKUP($A67,INDIRECT(#REF!&amp;"!$A$6:$C$200"),3,0),0)</f>
        <v>0</v>
      </c>
      <c r="BR67" s="7">
        <f ca="1">IFERROR(VLOOKUP($A67,INDIRECT(#REF!&amp;"!$A$6:$C$200"),3,0),0)</f>
        <v>0</v>
      </c>
      <c r="BS67" s="8">
        <f ca="1">IFERROR(VLOOKUP($A67,INDIRECT(#REF!&amp;"!$A$6:$C$200"),3,0),0)</f>
        <v>0</v>
      </c>
      <c r="BT67" s="7">
        <f ca="1">IFERROR(VLOOKUP($A67,INDIRECT(#REF!&amp;"!$A$6:$C$200"),3,0),0)</f>
        <v>0</v>
      </c>
      <c r="BU67" s="7">
        <f ca="1">IFERROR(VLOOKUP($A67,INDIRECT(#REF!&amp;"!$A$6:$C$200"),3,0),0)</f>
        <v>0</v>
      </c>
      <c r="BV67" s="7">
        <f ca="1">IFERROR(VLOOKUP($A67,INDIRECT(#REF!&amp;"!$A$6:$C$200"),3,0),0)</f>
        <v>0</v>
      </c>
      <c r="BW67" s="7">
        <f ca="1">IFERROR(VLOOKUP($A67,INDIRECT(#REF!&amp;"!$A$6:$C$200"),3,0),0)</f>
        <v>0</v>
      </c>
      <c r="BX67" s="7">
        <f ca="1">IFERROR(VLOOKUP($A67,INDIRECT(#REF!&amp;"!$A$6:$C$200"),3,0),0)</f>
        <v>0</v>
      </c>
      <c r="BY67" s="7">
        <f ca="1">IFERROR(VLOOKUP($A67,INDIRECT(#REF!&amp;"!$A$6:$C$200"),3,0),0)</f>
        <v>0</v>
      </c>
      <c r="BZ67" s="7">
        <f ca="1">IFERROR(VLOOKUP($A67,INDIRECT(#REF!&amp;"!$A$6:$C$200"),3,0),0)</f>
        <v>0</v>
      </c>
      <c r="CA67" s="7">
        <f ca="1">IFERROR(VLOOKUP($A67,INDIRECT(#REF!&amp;"!$A$6:$C$200"),3,0),0)</f>
        <v>0</v>
      </c>
      <c r="CB67" s="7">
        <f ca="1">IFERROR(VLOOKUP($A67,INDIRECT(#REF!&amp;"!$A$6:$C$200"),3,0),0)</f>
        <v>0</v>
      </c>
      <c r="CC67" s="7">
        <f ca="1">IFERROR(VLOOKUP($A67,INDIRECT(#REF!&amp;"!$A$6:$C$200"),3,0),0)</f>
        <v>0</v>
      </c>
      <c r="CD67" s="7" t="str">
        <f ca="1">IF(CD66="","",IFERROR(VLOOKUP($A67,INDIRECT(#REF!&amp;"!$A$6:$C$200"),3,0),0))</f>
        <v/>
      </c>
      <c r="CE67" s="7" t="str">
        <f ca="1">IF(CE66="","",IFERROR(VLOOKUP($A67,INDIRECT(#REF!&amp;"!$A$6:$C$200"),3,0),0))</f>
        <v/>
      </c>
      <c r="CF67" s="7" t="str">
        <f ca="1">IF(CF66="","",IFERROR(VLOOKUP($A67,INDIRECT(#REF!&amp;"!$A$6:$C$200"),3,0),0))</f>
        <v/>
      </c>
      <c r="CG67" s="7" t="str">
        <f ca="1">IF(CG66="","",IFERROR(VLOOKUP($A67,INDIRECT(#REF!&amp;"!$A$6:$C$200"),3,0),0))</f>
        <v/>
      </c>
      <c r="CH67" s="7" t="str">
        <f ca="1">IF(CH66="","",IFERROR(VLOOKUP($A67,INDIRECT(#REF!&amp;"!$A$6:$C$200"),3,0),0))</f>
        <v/>
      </c>
      <c r="CI67" s="7" t="str">
        <f ca="1">IF(CI66="","",IFERROR(VLOOKUP($A67,INDIRECT(#REF!&amp;"!$A$6:$C$200"),3,0),0))</f>
        <v/>
      </c>
      <c r="CJ67" s="7" t="str">
        <f ca="1">IF(CJ66="","",IFERROR(VLOOKUP($A67,INDIRECT(#REF!&amp;"!$A$6:$C$200"),3,0),0))</f>
        <v/>
      </c>
      <c r="CK67" s="7" t="str">
        <f ca="1">IF(CK66="","",IFERROR(VLOOKUP($A67,INDIRECT(#REF!&amp;"!$A$6:$C$200"),3,0),0))</f>
        <v/>
      </c>
      <c r="CL67" s="7" t="str">
        <f ca="1">IF(CL66="","",IFERROR(VLOOKUP($A67,INDIRECT(#REF!&amp;"!$A$6:$C$200"),3,0),0))</f>
        <v/>
      </c>
      <c r="CM67" s="7" t="str">
        <f ca="1">IF(CM66="","",IFERROR(VLOOKUP($A67,INDIRECT(#REF!&amp;"!$A$6:$C$200"),3,0),0))</f>
        <v/>
      </c>
      <c r="CN67" s="7" t="str">
        <f ca="1">IF(CN66="","",IFERROR(VLOOKUP($A67,INDIRECT(#REF!&amp;"!$A$6:$C$200"),3,0),0))</f>
        <v/>
      </c>
      <c r="CO67" s="7" t="str">
        <f ca="1">IF(CO66="","",IFERROR(VLOOKUP($A67,INDIRECT(#REF!&amp;"!$A$6:$C$200"),3,0),0))</f>
        <v/>
      </c>
      <c r="CP67" s="7" t="str">
        <f ca="1">IF(CP66="","",IFERROR(VLOOKUP($A67,INDIRECT(#REF!&amp;"!$A$6:$C$200"),3,0),0))</f>
        <v/>
      </c>
      <c r="CQ67" s="7" t="str">
        <f ca="1">IF(CQ66="","",IFERROR(VLOOKUP($A67,INDIRECT(#REF!&amp;"!$A$6:$C$200"),3,0),0))</f>
        <v/>
      </c>
      <c r="CR67" s="7" t="str">
        <f ca="1">IF(CR66="","",IFERROR(VLOOKUP($A67,INDIRECT(#REF!&amp;"!$A$6:$C$200"),3,0),0))</f>
        <v/>
      </c>
      <c r="CS67" s="7" t="str">
        <f ca="1">IF(CS66="","",IFERROR(VLOOKUP($A67,INDIRECT(#REF!&amp;"!$A$6:$C$200"),3,0),0))</f>
        <v/>
      </c>
      <c r="CT67" s="7" t="str">
        <f ca="1">IF(CT66="","",IFERROR(VLOOKUP($A67,INDIRECT(#REF!&amp;"!$A$6:$C$200"),3,0),0))</f>
        <v/>
      </c>
      <c r="CU67" s="7" t="str">
        <f ca="1">IF(CU66="","",IFERROR(VLOOKUP($A67,INDIRECT(#REF!&amp;"!$A$6:$C$200"),3,0),0))</f>
        <v/>
      </c>
      <c r="CV67" s="7" t="str">
        <f ca="1">IF(CV66="","",IFERROR(VLOOKUP($A67,INDIRECT(#REF!&amp;"!$A$6:$C$200"),3,0),0))</f>
        <v/>
      </c>
      <c r="CW67" s="7" t="str">
        <f ca="1">IF(CW66="","",IFERROR(VLOOKUP($A67,INDIRECT(#REF!&amp;"!$A$6:$C$200"),3,0),0))</f>
        <v/>
      </c>
      <c r="CX67" s="7" t="str">
        <f ca="1">IF(CX66="","",IFERROR(VLOOKUP($A67,INDIRECT(#REF!&amp;"!$A$6:$C$200"),3,0),0))</f>
        <v/>
      </c>
      <c r="CY67" s="7" t="str">
        <f ca="1">IF(CY66="","",IFERROR(VLOOKUP($A67,INDIRECT(#REF!&amp;"!$A$6:$C$200"),3,0),0))</f>
        <v/>
      </c>
      <c r="CZ67" s="7" t="str">
        <f ca="1">IF(CZ66="","",IFERROR(VLOOKUP($A67,INDIRECT(#REF!&amp;"!$A$6:$C$200"),3,0),0))</f>
        <v/>
      </c>
      <c r="DA67" s="7" t="str">
        <f ca="1">IF(DA66="","",IFERROR(VLOOKUP($A67,INDIRECT(#REF!&amp;"!$A$6:$C$200"),3,0),0))</f>
        <v/>
      </c>
      <c r="DB67" s="7" t="str">
        <f ca="1">IF(DB66="","",IFERROR(VLOOKUP($A67,INDIRECT(#REF!&amp;"!$A$6:$C$200"),3,0),0))</f>
        <v/>
      </c>
      <c r="DC67" s="7" t="str">
        <f ca="1">IF(DC66="","",IFERROR(VLOOKUP($A67,INDIRECT(#REF!&amp;"!$A$6:$C$200"),3,0),0))</f>
        <v/>
      </c>
      <c r="DD67" s="7" t="str">
        <f ca="1">IF(DD66="","",IFERROR(VLOOKUP($A67,INDIRECT(#REF!&amp;"!$A$6:$C$200"),3,0),0))</f>
        <v/>
      </c>
      <c r="DE67" s="7" t="str">
        <f ca="1">IF(DE66="","",IFERROR(VLOOKUP($A67,INDIRECT(#REF!&amp;"!$A$6:$C$200"),3,0),0))</f>
        <v/>
      </c>
      <c r="DF67" s="7" t="str">
        <f ca="1">IF(DF66="","",IFERROR(VLOOKUP($A67,INDIRECT(#REF!&amp;"!$A$6:$C$200"),3,0),0))</f>
        <v/>
      </c>
      <c r="DG67" s="7" t="str">
        <f ca="1">IF(DG66="","",IFERROR(VLOOKUP($A67,INDIRECT(#REF!&amp;"!$A$6:$C$200"),3,0),0))</f>
        <v/>
      </c>
      <c r="DH67" s="7" t="str">
        <f ca="1">IF(DH66="","",IFERROR(VLOOKUP($A67,INDIRECT(#REF!&amp;"!$A$6:$C$200"),3,0),0))</f>
        <v/>
      </c>
      <c r="DI67" s="7" t="str">
        <f ca="1">IF(DI66="","",IFERROR(VLOOKUP($A67,INDIRECT(#REF!&amp;"!$A$6:$C$200"),3,0),0))</f>
        <v/>
      </c>
      <c r="DJ67" s="7" t="str">
        <f ca="1">IF(DJ66="","",IFERROR(VLOOKUP($A67,INDIRECT(#REF!&amp;"!$A$6:$C$200"),3,0),0))</f>
        <v/>
      </c>
      <c r="DK67" s="7" t="str">
        <f ca="1">IF(DK66="","",IFERROR(VLOOKUP($A67,INDIRECT(#REF!&amp;"!$A$6:$C$200"),3,0),0))</f>
        <v/>
      </c>
    </row>
    <row r="68" spans="1:115">
      <c r="A68" s="12" t="s">
        <v>70</v>
      </c>
      <c r="B68" s="10">
        <v>2.5766666666666681E-2</v>
      </c>
      <c r="C68" s="10">
        <v>1.9500000000000003E-2</v>
      </c>
      <c r="D68" s="10">
        <v>2.231428571428571E-2</v>
      </c>
      <c r="E68" s="10">
        <v>1.9299999999999991E-2</v>
      </c>
      <c r="F68" s="10">
        <v>1.612857142857143E-2</v>
      </c>
      <c r="G68" s="10">
        <v>1.5114285714285717E-2</v>
      </c>
      <c r="H68" s="10">
        <f t="shared" ref="H68" ca="1" si="10">SUM(H2:H67)</f>
        <v>6.0142857142857125E-3</v>
      </c>
      <c r="I68" s="10">
        <f t="shared" ref="I68:J68" ca="1" si="11">SUM(I2:I67)</f>
        <v>0</v>
      </c>
      <c r="J68" s="10">
        <f t="shared" ca="1" si="11"/>
        <v>0</v>
      </c>
      <c r="K68" s="10">
        <f t="shared" ref="K68:L68" ca="1" si="12">SUM(K2:K67)</f>
        <v>0</v>
      </c>
      <c r="L68" s="10">
        <f t="shared" ca="1" si="12"/>
        <v>0</v>
      </c>
      <c r="M68" s="11">
        <v>2.7999999999999997E-2</v>
      </c>
      <c r="N68" s="11">
        <v>2.9400000000000003E-2</v>
      </c>
      <c r="O68" s="11">
        <v>2.1999999999999985E-2</v>
      </c>
      <c r="P68" s="11">
        <v>2.8999999999999995E-2</v>
      </c>
      <c r="Q68" s="11">
        <v>2.4899999999999988E-2</v>
      </c>
      <c r="R68" s="11">
        <v>2.1299999999999989E-2</v>
      </c>
      <c r="S68" s="11">
        <v>1.9099999999999992E-2</v>
      </c>
      <c r="T68" s="11">
        <v>1.8199999999999997E-2</v>
      </c>
      <c r="U68" s="11">
        <v>1.8399999999999989E-2</v>
      </c>
      <c r="V68" s="11">
        <v>1.8199999999999997E-2</v>
      </c>
      <c r="W68" s="11">
        <v>1.9399999999999994E-2</v>
      </c>
      <c r="X68" s="11">
        <v>1.9399999999999994E-2</v>
      </c>
      <c r="Y68" s="11">
        <v>2.3799999999999998E-2</v>
      </c>
      <c r="Z68" s="11">
        <v>2.0499999999999994E-2</v>
      </c>
      <c r="AA68" s="11">
        <v>2.3799999999999998E-2</v>
      </c>
      <c r="AB68" s="11">
        <v>2.2199999999999991E-2</v>
      </c>
      <c r="AC68" s="11">
        <v>2.6099999999999998E-2</v>
      </c>
      <c r="AD68" s="11">
        <v>2.5299999999999989E-2</v>
      </c>
      <c r="AE68" s="11">
        <v>2.0299999999999992E-2</v>
      </c>
      <c r="AF68" s="11">
        <v>1.7999999999999995E-2</v>
      </c>
      <c r="AG68" s="11">
        <v>1.8199999999999997E-2</v>
      </c>
      <c r="AH68" s="11">
        <v>1.9899999999999991E-2</v>
      </c>
      <c r="AI68" s="11">
        <v>1.8499999999999989E-2</v>
      </c>
      <c r="AJ68" s="11">
        <v>1.9099999999999995E-2</v>
      </c>
      <c r="AK68" s="11">
        <v>1.8499999999999996E-2</v>
      </c>
      <c r="AL68" s="11">
        <v>2.0299999999999988E-2</v>
      </c>
      <c r="AM68" s="10">
        <v>2.0599999999999993E-2</v>
      </c>
      <c r="AN68" s="10">
        <v>1.8499999999999999E-2</v>
      </c>
      <c r="AO68" s="10">
        <v>1.4399999999999993E-2</v>
      </c>
      <c r="AP68" s="10">
        <v>1.4800000000000001E-2</v>
      </c>
      <c r="AQ68" s="10">
        <v>1.5699999999999999E-2</v>
      </c>
      <c r="AR68" s="10">
        <v>1.7899999999999985E-2</v>
      </c>
      <c r="AS68" s="10">
        <v>1.5899999999999994E-2</v>
      </c>
      <c r="AT68" s="10">
        <v>1.5699999999999992E-2</v>
      </c>
      <c r="AU68" s="10">
        <v>1.6199999999999999E-2</v>
      </c>
      <c r="AV68" s="10">
        <v>1.4199999999999997E-2</v>
      </c>
      <c r="AW68" s="10">
        <v>1.4599999999999998E-2</v>
      </c>
      <c r="AX68" s="10">
        <v>1.5399999999999994E-2</v>
      </c>
      <c r="AY68" s="10">
        <v>1.4199999999999997E-2</v>
      </c>
      <c r="AZ68" s="10">
        <v>1.3699999999999992E-2</v>
      </c>
      <c r="BA68" s="10">
        <v>1.7499999999999995E-2</v>
      </c>
      <c r="BB68" s="10">
        <v>1.4999999999999994E-2</v>
      </c>
      <c r="BC68" s="10">
        <v>1.3499999999999995E-2</v>
      </c>
      <c r="BD68" s="10">
        <v>1.3599999999999991E-2</v>
      </c>
      <c r="BE68" s="10">
        <f t="shared" ref="BE68:CB68" ca="1" si="13">SUM(BE2:BE67)</f>
        <v>0</v>
      </c>
      <c r="BF68" s="10">
        <f t="shared" ca="1" si="13"/>
        <v>0</v>
      </c>
      <c r="BG68" s="10">
        <f t="shared" ca="1" si="13"/>
        <v>0</v>
      </c>
      <c r="BH68" s="11">
        <f t="shared" ca="1" si="13"/>
        <v>0</v>
      </c>
      <c r="BI68" s="11">
        <f t="shared" ca="1" si="13"/>
        <v>0</v>
      </c>
      <c r="BJ68" s="11">
        <f t="shared" ca="1" si="13"/>
        <v>0</v>
      </c>
      <c r="BK68" s="11">
        <f t="shared" ca="1" si="13"/>
        <v>0</v>
      </c>
      <c r="BL68" s="11">
        <f t="shared" ca="1" si="13"/>
        <v>0</v>
      </c>
      <c r="BM68" s="11">
        <f t="shared" ca="1" si="13"/>
        <v>0</v>
      </c>
      <c r="BN68" s="11">
        <f t="shared" ca="1" si="13"/>
        <v>0</v>
      </c>
      <c r="BO68" s="11">
        <f t="shared" ca="1" si="13"/>
        <v>0</v>
      </c>
      <c r="BP68" s="10">
        <f t="shared" ca="1" si="13"/>
        <v>0</v>
      </c>
      <c r="BQ68" s="10">
        <f t="shared" ca="1" si="13"/>
        <v>0</v>
      </c>
      <c r="BR68" s="10">
        <f t="shared" ca="1" si="13"/>
        <v>0</v>
      </c>
      <c r="BS68" s="10">
        <f t="shared" ca="1" si="13"/>
        <v>0</v>
      </c>
      <c r="BT68" s="10">
        <f t="shared" ca="1" si="13"/>
        <v>0</v>
      </c>
      <c r="BU68" s="10">
        <f t="shared" ca="1" si="13"/>
        <v>0</v>
      </c>
      <c r="BV68" s="10">
        <f t="shared" ca="1" si="13"/>
        <v>0</v>
      </c>
      <c r="BW68" s="10">
        <f t="shared" ca="1" si="13"/>
        <v>0</v>
      </c>
      <c r="BX68" s="10">
        <f t="shared" ca="1" si="13"/>
        <v>0</v>
      </c>
      <c r="BY68" s="10">
        <f t="shared" ca="1" si="13"/>
        <v>0</v>
      </c>
      <c r="BZ68" s="10">
        <f t="shared" ca="1" si="13"/>
        <v>0</v>
      </c>
      <c r="CA68" s="10">
        <f t="shared" ca="1" si="13"/>
        <v>0</v>
      </c>
      <c r="CB68" s="10">
        <f t="shared" ca="1" si="13"/>
        <v>0</v>
      </c>
      <c r="CC68" s="10">
        <f t="shared" ref="CC68" ca="1" si="14">SUM(CC2:CC67)</f>
        <v>0</v>
      </c>
      <c r="CD68" s="7" t="str">
        <f ca="1">IF(CD67="","",IFERROR(VLOOKUP($A68,INDIRECT(#REF!&amp;"!$A$6:$C$200"),3,0),0))</f>
        <v/>
      </c>
      <c r="CE68" s="7" t="str">
        <f ca="1">IF(CE67="","",IFERROR(VLOOKUP($A68,INDIRECT(#REF!&amp;"!$A$6:$C$200"),3,0),0))</f>
        <v/>
      </c>
      <c r="CF68" s="7" t="str">
        <f ca="1">IF(CF67="","",IFERROR(VLOOKUP($A68,INDIRECT(#REF!&amp;"!$A$6:$C$200"),3,0),0))</f>
        <v/>
      </c>
      <c r="CG68" s="7" t="str">
        <f ca="1">IF(CG67="","",IFERROR(VLOOKUP($A68,INDIRECT(#REF!&amp;"!$A$6:$C$200"),3,0),0))</f>
        <v/>
      </c>
      <c r="CH68" s="7" t="str">
        <f ca="1">IF(CH67="","",IFERROR(VLOOKUP($A68,INDIRECT(#REF!&amp;"!$A$6:$C$200"),3,0),0))</f>
        <v/>
      </c>
      <c r="CI68" s="7" t="str">
        <f ca="1">IF(CI67="","",IFERROR(VLOOKUP($A68,INDIRECT(#REF!&amp;"!$A$6:$C$200"),3,0),0))</f>
        <v/>
      </c>
      <c r="CJ68" s="7" t="str">
        <f ca="1">IF(CJ67="","",IFERROR(VLOOKUP($A68,INDIRECT(#REF!&amp;"!$A$6:$C$200"),3,0),0))</f>
        <v/>
      </c>
      <c r="CK68" s="7" t="str">
        <f ca="1">IF(CK67="","",IFERROR(VLOOKUP($A68,INDIRECT(#REF!&amp;"!$A$6:$C$200"),3,0),0))</f>
        <v/>
      </c>
      <c r="CL68" s="7" t="str">
        <f ca="1">IF(CL67="","",IFERROR(VLOOKUP($A68,INDIRECT(#REF!&amp;"!$A$6:$C$200"),3,0),0))</f>
        <v/>
      </c>
      <c r="CM68" s="7" t="str">
        <f ca="1">IF(CM67="","",IFERROR(VLOOKUP($A68,INDIRECT(#REF!&amp;"!$A$6:$C$200"),3,0),0))</f>
        <v/>
      </c>
      <c r="CN68" s="7" t="str">
        <f ca="1">IF(CN67="","",IFERROR(VLOOKUP($A68,INDIRECT(#REF!&amp;"!$A$6:$C$200"),3,0),0))</f>
        <v/>
      </c>
      <c r="CO68" s="7" t="str">
        <f ca="1">IF(CO67="","",IFERROR(VLOOKUP($A68,INDIRECT(#REF!&amp;"!$A$6:$C$200"),3,0),0))</f>
        <v/>
      </c>
      <c r="CP68" s="7" t="str">
        <f ca="1">IF(CP67="","",IFERROR(VLOOKUP($A68,INDIRECT(#REF!&amp;"!$A$6:$C$200"),3,0),0))</f>
        <v/>
      </c>
      <c r="CQ68" s="7" t="str">
        <f ca="1">IF(CQ67="","",IFERROR(VLOOKUP($A68,INDIRECT(#REF!&amp;"!$A$6:$C$200"),3,0),0))</f>
        <v/>
      </c>
      <c r="CR68" s="7" t="str">
        <f ca="1">IF(CR67="","",IFERROR(VLOOKUP($A68,INDIRECT(#REF!&amp;"!$A$6:$C$200"),3,0),0))</f>
        <v/>
      </c>
      <c r="CS68" s="7" t="str">
        <f ca="1">IF(CS67="","",IFERROR(VLOOKUP($A68,INDIRECT(#REF!&amp;"!$A$6:$C$200"),3,0),0))</f>
        <v/>
      </c>
      <c r="CT68" s="7" t="str">
        <f ca="1">IF(CT67="","",IFERROR(VLOOKUP($A68,INDIRECT(#REF!&amp;"!$A$6:$C$200"),3,0),0))</f>
        <v/>
      </c>
      <c r="CU68" s="7" t="str">
        <f ca="1">IF(CU67="","",IFERROR(VLOOKUP($A68,INDIRECT(#REF!&amp;"!$A$6:$C$200"),3,0),0))</f>
        <v/>
      </c>
      <c r="CV68" s="7" t="str">
        <f ca="1">IF(CV67="","",IFERROR(VLOOKUP($A68,INDIRECT(#REF!&amp;"!$A$6:$C$200"),3,0),0))</f>
        <v/>
      </c>
      <c r="CW68" s="7" t="str">
        <f ca="1">IF(CW67="","",IFERROR(VLOOKUP($A68,INDIRECT(#REF!&amp;"!$A$6:$C$200"),3,0),0))</f>
        <v/>
      </c>
      <c r="CX68" s="7" t="str">
        <f ca="1">IF(CX67="","",IFERROR(VLOOKUP($A68,INDIRECT(#REF!&amp;"!$A$6:$C$200"),3,0),0))</f>
        <v/>
      </c>
      <c r="CY68" s="7" t="str">
        <f ca="1">IF(CY67="","",IFERROR(VLOOKUP($A68,INDIRECT(#REF!&amp;"!$A$6:$C$200"),3,0),0))</f>
        <v/>
      </c>
      <c r="CZ68" s="7" t="str">
        <f ca="1">IF(CZ67="","",IFERROR(VLOOKUP($A68,INDIRECT(#REF!&amp;"!$A$6:$C$200"),3,0),0))</f>
        <v/>
      </c>
      <c r="DA68" s="7" t="str">
        <f ca="1">IF(DA67="","",IFERROR(VLOOKUP($A68,INDIRECT(#REF!&amp;"!$A$6:$C$200"),3,0),0))</f>
        <v/>
      </c>
      <c r="DB68" s="7" t="str">
        <f ca="1">IF(DB67="","",IFERROR(VLOOKUP($A68,INDIRECT(#REF!&amp;"!$A$6:$C$200"),3,0),0))</f>
        <v/>
      </c>
      <c r="DC68" s="7" t="str">
        <f ca="1">IF(DC67="","",IFERROR(VLOOKUP($A68,INDIRECT(#REF!&amp;"!$A$6:$C$200"),3,0),0))</f>
        <v/>
      </c>
      <c r="DD68" s="7" t="str">
        <f ca="1">IF(DD67="","",IFERROR(VLOOKUP($A68,INDIRECT(#REF!&amp;"!$A$6:$C$200"),3,0),0))</f>
        <v/>
      </c>
      <c r="DE68" s="7" t="str">
        <f ca="1">IF(DE67="","",IFERROR(VLOOKUP($A68,INDIRECT(#REF!&amp;"!$A$6:$C$200"),3,0),0))</f>
        <v/>
      </c>
      <c r="DF68" s="7" t="str">
        <f ca="1">IF(DF67="","",IFERROR(VLOOKUP($A68,INDIRECT(#REF!&amp;"!$A$6:$C$200"),3,0),0))</f>
        <v/>
      </c>
      <c r="DG68" s="7" t="str">
        <f ca="1">IF(DG67="","",IFERROR(VLOOKUP($A68,INDIRECT(#REF!&amp;"!$A$6:$C$200"),3,0),0))</f>
        <v/>
      </c>
      <c r="DH68" s="7" t="str">
        <f ca="1">IF(DH67="","",IFERROR(VLOOKUP($A68,INDIRECT(#REF!&amp;"!$A$6:$C$200"),3,0),0))</f>
        <v/>
      </c>
      <c r="DI68" s="7" t="str">
        <f ca="1">IF(DI67="","",IFERROR(VLOOKUP($A68,INDIRECT(#REF!&amp;"!$A$6:$C$200"),3,0),0))</f>
        <v/>
      </c>
      <c r="DJ68" s="7" t="str">
        <f ca="1">IF(DJ67="","",IFERROR(VLOOKUP($A68,INDIRECT(#REF!&amp;"!$A$6:$C$200"),3,0),0))</f>
        <v/>
      </c>
      <c r="DK68" s="7" t="str">
        <f ca="1">IF(DK67="","",IFERROR(VLOOKUP($A68,INDIRECT(#REF!&amp;"!$A$6:$C$200"),3,0),0))</f>
        <v/>
      </c>
    </row>
    <row r="69" spans="1:115">
      <c r="A69" s="13" t="s">
        <v>71</v>
      </c>
      <c r="B69" s="14">
        <v>61744</v>
      </c>
      <c r="C69" s="14">
        <v>119339</v>
      </c>
      <c r="D69" s="14">
        <v>320062</v>
      </c>
      <c r="E69" s="14">
        <v>471970</v>
      </c>
      <c r="F69" s="14">
        <v>639010</v>
      </c>
      <c r="G69" s="14">
        <v>682856</v>
      </c>
      <c r="H69" s="14">
        <f>SUM(BB69:BH69)</f>
        <v>661867</v>
      </c>
      <c r="I69" s="14">
        <f>SUM(BI69:BO69)</f>
        <v>674827</v>
      </c>
      <c r="J69" s="14">
        <f>SUM(BP69:BV69)</f>
        <v>796012</v>
      </c>
      <c r="K69" s="14">
        <f>SUM(BW69:CB69)</f>
        <v>754437</v>
      </c>
      <c r="L69" s="14">
        <f>SUM(BX69:CB69)</f>
        <v>633428</v>
      </c>
      <c r="M69" s="15">
        <v>8999</v>
      </c>
      <c r="N69" s="15">
        <v>7167</v>
      </c>
      <c r="O69" s="15">
        <v>10052</v>
      </c>
      <c r="P69" s="15">
        <v>11243</v>
      </c>
      <c r="Q69" s="15">
        <v>12410</v>
      </c>
      <c r="R69" s="15">
        <v>11873</v>
      </c>
      <c r="S69" s="15">
        <v>13200</v>
      </c>
      <c r="T69" s="15">
        <v>10380</v>
      </c>
      <c r="U69" s="15">
        <v>14737</v>
      </c>
      <c r="V69" s="15">
        <v>18130</v>
      </c>
      <c r="W69" s="15">
        <v>22513</v>
      </c>
      <c r="X69" s="15">
        <v>22513</v>
      </c>
      <c r="Y69" s="15">
        <v>17866</v>
      </c>
      <c r="Z69" s="15">
        <v>41757</v>
      </c>
      <c r="AA69" s="15">
        <v>38551</v>
      </c>
      <c r="AB69" s="15">
        <v>41374</v>
      </c>
      <c r="AC69" s="15">
        <v>43211</v>
      </c>
      <c r="AD69" s="15">
        <v>46377</v>
      </c>
      <c r="AE69" s="15">
        <v>52350</v>
      </c>
      <c r="AF69" s="15">
        <v>56442</v>
      </c>
      <c r="AG69" s="15">
        <v>55386</v>
      </c>
      <c r="AH69" s="15">
        <v>54177</v>
      </c>
      <c r="AI69" s="15">
        <v>58102</v>
      </c>
      <c r="AJ69" s="15">
        <v>67554</v>
      </c>
      <c r="AK69" s="15">
        <v>77280</v>
      </c>
      <c r="AL69" s="15">
        <v>73710</v>
      </c>
      <c r="AM69" s="14">
        <v>85761</v>
      </c>
      <c r="AN69" s="14">
        <v>82916</v>
      </c>
      <c r="AO69" s="14">
        <v>84493</v>
      </c>
      <c r="AP69" s="14">
        <v>88837</v>
      </c>
      <c r="AQ69" s="14">
        <v>90341</v>
      </c>
      <c r="AR69" s="14">
        <v>96089</v>
      </c>
      <c r="AS69" s="14">
        <v>99895</v>
      </c>
      <c r="AT69" s="14">
        <v>96439</v>
      </c>
      <c r="AU69" s="14">
        <v>99599</v>
      </c>
      <c r="AV69" s="14">
        <v>96092</v>
      </c>
      <c r="AW69" s="14">
        <v>98428</v>
      </c>
      <c r="AX69" s="14">
        <v>103491</v>
      </c>
      <c r="AY69" s="14">
        <v>96839</v>
      </c>
      <c r="AZ69" s="14">
        <v>95589</v>
      </c>
      <c r="BA69" s="14">
        <v>92818</v>
      </c>
      <c r="BB69" s="14">
        <v>93607</v>
      </c>
      <c r="BC69" s="14">
        <v>100470</v>
      </c>
      <c r="BD69" s="14">
        <v>63621</v>
      </c>
      <c r="BE69" s="14">
        <f>'1.Sep'!$C$2</f>
        <v>103402</v>
      </c>
      <c r="BF69" s="14">
        <f>'2.Sep'!$C$2</f>
        <v>95127</v>
      </c>
      <c r="BG69" s="14">
        <f>'3.Sep'!$C$2</f>
        <v>101094</v>
      </c>
      <c r="BH69" s="15">
        <f>'4.Sep'!$C$2</f>
        <v>104546</v>
      </c>
      <c r="BI69" s="15">
        <f>'5.Sep'!$C$2</f>
        <v>93645</v>
      </c>
      <c r="BJ69" s="15">
        <f>'6.Sep'!$C$2</f>
        <v>95750</v>
      </c>
      <c r="BK69" s="15">
        <f>'7.Sep'!$C$2</f>
        <v>85710</v>
      </c>
      <c r="BL69" s="15">
        <f>'8.Sep'!$C$2</f>
        <v>99788</v>
      </c>
      <c r="BM69" s="15">
        <f>'9.Sep'!$C$2</f>
        <v>89908</v>
      </c>
      <c r="BN69" s="15">
        <f>'10.Sep'!$C$2</f>
        <v>102077</v>
      </c>
      <c r="BO69" s="15">
        <f>'11.Sep'!$C$2</f>
        <v>107949</v>
      </c>
      <c r="BP69" s="14">
        <f>'12.Sep'!$C$2</f>
        <v>106465</v>
      </c>
      <c r="BQ69" s="14">
        <f>'13.Sep'!$C$2</f>
        <v>108890</v>
      </c>
      <c r="BR69" s="14">
        <f>'14.Sep'!$C$2</f>
        <v>108961</v>
      </c>
      <c r="BS69" s="14">
        <f>'15.Sep'!$C$2</f>
        <v>111681</v>
      </c>
      <c r="BT69" s="14">
        <f>'16.Sep'!$C$2</f>
        <v>117202</v>
      </c>
      <c r="BU69" s="14">
        <f>'17.Sep'!$C$2</f>
        <v>119036</v>
      </c>
      <c r="BV69" s="14">
        <f>'18.Sep'!$C$2</f>
        <v>123777</v>
      </c>
      <c r="BW69" s="14">
        <f>'19.Sep'!$C$2</f>
        <v>121009</v>
      </c>
      <c r="BX69" s="14">
        <f>'20.Sep'!$C$2</f>
        <v>121997</v>
      </c>
      <c r="BY69" s="14">
        <f>'21.Sep'!$C$2</f>
        <v>128189</v>
      </c>
      <c r="BZ69" s="14">
        <f>'22.Sep'!$C$2</f>
        <v>134365</v>
      </c>
      <c r="CA69" s="14">
        <f>'23.Sep'!$C$2</f>
        <v>122518</v>
      </c>
      <c r="CB69" s="14">
        <f>'24.Sep'!$C$2</f>
        <v>126359</v>
      </c>
      <c r="CC69" s="14">
        <f>'24.Sep'!$C$2</f>
        <v>126359</v>
      </c>
    </row>
    <row r="70" spans="1:115">
      <c r="A70" s="13" t="s">
        <v>72</v>
      </c>
      <c r="B70" s="14">
        <v>60179</v>
      </c>
      <c r="C70" s="14">
        <v>116987</v>
      </c>
      <c r="D70" s="14">
        <v>312925</v>
      </c>
      <c r="E70" s="14">
        <v>462685</v>
      </c>
      <c r="F70" s="14">
        <v>627665</v>
      </c>
      <c r="G70" s="14">
        <v>672376</v>
      </c>
      <c r="H70" s="14">
        <f>SUM(BB70:BH70)</f>
        <v>652351</v>
      </c>
      <c r="I70" s="14">
        <f>SUM(BI70:BO70)</f>
        <v>664059</v>
      </c>
      <c r="J70" s="14">
        <f>SUM(BP70:BV70)</f>
        <v>784291</v>
      </c>
      <c r="K70" s="14">
        <f>SUM(BW70:CB70)</f>
        <v>741385</v>
      </c>
      <c r="L70" s="14">
        <f>SUM(BX70:CB70)</f>
        <v>622566</v>
      </c>
      <c r="M70" s="15">
        <v>8744</v>
      </c>
      <c r="N70" s="15">
        <v>6955</v>
      </c>
      <c r="O70" s="15">
        <v>9831</v>
      </c>
      <c r="P70" s="15">
        <v>10920</v>
      </c>
      <c r="Q70" s="15">
        <v>12106</v>
      </c>
      <c r="R70" s="15">
        <v>11623</v>
      </c>
      <c r="S70" s="15">
        <v>12953</v>
      </c>
      <c r="T70" s="15">
        <v>10193</v>
      </c>
      <c r="U70" s="15">
        <v>14465</v>
      </c>
      <c r="V70" s="15">
        <v>17803</v>
      </c>
      <c r="W70" s="15">
        <v>22063</v>
      </c>
      <c r="X70" s="15">
        <v>22063</v>
      </c>
      <c r="Y70" s="15">
        <v>17447</v>
      </c>
      <c r="Z70" s="15">
        <v>40880</v>
      </c>
      <c r="AA70" s="15">
        <v>37634</v>
      </c>
      <c r="AB70" s="15">
        <v>40442</v>
      </c>
      <c r="AC70" s="15">
        <v>42073</v>
      </c>
      <c r="AD70" s="15">
        <v>45199</v>
      </c>
      <c r="AE70" s="15">
        <v>51282</v>
      </c>
      <c r="AF70" s="15">
        <v>55415</v>
      </c>
      <c r="AG70" s="15">
        <v>54364</v>
      </c>
      <c r="AH70" s="15">
        <v>53080</v>
      </c>
      <c r="AI70" s="15">
        <v>57012</v>
      </c>
      <c r="AJ70" s="15">
        <v>66245</v>
      </c>
      <c r="AK70" s="15">
        <v>75834</v>
      </c>
      <c r="AL70" s="15">
        <v>72200</v>
      </c>
      <c r="AM70" s="14">
        <v>83950</v>
      </c>
      <c r="AN70" s="14">
        <v>81312</v>
      </c>
      <c r="AO70" s="14">
        <v>83253</v>
      </c>
      <c r="AP70" s="14">
        <v>87498</v>
      </c>
      <c r="AQ70" s="14">
        <v>88858</v>
      </c>
      <c r="AR70" s="14">
        <v>93951</v>
      </c>
      <c r="AS70" s="14">
        <v>97897</v>
      </c>
      <c r="AT70" s="14">
        <v>94896</v>
      </c>
      <c r="AU70" s="14">
        <v>97969</v>
      </c>
      <c r="AV70" s="14">
        <v>94697</v>
      </c>
      <c r="AW70" s="14">
        <v>96974</v>
      </c>
      <c r="AX70" s="14">
        <v>101863</v>
      </c>
      <c r="AY70" s="14">
        <v>95409</v>
      </c>
      <c r="AZ70" s="14">
        <v>94279</v>
      </c>
      <c r="BA70" s="14">
        <v>91185</v>
      </c>
      <c r="BB70" s="14">
        <v>92189</v>
      </c>
      <c r="BC70" s="14">
        <v>99073</v>
      </c>
      <c r="BD70" s="14">
        <v>62719</v>
      </c>
      <c r="BE70" s="14">
        <f>'1.Sep'!$C$3</f>
        <v>102028</v>
      </c>
      <c r="BF70" s="14">
        <f>'2.Sep'!$C$3</f>
        <v>93566</v>
      </c>
      <c r="BG70" s="14">
        <f>'3.Sep'!$C$3</f>
        <v>99730</v>
      </c>
      <c r="BH70" s="15">
        <f>'4.Sep'!$C$3</f>
        <v>103046</v>
      </c>
      <c r="BI70" s="15">
        <f>'5.Sep'!$C$3</f>
        <v>92201</v>
      </c>
      <c r="BJ70" s="15">
        <f>'6.Sep'!$C$3</f>
        <v>94195</v>
      </c>
      <c r="BK70" s="15">
        <f>'7.Sep'!$C$3</f>
        <v>84438</v>
      </c>
      <c r="BL70" s="15">
        <f>'8.Sep'!$C$3</f>
        <v>98101</v>
      </c>
      <c r="BM70" s="15">
        <f>'9.Sep'!$C$3</f>
        <v>88537</v>
      </c>
      <c r="BN70" s="15">
        <f>'10.Sep'!$C$3</f>
        <v>100528</v>
      </c>
      <c r="BO70" s="15">
        <f>'11.Sep'!$C$3</f>
        <v>106059</v>
      </c>
      <c r="BP70" s="14">
        <f>'12.Sep'!$C$3</f>
        <v>104813</v>
      </c>
      <c r="BQ70" s="14">
        <f>'13.Sep'!$C$3</f>
        <v>107238</v>
      </c>
      <c r="BR70" s="14">
        <f>'14.Sep'!$C$3</f>
        <v>107229</v>
      </c>
      <c r="BS70" s="14">
        <f>'15.Sep'!$C$3</f>
        <v>110095</v>
      </c>
      <c r="BT70" s="14">
        <f>'16.Sep'!$C$3</f>
        <v>115544</v>
      </c>
      <c r="BU70" s="14">
        <f>'17.Sep'!$C$3</f>
        <v>117322</v>
      </c>
      <c r="BV70" s="14">
        <f>'18.Sep'!$C$3</f>
        <v>122050</v>
      </c>
      <c r="BW70" s="14">
        <f>'19.Sep'!$C$3</f>
        <v>118819</v>
      </c>
      <c r="BX70" s="14">
        <f>'20.Sep'!$C$3</f>
        <v>119867</v>
      </c>
      <c r="BY70" s="14">
        <f>'21.Sep'!$C$3</f>
        <v>125938</v>
      </c>
      <c r="BZ70" s="14">
        <f>'22.Sep'!$C$3</f>
        <v>132146</v>
      </c>
      <c r="CA70" s="14">
        <f>'23.Sep'!$C$3</f>
        <v>120171</v>
      </c>
      <c r="CB70" s="14">
        <f>'24.Sep'!$C$3</f>
        <v>124444</v>
      </c>
      <c r="CC70" s="14">
        <f>'24.Sep'!$C$3</f>
        <v>124444</v>
      </c>
    </row>
    <row r="71" spans="1:115" ht="19.5">
      <c r="A71" s="1" t="s">
        <v>73</v>
      </c>
      <c r="B71" s="16" t="s">
        <v>1</v>
      </c>
      <c r="C71" s="16" t="s">
        <v>118</v>
      </c>
      <c r="D71" s="16" t="s">
        <v>128</v>
      </c>
      <c r="E71" s="16" t="s">
        <v>144</v>
      </c>
      <c r="F71" s="16" t="s">
        <v>151</v>
      </c>
      <c r="G71" s="16" t="s">
        <v>162</v>
      </c>
      <c r="H71" s="16" t="s">
        <v>163</v>
      </c>
      <c r="I71" s="16" t="s">
        <v>168</v>
      </c>
      <c r="J71" s="16" t="s">
        <v>173</v>
      </c>
      <c r="K71" s="16" t="s">
        <v>178</v>
      </c>
      <c r="L71" s="16" t="s">
        <v>178</v>
      </c>
      <c r="M71" s="18">
        <v>44761</v>
      </c>
      <c r="N71" s="18">
        <v>44762</v>
      </c>
      <c r="O71" s="18">
        <v>44763</v>
      </c>
      <c r="P71" s="18">
        <v>44764</v>
      </c>
      <c r="Q71" s="17">
        <v>44765</v>
      </c>
      <c r="R71" s="17">
        <v>44766</v>
      </c>
      <c r="S71" s="17">
        <v>44767</v>
      </c>
      <c r="T71" s="17">
        <v>44768</v>
      </c>
      <c r="U71" s="17">
        <v>44769</v>
      </c>
      <c r="V71" s="17">
        <v>44770</v>
      </c>
      <c r="W71" s="17">
        <v>44771</v>
      </c>
      <c r="X71" s="17">
        <v>44772</v>
      </c>
      <c r="Y71" s="17">
        <v>44773</v>
      </c>
      <c r="Z71" s="17">
        <v>44774</v>
      </c>
      <c r="AA71" s="17">
        <v>44775</v>
      </c>
      <c r="AB71" s="17">
        <v>44776</v>
      </c>
      <c r="AC71" s="17">
        <v>44777</v>
      </c>
      <c r="AD71" s="17">
        <v>44778</v>
      </c>
      <c r="AE71" s="17">
        <v>44779</v>
      </c>
      <c r="AF71" s="18">
        <v>44780</v>
      </c>
      <c r="AG71" s="18">
        <v>44781</v>
      </c>
      <c r="AH71" s="18">
        <v>44782</v>
      </c>
      <c r="AI71" s="18">
        <v>44783</v>
      </c>
      <c r="AJ71" s="18">
        <v>44784</v>
      </c>
      <c r="AK71" s="18">
        <v>44785</v>
      </c>
      <c r="AL71" s="18">
        <v>44786</v>
      </c>
      <c r="AM71" s="17">
        <v>44787</v>
      </c>
      <c r="AN71" s="17">
        <v>44788</v>
      </c>
      <c r="AO71" s="17">
        <v>44789</v>
      </c>
      <c r="AP71" s="17">
        <v>44790</v>
      </c>
      <c r="AQ71" s="17">
        <v>44791</v>
      </c>
      <c r="AR71" s="17">
        <v>44792</v>
      </c>
      <c r="AS71" s="17">
        <v>44793</v>
      </c>
      <c r="AT71" s="17">
        <v>44794</v>
      </c>
      <c r="AU71" s="17">
        <v>44795</v>
      </c>
      <c r="AV71" s="17">
        <v>44796</v>
      </c>
      <c r="AW71" s="17">
        <v>44797</v>
      </c>
      <c r="AX71" s="17">
        <v>44798</v>
      </c>
      <c r="AY71" s="17">
        <v>44799</v>
      </c>
      <c r="AZ71" s="17">
        <v>44800</v>
      </c>
      <c r="BA71" s="17">
        <v>44801</v>
      </c>
      <c r="BB71" s="17">
        <v>44802</v>
      </c>
      <c r="BC71" s="17">
        <v>44803</v>
      </c>
      <c r="BD71" s="17">
        <v>44804</v>
      </c>
      <c r="BE71" s="17">
        <v>44805</v>
      </c>
      <c r="BF71" s="17">
        <v>44806</v>
      </c>
      <c r="BG71" s="17">
        <v>44807</v>
      </c>
      <c r="BH71" s="18">
        <v>44808</v>
      </c>
      <c r="BI71" s="18">
        <v>44809</v>
      </c>
      <c r="BJ71" s="18">
        <v>44810</v>
      </c>
      <c r="BK71" s="18">
        <v>44811</v>
      </c>
      <c r="BL71" s="18">
        <v>44812</v>
      </c>
      <c r="BM71" s="18">
        <v>44813</v>
      </c>
      <c r="BN71" s="18">
        <v>44814</v>
      </c>
      <c r="BO71" s="18">
        <v>44815</v>
      </c>
      <c r="BP71" s="17">
        <v>44816</v>
      </c>
      <c r="BQ71" s="17">
        <v>44817</v>
      </c>
      <c r="BR71" s="17">
        <v>44818</v>
      </c>
      <c r="BS71" s="17">
        <v>44819</v>
      </c>
      <c r="BT71" s="17">
        <v>44820</v>
      </c>
      <c r="BU71" s="17">
        <v>44821</v>
      </c>
      <c r="BV71" s="17">
        <v>44822</v>
      </c>
      <c r="BW71" s="17">
        <v>44823</v>
      </c>
      <c r="BX71" s="17">
        <v>44824</v>
      </c>
      <c r="BY71" s="17">
        <v>44825</v>
      </c>
      <c r="BZ71" s="17">
        <v>44826</v>
      </c>
      <c r="CA71" s="17">
        <v>44827</v>
      </c>
      <c r="CB71" s="17">
        <v>44828</v>
      </c>
      <c r="CC71" s="17">
        <v>44828</v>
      </c>
    </row>
    <row r="72" spans="1:115">
      <c r="A72" s="6" t="s">
        <v>74</v>
      </c>
      <c r="B72" s="7">
        <v>1.3333333333333337E-4</v>
      </c>
      <c r="C72" s="7">
        <v>4.2857142857142863E-5</v>
      </c>
      <c r="D72" s="7">
        <v>8.5714285714285726E-5</v>
      </c>
      <c r="E72" s="7">
        <v>1.142857142857143E-4</v>
      </c>
      <c r="F72" s="7">
        <v>1.5714285714285716E-4</v>
      </c>
      <c r="G72" s="7">
        <v>1.0000000000000002E-4</v>
      </c>
      <c r="H72" s="7">
        <f>AVERAGE(BB72:BH72)</f>
        <v>1.0000000000000002E-4</v>
      </c>
      <c r="I72" s="7">
        <f>AVERAGE(BI72:BO72)</f>
        <v>1.4285714285714287E-4</v>
      </c>
      <c r="J72" s="7">
        <f>AVERAGE(BP72:BV72)</f>
        <v>1.4285714285714289E-4</v>
      </c>
      <c r="K72" s="7">
        <f t="shared" ref="K72:K96" si="15">AVERAGE(BW72:CB72)</f>
        <v>2.0000000000000001E-4</v>
      </c>
      <c r="L72" s="7">
        <f t="shared" ref="L72:L96" si="16">AVERAGE(BX72:CB72)</f>
        <v>2.0000000000000001E-4</v>
      </c>
      <c r="M72" s="7">
        <v>1E-4</v>
      </c>
      <c r="N72" s="7">
        <v>2.0000000000000001E-4</v>
      </c>
      <c r="O72" s="7">
        <v>1E-4</v>
      </c>
      <c r="P72" s="7">
        <v>2.0000000000000001E-4</v>
      </c>
      <c r="Q72" s="7">
        <v>1E-4</v>
      </c>
      <c r="R72" s="7">
        <v>1E-4</v>
      </c>
      <c r="S72" s="7">
        <v>1E-4</v>
      </c>
      <c r="T72" s="7">
        <v>1E-4</v>
      </c>
      <c r="U72" s="8">
        <v>0</v>
      </c>
      <c r="V72" s="8">
        <v>0</v>
      </c>
      <c r="W72" s="7">
        <v>1E-4</v>
      </c>
      <c r="X72" s="7">
        <v>0</v>
      </c>
      <c r="Y72" s="7">
        <v>0</v>
      </c>
      <c r="Z72" s="7">
        <v>1E-4</v>
      </c>
      <c r="AA72" s="7">
        <v>1E-4</v>
      </c>
      <c r="AB72" s="7">
        <v>0</v>
      </c>
      <c r="AC72" s="7">
        <v>1E-4</v>
      </c>
      <c r="AD72" s="7">
        <v>1E-4</v>
      </c>
      <c r="AE72" s="7">
        <v>1E-4</v>
      </c>
      <c r="AF72" s="8">
        <v>1E-4</v>
      </c>
      <c r="AG72" s="8">
        <v>1E-4</v>
      </c>
      <c r="AH72" s="8">
        <v>1E-4</v>
      </c>
      <c r="AI72" s="8">
        <v>0</v>
      </c>
      <c r="AJ72" s="8">
        <v>1E-4</v>
      </c>
      <c r="AK72" s="8">
        <v>1E-4</v>
      </c>
      <c r="AL72" s="8">
        <v>2.9999999999999997E-4</v>
      </c>
      <c r="AM72" s="7">
        <v>1E-4</v>
      </c>
      <c r="AN72" s="7">
        <v>2.0000000000000001E-4</v>
      </c>
      <c r="AO72" s="7">
        <v>2.0000000000000001E-4</v>
      </c>
      <c r="AP72" s="7">
        <v>2.0000000000000001E-4</v>
      </c>
      <c r="AQ72" s="7">
        <v>2.0000000000000001E-4</v>
      </c>
      <c r="AR72" s="7">
        <v>1E-4</v>
      </c>
      <c r="AS72" s="7">
        <v>1E-4</v>
      </c>
      <c r="AT72" s="7">
        <v>1E-4</v>
      </c>
      <c r="AU72" s="7">
        <v>1E-4</v>
      </c>
      <c r="AV72" s="7">
        <v>0</v>
      </c>
      <c r="AW72" s="7">
        <v>1E-4</v>
      </c>
      <c r="AX72" s="7">
        <v>2.0000000000000001E-4</v>
      </c>
      <c r="AY72" s="7">
        <v>1E-4</v>
      </c>
      <c r="AZ72" s="7">
        <v>1E-4</v>
      </c>
      <c r="BA72" s="7">
        <v>1E-4</v>
      </c>
      <c r="BB72" s="7">
        <v>1E-4</v>
      </c>
      <c r="BC72" s="7">
        <v>1E-4</v>
      </c>
      <c r="BD72" s="7">
        <v>1E-4</v>
      </c>
      <c r="BE72" s="7">
        <f>VLOOKUP($A72,'1.Sep'!$E$8:$G$42,3,0)</f>
        <v>1E-4</v>
      </c>
      <c r="BF72" s="7">
        <f>VLOOKUP($A72,'2.Sep'!$E$8:$G$42,3,0)</f>
        <v>1E-4</v>
      </c>
      <c r="BG72" s="7">
        <f>VLOOKUP($A72,'3.Sep'!$E$8:$G$42,3,0)</f>
        <v>1E-4</v>
      </c>
      <c r="BH72" s="8">
        <f>VLOOKUP($A72,'4.Sep'!$E$8:$G$42,3,0)</f>
        <v>1E-4</v>
      </c>
      <c r="BI72" s="8">
        <f>VLOOKUP($A72,'5.Sep'!$E$8:$G$42,3,0)</f>
        <v>1E-4</v>
      </c>
      <c r="BJ72" s="8">
        <f>VLOOKUP($A72,'6.Sep'!$E$8:$G$42,3,0)</f>
        <v>1E-4</v>
      </c>
      <c r="BK72" s="8">
        <f>VLOOKUP($A72,'7.Sep'!$E$8:$G$42,3,0)</f>
        <v>1E-4</v>
      </c>
      <c r="BL72" s="8">
        <f>VLOOKUP($A72,'8.Sep'!$E$8:$G$42,3,0)</f>
        <v>1E-4</v>
      </c>
      <c r="BM72" s="8">
        <f>VLOOKUP($A72,'9.Sep'!$E$8:$G$42,3,0)</f>
        <v>1E-4</v>
      </c>
      <c r="BN72" s="8">
        <f>VLOOKUP($A72,'10.Sep'!$E$8:$G$42,3,0)</f>
        <v>2.0000000000000001E-4</v>
      </c>
      <c r="BO72" s="8">
        <f>VLOOKUP($A72,'11.Sep'!$E$8:$G$42,3,0)</f>
        <v>2.9999999999999997E-4</v>
      </c>
      <c r="BP72" s="7">
        <f>VLOOKUP($A72,'12.Sep'!$E$8:$G$42,3,0)</f>
        <v>2.0000000000000001E-4</v>
      </c>
      <c r="BQ72" s="7">
        <f>VLOOKUP($A72,'13.Sep'!$E$8:$G$42,3,0)</f>
        <v>2.0000000000000001E-4</v>
      </c>
      <c r="BR72" s="7">
        <f>VLOOKUP($A72,'14.Sep'!$E$8:$G$42,3,0)</f>
        <v>1E-4</v>
      </c>
      <c r="BS72" s="7">
        <f>VLOOKUP($A72,'15.Sep'!$E$8:$G$42,3,0)</f>
        <v>1E-4</v>
      </c>
      <c r="BT72" s="7">
        <f>VLOOKUP($A72,'16.Sep'!$E$8:$G$42,3,0)</f>
        <v>1E-4</v>
      </c>
      <c r="BU72" s="7">
        <f>VLOOKUP($A72,'17.Sep'!$E$8:$G$42,3,0)</f>
        <v>1E-4</v>
      </c>
      <c r="BV72" s="7">
        <f>VLOOKUP($A72,'18.Sep'!$E$8:$G$42,3,0)</f>
        <v>2.0000000000000001E-4</v>
      </c>
      <c r="BW72" s="7">
        <f>VLOOKUP($A72,'19.Sep'!$E$8:$G$42,3,0)</f>
        <v>2.0000000000000001E-4</v>
      </c>
      <c r="BX72" s="7">
        <f>VLOOKUP($A72,'20.Sep'!$E$8:$G$42,3,0)</f>
        <v>2.0000000000000001E-4</v>
      </c>
      <c r="BY72" s="7">
        <f>VLOOKUP($A72,'21.Sep'!$E$8:$G$42,3,0)</f>
        <v>1E-4</v>
      </c>
      <c r="BZ72" s="7">
        <f>VLOOKUP($A72,'22.Sep'!$E$8:$G$42,3,0)</f>
        <v>2.0000000000000001E-4</v>
      </c>
      <c r="CA72" s="7">
        <f>VLOOKUP($A72,'23.Sep'!$E$8:$G$42,3,0)</f>
        <v>2.9999999999999997E-4</v>
      </c>
      <c r="CB72" s="7">
        <f>VLOOKUP($A72,'24.Sep'!$E$8:$G$42,3,0)</f>
        <v>2.0000000000000001E-4</v>
      </c>
      <c r="CC72" s="7">
        <f>VLOOKUP($A72,'24.Sep'!$E$8:$G$42,3,0)</f>
        <v>2.0000000000000001E-4</v>
      </c>
    </row>
    <row r="73" spans="1:115">
      <c r="A73" s="6" t="s">
        <v>122</v>
      </c>
      <c r="B73" s="7">
        <v>0</v>
      </c>
      <c r="C73" s="7">
        <v>1.6428571428571427E-3</v>
      </c>
      <c r="D73" s="7">
        <v>1.8142857142857142E-3</v>
      </c>
      <c r="E73" s="7">
        <v>1.8428571428571428E-3</v>
      </c>
      <c r="F73" s="7">
        <v>2.0857142857142858E-3</v>
      </c>
      <c r="G73" s="7">
        <v>1.8714285714285712E-3</v>
      </c>
      <c r="H73" s="7">
        <f t="shared" ref="H73:H96" si="17">AVERAGE(BB73:BH73)</f>
        <v>2.142857142857143E-3</v>
      </c>
      <c r="I73" s="7">
        <f t="shared" ref="I73:I96" si="18">AVERAGE(BI73:BO73)</f>
        <v>2.2571428571428569E-3</v>
      </c>
      <c r="J73" s="7">
        <f t="shared" ref="J73:J96" si="19">AVERAGE(BP73:BV73)</f>
        <v>1.9857142857142855E-3</v>
      </c>
      <c r="K73" s="7">
        <f t="shared" si="15"/>
        <v>1.0666666666666667E-3</v>
      </c>
      <c r="L73" s="7">
        <f t="shared" si="16"/>
        <v>1.0599999999999997E-3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7">
        <v>2.8999999999999998E-3</v>
      </c>
      <c r="X73" s="7">
        <v>4.1999999999999997E-3</v>
      </c>
      <c r="Y73" s="7">
        <v>4.4000000000000003E-3</v>
      </c>
      <c r="Z73" s="7">
        <v>1.9E-3</v>
      </c>
      <c r="AA73" s="7">
        <v>1.2999999999999999E-3</v>
      </c>
      <c r="AB73" s="7">
        <v>1.6000000000000001E-3</v>
      </c>
      <c r="AC73" s="7">
        <v>1.6000000000000001E-3</v>
      </c>
      <c r="AD73" s="7">
        <v>2.3999999999999998E-3</v>
      </c>
      <c r="AE73" s="7">
        <v>2.2000000000000001E-3</v>
      </c>
      <c r="AF73" s="8">
        <v>1.6999999999999999E-3</v>
      </c>
      <c r="AG73" s="8">
        <v>1.5E-3</v>
      </c>
      <c r="AH73" s="8">
        <v>1.9E-3</v>
      </c>
      <c r="AI73" s="8">
        <v>1.6000000000000001E-3</v>
      </c>
      <c r="AJ73" s="8">
        <v>2.0999999999999999E-3</v>
      </c>
      <c r="AK73" s="8">
        <v>1.8E-3</v>
      </c>
      <c r="AL73" s="8">
        <v>1.8E-3</v>
      </c>
      <c r="AM73" s="7">
        <v>2.2000000000000001E-3</v>
      </c>
      <c r="AN73" s="7">
        <v>2.5000000000000001E-3</v>
      </c>
      <c r="AO73" s="7">
        <v>2.3E-3</v>
      </c>
      <c r="AP73" s="7">
        <v>2E-3</v>
      </c>
      <c r="AQ73" s="7">
        <v>1.8E-3</v>
      </c>
      <c r="AR73" s="7">
        <v>2E-3</v>
      </c>
      <c r="AS73" s="7">
        <v>2E-3</v>
      </c>
      <c r="AT73" s="7">
        <v>2E-3</v>
      </c>
      <c r="AU73" s="7">
        <v>1.9E-3</v>
      </c>
      <c r="AV73" s="7">
        <v>1.8E-3</v>
      </c>
      <c r="AW73" s="7">
        <v>2E-3</v>
      </c>
      <c r="AX73" s="7">
        <v>1.5E-3</v>
      </c>
      <c r="AY73" s="7">
        <v>1.6999999999999999E-3</v>
      </c>
      <c r="AZ73" s="7">
        <v>1.8E-3</v>
      </c>
      <c r="BA73" s="7">
        <v>2.3999999999999998E-3</v>
      </c>
      <c r="BB73" s="7">
        <v>1.8E-3</v>
      </c>
      <c r="BC73" s="7">
        <v>2.0999999999999999E-3</v>
      </c>
      <c r="BD73" s="7">
        <v>1.9E-3</v>
      </c>
      <c r="BE73" s="7">
        <f>VLOOKUP($A73,'1.Sep'!$E$8:$G$42,3,0)</f>
        <v>2E-3</v>
      </c>
      <c r="BF73" s="7">
        <f>VLOOKUP($A73,'2.Sep'!$E$8:$G$42,3,0)</f>
        <v>2.3E-3</v>
      </c>
      <c r="BG73" s="7">
        <f>VLOOKUP($A73,'3.Sep'!$E$8:$G$42,3,0)</f>
        <v>2.3999999999999998E-3</v>
      </c>
      <c r="BH73" s="8">
        <f>VLOOKUP($A73,'4.Sep'!$E$8:$G$42,3,0)</f>
        <v>2.5000000000000001E-3</v>
      </c>
      <c r="BI73" s="8">
        <f>VLOOKUP($A73,'5.Sep'!$E$8:$G$42,3,0)</f>
        <v>2.5999999999999999E-3</v>
      </c>
      <c r="BJ73" s="8">
        <f>VLOOKUP($A73,'6.Sep'!$E$8:$G$42,3,0)</f>
        <v>2.7000000000000001E-3</v>
      </c>
      <c r="BK73" s="8">
        <f>VLOOKUP($A73,'7.Sep'!$E$8:$G$42,3,0)</f>
        <v>1.6000000000000001E-3</v>
      </c>
      <c r="BL73" s="8">
        <f>VLOOKUP($A73,'8.Sep'!$E$8:$G$42,3,0)</f>
        <v>2E-3</v>
      </c>
      <c r="BM73" s="8">
        <f>VLOOKUP($A73,'9.Sep'!$E$8:$G$42,3,0)</f>
        <v>1.8E-3</v>
      </c>
      <c r="BN73" s="8">
        <f>VLOOKUP($A73,'10.Sep'!$E$8:$G$42,3,0)</f>
        <v>2.3999999999999998E-3</v>
      </c>
      <c r="BO73" s="8">
        <f>VLOOKUP($A73,'11.Sep'!$E$8:$G$42,3,0)</f>
        <v>2.7000000000000001E-3</v>
      </c>
      <c r="BP73" s="7">
        <f>VLOOKUP($A73,'12.Sep'!$E$8:$G$42,3,0)</f>
        <v>2E-3</v>
      </c>
      <c r="BQ73" s="7">
        <f>VLOOKUP($A73,'13.Sep'!$E$8:$G$42,3,0)</f>
        <v>2E-3</v>
      </c>
      <c r="BR73" s="7">
        <f>VLOOKUP($A73,'14.Sep'!$E$8:$G$42,3,0)</f>
        <v>2.3E-3</v>
      </c>
      <c r="BS73" s="7">
        <f>VLOOKUP($A73,'15.Sep'!$E$8:$G$42,3,0)</f>
        <v>2.3999999999999998E-3</v>
      </c>
      <c r="BT73" s="7">
        <f>VLOOKUP($A73,'16.Sep'!$E$8:$G$42,3,0)</f>
        <v>2E-3</v>
      </c>
      <c r="BU73" s="7">
        <f>VLOOKUP($A73,'17.Sep'!$E$8:$G$42,3,0)</f>
        <v>1.6999999999999999E-3</v>
      </c>
      <c r="BV73" s="7">
        <f>VLOOKUP($A73,'18.Sep'!$E$8:$G$42,3,0)</f>
        <v>1.5E-3</v>
      </c>
      <c r="BW73" s="7">
        <f>VLOOKUP($A73,'19.Sep'!$E$8:$G$42,3,0)</f>
        <v>1.1000000000000001E-3</v>
      </c>
      <c r="BX73" s="7">
        <f>VLOOKUP($A73,'20.Sep'!$E$8:$G$42,3,0)</f>
        <v>8.0000000000000004E-4</v>
      </c>
      <c r="BY73" s="7">
        <f>VLOOKUP($A73,'21.Sep'!$E$8:$G$42,3,0)</f>
        <v>1E-3</v>
      </c>
      <c r="BZ73" s="7">
        <f>VLOOKUP($A73,'22.Sep'!$E$8:$G$42,3,0)</f>
        <v>1.2999999999999999E-3</v>
      </c>
      <c r="CA73" s="7">
        <f>VLOOKUP($A73,'23.Sep'!$E$8:$G$42,3,0)</f>
        <v>1E-3</v>
      </c>
      <c r="CB73" s="7">
        <f>VLOOKUP($A73,'24.Sep'!$E$8:$G$42,3,0)</f>
        <v>1.1999999999999999E-3</v>
      </c>
      <c r="CC73" s="7">
        <f>VLOOKUP($A73,'24.Sep'!$E$8:$G$42,3,0)</f>
        <v>1.1999999999999999E-3</v>
      </c>
    </row>
    <row r="74" spans="1:115">
      <c r="A74" s="6" t="s">
        <v>75</v>
      </c>
      <c r="B74" s="7">
        <v>1.6666666666666667E-5</v>
      </c>
      <c r="C74" s="7">
        <v>4.2857142857142863E-5</v>
      </c>
      <c r="D74" s="7">
        <v>2.8571428571428574E-5</v>
      </c>
      <c r="E74" s="7">
        <v>1.0000000000000002E-4</v>
      </c>
      <c r="F74" s="7">
        <v>1.0000000000000002E-4</v>
      </c>
      <c r="G74" s="7">
        <v>7.1428571428571434E-5</v>
      </c>
      <c r="H74" s="7">
        <f t="shared" si="17"/>
        <v>8.5714285714285726E-5</v>
      </c>
      <c r="I74" s="7">
        <f t="shared" si="18"/>
        <v>8.5714285714285726E-5</v>
      </c>
      <c r="J74" s="7">
        <f t="shared" si="19"/>
        <v>8.5714285714285726E-5</v>
      </c>
      <c r="K74" s="7">
        <f t="shared" si="15"/>
        <v>1E-4</v>
      </c>
      <c r="L74" s="7">
        <f t="shared" si="16"/>
        <v>1E-4</v>
      </c>
      <c r="M74" s="8">
        <v>0</v>
      </c>
      <c r="N74" s="8">
        <v>0</v>
      </c>
      <c r="O74" s="8">
        <v>0</v>
      </c>
      <c r="P74" s="7">
        <v>1E-4</v>
      </c>
      <c r="Q74" s="8">
        <v>0</v>
      </c>
      <c r="R74" s="8">
        <v>0</v>
      </c>
      <c r="S74" s="8">
        <v>0</v>
      </c>
      <c r="T74" s="8">
        <v>0</v>
      </c>
      <c r="U74" s="7">
        <v>1E-4</v>
      </c>
      <c r="V74" s="8">
        <v>0</v>
      </c>
      <c r="W74" s="8">
        <v>0</v>
      </c>
      <c r="X74" s="7">
        <v>2.0000000000000001E-4</v>
      </c>
      <c r="Y74" s="8">
        <v>0</v>
      </c>
      <c r="Z74" s="8">
        <v>0</v>
      </c>
      <c r="AA74" s="7">
        <v>1E-4</v>
      </c>
      <c r="AB74" s="8">
        <v>0</v>
      </c>
      <c r="AC74" s="8">
        <v>0</v>
      </c>
      <c r="AD74" s="8">
        <v>0</v>
      </c>
      <c r="AE74" s="7">
        <v>0</v>
      </c>
      <c r="AF74" s="8">
        <v>1E-4</v>
      </c>
      <c r="AG74" s="8">
        <v>1E-4</v>
      </c>
      <c r="AH74" s="8">
        <v>1E-4</v>
      </c>
      <c r="AI74" s="8">
        <v>1E-4</v>
      </c>
      <c r="AJ74" s="8">
        <v>1E-4</v>
      </c>
      <c r="AK74" s="8">
        <v>1E-4</v>
      </c>
      <c r="AL74" s="8">
        <v>1E-4</v>
      </c>
      <c r="AM74" s="7">
        <v>1E-4</v>
      </c>
      <c r="AN74" s="7">
        <v>1E-4</v>
      </c>
      <c r="AO74" s="7">
        <v>2.0000000000000001E-4</v>
      </c>
      <c r="AP74" s="7">
        <v>1E-4</v>
      </c>
      <c r="AQ74" s="7">
        <v>0</v>
      </c>
      <c r="AR74" s="7">
        <v>1E-4</v>
      </c>
      <c r="AS74" s="7">
        <v>1E-4</v>
      </c>
      <c r="AT74" s="7">
        <v>1E-4</v>
      </c>
      <c r="AU74" s="7">
        <v>1E-4</v>
      </c>
      <c r="AV74" s="7">
        <v>0</v>
      </c>
      <c r="AW74" s="7">
        <v>0</v>
      </c>
      <c r="AX74" s="7">
        <v>1E-4</v>
      </c>
      <c r="AY74" s="7">
        <v>1E-4</v>
      </c>
      <c r="AZ74" s="7">
        <v>1E-4</v>
      </c>
      <c r="BA74" s="7">
        <v>1E-4</v>
      </c>
      <c r="BB74" s="7">
        <v>1E-4</v>
      </c>
      <c r="BC74" s="7">
        <v>1E-4</v>
      </c>
      <c r="BD74" s="7">
        <v>0</v>
      </c>
      <c r="BE74" s="7">
        <f>VLOOKUP($A74,'1.Sep'!$E$8:$G$42,3,0)</f>
        <v>1E-4</v>
      </c>
      <c r="BF74" s="7">
        <f>VLOOKUP($A74,'2.Sep'!$E$8:$G$42,3,0)</f>
        <v>1E-4</v>
      </c>
      <c r="BG74" s="7">
        <f>VLOOKUP($A74,'3.Sep'!$E$8:$G$42,3,0)</f>
        <v>1E-4</v>
      </c>
      <c r="BH74" s="8">
        <f>VLOOKUP($A74,'4.Sep'!$E$8:$G$42,3,0)</f>
        <v>1E-4</v>
      </c>
      <c r="BI74" s="8">
        <f>VLOOKUP($A74,'5.Sep'!$E$8:$G$42,3,0)</f>
        <v>0</v>
      </c>
      <c r="BJ74" s="8">
        <f>VLOOKUP($A74,'6.Sep'!$E$8:$G$42,3,0)</f>
        <v>1E-4</v>
      </c>
      <c r="BK74" s="8">
        <f>VLOOKUP($A74,'7.Sep'!$E$8:$G$42,3,0)</f>
        <v>1E-4</v>
      </c>
      <c r="BL74" s="8">
        <f>VLOOKUP($A74,'8.Sep'!$E$8:$G$42,3,0)</f>
        <v>1E-4</v>
      </c>
      <c r="BM74" s="8">
        <f>VLOOKUP($A74,'9.Sep'!$E$8:$G$42,3,0)</f>
        <v>1E-4</v>
      </c>
      <c r="BN74" s="8">
        <f>VLOOKUP($A74,'10.Sep'!$E$8:$G$42,3,0)</f>
        <v>1E-4</v>
      </c>
      <c r="BO74" s="8">
        <f>VLOOKUP($A74,'11.Sep'!$E$8:$G$42,3,0)</f>
        <v>1E-4</v>
      </c>
      <c r="BP74" s="7">
        <f>VLOOKUP($A74,'12.Sep'!$E$8:$G$42,3,0)</f>
        <v>1E-4</v>
      </c>
      <c r="BQ74" s="7">
        <f>VLOOKUP($A74,'13.Sep'!$E$8:$G$42,3,0)</f>
        <v>2.0000000000000001E-4</v>
      </c>
      <c r="BR74" s="7">
        <f>VLOOKUP($A74,'14.Sep'!$E$8:$G$42,3,0)</f>
        <v>0</v>
      </c>
      <c r="BS74" s="7">
        <f>VLOOKUP($A74,'15.Sep'!$E$8:$G$42,3,0)</f>
        <v>1E-4</v>
      </c>
      <c r="BT74" s="7">
        <f>VLOOKUP($A74,'16.Sep'!$E$8:$G$42,3,0)</f>
        <v>1E-4</v>
      </c>
      <c r="BU74" s="7">
        <f>VLOOKUP($A74,'17.Sep'!$E$8:$G$42,3,0)</f>
        <v>1E-4</v>
      </c>
      <c r="BV74" s="7">
        <f>VLOOKUP($A74,'18.Sep'!$E$8:$G$42,3,0)</f>
        <v>0</v>
      </c>
      <c r="BW74" s="7">
        <f>VLOOKUP($A74,'19.Sep'!$E$8:$G$42,3,0)</f>
        <v>1E-4</v>
      </c>
      <c r="BX74" s="7">
        <f>VLOOKUP($A74,'20.Sep'!$E$8:$G$42,3,0)</f>
        <v>0</v>
      </c>
      <c r="BY74" s="7">
        <f>VLOOKUP($A74,'21.Sep'!$E$8:$G$42,3,0)</f>
        <v>1E-4</v>
      </c>
      <c r="BZ74" s="7">
        <f>VLOOKUP($A74,'22.Sep'!$E$8:$G$42,3,0)</f>
        <v>1E-4</v>
      </c>
      <c r="CA74" s="7">
        <f>VLOOKUP($A74,'23.Sep'!$E$8:$G$42,3,0)</f>
        <v>2.0000000000000001E-4</v>
      </c>
      <c r="CB74" s="7">
        <f>VLOOKUP($A74,'24.Sep'!$E$8:$G$42,3,0)</f>
        <v>1E-4</v>
      </c>
      <c r="CC74" s="7">
        <f>VLOOKUP($A74,'24.Sep'!$E$8:$G$42,3,0)</f>
        <v>1E-4</v>
      </c>
    </row>
    <row r="75" spans="1:115">
      <c r="A75" s="6" t="s">
        <v>76</v>
      </c>
      <c r="B75" s="7">
        <v>5.0000000000000001E-4</v>
      </c>
      <c r="C75" s="7">
        <v>3.4285714285714285E-4</v>
      </c>
      <c r="D75" s="7">
        <v>8.5714285714285726E-5</v>
      </c>
      <c r="E75" s="7">
        <v>2.0000000000000004E-4</v>
      </c>
      <c r="F75" s="7">
        <v>1.4285714285714287E-4</v>
      </c>
      <c r="G75" s="7">
        <v>1.4285714285714287E-4</v>
      </c>
      <c r="H75" s="7">
        <f t="shared" si="17"/>
        <v>1.0000000000000002E-4</v>
      </c>
      <c r="I75" s="7">
        <f t="shared" si="18"/>
        <v>8.5714285714285726E-5</v>
      </c>
      <c r="J75" s="7">
        <f t="shared" si="19"/>
        <v>1.0000000000000002E-4</v>
      </c>
      <c r="K75" s="7">
        <f t="shared" si="15"/>
        <v>1E-4</v>
      </c>
      <c r="L75" s="7">
        <f t="shared" si="16"/>
        <v>1E-4</v>
      </c>
      <c r="M75" s="7">
        <v>2.0000000000000001E-4</v>
      </c>
      <c r="N75" s="7">
        <v>8.0000000000000004E-4</v>
      </c>
      <c r="O75" s="7">
        <v>5.0000000000000001E-4</v>
      </c>
      <c r="P75" s="7">
        <v>8.0000000000000004E-4</v>
      </c>
      <c r="Q75" s="7">
        <v>2.9999999999999997E-4</v>
      </c>
      <c r="R75" s="7">
        <v>4.0000000000000002E-4</v>
      </c>
      <c r="S75" s="7">
        <v>2.9999999999999997E-4</v>
      </c>
      <c r="T75" s="7">
        <v>2.9999999999999997E-4</v>
      </c>
      <c r="U75" s="7">
        <v>5.9999999999999995E-4</v>
      </c>
      <c r="V75" s="7">
        <v>6.9999999999999999E-4</v>
      </c>
      <c r="W75" s="7">
        <v>1E-4</v>
      </c>
      <c r="X75" s="7">
        <v>2.0000000000000001E-4</v>
      </c>
      <c r="Y75" s="7">
        <v>2.0000000000000001E-4</v>
      </c>
      <c r="Z75" s="7">
        <v>1E-4</v>
      </c>
      <c r="AA75" s="7">
        <v>0</v>
      </c>
      <c r="AB75" s="7">
        <v>1E-4</v>
      </c>
      <c r="AC75" s="7">
        <v>2.0000000000000001E-4</v>
      </c>
      <c r="AD75" s="7">
        <v>1E-4</v>
      </c>
      <c r="AE75" s="7">
        <v>1E-4</v>
      </c>
      <c r="AF75" s="8">
        <v>0</v>
      </c>
      <c r="AG75" s="8">
        <v>1E-4</v>
      </c>
      <c r="AH75" s="8">
        <v>2.0000000000000001E-4</v>
      </c>
      <c r="AI75" s="8">
        <v>2.0000000000000001E-4</v>
      </c>
      <c r="AJ75" s="8">
        <v>2.0000000000000001E-4</v>
      </c>
      <c r="AK75" s="8">
        <v>2.9999999999999997E-4</v>
      </c>
      <c r="AL75" s="8">
        <v>2.0000000000000001E-4</v>
      </c>
      <c r="AM75" s="7">
        <v>2.0000000000000001E-4</v>
      </c>
      <c r="AN75" s="7">
        <v>2.0000000000000001E-4</v>
      </c>
      <c r="AO75" s="7">
        <v>1E-4</v>
      </c>
      <c r="AP75" s="7">
        <v>1E-4</v>
      </c>
      <c r="AQ75" s="7">
        <v>2.0000000000000001E-4</v>
      </c>
      <c r="AR75" s="7">
        <v>1E-4</v>
      </c>
      <c r="AS75" s="7">
        <v>2.0000000000000001E-4</v>
      </c>
      <c r="AT75" s="7">
        <v>1E-4</v>
      </c>
      <c r="AU75" s="7">
        <v>1E-4</v>
      </c>
      <c r="AV75" s="7">
        <v>1E-4</v>
      </c>
      <c r="AW75" s="7">
        <v>2.0000000000000001E-4</v>
      </c>
      <c r="AX75" s="7">
        <v>2.0000000000000001E-4</v>
      </c>
      <c r="AY75" s="7">
        <v>2.0000000000000001E-4</v>
      </c>
      <c r="AZ75" s="7">
        <v>1E-4</v>
      </c>
      <c r="BA75" s="7">
        <v>1E-4</v>
      </c>
      <c r="BB75" s="7">
        <v>1E-4</v>
      </c>
      <c r="BC75" s="7">
        <v>1E-4</v>
      </c>
      <c r="BD75" s="7">
        <v>1E-4</v>
      </c>
      <c r="BE75" s="7">
        <f>VLOOKUP($A75,'1.Sep'!$E$8:$G$42,3,0)</f>
        <v>1E-4</v>
      </c>
      <c r="BF75" s="7">
        <f>VLOOKUP($A75,'2.Sep'!$E$8:$G$42,3,0)</f>
        <v>1E-4</v>
      </c>
      <c r="BG75" s="7">
        <f>VLOOKUP($A75,'3.Sep'!$E$8:$G$42,3,0)</f>
        <v>1E-4</v>
      </c>
      <c r="BH75" s="8">
        <f>VLOOKUP($A75,'4.Sep'!$E$8:$G$42,3,0)</f>
        <v>1E-4</v>
      </c>
      <c r="BI75" s="8">
        <f>VLOOKUP($A75,'5.Sep'!$E$8:$G$42,3,0)</f>
        <v>1E-4</v>
      </c>
      <c r="BJ75" s="8">
        <f>VLOOKUP($A75,'6.Sep'!$E$8:$G$42,3,0)</f>
        <v>1E-4</v>
      </c>
      <c r="BK75" s="8">
        <f>VLOOKUP($A75,'7.Sep'!$E$8:$G$42,3,0)</f>
        <v>1E-4</v>
      </c>
      <c r="BL75" s="8">
        <f>VLOOKUP($A75,'8.Sep'!$E$8:$G$42,3,0)</f>
        <v>1E-4</v>
      </c>
      <c r="BM75" s="8">
        <f>VLOOKUP($A75,'9.Sep'!$E$8:$G$42,3,0)</f>
        <v>0</v>
      </c>
      <c r="BN75" s="8">
        <f>VLOOKUP($A75,'10.Sep'!$E$8:$G$42,3,0)</f>
        <v>1E-4</v>
      </c>
      <c r="BO75" s="8">
        <f>VLOOKUP($A75,'11.Sep'!$E$8:$G$42,3,0)</f>
        <v>1E-4</v>
      </c>
      <c r="BP75" s="7">
        <f>VLOOKUP($A75,'12.Sep'!$E$8:$G$42,3,0)</f>
        <v>1E-4</v>
      </c>
      <c r="BQ75" s="7">
        <f>VLOOKUP($A75,'13.Sep'!$E$8:$G$42,3,0)</f>
        <v>1E-4</v>
      </c>
      <c r="BR75" s="7">
        <f>VLOOKUP($A75,'14.Sep'!$E$8:$G$42,3,0)</f>
        <v>1E-4</v>
      </c>
      <c r="BS75" s="7">
        <f>VLOOKUP($A75,'15.Sep'!$E$8:$G$42,3,0)</f>
        <v>1E-4</v>
      </c>
      <c r="BT75" s="7">
        <f>VLOOKUP($A75,'16.Sep'!$E$8:$G$42,3,0)</f>
        <v>1E-4</v>
      </c>
      <c r="BU75" s="7">
        <f>VLOOKUP($A75,'17.Sep'!$E$8:$G$42,3,0)</f>
        <v>1E-4</v>
      </c>
      <c r="BV75" s="7">
        <f>VLOOKUP($A75,'18.Sep'!$E$8:$G$42,3,0)</f>
        <v>1E-4</v>
      </c>
      <c r="BW75" s="7">
        <f>VLOOKUP($A75,'19.Sep'!$E$8:$G$42,3,0)</f>
        <v>1E-4</v>
      </c>
      <c r="BX75" s="7">
        <f>VLOOKUP($A75,'20.Sep'!$E$8:$G$42,3,0)</f>
        <v>1E-4</v>
      </c>
      <c r="BY75" s="7">
        <f>VLOOKUP($A75,'21.Sep'!$E$8:$G$42,3,0)</f>
        <v>1E-4</v>
      </c>
      <c r="BZ75" s="7">
        <f>VLOOKUP($A75,'22.Sep'!$E$8:$G$42,3,0)</f>
        <v>1E-4</v>
      </c>
      <c r="CA75" s="7">
        <f>VLOOKUP($A75,'23.Sep'!$E$8:$G$42,3,0)</f>
        <v>1E-4</v>
      </c>
      <c r="CB75" s="7">
        <f>VLOOKUP($A75,'24.Sep'!$E$8:$G$42,3,0)</f>
        <v>1E-4</v>
      </c>
      <c r="CC75" s="7">
        <f>VLOOKUP($A75,'24.Sep'!$E$8:$G$42,3,0)</f>
        <v>1E-4</v>
      </c>
    </row>
    <row r="76" spans="1:115">
      <c r="A76" s="6" t="s">
        <v>77</v>
      </c>
      <c r="B76" s="7">
        <v>2.5000000000000001E-4</v>
      </c>
      <c r="C76" s="7">
        <v>7.1428571428571434E-5</v>
      </c>
      <c r="D76" s="7">
        <v>1.2857142857142858E-4</v>
      </c>
      <c r="E76" s="7">
        <v>1.0000000000000002E-4</v>
      </c>
      <c r="F76" s="7">
        <v>1.0000000000000002E-4</v>
      </c>
      <c r="G76" s="7">
        <v>1.142857142857143E-4</v>
      </c>
      <c r="H76" s="7">
        <f t="shared" si="17"/>
        <v>1.285714285714286E-4</v>
      </c>
      <c r="I76" s="7">
        <f t="shared" si="18"/>
        <v>1.2857142857142858E-4</v>
      </c>
      <c r="J76" s="7">
        <f t="shared" si="19"/>
        <v>4.8571428571428577E-4</v>
      </c>
      <c r="K76" s="7">
        <f t="shared" si="15"/>
        <v>2.1666666666666668E-4</v>
      </c>
      <c r="L76" s="7">
        <f t="shared" si="16"/>
        <v>1.7999999999999998E-4</v>
      </c>
      <c r="M76" s="7">
        <v>5.9999999999999995E-4</v>
      </c>
      <c r="N76" s="7">
        <v>2.0000000000000001E-4</v>
      </c>
      <c r="O76" s="7">
        <v>1E-4</v>
      </c>
      <c r="P76" s="7">
        <v>2.0000000000000001E-4</v>
      </c>
      <c r="Q76" s="7">
        <v>1E-4</v>
      </c>
      <c r="R76" s="7">
        <v>2.9999999999999997E-4</v>
      </c>
      <c r="S76" s="7">
        <v>1E-4</v>
      </c>
      <c r="T76" s="7">
        <v>1E-4</v>
      </c>
      <c r="U76" s="7">
        <v>2.0000000000000001E-4</v>
      </c>
      <c r="V76" s="8">
        <v>0</v>
      </c>
      <c r="W76" s="8">
        <v>0</v>
      </c>
      <c r="X76" s="7">
        <v>0</v>
      </c>
      <c r="Y76" s="7">
        <v>1E-4</v>
      </c>
      <c r="Z76" s="7">
        <v>0</v>
      </c>
      <c r="AA76" s="7">
        <v>2.0000000000000001E-4</v>
      </c>
      <c r="AB76" s="7">
        <v>1E-4</v>
      </c>
      <c r="AC76" s="7">
        <v>2.0000000000000001E-4</v>
      </c>
      <c r="AD76" s="7">
        <v>1E-4</v>
      </c>
      <c r="AE76" s="7">
        <v>2.0000000000000001E-4</v>
      </c>
      <c r="AF76" s="8">
        <v>1E-4</v>
      </c>
      <c r="AG76" s="8">
        <v>1E-4</v>
      </c>
      <c r="AH76" s="8">
        <v>1E-4</v>
      </c>
      <c r="AI76" s="8">
        <v>1E-4</v>
      </c>
      <c r="AJ76" s="8">
        <v>1E-4</v>
      </c>
      <c r="AK76" s="8">
        <v>1E-4</v>
      </c>
      <c r="AL76" s="8">
        <v>1E-4</v>
      </c>
      <c r="AM76" s="7">
        <v>1E-4</v>
      </c>
      <c r="AN76" s="7">
        <v>0</v>
      </c>
      <c r="AO76" s="7">
        <v>1E-4</v>
      </c>
      <c r="AP76" s="7">
        <v>2.0000000000000001E-4</v>
      </c>
      <c r="AQ76" s="7">
        <v>1E-4</v>
      </c>
      <c r="AR76" s="7">
        <v>1E-4</v>
      </c>
      <c r="AS76" s="7">
        <v>1E-4</v>
      </c>
      <c r="AT76" s="7">
        <v>1E-4</v>
      </c>
      <c r="AU76" s="7">
        <v>1E-4</v>
      </c>
      <c r="AV76" s="7">
        <v>1E-4</v>
      </c>
      <c r="AW76" s="7">
        <v>1E-4</v>
      </c>
      <c r="AX76" s="7">
        <v>1E-4</v>
      </c>
      <c r="AY76" s="7">
        <v>1E-4</v>
      </c>
      <c r="AZ76" s="7">
        <v>2.0000000000000001E-4</v>
      </c>
      <c r="BA76" s="7">
        <v>1E-4</v>
      </c>
      <c r="BB76" s="7">
        <v>1E-4</v>
      </c>
      <c r="BC76" s="7">
        <v>1E-4</v>
      </c>
      <c r="BD76" s="7">
        <v>2.0000000000000001E-4</v>
      </c>
      <c r="BE76" s="7">
        <f>VLOOKUP($A76,'1.Sep'!$E$8:$G$42,3,0)</f>
        <v>2.0000000000000001E-4</v>
      </c>
      <c r="BF76" s="7">
        <f>VLOOKUP($A76,'2.Sep'!$E$8:$G$42,3,0)</f>
        <v>1E-4</v>
      </c>
      <c r="BG76" s="7">
        <f>VLOOKUP($A76,'3.Sep'!$E$8:$G$42,3,0)</f>
        <v>1E-4</v>
      </c>
      <c r="BH76" s="8">
        <f>VLOOKUP($A76,'4.Sep'!$E$8:$G$42,3,0)</f>
        <v>1E-4</v>
      </c>
      <c r="BI76" s="8">
        <f>VLOOKUP($A76,'5.Sep'!$E$8:$G$42,3,0)</f>
        <v>1E-4</v>
      </c>
      <c r="BJ76" s="8">
        <f>VLOOKUP($A76,'6.Sep'!$E$8:$G$42,3,0)</f>
        <v>1E-4</v>
      </c>
      <c r="BK76" s="8">
        <f>VLOOKUP($A76,'7.Sep'!$E$8:$G$42,3,0)</f>
        <v>2.0000000000000001E-4</v>
      </c>
      <c r="BL76" s="8">
        <f>VLOOKUP($A76,'8.Sep'!$E$8:$G$42,3,0)</f>
        <v>1E-4</v>
      </c>
      <c r="BM76" s="8">
        <f>VLOOKUP($A76,'9.Sep'!$E$8:$G$42,3,0)</f>
        <v>2.0000000000000001E-4</v>
      </c>
      <c r="BN76" s="8">
        <f>VLOOKUP($A76,'10.Sep'!$E$8:$G$42,3,0)</f>
        <v>1E-4</v>
      </c>
      <c r="BO76" s="8">
        <f>VLOOKUP($A76,'11.Sep'!$E$8:$G$42,3,0)</f>
        <v>1E-4</v>
      </c>
      <c r="BP76" s="7">
        <f>VLOOKUP($A76,'12.Sep'!$E$8:$G$42,3,0)</f>
        <v>1E-4</v>
      </c>
      <c r="BQ76" s="7">
        <f>VLOOKUP($A76,'13.Sep'!$E$8:$G$42,3,0)</f>
        <v>2.0000000000000001E-4</v>
      </c>
      <c r="BR76" s="7">
        <f>VLOOKUP($A76,'14.Sep'!$E$8:$G$42,3,0)</f>
        <v>5.9999999999999995E-4</v>
      </c>
      <c r="BS76" s="7">
        <f>VLOOKUP($A76,'15.Sep'!$E$8:$G$42,3,0)</f>
        <v>8.0000000000000004E-4</v>
      </c>
      <c r="BT76" s="7">
        <f>VLOOKUP($A76,'16.Sep'!$E$8:$G$42,3,0)</f>
        <v>6.9999999999999999E-4</v>
      </c>
      <c r="BU76" s="7">
        <f>VLOOKUP($A76,'17.Sep'!$E$8:$G$42,3,0)</f>
        <v>5.0000000000000001E-4</v>
      </c>
      <c r="BV76" s="7">
        <f>VLOOKUP($A76,'18.Sep'!$E$8:$G$42,3,0)</f>
        <v>5.0000000000000001E-4</v>
      </c>
      <c r="BW76" s="7">
        <f>VLOOKUP($A76,'19.Sep'!$E$8:$G$42,3,0)</f>
        <v>4.0000000000000002E-4</v>
      </c>
      <c r="BX76" s="7">
        <f>VLOOKUP($A76,'20.Sep'!$E$8:$G$42,3,0)</f>
        <v>1E-4</v>
      </c>
      <c r="BY76" s="7">
        <f>VLOOKUP($A76,'21.Sep'!$E$8:$G$42,3,0)</f>
        <v>2.0000000000000001E-4</v>
      </c>
      <c r="BZ76" s="7">
        <f>VLOOKUP($A76,'22.Sep'!$E$8:$G$42,3,0)</f>
        <v>2.0000000000000001E-4</v>
      </c>
      <c r="CA76" s="7">
        <f>VLOOKUP($A76,'23.Sep'!$E$8:$G$42,3,0)</f>
        <v>2.0000000000000001E-4</v>
      </c>
      <c r="CB76" s="7">
        <f>VLOOKUP($A76,'24.Sep'!$E$8:$G$42,3,0)</f>
        <v>2.0000000000000001E-4</v>
      </c>
      <c r="CC76" s="7">
        <f>VLOOKUP($A76,'24.Sep'!$E$8:$G$42,3,0)</f>
        <v>2.0000000000000001E-4</v>
      </c>
    </row>
    <row r="77" spans="1:115">
      <c r="A77" s="6" t="s">
        <v>78</v>
      </c>
      <c r="B77" s="7">
        <v>3.3333333333333335E-5</v>
      </c>
      <c r="C77" s="7">
        <v>4.2857142857142863E-5</v>
      </c>
      <c r="D77" s="7">
        <v>0</v>
      </c>
      <c r="E77" s="7">
        <v>1.4285714285714287E-5</v>
      </c>
      <c r="F77" s="7">
        <v>1.4285714285714287E-5</v>
      </c>
      <c r="G77" s="7">
        <v>1.4285714285714287E-5</v>
      </c>
      <c r="H77" s="7">
        <f t="shared" si="17"/>
        <v>4.2857142857142863E-5</v>
      </c>
      <c r="I77" s="7">
        <f t="shared" si="18"/>
        <v>8.5714285714285726E-5</v>
      </c>
      <c r="J77" s="7">
        <f t="shared" si="19"/>
        <v>1.4285714285714287E-5</v>
      </c>
      <c r="K77" s="7">
        <f t="shared" si="15"/>
        <v>5.0000000000000002E-5</v>
      </c>
      <c r="L77" s="7">
        <f t="shared" si="16"/>
        <v>6.0000000000000008E-5</v>
      </c>
      <c r="M77" s="8">
        <v>0</v>
      </c>
      <c r="N77" s="7">
        <v>2.0000000000000001E-4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7">
        <v>2.0000000000000001E-4</v>
      </c>
      <c r="X77" s="7">
        <v>0</v>
      </c>
      <c r="Y77" s="7">
        <v>1E-4</v>
      </c>
      <c r="Z77" s="7">
        <v>0</v>
      </c>
      <c r="AA77" s="8">
        <v>0</v>
      </c>
      <c r="AB77" s="8">
        <v>0</v>
      </c>
      <c r="AC77" s="8">
        <v>0</v>
      </c>
      <c r="AD77" s="7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  <c r="AJ77" s="8">
        <v>0</v>
      </c>
      <c r="AK77" s="8">
        <v>1E-4</v>
      </c>
      <c r="AL77" s="8">
        <v>0</v>
      </c>
      <c r="AM77" s="7">
        <v>0</v>
      </c>
      <c r="AN77" s="7">
        <v>0</v>
      </c>
      <c r="AO77" s="7">
        <v>0</v>
      </c>
      <c r="AP77" s="8">
        <v>0</v>
      </c>
      <c r="AQ77" s="8">
        <v>0</v>
      </c>
      <c r="AR77" s="7">
        <v>0</v>
      </c>
      <c r="AS77" s="7">
        <v>1E-4</v>
      </c>
      <c r="AT77" s="7">
        <v>0</v>
      </c>
      <c r="AU77" s="7">
        <v>0</v>
      </c>
      <c r="AV77" s="7">
        <v>0</v>
      </c>
      <c r="AW77" s="8">
        <v>0</v>
      </c>
      <c r="AX77" s="7">
        <v>0</v>
      </c>
      <c r="AY77" s="7">
        <v>0</v>
      </c>
      <c r="AZ77" s="7">
        <v>0</v>
      </c>
      <c r="BA77" s="7">
        <v>1E-4</v>
      </c>
      <c r="BB77" s="7">
        <v>0</v>
      </c>
      <c r="BC77" s="7">
        <v>0</v>
      </c>
      <c r="BD77" s="7">
        <v>0</v>
      </c>
      <c r="BE77" s="8">
        <v>0</v>
      </c>
      <c r="BF77" s="7">
        <f>VLOOKUP($A77,'2.Sep'!$E$8:$G$42,3,0)</f>
        <v>1E-4</v>
      </c>
      <c r="BG77" s="7">
        <f>VLOOKUP($A77,'3.Sep'!$E$8:$G$42,3,0)</f>
        <v>1E-4</v>
      </c>
      <c r="BH77" s="8">
        <f>VLOOKUP($A77,'4.Sep'!$E$8:$G$42,3,0)</f>
        <v>1E-4</v>
      </c>
      <c r="BI77" s="8">
        <f>VLOOKUP($A77,'5.Sep'!$E$8:$G$42,3,0)</f>
        <v>1E-4</v>
      </c>
      <c r="BJ77" s="8">
        <f>VLOOKUP($A77,'6.Sep'!$E$8:$G$42,3,0)</f>
        <v>1E-4</v>
      </c>
      <c r="BK77" s="8">
        <f>VLOOKUP($A77,'7.Sep'!$E$8:$G$42,3,0)</f>
        <v>1E-4</v>
      </c>
      <c r="BL77" s="8">
        <f>VLOOKUP($A77,'8.Sep'!$E$8:$G$42,3,0)</f>
        <v>1E-4</v>
      </c>
      <c r="BM77" s="8">
        <f>VLOOKUP($A77,'9.Sep'!$E$8:$G$42,3,0)</f>
        <v>1E-4</v>
      </c>
      <c r="BN77" s="8">
        <f>VLOOKUP($A77,'10.Sep'!$E$8:$G$42,3,0)</f>
        <v>0</v>
      </c>
      <c r="BO77" s="8">
        <f>VLOOKUP($A77,'11.Sep'!$E$8:$G$42,3,0)</f>
        <v>1E-4</v>
      </c>
      <c r="BP77" s="7">
        <f>VLOOKUP($A77,'12.Sep'!$E$8:$G$42,3,0)</f>
        <v>1E-4</v>
      </c>
      <c r="BQ77" s="7">
        <f>VLOOKUP($A77,'13.Sep'!$E$8:$G$42,3,0)</f>
        <v>0</v>
      </c>
      <c r="BR77" s="7">
        <f>VLOOKUP($A77,'14.Sep'!$E$8:$G$42,3,0)</f>
        <v>0</v>
      </c>
      <c r="BS77" s="7">
        <f>VLOOKUP($A77,'15.Sep'!$E$8:$G$42,3,0)</f>
        <v>0</v>
      </c>
      <c r="BT77" s="7">
        <f>VLOOKUP($A77,'16.Sep'!$E$8:$G$42,3,0)</f>
        <v>0</v>
      </c>
      <c r="BU77" s="7">
        <f>VLOOKUP($A77,'17.Sep'!$E$8:$G$42,3,0)</f>
        <v>0</v>
      </c>
      <c r="BV77" s="7">
        <f>VLOOKUP($A77,'18.Sep'!$E$8:$G$42,3,0)</f>
        <v>0</v>
      </c>
      <c r="BW77" s="7">
        <f>VLOOKUP($A77,'19.Sep'!$E$8:$G$42,3,0)</f>
        <v>0</v>
      </c>
      <c r="BX77" s="7">
        <f>VLOOKUP($A77,'20.Sep'!$E$8:$G$42,3,0)</f>
        <v>0</v>
      </c>
      <c r="BY77" s="7">
        <f>VLOOKUP($A77,'21.Sep'!$E$8:$G$42,3,0)</f>
        <v>1E-4</v>
      </c>
      <c r="BZ77" s="7">
        <f>VLOOKUP($A77,'22.Sep'!$E$8:$G$42,3,0)</f>
        <v>1E-4</v>
      </c>
      <c r="CA77" s="7">
        <f>VLOOKUP($A77,'23.Sep'!$E$8:$G$42,3,0)</f>
        <v>1E-4</v>
      </c>
      <c r="CB77" s="7">
        <f>VLOOKUP($A77,'24.Sep'!$E$8:$G$42,3,0)</f>
        <v>0</v>
      </c>
      <c r="CC77" s="7">
        <f>VLOOKUP($A77,'24.Sep'!$E$8:$G$42,3,0)</f>
        <v>0</v>
      </c>
    </row>
    <row r="78" spans="1:115">
      <c r="A78" s="6" t="s">
        <v>79</v>
      </c>
      <c r="B78" s="7">
        <v>5.0000000000000002E-5</v>
      </c>
      <c r="C78" s="7">
        <v>4.2857142857142863E-5</v>
      </c>
      <c r="D78" s="7">
        <v>2.8571428571428574E-5</v>
      </c>
      <c r="E78" s="7">
        <v>8.5714285714285726E-5</v>
      </c>
      <c r="F78" s="7">
        <v>1.1428571428571431E-4</v>
      </c>
      <c r="G78" s="7">
        <v>8.5714285714285726E-5</v>
      </c>
      <c r="H78" s="7">
        <f t="shared" si="17"/>
        <v>8.5714285714285726E-5</v>
      </c>
      <c r="I78" s="7">
        <f t="shared" si="18"/>
        <v>1.8571428571428574E-4</v>
      </c>
      <c r="J78" s="7">
        <f t="shared" si="19"/>
        <v>8.5714285714285726E-5</v>
      </c>
      <c r="K78" s="7">
        <f t="shared" si="15"/>
        <v>1.8333333333333331E-4</v>
      </c>
      <c r="L78" s="7">
        <f t="shared" si="16"/>
        <v>2.1999999999999998E-4</v>
      </c>
      <c r="M78" s="7">
        <v>1E-4</v>
      </c>
      <c r="N78" s="8">
        <v>0</v>
      </c>
      <c r="O78" s="8">
        <v>0</v>
      </c>
      <c r="P78" s="7">
        <v>2.0000000000000001E-4</v>
      </c>
      <c r="Q78" s="8">
        <v>0</v>
      </c>
      <c r="R78" s="8">
        <v>0</v>
      </c>
      <c r="S78" s="8">
        <v>0</v>
      </c>
      <c r="T78" s="7">
        <v>1E-4</v>
      </c>
      <c r="U78" s="7">
        <v>1E-4</v>
      </c>
      <c r="V78" s="8">
        <v>0</v>
      </c>
      <c r="W78" s="8">
        <v>0</v>
      </c>
      <c r="X78" s="7">
        <v>0</v>
      </c>
      <c r="Y78" s="7">
        <v>1E-4</v>
      </c>
      <c r="Z78" s="8">
        <v>0</v>
      </c>
      <c r="AA78" s="7">
        <v>1E-4</v>
      </c>
      <c r="AB78" s="7">
        <v>0</v>
      </c>
      <c r="AC78" s="8">
        <v>0</v>
      </c>
      <c r="AD78" s="8">
        <v>0</v>
      </c>
      <c r="AE78" s="7">
        <v>0</v>
      </c>
      <c r="AF78" s="8">
        <v>1E-4</v>
      </c>
      <c r="AG78" s="8">
        <v>0</v>
      </c>
      <c r="AH78" s="8">
        <v>1E-4</v>
      </c>
      <c r="AI78" s="8">
        <v>1E-4</v>
      </c>
      <c r="AJ78" s="8">
        <v>1E-4</v>
      </c>
      <c r="AK78" s="8">
        <v>1E-4</v>
      </c>
      <c r="AL78" s="8">
        <v>1E-4</v>
      </c>
      <c r="AM78" s="7">
        <v>1E-4</v>
      </c>
      <c r="AN78" s="7">
        <v>1E-4</v>
      </c>
      <c r="AO78" s="7">
        <v>2.0000000000000001E-4</v>
      </c>
      <c r="AP78" s="7">
        <v>1E-4</v>
      </c>
      <c r="AQ78" s="7">
        <v>1E-4</v>
      </c>
      <c r="AR78" s="7">
        <v>1E-4</v>
      </c>
      <c r="AS78" s="7">
        <v>1E-4</v>
      </c>
      <c r="AT78" s="7">
        <v>1E-4</v>
      </c>
      <c r="AU78" s="7">
        <v>1E-4</v>
      </c>
      <c r="AV78" s="7">
        <v>1E-4</v>
      </c>
      <c r="AW78" s="7">
        <v>0</v>
      </c>
      <c r="AX78" s="7">
        <v>2.0000000000000001E-4</v>
      </c>
      <c r="AY78" s="7">
        <v>1E-4</v>
      </c>
      <c r="AZ78" s="7">
        <v>1E-4</v>
      </c>
      <c r="BA78" s="7">
        <v>0</v>
      </c>
      <c r="BB78" s="7">
        <v>1E-4</v>
      </c>
      <c r="BC78" s="7">
        <v>0</v>
      </c>
      <c r="BD78" s="7">
        <v>1E-4</v>
      </c>
      <c r="BE78" s="7">
        <f>VLOOKUP($A78,'1.Sep'!$E$8:$G$42,3,0)</f>
        <v>1E-4</v>
      </c>
      <c r="BF78" s="7">
        <f>VLOOKUP($A78,'2.Sep'!$E$8:$G$42,3,0)</f>
        <v>1E-4</v>
      </c>
      <c r="BG78" s="7">
        <f>VLOOKUP($A78,'3.Sep'!$E$8:$G$42,3,0)</f>
        <v>1E-4</v>
      </c>
      <c r="BH78" s="8">
        <f>VLOOKUP($A78,'4.Sep'!$E$8:$G$42,3,0)</f>
        <v>1E-4</v>
      </c>
      <c r="BI78" s="8">
        <f>VLOOKUP($A78,'5.Sep'!$E$8:$G$42,3,0)</f>
        <v>1E-4</v>
      </c>
      <c r="BJ78" s="8">
        <f>VLOOKUP($A78,'6.Sep'!$E$8:$G$42,3,0)</f>
        <v>2.9999999999999997E-4</v>
      </c>
      <c r="BK78" s="8">
        <f>VLOOKUP($A78,'7.Sep'!$E$8:$G$42,3,0)</f>
        <v>2.0000000000000001E-4</v>
      </c>
      <c r="BL78" s="8">
        <f>VLOOKUP($A78,'8.Sep'!$E$8:$G$42,3,0)</f>
        <v>2.0000000000000001E-4</v>
      </c>
      <c r="BM78" s="8">
        <f>VLOOKUP($A78,'9.Sep'!$E$8:$G$42,3,0)</f>
        <v>2.0000000000000001E-4</v>
      </c>
      <c r="BN78" s="8">
        <f>VLOOKUP($A78,'10.Sep'!$E$8:$G$42,3,0)</f>
        <v>1E-4</v>
      </c>
      <c r="BO78" s="8">
        <f>VLOOKUP($A78,'11.Sep'!$E$8:$G$42,3,0)</f>
        <v>2.0000000000000001E-4</v>
      </c>
      <c r="BP78" s="7">
        <f>VLOOKUP($A78,'12.Sep'!$E$8:$G$42,3,0)</f>
        <v>1E-4</v>
      </c>
      <c r="BQ78" s="7">
        <f>VLOOKUP($A78,'13.Sep'!$E$8:$G$42,3,0)</f>
        <v>2.0000000000000001E-4</v>
      </c>
      <c r="BR78" s="7">
        <f>VLOOKUP($A78,'14.Sep'!$E$8:$G$42,3,0)</f>
        <v>2.0000000000000001E-4</v>
      </c>
      <c r="BS78" s="7">
        <f>VLOOKUP($A78,'15.Sep'!$E$8:$G$42,3,0)</f>
        <v>1E-4</v>
      </c>
      <c r="BT78" s="7">
        <f>VLOOKUP($A78,'16.Sep'!$E$8:$G$42,3,0)</f>
        <v>0</v>
      </c>
      <c r="BU78" s="7">
        <f>VLOOKUP($A78,'17.Sep'!$E$8:$G$42,3,0)</f>
        <v>0</v>
      </c>
      <c r="BV78" s="7">
        <f>VLOOKUP($A78,'18.Sep'!$E$8:$G$42,3,0)</f>
        <v>0</v>
      </c>
      <c r="BW78" s="7">
        <f>VLOOKUP($A78,'19.Sep'!$E$8:$G$42,3,0)</f>
        <v>0</v>
      </c>
      <c r="BX78" s="7">
        <f>VLOOKUP($A78,'20.Sep'!$E$8:$G$42,3,0)</f>
        <v>1E-4</v>
      </c>
      <c r="BY78" s="7">
        <f>VLOOKUP($A78,'21.Sep'!$E$8:$G$42,3,0)</f>
        <v>2.9999999999999997E-4</v>
      </c>
      <c r="BZ78" s="7">
        <f>VLOOKUP($A78,'22.Sep'!$E$8:$G$42,3,0)</f>
        <v>2.9999999999999997E-4</v>
      </c>
      <c r="CA78" s="7">
        <f>VLOOKUP($A78,'23.Sep'!$E$8:$G$42,3,0)</f>
        <v>2.9999999999999997E-4</v>
      </c>
      <c r="CB78" s="7">
        <f>VLOOKUP($A78,'24.Sep'!$E$8:$G$42,3,0)</f>
        <v>1E-4</v>
      </c>
      <c r="CC78" s="7">
        <f>VLOOKUP($A78,'24.Sep'!$E$8:$G$42,3,0)</f>
        <v>1E-4</v>
      </c>
    </row>
    <row r="79" spans="1:115">
      <c r="A79" s="6" t="s">
        <v>80</v>
      </c>
      <c r="B79" s="7">
        <v>2.1666666666666668E-4</v>
      </c>
      <c r="C79" s="7">
        <v>1.4285714285714287E-4</v>
      </c>
      <c r="D79" s="7">
        <v>1.4285714285714287E-5</v>
      </c>
      <c r="E79" s="7">
        <v>0</v>
      </c>
      <c r="F79" s="7">
        <v>0</v>
      </c>
      <c r="G79" s="7">
        <v>0</v>
      </c>
      <c r="H79" s="7">
        <f t="shared" si="17"/>
        <v>0</v>
      </c>
      <c r="I79" s="7">
        <f t="shared" si="18"/>
        <v>0</v>
      </c>
      <c r="J79" s="7">
        <f t="shared" si="19"/>
        <v>0</v>
      </c>
      <c r="K79" s="7">
        <f t="shared" si="15"/>
        <v>0</v>
      </c>
      <c r="L79" s="7">
        <f t="shared" si="16"/>
        <v>0</v>
      </c>
      <c r="M79" s="7">
        <v>2.0000000000000001E-4</v>
      </c>
      <c r="N79" s="7">
        <v>2.0000000000000001E-4</v>
      </c>
      <c r="O79" s="7">
        <v>2.9999999999999997E-4</v>
      </c>
      <c r="P79" s="7">
        <v>2.0000000000000001E-4</v>
      </c>
      <c r="Q79" s="7">
        <v>2.0000000000000001E-4</v>
      </c>
      <c r="R79" s="7">
        <v>2.0000000000000001E-4</v>
      </c>
      <c r="S79" s="7">
        <v>1E-4</v>
      </c>
      <c r="T79" s="7">
        <v>1E-4</v>
      </c>
      <c r="U79" s="7">
        <v>1E-4</v>
      </c>
      <c r="V79" s="7">
        <v>4.0000000000000002E-4</v>
      </c>
      <c r="W79" s="7">
        <v>2.0000000000000001E-4</v>
      </c>
      <c r="X79" s="7">
        <v>1E-4</v>
      </c>
      <c r="Y79" s="7">
        <v>0</v>
      </c>
      <c r="Z79" s="7">
        <v>1E-4</v>
      </c>
      <c r="AA79" s="7">
        <v>0</v>
      </c>
      <c r="AB79" s="8">
        <v>0</v>
      </c>
      <c r="AC79" s="7">
        <v>0</v>
      </c>
      <c r="AD79" s="7">
        <v>0</v>
      </c>
      <c r="AE79" s="7">
        <v>0</v>
      </c>
      <c r="AF79" s="8">
        <v>0</v>
      </c>
      <c r="AG79" s="8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7">
        <v>0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0</v>
      </c>
      <c r="AX79" s="7">
        <v>0</v>
      </c>
      <c r="AY79" s="7">
        <v>0</v>
      </c>
      <c r="AZ79" s="7">
        <v>0</v>
      </c>
      <c r="BA79" s="7">
        <v>0</v>
      </c>
      <c r="BB79" s="7">
        <v>0</v>
      </c>
      <c r="BC79" s="7">
        <v>0</v>
      </c>
      <c r="BD79" s="7">
        <v>0</v>
      </c>
      <c r="BE79" s="7">
        <f>VLOOKUP($A79,'1.Sep'!$E$8:$G$42,3,0)</f>
        <v>0</v>
      </c>
      <c r="BF79" s="8">
        <v>0</v>
      </c>
      <c r="BG79" s="7">
        <f>VLOOKUP($A79,'3.Sep'!$E$8:$G$42,3,0)</f>
        <v>0</v>
      </c>
      <c r="BH79" s="8">
        <f>VLOOKUP($A79,'4.Sep'!$E$8:$G$42,3,0)</f>
        <v>0</v>
      </c>
      <c r="BI79" s="8">
        <f>VLOOKUP($A79,'5.Sep'!$E$8:$G$42,3,0)</f>
        <v>0</v>
      </c>
      <c r="BJ79" s="8">
        <f>VLOOKUP($A79,'6.Sep'!$E$8:$G$42,3,0)</f>
        <v>0</v>
      </c>
      <c r="BK79" s="8">
        <f>VLOOKUP($A79,'7.Sep'!$E$8:$G$42,3,0)</f>
        <v>0</v>
      </c>
      <c r="BL79" s="8">
        <f>VLOOKUP($A79,'8.Sep'!$E$8:$G$42,3,0)</f>
        <v>0</v>
      </c>
      <c r="BM79" s="8">
        <f>VLOOKUP($A79,'9.Sep'!$E$8:$G$42,3,0)</f>
        <v>0</v>
      </c>
      <c r="BN79" s="8">
        <f>VLOOKUP($A79,'10.Sep'!$E$8:$G$42,3,0)</f>
        <v>0</v>
      </c>
      <c r="BO79" s="8">
        <f>VLOOKUP($A79,'11.Sep'!$E$8:$G$42,3,0)</f>
        <v>0</v>
      </c>
      <c r="BP79" s="7">
        <f>VLOOKUP($A79,'12.Sep'!$E$8:$G$42,3,0)</f>
        <v>0</v>
      </c>
      <c r="BQ79" s="7">
        <f>VLOOKUP($A79,'13.Sep'!$E$8:$G$42,3,0)</f>
        <v>0</v>
      </c>
      <c r="BR79" s="8">
        <v>0</v>
      </c>
      <c r="BS79" s="7">
        <f>VLOOKUP($A79,'15.Sep'!$E$8:$G$42,3,0)</f>
        <v>0</v>
      </c>
      <c r="BT79" s="7">
        <f>VLOOKUP($A79,'16.Sep'!$E$8:$G$42,3,0)</f>
        <v>0</v>
      </c>
      <c r="BU79" s="7">
        <f>VLOOKUP($A79,'17.Sep'!$E$8:$G$42,3,0)</f>
        <v>0</v>
      </c>
      <c r="BV79" s="7">
        <f>VLOOKUP($A79,'18.Sep'!$E$8:$G$42,3,0)</f>
        <v>0</v>
      </c>
      <c r="BW79" s="7">
        <f>VLOOKUP($A79,'19.Sep'!$E$8:$G$42,3,0)</f>
        <v>0</v>
      </c>
      <c r="BX79" s="7">
        <f>VLOOKUP($A79,'20.Sep'!$E$8:$G$42,3,0)</f>
        <v>0</v>
      </c>
      <c r="BY79" s="7">
        <f>VLOOKUP($A79,'21.Sep'!$E$8:$G$42,3,0)</f>
        <v>0</v>
      </c>
      <c r="BZ79" s="7">
        <f>VLOOKUP($A79,'22.Sep'!$E$8:$G$42,3,0)</f>
        <v>0</v>
      </c>
      <c r="CA79" s="7">
        <f>VLOOKUP($A79,'23.Sep'!$E$8:$G$42,3,0)</f>
        <v>0</v>
      </c>
      <c r="CB79" s="7">
        <f>VLOOKUP($A79,'24.Sep'!$E$8:$G$42,3,0)</f>
        <v>0</v>
      </c>
      <c r="CC79" s="7">
        <f>VLOOKUP($A79,'24.Sep'!$E$8:$G$42,3,0)</f>
        <v>0</v>
      </c>
    </row>
    <row r="80" spans="1:115">
      <c r="A80" s="6" t="s">
        <v>81</v>
      </c>
      <c r="B80" s="7">
        <v>5.0000000000000002E-5</v>
      </c>
      <c r="C80" s="7">
        <v>1.4285714285714287E-5</v>
      </c>
      <c r="D80" s="7">
        <v>0</v>
      </c>
      <c r="E80" s="7">
        <v>0</v>
      </c>
      <c r="F80" s="7">
        <v>0</v>
      </c>
      <c r="G80" s="7">
        <v>0</v>
      </c>
      <c r="H80" s="7">
        <f t="shared" si="17"/>
        <v>0</v>
      </c>
      <c r="I80" s="7">
        <f t="shared" si="18"/>
        <v>0</v>
      </c>
      <c r="J80" s="7">
        <f t="shared" si="19"/>
        <v>0</v>
      </c>
      <c r="K80" s="7">
        <f t="shared" si="15"/>
        <v>0</v>
      </c>
      <c r="L80" s="7">
        <f t="shared" si="16"/>
        <v>0</v>
      </c>
      <c r="M80" s="7">
        <v>1E-4</v>
      </c>
      <c r="N80" s="8">
        <v>0</v>
      </c>
      <c r="O80" s="8">
        <v>0</v>
      </c>
      <c r="P80" s="7">
        <v>1E-4</v>
      </c>
      <c r="Q80" s="7">
        <v>1E-4</v>
      </c>
      <c r="R80" s="8">
        <v>0</v>
      </c>
      <c r="S80" s="7">
        <v>1E-4</v>
      </c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7">
        <v>0</v>
      </c>
      <c r="AC80" s="7">
        <v>0</v>
      </c>
      <c r="AD80" s="8">
        <v>0</v>
      </c>
      <c r="AE80" s="7">
        <v>0</v>
      </c>
      <c r="AF80" s="8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7">
        <v>0</v>
      </c>
      <c r="AN80" s="8">
        <v>0</v>
      </c>
      <c r="AO80" s="7">
        <v>0</v>
      </c>
      <c r="AP80" s="8">
        <v>0</v>
      </c>
      <c r="AQ80" s="7">
        <v>0</v>
      </c>
      <c r="AR80" s="7">
        <v>0</v>
      </c>
      <c r="AS80" s="7">
        <v>0</v>
      </c>
      <c r="AT80" s="8">
        <v>0</v>
      </c>
      <c r="AU80" s="8">
        <v>0</v>
      </c>
      <c r="AV80" s="8">
        <v>0</v>
      </c>
      <c r="AW80" s="8">
        <v>0</v>
      </c>
      <c r="AX80" s="7">
        <v>0</v>
      </c>
      <c r="AY80" s="7">
        <v>0</v>
      </c>
      <c r="AZ80" s="7">
        <v>0</v>
      </c>
      <c r="BA80" s="7">
        <v>0</v>
      </c>
      <c r="BB80" s="7">
        <v>0</v>
      </c>
      <c r="BC80" s="8">
        <v>0</v>
      </c>
      <c r="BD80" s="8">
        <v>0</v>
      </c>
      <c r="BE80" s="8">
        <v>0</v>
      </c>
      <c r="BF80" s="7">
        <f>VLOOKUP($A80,'2.Sep'!$E$8:$G$42,3,0)</f>
        <v>0</v>
      </c>
      <c r="BG80" s="7">
        <f>VLOOKUP($A80,'3.Sep'!$E$8:$G$42,3,0)</f>
        <v>0</v>
      </c>
      <c r="BH80" s="8">
        <v>0</v>
      </c>
      <c r="BI80" s="8">
        <f>VLOOKUP($A80,'5.Sep'!$E$8:$G$42,3,0)</f>
        <v>0</v>
      </c>
      <c r="BJ80" s="8">
        <f>VLOOKUP($A80,'6.Sep'!$E$8:$G$42,3,0)</f>
        <v>0</v>
      </c>
      <c r="BK80" s="8">
        <f>VLOOKUP($A80,'7.Sep'!$E$8:$G$42,3,0)</f>
        <v>0</v>
      </c>
      <c r="BL80" s="8">
        <v>0</v>
      </c>
      <c r="BM80" s="8">
        <f>VLOOKUP($A80,'9.Sep'!$E$8:$G$42,3,0)</f>
        <v>0</v>
      </c>
      <c r="BN80" s="8">
        <f>VLOOKUP($A80,'10.Sep'!$E$8:$G$42,3,0)</f>
        <v>0</v>
      </c>
      <c r="BO80" s="8">
        <v>0</v>
      </c>
      <c r="BP80" s="8">
        <v>0</v>
      </c>
      <c r="BQ80" s="7">
        <f>VLOOKUP($A80,'13.Sep'!$E$8:$G$42,3,0)</f>
        <v>0</v>
      </c>
      <c r="BR80" s="8">
        <v>0</v>
      </c>
      <c r="BS80" s="7">
        <f>VLOOKUP($A80,'15.Sep'!$E$8:$G$42,3,0)</f>
        <v>0</v>
      </c>
      <c r="BT80" s="7">
        <v>0</v>
      </c>
      <c r="BU80" s="7">
        <f>VLOOKUP($A80,'17.Sep'!$E$8:$G$42,3,0)</f>
        <v>0</v>
      </c>
      <c r="BV80" s="7">
        <f>VLOOKUP($A80,'18.Sep'!$E$8:$G$42,3,0)</f>
        <v>0</v>
      </c>
      <c r="BW80" s="7">
        <f>VLOOKUP($A80,'19.Sep'!$E$8:$G$42,3,0)</f>
        <v>0</v>
      </c>
      <c r="BX80" s="7">
        <f>VLOOKUP($A80,'20.Sep'!$E$8:$G$42,3,0)</f>
        <v>0</v>
      </c>
      <c r="BY80" s="7">
        <v>0</v>
      </c>
      <c r="BZ80" s="7">
        <f>VLOOKUP($A80,'22.Sep'!$E$8:$G$42,3,0)</f>
        <v>0</v>
      </c>
      <c r="CA80" s="7">
        <v>0</v>
      </c>
      <c r="CB80" s="7">
        <v>0</v>
      </c>
      <c r="CC80" s="7">
        <v>0</v>
      </c>
    </row>
    <row r="81" spans="1:81">
      <c r="A81" s="6" t="s">
        <v>82</v>
      </c>
      <c r="B81" s="7">
        <v>1.6666666666666667E-5</v>
      </c>
      <c r="C81" s="7">
        <v>1.4285714285714287E-5</v>
      </c>
      <c r="D81" s="7">
        <v>2.8571428571428574E-5</v>
      </c>
      <c r="E81" s="7">
        <v>5.7142857142857148E-5</v>
      </c>
      <c r="F81" s="7">
        <v>0</v>
      </c>
      <c r="G81" s="7">
        <v>0</v>
      </c>
      <c r="H81" s="7">
        <f t="shared" si="17"/>
        <v>0</v>
      </c>
      <c r="I81" s="7">
        <f t="shared" si="18"/>
        <v>0</v>
      </c>
      <c r="J81" s="7">
        <f t="shared" si="19"/>
        <v>0</v>
      </c>
      <c r="K81" s="7">
        <f t="shared" si="15"/>
        <v>0</v>
      </c>
      <c r="L81" s="7">
        <f t="shared" si="16"/>
        <v>0</v>
      </c>
      <c r="M81" s="7">
        <v>1E-4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7">
        <v>1E-4</v>
      </c>
      <c r="V81" s="8">
        <v>0</v>
      </c>
      <c r="W81" s="8">
        <v>0</v>
      </c>
      <c r="X81" s="8">
        <v>0</v>
      </c>
      <c r="Y81" s="8">
        <v>0</v>
      </c>
      <c r="Z81" s="7">
        <v>1E-4</v>
      </c>
      <c r="AA81" s="7">
        <v>1E-4</v>
      </c>
      <c r="AB81" s="8">
        <v>0</v>
      </c>
      <c r="AC81" s="8">
        <v>0</v>
      </c>
      <c r="AD81" s="8">
        <v>0</v>
      </c>
      <c r="AE81" s="8">
        <v>0</v>
      </c>
      <c r="AF81" s="8">
        <v>0</v>
      </c>
      <c r="AG81" s="8">
        <v>1E-4</v>
      </c>
      <c r="AH81" s="8">
        <v>2.0000000000000001E-4</v>
      </c>
      <c r="AI81" s="8">
        <v>0</v>
      </c>
      <c r="AJ81" s="8">
        <v>0</v>
      </c>
      <c r="AK81" s="8">
        <v>1E-4</v>
      </c>
      <c r="AL81" s="8">
        <v>0</v>
      </c>
      <c r="AM81" s="7">
        <v>0</v>
      </c>
      <c r="AN81" s="8">
        <v>0</v>
      </c>
      <c r="AO81" s="8">
        <v>0</v>
      </c>
      <c r="AP81" s="8">
        <v>0</v>
      </c>
      <c r="AQ81" s="7">
        <v>0</v>
      </c>
      <c r="AR81" s="7">
        <v>0</v>
      </c>
      <c r="AS81" s="8">
        <v>0</v>
      </c>
      <c r="AT81" s="8">
        <v>0</v>
      </c>
      <c r="AU81" s="8">
        <v>0</v>
      </c>
      <c r="AV81" s="8">
        <v>0</v>
      </c>
      <c r="AW81" s="8">
        <v>0</v>
      </c>
      <c r="AX81" s="8">
        <v>0</v>
      </c>
      <c r="AY81" s="7">
        <v>0</v>
      </c>
      <c r="AZ81" s="7">
        <v>0</v>
      </c>
      <c r="BA81" s="7">
        <v>0</v>
      </c>
      <c r="BB81" s="7">
        <v>0</v>
      </c>
      <c r="BC81" s="8">
        <v>0</v>
      </c>
      <c r="BD81" s="8">
        <v>0</v>
      </c>
      <c r="BE81" s="8">
        <v>0</v>
      </c>
      <c r="BF81" s="7">
        <f>VLOOKUP($A81,'2.Sep'!$E$8:$G$42,3,0)</f>
        <v>0</v>
      </c>
      <c r="BG81" s="7">
        <f>VLOOKUP($A81,'3.Sep'!$E$8:$G$42,3,0)</f>
        <v>0</v>
      </c>
      <c r="BH81" s="8">
        <f>VLOOKUP($A81,'4.Sep'!$E$8:$G$42,3,0)</f>
        <v>0</v>
      </c>
      <c r="BI81" s="7">
        <v>0</v>
      </c>
      <c r="BJ81" s="8">
        <v>0</v>
      </c>
      <c r="BK81" s="8">
        <f>VLOOKUP($A81,'7.Sep'!$E$8:$G$42,3,0)</f>
        <v>0</v>
      </c>
      <c r="BL81" s="8">
        <f>VLOOKUP($A81,'8.Sep'!$E$8:$G$42,3,0)</f>
        <v>0</v>
      </c>
      <c r="BM81" s="8">
        <f>VLOOKUP($A81,'9.Sep'!$E$8:$G$42,3,0)</f>
        <v>0</v>
      </c>
      <c r="BN81" s="8">
        <f>VLOOKUP($A81,'10.Sep'!$E$8:$G$42,3,0)</f>
        <v>0</v>
      </c>
      <c r="BO81" s="8">
        <f>VLOOKUP($A81,'11.Sep'!$E$8:$G$42,3,0)</f>
        <v>0</v>
      </c>
      <c r="BP81" s="8">
        <v>0</v>
      </c>
      <c r="BQ81" s="8">
        <v>0</v>
      </c>
      <c r="BR81" s="8">
        <v>0</v>
      </c>
      <c r="BS81" s="7">
        <f>VLOOKUP($A81,'15.Sep'!$E$8:$G$42,3,0)</f>
        <v>0</v>
      </c>
      <c r="BT81" s="7">
        <v>0</v>
      </c>
      <c r="BU81" s="7">
        <f>VLOOKUP($A81,'17.Sep'!$E$8:$G$42,3,0)</f>
        <v>0</v>
      </c>
      <c r="BV81" s="7">
        <v>0</v>
      </c>
      <c r="BW81" s="7">
        <f>VLOOKUP($A81,'19.Sep'!$E$8:$G$42,3,0)</f>
        <v>0</v>
      </c>
      <c r="BX81" s="7">
        <f>VLOOKUP($A81,'20.Sep'!$E$8:$G$42,3,0)</f>
        <v>0</v>
      </c>
      <c r="BY81" s="7">
        <f>VLOOKUP($A81,'21.Sep'!$E$8:$G$42,3,0)</f>
        <v>0</v>
      </c>
      <c r="BZ81" s="7">
        <f>VLOOKUP($A81,'22.Sep'!$E$8:$G$42,3,0)</f>
        <v>0</v>
      </c>
      <c r="CA81" s="7">
        <f>VLOOKUP($A81,'23.Sep'!$E$8:$G$42,3,0)</f>
        <v>0</v>
      </c>
      <c r="CB81" s="7">
        <v>0</v>
      </c>
      <c r="CC81" s="7">
        <v>0</v>
      </c>
    </row>
    <row r="82" spans="1:81">
      <c r="A82" s="6" t="s">
        <v>83</v>
      </c>
      <c r="B82" s="7">
        <v>5.0000000000000002E-5</v>
      </c>
      <c r="C82" s="7">
        <v>1.7142857142857143E-4</v>
      </c>
      <c r="D82" s="7">
        <v>6.5714285714285712E-4</v>
      </c>
      <c r="E82" s="7">
        <v>5.7142857142857147E-4</v>
      </c>
      <c r="F82" s="7">
        <v>3.2857142857142856E-4</v>
      </c>
      <c r="G82" s="7">
        <v>3.7142857142857143E-4</v>
      </c>
      <c r="H82" s="7">
        <f t="shared" si="17"/>
        <v>3.7142857142857149E-4</v>
      </c>
      <c r="I82" s="7">
        <f t="shared" si="18"/>
        <v>5.7142857142857147E-4</v>
      </c>
      <c r="J82" s="7">
        <f t="shared" si="19"/>
        <v>6.2857142857142864E-4</v>
      </c>
      <c r="K82" s="7">
        <f t="shared" si="15"/>
        <v>7.1666666666666667E-4</v>
      </c>
      <c r="L82" s="7">
        <f t="shared" si="16"/>
        <v>7.3999999999999999E-4</v>
      </c>
      <c r="M82" s="8">
        <v>0</v>
      </c>
      <c r="N82" s="7">
        <v>2.0000000000000001E-4</v>
      </c>
      <c r="O82" s="8">
        <v>0</v>
      </c>
      <c r="P82" s="7">
        <v>1E-4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7">
        <v>2.0000000000000001E-4</v>
      </c>
      <c r="X82" s="7">
        <v>5.9999999999999995E-4</v>
      </c>
      <c r="Y82" s="7">
        <v>4.0000000000000002E-4</v>
      </c>
      <c r="Z82" s="7">
        <v>5.0000000000000001E-4</v>
      </c>
      <c r="AA82" s="7">
        <v>8.9999999999999998E-4</v>
      </c>
      <c r="AB82" s="7">
        <v>6.9999999999999999E-4</v>
      </c>
      <c r="AC82" s="7">
        <v>5.9999999999999995E-4</v>
      </c>
      <c r="AD82" s="7">
        <v>8.9999999999999998E-4</v>
      </c>
      <c r="AE82" s="7">
        <v>5.0000000000000001E-4</v>
      </c>
      <c r="AF82" s="8">
        <v>5.0000000000000001E-4</v>
      </c>
      <c r="AG82" s="8">
        <v>5.0000000000000001E-4</v>
      </c>
      <c r="AH82" s="8">
        <v>6.9999999999999999E-4</v>
      </c>
      <c r="AI82" s="8">
        <v>8.0000000000000004E-4</v>
      </c>
      <c r="AJ82" s="8">
        <v>5.9999999999999995E-4</v>
      </c>
      <c r="AK82" s="8">
        <v>5.0000000000000001E-4</v>
      </c>
      <c r="AL82" s="8">
        <v>4.0000000000000002E-4</v>
      </c>
      <c r="AM82" s="7">
        <v>5.0000000000000001E-4</v>
      </c>
      <c r="AN82" s="7">
        <v>2.9999999999999997E-4</v>
      </c>
      <c r="AO82" s="7">
        <v>5.0000000000000001E-4</v>
      </c>
      <c r="AP82" s="7">
        <v>1E-4</v>
      </c>
      <c r="AQ82" s="7">
        <v>4.0000000000000002E-4</v>
      </c>
      <c r="AR82" s="7">
        <v>2.9999999999999997E-4</v>
      </c>
      <c r="AS82" s="7">
        <v>4.0000000000000002E-4</v>
      </c>
      <c r="AT82" s="7">
        <v>2.9999999999999997E-4</v>
      </c>
      <c r="AU82" s="7">
        <v>5.0000000000000001E-4</v>
      </c>
      <c r="AV82" s="7">
        <v>2.9999999999999997E-4</v>
      </c>
      <c r="AW82" s="7">
        <v>4.0000000000000002E-4</v>
      </c>
      <c r="AX82" s="7">
        <v>5.0000000000000001E-4</v>
      </c>
      <c r="AY82" s="7">
        <v>2.9999999999999997E-4</v>
      </c>
      <c r="AZ82" s="7">
        <v>2.9999999999999997E-4</v>
      </c>
      <c r="BA82" s="7">
        <v>2.9999999999999997E-4</v>
      </c>
      <c r="BB82" s="7">
        <v>5.9999999999999995E-4</v>
      </c>
      <c r="BC82" s="7">
        <v>4.0000000000000002E-4</v>
      </c>
      <c r="BD82" s="7">
        <v>4.0000000000000002E-4</v>
      </c>
      <c r="BE82" s="7">
        <f>VLOOKUP($A82,'1.Sep'!$E$8:$G$42,3,0)</f>
        <v>2.0000000000000001E-4</v>
      </c>
      <c r="BF82" s="7">
        <f>VLOOKUP($A82,'2.Sep'!$E$8:$G$42,3,0)</f>
        <v>2.9999999999999997E-4</v>
      </c>
      <c r="BG82" s="7">
        <f>VLOOKUP($A82,'3.Sep'!$E$8:$G$42,3,0)</f>
        <v>2.9999999999999997E-4</v>
      </c>
      <c r="BH82" s="8">
        <f>VLOOKUP($A82,'4.Sep'!$E$8:$G$42,3,0)</f>
        <v>4.0000000000000002E-4</v>
      </c>
      <c r="BI82" s="8">
        <f>VLOOKUP($A82,'5.Sep'!$E$8:$G$42,3,0)</f>
        <v>2.9999999999999997E-4</v>
      </c>
      <c r="BJ82" s="8">
        <f>VLOOKUP($A82,'6.Sep'!$E$8:$G$42,3,0)</f>
        <v>8.0000000000000004E-4</v>
      </c>
      <c r="BK82" s="8">
        <f>VLOOKUP($A82,'7.Sep'!$E$8:$G$42,3,0)</f>
        <v>5.9999999999999995E-4</v>
      </c>
      <c r="BL82" s="8">
        <f>VLOOKUP($A82,'8.Sep'!$E$8:$G$42,3,0)</f>
        <v>4.0000000000000002E-4</v>
      </c>
      <c r="BM82" s="8">
        <f>VLOOKUP($A82,'9.Sep'!$E$8:$G$42,3,0)</f>
        <v>5.0000000000000001E-4</v>
      </c>
      <c r="BN82" s="8">
        <f>VLOOKUP($A82,'10.Sep'!$E$8:$G$42,3,0)</f>
        <v>8.0000000000000004E-4</v>
      </c>
      <c r="BO82" s="8">
        <f>VLOOKUP($A82,'11.Sep'!$E$8:$G$42,3,0)</f>
        <v>5.9999999999999995E-4</v>
      </c>
      <c r="BP82" s="7">
        <f>VLOOKUP($A82,'12.Sep'!$E$8:$G$42,3,0)</f>
        <v>6.9999999999999999E-4</v>
      </c>
      <c r="BQ82" s="7">
        <f>VLOOKUP($A82,'13.Sep'!$E$8:$G$42,3,0)</f>
        <v>5.9999999999999995E-4</v>
      </c>
      <c r="BR82" s="7">
        <f>VLOOKUP($A82,'14.Sep'!$E$8:$G$42,3,0)</f>
        <v>6.9999999999999999E-4</v>
      </c>
      <c r="BS82" s="7">
        <f>VLOOKUP($A82,'15.Sep'!$E$8:$G$42,3,0)</f>
        <v>6.9999999999999999E-4</v>
      </c>
      <c r="BT82" s="7">
        <f>VLOOKUP($A82,'16.Sep'!$E$8:$G$42,3,0)</f>
        <v>8.0000000000000004E-4</v>
      </c>
      <c r="BU82" s="7">
        <f>VLOOKUP($A82,'17.Sep'!$E$8:$G$42,3,0)</f>
        <v>4.0000000000000002E-4</v>
      </c>
      <c r="BV82" s="7">
        <f>VLOOKUP($A82,'18.Sep'!$E$8:$G$42,3,0)</f>
        <v>5.0000000000000001E-4</v>
      </c>
      <c r="BW82" s="7">
        <f>VLOOKUP($A82,'19.Sep'!$E$8:$G$42,3,0)</f>
        <v>5.9999999999999995E-4</v>
      </c>
      <c r="BX82" s="7">
        <f>VLOOKUP($A82,'20.Sep'!$E$8:$G$42,3,0)</f>
        <v>5.9999999999999995E-4</v>
      </c>
      <c r="BY82" s="7">
        <f>VLOOKUP($A82,'21.Sep'!$E$8:$G$42,3,0)</f>
        <v>8.0000000000000004E-4</v>
      </c>
      <c r="BZ82" s="7">
        <f>VLOOKUP($A82,'22.Sep'!$E$8:$G$42,3,0)</f>
        <v>8.9999999999999998E-4</v>
      </c>
      <c r="CA82" s="7">
        <f>VLOOKUP($A82,'23.Sep'!$E$8:$G$42,3,0)</f>
        <v>6.9999999999999999E-4</v>
      </c>
      <c r="CB82" s="7">
        <f>VLOOKUP($A82,'24.Sep'!$E$8:$G$42,3,0)</f>
        <v>6.9999999999999999E-4</v>
      </c>
      <c r="CC82" s="7">
        <f>VLOOKUP($A82,'24.Sep'!$E$8:$G$42,3,0)</f>
        <v>6.9999999999999999E-4</v>
      </c>
    </row>
    <row r="83" spans="1:81">
      <c r="A83" s="6" t="s">
        <v>84</v>
      </c>
      <c r="B83" s="7">
        <v>1.6666666666666667E-5</v>
      </c>
      <c r="C83" s="7">
        <v>4.2857142857142863E-5</v>
      </c>
      <c r="D83" s="7">
        <v>1.4285714285714287E-5</v>
      </c>
      <c r="E83" s="7">
        <v>0</v>
      </c>
      <c r="F83" s="7">
        <v>0</v>
      </c>
      <c r="G83" s="7">
        <v>0</v>
      </c>
      <c r="H83" s="7">
        <f t="shared" si="17"/>
        <v>0</v>
      </c>
      <c r="I83" s="7">
        <f t="shared" si="18"/>
        <v>0</v>
      </c>
      <c r="J83" s="7">
        <f t="shared" si="19"/>
        <v>0</v>
      </c>
      <c r="K83" s="7">
        <f t="shared" si="15"/>
        <v>0</v>
      </c>
      <c r="L83" s="7">
        <f t="shared" si="16"/>
        <v>0</v>
      </c>
      <c r="M83" s="8">
        <v>0</v>
      </c>
      <c r="N83" s="8">
        <v>0</v>
      </c>
      <c r="O83" s="8">
        <v>0</v>
      </c>
      <c r="P83" s="8">
        <v>0</v>
      </c>
      <c r="Q83" s="7">
        <v>1E-4</v>
      </c>
      <c r="R83" s="8">
        <v>0</v>
      </c>
      <c r="S83" s="7">
        <v>1E-4</v>
      </c>
      <c r="T83" s="8">
        <v>0</v>
      </c>
      <c r="U83" s="8">
        <v>0</v>
      </c>
      <c r="V83" s="8">
        <v>0</v>
      </c>
      <c r="W83" s="7">
        <v>2.0000000000000001E-4</v>
      </c>
      <c r="X83" s="7">
        <v>0</v>
      </c>
      <c r="Y83" s="8">
        <v>0</v>
      </c>
      <c r="Z83" s="8">
        <v>0</v>
      </c>
      <c r="AA83" s="7">
        <v>0</v>
      </c>
      <c r="AB83" s="7">
        <v>1E-4</v>
      </c>
      <c r="AC83" s="8">
        <v>0</v>
      </c>
      <c r="AD83" s="7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7">
        <v>0</v>
      </c>
      <c r="AN83" s="7">
        <v>0</v>
      </c>
      <c r="AO83" s="7">
        <v>0</v>
      </c>
      <c r="AP83" s="8">
        <v>0</v>
      </c>
      <c r="AQ83" s="8">
        <v>0</v>
      </c>
      <c r="AR83" s="7">
        <v>0</v>
      </c>
      <c r="AS83" s="7">
        <v>0</v>
      </c>
      <c r="AT83" s="8">
        <v>0</v>
      </c>
      <c r="AU83" s="8">
        <v>0</v>
      </c>
      <c r="AV83" s="8">
        <v>0</v>
      </c>
      <c r="AW83" s="7">
        <v>0</v>
      </c>
      <c r="AX83" s="7">
        <v>0</v>
      </c>
      <c r="AY83" s="7">
        <v>0</v>
      </c>
      <c r="AZ83" s="7">
        <v>0</v>
      </c>
      <c r="BA83" s="8">
        <v>0</v>
      </c>
      <c r="BB83" s="8">
        <v>0</v>
      </c>
      <c r="BC83" s="7">
        <v>0</v>
      </c>
      <c r="BD83" s="8">
        <v>0</v>
      </c>
      <c r="BE83" s="8">
        <v>0</v>
      </c>
      <c r="BF83" s="7">
        <f>VLOOKUP($A83,'2.Sep'!$E$8:$G$42,3,0)</f>
        <v>0</v>
      </c>
      <c r="BG83" s="7">
        <f>VLOOKUP($A83,'3.Sep'!$E$8:$G$42,3,0)</f>
        <v>0</v>
      </c>
      <c r="BH83" s="8">
        <v>0</v>
      </c>
      <c r="BI83" s="8">
        <f>VLOOKUP($A83,'5.Sep'!$E$8:$G$42,3,0)</f>
        <v>0</v>
      </c>
      <c r="BJ83" s="8">
        <f>VLOOKUP($A83,'6.Sep'!$E$8:$G$42,3,0)</f>
        <v>0</v>
      </c>
      <c r="BK83" s="8">
        <f>VLOOKUP($A83,'7.Sep'!$E$8:$G$42,3,0)</f>
        <v>0</v>
      </c>
      <c r="BL83" s="8">
        <f>VLOOKUP($A83,'8.Sep'!$E$8:$G$42,3,0)</f>
        <v>0</v>
      </c>
      <c r="BM83" s="8">
        <f>VLOOKUP($A83,'9.Sep'!$E$8:$G$42,3,0)</f>
        <v>0</v>
      </c>
      <c r="BN83" s="8">
        <v>0</v>
      </c>
      <c r="BO83" s="8">
        <v>0</v>
      </c>
      <c r="BP83" s="7">
        <f>VLOOKUP($A83,'12.Sep'!$E$8:$G$42,3,0)</f>
        <v>0</v>
      </c>
      <c r="BQ83" s="7">
        <f>VLOOKUP($A83,'13.Sep'!$E$8:$G$42,3,0)</f>
        <v>0</v>
      </c>
      <c r="BR83" s="8">
        <v>0</v>
      </c>
      <c r="BS83" s="8">
        <v>0</v>
      </c>
      <c r="BT83" s="7">
        <v>0</v>
      </c>
      <c r="BU83" s="7">
        <f>VLOOKUP($A83,'17.Sep'!$E$8:$G$42,3,0)</f>
        <v>0</v>
      </c>
      <c r="BV83" s="7">
        <v>0</v>
      </c>
      <c r="BW83" s="7">
        <f>VLOOKUP($A83,'19.Sep'!$E$8:$G$42,3,0)</f>
        <v>0</v>
      </c>
      <c r="BX83" s="7">
        <v>0</v>
      </c>
      <c r="BY83" s="7">
        <v>0</v>
      </c>
      <c r="BZ83" s="7">
        <f>VLOOKUP($A83,'22.Sep'!$E$8:$G$42,3,0)</f>
        <v>0</v>
      </c>
      <c r="CA83" s="7">
        <f>VLOOKUP($A83,'23.Sep'!$E$8:$G$42,3,0)</f>
        <v>0</v>
      </c>
      <c r="CB83" s="7">
        <v>0</v>
      </c>
      <c r="CC83" s="7">
        <v>0</v>
      </c>
    </row>
    <row r="84" spans="1:81">
      <c r="A84" s="6" t="s">
        <v>85</v>
      </c>
      <c r="B84" s="7">
        <v>8.3333333333333331E-5</v>
      </c>
      <c r="C84" s="7">
        <v>1.4285714285714287E-5</v>
      </c>
      <c r="D84" s="7">
        <v>0</v>
      </c>
      <c r="E84" s="7">
        <v>0</v>
      </c>
      <c r="F84" s="7">
        <v>0</v>
      </c>
      <c r="G84" s="7">
        <v>0</v>
      </c>
      <c r="H84" s="7">
        <f t="shared" si="17"/>
        <v>0</v>
      </c>
      <c r="I84" s="7">
        <f t="shared" si="18"/>
        <v>0</v>
      </c>
      <c r="J84" s="7">
        <f t="shared" si="19"/>
        <v>0</v>
      </c>
      <c r="K84" s="7">
        <f t="shared" si="15"/>
        <v>0</v>
      </c>
      <c r="L84" s="7">
        <f t="shared" si="16"/>
        <v>0</v>
      </c>
      <c r="M84" s="7">
        <v>1E-4</v>
      </c>
      <c r="N84" s="8">
        <v>0</v>
      </c>
      <c r="O84" s="7">
        <v>1E-4</v>
      </c>
      <c r="P84" s="7">
        <v>1E-4</v>
      </c>
      <c r="Q84" s="8">
        <v>0</v>
      </c>
      <c r="R84" s="7">
        <v>2.0000000000000001E-4</v>
      </c>
      <c r="S84" s="7">
        <v>1E-4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7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8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7">
        <v>0</v>
      </c>
      <c r="AN84" s="8">
        <v>0</v>
      </c>
      <c r="AO84" s="7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7">
        <v>0</v>
      </c>
      <c r="AW84" s="7">
        <v>0</v>
      </c>
      <c r="AX84" s="8">
        <v>0</v>
      </c>
      <c r="AY84" s="7">
        <v>0</v>
      </c>
      <c r="AZ84" s="7">
        <v>0</v>
      </c>
      <c r="BA84" s="8">
        <v>0</v>
      </c>
      <c r="BB84" s="8">
        <v>0</v>
      </c>
      <c r="BC84" s="7">
        <v>0</v>
      </c>
      <c r="BD84" s="8">
        <v>0</v>
      </c>
      <c r="BE84" s="7">
        <f>VLOOKUP($A84,'1.Sep'!$E$8:$G$42,3,0)</f>
        <v>0</v>
      </c>
      <c r="BF84" s="7">
        <f>VLOOKUP($A84,'2.Sep'!$E$8:$G$42,3,0)</f>
        <v>0</v>
      </c>
      <c r="BG84" s="8">
        <v>0</v>
      </c>
      <c r="BH84" s="8">
        <f>VLOOKUP($A84,'4.Sep'!$E$8:$G$42,3,0)</f>
        <v>0</v>
      </c>
      <c r="BI84" s="8">
        <f>VLOOKUP($A84,'5.Sep'!$E$8:$G$42,3,0)</f>
        <v>0</v>
      </c>
      <c r="BJ84" s="8">
        <v>0</v>
      </c>
      <c r="BK84" s="8">
        <f>VLOOKUP($A84,'7.Sep'!$E$8:$G$42,3,0)</f>
        <v>0</v>
      </c>
      <c r="BL84" s="8">
        <v>0</v>
      </c>
      <c r="BM84" s="8">
        <v>0</v>
      </c>
      <c r="BN84" s="8">
        <v>0</v>
      </c>
      <c r="BO84" s="8">
        <f>VLOOKUP($A84,'11.Sep'!$E$8:$G$42,3,0)</f>
        <v>0</v>
      </c>
      <c r="BP84" s="8">
        <v>0</v>
      </c>
      <c r="BQ84" s="8">
        <v>0</v>
      </c>
      <c r="BR84" s="8">
        <v>0</v>
      </c>
      <c r="BS84" s="7">
        <f>VLOOKUP($A84,'15.Sep'!$E$8:$G$42,3,0)</f>
        <v>0</v>
      </c>
      <c r="BT84" s="7">
        <v>0</v>
      </c>
      <c r="BU84" s="7">
        <v>0</v>
      </c>
      <c r="BV84" s="7">
        <v>0</v>
      </c>
      <c r="BW84" s="7">
        <v>0</v>
      </c>
      <c r="BX84" s="7">
        <v>0</v>
      </c>
      <c r="BY84" s="7">
        <v>0</v>
      </c>
      <c r="BZ84" s="7">
        <v>0</v>
      </c>
      <c r="CA84" s="7">
        <f>VLOOKUP($A84,'23.Sep'!$E$8:$G$42,3,0)</f>
        <v>0</v>
      </c>
      <c r="CB84" s="7">
        <v>0</v>
      </c>
      <c r="CC84" s="7">
        <v>0</v>
      </c>
    </row>
    <row r="85" spans="1:81">
      <c r="A85" s="6" t="s">
        <v>86</v>
      </c>
      <c r="B85" s="7">
        <v>3.3333333333333335E-5</v>
      </c>
      <c r="C85" s="7">
        <v>1.1428571428571427E-4</v>
      </c>
      <c r="D85" s="7">
        <v>7.1428571428571434E-5</v>
      </c>
      <c r="E85" s="7">
        <v>1.4285714285714287E-5</v>
      </c>
      <c r="F85" s="7">
        <v>2.8571428571428574E-5</v>
      </c>
      <c r="G85" s="7">
        <v>0</v>
      </c>
      <c r="H85" s="7">
        <f t="shared" si="17"/>
        <v>4.2857142857142863E-5</v>
      </c>
      <c r="I85" s="7">
        <f t="shared" si="18"/>
        <v>0</v>
      </c>
      <c r="J85" s="7">
        <f t="shared" si="19"/>
        <v>0</v>
      </c>
      <c r="K85" s="7">
        <f t="shared" si="15"/>
        <v>8.3333333333333331E-5</v>
      </c>
      <c r="L85" s="7">
        <f t="shared" si="16"/>
        <v>8.0000000000000007E-5</v>
      </c>
      <c r="M85" s="8">
        <v>0</v>
      </c>
      <c r="N85" s="8">
        <v>0</v>
      </c>
      <c r="O85" s="8">
        <v>0</v>
      </c>
      <c r="P85" s="7">
        <v>1E-4</v>
      </c>
      <c r="Q85" s="8">
        <v>0</v>
      </c>
      <c r="R85" s="7">
        <v>1E-4</v>
      </c>
      <c r="S85" s="8">
        <v>0</v>
      </c>
      <c r="T85" s="7">
        <v>2.0000000000000001E-4</v>
      </c>
      <c r="U85" s="7">
        <v>5.9999999999999995E-4</v>
      </c>
      <c r="V85" s="8">
        <v>0</v>
      </c>
      <c r="W85" s="8">
        <v>0</v>
      </c>
      <c r="X85" s="7">
        <v>0</v>
      </c>
      <c r="Y85" s="8">
        <v>0</v>
      </c>
      <c r="Z85" s="7">
        <v>2.0000000000000001E-4</v>
      </c>
      <c r="AA85" s="7">
        <v>1E-4</v>
      </c>
      <c r="AB85" s="7">
        <v>0</v>
      </c>
      <c r="AC85" s="7">
        <v>2.0000000000000001E-4</v>
      </c>
      <c r="AD85" s="8">
        <v>0</v>
      </c>
      <c r="AE85" s="7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1E-4</v>
      </c>
      <c r="AM85" s="7">
        <v>0</v>
      </c>
      <c r="AN85" s="8">
        <v>0</v>
      </c>
      <c r="AO85" s="7">
        <v>0</v>
      </c>
      <c r="AP85" s="7">
        <v>0</v>
      </c>
      <c r="AQ85" s="7">
        <v>1E-4</v>
      </c>
      <c r="AR85" s="7">
        <v>1E-4</v>
      </c>
      <c r="AS85" s="7">
        <v>0</v>
      </c>
      <c r="AT85" s="7">
        <v>0</v>
      </c>
      <c r="AU85" s="8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8">
        <v>0</v>
      </c>
      <c r="BD85" s="7">
        <v>1E-4</v>
      </c>
      <c r="BE85" s="7">
        <f>VLOOKUP($A85,'1.Sep'!$E$8:$G$42,3,0)</f>
        <v>1E-4</v>
      </c>
      <c r="BF85" s="8">
        <v>0</v>
      </c>
      <c r="BG85" s="7">
        <f>VLOOKUP($A85,'3.Sep'!$E$8:$G$42,3,0)</f>
        <v>1E-4</v>
      </c>
      <c r="BH85" s="8">
        <v>0</v>
      </c>
      <c r="BI85" s="8">
        <f>VLOOKUP($A85,'5.Sep'!$E$8:$G$42,3,0)</f>
        <v>0</v>
      </c>
      <c r="BJ85" s="8">
        <f>VLOOKUP($A85,'6.Sep'!$E$8:$G$42,3,0)</f>
        <v>0</v>
      </c>
      <c r="BK85" s="8">
        <f>VLOOKUP($A85,'7.Sep'!$E$8:$G$42,3,0)</f>
        <v>0</v>
      </c>
      <c r="BL85" s="8">
        <f>VLOOKUP($A85,'8.Sep'!$E$8:$G$42,3,0)</f>
        <v>0</v>
      </c>
      <c r="BM85" s="8">
        <f>VLOOKUP($A85,'9.Sep'!$E$8:$G$42,3,0)</f>
        <v>0</v>
      </c>
      <c r="BN85" s="8">
        <f>VLOOKUP($A85,'10.Sep'!$E$8:$G$42,3,0)</f>
        <v>0</v>
      </c>
      <c r="BO85" s="8">
        <f>VLOOKUP($A85,'11.Sep'!$E$8:$G$42,3,0)</f>
        <v>0</v>
      </c>
      <c r="BP85" s="7">
        <f>VLOOKUP($A85,'12.Sep'!$E$8:$G$42,3,0)</f>
        <v>0</v>
      </c>
      <c r="BQ85" s="7">
        <f>VLOOKUP($A85,'13.Sep'!$E$8:$G$42,3,0)</f>
        <v>0</v>
      </c>
      <c r="BR85" s="7">
        <f>VLOOKUP($A85,'14.Sep'!$E$8:$G$42,3,0)</f>
        <v>0</v>
      </c>
      <c r="BS85" s="7">
        <f>VLOOKUP($A85,'15.Sep'!$E$8:$G$42,3,0)</f>
        <v>0</v>
      </c>
      <c r="BT85" s="7">
        <v>0</v>
      </c>
      <c r="BU85" s="7">
        <f>VLOOKUP($A85,'17.Sep'!$E$8:$G$42,3,0)</f>
        <v>0</v>
      </c>
      <c r="BV85" s="7">
        <f>VLOOKUP($A85,'18.Sep'!$E$8:$G$42,3,0)</f>
        <v>0</v>
      </c>
      <c r="BW85" s="7">
        <f>VLOOKUP($A85,'19.Sep'!$E$8:$G$42,3,0)</f>
        <v>1E-4</v>
      </c>
      <c r="BX85" s="7">
        <f>VLOOKUP($A85,'20.Sep'!$E$8:$G$42,3,0)</f>
        <v>0</v>
      </c>
      <c r="BY85" s="7">
        <f>VLOOKUP($A85,'21.Sep'!$E$8:$G$42,3,0)</f>
        <v>2.0000000000000001E-4</v>
      </c>
      <c r="BZ85" s="7">
        <f>VLOOKUP($A85,'22.Sep'!$E$8:$G$42,3,0)</f>
        <v>1E-4</v>
      </c>
      <c r="CA85" s="7">
        <v>0</v>
      </c>
      <c r="CB85" s="7">
        <f>VLOOKUP($A85,'24.Sep'!$E$8:$G$42,3,0)</f>
        <v>1E-4</v>
      </c>
      <c r="CC85" s="7">
        <f>VLOOKUP($A85,'24.Sep'!$E$8:$G$42,3,0)</f>
        <v>1E-4</v>
      </c>
    </row>
    <row r="86" spans="1:81">
      <c r="A86" s="6" t="s">
        <v>87</v>
      </c>
      <c r="B86" s="7">
        <v>0</v>
      </c>
      <c r="C86" s="7">
        <v>1.4285714285714287E-5</v>
      </c>
      <c r="D86" s="7">
        <v>0</v>
      </c>
      <c r="E86" s="7">
        <v>0</v>
      </c>
      <c r="F86" s="7">
        <v>0</v>
      </c>
      <c r="G86" s="7">
        <v>0</v>
      </c>
      <c r="H86" s="7">
        <f t="shared" si="17"/>
        <v>0</v>
      </c>
      <c r="I86" s="7">
        <f t="shared" si="18"/>
        <v>0</v>
      </c>
      <c r="J86" s="7">
        <f t="shared" si="19"/>
        <v>0</v>
      </c>
      <c r="K86" s="7">
        <f t="shared" si="15"/>
        <v>0</v>
      </c>
      <c r="L86" s="7">
        <f t="shared" si="16"/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7">
        <v>1E-4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7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7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7">
        <v>0</v>
      </c>
      <c r="AZ86" s="7">
        <v>0</v>
      </c>
      <c r="BA86" s="8">
        <v>0</v>
      </c>
      <c r="BB86" s="7">
        <v>0</v>
      </c>
      <c r="BC86" s="8">
        <v>0</v>
      </c>
      <c r="BD86" s="8">
        <v>0</v>
      </c>
      <c r="BE86" s="8">
        <v>0</v>
      </c>
      <c r="BF86" s="8">
        <v>0</v>
      </c>
      <c r="BG86" s="7">
        <f>VLOOKUP($A86,'3.Sep'!$E$8:$G$42,3,0)</f>
        <v>0</v>
      </c>
      <c r="BH86" s="8">
        <v>0</v>
      </c>
      <c r="BI86" s="8">
        <f>VLOOKUP($A86,'5.Sep'!$E$8:$G$42,3,0)</f>
        <v>0</v>
      </c>
      <c r="BJ86" s="8">
        <v>0</v>
      </c>
      <c r="BK86" s="8">
        <f>VLOOKUP($A86,'7.Sep'!$E$8:$G$42,3,0)</f>
        <v>0</v>
      </c>
      <c r="BL86" s="8">
        <v>0</v>
      </c>
      <c r="BM86" s="8">
        <v>0</v>
      </c>
      <c r="BN86" s="8">
        <v>0</v>
      </c>
      <c r="BO86" s="8">
        <v>0</v>
      </c>
      <c r="BP86" s="7">
        <f>VLOOKUP($A86,'12.Sep'!$E$8:$G$42,3,0)</f>
        <v>0</v>
      </c>
      <c r="BQ86" s="7">
        <f>VLOOKUP($A86,'13.Sep'!$E$8:$G$42,3,0)</f>
        <v>0</v>
      </c>
      <c r="BR86" s="7">
        <f>VLOOKUP($A86,'14.Sep'!$E$8:$G$42,3,0)</f>
        <v>0</v>
      </c>
      <c r="BS86" s="7">
        <f>VLOOKUP($A86,'15.Sep'!$E$8:$G$42,3,0)</f>
        <v>0</v>
      </c>
      <c r="BT86" s="7">
        <f>VLOOKUP($A86,'16.Sep'!$E$8:$G$42,3,0)</f>
        <v>0</v>
      </c>
      <c r="BU86" s="7">
        <v>0</v>
      </c>
      <c r="BV86" s="7">
        <f>VLOOKUP($A86,'18.Sep'!$E$8:$G$42,3,0)</f>
        <v>0</v>
      </c>
      <c r="BW86" s="7">
        <v>0</v>
      </c>
      <c r="BX86" s="7">
        <v>0</v>
      </c>
      <c r="BY86" s="7">
        <v>0</v>
      </c>
      <c r="BZ86" s="7">
        <f>VLOOKUP($A86,'22.Sep'!$E$8:$G$42,3,0)</f>
        <v>0</v>
      </c>
      <c r="CA86" s="7">
        <v>0</v>
      </c>
      <c r="CB86" s="7">
        <f>VLOOKUP($A86,'24.Sep'!$E$8:$G$42,3,0)</f>
        <v>0</v>
      </c>
      <c r="CC86" s="7">
        <f>VLOOKUP($A86,'24.Sep'!$E$8:$G$42,3,0)</f>
        <v>0</v>
      </c>
    </row>
    <row r="87" spans="1:81">
      <c r="A87" s="6" t="s">
        <v>88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f t="shared" si="17"/>
        <v>0</v>
      </c>
      <c r="I87" s="7">
        <f t="shared" si="18"/>
        <v>0</v>
      </c>
      <c r="J87" s="7">
        <f t="shared" si="19"/>
        <v>0</v>
      </c>
      <c r="K87" s="7">
        <f t="shared" si="15"/>
        <v>0</v>
      </c>
      <c r="L87" s="7">
        <f t="shared" si="16"/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7">
        <v>0</v>
      </c>
      <c r="AN87" s="8">
        <v>0</v>
      </c>
      <c r="AO87" s="8">
        <v>0</v>
      </c>
      <c r="AP87" s="8">
        <v>0</v>
      </c>
      <c r="AQ87" s="8">
        <v>0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7">
        <v>0</v>
      </c>
      <c r="AZ87" s="7">
        <v>0</v>
      </c>
      <c r="BA87" s="8">
        <v>0</v>
      </c>
      <c r="BB87" s="8">
        <v>0</v>
      </c>
      <c r="BC87" s="8">
        <v>0</v>
      </c>
      <c r="BD87" s="8">
        <v>0</v>
      </c>
      <c r="BE87" s="7">
        <f>VLOOKUP($A87,'1.Sep'!$E$8:$G$42,3,0)</f>
        <v>0</v>
      </c>
      <c r="BF87" s="8">
        <v>0</v>
      </c>
      <c r="BG87" s="8">
        <v>0</v>
      </c>
      <c r="BH87" s="8">
        <v>0</v>
      </c>
      <c r="BI87" s="7">
        <v>0</v>
      </c>
      <c r="BJ87" s="8">
        <v>0</v>
      </c>
      <c r="BK87" s="8">
        <v>0</v>
      </c>
      <c r="BL87" s="8">
        <v>0</v>
      </c>
      <c r="BM87" s="8">
        <v>0</v>
      </c>
      <c r="BN87" s="8">
        <v>0</v>
      </c>
      <c r="BO87" s="8">
        <v>0</v>
      </c>
      <c r="BP87" s="8">
        <v>0</v>
      </c>
      <c r="BQ87" s="8">
        <v>0</v>
      </c>
      <c r="BR87" s="8">
        <v>0</v>
      </c>
      <c r="BS87" s="8">
        <v>0</v>
      </c>
      <c r="BT87" s="7">
        <v>0</v>
      </c>
      <c r="BU87" s="7">
        <v>0</v>
      </c>
      <c r="BV87" s="7">
        <v>0</v>
      </c>
      <c r="BW87" s="7">
        <v>0</v>
      </c>
      <c r="BX87" s="7">
        <v>0</v>
      </c>
      <c r="BY87" s="7">
        <v>0</v>
      </c>
      <c r="BZ87" s="7">
        <v>0</v>
      </c>
      <c r="CA87" s="7">
        <v>0</v>
      </c>
      <c r="CB87" s="7">
        <v>0</v>
      </c>
      <c r="CC87" s="7">
        <v>0</v>
      </c>
    </row>
    <row r="88" spans="1:81">
      <c r="A88" s="6" t="s">
        <v>89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f t="shared" si="17"/>
        <v>1.4285714285714287E-5</v>
      </c>
      <c r="I88" s="7">
        <f t="shared" si="18"/>
        <v>0</v>
      </c>
      <c r="J88" s="7">
        <f t="shared" si="19"/>
        <v>0</v>
      </c>
      <c r="K88" s="7">
        <f t="shared" si="15"/>
        <v>0</v>
      </c>
      <c r="L88" s="7">
        <f t="shared" si="16"/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7">
        <v>0</v>
      </c>
      <c r="AN88" s="7">
        <v>0</v>
      </c>
      <c r="AO88" s="7">
        <v>0</v>
      </c>
      <c r="AP88" s="7">
        <v>0</v>
      </c>
      <c r="AQ88" s="8">
        <v>0</v>
      </c>
      <c r="AR88" s="8">
        <v>0</v>
      </c>
      <c r="AS88" s="8">
        <v>0</v>
      </c>
      <c r="AT88" s="8">
        <v>0</v>
      </c>
      <c r="AU88" s="7">
        <v>0</v>
      </c>
      <c r="AV88" s="8">
        <v>0</v>
      </c>
      <c r="AW88" s="8">
        <v>0</v>
      </c>
      <c r="AX88" s="8">
        <v>0</v>
      </c>
      <c r="AY88" s="7">
        <v>0</v>
      </c>
      <c r="AZ88" s="7">
        <v>0</v>
      </c>
      <c r="BA88" s="8">
        <v>0</v>
      </c>
      <c r="BB88" s="7">
        <v>0</v>
      </c>
      <c r="BC88" s="7">
        <v>0</v>
      </c>
      <c r="BD88" s="7">
        <v>1E-4</v>
      </c>
      <c r="BE88" s="8">
        <v>0</v>
      </c>
      <c r="BF88" s="8">
        <v>0</v>
      </c>
      <c r="BG88" s="8">
        <v>0</v>
      </c>
      <c r="BH88" s="8">
        <v>0</v>
      </c>
      <c r="BI88" s="8">
        <f>VLOOKUP($A88,'5.Sep'!$E$8:$G$42,3,0)</f>
        <v>0</v>
      </c>
      <c r="BJ88" s="8">
        <f>VLOOKUP($A88,'6.Sep'!$E$8:$G$42,3,0)</f>
        <v>0</v>
      </c>
      <c r="BK88" s="8">
        <f>VLOOKUP($A88,'7.Sep'!$E$8:$G$42,3,0)</f>
        <v>0</v>
      </c>
      <c r="BL88" s="8">
        <f>VLOOKUP($A88,'8.Sep'!$E$8:$G$42,3,0)</f>
        <v>0</v>
      </c>
      <c r="BM88" s="8">
        <v>0</v>
      </c>
      <c r="BN88" s="8">
        <f>VLOOKUP($A88,'10.Sep'!$E$8:$G$42,3,0)</f>
        <v>0</v>
      </c>
      <c r="BO88" s="8">
        <f>VLOOKUP($A88,'11.Sep'!$E$8:$G$42,3,0)</f>
        <v>0</v>
      </c>
      <c r="BP88" s="7">
        <f>VLOOKUP($A88,'12.Sep'!$E$8:$G$42,3,0)</f>
        <v>0</v>
      </c>
      <c r="BQ88" s="7">
        <f>VLOOKUP($A88,'13.Sep'!$E$8:$G$42,3,0)</f>
        <v>0</v>
      </c>
      <c r="BR88" s="7">
        <f>VLOOKUP($A88,'14.Sep'!$E$8:$G$42,3,0)</f>
        <v>0</v>
      </c>
      <c r="BS88" s="7">
        <f>VLOOKUP($A88,'15.Sep'!$E$8:$G$42,3,0)</f>
        <v>0</v>
      </c>
      <c r="BT88" s="7">
        <f>VLOOKUP($A88,'16.Sep'!$E$8:$G$42,3,0)</f>
        <v>0</v>
      </c>
      <c r="BU88" s="7">
        <v>0</v>
      </c>
      <c r="BV88" s="7">
        <v>0</v>
      </c>
      <c r="BW88" s="7">
        <v>0</v>
      </c>
      <c r="BX88" s="7">
        <f>VLOOKUP($A88,'20.Sep'!$E$8:$G$42,3,0)</f>
        <v>0</v>
      </c>
      <c r="BY88" s="7">
        <v>0</v>
      </c>
      <c r="BZ88" s="7">
        <v>0</v>
      </c>
      <c r="CA88" s="7">
        <f>VLOOKUP($A88,'23.Sep'!$E$8:$G$42,3,0)</f>
        <v>0</v>
      </c>
      <c r="CB88" s="7">
        <f>VLOOKUP($A88,'24.Sep'!$E$8:$G$42,3,0)</f>
        <v>0</v>
      </c>
      <c r="CC88" s="7">
        <f>VLOOKUP($A88,'24.Sep'!$E$8:$G$42,3,0)</f>
        <v>0</v>
      </c>
    </row>
    <row r="89" spans="1:81">
      <c r="A89" s="6" t="s">
        <v>90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f t="shared" si="17"/>
        <v>0</v>
      </c>
      <c r="I89" s="7">
        <f t="shared" si="18"/>
        <v>0</v>
      </c>
      <c r="J89" s="7">
        <f t="shared" si="19"/>
        <v>0</v>
      </c>
      <c r="K89" s="7">
        <f t="shared" si="15"/>
        <v>0</v>
      </c>
      <c r="L89" s="7">
        <f t="shared" si="16"/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7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0</v>
      </c>
      <c r="AY89" s="7">
        <v>0</v>
      </c>
      <c r="AZ89" s="7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7">
        <v>0</v>
      </c>
      <c r="BJ89" s="8">
        <v>0</v>
      </c>
      <c r="BK89" s="8">
        <v>0</v>
      </c>
      <c r="BL89" s="8">
        <v>0</v>
      </c>
      <c r="BM89" s="8">
        <v>0</v>
      </c>
      <c r="BN89" s="8">
        <v>0</v>
      </c>
      <c r="BO89" s="8">
        <v>0</v>
      </c>
      <c r="BP89" s="8">
        <v>0</v>
      </c>
      <c r="BQ89" s="8">
        <v>0</v>
      </c>
      <c r="BR89" s="8">
        <v>0</v>
      </c>
      <c r="BS89" s="8">
        <v>0</v>
      </c>
      <c r="BT89" s="7">
        <v>0</v>
      </c>
      <c r="BU89" s="7">
        <v>0</v>
      </c>
      <c r="BV89" s="7">
        <f>VLOOKUP($A89,'18.Sep'!$E$8:$G$42,3,0)</f>
        <v>0</v>
      </c>
      <c r="BW89" s="7">
        <v>0</v>
      </c>
      <c r="BX89" s="7">
        <v>0</v>
      </c>
      <c r="BY89" s="7">
        <v>0</v>
      </c>
      <c r="BZ89" s="7">
        <f>VLOOKUP($A89,'22.Sep'!$E$8:$G$42,3,0)</f>
        <v>0</v>
      </c>
      <c r="CA89" s="7">
        <v>0</v>
      </c>
      <c r="CB89" s="7">
        <v>0</v>
      </c>
      <c r="CC89" s="7">
        <v>0</v>
      </c>
    </row>
    <row r="90" spans="1:81">
      <c r="A90" s="6" t="s">
        <v>91</v>
      </c>
      <c r="B90" s="7">
        <v>0</v>
      </c>
      <c r="C90" s="7">
        <v>1.4285714285714287E-5</v>
      </c>
      <c r="D90" s="7">
        <v>0</v>
      </c>
      <c r="E90" s="7">
        <v>0</v>
      </c>
      <c r="F90" s="7">
        <v>0</v>
      </c>
      <c r="G90" s="7">
        <v>0</v>
      </c>
      <c r="H90" s="7">
        <f t="shared" si="17"/>
        <v>0</v>
      </c>
      <c r="I90" s="7">
        <f t="shared" si="18"/>
        <v>0</v>
      </c>
      <c r="J90" s="7">
        <f t="shared" si="19"/>
        <v>0</v>
      </c>
      <c r="K90" s="7">
        <f t="shared" si="15"/>
        <v>0</v>
      </c>
      <c r="L90" s="7">
        <f t="shared" si="16"/>
        <v>0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7">
        <v>1E-4</v>
      </c>
      <c r="Z90" s="7">
        <v>0</v>
      </c>
      <c r="AA90" s="8">
        <v>0</v>
      </c>
      <c r="AB90" s="7">
        <v>0</v>
      </c>
      <c r="AC90" s="8">
        <v>0</v>
      </c>
      <c r="AD90" s="7">
        <v>0</v>
      </c>
      <c r="AE90" s="7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7">
        <v>0</v>
      </c>
      <c r="AN90" s="7">
        <v>0</v>
      </c>
      <c r="AO90" s="8">
        <v>0</v>
      </c>
      <c r="AP90" s="7">
        <v>0</v>
      </c>
      <c r="AQ90" s="8">
        <v>0</v>
      </c>
      <c r="AR90" s="8">
        <v>0</v>
      </c>
      <c r="AS90" s="7">
        <v>0</v>
      </c>
      <c r="AT90" s="8">
        <v>0</v>
      </c>
      <c r="AU90" s="8">
        <v>0</v>
      </c>
      <c r="AV90" s="7">
        <v>0</v>
      </c>
      <c r="AW90" s="8">
        <v>0</v>
      </c>
      <c r="AX90" s="8">
        <v>0</v>
      </c>
      <c r="AY90" s="7">
        <v>0</v>
      </c>
      <c r="AZ90" s="7">
        <v>0</v>
      </c>
      <c r="BA90" s="8">
        <v>0</v>
      </c>
      <c r="BB90" s="8">
        <v>0</v>
      </c>
      <c r="BC90" s="7">
        <v>0</v>
      </c>
      <c r="BD90" s="8">
        <v>0</v>
      </c>
      <c r="BE90" s="8">
        <v>0</v>
      </c>
      <c r="BF90" s="8">
        <v>0</v>
      </c>
      <c r="BG90" s="7">
        <f>VLOOKUP($A90,'3.Sep'!$E$8:$G$42,3,0)</f>
        <v>0</v>
      </c>
      <c r="BH90" s="8">
        <v>0</v>
      </c>
      <c r="BI90" s="7">
        <v>0</v>
      </c>
      <c r="BJ90" s="8">
        <v>0</v>
      </c>
      <c r="BK90" s="8">
        <v>0</v>
      </c>
      <c r="BL90" s="8">
        <v>0</v>
      </c>
      <c r="BM90" s="8">
        <f>VLOOKUP($A90,'9.Sep'!$E$8:$G$42,3,0)</f>
        <v>0</v>
      </c>
      <c r="BN90" s="8">
        <f>VLOOKUP($A90,'10.Sep'!$E$8:$G$42,3,0)</f>
        <v>0</v>
      </c>
      <c r="BO90" s="8">
        <v>0</v>
      </c>
      <c r="BP90" s="7">
        <f>VLOOKUP($A90,'12.Sep'!$E$8:$G$42,3,0)</f>
        <v>0</v>
      </c>
      <c r="BQ90" s="8">
        <v>0</v>
      </c>
      <c r="BR90" s="7">
        <f>VLOOKUP($A90,'14.Sep'!$E$8:$G$42,3,0)</f>
        <v>0</v>
      </c>
      <c r="BS90" s="7">
        <f>VLOOKUP($A90,'15.Sep'!$E$8:$G$42,3,0)</f>
        <v>0</v>
      </c>
      <c r="BT90" s="7">
        <f>VLOOKUP($A90,'16.Sep'!$E$8:$G$42,3,0)</f>
        <v>0</v>
      </c>
      <c r="BU90" s="7">
        <v>0</v>
      </c>
      <c r="BV90" s="7">
        <f>VLOOKUP($A90,'18.Sep'!$E$8:$G$42,3,0)</f>
        <v>0</v>
      </c>
      <c r="BW90" s="7">
        <v>0</v>
      </c>
      <c r="BX90" s="7">
        <v>0</v>
      </c>
      <c r="BY90" s="7">
        <f>VLOOKUP($A90,'21.Sep'!$E$8:$G$42,3,0)</f>
        <v>0</v>
      </c>
      <c r="BZ90" s="7">
        <v>0</v>
      </c>
      <c r="CA90" s="7">
        <f>VLOOKUP($A90,'23.Sep'!$E$8:$G$42,3,0)</f>
        <v>0</v>
      </c>
      <c r="CB90" s="7">
        <f>VLOOKUP($A90,'24.Sep'!$E$8:$G$42,3,0)</f>
        <v>0</v>
      </c>
      <c r="CC90" s="7">
        <f>VLOOKUP($A90,'24.Sep'!$E$8:$G$42,3,0)</f>
        <v>0</v>
      </c>
    </row>
    <row r="91" spans="1:81">
      <c r="A91" s="6" t="s">
        <v>92</v>
      </c>
      <c r="B91" s="7">
        <v>1.3333333333333334E-4</v>
      </c>
      <c r="C91" s="7">
        <v>7.1428571428571434E-5</v>
      </c>
      <c r="D91" s="7">
        <v>0</v>
      </c>
      <c r="E91" s="7">
        <v>1.4285714285714287E-5</v>
      </c>
      <c r="F91" s="7">
        <v>0</v>
      </c>
      <c r="G91" s="7">
        <v>1.4285714285714287E-5</v>
      </c>
      <c r="H91" s="7">
        <f t="shared" si="17"/>
        <v>0</v>
      </c>
      <c r="I91" s="7">
        <f t="shared" si="18"/>
        <v>0</v>
      </c>
      <c r="J91" s="7">
        <f t="shared" si="19"/>
        <v>0</v>
      </c>
      <c r="K91" s="7">
        <f t="shared" si="15"/>
        <v>0</v>
      </c>
      <c r="L91" s="7">
        <f t="shared" si="16"/>
        <v>0</v>
      </c>
      <c r="M91" s="8">
        <v>0</v>
      </c>
      <c r="N91" s="7">
        <v>2.0000000000000001E-4</v>
      </c>
      <c r="O91" s="8">
        <v>0</v>
      </c>
      <c r="P91" s="7">
        <v>2.9999999999999997E-4</v>
      </c>
      <c r="Q91" s="7">
        <v>1E-4</v>
      </c>
      <c r="R91" s="7">
        <v>2.0000000000000001E-4</v>
      </c>
      <c r="S91" s="7">
        <v>2.9999999999999997E-4</v>
      </c>
      <c r="T91" s="7">
        <v>2.0000000000000001E-4</v>
      </c>
      <c r="U91" s="8">
        <v>0</v>
      </c>
      <c r="V91" s="8">
        <v>0</v>
      </c>
      <c r="W91" s="8">
        <v>0</v>
      </c>
      <c r="X91" s="7">
        <v>0</v>
      </c>
      <c r="Y91" s="8">
        <v>0</v>
      </c>
      <c r="Z91" s="8">
        <v>0</v>
      </c>
      <c r="AA91" s="8">
        <v>0</v>
      </c>
      <c r="AB91" s="7">
        <v>0</v>
      </c>
      <c r="AC91" s="7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1E-4</v>
      </c>
      <c r="AM91" s="7">
        <v>0</v>
      </c>
      <c r="AN91" s="7">
        <v>0</v>
      </c>
      <c r="AO91" s="7">
        <v>0</v>
      </c>
      <c r="AP91" s="8">
        <v>0</v>
      </c>
      <c r="AQ91" s="7">
        <v>0</v>
      </c>
      <c r="AR91" s="7">
        <v>0</v>
      </c>
      <c r="AS91" s="7">
        <v>0</v>
      </c>
      <c r="AT91" s="8">
        <v>0</v>
      </c>
      <c r="AU91" s="7">
        <v>0</v>
      </c>
      <c r="AV91" s="7">
        <v>0</v>
      </c>
      <c r="AW91" s="7">
        <v>0</v>
      </c>
      <c r="AX91" s="8">
        <v>0</v>
      </c>
      <c r="AY91" s="7">
        <v>0</v>
      </c>
      <c r="AZ91" s="7">
        <v>0</v>
      </c>
      <c r="BA91" s="7">
        <v>1E-4</v>
      </c>
      <c r="BB91" s="7">
        <v>0</v>
      </c>
      <c r="BC91" s="7">
        <v>0</v>
      </c>
      <c r="BD91" s="7">
        <v>0</v>
      </c>
      <c r="BE91" s="7">
        <f>VLOOKUP($A91,'1.Sep'!$E$8:$G$42,3,0)</f>
        <v>0</v>
      </c>
      <c r="BF91" s="7">
        <f>VLOOKUP($A91,'2.Sep'!$E$8:$G$42,3,0)</f>
        <v>0</v>
      </c>
      <c r="BG91" s="8">
        <v>0</v>
      </c>
      <c r="BH91" s="8">
        <f>VLOOKUP($A91,'4.Sep'!$E$8:$G$42,3,0)</f>
        <v>0</v>
      </c>
      <c r="BI91" s="7">
        <v>0</v>
      </c>
      <c r="BJ91" s="8">
        <f>VLOOKUP($A91,'6.Sep'!$E$8:$G$42,3,0)</f>
        <v>0</v>
      </c>
      <c r="BK91" s="8">
        <f>VLOOKUP($A91,'7.Sep'!$E$8:$G$42,3,0)</f>
        <v>0</v>
      </c>
      <c r="BL91" s="8">
        <v>0</v>
      </c>
      <c r="BM91" s="8">
        <f>VLOOKUP($A91,'9.Sep'!$E$8:$G$42,3,0)</f>
        <v>0</v>
      </c>
      <c r="BN91" s="8">
        <f>VLOOKUP($A91,'10.Sep'!$E$8:$G$42,3,0)</f>
        <v>0</v>
      </c>
      <c r="BO91" s="8">
        <v>0</v>
      </c>
      <c r="BP91" s="7">
        <f>VLOOKUP($A91,'12.Sep'!$E$8:$G$42,3,0)</f>
        <v>0</v>
      </c>
      <c r="BQ91" s="7">
        <f>VLOOKUP($A91,'13.Sep'!$E$8:$G$42,3,0)</f>
        <v>0</v>
      </c>
      <c r="BR91" s="7">
        <f>VLOOKUP($A91,'14.Sep'!$E$8:$G$42,3,0)</f>
        <v>0</v>
      </c>
      <c r="BS91" s="7">
        <f>VLOOKUP($A91,'15.Sep'!$E$8:$G$42,3,0)</f>
        <v>0</v>
      </c>
      <c r="BT91" s="7">
        <f>VLOOKUP($A91,'16.Sep'!$E$8:$G$42,3,0)</f>
        <v>0</v>
      </c>
      <c r="BU91" s="7">
        <f>VLOOKUP($A91,'17.Sep'!$E$8:$G$42,3,0)</f>
        <v>0</v>
      </c>
      <c r="BV91" s="7">
        <f>VLOOKUP($A91,'18.Sep'!$E$8:$G$42,3,0)</f>
        <v>0</v>
      </c>
      <c r="BW91" s="7">
        <v>0</v>
      </c>
      <c r="BX91" s="7">
        <v>0</v>
      </c>
      <c r="BY91" s="7">
        <f>VLOOKUP($A91,'21.Sep'!$E$8:$G$42,3,0)</f>
        <v>0</v>
      </c>
      <c r="BZ91" s="7">
        <f>VLOOKUP($A91,'22.Sep'!$E$8:$G$42,3,0)</f>
        <v>0</v>
      </c>
      <c r="CA91" s="7">
        <f>VLOOKUP($A91,'23.Sep'!$E$8:$G$42,3,0)</f>
        <v>0</v>
      </c>
      <c r="CB91" s="7">
        <f>VLOOKUP($A91,'24.Sep'!$E$8:$G$42,3,0)</f>
        <v>0</v>
      </c>
      <c r="CC91" s="7">
        <f>VLOOKUP($A91,'24.Sep'!$E$8:$G$42,3,0)</f>
        <v>0</v>
      </c>
    </row>
    <row r="92" spans="1:81">
      <c r="A92" s="6" t="s">
        <v>93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f t="shared" si="17"/>
        <v>0</v>
      </c>
      <c r="I92" s="7">
        <f t="shared" si="18"/>
        <v>0</v>
      </c>
      <c r="J92" s="7">
        <f t="shared" si="19"/>
        <v>0</v>
      </c>
      <c r="K92" s="7">
        <f t="shared" si="15"/>
        <v>0</v>
      </c>
      <c r="L92" s="7">
        <f t="shared" si="16"/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7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7">
        <v>0</v>
      </c>
      <c r="AZ92" s="7">
        <v>0</v>
      </c>
      <c r="BA92" s="8">
        <v>0</v>
      </c>
      <c r="BB92" s="8">
        <v>0</v>
      </c>
      <c r="BC92" s="7">
        <v>0</v>
      </c>
      <c r="BD92" s="8">
        <v>0</v>
      </c>
      <c r="BE92" s="8">
        <v>0</v>
      </c>
      <c r="BF92" s="7">
        <f>VLOOKUP($A92,'2.Sep'!$E$8:$G$42,3,0)</f>
        <v>0</v>
      </c>
      <c r="BG92" s="8">
        <v>0</v>
      </c>
      <c r="BH92" s="8">
        <f>VLOOKUP($A92,'4.Sep'!$E$8:$G$42,3,0)</f>
        <v>0</v>
      </c>
      <c r="BI92" s="7">
        <v>0</v>
      </c>
      <c r="BJ92" s="8">
        <f>VLOOKUP($A92,'6.Sep'!$E$8:$G$42,3,0)</f>
        <v>0</v>
      </c>
      <c r="BK92" s="8">
        <v>0</v>
      </c>
      <c r="BL92" s="8">
        <v>0</v>
      </c>
      <c r="BM92" s="8">
        <v>0</v>
      </c>
      <c r="BN92" s="8">
        <v>0</v>
      </c>
      <c r="BO92" s="8">
        <v>0</v>
      </c>
      <c r="BP92" s="8">
        <v>0</v>
      </c>
      <c r="BQ92" s="8">
        <v>0</v>
      </c>
      <c r="BR92" s="7">
        <f>VLOOKUP($A92,'14.Sep'!$E$8:$G$42,3,0)</f>
        <v>0</v>
      </c>
      <c r="BS92" s="8">
        <v>0</v>
      </c>
      <c r="BT92" s="7">
        <v>0</v>
      </c>
      <c r="BU92" s="7">
        <v>0</v>
      </c>
      <c r="BV92" s="7">
        <v>0</v>
      </c>
      <c r="BW92" s="7">
        <v>0</v>
      </c>
      <c r="BX92" s="7">
        <v>0</v>
      </c>
      <c r="BY92" s="7">
        <v>0</v>
      </c>
      <c r="BZ92" s="7">
        <v>0</v>
      </c>
      <c r="CA92" s="7">
        <v>0</v>
      </c>
      <c r="CB92" s="7">
        <v>0</v>
      </c>
      <c r="CC92" s="7">
        <v>0</v>
      </c>
    </row>
    <row r="93" spans="1:81">
      <c r="A93" s="6" t="s">
        <v>84</v>
      </c>
      <c r="B93" s="7">
        <v>1.6666666666666667E-5</v>
      </c>
      <c r="C93" s="7">
        <v>4.2857142857142863E-5</v>
      </c>
      <c r="D93" s="7">
        <v>1.4285714285714287E-5</v>
      </c>
      <c r="E93" s="7">
        <v>0</v>
      </c>
      <c r="F93" s="7">
        <v>0</v>
      </c>
      <c r="G93" s="7">
        <v>0</v>
      </c>
      <c r="H93" s="7">
        <f t="shared" si="17"/>
        <v>0</v>
      </c>
      <c r="I93" s="7">
        <f t="shared" si="18"/>
        <v>0</v>
      </c>
      <c r="J93" s="7">
        <f t="shared" si="19"/>
        <v>0</v>
      </c>
      <c r="K93" s="7">
        <f t="shared" si="15"/>
        <v>0</v>
      </c>
      <c r="L93" s="7">
        <f t="shared" si="16"/>
        <v>0</v>
      </c>
      <c r="M93" s="8">
        <v>0</v>
      </c>
      <c r="N93" s="8">
        <v>0</v>
      </c>
      <c r="O93" s="8">
        <v>0</v>
      </c>
      <c r="P93" s="8">
        <v>0</v>
      </c>
      <c r="Q93" s="7">
        <v>1E-4</v>
      </c>
      <c r="R93" s="8">
        <v>0</v>
      </c>
      <c r="S93" s="7">
        <v>1E-4</v>
      </c>
      <c r="T93" s="8">
        <v>0</v>
      </c>
      <c r="U93" s="8">
        <v>0</v>
      </c>
      <c r="V93" s="8">
        <v>0</v>
      </c>
      <c r="W93" s="7">
        <v>2.0000000000000001E-4</v>
      </c>
      <c r="X93" s="7">
        <v>0</v>
      </c>
      <c r="Y93" s="8">
        <v>0</v>
      </c>
      <c r="Z93" s="8">
        <v>0</v>
      </c>
      <c r="AA93" s="7">
        <v>0</v>
      </c>
      <c r="AB93" s="7">
        <v>1E-4</v>
      </c>
      <c r="AC93" s="8">
        <v>0</v>
      </c>
      <c r="AD93" s="7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7">
        <v>0</v>
      </c>
      <c r="AN93" s="7">
        <v>0</v>
      </c>
      <c r="AO93" s="7">
        <v>0</v>
      </c>
      <c r="AP93" s="8">
        <v>0</v>
      </c>
      <c r="AQ93" s="8">
        <v>0</v>
      </c>
      <c r="AR93" s="7">
        <v>0</v>
      </c>
      <c r="AS93" s="7">
        <v>0</v>
      </c>
      <c r="AT93" s="8">
        <v>0</v>
      </c>
      <c r="AU93" s="8">
        <v>0</v>
      </c>
      <c r="AV93" s="8">
        <v>0</v>
      </c>
      <c r="AW93" s="7">
        <v>0</v>
      </c>
      <c r="AX93" s="7">
        <v>0</v>
      </c>
      <c r="AY93" s="7">
        <v>0</v>
      </c>
      <c r="AZ93" s="7">
        <v>0</v>
      </c>
      <c r="BA93" s="8">
        <v>0</v>
      </c>
      <c r="BB93" s="8">
        <v>0</v>
      </c>
      <c r="BC93" s="7">
        <v>0</v>
      </c>
      <c r="BD93" s="8">
        <v>0</v>
      </c>
      <c r="BE93" s="8">
        <v>0</v>
      </c>
      <c r="BF93" s="7">
        <f>VLOOKUP($A93,'2.Sep'!$E$8:$G$42,3,0)</f>
        <v>0</v>
      </c>
      <c r="BG93" s="7">
        <f>VLOOKUP($A93,'3.Sep'!$E$8:$G$42,3,0)</f>
        <v>0</v>
      </c>
      <c r="BH93" s="8">
        <v>0</v>
      </c>
      <c r="BI93" s="8">
        <f>VLOOKUP($A93,'5.Sep'!$E$8:$G$42,3,0)</f>
        <v>0</v>
      </c>
      <c r="BJ93" s="8">
        <f>VLOOKUP($A93,'6.Sep'!$E$8:$G$42,3,0)</f>
        <v>0</v>
      </c>
      <c r="BK93" s="8">
        <f>VLOOKUP($A93,'7.Sep'!$E$8:$G$42,3,0)</f>
        <v>0</v>
      </c>
      <c r="BL93" s="8">
        <f>VLOOKUP($A93,'8.Sep'!$E$8:$G$42,3,0)</f>
        <v>0</v>
      </c>
      <c r="BM93" s="8">
        <f>VLOOKUP($A93,'9.Sep'!$E$8:$G$42,3,0)</f>
        <v>0</v>
      </c>
      <c r="BN93" s="8">
        <v>0</v>
      </c>
      <c r="BO93" s="8">
        <v>0</v>
      </c>
      <c r="BP93" s="7">
        <f>VLOOKUP($A93,'12.Sep'!$E$8:$G$42,3,0)</f>
        <v>0</v>
      </c>
      <c r="BQ93" s="7">
        <f>VLOOKUP($A93,'13.Sep'!$E$8:$G$42,3,0)</f>
        <v>0</v>
      </c>
      <c r="BR93" s="8">
        <v>0</v>
      </c>
      <c r="BS93" s="8">
        <v>0</v>
      </c>
      <c r="BT93" s="7">
        <v>0</v>
      </c>
      <c r="BU93" s="7">
        <f>VLOOKUP($A93,'17.Sep'!$E$8:$G$42,3,0)</f>
        <v>0</v>
      </c>
      <c r="BV93" s="7">
        <v>0</v>
      </c>
      <c r="BW93" s="7">
        <f>VLOOKUP($A93,'19.Sep'!$E$8:$G$42,3,0)</f>
        <v>0</v>
      </c>
      <c r="BX93" s="7">
        <v>0</v>
      </c>
      <c r="BY93" s="7">
        <v>0</v>
      </c>
      <c r="BZ93" s="7">
        <f>VLOOKUP($A93,'22.Sep'!$E$8:$G$42,3,0)</f>
        <v>0</v>
      </c>
      <c r="CA93" s="7">
        <f>VLOOKUP($A93,'23.Sep'!$E$8:$G$42,3,0)</f>
        <v>0</v>
      </c>
      <c r="CB93" s="7">
        <v>0</v>
      </c>
      <c r="CC93" s="7">
        <v>0</v>
      </c>
    </row>
    <row r="94" spans="1:81">
      <c r="A94" s="6" t="s">
        <v>94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f t="shared" si="17"/>
        <v>0</v>
      </c>
      <c r="I94" s="7">
        <f t="shared" si="18"/>
        <v>0</v>
      </c>
      <c r="J94" s="7">
        <f t="shared" si="19"/>
        <v>0</v>
      </c>
      <c r="K94" s="7">
        <f t="shared" si="15"/>
        <v>0</v>
      </c>
      <c r="L94" s="7">
        <f t="shared" si="16"/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0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0</v>
      </c>
      <c r="AH94" s="8">
        <v>0</v>
      </c>
      <c r="AI94" s="8">
        <v>0</v>
      </c>
      <c r="AJ94" s="8">
        <v>0</v>
      </c>
      <c r="AK94" s="8">
        <v>0</v>
      </c>
      <c r="AL94" s="8">
        <v>0</v>
      </c>
      <c r="AM94" s="7">
        <v>0</v>
      </c>
      <c r="AN94" s="8">
        <v>0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7">
        <v>0</v>
      </c>
      <c r="AZ94" s="7">
        <v>0</v>
      </c>
      <c r="BA94" s="8">
        <v>0</v>
      </c>
      <c r="BB94" s="8">
        <v>0</v>
      </c>
      <c r="BC94" s="8">
        <v>0</v>
      </c>
      <c r="BD94" s="8">
        <v>0</v>
      </c>
      <c r="BE94" s="8">
        <v>0</v>
      </c>
      <c r="BF94" s="8">
        <v>0</v>
      </c>
      <c r="BG94" s="8">
        <v>0</v>
      </c>
      <c r="BH94" s="8">
        <v>0</v>
      </c>
      <c r="BI94" s="7">
        <v>0</v>
      </c>
      <c r="BJ94" s="8">
        <v>0</v>
      </c>
      <c r="BK94" s="8">
        <v>0</v>
      </c>
      <c r="BL94" s="8">
        <v>0</v>
      </c>
      <c r="BM94" s="8">
        <v>0</v>
      </c>
      <c r="BN94" s="8">
        <v>0</v>
      </c>
      <c r="BO94" s="8">
        <v>0</v>
      </c>
      <c r="BP94" s="8">
        <v>0</v>
      </c>
      <c r="BQ94" s="8">
        <v>0</v>
      </c>
      <c r="BR94" s="8">
        <v>0</v>
      </c>
      <c r="BS94" s="8">
        <v>0</v>
      </c>
      <c r="BT94" s="7">
        <v>0</v>
      </c>
      <c r="BU94" s="7">
        <v>0</v>
      </c>
      <c r="BV94" s="7">
        <v>0</v>
      </c>
      <c r="BW94" s="7">
        <v>0</v>
      </c>
      <c r="BX94" s="7">
        <v>0</v>
      </c>
      <c r="BY94" s="7">
        <v>0</v>
      </c>
      <c r="BZ94" s="7">
        <f>VLOOKUP($A94,'22.Sep'!$E$8:$G$42,3,0)</f>
        <v>0</v>
      </c>
      <c r="CA94" s="7">
        <v>0</v>
      </c>
      <c r="CB94" s="7">
        <v>0</v>
      </c>
      <c r="CC94" s="7">
        <v>0</v>
      </c>
    </row>
    <row r="95" spans="1:81">
      <c r="A95" s="6" t="s">
        <v>95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f t="shared" si="17"/>
        <v>0</v>
      </c>
      <c r="I95" s="7">
        <f t="shared" si="18"/>
        <v>0</v>
      </c>
      <c r="J95" s="7">
        <f t="shared" si="19"/>
        <v>0</v>
      </c>
      <c r="K95" s="7">
        <f t="shared" si="15"/>
        <v>0</v>
      </c>
      <c r="L95" s="7">
        <f t="shared" si="16"/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0</v>
      </c>
      <c r="AB95" s="8">
        <v>0</v>
      </c>
      <c r="AC95" s="7">
        <v>0</v>
      </c>
      <c r="AD95" s="8">
        <v>0</v>
      </c>
      <c r="AE95" s="8">
        <v>0</v>
      </c>
      <c r="AF95" s="8">
        <v>0</v>
      </c>
      <c r="AG95" s="8">
        <v>0</v>
      </c>
      <c r="AH95" s="8">
        <v>0</v>
      </c>
      <c r="AI95" s="8">
        <v>0</v>
      </c>
      <c r="AJ95" s="8">
        <v>0</v>
      </c>
      <c r="AK95" s="8">
        <v>0</v>
      </c>
      <c r="AL95" s="8">
        <v>0</v>
      </c>
      <c r="AM95" s="7">
        <v>0</v>
      </c>
      <c r="AN95" s="8">
        <v>0</v>
      </c>
      <c r="AO95" s="8">
        <v>0</v>
      </c>
      <c r="AP95" s="8">
        <v>0</v>
      </c>
      <c r="AQ95" s="8">
        <v>0</v>
      </c>
      <c r="AR95" s="8">
        <v>0</v>
      </c>
      <c r="AS95" s="8">
        <v>0</v>
      </c>
      <c r="AT95" s="8">
        <v>0</v>
      </c>
      <c r="AU95" s="8">
        <v>0</v>
      </c>
      <c r="AV95" s="7">
        <v>0</v>
      </c>
      <c r="AW95" s="8">
        <v>0</v>
      </c>
      <c r="AX95" s="8">
        <v>0</v>
      </c>
      <c r="AY95" s="7">
        <v>0</v>
      </c>
      <c r="AZ95" s="7">
        <v>0</v>
      </c>
      <c r="BA95" s="8">
        <v>0</v>
      </c>
      <c r="BB95" s="8">
        <v>0</v>
      </c>
      <c r="BC95" s="8">
        <v>0</v>
      </c>
      <c r="BD95" s="8">
        <v>0</v>
      </c>
      <c r="BE95" s="7">
        <f>VLOOKUP($A95,'1.Sep'!$E$8:$G$42,3,0)</f>
        <v>0</v>
      </c>
      <c r="BF95" s="8">
        <v>0</v>
      </c>
      <c r="BG95" s="8">
        <v>0</v>
      </c>
      <c r="BH95" s="8">
        <v>0</v>
      </c>
      <c r="BI95" s="7">
        <v>0</v>
      </c>
      <c r="BJ95" s="8">
        <v>0</v>
      </c>
      <c r="BK95" s="8">
        <v>0</v>
      </c>
      <c r="BL95" s="8">
        <f>VLOOKUP($A95,'8.Sep'!$E$8:$G$42,3,0)</f>
        <v>0</v>
      </c>
      <c r="BM95" s="8">
        <v>0</v>
      </c>
      <c r="BN95" s="8">
        <v>0</v>
      </c>
      <c r="BO95" s="8">
        <v>0</v>
      </c>
      <c r="BP95" s="8">
        <v>0</v>
      </c>
      <c r="BQ95" s="8">
        <v>0</v>
      </c>
      <c r="BR95" s="8">
        <v>0</v>
      </c>
      <c r="BS95" s="8">
        <v>0</v>
      </c>
      <c r="BT95" s="7">
        <f>VLOOKUP($A95,'16.Sep'!$E$8:$G$42,3,0)</f>
        <v>0</v>
      </c>
      <c r="BU95" s="7">
        <f>VLOOKUP($A95,'17.Sep'!$E$8:$G$42,3,0)</f>
        <v>0</v>
      </c>
      <c r="BV95" s="7">
        <v>0</v>
      </c>
      <c r="BW95" s="7">
        <v>0</v>
      </c>
      <c r="BX95" s="7">
        <v>0</v>
      </c>
      <c r="BY95" s="7">
        <v>0</v>
      </c>
      <c r="BZ95" s="7">
        <v>0</v>
      </c>
      <c r="CA95" s="7">
        <v>0</v>
      </c>
      <c r="CB95" s="7">
        <f>VLOOKUP($A95,'24.Sep'!$E$8:$G$42,3,0)</f>
        <v>0</v>
      </c>
      <c r="CC95" s="7">
        <f>VLOOKUP($A95,'24.Sep'!$E$8:$G$42,3,0)</f>
        <v>0</v>
      </c>
    </row>
    <row r="96" spans="1:81">
      <c r="A96" s="6" t="s">
        <v>96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f t="shared" si="17"/>
        <v>0</v>
      </c>
      <c r="I96" s="7">
        <f t="shared" si="18"/>
        <v>0</v>
      </c>
      <c r="J96" s="7">
        <f t="shared" si="19"/>
        <v>0</v>
      </c>
      <c r="K96" s="7">
        <f t="shared" si="15"/>
        <v>0</v>
      </c>
      <c r="L96" s="7">
        <f t="shared" si="16"/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0</v>
      </c>
      <c r="U96" s="8">
        <v>0</v>
      </c>
      <c r="V96" s="8">
        <v>0</v>
      </c>
      <c r="W96" s="8">
        <v>0</v>
      </c>
      <c r="X96" s="8">
        <v>0</v>
      </c>
      <c r="Y96" s="8">
        <v>0</v>
      </c>
      <c r="Z96" s="8">
        <v>0</v>
      </c>
      <c r="AA96" s="8">
        <v>0</v>
      </c>
      <c r="AB96" s="8">
        <v>0</v>
      </c>
      <c r="AC96" s="8">
        <v>0</v>
      </c>
      <c r="AD96" s="8">
        <v>0</v>
      </c>
      <c r="AE96" s="8">
        <v>0</v>
      </c>
      <c r="AF96" s="8">
        <v>0</v>
      </c>
      <c r="AG96" s="8">
        <v>0</v>
      </c>
      <c r="AH96" s="8">
        <v>0</v>
      </c>
      <c r="AI96" s="8">
        <v>0</v>
      </c>
      <c r="AJ96" s="8">
        <v>0</v>
      </c>
      <c r="AK96" s="8">
        <v>0</v>
      </c>
      <c r="AL96" s="8">
        <v>0</v>
      </c>
      <c r="AM96" s="7">
        <v>0</v>
      </c>
      <c r="AN96" s="8">
        <v>0</v>
      </c>
      <c r="AO96" s="8">
        <v>0</v>
      </c>
      <c r="AP96" s="8">
        <v>0</v>
      </c>
      <c r="AQ96" s="8">
        <v>0</v>
      </c>
      <c r="AR96" s="8">
        <v>0</v>
      </c>
      <c r="AS96" s="8">
        <v>0</v>
      </c>
      <c r="AT96" s="8">
        <v>0</v>
      </c>
      <c r="AU96" s="8">
        <v>0</v>
      </c>
      <c r="AV96" s="8">
        <v>0</v>
      </c>
      <c r="AW96" s="8">
        <v>0</v>
      </c>
      <c r="AX96" s="8">
        <v>0</v>
      </c>
      <c r="AY96" s="7">
        <v>0</v>
      </c>
      <c r="AZ96" s="7">
        <v>0</v>
      </c>
      <c r="BA96" s="8">
        <v>0</v>
      </c>
      <c r="BB96" s="8">
        <v>0</v>
      </c>
      <c r="BC96" s="8">
        <v>0</v>
      </c>
      <c r="BD96" s="8">
        <v>0</v>
      </c>
      <c r="BE96" s="8">
        <v>0</v>
      </c>
      <c r="BF96" s="8">
        <v>0</v>
      </c>
      <c r="BG96" s="8">
        <v>0</v>
      </c>
      <c r="BH96" s="8">
        <v>0</v>
      </c>
      <c r="BI96" s="7">
        <v>0</v>
      </c>
      <c r="BJ96" s="8">
        <v>0</v>
      </c>
      <c r="BK96" s="8">
        <v>0</v>
      </c>
      <c r="BL96" s="8">
        <v>0</v>
      </c>
      <c r="BM96" s="8">
        <v>0</v>
      </c>
      <c r="BN96" s="8">
        <v>0</v>
      </c>
      <c r="BO96" s="8">
        <v>0</v>
      </c>
      <c r="BP96" s="8">
        <v>0</v>
      </c>
      <c r="BQ96" s="8">
        <v>0</v>
      </c>
      <c r="BR96" s="8">
        <v>0</v>
      </c>
      <c r="BS96" s="8">
        <v>0</v>
      </c>
      <c r="BT96" s="7">
        <v>0</v>
      </c>
      <c r="BU96" s="7">
        <v>0</v>
      </c>
      <c r="BV96" s="7">
        <v>0</v>
      </c>
      <c r="BW96" s="7">
        <v>0</v>
      </c>
      <c r="BX96" s="7">
        <v>0</v>
      </c>
      <c r="BY96" s="7">
        <v>0</v>
      </c>
      <c r="BZ96" s="7">
        <v>0</v>
      </c>
      <c r="CA96" s="7">
        <v>0</v>
      </c>
      <c r="CB96" s="7">
        <v>0</v>
      </c>
      <c r="CC96" s="7">
        <v>0</v>
      </c>
    </row>
    <row r="97" spans="1:81">
      <c r="A97" s="12" t="s">
        <v>70</v>
      </c>
      <c r="B97" s="10">
        <v>1.5999999999999996E-3</v>
      </c>
      <c r="C97" s="10">
        <v>2.8857142857142836E-3</v>
      </c>
      <c r="D97" s="10">
        <v>2.9714285714285702E-3</v>
      </c>
      <c r="E97" s="10">
        <v>3.1142857142857135E-3</v>
      </c>
      <c r="F97" s="10">
        <v>3.0714285714285709E-3</v>
      </c>
      <c r="G97" s="10">
        <v>2.785714285714285E-3</v>
      </c>
      <c r="H97" s="10">
        <f t="shared" ref="H97" si="20">SUM(H72:H96)</f>
        <v>3.1142857142857135E-3</v>
      </c>
      <c r="I97" s="10">
        <f t="shared" ref="I97:J97" si="21">SUM(I72:I96)</f>
        <v>3.5428571428571427E-3</v>
      </c>
      <c r="J97" s="10">
        <f t="shared" si="21"/>
        <v>3.5285714285714287E-3</v>
      </c>
      <c r="K97" s="10">
        <f t="shared" ref="K97:L97" si="22">SUM(K72:K96)</f>
        <v>2.7166666666666667E-3</v>
      </c>
      <c r="L97" s="10">
        <f t="shared" si="22"/>
        <v>2.7400000000000002E-3</v>
      </c>
      <c r="M97" s="11">
        <v>1.5000000000000002E-3</v>
      </c>
      <c r="N97" s="11">
        <v>2.0000000000000005E-3</v>
      </c>
      <c r="O97" s="11">
        <v>1.1000000000000001E-3</v>
      </c>
      <c r="P97" s="11">
        <v>2.4000000000000002E-3</v>
      </c>
      <c r="Q97" s="11">
        <v>1.1000000000000001E-3</v>
      </c>
      <c r="R97" s="11">
        <v>1.5000000000000002E-3</v>
      </c>
      <c r="S97" s="11">
        <v>1.4000000000000002E-3</v>
      </c>
      <c r="T97" s="11">
        <v>1.1000000000000001E-3</v>
      </c>
      <c r="U97" s="11">
        <v>1.8E-3</v>
      </c>
      <c r="V97" s="11">
        <v>1.1000000000000001E-3</v>
      </c>
      <c r="W97" s="11">
        <v>4.0999999999999995E-3</v>
      </c>
      <c r="X97" s="11">
        <v>5.2999999999999992E-3</v>
      </c>
      <c r="Y97" s="11">
        <v>5.4000000000000012E-3</v>
      </c>
      <c r="Z97" s="11">
        <v>2.9999999999999996E-3</v>
      </c>
      <c r="AA97" s="11">
        <v>2.9000000000000002E-3</v>
      </c>
      <c r="AB97" s="11">
        <v>2.6999999999999997E-3</v>
      </c>
      <c r="AC97" s="11">
        <v>2.9000000000000002E-3</v>
      </c>
      <c r="AD97" s="11">
        <v>3.599999999999999E-3</v>
      </c>
      <c r="AE97" s="11">
        <v>3.0999999999999999E-3</v>
      </c>
      <c r="AF97" s="11">
        <v>2.5999999999999999E-3</v>
      </c>
      <c r="AG97" s="11">
        <v>2.5000000000000001E-3</v>
      </c>
      <c r="AH97" s="11">
        <v>3.3999999999999998E-3</v>
      </c>
      <c r="AI97" s="11">
        <v>2.8999999999999998E-3</v>
      </c>
      <c r="AJ97" s="11">
        <v>3.2999999999999991E-3</v>
      </c>
      <c r="AK97" s="11">
        <v>3.1999999999999993E-3</v>
      </c>
      <c r="AL97" s="11">
        <v>3.1999999999999993E-3</v>
      </c>
      <c r="AM97" s="10">
        <v>3.2999999999999995E-3</v>
      </c>
      <c r="AN97" s="10">
        <v>3.3999999999999998E-3</v>
      </c>
      <c r="AO97" s="10">
        <v>3.5999999999999999E-3</v>
      </c>
      <c r="AP97" s="10">
        <v>2.7999999999999995E-3</v>
      </c>
      <c r="AQ97" s="10">
        <v>2.8999999999999998E-3</v>
      </c>
      <c r="AR97" s="10">
        <v>2.8999999999999989E-3</v>
      </c>
      <c r="AS97" s="10">
        <v>3.0999999999999995E-3</v>
      </c>
      <c r="AT97" s="10">
        <v>2.7999999999999991E-3</v>
      </c>
      <c r="AU97" s="10">
        <v>2.8999999999999994E-3</v>
      </c>
      <c r="AV97" s="10">
        <v>2.3999999999999998E-3</v>
      </c>
      <c r="AW97" s="10">
        <v>2.8E-3</v>
      </c>
      <c r="AX97" s="10">
        <v>2.8E-3</v>
      </c>
      <c r="AY97" s="10">
        <v>2.5999999999999994E-3</v>
      </c>
      <c r="AZ97" s="10">
        <v>2.6999999999999997E-3</v>
      </c>
      <c r="BA97" s="10">
        <v>3.2999999999999987E-3</v>
      </c>
      <c r="BB97" s="10">
        <v>2.8999999999999994E-3</v>
      </c>
      <c r="BC97" s="10">
        <v>2.8999999999999994E-3</v>
      </c>
      <c r="BD97" s="10">
        <v>2.9999999999999996E-3</v>
      </c>
      <c r="BE97" s="10">
        <f t="shared" ref="BE97:CB97" si="23">SUM(BE72:BE96)</f>
        <v>2.8999999999999994E-3</v>
      </c>
      <c r="BF97" s="10">
        <f t="shared" si="23"/>
        <v>3.1999999999999989E-3</v>
      </c>
      <c r="BG97" s="10">
        <f t="shared" si="23"/>
        <v>3.3999999999999985E-3</v>
      </c>
      <c r="BH97" s="11">
        <f t="shared" si="23"/>
        <v>3.4999999999999992E-3</v>
      </c>
      <c r="BI97" s="11">
        <f t="shared" si="23"/>
        <v>3.3999999999999989E-3</v>
      </c>
      <c r="BJ97" s="11">
        <f t="shared" si="23"/>
        <v>4.2999999999999991E-3</v>
      </c>
      <c r="BK97" s="11">
        <f t="shared" si="23"/>
        <v>3.0000000000000001E-3</v>
      </c>
      <c r="BL97" s="11">
        <f t="shared" si="23"/>
        <v>3.0999999999999995E-3</v>
      </c>
      <c r="BM97" s="11">
        <f t="shared" si="23"/>
        <v>3.0000000000000001E-3</v>
      </c>
      <c r="BN97" s="11">
        <f t="shared" si="23"/>
        <v>3.7999999999999991E-3</v>
      </c>
      <c r="BO97" s="11">
        <f t="shared" si="23"/>
        <v>4.1999999999999997E-3</v>
      </c>
      <c r="BP97" s="10">
        <f t="shared" si="23"/>
        <v>3.3999999999999994E-3</v>
      </c>
      <c r="BQ97" s="10">
        <f t="shared" si="23"/>
        <v>3.5000000000000001E-3</v>
      </c>
      <c r="BR97" s="10">
        <f t="shared" si="23"/>
        <v>3.9999999999999992E-3</v>
      </c>
      <c r="BS97" s="10">
        <f t="shared" si="23"/>
        <v>4.2999999999999991E-3</v>
      </c>
      <c r="BT97" s="10">
        <f t="shared" si="23"/>
        <v>3.7999999999999996E-3</v>
      </c>
      <c r="BU97" s="10">
        <f t="shared" si="23"/>
        <v>2.9000000000000002E-3</v>
      </c>
      <c r="BV97" s="10">
        <f t="shared" si="23"/>
        <v>2.8E-3</v>
      </c>
      <c r="BW97" s="10">
        <f t="shared" si="23"/>
        <v>2.5999999999999999E-3</v>
      </c>
      <c r="BX97" s="10">
        <f t="shared" si="23"/>
        <v>1.9000000000000002E-3</v>
      </c>
      <c r="BY97" s="10">
        <f t="shared" si="23"/>
        <v>2.9000000000000002E-3</v>
      </c>
      <c r="BZ97" s="10">
        <f t="shared" si="23"/>
        <v>3.2999999999999995E-3</v>
      </c>
      <c r="CA97" s="10">
        <f t="shared" si="23"/>
        <v>2.9000000000000002E-3</v>
      </c>
      <c r="CB97" s="10">
        <f t="shared" si="23"/>
        <v>2.7000000000000001E-3</v>
      </c>
      <c r="CC97" s="10">
        <f t="shared" ref="CC97" si="24">SUM(CC72:CC96)</f>
        <v>2.7000000000000001E-3</v>
      </c>
    </row>
    <row r="98" spans="1:81">
      <c r="A98" s="13" t="s">
        <v>71</v>
      </c>
      <c r="B98" s="14">
        <v>54357</v>
      </c>
      <c r="C98" s="14">
        <v>115037</v>
      </c>
      <c r="D98" s="14">
        <v>298870</v>
      </c>
      <c r="E98" s="14">
        <v>455840</v>
      </c>
      <c r="F98" s="14">
        <v>590859</v>
      </c>
      <c r="G98" s="14">
        <v>659551</v>
      </c>
      <c r="H98" s="14">
        <f>SUM(BB98:BH98)</f>
        <v>636008</v>
      </c>
      <c r="I98" s="14">
        <f>SUM(BI98:BO98)</f>
        <v>670286</v>
      </c>
      <c r="J98" s="14">
        <f>SUM(BP98:BV98)</f>
        <v>769866</v>
      </c>
      <c r="K98" s="14">
        <f>SUM(BW98:CB98)</f>
        <v>725297</v>
      </c>
      <c r="L98" s="14">
        <f>SUM(BX98:CB98)</f>
        <v>604292</v>
      </c>
      <c r="M98" s="15">
        <v>8046</v>
      </c>
      <c r="N98" s="15">
        <v>5922</v>
      </c>
      <c r="O98" s="15">
        <v>7494</v>
      </c>
      <c r="P98" s="15">
        <v>9978</v>
      </c>
      <c r="Q98" s="15">
        <v>11828</v>
      </c>
      <c r="R98" s="15">
        <v>11089</v>
      </c>
      <c r="S98" s="15">
        <v>14372</v>
      </c>
      <c r="T98" s="15">
        <v>9956</v>
      </c>
      <c r="U98" s="15">
        <v>14389</v>
      </c>
      <c r="V98" s="15">
        <v>2707</v>
      </c>
      <c r="W98" s="15">
        <v>8254</v>
      </c>
      <c r="X98" s="15">
        <v>38146</v>
      </c>
      <c r="Y98" s="15">
        <v>27213</v>
      </c>
      <c r="Z98" s="15">
        <v>39250</v>
      </c>
      <c r="AA98" s="15">
        <v>36620</v>
      </c>
      <c r="AB98" s="15">
        <v>34414</v>
      </c>
      <c r="AC98" s="15">
        <v>39546</v>
      </c>
      <c r="AD98" s="15">
        <v>45893</v>
      </c>
      <c r="AE98" s="15">
        <v>49601</v>
      </c>
      <c r="AF98" s="15">
        <v>53546</v>
      </c>
      <c r="AG98" s="15">
        <v>52738</v>
      </c>
      <c r="AH98" s="15">
        <v>58047</v>
      </c>
      <c r="AI98" s="15">
        <v>55246</v>
      </c>
      <c r="AJ98" s="15">
        <v>66553</v>
      </c>
      <c r="AK98" s="15">
        <v>69806</v>
      </c>
      <c r="AL98" s="15">
        <v>75262</v>
      </c>
      <c r="AM98" s="14">
        <v>78188</v>
      </c>
      <c r="AN98" s="14">
        <v>72449</v>
      </c>
      <c r="AO98" s="14">
        <v>77718</v>
      </c>
      <c r="AP98" s="14">
        <v>76434</v>
      </c>
      <c r="AQ98" s="14">
        <v>86319</v>
      </c>
      <c r="AR98" s="14">
        <v>86851</v>
      </c>
      <c r="AS98" s="14">
        <v>94740</v>
      </c>
      <c r="AT98" s="14">
        <v>96348</v>
      </c>
      <c r="AU98" s="14">
        <v>96486</v>
      </c>
      <c r="AV98" s="14">
        <v>89547</v>
      </c>
      <c r="AW98" s="14">
        <v>92868</v>
      </c>
      <c r="AX98" s="14">
        <v>92299</v>
      </c>
      <c r="AY98" s="14">
        <v>97834</v>
      </c>
      <c r="AZ98" s="14">
        <v>97137</v>
      </c>
      <c r="BA98" s="14">
        <v>93380</v>
      </c>
      <c r="BB98" s="14">
        <v>93648</v>
      </c>
      <c r="BC98" s="14">
        <v>98065</v>
      </c>
      <c r="BD98" s="14">
        <v>61892</v>
      </c>
      <c r="BE98" s="14">
        <f>'1.Sep'!$G$2</f>
        <v>93884</v>
      </c>
      <c r="BF98" s="14">
        <f>'2.Sep'!$G$2</f>
        <v>94655</v>
      </c>
      <c r="BG98" s="14">
        <f>'3.Sep'!$G$2</f>
        <v>99525</v>
      </c>
      <c r="BH98" s="15">
        <f>'4.Sep'!$G$2</f>
        <v>94339</v>
      </c>
      <c r="BI98" s="15">
        <f>'5.Sep'!$G$2</f>
        <v>97371</v>
      </c>
      <c r="BJ98" s="15">
        <f>'6.Sep'!$G$2</f>
        <v>97668</v>
      </c>
      <c r="BK98" s="15">
        <f>'7.Sep'!$G$2</f>
        <v>90926</v>
      </c>
      <c r="BL98" s="15">
        <f>'8.Sep'!$G$2</f>
        <v>95238</v>
      </c>
      <c r="BM98" s="15">
        <f>'9.Sep'!$G$2</f>
        <v>90502</v>
      </c>
      <c r="BN98" s="15">
        <f>'10.Sep'!$G$2</f>
        <v>97226</v>
      </c>
      <c r="BO98" s="15">
        <f>'11.Sep'!$G$2</f>
        <v>101355</v>
      </c>
      <c r="BP98" s="14">
        <f>'12.Sep'!$G$2</f>
        <v>100523</v>
      </c>
      <c r="BQ98" s="14">
        <f>'13.Sep'!$G$2</f>
        <v>101611</v>
      </c>
      <c r="BR98" s="14">
        <f>'14.Sep'!$G$2</f>
        <v>108059</v>
      </c>
      <c r="BS98" s="14">
        <f>'15.Sep'!$G$2</f>
        <v>109100</v>
      </c>
      <c r="BT98" s="14">
        <f>'16.Sep'!$G$2</f>
        <v>105435</v>
      </c>
      <c r="BU98" s="14">
        <f>'17.Sep'!$G$2</f>
        <v>121987</v>
      </c>
      <c r="BV98" s="14">
        <f>'18.Sep'!$G$2</f>
        <v>123151</v>
      </c>
      <c r="BW98" s="14">
        <f>'19.Sep'!$G$2</f>
        <v>121005</v>
      </c>
      <c r="BX98" s="14">
        <f>'20.Sep'!$G$2</f>
        <v>117056</v>
      </c>
      <c r="BY98" s="14">
        <f>'21.Sep'!$G$2</f>
        <v>126438</v>
      </c>
      <c r="BZ98" s="14">
        <f>'22.Sep'!$G$2</f>
        <v>127986</v>
      </c>
      <c r="CA98" s="14">
        <f>'23.Sep'!$G$2</f>
        <v>109740</v>
      </c>
      <c r="CB98" s="14">
        <f>'24.Sep'!$G$2</f>
        <v>123072</v>
      </c>
      <c r="CC98" s="14">
        <f>'24.Sep'!$G$2</f>
        <v>123072</v>
      </c>
    </row>
    <row r="99" spans="1:81">
      <c r="A99" s="13" t="s">
        <v>72</v>
      </c>
      <c r="B99" s="14">
        <v>54269</v>
      </c>
      <c r="C99" s="14">
        <v>114582</v>
      </c>
      <c r="D99" s="14">
        <v>297963</v>
      </c>
      <c r="E99" s="14">
        <v>454360</v>
      </c>
      <c r="F99" s="14">
        <v>589001</v>
      </c>
      <c r="G99" s="14">
        <v>657651</v>
      </c>
      <c r="H99" s="14">
        <f>SUM(BB99:BH99)</f>
        <v>634010</v>
      </c>
      <c r="I99" s="14">
        <f>SUM(BI99:BO99)</f>
        <v>667793</v>
      </c>
      <c r="J99" s="14">
        <f>SUM(BP99:BV99)</f>
        <v>767061</v>
      </c>
      <c r="K99" s="14">
        <f>SUM(BW99:CB99)</f>
        <v>723213</v>
      </c>
      <c r="L99" s="14">
        <f>SUM(BX99:CB99)</f>
        <v>602537</v>
      </c>
      <c r="M99" s="15">
        <v>8032</v>
      </c>
      <c r="N99" s="15">
        <v>5910</v>
      </c>
      <c r="O99" s="15">
        <v>7484</v>
      </c>
      <c r="P99" s="15">
        <v>9953</v>
      </c>
      <c r="Q99" s="15">
        <v>11817</v>
      </c>
      <c r="R99" s="15">
        <v>11073</v>
      </c>
      <c r="S99" s="15">
        <v>14351</v>
      </c>
      <c r="T99" s="15">
        <v>9943</v>
      </c>
      <c r="U99" s="15">
        <v>14363</v>
      </c>
      <c r="V99" s="15">
        <v>2703</v>
      </c>
      <c r="W99" s="15">
        <v>8219</v>
      </c>
      <c r="X99" s="15">
        <v>37941</v>
      </c>
      <c r="Y99" s="15">
        <v>27062</v>
      </c>
      <c r="Z99" s="15">
        <v>39132</v>
      </c>
      <c r="AA99" s="15">
        <v>36514</v>
      </c>
      <c r="AB99" s="15">
        <v>34321</v>
      </c>
      <c r="AC99" s="15">
        <v>39432</v>
      </c>
      <c r="AD99" s="15">
        <v>45716</v>
      </c>
      <c r="AE99" s="15">
        <v>49443</v>
      </c>
      <c r="AF99" s="15">
        <v>53405</v>
      </c>
      <c r="AG99" s="15">
        <v>52596</v>
      </c>
      <c r="AH99" s="15">
        <v>57835</v>
      </c>
      <c r="AI99" s="15">
        <v>55086</v>
      </c>
      <c r="AJ99" s="15">
        <v>66324</v>
      </c>
      <c r="AK99" s="15">
        <v>69575</v>
      </c>
      <c r="AL99" s="15">
        <v>75017</v>
      </c>
      <c r="AM99" s="14">
        <v>77927</v>
      </c>
      <c r="AN99" s="14">
        <v>72183</v>
      </c>
      <c r="AO99" s="14">
        <v>77431</v>
      </c>
      <c r="AP99" s="14">
        <v>76225</v>
      </c>
      <c r="AQ99" s="14">
        <v>86066</v>
      </c>
      <c r="AR99" s="14">
        <v>86582</v>
      </c>
      <c r="AS99" s="14">
        <v>94434</v>
      </c>
      <c r="AT99" s="14">
        <v>96080</v>
      </c>
      <c r="AU99" s="14">
        <v>96196</v>
      </c>
      <c r="AV99" s="14">
        <v>89314</v>
      </c>
      <c r="AW99" s="14">
        <v>92594</v>
      </c>
      <c r="AX99" s="14">
        <v>92040</v>
      </c>
      <c r="AY99" s="14">
        <v>97565</v>
      </c>
      <c r="AZ99" s="14">
        <v>96877</v>
      </c>
      <c r="BA99" s="14">
        <v>93065</v>
      </c>
      <c r="BB99" s="14">
        <v>93373</v>
      </c>
      <c r="BC99" s="14">
        <v>97782</v>
      </c>
      <c r="BD99" s="14">
        <v>61708</v>
      </c>
      <c r="BE99" s="14">
        <f>'1.Sep'!$G$3</f>
        <v>93603</v>
      </c>
      <c r="BF99" s="14">
        <f>'2.Sep'!$G$3</f>
        <v>94353</v>
      </c>
      <c r="BG99" s="14">
        <f>'3.Sep'!$G$3</f>
        <v>99186</v>
      </c>
      <c r="BH99" s="15">
        <f>'4.Sep'!$G$3</f>
        <v>94005</v>
      </c>
      <c r="BI99" s="15">
        <f>'5.Sep'!$G$3</f>
        <v>97016</v>
      </c>
      <c r="BJ99" s="15">
        <f>'6.Sep'!$G$3</f>
        <v>97234</v>
      </c>
      <c r="BK99" s="15">
        <f>'7.Sep'!$G$3</f>
        <v>90645</v>
      </c>
      <c r="BL99" s="15">
        <f>'8.Sep'!$G$3</f>
        <v>94927</v>
      </c>
      <c r="BM99" s="15">
        <f>'9.Sep'!$G$3</f>
        <v>90214</v>
      </c>
      <c r="BN99" s="15">
        <f>'10.Sep'!$G$3</f>
        <v>96835</v>
      </c>
      <c r="BO99" s="15">
        <f>'11.Sep'!$G$3</f>
        <v>100922</v>
      </c>
      <c r="BP99" s="14">
        <f>'12.Sep'!$G$3</f>
        <v>100162</v>
      </c>
      <c r="BQ99" s="14">
        <f>'13.Sep'!$G$3</f>
        <v>101244</v>
      </c>
      <c r="BR99" s="14">
        <f>'14.Sep'!$G$3</f>
        <v>107604</v>
      </c>
      <c r="BS99" s="14">
        <f>'15.Sep'!$G$3</f>
        <v>108614</v>
      </c>
      <c r="BT99" s="14">
        <f>'16.Sep'!$G$3</f>
        <v>105014</v>
      </c>
      <c r="BU99" s="14">
        <f>'17.Sep'!$G$3</f>
        <v>121628</v>
      </c>
      <c r="BV99" s="14">
        <f>'18.Sep'!$G$3</f>
        <v>122795</v>
      </c>
      <c r="BW99" s="14">
        <f>'19.Sep'!$G$3</f>
        <v>120676</v>
      </c>
      <c r="BX99" s="14">
        <f>'20.Sep'!$G$3</f>
        <v>116809</v>
      </c>
      <c r="BY99" s="14">
        <f>'21.Sep'!$G$3</f>
        <v>126054</v>
      </c>
      <c r="BZ99" s="14">
        <f>'22.Sep'!$G$3</f>
        <v>127548</v>
      </c>
      <c r="CA99" s="14">
        <f>'23.Sep'!$G$3</f>
        <v>109411</v>
      </c>
      <c r="CB99" s="14">
        <f>'24.Sep'!$G$3</f>
        <v>122715</v>
      </c>
      <c r="CC99" s="14">
        <f>'24.Sep'!$G$3</f>
        <v>122715</v>
      </c>
    </row>
    <row r="100" spans="1:81" ht="19.5">
      <c r="A100" s="1" t="s">
        <v>97</v>
      </c>
      <c r="B100" s="16" t="s">
        <v>1</v>
      </c>
      <c r="C100" s="16" t="s">
        <v>118</v>
      </c>
      <c r="D100" s="16" t="s">
        <v>128</v>
      </c>
      <c r="E100" s="16" t="s">
        <v>144</v>
      </c>
      <c r="F100" s="16" t="s">
        <v>151</v>
      </c>
      <c r="G100" s="16" t="s">
        <v>162</v>
      </c>
      <c r="H100" s="16" t="s">
        <v>163</v>
      </c>
      <c r="I100" s="16" t="s">
        <v>168</v>
      </c>
      <c r="J100" s="16" t="s">
        <v>173</v>
      </c>
      <c r="K100" s="16" t="s">
        <v>178</v>
      </c>
      <c r="L100" s="16" t="s">
        <v>178</v>
      </c>
      <c r="M100" s="18">
        <v>44761</v>
      </c>
      <c r="N100" s="18">
        <v>44762</v>
      </c>
      <c r="O100" s="18">
        <v>44763</v>
      </c>
      <c r="P100" s="18">
        <v>44764</v>
      </c>
      <c r="Q100" s="17">
        <v>44765</v>
      </c>
      <c r="R100" s="17">
        <v>44766</v>
      </c>
      <c r="S100" s="17">
        <v>44767</v>
      </c>
      <c r="T100" s="17">
        <v>44768</v>
      </c>
      <c r="U100" s="17">
        <v>44769</v>
      </c>
      <c r="V100" s="17">
        <v>44770</v>
      </c>
      <c r="W100" s="17">
        <v>44771</v>
      </c>
      <c r="X100" s="17">
        <v>44772</v>
      </c>
      <c r="Y100" s="17">
        <v>44773</v>
      </c>
      <c r="Z100" s="17">
        <v>44774</v>
      </c>
      <c r="AA100" s="17">
        <v>44775</v>
      </c>
      <c r="AB100" s="17">
        <v>44776</v>
      </c>
      <c r="AC100" s="17">
        <v>44777</v>
      </c>
      <c r="AD100" s="17">
        <v>44778</v>
      </c>
      <c r="AE100" s="17">
        <v>44779</v>
      </c>
      <c r="AF100" s="18">
        <v>44780</v>
      </c>
      <c r="AG100" s="18">
        <v>44781</v>
      </c>
      <c r="AH100" s="18">
        <v>44782</v>
      </c>
      <c r="AI100" s="18">
        <v>44783</v>
      </c>
      <c r="AJ100" s="18">
        <v>44784</v>
      </c>
      <c r="AK100" s="18">
        <v>44785</v>
      </c>
      <c r="AL100" s="18">
        <v>44786</v>
      </c>
      <c r="AM100" s="17">
        <v>44787</v>
      </c>
      <c r="AN100" s="17">
        <v>44788</v>
      </c>
      <c r="AO100" s="17">
        <v>44789</v>
      </c>
      <c r="AP100" s="17">
        <v>44790</v>
      </c>
      <c r="AQ100" s="17">
        <v>44791</v>
      </c>
      <c r="AR100" s="17">
        <v>44792</v>
      </c>
      <c r="AS100" s="17">
        <v>44793</v>
      </c>
      <c r="AT100" s="17">
        <v>44794</v>
      </c>
      <c r="AU100" s="17">
        <v>44795</v>
      </c>
      <c r="AV100" s="17">
        <v>44796</v>
      </c>
      <c r="AW100" s="17">
        <v>44797</v>
      </c>
      <c r="AX100" s="17">
        <v>44798</v>
      </c>
      <c r="AY100" s="17">
        <v>44799</v>
      </c>
      <c r="AZ100" s="17">
        <v>44800</v>
      </c>
      <c r="BA100" s="17">
        <v>44801</v>
      </c>
      <c r="BB100" s="17">
        <v>44802</v>
      </c>
      <c r="BC100" s="17">
        <v>44803</v>
      </c>
      <c r="BD100" s="17">
        <v>44804</v>
      </c>
      <c r="BE100" s="17">
        <v>44805</v>
      </c>
      <c r="BF100" s="17">
        <v>44806</v>
      </c>
      <c r="BG100" s="17">
        <v>44807</v>
      </c>
      <c r="BH100" s="18">
        <v>44808</v>
      </c>
      <c r="BI100" s="18">
        <v>44809</v>
      </c>
      <c r="BJ100" s="18">
        <v>44810</v>
      </c>
      <c r="BK100" s="18">
        <v>44811</v>
      </c>
      <c r="BL100" s="18">
        <v>44812</v>
      </c>
      <c r="BM100" s="18">
        <v>44813</v>
      </c>
      <c r="BN100" s="18">
        <v>44814</v>
      </c>
      <c r="BO100" s="18">
        <v>44815</v>
      </c>
      <c r="BP100" s="17">
        <v>44816</v>
      </c>
      <c r="BQ100" s="17">
        <v>44817</v>
      </c>
      <c r="BR100" s="17">
        <v>44818</v>
      </c>
      <c r="BS100" s="17">
        <v>44819</v>
      </c>
      <c r="BT100" s="17">
        <v>44820</v>
      </c>
      <c r="BU100" s="17">
        <v>44821</v>
      </c>
      <c r="BV100" s="17">
        <v>44822</v>
      </c>
      <c r="BW100" s="17">
        <v>44823</v>
      </c>
      <c r="BX100" s="17">
        <v>44824</v>
      </c>
      <c r="BY100" s="17">
        <v>44825</v>
      </c>
      <c r="BZ100" s="17">
        <v>44826</v>
      </c>
      <c r="CA100" s="17">
        <v>44827</v>
      </c>
      <c r="CB100" s="17">
        <v>44828</v>
      </c>
      <c r="CC100" s="17">
        <v>44828</v>
      </c>
    </row>
    <row r="101" spans="1:81">
      <c r="A101" s="6" t="s">
        <v>2</v>
      </c>
      <c r="B101" s="7">
        <v>1.6666666666666666E-4</v>
      </c>
      <c r="C101" s="7">
        <v>2.7142857142857144E-4</v>
      </c>
      <c r="D101" s="7">
        <v>3.8571428571428578E-4</v>
      </c>
      <c r="E101" s="7">
        <v>3.5714285714285714E-4</v>
      </c>
      <c r="F101" s="7">
        <v>3.5714285714285714E-4</v>
      </c>
      <c r="G101" s="7">
        <v>3.4285714285714285E-4</v>
      </c>
      <c r="H101" s="7">
        <f>AVERAGE(BB101:BH101)</f>
        <v>3.7142857142857143E-4</v>
      </c>
      <c r="I101" s="7">
        <f>AVERAGE(BI101:BO101)</f>
        <v>2.8571428571428574E-4</v>
      </c>
      <c r="J101" s="7">
        <f>AVERAGE(BP101:BV101)</f>
        <v>2.9999999999999997E-4</v>
      </c>
      <c r="K101" s="7">
        <f t="shared" ref="K101:K107" si="25">AVERAGE(BW101:CB101)</f>
        <v>3.1666666666666665E-4</v>
      </c>
      <c r="L101" s="7">
        <f t="shared" ref="L101:L107" si="26">AVERAGE(BX101:CB101)</f>
        <v>3.1999999999999997E-4</v>
      </c>
      <c r="M101" s="8">
        <v>0</v>
      </c>
      <c r="N101" s="8">
        <v>2.0000000000000001E-4</v>
      </c>
      <c r="O101" s="8">
        <v>0</v>
      </c>
      <c r="P101" s="8">
        <v>2.0000000000000001E-4</v>
      </c>
      <c r="Q101" s="8">
        <v>2.9999999999999997E-4</v>
      </c>
      <c r="R101" s="8">
        <v>2.9999999999999997E-4</v>
      </c>
      <c r="S101" s="8">
        <v>2.0000000000000001E-4</v>
      </c>
      <c r="T101" s="8">
        <v>4.0000000000000002E-4</v>
      </c>
      <c r="U101" s="8">
        <v>1E-4</v>
      </c>
      <c r="V101" s="8">
        <v>0</v>
      </c>
      <c r="W101" s="8">
        <v>5.0000000000000001E-4</v>
      </c>
      <c r="X101" s="8">
        <v>4.0000000000000002E-4</v>
      </c>
      <c r="Y101" s="8">
        <v>2.9999999999999997E-4</v>
      </c>
      <c r="Z101" s="8">
        <v>4.0000000000000002E-4</v>
      </c>
      <c r="AA101" s="8">
        <v>4.0000000000000002E-4</v>
      </c>
      <c r="AB101" s="8">
        <v>4.0000000000000002E-4</v>
      </c>
      <c r="AC101" s="8">
        <v>5.0000000000000001E-4</v>
      </c>
      <c r="AD101" s="8">
        <v>4.0000000000000002E-4</v>
      </c>
      <c r="AE101" s="8">
        <v>2.0000000000000001E-4</v>
      </c>
      <c r="AF101" s="8">
        <v>4.0000000000000002E-4</v>
      </c>
      <c r="AG101" s="8">
        <v>5.9999999999999995E-4</v>
      </c>
      <c r="AH101" s="8">
        <v>4.0000000000000002E-4</v>
      </c>
      <c r="AI101" s="8">
        <v>2.0000000000000001E-4</v>
      </c>
      <c r="AJ101" s="8">
        <v>2.9999999999999997E-4</v>
      </c>
      <c r="AK101" s="8">
        <v>4.0000000000000002E-4</v>
      </c>
      <c r="AL101" s="8">
        <v>2.9999999999999997E-4</v>
      </c>
      <c r="AM101" s="7">
        <v>2.9999999999999997E-4</v>
      </c>
      <c r="AN101" s="7">
        <v>2.0000000000000001E-4</v>
      </c>
      <c r="AO101" s="7">
        <v>2.9999999999999997E-4</v>
      </c>
      <c r="AP101" s="7">
        <v>4.0000000000000002E-4</v>
      </c>
      <c r="AQ101" s="7">
        <v>2.9999999999999997E-4</v>
      </c>
      <c r="AR101" s="7">
        <v>5.0000000000000001E-4</v>
      </c>
      <c r="AS101" s="7">
        <v>4.0000000000000002E-4</v>
      </c>
      <c r="AT101" s="7">
        <v>4.0000000000000002E-4</v>
      </c>
      <c r="AU101" s="7">
        <v>4.0000000000000002E-4</v>
      </c>
      <c r="AV101" s="7">
        <v>4.0000000000000002E-4</v>
      </c>
      <c r="AW101" s="7">
        <v>2.0000000000000001E-4</v>
      </c>
      <c r="AX101" s="7">
        <v>2.9999999999999997E-4</v>
      </c>
      <c r="AY101" s="7">
        <v>4.0000000000000002E-4</v>
      </c>
      <c r="AZ101" s="7">
        <v>4.0000000000000002E-4</v>
      </c>
      <c r="BA101" s="7">
        <v>2.9999999999999997E-4</v>
      </c>
      <c r="BB101" s="7">
        <v>4.0000000000000002E-4</v>
      </c>
      <c r="BC101" s="7">
        <v>4.0000000000000002E-4</v>
      </c>
      <c r="BD101" s="7">
        <v>2.9999999999999997E-4</v>
      </c>
      <c r="BE101" s="7">
        <f>VLOOKUP($A101,'1.Sep'!$I$8:$K$41,3,0)</f>
        <v>2.9999999999999997E-4</v>
      </c>
      <c r="BF101" s="7">
        <f>VLOOKUP($A101,'2.Sep'!$I$8:$K$41,3,0)</f>
        <v>2.9999999999999997E-4</v>
      </c>
      <c r="BG101" s="7">
        <f>VLOOKUP($A101,'3.Sep'!$I$8:$K$41,3,0)</f>
        <v>4.0000000000000002E-4</v>
      </c>
      <c r="BH101" s="8">
        <f>VLOOKUP($A101,'4.Sep'!$I$8:$K$41,3,0)</f>
        <v>5.0000000000000001E-4</v>
      </c>
      <c r="BI101" s="8">
        <f>VLOOKUP($A101,'5.Sep'!$I$8:$K$41,3,0)</f>
        <v>2.9999999999999997E-4</v>
      </c>
      <c r="BJ101" s="8">
        <f>VLOOKUP($A101,'6.Sep'!$I$8:$K$41,3,0)</f>
        <v>2.9999999999999997E-4</v>
      </c>
      <c r="BK101" s="8">
        <f>VLOOKUP($A101,'7.Sep'!$I$8:$K$41,3,0)</f>
        <v>2.9999999999999997E-4</v>
      </c>
      <c r="BL101" s="8">
        <f>VLOOKUP($A101,'8.Sep'!$I$8:$K$41,3,0)</f>
        <v>2.9999999999999997E-4</v>
      </c>
      <c r="BM101" s="8">
        <f>VLOOKUP($A101,'9.Sep'!$I$8:$K$41,3,0)</f>
        <v>2.9999999999999997E-4</v>
      </c>
      <c r="BN101" s="8">
        <f>VLOOKUP($A101,'10.Sep'!$I$8:$K$41,3,0)</f>
        <v>2.0000000000000001E-4</v>
      </c>
      <c r="BO101" s="8">
        <f>VLOOKUP($A101,'11.Sep'!$I$8:$K$41,3,0)</f>
        <v>2.9999999999999997E-4</v>
      </c>
      <c r="BP101" s="7">
        <f>VLOOKUP($A101,'12.Sep'!$I$8:$K$41,3,0)</f>
        <v>4.0000000000000002E-4</v>
      </c>
      <c r="BQ101" s="7">
        <f>VLOOKUP($A101,'13.Sep'!$I$8:$K$41,3,0)</f>
        <v>2.9999999999999997E-4</v>
      </c>
      <c r="BR101" s="7">
        <f>VLOOKUP($A101,'14.Sep'!$I$8:$K$41,3,0)</f>
        <v>2.9999999999999997E-4</v>
      </c>
      <c r="BS101" s="7">
        <f>VLOOKUP($A101,'15.Sep'!$I$8:$K$41,3,0)</f>
        <v>2.0000000000000001E-4</v>
      </c>
      <c r="BT101" s="7">
        <f>VLOOKUP($A101,'16.Sep'!$I$8:$K$41,3,0)</f>
        <v>2.9999999999999997E-4</v>
      </c>
      <c r="BU101" s="7">
        <f>VLOOKUP($A101,'17.Sep'!$I$8:$K$41,3,0)</f>
        <v>2.9999999999999997E-4</v>
      </c>
      <c r="BV101" s="7">
        <f>VLOOKUP($A101,'18.Sep'!$I$8:$K$41,3,0)</f>
        <v>2.9999999999999997E-4</v>
      </c>
      <c r="BW101" s="7">
        <f>VLOOKUP($A101,'19.Sep'!$I$8:$K$41,3,0)</f>
        <v>2.9999999999999997E-4</v>
      </c>
      <c r="BX101" s="7">
        <f>VLOOKUP($A101,'20.Sep'!$I$8:$K$41,3,0)</f>
        <v>2.0000000000000001E-4</v>
      </c>
      <c r="BY101" s="7">
        <f>VLOOKUP($A101,'21.Sep'!$I$8:$K$41,3,0)</f>
        <v>4.0000000000000002E-4</v>
      </c>
      <c r="BZ101" s="7">
        <f>VLOOKUP($A101,'22.Sep'!$I$8:$K$41,3,0)</f>
        <v>4.0000000000000002E-4</v>
      </c>
      <c r="CA101" s="7">
        <f>VLOOKUP($A101,'23.Sep'!$I$8:$K$41,3,0)</f>
        <v>2.9999999999999997E-4</v>
      </c>
      <c r="CB101" s="7">
        <f>VLOOKUP($A101,'24.Sep'!$I$8:$K$41,3,0)</f>
        <v>2.9999999999999997E-4</v>
      </c>
      <c r="CC101" s="7">
        <f>VLOOKUP($A101,'24.Sep'!$I$8:$K$41,3,0)</f>
        <v>2.9999999999999997E-4</v>
      </c>
    </row>
    <row r="102" spans="1:81">
      <c r="A102" s="6" t="s">
        <v>98</v>
      </c>
      <c r="B102" s="7">
        <v>6.666666666666667E-5</v>
      </c>
      <c r="C102" s="7">
        <v>1.142857142857143E-4</v>
      </c>
      <c r="D102" s="7">
        <v>1.2857142857142858E-4</v>
      </c>
      <c r="E102" s="7">
        <v>1.2857142857142858E-4</v>
      </c>
      <c r="F102" s="7">
        <v>1.8571428571428572E-4</v>
      </c>
      <c r="G102" s="7">
        <v>2.0000000000000004E-4</v>
      </c>
      <c r="H102" s="7">
        <f t="shared" ref="H102:H107" si="27">AVERAGE(BB102:BH102)</f>
        <v>1.5714285714285716E-4</v>
      </c>
      <c r="I102" s="7">
        <f t="shared" ref="I102:I107" si="28">AVERAGE(BI102:BO102)</f>
        <v>1.5714285714285719E-4</v>
      </c>
      <c r="J102" s="7">
        <f t="shared" ref="J102:J107" si="29">AVERAGE(BP102:BV102)</f>
        <v>1.2857142857142858E-4</v>
      </c>
      <c r="K102" s="7">
        <f t="shared" si="25"/>
        <v>1.8333333333333334E-4</v>
      </c>
      <c r="L102" s="7">
        <f t="shared" si="26"/>
        <v>2.0000000000000001E-4</v>
      </c>
      <c r="M102" s="8">
        <v>0</v>
      </c>
      <c r="N102" s="8">
        <v>2.0000000000000001E-4</v>
      </c>
      <c r="O102" s="8">
        <v>0</v>
      </c>
      <c r="P102" s="8">
        <v>0</v>
      </c>
      <c r="Q102" s="8">
        <v>1E-4</v>
      </c>
      <c r="R102" s="8">
        <v>1E-4</v>
      </c>
      <c r="S102" s="8">
        <v>0</v>
      </c>
      <c r="T102" s="8">
        <v>2.9999999999999997E-4</v>
      </c>
      <c r="U102" s="8">
        <v>2.0000000000000001E-4</v>
      </c>
      <c r="V102" s="8">
        <v>0</v>
      </c>
      <c r="W102" s="8">
        <v>0</v>
      </c>
      <c r="X102" s="8">
        <v>1E-4</v>
      </c>
      <c r="Y102" s="8">
        <v>2.0000000000000001E-4</v>
      </c>
      <c r="Z102" s="8">
        <v>2.0000000000000001E-4</v>
      </c>
      <c r="AA102" s="8">
        <v>2.0000000000000001E-4</v>
      </c>
      <c r="AB102" s="8">
        <v>1E-4</v>
      </c>
      <c r="AC102" s="8">
        <v>0</v>
      </c>
      <c r="AD102" s="8">
        <v>0</v>
      </c>
      <c r="AE102" s="8">
        <v>1E-4</v>
      </c>
      <c r="AF102" s="8">
        <v>2.9999999999999997E-4</v>
      </c>
      <c r="AG102" s="8">
        <v>1E-4</v>
      </c>
      <c r="AH102" s="8">
        <v>1E-4</v>
      </c>
      <c r="AI102" s="8">
        <v>1E-4</v>
      </c>
      <c r="AJ102" s="8">
        <v>1E-4</v>
      </c>
      <c r="AK102" s="8">
        <v>2.9999999999999997E-4</v>
      </c>
      <c r="AL102" s="8">
        <v>1E-4</v>
      </c>
      <c r="AM102" s="7">
        <v>1E-4</v>
      </c>
      <c r="AN102" s="7">
        <v>1E-4</v>
      </c>
      <c r="AO102" s="7">
        <v>1E-4</v>
      </c>
      <c r="AP102" s="7">
        <v>2.0000000000000001E-4</v>
      </c>
      <c r="AQ102" s="7">
        <v>2.0000000000000001E-4</v>
      </c>
      <c r="AR102" s="7">
        <v>2.9999999999999997E-4</v>
      </c>
      <c r="AS102" s="7">
        <v>2.9999999999999997E-4</v>
      </c>
      <c r="AT102" s="7">
        <v>1E-4</v>
      </c>
      <c r="AU102" s="7">
        <v>2.9999999999999997E-4</v>
      </c>
      <c r="AV102" s="7">
        <v>2.0000000000000001E-4</v>
      </c>
      <c r="AW102" s="7">
        <v>2.0000000000000001E-4</v>
      </c>
      <c r="AX102" s="7">
        <v>2.0000000000000001E-4</v>
      </c>
      <c r="AY102" s="7">
        <v>2.0000000000000001E-4</v>
      </c>
      <c r="AZ102" s="7">
        <v>1E-4</v>
      </c>
      <c r="BA102" s="7">
        <v>2.0000000000000001E-4</v>
      </c>
      <c r="BB102" s="7">
        <v>2.0000000000000001E-4</v>
      </c>
      <c r="BC102" s="7">
        <v>1E-4</v>
      </c>
      <c r="BD102" s="7">
        <v>2.0000000000000001E-4</v>
      </c>
      <c r="BE102" s="7">
        <f>VLOOKUP($A102,'1.Sep'!$I$8:$K$41,3,0)</f>
        <v>2.0000000000000001E-4</v>
      </c>
      <c r="BF102" s="7">
        <f>VLOOKUP($A102,'2.Sep'!$I$8:$K$41,3,0)</f>
        <v>2.0000000000000001E-4</v>
      </c>
      <c r="BG102" s="7">
        <f>VLOOKUP($A102,'3.Sep'!$I$8:$K$41,3,0)</f>
        <v>1E-4</v>
      </c>
      <c r="BH102" s="8">
        <f>VLOOKUP($A102,'4.Sep'!$I$8:$K$41,3,0)</f>
        <v>1E-4</v>
      </c>
      <c r="BI102" s="8">
        <f>VLOOKUP($A102,'5.Sep'!$I$8:$K$41,3,0)</f>
        <v>2.0000000000000001E-4</v>
      </c>
      <c r="BJ102" s="8">
        <f>VLOOKUP($A102,'6.Sep'!$I$8:$K$41,3,0)</f>
        <v>2.9999999999999997E-4</v>
      </c>
      <c r="BK102" s="8">
        <f>VLOOKUP($A102,'7.Sep'!$I$8:$K$41,3,0)</f>
        <v>1E-4</v>
      </c>
      <c r="BL102" s="8">
        <f>VLOOKUP($A102,'8.Sep'!$I$8:$K$41,3,0)</f>
        <v>1E-4</v>
      </c>
      <c r="BM102" s="8">
        <f>VLOOKUP($A102,'9.Sep'!$I$8:$K$41,3,0)</f>
        <v>1E-4</v>
      </c>
      <c r="BN102" s="8">
        <f>VLOOKUP($A102,'10.Sep'!$I$8:$K$41,3,0)</f>
        <v>1E-4</v>
      </c>
      <c r="BO102" s="8">
        <f>VLOOKUP($A102,'11.Sep'!$I$8:$K$41,3,0)</f>
        <v>2.0000000000000001E-4</v>
      </c>
      <c r="BP102" s="7">
        <f>VLOOKUP($A102,'12.Sep'!$I$8:$K$41,3,0)</f>
        <v>1E-4</v>
      </c>
      <c r="BQ102" s="7">
        <f>VLOOKUP($A102,'13.Sep'!$I$8:$K$41,3,0)</f>
        <v>1E-4</v>
      </c>
      <c r="BR102" s="7">
        <f>VLOOKUP($A102,'14.Sep'!$I$8:$K$41,3,0)</f>
        <v>1E-4</v>
      </c>
      <c r="BS102" s="7">
        <f>VLOOKUP($A102,'15.Sep'!$I$8:$K$41,3,0)</f>
        <v>1E-4</v>
      </c>
      <c r="BT102" s="7">
        <f>VLOOKUP($A102,'16.Sep'!$I$8:$K$41,3,0)</f>
        <v>2.0000000000000001E-4</v>
      </c>
      <c r="BU102" s="7">
        <f>VLOOKUP($A102,'17.Sep'!$I$8:$K$41,3,0)</f>
        <v>2.0000000000000001E-4</v>
      </c>
      <c r="BV102" s="7">
        <f>VLOOKUP($A102,'18.Sep'!$I$8:$K$41,3,0)</f>
        <v>1E-4</v>
      </c>
      <c r="BW102" s="7">
        <f>VLOOKUP($A102,'19.Sep'!$I$8:$K$41,3,0)</f>
        <v>1E-4</v>
      </c>
      <c r="BX102" s="7">
        <f>VLOOKUP($A102,'20.Sep'!$I$8:$K$41,3,0)</f>
        <v>2.0000000000000001E-4</v>
      </c>
      <c r="BY102" s="7">
        <f>VLOOKUP($A102,'21.Sep'!$I$8:$K$41,3,0)</f>
        <v>2.0000000000000001E-4</v>
      </c>
      <c r="BZ102" s="7">
        <f>VLOOKUP($A102,'22.Sep'!$I$8:$K$41,3,0)</f>
        <v>2.0000000000000001E-4</v>
      </c>
      <c r="CA102" s="7">
        <f>VLOOKUP($A102,'23.Sep'!$I$8:$K$41,3,0)</f>
        <v>2.0000000000000001E-4</v>
      </c>
      <c r="CB102" s="7">
        <f>VLOOKUP($A102,'24.Sep'!$I$8:$K$41,3,0)</f>
        <v>2.0000000000000001E-4</v>
      </c>
      <c r="CC102" s="7">
        <f>VLOOKUP($A102,'24.Sep'!$I$8:$K$41,3,0)</f>
        <v>2.0000000000000001E-4</v>
      </c>
    </row>
    <row r="103" spans="1:81">
      <c r="A103" s="6" t="s">
        <v>99</v>
      </c>
      <c r="B103" s="7">
        <v>1.4999999999999999E-4</v>
      </c>
      <c r="C103" s="7">
        <v>2.0000000000000001E-4</v>
      </c>
      <c r="D103" s="7">
        <v>2.4285714285714289E-4</v>
      </c>
      <c r="E103" s="7">
        <v>2.0000000000000004E-4</v>
      </c>
      <c r="F103" s="7">
        <v>1.4285714285714287E-4</v>
      </c>
      <c r="G103" s="7">
        <v>1.5714285714285719E-4</v>
      </c>
      <c r="H103" s="7">
        <f t="shared" si="27"/>
        <v>1.5714285714285716E-4</v>
      </c>
      <c r="I103" s="7">
        <f t="shared" si="28"/>
        <v>1.4285714285714289E-4</v>
      </c>
      <c r="J103" s="7">
        <f t="shared" si="29"/>
        <v>1.5714285714285716E-4</v>
      </c>
      <c r="K103" s="7">
        <f t="shared" si="25"/>
        <v>1.1666666666666668E-4</v>
      </c>
      <c r="L103" s="7">
        <f t="shared" si="26"/>
        <v>1.2000000000000002E-4</v>
      </c>
      <c r="M103" s="8">
        <v>0</v>
      </c>
      <c r="N103" s="8">
        <v>2.0000000000000001E-4</v>
      </c>
      <c r="O103" s="8">
        <v>1E-4</v>
      </c>
      <c r="P103" s="8">
        <v>2.0000000000000001E-4</v>
      </c>
      <c r="Q103" s="8">
        <v>2.0000000000000001E-4</v>
      </c>
      <c r="R103" s="8">
        <v>2.0000000000000001E-4</v>
      </c>
      <c r="S103" s="8">
        <v>2.0000000000000001E-4</v>
      </c>
      <c r="T103" s="8">
        <v>2.9999999999999997E-4</v>
      </c>
      <c r="U103" s="8">
        <v>4.0000000000000002E-4</v>
      </c>
      <c r="V103" s="8">
        <v>0</v>
      </c>
      <c r="W103" s="8">
        <v>0</v>
      </c>
      <c r="X103" s="8">
        <v>2.9999999999999997E-4</v>
      </c>
      <c r="Y103" s="8">
        <v>2.0000000000000001E-4</v>
      </c>
      <c r="Z103" s="8">
        <v>2.0000000000000001E-4</v>
      </c>
      <c r="AA103" s="8">
        <v>1E-4</v>
      </c>
      <c r="AB103" s="8">
        <v>2.9999999999999997E-4</v>
      </c>
      <c r="AC103" s="8">
        <v>2.0000000000000001E-4</v>
      </c>
      <c r="AD103" s="8">
        <v>4.0000000000000002E-4</v>
      </c>
      <c r="AE103" s="8">
        <v>2.0000000000000001E-4</v>
      </c>
      <c r="AF103" s="8">
        <v>2.9999999999999997E-4</v>
      </c>
      <c r="AG103" s="8">
        <v>2.9999999999999997E-4</v>
      </c>
      <c r="AH103" s="8">
        <v>2.0000000000000001E-4</v>
      </c>
      <c r="AI103" s="8">
        <v>2.9999999999999997E-4</v>
      </c>
      <c r="AJ103" s="8">
        <v>2.0000000000000001E-4</v>
      </c>
      <c r="AK103" s="8">
        <v>1E-4</v>
      </c>
      <c r="AL103" s="8">
        <v>1E-4</v>
      </c>
      <c r="AM103" s="7">
        <v>2.0000000000000001E-4</v>
      </c>
      <c r="AN103" s="7">
        <v>1E-4</v>
      </c>
      <c r="AO103" s="7">
        <v>2.0000000000000001E-4</v>
      </c>
      <c r="AP103" s="7">
        <v>1E-4</v>
      </c>
      <c r="AQ103" s="7">
        <v>1E-4</v>
      </c>
      <c r="AR103" s="7">
        <v>2.0000000000000001E-4</v>
      </c>
      <c r="AS103" s="7">
        <v>2.0000000000000001E-4</v>
      </c>
      <c r="AT103" s="7">
        <v>1E-4</v>
      </c>
      <c r="AU103" s="7">
        <v>2.0000000000000001E-4</v>
      </c>
      <c r="AV103" s="7">
        <v>2.0000000000000001E-4</v>
      </c>
      <c r="AW103" s="7">
        <v>2.0000000000000001E-4</v>
      </c>
      <c r="AX103" s="7">
        <v>1E-4</v>
      </c>
      <c r="AY103" s="7">
        <v>1E-4</v>
      </c>
      <c r="AZ103" s="7">
        <v>1E-4</v>
      </c>
      <c r="BA103" s="7">
        <v>2.0000000000000001E-4</v>
      </c>
      <c r="BB103" s="7">
        <v>2.0000000000000001E-4</v>
      </c>
      <c r="BC103" s="7">
        <v>1E-4</v>
      </c>
      <c r="BD103" s="7">
        <v>2.0000000000000001E-4</v>
      </c>
      <c r="BE103" s="7">
        <f>VLOOKUP($A103,'1.Sep'!$I$8:$K$41,3,0)</f>
        <v>2.0000000000000001E-4</v>
      </c>
      <c r="BF103" s="7">
        <f>VLOOKUP($A103,'2.Sep'!$I$8:$K$41,3,0)</f>
        <v>1E-4</v>
      </c>
      <c r="BG103" s="7">
        <f>VLOOKUP($A103,'3.Sep'!$I$8:$K$41,3,0)</f>
        <v>2.0000000000000001E-4</v>
      </c>
      <c r="BH103" s="8">
        <f>VLOOKUP($A103,'4.Sep'!$I$8:$K$41,3,0)</f>
        <v>1E-4</v>
      </c>
      <c r="BI103" s="8">
        <f>VLOOKUP($A103,'5.Sep'!$I$8:$K$41,3,0)</f>
        <v>1E-4</v>
      </c>
      <c r="BJ103" s="8">
        <f>VLOOKUP($A103,'6.Sep'!$I$8:$K$41,3,0)</f>
        <v>2.0000000000000001E-4</v>
      </c>
      <c r="BK103" s="8">
        <f>VLOOKUP($A103,'7.Sep'!$I$8:$K$41,3,0)</f>
        <v>2.0000000000000001E-4</v>
      </c>
      <c r="BL103" s="8">
        <f>VLOOKUP($A103,'8.Sep'!$I$8:$K$41,3,0)</f>
        <v>1E-4</v>
      </c>
      <c r="BM103" s="8">
        <f>VLOOKUP($A103,'9.Sep'!$I$8:$K$41,3,0)</f>
        <v>1E-4</v>
      </c>
      <c r="BN103" s="8">
        <f>VLOOKUP($A103,'10.Sep'!$I$8:$K$41,3,0)</f>
        <v>1E-4</v>
      </c>
      <c r="BO103" s="8">
        <f>VLOOKUP($A103,'11.Sep'!$I$8:$K$41,3,0)</f>
        <v>2.0000000000000001E-4</v>
      </c>
      <c r="BP103" s="7">
        <f>VLOOKUP($A103,'12.Sep'!$I$8:$K$41,3,0)</f>
        <v>2.0000000000000001E-4</v>
      </c>
      <c r="BQ103" s="7">
        <f>VLOOKUP($A103,'13.Sep'!$I$8:$K$41,3,0)</f>
        <v>2.0000000000000001E-4</v>
      </c>
      <c r="BR103" s="7">
        <f>VLOOKUP($A103,'14.Sep'!$I$8:$K$41,3,0)</f>
        <v>2.0000000000000001E-4</v>
      </c>
      <c r="BS103" s="7">
        <f>VLOOKUP($A103,'15.Sep'!$I$8:$K$41,3,0)</f>
        <v>2.0000000000000001E-4</v>
      </c>
      <c r="BT103" s="7">
        <f>VLOOKUP($A103,'16.Sep'!$I$8:$K$41,3,0)</f>
        <v>1E-4</v>
      </c>
      <c r="BU103" s="7">
        <f>VLOOKUP($A103,'17.Sep'!$I$8:$K$41,3,0)</f>
        <v>1E-4</v>
      </c>
      <c r="BV103" s="7">
        <f>VLOOKUP($A103,'18.Sep'!$I$8:$K$41,3,0)</f>
        <v>1E-4</v>
      </c>
      <c r="BW103" s="7">
        <f>VLOOKUP($A103,'19.Sep'!$I$8:$K$41,3,0)</f>
        <v>1E-4</v>
      </c>
      <c r="BX103" s="7">
        <f>VLOOKUP($A103,'20.Sep'!$I$8:$K$41,3,0)</f>
        <v>1E-4</v>
      </c>
      <c r="BY103" s="7">
        <f>VLOOKUP($A103,'21.Sep'!$I$8:$K$41,3,0)</f>
        <v>1E-4</v>
      </c>
      <c r="BZ103" s="7">
        <f>VLOOKUP($A103,'22.Sep'!$I$8:$K$41,3,0)</f>
        <v>2.0000000000000001E-4</v>
      </c>
      <c r="CA103" s="7">
        <f>VLOOKUP($A103,'23.Sep'!$I$8:$K$41,3,0)</f>
        <v>1E-4</v>
      </c>
      <c r="CB103" s="7">
        <f>VLOOKUP($A103,'24.Sep'!$I$8:$K$41,3,0)</f>
        <v>1E-4</v>
      </c>
      <c r="CC103" s="7">
        <f>VLOOKUP($A103,'24.Sep'!$I$8:$K$41,3,0)</f>
        <v>1E-4</v>
      </c>
    </row>
    <row r="104" spans="1:81">
      <c r="A104" s="6" t="s">
        <v>100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f t="shared" si="27"/>
        <v>0</v>
      </c>
      <c r="I104" s="7">
        <f t="shared" si="28"/>
        <v>0</v>
      </c>
      <c r="J104" s="7">
        <f t="shared" si="29"/>
        <v>0</v>
      </c>
      <c r="K104" s="7">
        <f t="shared" si="25"/>
        <v>0</v>
      </c>
      <c r="L104" s="7">
        <f t="shared" si="26"/>
        <v>0</v>
      </c>
      <c r="M104" s="8">
        <v>0</v>
      </c>
      <c r="N104" s="8">
        <v>0</v>
      </c>
      <c r="O104" s="8">
        <v>0</v>
      </c>
      <c r="P104" s="8">
        <v>0</v>
      </c>
      <c r="Q104" s="8">
        <v>0</v>
      </c>
      <c r="R104" s="8">
        <v>0</v>
      </c>
      <c r="S104" s="8">
        <v>0</v>
      </c>
      <c r="T104" s="8">
        <v>0</v>
      </c>
      <c r="U104" s="8">
        <v>0</v>
      </c>
      <c r="V104" s="8">
        <v>0</v>
      </c>
      <c r="W104" s="8">
        <v>0</v>
      </c>
      <c r="X104" s="8">
        <v>0</v>
      </c>
      <c r="Y104" s="8">
        <v>0</v>
      </c>
      <c r="Z104" s="8">
        <v>0</v>
      </c>
      <c r="AA104" s="8">
        <v>0</v>
      </c>
      <c r="AB104" s="8">
        <v>0</v>
      </c>
      <c r="AC104" s="8">
        <v>0</v>
      </c>
      <c r="AD104" s="8">
        <v>0</v>
      </c>
      <c r="AE104" s="8">
        <v>0</v>
      </c>
      <c r="AF104" s="8">
        <v>0</v>
      </c>
      <c r="AG104" s="8">
        <v>0</v>
      </c>
      <c r="AH104" s="8">
        <v>0</v>
      </c>
      <c r="AI104" s="8">
        <v>0</v>
      </c>
      <c r="AJ104" s="8">
        <v>0</v>
      </c>
      <c r="AK104" s="8">
        <v>0</v>
      </c>
      <c r="AL104" s="8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 s="7">
        <v>0</v>
      </c>
      <c r="BE104" s="7">
        <f>VLOOKUP($A104,'1.Sep'!$I$8:$K$41,3,0)</f>
        <v>0</v>
      </c>
      <c r="BF104" s="7">
        <f>VLOOKUP($A104,'2.Sep'!$I$8:$K$41,3,0)</f>
        <v>0</v>
      </c>
      <c r="BG104" s="7">
        <f>VLOOKUP($A104,'3.Sep'!$I$8:$K$41,3,0)</f>
        <v>0</v>
      </c>
      <c r="BH104" s="8">
        <f>VLOOKUP($A104,'4.Sep'!$I$8:$K$41,3,0)</f>
        <v>0</v>
      </c>
      <c r="BI104" s="8">
        <f>VLOOKUP($A104,'5.Sep'!$I$8:$K$41,3,0)</f>
        <v>0</v>
      </c>
      <c r="BJ104" s="8">
        <f>VLOOKUP($A104,'6.Sep'!$I$8:$K$41,3,0)</f>
        <v>0</v>
      </c>
      <c r="BK104" s="8">
        <f>VLOOKUP($A104,'7.Sep'!$I$8:$K$41,3,0)</f>
        <v>0</v>
      </c>
      <c r="BL104" s="8">
        <f>VLOOKUP($A104,'8.Sep'!$I$8:$K$41,3,0)</f>
        <v>0</v>
      </c>
      <c r="BM104" s="8">
        <f>VLOOKUP($A104,'9.Sep'!$I$8:$K$41,3,0)</f>
        <v>0</v>
      </c>
      <c r="BN104" s="8">
        <f>VLOOKUP($A104,'10.Sep'!$I$8:$K$41,3,0)</f>
        <v>0</v>
      </c>
      <c r="BO104" s="8">
        <f>VLOOKUP($A104,'11.Sep'!$I$8:$K$41,3,0)</f>
        <v>0</v>
      </c>
      <c r="BP104" s="7">
        <f>VLOOKUP($A104,'12.Sep'!$I$8:$K$41,3,0)</f>
        <v>0</v>
      </c>
      <c r="BQ104" s="7">
        <f>VLOOKUP($A104,'13.Sep'!$I$8:$K$41,3,0)</f>
        <v>0</v>
      </c>
      <c r="BR104" s="7">
        <f>VLOOKUP($A104,'14.Sep'!$I$8:$K$41,3,0)</f>
        <v>0</v>
      </c>
      <c r="BS104" s="7">
        <f>VLOOKUP($A104,'15.Sep'!$I$8:$K$41,3,0)</f>
        <v>0</v>
      </c>
      <c r="BT104" s="7">
        <f>VLOOKUP($A104,'16.Sep'!$I$8:$K$41,3,0)</f>
        <v>0</v>
      </c>
      <c r="BU104" s="7">
        <f>VLOOKUP($A104,'17.Sep'!$I$8:$K$41,3,0)</f>
        <v>0</v>
      </c>
      <c r="BV104" s="7">
        <f>VLOOKUP($A104,'18.Sep'!$I$8:$K$41,3,0)</f>
        <v>0</v>
      </c>
      <c r="BW104" s="7">
        <f>VLOOKUP($A104,'19.Sep'!$I$8:$K$41,3,0)</f>
        <v>0</v>
      </c>
      <c r="BX104" s="7">
        <f>VLOOKUP($A104,'20.Sep'!$I$8:$K$41,3,0)</f>
        <v>0</v>
      </c>
      <c r="BY104" s="7">
        <f>VLOOKUP($A104,'21.Sep'!$I$8:$K$41,3,0)</f>
        <v>0</v>
      </c>
      <c r="BZ104" s="7">
        <f>VLOOKUP($A104,'22.Sep'!$I$8:$K$41,3,0)</f>
        <v>0</v>
      </c>
      <c r="CA104" s="7">
        <f>VLOOKUP($A104,'23.Sep'!$I$8:$K$41,3,0)</f>
        <v>0</v>
      </c>
      <c r="CB104" s="7">
        <f>VLOOKUP($A104,'24.Sep'!$I$8:$K$41,3,0)</f>
        <v>0</v>
      </c>
      <c r="CC104" s="7">
        <f>VLOOKUP($A104,'24.Sep'!$I$8:$K$41,3,0)</f>
        <v>0</v>
      </c>
    </row>
    <row r="105" spans="1:81">
      <c r="A105" s="6" t="s">
        <v>101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f t="shared" si="27"/>
        <v>0</v>
      </c>
      <c r="I105" s="7">
        <f t="shared" si="28"/>
        <v>0</v>
      </c>
      <c r="J105" s="7">
        <f t="shared" si="29"/>
        <v>0</v>
      </c>
      <c r="K105" s="7">
        <f t="shared" si="25"/>
        <v>0</v>
      </c>
      <c r="L105" s="7">
        <f t="shared" si="26"/>
        <v>0</v>
      </c>
      <c r="M105" s="8">
        <v>0</v>
      </c>
      <c r="N105" s="8">
        <v>0</v>
      </c>
      <c r="O105" s="8">
        <v>0</v>
      </c>
      <c r="P105" s="8">
        <v>0</v>
      </c>
      <c r="Q105" s="8">
        <v>0</v>
      </c>
      <c r="R105" s="8">
        <v>0</v>
      </c>
      <c r="S105" s="8">
        <v>0</v>
      </c>
      <c r="T105" s="8">
        <v>0</v>
      </c>
      <c r="U105" s="8">
        <v>0</v>
      </c>
      <c r="V105" s="8">
        <v>0</v>
      </c>
      <c r="W105" s="8">
        <v>0</v>
      </c>
      <c r="X105" s="8">
        <v>0</v>
      </c>
      <c r="Y105" s="8">
        <v>0</v>
      </c>
      <c r="Z105" s="8">
        <v>0</v>
      </c>
      <c r="AA105" s="8">
        <v>0</v>
      </c>
      <c r="AB105" s="8">
        <v>0</v>
      </c>
      <c r="AC105" s="8">
        <v>0</v>
      </c>
      <c r="AD105" s="8">
        <v>0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  <c r="AJ105" s="8">
        <v>0</v>
      </c>
      <c r="AK105" s="8">
        <v>0</v>
      </c>
      <c r="AL105" s="8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8">
        <v>0</v>
      </c>
      <c r="AS105" s="8">
        <v>0</v>
      </c>
      <c r="AT105" s="8">
        <v>0</v>
      </c>
      <c r="AU105" s="8">
        <v>0</v>
      </c>
      <c r="AV105" s="7">
        <v>0</v>
      </c>
      <c r="AW105" s="7">
        <v>0</v>
      </c>
      <c r="AX105" s="7">
        <v>0</v>
      </c>
      <c r="AY105" s="8">
        <v>0</v>
      </c>
      <c r="AZ105" s="8">
        <v>0</v>
      </c>
      <c r="BA105" s="7">
        <v>0</v>
      </c>
      <c r="BB105" s="7">
        <v>0</v>
      </c>
      <c r="BC105" s="7">
        <v>0</v>
      </c>
      <c r="BD105" s="8">
        <v>0</v>
      </c>
      <c r="BE105" s="8">
        <v>0</v>
      </c>
      <c r="BF105" s="8">
        <v>0</v>
      </c>
      <c r="BG105" s="8">
        <v>0</v>
      </c>
      <c r="BH105" s="8">
        <v>0</v>
      </c>
      <c r="BI105" s="8">
        <v>0</v>
      </c>
      <c r="BJ105" s="7">
        <v>0</v>
      </c>
      <c r="BK105" s="8">
        <v>0</v>
      </c>
      <c r="BL105" s="8">
        <v>0</v>
      </c>
      <c r="BM105" s="8">
        <v>0</v>
      </c>
      <c r="BN105" s="8">
        <v>0</v>
      </c>
      <c r="BO105" s="8">
        <v>0</v>
      </c>
      <c r="BP105" s="7">
        <v>0</v>
      </c>
      <c r="BQ105" s="7">
        <v>0</v>
      </c>
      <c r="BR105" s="7">
        <v>0</v>
      </c>
      <c r="BS105" s="7">
        <v>0</v>
      </c>
      <c r="BT105" s="7">
        <v>0</v>
      </c>
      <c r="BU105" s="7">
        <v>0</v>
      </c>
      <c r="BV105" s="7">
        <v>0</v>
      </c>
      <c r="BW105" s="7">
        <v>0</v>
      </c>
      <c r="BX105" s="7">
        <v>0</v>
      </c>
      <c r="BY105" s="7">
        <v>0</v>
      </c>
      <c r="BZ105" s="7">
        <v>0</v>
      </c>
      <c r="CA105" s="7">
        <v>0</v>
      </c>
      <c r="CB105" s="7">
        <v>0</v>
      </c>
      <c r="CC105" s="7">
        <v>0</v>
      </c>
    </row>
    <row r="106" spans="1:81">
      <c r="A106" s="6" t="s">
        <v>102</v>
      </c>
      <c r="B106" s="7">
        <v>4.1666666666666658E-4</v>
      </c>
      <c r="C106" s="7">
        <v>2.142857142857143E-4</v>
      </c>
      <c r="D106" s="7">
        <v>1.1428571428571431E-4</v>
      </c>
      <c r="E106" s="7">
        <v>7.1428571428571434E-5</v>
      </c>
      <c r="F106" s="7">
        <v>7.1428571428571434E-5</v>
      </c>
      <c r="G106" s="7">
        <v>1.0000000000000002E-4</v>
      </c>
      <c r="H106" s="7">
        <f t="shared" si="27"/>
        <v>1.0000000000000002E-4</v>
      </c>
      <c r="I106" s="7">
        <f t="shared" si="28"/>
        <v>8.5714285714285726E-5</v>
      </c>
      <c r="J106" s="7">
        <f t="shared" si="29"/>
        <v>8.5714285714285726E-5</v>
      </c>
      <c r="K106" s="7">
        <f t="shared" si="25"/>
        <v>1E-4</v>
      </c>
      <c r="L106" s="7">
        <f t="shared" si="26"/>
        <v>1E-4</v>
      </c>
      <c r="M106" s="8">
        <v>1.6999999999999999E-3</v>
      </c>
      <c r="N106" s="8">
        <v>2.0000000000000001E-4</v>
      </c>
      <c r="O106" s="8">
        <v>1E-4</v>
      </c>
      <c r="P106" s="8">
        <v>1E-4</v>
      </c>
      <c r="Q106" s="8">
        <v>2.9999999999999997E-4</v>
      </c>
      <c r="R106" s="8">
        <v>1E-4</v>
      </c>
      <c r="S106" s="8">
        <v>1E-4</v>
      </c>
      <c r="T106" s="8">
        <v>2.0000000000000001E-4</v>
      </c>
      <c r="U106" s="8">
        <v>2.0000000000000001E-4</v>
      </c>
      <c r="V106" s="8">
        <v>2.9999999999999997E-4</v>
      </c>
      <c r="W106" s="8">
        <v>2.0000000000000001E-4</v>
      </c>
      <c r="X106" s="8">
        <v>1E-4</v>
      </c>
      <c r="Y106" s="8">
        <v>4.0000000000000002E-4</v>
      </c>
      <c r="Z106" s="8">
        <v>1E-4</v>
      </c>
      <c r="AA106" s="8">
        <v>1E-4</v>
      </c>
      <c r="AB106" s="8">
        <v>1E-4</v>
      </c>
      <c r="AC106" s="8">
        <v>1E-4</v>
      </c>
      <c r="AD106" s="8">
        <v>2.0000000000000001E-4</v>
      </c>
      <c r="AE106" s="8">
        <v>1E-4</v>
      </c>
      <c r="AF106" s="8">
        <v>1E-4</v>
      </c>
      <c r="AG106" s="8">
        <v>1E-4</v>
      </c>
      <c r="AH106" s="8">
        <v>0</v>
      </c>
      <c r="AI106" s="8">
        <v>1E-4</v>
      </c>
      <c r="AJ106" s="8">
        <v>1E-4</v>
      </c>
      <c r="AK106" s="8">
        <v>1E-4</v>
      </c>
      <c r="AL106" s="8">
        <v>1E-4</v>
      </c>
      <c r="AM106" s="7">
        <v>0</v>
      </c>
      <c r="AN106" s="7">
        <v>1E-4</v>
      </c>
      <c r="AO106" s="7">
        <v>1E-4</v>
      </c>
      <c r="AP106" s="7">
        <v>1E-4</v>
      </c>
      <c r="AQ106" s="7">
        <v>1E-4</v>
      </c>
      <c r="AR106" s="7">
        <v>1E-4</v>
      </c>
      <c r="AS106" s="7">
        <v>0</v>
      </c>
      <c r="AT106" s="7">
        <v>0</v>
      </c>
      <c r="AU106" s="7">
        <v>1E-4</v>
      </c>
      <c r="AV106" s="7">
        <v>1E-4</v>
      </c>
      <c r="AW106" s="7">
        <v>1E-4</v>
      </c>
      <c r="AX106" s="7">
        <v>1E-4</v>
      </c>
      <c r="AY106" s="7">
        <v>1E-4</v>
      </c>
      <c r="AZ106" s="7">
        <v>1E-4</v>
      </c>
      <c r="BA106" s="7">
        <v>1E-4</v>
      </c>
      <c r="BB106" s="7">
        <v>1E-4</v>
      </c>
      <c r="BC106" s="7">
        <v>1E-4</v>
      </c>
      <c r="BD106" s="7">
        <v>1E-4</v>
      </c>
      <c r="BE106" s="7">
        <f>VLOOKUP($A106,'1.Sep'!$I$8:$K$41,3,0)</f>
        <v>1E-4</v>
      </c>
      <c r="BF106" s="7">
        <f>VLOOKUP($A106,'2.Sep'!$I$8:$K$41,3,0)</f>
        <v>1E-4</v>
      </c>
      <c r="BG106" s="7">
        <f>VLOOKUP($A106,'3.Sep'!$I$8:$K$41,3,0)</f>
        <v>1E-4</v>
      </c>
      <c r="BH106" s="8">
        <f>VLOOKUP($A106,'4.Sep'!$I$8:$K$41,3,0)</f>
        <v>1E-4</v>
      </c>
      <c r="BI106" s="8">
        <f>VLOOKUP($A106,'5.Sep'!$I$8:$K$41,3,0)</f>
        <v>1E-4</v>
      </c>
      <c r="BJ106" s="8">
        <f>VLOOKUP($A106,'6.Sep'!$I$8:$K$41,3,0)</f>
        <v>1E-4</v>
      </c>
      <c r="BK106" s="8">
        <f>VLOOKUP($A106,'7.Sep'!$I$8:$K$41,3,0)</f>
        <v>1E-4</v>
      </c>
      <c r="BL106" s="8">
        <f>VLOOKUP($A106,'8.Sep'!$I$8:$K$41,3,0)</f>
        <v>1E-4</v>
      </c>
      <c r="BM106" s="8">
        <f>VLOOKUP($A106,'9.Sep'!$I$8:$K$41,3,0)</f>
        <v>1E-4</v>
      </c>
      <c r="BN106" s="8">
        <f>VLOOKUP($A106,'10.Sep'!$I$8:$K$41,3,0)</f>
        <v>0</v>
      </c>
      <c r="BO106" s="8">
        <f>VLOOKUP($A106,'11.Sep'!$I$8:$K$41,3,0)</f>
        <v>1E-4</v>
      </c>
      <c r="BP106" s="7">
        <f>VLOOKUP($A106,'12.Sep'!$I$8:$K$41,3,0)</f>
        <v>0</v>
      </c>
      <c r="BQ106" s="7">
        <f>VLOOKUP($A106,'13.Sep'!$I$8:$K$41,3,0)</f>
        <v>1E-4</v>
      </c>
      <c r="BR106" s="7">
        <f>VLOOKUP($A106,'14.Sep'!$I$8:$K$41,3,0)</f>
        <v>1E-4</v>
      </c>
      <c r="BS106" s="7">
        <f>VLOOKUP($A106,'15.Sep'!$I$8:$K$41,3,0)</f>
        <v>1E-4</v>
      </c>
      <c r="BT106" s="7">
        <f>VLOOKUP($A106,'16.Sep'!$I$8:$K$41,3,0)</f>
        <v>1E-4</v>
      </c>
      <c r="BU106" s="7">
        <f>VLOOKUP($A106,'17.Sep'!$I$8:$K$41,3,0)</f>
        <v>1E-4</v>
      </c>
      <c r="BV106" s="7">
        <f>VLOOKUP($A106,'18.Sep'!$I$8:$K$41,3,0)</f>
        <v>1E-4</v>
      </c>
      <c r="BW106" s="7">
        <f>VLOOKUP($A106,'19.Sep'!$I$8:$K$41,3,0)</f>
        <v>1E-4</v>
      </c>
      <c r="BX106" s="7">
        <f>VLOOKUP($A106,'20.Sep'!$I$8:$K$41,3,0)</f>
        <v>1E-4</v>
      </c>
      <c r="BY106" s="7">
        <f>VLOOKUP($A106,'21.Sep'!$I$8:$K$41,3,0)</f>
        <v>1E-4</v>
      </c>
      <c r="BZ106" s="7">
        <f>VLOOKUP($A106,'22.Sep'!$I$8:$K$41,3,0)</f>
        <v>1E-4</v>
      </c>
      <c r="CA106" s="7">
        <f>VLOOKUP($A106,'23.Sep'!$I$8:$K$41,3,0)</f>
        <v>1E-4</v>
      </c>
      <c r="CB106" s="7">
        <f>VLOOKUP($A106,'24.Sep'!$I$8:$K$41,3,0)</f>
        <v>1E-4</v>
      </c>
      <c r="CC106" s="7">
        <f>VLOOKUP($A106,'24.Sep'!$I$8:$K$41,3,0)</f>
        <v>1E-4</v>
      </c>
    </row>
    <row r="107" spans="1:81">
      <c r="A107" s="6" t="s">
        <v>103</v>
      </c>
      <c r="B107" s="7">
        <v>1.6666666666666667E-5</v>
      </c>
      <c r="C107" s="7">
        <v>7.1428571428571434E-5</v>
      </c>
      <c r="D107" s="7">
        <v>5.7142857142857148E-5</v>
      </c>
      <c r="E107" s="7">
        <v>1.4285714285714287E-5</v>
      </c>
      <c r="F107" s="7">
        <v>0</v>
      </c>
      <c r="G107" s="7">
        <v>0</v>
      </c>
      <c r="H107" s="7">
        <f t="shared" si="27"/>
        <v>1.4285714285714287E-5</v>
      </c>
      <c r="I107" s="7">
        <f t="shared" si="28"/>
        <v>1.4285714285714287E-5</v>
      </c>
      <c r="J107" s="7">
        <f t="shared" si="29"/>
        <v>5.7142857142857148E-5</v>
      </c>
      <c r="K107" s="7">
        <f t="shared" si="25"/>
        <v>1.6666666666666667E-5</v>
      </c>
      <c r="L107" s="7">
        <f t="shared" si="26"/>
        <v>2.0000000000000002E-5</v>
      </c>
      <c r="M107" s="8">
        <v>0</v>
      </c>
      <c r="N107" s="8">
        <v>0</v>
      </c>
      <c r="O107" s="8">
        <v>0</v>
      </c>
      <c r="P107" s="8">
        <v>1E-4</v>
      </c>
      <c r="Q107" s="8">
        <v>0</v>
      </c>
      <c r="R107" s="8">
        <v>0</v>
      </c>
      <c r="S107" s="8">
        <v>1E-4</v>
      </c>
      <c r="T107" s="8">
        <v>0</v>
      </c>
      <c r="U107" s="8">
        <v>0</v>
      </c>
      <c r="V107" s="8">
        <v>0</v>
      </c>
      <c r="W107" s="8">
        <v>2.0000000000000001E-4</v>
      </c>
      <c r="X107" s="8">
        <v>1E-4</v>
      </c>
      <c r="Y107" s="8">
        <v>1E-4</v>
      </c>
      <c r="Z107" s="8">
        <v>0</v>
      </c>
      <c r="AA107" s="8">
        <v>0</v>
      </c>
      <c r="AB107" s="8">
        <v>1E-4</v>
      </c>
      <c r="AC107" s="8">
        <v>1E-4</v>
      </c>
      <c r="AD107" s="8">
        <v>0</v>
      </c>
      <c r="AE107" s="8">
        <v>1E-4</v>
      </c>
      <c r="AF107" s="8">
        <v>1E-4</v>
      </c>
      <c r="AG107" s="8">
        <v>0</v>
      </c>
      <c r="AH107" s="8">
        <v>0</v>
      </c>
      <c r="AI107" s="8">
        <v>1E-4</v>
      </c>
      <c r="AJ107" s="8">
        <v>0</v>
      </c>
      <c r="AK107" s="8">
        <v>0</v>
      </c>
      <c r="AL107" s="8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8">
        <v>0</v>
      </c>
      <c r="BA107" s="7">
        <v>0</v>
      </c>
      <c r="BB107" s="7">
        <v>0</v>
      </c>
      <c r="BC107" s="7">
        <v>1E-4</v>
      </c>
      <c r="BD107" s="8">
        <v>0</v>
      </c>
      <c r="BE107" s="7">
        <f>VLOOKUP($A107,'1.Sep'!$I$8:$K$41,3,0)</f>
        <v>0</v>
      </c>
      <c r="BF107" s="8">
        <v>0</v>
      </c>
      <c r="BG107" s="7">
        <f>VLOOKUP($A107,'3.Sep'!$I$8:$K$41,3,0)</f>
        <v>0</v>
      </c>
      <c r="BH107" s="8">
        <f>VLOOKUP($A107,'4.Sep'!$I$8:$K$41,3,0)</f>
        <v>0</v>
      </c>
      <c r="BI107" s="8">
        <f>VLOOKUP($A107,'5.Sep'!$I$8:$K$41,3,0)</f>
        <v>0</v>
      </c>
      <c r="BJ107" s="7">
        <v>0</v>
      </c>
      <c r="BK107" s="8">
        <v>0</v>
      </c>
      <c r="BL107" s="8">
        <f>VLOOKUP($A107,'8.Sep'!$I$8:$K$41,3,0)</f>
        <v>0</v>
      </c>
      <c r="BM107" s="8">
        <f>VLOOKUP($A107,'9.Sep'!$I$8:$K$41,3,0)</f>
        <v>0</v>
      </c>
      <c r="BN107" s="8">
        <f>VLOOKUP($A107,'10.Sep'!$I$8:$K$41,3,0)</f>
        <v>1E-4</v>
      </c>
      <c r="BO107" s="8">
        <f>VLOOKUP($A107,'11.Sep'!$I$8:$K$41,3,0)</f>
        <v>0</v>
      </c>
      <c r="BP107" s="7">
        <f>VLOOKUP($A107,'12.Sep'!$I$8:$K$41,3,0)</f>
        <v>1E-4</v>
      </c>
      <c r="BQ107" s="7">
        <f>VLOOKUP($A107,'13.Sep'!$I$8:$K$41,3,0)</f>
        <v>0</v>
      </c>
      <c r="BR107" s="7">
        <f>VLOOKUP($A107,'14.Sep'!$I$8:$K$41,3,0)</f>
        <v>0</v>
      </c>
      <c r="BS107" s="7">
        <f>VLOOKUP($A107,'15.Sep'!$I$8:$K$41,3,0)</f>
        <v>1E-4</v>
      </c>
      <c r="BT107" s="7">
        <f>VLOOKUP($A107,'16.Sep'!$I$8:$K$41,3,0)</f>
        <v>2.0000000000000001E-4</v>
      </c>
      <c r="BU107" s="7">
        <f>VLOOKUP($A107,'17.Sep'!$I$8:$K$41,3,0)</f>
        <v>0</v>
      </c>
      <c r="BV107" s="7">
        <f>VLOOKUP($A107,'18.Sep'!$I$8:$K$41,3,0)</f>
        <v>0</v>
      </c>
      <c r="BW107" s="7">
        <f>VLOOKUP($A107,'19.Sep'!$I$8:$K$41,3,0)</f>
        <v>0</v>
      </c>
      <c r="BX107" s="7">
        <v>0</v>
      </c>
      <c r="BY107" s="7">
        <f>VLOOKUP($A107,'21.Sep'!$I$8:$K$41,3,0)</f>
        <v>0</v>
      </c>
      <c r="BZ107" s="7">
        <f>VLOOKUP($A107,'22.Sep'!$I$8:$K$41,3,0)</f>
        <v>0</v>
      </c>
      <c r="CA107" s="7">
        <f>VLOOKUP($A107,'23.Sep'!$I$8:$K$41,3,0)</f>
        <v>0</v>
      </c>
      <c r="CB107" s="7">
        <f>VLOOKUP($A107,'24.Sep'!$I$8:$K$41,3,0)</f>
        <v>1E-4</v>
      </c>
      <c r="CC107" s="7">
        <f>VLOOKUP($A107,'24.Sep'!$I$8:$K$41,3,0)</f>
        <v>1E-4</v>
      </c>
    </row>
    <row r="108" spans="1:81">
      <c r="A108" s="12" t="s">
        <v>70</v>
      </c>
      <c r="B108" s="10">
        <v>8.166666666666666E-4</v>
      </c>
      <c r="C108" s="10">
        <v>8.714285714285715E-4</v>
      </c>
      <c r="D108" s="10">
        <v>9.2857142857142867E-4</v>
      </c>
      <c r="E108" s="10">
        <v>7.7142857142857156E-4</v>
      </c>
      <c r="F108" s="10">
        <v>7.5714285714285727E-4</v>
      </c>
      <c r="G108" s="10">
        <v>8.0000000000000015E-4</v>
      </c>
      <c r="H108" s="10">
        <f t="shared" ref="H108" si="30">SUM(H101:H107)</f>
        <v>8.0000000000000015E-4</v>
      </c>
      <c r="I108" s="10">
        <f t="shared" ref="I108:J108" si="31">SUM(I101:I107)</f>
        <v>6.8571428571428592E-4</v>
      </c>
      <c r="J108" s="10">
        <f t="shared" si="31"/>
        <v>7.2857142857142869E-4</v>
      </c>
      <c r="K108" s="10">
        <f t="shared" ref="K108:L108" si="32">SUM(K101:K107)</f>
        <v>7.3333333333333345E-4</v>
      </c>
      <c r="L108" s="10">
        <f t="shared" si="32"/>
        <v>7.6000000000000004E-4</v>
      </c>
      <c r="M108" s="11">
        <v>1.6999999999999999E-3</v>
      </c>
      <c r="N108" s="11">
        <v>8.0000000000000004E-4</v>
      </c>
      <c r="O108" s="11">
        <v>2.0000000000000001E-4</v>
      </c>
      <c r="P108" s="11">
        <v>6.0000000000000006E-4</v>
      </c>
      <c r="Q108" s="11">
        <v>8.9999999999999998E-4</v>
      </c>
      <c r="R108" s="11">
        <v>6.9999999999999999E-4</v>
      </c>
      <c r="S108" s="11">
        <v>6.0000000000000006E-4</v>
      </c>
      <c r="T108" s="11">
        <v>1.2000000000000001E-3</v>
      </c>
      <c r="U108" s="11">
        <v>9.0000000000000008E-4</v>
      </c>
      <c r="V108" s="11">
        <v>2.9999999999999997E-4</v>
      </c>
      <c r="W108" s="11">
        <v>8.9999999999999998E-4</v>
      </c>
      <c r="X108" s="11">
        <v>1E-3</v>
      </c>
      <c r="Y108" s="11">
        <v>1.2000000000000001E-3</v>
      </c>
      <c r="Z108" s="11">
        <v>9.0000000000000008E-4</v>
      </c>
      <c r="AA108" s="11">
        <v>8.0000000000000015E-4</v>
      </c>
      <c r="AB108" s="11">
        <v>1E-3</v>
      </c>
      <c r="AC108" s="11">
        <v>9.0000000000000008E-4</v>
      </c>
      <c r="AD108" s="11">
        <v>1E-3</v>
      </c>
      <c r="AE108" s="11">
        <v>7.000000000000001E-4</v>
      </c>
      <c r="AF108" s="11">
        <v>1.2000000000000001E-3</v>
      </c>
      <c r="AG108" s="11">
        <v>1.1000000000000001E-3</v>
      </c>
      <c r="AH108" s="11">
        <v>6.9999999999999999E-4</v>
      </c>
      <c r="AI108" s="11">
        <v>8.0000000000000015E-4</v>
      </c>
      <c r="AJ108" s="11">
        <v>6.9999999999999999E-4</v>
      </c>
      <c r="AK108" s="11">
        <v>9.0000000000000008E-4</v>
      </c>
      <c r="AL108" s="11">
        <v>6.0000000000000006E-4</v>
      </c>
      <c r="AM108" s="10">
        <v>5.9999999999999995E-4</v>
      </c>
      <c r="AN108" s="10">
        <v>5.0000000000000001E-4</v>
      </c>
      <c r="AO108" s="10">
        <v>6.9999999999999999E-4</v>
      </c>
      <c r="AP108" s="10">
        <v>8.0000000000000015E-4</v>
      </c>
      <c r="AQ108" s="10">
        <v>7.000000000000001E-4</v>
      </c>
      <c r="AR108" s="10">
        <v>1.1000000000000001E-3</v>
      </c>
      <c r="AS108" s="10">
        <v>8.9999999999999998E-4</v>
      </c>
      <c r="AT108" s="10">
        <v>6.0000000000000006E-4</v>
      </c>
      <c r="AU108" s="10">
        <v>1E-3</v>
      </c>
      <c r="AV108" s="10">
        <v>9.0000000000000008E-4</v>
      </c>
      <c r="AW108" s="10">
        <v>7.000000000000001E-4</v>
      </c>
      <c r="AX108" s="10">
        <v>7.000000000000001E-4</v>
      </c>
      <c r="AY108" s="10">
        <v>8.0000000000000015E-4</v>
      </c>
      <c r="AZ108" s="10">
        <v>7.000000000000001E-4</v>
      </c>
      <c r="BA108" s="10">
        <v>8.0000000000000004E-4</v>
      </c>
      <c r="BB108" s="10">
        <v>9.0000000000000008E-4</v>
      </c>
      <c r="BC108" s="10">
        <v>8.0000000000000015E-4</v>
      </c>
      <c r="BD108" s="10">
        <v>8.0000000000000004E-4</v>
      </c>
      <c r="BE108" s="10">
        <f t="shared" ref="BE108:CB108" si="33">SUM(BE101:BE107)</f>
        <v>8.0000000000000004E-4</v>
      </c>
      <c r="BF108" s="10">
        <f t="shared" si="33"/>
        <v>7.000000000000001E-4</v>
      </c>
      <c r="BG108" s="10">
        <f t="shared" si="33"/>
        <v>8.0000000000000004E-4</v>
      </c>
      <c r="BH108" s="11">
        <f t="shared" si="33"/>
        <v>8.0000000000000015E-4</v>
      </c>
      <c r="BI108" s="11">
        <f t="shared" si="33"/>
        <v>7.000000000000001E-4</v>
      </c>
      <c r="BJ108" s="11">
        <f t="shared" si="33"/>
        <v>8.9999999999999998E-4</v>
      </c>
      <c r="BK108" s="11">
        <f t="shared" si="33"/>
        <v>6.9999999999999999E-4</v>
      </c>
      <c r="BL108" s="11">
        <f t="shared" si="33"/>
        <v>6.0000000000000006E-4</v>
      </c>
      <c r="BM108" s="11">
        <f t="shared" si="33"/>
        <v>6.0000000000000006E-4</v>
      </c>
      <c r="BN108" s="11">
        <f t="shared" si="33"/>
        <v>5.0000000000000001E-4</v>
      </c>
      <c r="BO108" s="11">
        <f t="shared" si="33"/>
        <v>8.0000000000000004E-4</v>
      </c>
      <c r="BP108" s="10">
        <f t="shared" si="33"/>
        <v>8.0000000000000004E-4</v>
      </c>
      <c r="BQ108" s="10">
        <f t="shared" si="33"/>
        <v>6.9999999999999999E-4</v>
      </c>
      <c r="BR108" s="10">
        <f t="shared" si="33"/>
        <v>6.9999999999999999E-4</v>
      </c>
      <c r="BS108" s="10">
        <f t="shared" si="33"/>
        <v>7.000000000000001E-4</v>
      </c>
      <c r="BT108" s="10">
        <f t="shared" si="33"/>
        <v>9.0000000000000008E-4</v>
      </c>
      <c r="BU108" s="10">
        <f t="shared" si="33"/>
        <v>7.000000000000001E-4</v>
      </c>
      <c r="BV108" s="10">
        <f t="shared" si="33"/>
        <v>6.0000000000000006E-4</v>
      </c>
      <c r="BW108" s="10">
        <f t="shared" si="33"/>
        <v>6.0000000000000006E-4</v>
      </c>
      <c r="BX108" s="10">
        <f t="shared" si="33"/>
        <v>6.0000000000000006E-4</v>
      </c>
      <c r="BY108" s="10">
        <f t="shared" si="33"/>
        <v>8.0000000000000015E-4</v>
      </c>
      <c r="BZ108" s="10">
        <f t="shared" si="33"/>
        <v>9.0000000000000008E-4</v>
      </c>
      <c r="CA108" s="10">
        <f t="shared" si="33"/>
        <v>7.000000000000001E-4</v>
      </c>
      <c r="CB108" s="10">
        <f t="shared" si="33"/>
        <v>8.0000000000000015E-4</v>
      </c>
      <c r="CC108" s="10">
        <f t="shared" ref="CC108" si="34">SUM(CC101:CC107)</f>
        <v>8.0000000000000015E-4</v>
      </c>
    </row>
    <row r="109" spans="1:81">
      <c r="A109" s="13" t="s">
        <v>71</v>
      </c>
      <c r="B109" s="14">
        <v>52456</v>
      </c>
      <c r="C109" s="14">
        <v>111266</v>
      </c>
      <c r="D109" s="14">
        <v>311372</v>
      </c>
      <c r="E109" s="14">
        <v>458636</v>
      </c>
      <c r="F109" s="14">
        <v>592386</v>
      </c>
      <c r="G109" s="14">
        <v>657843</v>
      </c>
      <c r="H109" s="14">
        <f>SUM(BB109:BH109)</f>
        <v>636928</v>
      </c>
      <c r="I109" s="14">
        <f>SUM(BI109:BO109)</f>
        <v>681361</v>
      </c>
      <c r="J109" s="14">
        <f>SUM(BP109:BV109)</f>
        <v>772190</v>
      </c>
      <c r="K109" s="14">
        <f>SUM(BW109:CB109)</f>
        <v>727011</v>
      </c>
      <c r="L109" s="14">
        <f>SUM(BX109:CB109)</f>
        <v>606077</v>
      </c>
      <c r="M109" s="15">
        <v>1768</v>
      </c>
      <c r="N109" s="15">
        <v>5391</v>
      </c>
      <c r="O109" s="15">
        <v>9379</v>
      </c>
      <c r="P109" s="15">
        <v>12252</v>
      </c>
      <c r="Q109" s="15">
        <v>11716</v>
      </c>
      <c r="R109" s="15">
        <v>11950</v>
      </c>
      <c r="S109" s="15">
        <v>14199</v>
      </c>
      <c r="T109" s="15">
        <v>11024</v>
      </c>
      <c r="U109" s="15">
        <v>13434</v>
      </c>
      <c r="V109" s="15">
        <v>2878</v>
      </c>
      <c r="W109" s="15">
        <v>6299</v>
      </c>
      <c r="X109" s="15">
        <v>34387</v>
      </c>
      <c r="Y109" s="15">
        <v>29045</v>
      </c>
      <c r="Z109" s="15">
        <v>41566</v>
      </c>
      <c r="AA109" s="15">
        <v>34959</v>
      </c>
      <c r="AB109" s="15">
        <v>39389</v>
      </c>
      <c r="AC109" s="15">
        <v>44280</v>
      </c>
      <c r="AD109" s="15">
        <v>48559</v>
      </c>
      <c r="AE109" s="15">
        <v>48980</v>
      </c>
      <c r="AF109" s="15">
        <v>53639</v>
      </c>
      <c r="AG109" s="15">
        <v>54181</v>
      </c>
      <c r="AH109" s="15">
        <v>59783</v>
      </c>
      <c r="AI109" s="15">
        <v>55922</v>
      </c>
      <c r="AJ109" s="15">
        <v>64955</v>
      </c>
      <c r="AK109" s="15">
        <v>70525</v>
      </c>
      <c r="AL109" s="15">
        <v>73376</v>
      </c>
      <c r="AM109" s="14">
        <v>79894</v>
      </c>
      <c r="AN109" s="14">
        <v>73326</v>
      </c>
      <c r="AO109" s="14">
        <v>75244</v>
      </c>
      <c r="AP109" s="14">
        <v>78193</v>
      </c>
      <c r="AQ109" s="14">
        <v>86365</v>
      </c>
      <c r="AR109" s="14">
        <v>87371</v>
      </c>
      <c r="AS109" s="14">
        <v>94412</v>
      </c>
      <c r="AT109" s="14">
        <v>97475</v>
      </c>
      <c r="AU109" s="14">
        <v>92763</v>
      </c>
      <c r="AV109" s="14">
        <v>91075</v>
      </c>
      <c r="AW109" s="14">
        <v>92829</v>
      </c>
      <c r="AX109" s="14">
        <v>95737</v>
      </c>
      <c r="AY109" s="14">
        <v>95435</v>
      </c>
      <c r="AZ109" s="14">
        <v>96632</v>
      </c>
      <c r="BA109" s="14">
        <v>93372</v>
      </c>
      <c r="BB109" s="14">
        <v>96813</v>
      </c>
      <c r="BC109" s="14">
        <v>94043</v>
      </c>
      <c r="BD109" s="14">
        <v>64720</v>
      </c>
      <c r="BE109" s="14">
        <f>'1.Sep'!$K$2</f>
        <v>95066</v>
      </c>
      <c r="BF109" s="14">
        <f>'2.Sep'!$K$2</f>
        <v>93974</v>
      </c>
      <c r="BG109" s="14">
        <f>'3.Sep'!$K$2</f>
        <v>95925</v>
      </c>
      <c r="BH109" s="15">
        <f>'4.Sep'!$K$2</f>
        <v>96387</v>
      </c>
      <c r="BI109" s="15">
        <f>'5.Sep'!$K$2</f>
        <v>97413</v>
      </c>
      <c r="BJ109" s="15">
        <f>'6.Sep'!$K$2</f>
        <v>99856</v>
      </c>
      <c r="BK109" s="15">
        <f>'7.Sep'!$K$2</f>
        <v>96512</v>
      </c>
      <c r="BL109" s="15">
        <f>'8.Sep'!$K$2</f>
        <v>96609</v>
      </c>
      <c r="BM109" s="15">
        <f>'9.Sep'!$K$2</f>
        <v>92228</v>
      </c>
      <c r="BN109" s="15">
        <f>'10.Sep'!$K$2</f>
        <v>99560</v>
      </c>
      <c r="BO109" s="15">
        <f>'11.Sep'!$K$2</f>
        <v>99183</v>
      </c>
      <c r="BP109" s="14">
        <f>'12.Sep'!$K$2</f>
        <v>101288</v>
      </c>
      <c r="BQ109" s="14">
        <f>'13.Sep'!$K$2</f>
        <v>99729</v>
      </c>
      <c r="BR109" s="14">
        <f>'14.Sep'!$K$2</f>
        <v>108685</v>
      </c>
      <c r="BS109" s="14">
        <f>'15.Sep'!$K$2</f>
        <v>109970</v>
      </c>
      <c r="BT109" s="14">
        <f>'16.Sep'!$K$2</f>
        <v>106737</v>
      </c>
      <c r="BU109" s="14">
        <f>'17.Sep'!$K$2</f>
        <v>123474</v>
      </c>
      <c r="BV109" s="14">
        <f>'18.Sep'!$K$2</f>
        <v>122307</v>
      </c>
      <c r="BW109" s="14">
        <f>'19.Sep'!$K$2</f>
        <v>120934</v>
      </c>
      <c r="BX109" s="14">
        <f>'20.Sep'!$K$2</f>
        <v>119943</v>
      </c>
      <c r="BY109" s="14">
        <f>'21.Sep'!$K$2</f>
        <v>124399</v>
      </c>
      <c r="BZ109" s="14">
        <f>'22.Sep'!$K$2</f>
        <v>127508</v>
      </c>
      <c r="CA109" s="14">
        <f>'23.Sep'!$K$2</f>
        <v>112573</v>
      </c>
      <c r="CB109" s="14">
        <f>'24.Sep'!$K$2</f>
        <v>121654</v>
      </c>
      <c r="CC109" s="14">
        <f>'24.Sep'!$K$2</f>
        <v>121654</v>
      </c>
    </row>
    <row r="110" spans="1:81">
      <c r="A110" s="13" t="s">
        <v>72</v>
      </c>
      <c r="B110" s="14">
        <v>52418</v>
      </c>
      <c r="C110" s="14">
        <v>111143</v>
      </c>
      <c r="D110" s="14">
        <v>311045</v>
      </c>
      <c r="E110" s="14">
        <v>458235</v>
      </c>
      <c r="F110" s="14">
        <v>591840</v>
      </c>
      <c r="G110" s="14">
        <v>657264</v>
      </c>
      <c r="H110" s="14">
        <f>SUM(BB110:BH110)</f>
        <v>636360</v>
      </c>
      <c r="I110" s="14">
        <f>SUM(BI110:BO110)</f>
        <v>680819</v>
      </c>
      <c r="J110" s="14">
        <f>SUM(BP110:BV110)</f>
        <v>771540</v>
      </c>
      <c r="K110" s="14">
        <f>SUM(BW110:CB110)</f>
        <v>726410</v>
      </c>
      <c r="L110" s="14">
        <f>SUM(BX110:CB110)</f>
        <v>605566</v>
      </c>
      <c r="M110" s="15">
        <v>1764</v>
      </c>
      <c r="N110" s="15">
        <v>5386</v>
      </c>
      <c r="O110" s="15">
        <v>9375</v>
      </c>
      <c r="P110" s="15">
        <v>12245</v>
      </c>
      <c r="Q110" s="15">
        <v>11707</v>
      </c>
      <c r="R110" s="15">
        <v>11941</v>
      </c>
      <c r="S110" s="15">
        <v>14190</v>
      </c>
      <c r="T110" s="15">
        <v>11011</v>
      </c>
      <c r="U110" s="15">
        <v>13420</v>
      </c>
      <c r="V110" s="15">
        <v>2877</v>
      </c>
      <c r="W110" s="15">
        <v>6293</v>
      </c>
      <c r="X110" s="15">
        <v>34349</v>
      </c>
      <c r="Y110" s="15">
        <v>29003</v>
      </c>
      <c r="Z110" s="15">
        <v>41522</v>
      </c>
      <c r="AA110" s="15">
        <v>34930</v>
      </c>
      <c r="AB110" s="15">
        <v>39344</v>
      </c>
      <c r="AC110" s="15">
        <v>44226</v>
      </c>
      <c r="AD110" s="15">
        <v>48505</v>
      </c>
      <c r="AE110" s="15">
        <v>48941</v>
      </c>
      <c r="AF110" s="15">
        <v>53577</v>
      </c>
      <c r="AG110" s="15">
        <v>54112</v>
      </c>
      <c r="AH110" s="15">
        <v>59735</v>
      </c>
      <c r="AI110" s="15">
        <v>55876</v>
      </c>
      <c r="AJ110" s="15">
        <v>64902</v>
      </c>
      <c r="AK110" s="15">
        <v>70452</v>
      </c>
      <c r="AL110" s="15">
        <v>73323</v>
      </c>
      <c r="AM110" s="14">
        <v>79835</v>
      </c>
      <c r="AN110" s="14">
        <v>73271</v>
      </c>
      <c r="AO110" s="14">
        <v>75177</v>
      </c>
      <c r="AP110" s="14">
        <v>78118</v>
      </c>
      <c r="AQ110" s="14">
        <v>86288</v>
      </c>
      <c r="AR110" s="14">
        <v>87271</v>
      </c>
      <c r="AS110" s="14">
        <v>94318</v>
      </c>
      <c r="AT110" s="14">
        <v>97397</v>
      </c>
      <c r="AU110" s="14">
        <v>92669</v>
      </c>
      <c r="AV110" s="14">
        <v>90981</v>
      </c>
      <c r="AW110" s="14">
        <v>92754</v>
      </c>
      <c r="AX110" s="14">
        <v>95652</v>
      </c>
      <c r="AY110" s="14">
        <v>95351</v>
      </c>
      <c r="AZ110" s="14">
        <v>96557</v>
      </c>
      <c r="BA110" s="14">
        <v>93300</v>
      </c>
      <c r="BB110" s="14">
        <v>96718</v>
      </c>
      <c r="BC110" s="14">
        <v>93962</v>
      </c>
      <c r="BD110" s="14">
        <v>64658</v>
      </c>
      <c r="BE110" s="14">
        <f>'1.Sep'!$K$3</f>
        <v>94988</v>
      </c>
      <c r="BF110" s="14">
        <f>'2.Sep'!$K$3</f>
        <v>93907</v>
      </c>
      <c r="BG110" s="14">
        <f>'3.Sep'!$K$3</f>
        <v>95830</v>
      </c>
      <c r="BH110" s="15">
        <f>'4.Sep'!$K$3</f>
        <v>96297</v>
      </c>
      <c r="BI110" s="15">
        <f>'5.Sep'!$K$3</f>
        <v>97338</v>
      </c>
      <c r="BJ110" s="15">
        <f>'6.Sep'!$K$3</f>
        <v>99773</v>
      </c>
      <c r="BK110" s="15">
        <f>'7.Sep'!$K$3</f>
        <v>96433</v>
      </c>
      <c r="BL110" s="15">
        <f>'8.Sep'!$K$3</f>
        <v>96540</v>
      </c>
      <c r="BM110" s="15">
        <f>'9.Sep'!$K$3</f>
        <v>92156</v>
      </c>
      <c r="BN110" s="15">
        <f>'10.Sep'!$K$3</f>
        <v>99496</v>
      </c>
      <c r="BO110" s="15">
        <f>'11.Sep'!$K$3</f>
        <v>99083</v>
      </c>
      <c r="BP110" s="14">
        <f>'12.Sep'!$K$3</f>
        <v>101196</v>
      </c>
      <c r="BQ110" s="14">
        <f>'13.Sep'!$K$3</f>
        <v>99641</v>
      </c>
      <c r="BR110" s="14">
        <f>'14.Sep'!$K$3</f>
        <v>108605</v>
      </c>
      <c r="BS110" s="14">
        <f>'15.Sep'!$K$3</f>
        <v>109886</v>
      </c>
      <c r="BT110" s="14">
        <f>'16.Sep'!$K$3</f>
        <v>106631</v>
      </c>
      <c r="BU110" s="14">
        <f>'17.Sep'!$K$3</f>
        <v>123371</v>
      </c>
      <c r="BV110" s="14">
        <f>'18.Sep'!$K$3</f>
        <v>122210</v>
      </c>
      <c r="BW110" s="14">
        <f>'19.Sep'!$K$3</f>
        <v>120844</v>
      </c>
      <c r="BX110" s="14">
        <f>'20.Sep'!$K$3</f>
        <v>119860</v>
      </c>
      <c r="BY110" s="14">
        <f>'21.Sep'!$K$3</f>
        <v>124278</v>
      </c>
      <c r="BZ110" s="14">
        <f>'22.Sep'!$K$3</f>
        <v>127382</v>
      </c>
      <c r="CA110" s="14">
        <f>'23.Sep'!$K$3</f>
        <v>112483</v>
      </c>
      <c r="CB110" s="14">
        <f>'24.Sep'!$K$3</f>
        <v>121563</v>
      </c>
      <c r="CC110" s="14">
        <f>'24.Sep'!$K$3</f>
        <v>121563</v>
      </c>
    </row>
    <row r="111" spans="1:8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 t="s">
        <v>218</v>
      </c>
      <c r="CC111" s="20"/>
    </row>
    <row r="112" spans="1:81"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 t="s">
        <v>218</v>
      </c>
      <c r="CC112" s="20"/>
    </row>
    <row r="113" spans="1:81"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 t="s">
        <v>218</v>
      </c>
      <c r="CC113" s="20"/>
    </row>
    <row r="114" spans="1:81"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 t="s">
        <v>218</v>
      </c>
      <c r="CC114" s="20"/>
    </row>
    <row r="115" spans="1:81"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 t="s">
        <v>218</v>
      </c>
      <c r="CC115" s="20"/>
    </row>
    <row r="116" spans="1:81" ht="19.5">
      <c r="A116" s="1" t="s">
        <v>136</v>
      </c>
      <c r="B116" s="2" t="s">
        <v>1</v>
      </c>
      <c r="C116" s="2" t="s">
        <v>118</v>
      </c>
      <c r="D116" s="2" t="s">
        <v>128</v>
      </c>
      <c r="E116" s="2" t="s">
        <v>144</v>
      </c>
      <c r="F116" s="2" t="s">
        <v>151</v>
      </c>
      <c r="G116" s="2" t="s">
        <v>162</v>
      </c>
      <c r="H116" s="2" t="s">
        <v>163</v>
      </c>
      <c r="I116" s="2" t="s">
        <v>168</v>
      </c>
      <c r="J116" s="2" t="s">
        <v>173</v>
      </c>
      <c r="K116" s="2" t="s">
        <v>178</v>
      </c>
      <c r="L116" s="2" t="s">
        <v>178</v>
      </c>
      <c r="M116" s="4">
        <v>44761</v>
      </c>
      <c r="N116" s="4">
        <v>44762</v>
      </c>
      <c r="O116" s="4">
        <v>44763</v>
      </c>
      <c r="P116" s="4">
        <v>44764</v>
      </c>
      <c r="Q116" s="3">
        <v>44765</v>
      </c>
      <c r="R116" s="3">
        <v>44766</v>
      </c>
      <c r="S116" s="3">
        <v>44767</v>
      </c>
      <c r="T116" s="3">
        <v>44768</v>
      </c>
      <c r="U116" s="3">
        <v>44769</v>
      </c>
      <c r="V116" s="3">
        <v>44770</v>
      </c>
      <c r="W116" s="3">
        <v>44771</v>
      </c>
      <c r="X116" s="3">
        <v>44772</v>
      </c>
      <c r="Y116" s="3">
        <v>44773</v>
      </c>
      <c r="Z116" s="3">
        <v>44774</v>
      </c>
      <c r="AA116" s="3">
        <v>44775</v>
      </c>
      <c r="AB116" s="3">
        <v>44776</v>
      </c>
      <c r="AC116" s="3">
        <v>44777</v>
      </c>
      <c r="AD116" s="3">
        <v>44778</v>
      </c>
      <c r="AE116" s="3">
        <v>44779</v>
      </c>
      <c r="AF116" s="4">
        <v>44780</v>
      </c>
      <c r="AG116" s="4">
        <v>44781</v>
      </c>
      <c r="AH116" s="4">
        <v>44782</v>
      </c>
      <c r="AI116" s="4">
        <v>44783</v>
      </c>
      <c r="AJ116" s="4">
        <v>44784</v>
      </c>
      <c r="AK116" s="4">
        <v>44785</v>
      </c>
      <c r="AL116" s="4">
        <v>44786</v>
      </c>
      <c r="AM116" s="3">
        <v>44787</v>
      </c>
      <c r="AN116" s="3">
        <v>44788</v>
      </c>
      <c r="AO116" s="3">
        <v>44789</v>
      </c>
      <c r="AP116" s="3">
        <v>44790</v>
      </c>
      <c r="AQ116" s="3">
        <v>44791</v>
      </c>
      <c r="AR116" s="3">
        <v>44792</v>
      </c>
      <c r="AS116" s="3">
        <v>44793</v>
      </c>
      <c r="AT116" s="3">
        <v>44794</v>
      </c>
      <c r="AU116" s="3">
        <v>44795</v>
      </c>
      <c r="AV116" s="3">
        <v>44796</v>
      </c>
      <c r="AW116" s="3">
        <v>44797</v>
      </c>
      <c r="AX116" s="3">
        <v>44798</v>
      </c>
      <c r="AY116" s="3">
        <v>44799</v>
      </c>
      <c r="AZ116" s="3">
        <v>44800</v>
      </c>
      <c r="BA116" s="3">
        <v>44801</v>
      </c>
      <c r="BB116" s="3">
        <v>44802</v>
      </c>
      <c r="BC116" s="3">
        <v>44803</v>
      </c>
      <c r="BD116" s="3">
        <v>44804</v>
      </c>
      <c r="BE116" s="3">
        <v>44805</v>
      </c>
      <c r="BF116" s="3">
        <v>44806</v>
      </c>
      <c r="BG116" s="3">
        <v>44807</v>
      </c>
      <c r="BH116" s="4">
        <v>44808</v>
      </c>
      <c r="BI116" s="4">
        <v>44809</v>
      </c>
      <c r="BJ116" s="4">
        <v>44810</v>
      </c>
      <c r="BK116" s="4">
        <v>44811</v>
      </c>
      <c r="BL116" s="4">
        <v>44812</v>
      </c>
      <c r="BM116" s="4">
        <v>44813</v>
      </c>
      <c r="BN116" s="4">
        <v>44814</v>
      </c>
      <c r="BO116" s="4">
        <v>44815</v>
      </c>
      <c r="BP116" s="3">
        <v>44816</v>
      </c>
      <c r="BQ116" s="3">
        <v>44817</v>
      </c>
      <c r="BR116" s="3">
        <v>44818</v>
      </c>
      <c r="BS116" s="3">
        <v>44819</v>
      </c>
      <c r="BT116" s="3">
        <v>44820</v>
      </c>
      <c r="BU116" s="3">
        <v>44821</v>
      </c>
      <c r="BV116" s="3">
        <v>44822</v>
      </c>
      <c r="BW116" s="3">
        <v>44823</v>
      </c>
      <c r="BX116" s="3">
        <v>44824</v>
      </c>
      <c r="BY116" s="3">
        <v>44825</v>
      </c>
      <c r="BZ116" s="3">
        <v>44826</v>
      </c>
      <c r="CA116" s="3">
        <v>44827</v>
      </c>
      <c r="CB116" s="3">
        <v>44828</v>
      </c>
      <c r="CC116" s="3">
        <v>44828</v>
      </c>
    </row>
    <row r="117" spans="1:81">
      <c r="A117" s="6" t="s">
        <v>2</v>
      </c>
      <c r="B117" s="7">
        <v>0</v>
      </c>
      <c r="C117" s="7">
        <v>0</v>
      </c>
      <c r="D117" s="7">
        <v>1.9857142857142855E-3</v>
      </c>
      <c r="E117" s="7">
        <v>3.9857142857142851E-3</v>
      </c>
      <c r="F117" s="7">
        <v>3.785714285714285E-3</v>
      </c>
      <c r="G117" s="7">
        <v>3.5000000000000001E-3</v>
      </c>
      <c r="H117" s="7">
        <f>AVERAGE(BB117:BH117)</f>
        <v>3.3999999999999998E-3</v>
      </c>
      <c r="I117" s="7">
        <f>AVERAGE(BI117:BO117)</f>
        <v>2.8428571428571426E-3</v>
      </c>
      <c r="J117" s="7">
        <f>AVERAGE(BP117:BV117)</f>
        <v>2.9285714285714288E-3</v>
      </c>
      <c r="K117" s="7">
        <f t="shared" ref="K117:K148" si="35">AVERAGE(BW117:CB117)</f>
        <v>2.9166666666666668E-3</v>
      </c>
      <c r="L117" s="7">
        <f t="shared" ref="L117:L148" si="36">AVERAGE(BX117:CB117)</f>
        <v>3.0400000000000002E-3</v>
      </c>
      <c r="M117" s="8">
        <v>0</v>
      </c>
      <c r="N117" s="8">
        <v>0</v>
      </c>
      <c r="O117" s="8">
        <v>0</v>
      </c>
      <c r="P117" s="8">
        <v>0</v>
      </c>
      <c r="Q117" s="8">
        <v>0</v>
      </c>
      <c r="R117" s="8">
        <v>0</v>
      </c>
      <c r="S117" s="8">
        <v>0</v>
      </c>
      <c r="T117" s="8">
        <v>0</v>
      </c>
      <c r="U117" s="8">
        <v>0</v>
      </c>
      <c r="V117" s="8">
        <v>0</v>
      </c>
      <c r="W117" s="8">
        <v>0</v>
      </c>
      <c r="X117" s="8">
        <v>0</v>
      </c>
      <c r="Y117" s="8">
        <v>0</v>
      </c>
      <c r="Z117" s="8">
        <v>0</v>
      </c>
      <c r="AA117" s="8">
        <v>0</v>
      </c>
      <c r="AB117" s="8">
        <v>0</v>
      </c>
      <c r="AC117" s="8">
        <v>0</v>
      </c>
      <c r="AD117" s="8">
        <v>4.7999999999999996E-3</v>
      </c>
      <c r="AE117" s="8">
        <v>4.7999999999999996E-3</v>
      </c>
      <c r="AF117" s="8">
        <v>4.3E-3</v>
      </c>
      <c r="AG117" s="8">
        <v>3.7000000000000002E-3</v>
      </c>
      <c r="AH117" s="8">
        <v>4.0000000000000001E-3</v>
      </c>
      <c r="AI117" s="8">
        <v>4.3E-3</v>
      </c>
      <c r="AJ117" s="8">
        <v>3.7000000000000002E-3</v>
      </c>
      <c r="AK117" s="8">
        <v>3.8999999999999998E-3</v>
      </c>
      <c r="AL117" s="8">
        <v>4.7000000000000002E-3</v>
      </c>
      <c r="AM117" s="7">
        <v>3.5999999999999999E-3</v>
      </c>
      <c r="AN117" s="7">
        <v>4.0000000000000001E-3</v>
      </c>
      <c r="AO117" s="7">
        <v>4.1999999999999997E-3</v>
      </c>
      <c r="AP117" s="7">
        <v>3.5999999999999999E-3</v>
      </c>
      <c r="AQ117" s="7">
        <v>3.5999999999999999E-3</v>
      </c>
      <c r="AR117" s="7">
        <v>3.0999999999999999E-3</v>
      </c>
      <c r="AS117" s="7">
        <v>4.4999999999999997E-3</v>
      </c>
      <c r="AT117" s="7">
        <v>3.5000000000000001E-3</v>
      </c>
      <c r="AU117" s="7">
        <v>2.7000000000000001E-3</v>
      </c>
      <c r="AV117" s="7">
        <v>3.5000000000000001E-3</v>
      </c>
      <c r="AW117" s="7">
        <v>4.1000000000000003E-3</v>
      </c>
      <c r="AX117" s="7">
        <v>3.8999999999999998E-3</v>
      </c>
      <c r="AY117" s="7">
        <v>3.8E-3</v>
      </c>
      <c r="AZ117" s="7">
        <v>2.8999999999999998E-3</v>
      </c>
      <c r="BA117" s="7">
        <v>3.5999999999999999E-3</v>
      </c>
      <c r="BB117" s="7">
        <v>3.0000000000000001E-3</v>
      </c>
      <c r="BC117" s="7">
        <v>4.3E-3</v>
      </c>
      <c r="BD117" s="7">
        <v>3.0000000000000001E-3</v>
      </c>
      <c r="BE117" s="7">
        <f>VLOOKUP($A117,'1.Sep'!$M$8:$O$1048576,3,0)</f>
        <v>3.8999999999999998E-3</v>
      </c>
      <c r="BF117" s="7">
        <f>VLOOKUP($A117,'2.Sep'!$M$8:$O$1048576,3,0)</f>
        <v>3.0999999999999999E-3</v>
      </c>
      <c r="BG117" s="7">
        <f>VLOOKUP($A117,'3.Sep'!$M$8:$O$1048576,3,0)</f>
        <v>3.0000000000000001E-3</v>
      </c>
      <c r="BH117" s="8">
        <f>VLOOKUP($A117,'4.Sep'!$M$8:$O$1048576,3,0)</f>
        <v>3.5000000000000001E-3</v>
      </c>
      <c r="BI117" s="8">
        <f>VLOOKUP($A117,'5.Sep'!$M$8:$O$1048576,3,0)</f>
        <v>3.0000000000000001E-3</v>
      </c>
      <c r="BJ117" s="8">
        <f>VLOOKUP($A117,'6.Sep'!$M$8:$O$1048576,3,0)</f>
        <v>3.0000000000000001E-3</v>
      </c>
      <c r="BK117" s="8">
        <f>VLOOKUP($A117,'7.Sep'!$M$8:$O$1048576,3,0)</f>
        <v>3.2000000000000002E-3</v>
      </c>
      <c r="BL117" s="8">
        <f>VLOOKUP($A117,'8.Sep'!$M$8:$O$1048576,3,0)</f>
        <v>2.8999999999999998E-3</v>
      </c>
      <c r="BM117" s="8">
        <f>VLOOKUP($A117,'9.Sep'!$M$8:$O$1048576,3,0)</f>
        <v>2.7000000000000001E-3</v>
      </c>
      <c r="BN117" s="8">
        <f>VLOOKUP($A117,'10.Sep'!$M$8:$O$1048576,3,0)</f>
        <v>2.5999999999999999E-3</v>
      </c>
      <c r="BO117" s="8">
        <f>VLOOKUP($A117,'11.Sep'!$M$8:$O$1048576,3,0)</f>
        <v>2.5000000000000001E-3</v>
      </c>
      <c r="BP117" s="7">
        <f>VLOOKUP($A117,'12.Sep'!$M$8:$O$1048576,3,0)</f>
        <v>2.8999999999999998E-3</v>
      </c>
      <c r="BQ117" s="7">
        <f>VLOOKUP($A117,'13.Sep'!$M$8:$O$1048576,3,0)</f>
        <v>2.5000000000000001E-3</v>
      </c>
      <c r="BR117" s="7">
        <f>VLOOKUP($A117,'14.Sep'!$M$8:$O$1048576,3,0)</f>
        <v>3.3E-3</v>
      </c>
      <c r="BS117" s="7">
        <f>VLOOKUP($A117,'15.Sep'!$M$8:$O$1048576,3,0)</f>
        <v>3.0999999999999999E-3</v>
      </c>
      <c r="BT117" s="7">
        <f>VLOOKUP($A117,'16.Sep'!$M$8:$O$1048576,3,0)</f>
        <v>3.0000000000000001E-3</v>
      </c>
      <c r="BU117" s="7">
        <f>VLOOKUP($A117,'17.Sep'!$M$8:$O$1048576,3,0)</f>
        <v>3.0000000000000001E-3</v>
      </c>
      <c r="BV117" s="7">
        <f>VLOOKUP($A117,'18.Sep'!$M$8:$O$1048576,3,0)</f>
        <v>2.7000000000000001E-3</v>
      </c>
      <c r="BW117" s="7">
        <f>VLOOKUP($A117,'19.Sep'!$M$8:$O$1048576,3,0)</f>
        <v>2.3E-3</v>
      </c>
      <c r="BX117" s="7">
        <f>VLOOKUP($A117,'20.Sep'!$M$8:$O$1048576,3,0)</f>
        <v>3.0999999999999999E-3</v>
      </c>
      <c r="BY117" s="7">
        <f>VLOOKUP($A117,'21.Sep'!$M$8:$O$1048576,3,0)</f>
        <v>3.5000000000000001E-3</v>
      </c>
      <c r="BZ117" s="7">
        <f>VLOOKUP($A117,'22.Sep'!$M$8:$O$1048576,3,0)</f>
        <v>2.8E-3</v>
      </c>
      <c r="CA117" s="7">
        <f>VLOOKUP($A117,'23.Sep'!$M$8:$O$1048576,3,0)</f>
        <v>2.8999999999999998E-3</v>
      </c>
      <c r="CB117" s="7">
        <f>VLOOKUP($A117,'24.Sep'!$M$8:$O$1048576,3,0)</f>
        <v>2.8999999999999998E-3</v>
      </c>
      <c r="CC117" s="7">
        <f>VLOOKUP($A117,'24.Sep'!$M$8:$O$1048576,3,0)</f>
        <v>2.8999999999999998E-3</v>
      </c>
    </row>
    <row r="118" spans="1:81">
      <c r="A118" s="6" t="s">
        <v>3</v>
      </c>
      <c r="B118" s="7">
        <v>0</v>
      </c>
      <c r="C118" s="7">
        <v>0</v>
      </c>
      <c r="D118" s="7">
        <v>1.3285714285714285E-3</v>
      </c>
      <c r="E118" s="7">
        <v>2.4142857142857139E-3</v>
      </c>
      <c r="F118" s="7">
        <v>2.3E-3</v>
      </c>
      <c r="G118" s="7">
        <v>2.6999999999999997E-3</v>
      </c>
      <c r="H118" s="7">
        <f t="shared" ref="H118:H181" si="37">AVERAGE(BB118:BH118)</f>
        <v>2.3E-3</v>
      </c>
      <c r="I118" s="7">
        <f t="shared" ref="I118:I181" si="38">AVERAGE(BI118:BO118)</f>
        <v>2.1857142857142856E-3</v>
      </c>
      <c r="J118" s="7">
        <f t="shared" ref="J118:J181" si="39">AVERAGE(BP118:BV118)</f>
        <v>2.1714285714285711E-3</v>
      </c>
      <c r="K118" s="7">
        <f t="shared" si="35"/>
        <v>2.0499999999999997E-3</v>
      </c>
      <c r="L118" s="7">
        <f t="shared" si="36"/>
        <v>2.0399999999999997E-3</v>
      </c>
      <c r="M118" s="8">
        <v>0</v>
      </c>
      <c r="N118" s="8">
        <v>0</v>
      </c>
      <c r="O118" s="8">
        <v>0</v>
      </c>
      <c r="P118" s="8">
        <v>0</v>
      </c>
      <c r="Q118" s="8">
        <v>0</v>
      </c>
      <c r="R118" s="8">
        <v>0</v>
      </c>
      <c r="S118" s="8">
        <v>0</v>
      </c>
      <c r="T118" s="8">
        <v>0</v>
      </c>
      <c r="U118" s="8">
        <v>0</v>
      </c>
      <c r="V118" s="8">
        <v>0</v>
      </c>
      <c r="W118" s="8">
        <v>0</v>
      </c>
      <c r="X118" s="8">
        <v>0</v>
      </c>
      <c r="Y118" s="8">
        <v>0</v>
      </c>
      <c r="Z118" s="8">
        <v>0</v>
      </c>
      <c r="AA118" s="8">
        <v>0</v>
      </c>
      <c r="AB118" s="8">
        <v>0</v>
      </c>
      <c r="AC118" s="8">
        <v>0</v>
      </c>
      <c r="AD118" s="8">
        <v>4.5999999999999999E-3</v>
      </c>
      <c r="AE118" s="8">
        <v>3.0000000000000001E-3</v>
      </c>
      <c r="AF118" s="8">
        <v>1.6999999999999999E-3</v>
      </c>
      <c r="AG118" s="8">
        <v>2.8999999999999998E-3</v>
      </c>
      <c r="AH118" s="8">
        <v>3.2000000000000002E-3</v>
      </c>
      <c r="AI118" s="8">
        <v>2.8E-3</v>
      </c>
      <c r="AJ118" s="8">
        <v>2.2000000000000001E-3</v>
      </c>
      <c r="AK118" s="8">
        <v>2E-3</v>
      </c>
      <c r="AL118" s="8">
        <v>1.8E-3</v>
      </c>
      <c r="AM118" s="7">
        <v>2E-3</v>
      </c>
      <c r="AN118" s="7">
        <v>1.5E-3</v>
      </c>
      <c r="AO118" s="7">
        <v>2E-3</v>
      </c>
      <c r="AP118" s="7">
        <v>2.2000000000000001E-3</v>
      </c>
      <c r="AQ118" s="7">
        <v>2.5000000000000001E-3</v>
      </c>
      <c r="AR118" s="7">
        <v>2.3999999999999998E-3</v>
      </c>
      <c r="AS118" s="7">
        <v>2.5999999999999999E-3</v>
      </c>
      <c r="AT118" s="7">
        <v>2.8999999999999998E-3</v>
      </c>
      <c r="AU118" s="7">
        <v>2.0999999999999999E-3</v>
      </c>
      <c r="AV118" s="7">
        <v>3.0000000000000001E-3</v>
      </c>
      <c r="AW118" s="7">
        <v>2.7000000000000001E-3</v>
      </c>
      <c r="AX118" s="7">
        <v>3.3999999999999998E-3</v>
      </c>
      <c r="AY118" s="7">
        <v>3.2000000000000002E-3</v>
      </c>
      <c r="AZ118" s="7">
        <v>2E-3</v>
      </c>
      <c r="BA118" s="7">
        <v>2.5000000000000001E-3</v>
      </c>
      <c r="BB118" s="7">
        <v>2.0999999999999999E-3</v>
      </c>
      <c r="BC118" s="7">
        <v>2.2000000000000001E-3</v>
      </c>
      <c r="BD118" s="7">
        <v>2E-3</v>
      </c>
      <c r="BE118" s="7">
        <f>VLOOKUP($A118,'1.Sep'!$M$8:$O$1048576,3,0)</f>
        <v>2.3999999999999998E-3</v>
      </c>
      <c r="BF118" s="7">
        <f>VLOOKUP($A118,'2.Sep'!$M$8:$O$1048576,3,0)</f>
        <v>2E-3</v>
      </c>
      <c r="BG118" s="7">
        <f>VLOOKUP($A118,'3.Sep'!$M$8:$O$1048576,3,0)</f>
        <v>2.3999999999999998E-3</v>
      </c>
      <c r="BH118" s="8">
        <f>VLOOKUP($A118,'4.Sep'!$M$8:$O$1048576,3,0)</f>
        <v>3.0000000000000001E-3</v>
      </c>
      <c r="BI118" s="8">
        <f>VLOOKUP($A118,'5.Sep'!$M$8:$O$1048576,3,0)</f>
        <v>3.0000000000000001E-3</v>
      </c>
      <c r="BJ118" s="8">
        <f>VLOOKUP($A118,'6.Sep'!$M$8:$O$1048576,3,0)</f>
        <v>2.5000000000000001E-3</v>
      </c>
      <c r="BK118" s="8">
        <f>VLOOKUP($A118,'7.Sep'!$M$8:$O$1048576,3,0)</f>
        <v>2E-3</v>
      </c>
      <c r="BL118" s="8">
        <f>VLOOKUP($A118,'8.Sep'!$M$8:$O$1048576,3,0)</f>
        <v>2E-3</v>
      </c>
      <c r="BM118" s="8">
        <f>VLOOKUP($A118,'9.Sep'!$M$8:$O$1048576,3,0)</f>
        <v>2E-3</v>
      </c>
      <c r="BN118" s="8">
        <f>VLOOKUP($A118,'10.Sep'!$M$8:$O$1048576,3,0)</f>
        <v>1.8E-3</v>
      </c>
      <c r="BO118" s="8">
        <f>VLOOKUP($A118,'11.Sep'!$M$8:$O$1048576,3,0)</f>
        <v>2E-3</v>
      </c>
      <c r="BP118" s="7">
        <f>VLOOKUP($A118,'12.Sep'!$M$8:$O$1048576,3,0)</f>
        <v>2E-3</v>
      </c>
      <c r="BQ118" s="7">
        <f>VLOOKUP($A118,'13.Sep'!$M$8:$O$1048576,3,0)</f>
        <v>2.3999999999999998E-3</v>
      </c>
      <c r="BR118" s="7">
        <f>VLOOKUP($A118,'14.Sep'!$M$8:$O$1048576,3,0)</f>
        <v>2.0999999999999999E-3</v>
      </c>
      <c r="BS118" s="7">
        <f>VLOOKUP($A118,'15.Sep'!$M$8:$O$1048576,3,0)</f>
        <v>2E-3</v>
      </c>
      <c r="BT118" s="7">
        <f>VLOOKUP($A118,'16.Sep'!$M$8:$O$1048576,3,0)</f>
        <v>2.3999999999999998E-3</v>
      </c>
      <c r="BU118" s="7">
        <f>VLOOKUP($A118,'17.Sep'!$M$8:$O$1048576,3,0)</f>
        <v>2.2000000000000001E-3</v>
      </c>
      <c r="BV118" s="7">
        <f>VLOOKUP($A118,'18.Sep'!$M$8:$O$1048576,3,0)</f>
        <v>2.0999999999999999E-3</v>
      </c>
      <c r="BW118" s="7">
        <f>VLOOKUP($A118,'19.Sep'!$M$8:$O$1048576,3,0)</f>
        <v>2.0999999999999999E-3</v>
      </c>
      <c r="BX118" s="7">
        <f>VLOOKUP($A118,'20.Sep'!$M$8:$O$1048576,3,0)</f>
        <v>1.6999999999999999E-3</v>
      </c>
      <c r="BY118" s="7">
        <f>VLOOKUP($A118,'21.Sep'!$M$8:$O$1048576,3,0)</f>
        <v>2E-3</v>
      </c>
      <c r="BZ118" s="7">
        <f>VLOOKUP($A118,'22.Sep'!$M$8:$O$1048576,3,0)</f>
        <v>2E-3</v>
      </c>
      <c r="CA118" s="7">
        <f>VLOOKUP($A118,'23.Sep'!$M$8:$O$1048576,3,0)</f>
        <v>2.0999999999999999E-3</v>
      </c>
      <c r="CB118" s="7">
        <f>VLOOKUP($A118,'24.Sep'!$M$8:$O$1048576,3,0)</f>
        <v>2.3999999999999998E-3</v>
      </c>
      <c r="CC118" s="7">
        <f>VLOOKUP($A118,'24.Sep'!$M$8:$O$1048576,3,0)</f>
        <v>2.3999999999999998E-3</v>
      </c>
    </row>
    <row r="119" spans="1:81">
      <c r="A119" s="6" t="s">
        <v>5</v>
      </c>
      <c r="B119" s="7">
        <v>0</v>
      </c>
      <c r="C119" s="7">
        <v>0</v>
      </c>
      <c r="D119" s="7">
        <v>4.0000000000000002E-4</v>
      </c>
      <c r="E119" s="7">
        <v>6.1428571428571424E-4</v>
      </c>
      <c r="F119" s="7">
        <v>2.8571428571428579E-4</v>
      </c>
      <c r="G119" s="7">
        <v>1.8571428571428572E-4</v>
      </c>
      <c r="H119" s="7">
        <f t="shared" si="37"/>
        <v>4.0000000000000002E-4</v>
      </c>
      <c r="I119" s="7">
        <f t="shared" si="38"/>
        <v>2.2857142857142859E-4</v>
      </c>
      <c r="J119" s="7">
        <f t="shared" si="39"/>
        <v>2.4285714285714289E-4</v>
      </c>
      <c r="K119" s="7">
        <f t="shared" si="35"/>
        <v>1.6666666666666666E-4</v>
      </c>
      <c r="L119" s="7">
        <f t="shared" si="36"/>
        <v>1.6000000000000001E-4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  <c r="T119" s="8">
        <v>0</v>
      </c>
      <c r="U119" s="8">
        <v>0</v>
      </c>
      <c r="V119" s="8">
        <v>0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8">
        <v>0</v>
      </c>
      <c r="AC119" s="8">
        <v>0</v>
      </c>
      <c r="AD119" s="8">
        <v>1.1999999999999999E-3</v>
      </c>
      <c r="AE119" s="8">
        <v>1.1000000000000001E-3</v>
      </c>
      <c r="AF119" s="8">
        <v>5.0000000000000001E-4</v>
      </c>
      <c r="AG119" s="8">
        <v>1.1000000000000001E-3</v>
      </c>
      <c r="AH119" s="8">
        <v>8.9999999999999998E-4</v>
      </c>
      <c r="AI119" s="8">
        <v>1E-3</v>
      </c>
      <c r="AJ119" s="8">
        <v>4.0000000000000002E-4</v>
      </c>
      <c r="AK119" s="8">
        <v>1E-4</v>
      </c>
      <c r="AL119" s="8">
        <v>5.0000000000000001E-4</v>
      </c>
      <c r="AM119" s="7">
        <v>2.9999999999999997E-4</v>
      </c>
      <c r="AN119" s="7">
        <v>2.9999999999999997E-4</v>
      </c>
      <c r="AO119" s="7">
        <v>6.9999999999999999E-4</v>
      </c>
      <c r="AP119" s="7">
        <v>2.0000000000000001E-4</v>
      </c>
      <c r="AQ119" s="7">
        <v>2.0000000000000001E-4</v>
      </c>
      <c r="AR119" s="7">
        <v>2.0000000000000001E-4</v>
      </c>
      <c r="AS119" s="7">
        <v>2.0000000000000001E-4</v>
      </c>
      <c r="AT119" s="7">
        <v>2.0000000000000001E-4</v>
      </c>
      <c r="AU119" s="7">
        <v>2.9999999999999997E-4</v>
      </c>
      <c r="AV119" s="7">
        <v>1E-4</v>
      </c>
      <c r="AW119" s="7">
        <v>0</v>
      </c>
      <c r="AX119" s="7">
        <v>2.0000000000000001E-4</v>
      </c>
      <c r="AY119" s="7">
        <v>2.0000000000000001E-4</v>
      </c>
      <c r="AZ119" s="7">
        <v>2.0000000000000001E-4</v>
      </c>
      <c r="BA119" s="7">
        <v>2.9999999999999997E-4</v>
      </c>
      <c r="BB119" s="7">
        <v>2.9999999999999997E-4</v>
      </c>
      <c r="BC119" s="7">
        <v>1E-4</v>
      </c>
      <c r="BD119" s="7">
        <v>2.9999999999999997E-4</v>
      </c>
      <c r="BE119" s="7">
        <f>VLOOKUP($A119,'1.Sep'!$M$8:$O$1048576,3,0)</f>
        <v>4.0000000000000002E-4</v>
      </c>
      <c r="BF119" s="7">
        <f>VLOOKUP($A119,'2.Sep'!$M$8:$O$1048576,3,0)</f>
        <v>8.9999999999999998E-4</v>
      </c>
      <c r="BG119" s="7">
        <f>VLOOKUP($A119,'3.Sep'!$M$8:$O$1048576,3,0)</f>
        <v>5.9999999999999995E-4</v>
      </c>
      <c r="BH119" s="8">
        <f>VLOOKUP($A119,'4.Sep'!$M$8:$O$1048576,3,0)</f>
        <v>2.0000000000000001E-4</v>
      </c>
      <c r="BI119" s="8">
        <f>VLOOKUP($A119,'5.Sep'!$M$8:$O$1048576,3,0)</f>
        <v>4.0000000000000002E-4</v>
      </c>
      <c r="BJ119" s="8">
        <f>VLOOKUP($A119,'6.Sep'!$M$8:$O$1048576,3,0)</f>
        <v>2.0000000000000001E-4</v>
      </c>
      <c r="BK119" s="8">
        <f>VLOOKUP($A119,'7.Sep'!$M$8:$O$1048576,3,0)</f>
        <v>5.0000000000000001E-4</v>
      </c>
      <c r="BL119" s="8">
        <f>VLOOKUP($A119,'8.Sep'!$M$8:$O$1048576,3,0)</f>
        <v>1E-4</v>
      </c>
      <c r="BM119" s="8">
        <f>VLOOKUP($A119,'9.Sep'!$M$8:$O$1048576,3,0)</f>
        <v>0</v>
      </c>
      <c r="BN119" s="8">
        <f>VLOOKUP($A119,'10.Sep'!$M$8:$O$1048576,3,0)</f>
        <v>1E-4</v>
      </c>
      <c r="BO119" s="8">
        <f>VLOOKUP($A119,'11.Sep'!$M$8:$O$1048576,3,0)</f>
        <v>2.9999999999999997E-4</v>
      </c>
      <c r="BP119" s="7">
        <f>VLOOKUP($A119,'12.Sep'!$M$8:$O$1048576,3,0)</f>
        <v>2.9999999999999997E-4</v>
      </c>
      <c r="BQ119" s="7">
        <f>VLOOKUP($A119,'13.Sep'!$M$8:$O$1048576,3,0)</f>
        <v>2.9999999999999997E-4</v>
      </c>
      <c r="BR119" s="7">
        <f>VLOOKUP($A119,'14.Sep'!$M$8:$O$1048576,3,0)</f>
        <v>2.9999999999999997E-4</v>
      </c>
      <c r="BS119" s="7">
        <f>VLOOKUP($A119,'15.Sep'!$M$8:$O$1048576,3,0)</f>
        <v>2.0000000000000001E-4</v>
      </c>
      <c r="BT119" s="7">
        <f>VLOOKUP($A119,'16.Sep'!$M$8:$O$1048576,3,0)</f>
        <v>2.9999999999999997E-4</v>
      </c>
      <c r="BU119" s="7">
        <f>VLOOKUP($A119,'17.Sep'!$M$8:$O$1048576,3,0)</f>
        <v>2.0000000000000001E-4</v>
      </c>
      <c r="BV119" s="7">
        <f>VLOOKUP($A119,'18.Sep'!$M$8:$O$1048576,3,0)</f>
        <v>1E-4</v>
      </c>
      <c r="BW119" s="7">
        <f>VLOOKUP($A119,'19.Sep'!$M$8:$O$1048576,3,0)</f>
        <v>2.0000000000000001E-4</v>
      </c>
      <c r="BX119" s="7">
        <f>VLOOKUP($A119,'20.Sep'!$M$8:$O$1048576,3,0)</f>
        <v>4.0000000000000002E-4</v>
      </c>
      <c r="BY119" s="7">
        <f>VLOOKUP($A119,'21.Sep'!$M$8:$O$1048576,3,0)</f>
        <v>2.0000000000000001E-4</v>
      </c>
      <c r="BZ119" s="7">
        <v>0</v>
      </c>
      <c r="CA119" s="7">
        <f>VLOOKUP($A119,'23.Sep'!$M$8:$O$1048576,3,0)</f>
        <v>0</v>
      </c>
      <c r="CB119" s="7">
        <f>VLOOKUP($A119,'24.Sep'!$M$8:$O$1048576,3,0)</f>
        <v>2.0000000000000001E-4</v>
      </c>
      <c r="CC119" s="7">
        <f>VLOOKUP($A119,'24.Sep'!$M$8:$O$1048576,3,0)</f>
        <v>2.0000000000000001E-4</v>
      </c>
    </row>
    <row r="120" spans="1:81">
      <c r="A120" s="6" t="s">
        <v>7</v>
      </c>
      <c r="B120" s="7">
        <v>0</v>
      </c>
      <c r="C120" s="7">
        <v>0</v>
      </c>
      <c r="D120" s="7">
        <v>5.7142857142857147E-4</v>
      </c>
      <c r="E120" s="7">
        <v>1.5428571428571425E-3</v>
      </c>
      <c r="F120" s="7">
        <v>9.7142857142857133E-4</v>
      </c>
      <c r="G120" s="7">
        <v>9.1428571428571438E-4</v>
      </c>
      <c r="H120" s="7">
        <f t="shared" si="37"/>
        <v>7.5714285714285716E-4</v>
      </c>
      <c r="I120" s="7">
        <f t="shared" si="38"/>
        <v>6.5714285714285712E-4</v>
      </c>
      <c r="J120" s="7">
        <f t="shared" si="39"/>
        <v>6.5714285714285712E-4</v>
      </c>
      <c r="K120" s="7">
        <f t="shared" si="35"/>
        <v>6.9999999999999999E-4</v>
      </c>
      <c r="L120" s="7">
        <f t="shared" si="36"/>
        <v>6.2E-4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0</v>
      </c>
      <c r="U120" s="8">
        <v>0</v>
      </c>
      <c r="V120" s="8">
        <v>0</v>
      </c>
      <c r="W120" s="8">
        <v>0</v>
      </c>
      <c r="X120" s="8">
        <v>0</v>
      </c>
      <c r="Y120" s="8">
        <v>0</v>
      </c>
      <c r="Z120" s="8">
        <v>0</v>
      </c>
      <c r="AA120" s="8">
        <v>0</v>
      </c>
      <c r="AB120" s="8">
        <v>0</v>
      </c>
      <c r="AC120" s="8">
        <v>0</v>
      </c>
      <c r="AD120" s="8">
        <v>1.6999999999999999E-3</v>
      </c>
      <c r="AE120" s="8">
        <v>6.9999999999999999E-4</v>
      </c>
      <c r="AF120" s="8">
        <v>1.6000000000000001E-3</v>
      </c>
      <c r="AG120" s="8">
        <v>1.6000000000000001E-3</v>
      </c>
      <c r="AH120" s="8">
        <v>1.2999999999999999E-3</v>
      </c>
      <c r="AI120" s="8">
        <v>1.9E-3</v>
      </c>
      <c r="AJ120" s="8">
        <v>3.0000000000000001E-3</v>
      </c>
      <c r="AK120" s="8">
        <v>1E-3</v>
      </c>
      <c r="AL120" s="8">
        <v>6.9999999999999999E-4</v>
      </c>
      <c r="AM120" s="7">
        <v>1.2999999999999999E-3</v>
      </c>
      <c r="AN120" s="7">
        <v>1.4E-3</v>
      </c>
      <c r="AO120" s="7">
        <v>8.0000000000000004E-4</v>
      </c>
      <c r="AP120" s="7">
        <v>6.9999999999999999E-4</v>
      </c>
      <c r="AQ120" s="7">
        <v>6.9999999999999999E-4</v>
      </c>
      <c r="AR120" s="7">
        <v>1E-3</v>
      </c>
      <c r="AS120" s="7">
        <v>1.1999999999999999E-3</v>
      </c>
      <c r="AT120" s="7">
        <v>1E-3</v>
      </c>
      <c r="AU120" s="7">
        <v>5.0000000000000001E-4</v>
      </c>
      <c r="AV120" s="7">
        <v>8.9999999999999998E-4</v>
      </c>
      <c r="AW120" s="7">
        <v>1.8E-3</v>
      </c>
      <c r="AX120" s="7">
        <v>1.1000000000000001E-3</v>
      </c>
      <c r="AY120" s="7">
        <v>6.9999999999999999E-4</v>
      </c>
      <c r="AZ120" s="7">
        <v>6.9999999999999999E-4</v>
      </c>
      <c r="BA120" s="7">
        <v>6.9999999999999999E-4</v>
      </c>
      <c r="BB120" s="7">
        <v>8.9999999999999998E-4</v>
      </c>
      <c r="BC120" s="7">
        <v>8.0000000000000004E-4</v>
      </c>
      <c r="BD120" s="7">
        <v>5.0000000000000001E-4</v>
      </c>
      <c r="BE120" s="7">
        <f>VLOOKUP($A120,'1.Sep'!$M$8:$O$1048576,3,0)</f>
        <v>1E-3</v>
      </c>
      <c r="BF120" s="7">
        <f>VLOOKUP($A120,'2.Sep'!$M$8:$O$1048576,3,0)</f>
        <v>5.9999999999999995E-4</v>
      </c>
      <c r="BG120" s="7">
        <f>VLOOKUP($A120,'3.Sep'!$M$8:$O$1048576,3,0)</f>
        <v>6.9999999999999999E-4</v>
      </c>
      <c r="BH120" s="8">
        <f>VLOOKUP($A120,'4.Sep'!$M$8:$O$1048576,3,0)</f>
        <v>8.0000000000000004E-4</v>
      </c>
      <c r="BI120" s="8">
        <f>VLOOKUP($A120,'5.Sep'!$M$8:$O$1048576,3,0)</f>
        <v>8.9999999999999998E-4</v>
      </c>
      <c r="BJ120" s="8">
        <f>VLOOKUP($A120,'6.Sep'!$M$8:$O$1048576,3,0)</f>
        <v>6.9999999999999999E-4</v>
      </c>
      <c r="BK120" s="8">
        <f>VLOOKUP($A120,'7.Sep'!$M$8:$O$1048576,3,0)</f>
        <v>6.9999999999999999E-4</v>
      </c>
      <c r="BL120" s="8">
        <f>VLOOKUP($A120,'8.Sep'!$M$8:$O$1048576,3,0)</f>
        <v>5.9999999999999995E-4</v>
      </c>
      <c r="BM120" s="8">
        <f>VLOOKUP($A120,'9.Sep'!$M$8:$O$1048576,3,0)</f>
        <v>5.9999999999999995E-4</v>
      </c>
      <c r="BN120" s="8">
        <f>VLOOKUP($A120,'10.Sep'!$M$8:$O$1048576,3,0)</f>
        <v>4.0000000000000002E-4</v>
      </c>
      <c r="BO120" s="8">
        <f>VLOOKUP($A120,'11.Sep'!$M$8:$O$1048576,3,0)</f>
        <v>6.9999999999999999E-4</v>
      </c>
      <c r="BP120" s="7">
        <f>VLOOKUP($A120,'12.Sep'!$M$8:$O$1048576,3,0)</f>
        <v>1E-3</v>
      </c>
      <c r="BQ120" s="7">
        <f>VLOOKUP($A120,'13.Sep'!$M$8:$O$1048576,3,0)</f>
        <v>5.9999999999999995E-4</v>
      </c>
      <c r="BR120" s="7">
        <f>VLOOKUP($A120,'14.Sep'!$M$8:$O$1048576,3,0)</f>
        <v>6.9999999999999999E-4</v>
      </c>
      <c r="BS120" s="7">
        <f>VLOOKUP($A120,'15.Sep'!$M$8:$O$1048576,3,0)</f>
        <v>5.9999999999999995E-4</v>
      </c>
      <c r="BT120" s="7">
        <f>VLOOKUP($A120,'16.Sep'!$M$8:$O$1048576,3,0)</f>
        <v>5.0000000000000001E-4</v>
      </c>
      <c r="BU120" s="7">
        <f>VLOOKUP($A120,'17.Sep'!$M$8:$O$1048576,3,0)</f>
        <v>5.9999999999999995E-4</v>
      </c>
      <c r="BV120" s="7">
        <f>VLOOKUP($A120,'18.Sep'!$M$8:$O$1048576,3,0)</f>
        <v>5.9999999999999995E-4</v>
      </c>
      <c r="BW120" s="7">
        <f>VLOOKUP($A120,'19.Sep'!$M$8:$O$1048576,3,0)</f>
        <v>1.1000000000000001E-3</v>
      </c>
      <c r="BX120" s="7">
        <f>VLOOKUP($A120,'20.Sep'!$M$8:$O$1048576,3,0)</f>
        <v>6.9999999999999999E-4</v>
      </c>
      <c r="BY120" s="7">
        <f>VLOOKUP($A120,'21.Sep'!$M$8:$O$1048576,3,0)</f>
        <v>5.0000000000000001E-4</v>
      </c>
      <c r="BZ120" s="7">
        <f>VLOOKUP($A120,'22.Sep'!$M$8:$O$1048576,3,0)</f>
        <v>5.9999999999999995E-4</v>
      </c>
      <c r="CA120" s="7">
        <f>VLOOKUP($A120,'23.Sep'!$M$8:$O$1048576,3,0)</f>
        <v>5.9999999999999995E-4</v>
      </c>
      <c r="CB120" s="7">
        <f>VLOOKUP($A120,'24.Sep'!$M$8:$O$1048576,3,0)</f>
        <v>6.9999999999999999E-4</v>
      </c>
      <c r="CC120" s="7">
        <f>VLOOKUP($A120,'24.Sep'!$M$8:$O$1048576,3,0)</f>
        <v>6.9999999999999999E-4</v>
      </c>
    </row>
    <row r="121" spans="1:81">
      <c r="A121" s="6" t="s">
        <v>8</v>
      </c>
      <c r="B121" s="7">
        <v>0</v>
      </c>
      <c r="C121" s="7">
        <v>0</v>
      </c>
      <c r="D121" s="7">
        <v>7.1428571428571434E-5</v>
      </c>
      <c r="E121" s="7">
        <v>1.8571428571428572E-4</v>
      </c>
      <c r="F121" s="7">
        <v>1.2857142857142858E-4</v>
      </c>
      <c r="G121" s="7">
        <v>1.4285714285714287E-4</v>
      </c>
      <c r="H121" s="7">
        <f t="shared" si="37"/>
        <v>6.8571428571428581E-4</v>
      </c>
      <c r="I121" s="7">
        <f t="shared" si="38"/>
        <v>1.0000000000000002E-4</v>
      </c>
      <c r="J121" s="7">
        <f t="shared" si="39"/>
        <v>1.4285714285714287E-4</v>
      </c>
      <c r="K121" s="7">
        <f t="shared" si="35"/>
        <v>1E-4</v>
      </c>
      <c r="L121" s="7">
        <f t="shared" si="36"/>
        <v>1E-4</v>
      </c>
      <c r="M121" s="8">
        <v>0</v>
      </c>
      <c r="N121" s="8">
        <v>0</v>
      </c>
      <c r="O121" s="8">
        <v>0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0</v>
      </c>
      <c r="V121" s="8">
        <v>0</v>
      </c>
      <c r="W121" s="8">
        <v>0</v>
      </c>
      <c r="X121" s="8">
        <v>0</v>
      </c>
      <c r="Y121" s="8">
        <v>0</v>
      </c>
      <c r="Z121" s="8">
        <v>0</v>
      </c>
      <c r="AA121" s="8">
        <v>0</v>
      </c>
      <c r="AB121" s="8">
        <v>0</v>
      </c>
      <c r="AC121" s="8">
        <v>0</v>
      </c>
      <c r="AD121" s="8">
        <v>1E-4</v>
      </c>
      <c r="AE121" s="8">
        <v>2.9999999999999997E-4</v>
      </c>
      <c r="AF121" s="8">
        <v>1E-4</v>
      </c>
      <c r="AG121" s="8">
        <v>2.0000000000000001E-4</v>
      </c>
      <c r="AH121" s="8">
        <v>1E-4</v>
      </c>
      <c r="AI121" s="8">
        <v>2.0000000000000001E-4</v>
      </c>
      <c r="AJ121" s="8">
        <v>2.9999999999999997E-4</v>
      </c>
      <c r="AK121" s="8">
        <v>1E-4</v>
      </c>
      <c r="AL121" s="8">
        <v>1E-4</v>
      </c>
      <c r="AM121" s="7">
        <v>2.9999999999999997E-4</v>
      </c>
      <c r="AN121" s="7">
        <v>1E-4</v>
      </c>
      <c r="AO121" s="7">
        <v>0</v>
      </c>
      <c r="AP121" s="7">
        <v>2.0000000000000001E-4</v>
      </c>
      <c r="AQ121" s="7">
        <v>1E-4</v>
      </c>
      <c r="AR121" s="7">
        <v>1E-4</v>
      </c>
      <c r="AS121" s="7">
        <v>2.9999999999999997E-4</v>
      </c>
      <c r="AT121" s="7">
        <v>1E-4</v>
      </c>
      <c r="AU121" s="7">
        <v>0</v>
      </c>
      <c r="AV121" s="7">
        <v>2.0000000000000001E-4</v>
      </c>
      <c r="AW121" s="7">
        <v>0</v>
      </c>
      <c r="AX121" s="7">
        <v>2.9999999999999997E-4</v>
      </c>
      <c r="AY121" s="7">
        <v>2.9999999999999997E-4</v>
      </c>
      <c r="AZ121" s="7">
        <v>1E-4</v>
      </c>
      <c r="BA121" s="7">
        <v>1E-4</v>
      </c>
      <c r="BB121" s="7">
        <v>4.0000000000000002E-4</v>
      </c>
      <c r="BC121" s="7">
        <v>1E-4</v>
      </c>
      <c r="BD121" s="7">
        <v>0</v>
      </c>
      <c r="BE121" s="7">
        <f>VLOOKUP($A121,'1.Sep'!$M$8:$O$1048576,3,0)</f>
        <v>1E-4</v>
      </c>
      <c r="BF121" s="7">
        <f>VLOOKUP($A121,'2.Sep'!$M$8:$O$1048576,3,0)</f>
        <v>3.8E-3</v>
      </c>
      <c r="BG121" s="7">
        <f>VLOOKUP($A121,'3.Sep'!$M$8:$O$1048576,3,0)</f>
        <v>2.9999999999999997E-4</v>
      </c>
      <c r="BH121" s="8">
        <f>VLOOKUP($A121,'4.Sep'!$M$8:$O$1048576,3,0)</f>
        <v>1E-4</v>
      </c>
      <c r="BI121" s="8">
        <f>VLOOKUP($A121,'5.Sep'!$M$8:$O$1048576,3,0)</f>
        <v>1E-4</v>
      </c>
      <c r="BJ121" s="8">
        <f>VLOOKUP($A121,'6.Sep'!$M$8:$O$1048576,3,0)</f>
        <v>2.0000000000000001E-4</v>
      </c>
      <c r="BK121" s="8">
        <f>VLOOKUP($A121,'7.Sep'!$M$8:$O$1048576,3,0)</f>
        <v>1E-4</v>
      </c>
      <c r="BL121" s="8">
        <f>VLOOKUP($A121,'8.Sep'!$M$8:$O$1048576,3,0)</f>
        <v>2.0000000000000001E-4</v>
      </c>
      <c r="BM121" s="8">
        <f>VLOOKUP($A121,'9.Sep'!$M$8:$O$1048576,3,0)</f>
        <v>0</v>
      </c>
      <c r="BN121" s="8">
        <f>VLOOKUP($A121,'10.Sep'!$M$8:$O$1048576,3,0)</f>
        <v>0</v>
      </c>
      <c r="BO121" s="8">
        <f>VLOOKUP($A121,'11.Sep'!$M$8:$O$1048576,3,0)</f>
        <v>1E-4</v>
      </c>
      <c r="BP121" s="7">
        <f>VLOOKUP($A121,'12.Sep'!$M$8:$O$1048576,3,0)</f>
        <v>1E-4</v>
      </c>
      <c r="BQ121" s="7">
        <f>VLOOKUP($A121,'13.Sep'!$M$8:$O$1048576,3,0)</f>
        <v>1E-4</v>
      </c>
      <c r="BR121" s="7">
        <f>VLOOKUP($A121,'14.Sep'!$M$8:$O$1048576,3,0)</f>
        <v>4.0000000000000002E-4</v>
      </c>
      <c r="BS121" s="7">
        <f>VLOOKUP($A121,'15.Sep'!$M$8:$O$1048576,3,0)</f>
        <v>1E-4</v>
      </c>
      <c r="BT121" s="7">
        <f>VLOOKUP($A121,'16.Sep'!$M$8:$O$1048576,3,0)</f>
        <v>0</v>
      </c>
      <c r="BU121" s="7">
        <f>VLOOKUP($A121,'17.Sep'!$M$8:$O$1048576,3,0)</f>
        <v>2.0000000000000001E-4</v>
      </c>
      <c r="BV121" s="7">
        <f>VLOOKUP($A121,'18.Sep'!$M$8:$O$1048576,3,0)</f>
        <v>1E-4</v>
      </c>
      <c r="BW121" s="7">
        <f>VLOOKUP($A121,'19.Sep'!$M$8:$O$1048576,3,0)</f>
        <v>1E-4</v>
      </c>
      <c r="BX121" s="7">
        <f>VLOOKUP($A121,'20.Sep'!$M$8:$O$1048576,3,0)</f>
        <v>1E-4</v>
      </c>
      <c r="BY121" s="7">
        <f>VLOOKUP($A121,'21.Sep'!$M$8:$O$1048576,3,0)</f>
        <v>1E-4</v>
      </c>
      <c r="BZ121" s="7">
        <v>0</v>
      </c>
      <c r="CA121" s="7">
        <f>VLOOKUP($A121,'23.Sep'!$M$8:$O$1048576,3,0)</f>
        <v>2.0000000000000001E-4</v>
      </c>
      <c r="CB121" s="7">
        <f>VLOOKUP($A121,'24.Sep'!$M$8:$O$1048576,3,0)</f>
        <v>1E-4</v>
      </c>
      <c r="CC121" s="7">
        <f>VLOOKUP($A121,'24.Sep'!$M$8:$O$1048576,3,0)</f>
        <v>1E-4</v>
      </c>
    </row>
    <row r="122" spans="1:81">
      <c r="A122" s="6" t="s">
        <v>9</v>
      </c>
      <c r="B122" s="7">
        <v>0</v>
      </c>
      <c r="C122" s="7">
        <v>0</v>
      </c>
      <c r="D122" s="7">
        <v>3.5714285714285709E-4</v>
      </c>
      <c r="E122" s="7">
        <v>5.8571428571428576E-4</v>
      </c>
      <c r="F122" s="7">
        <v>3.1428571428571427E-4</v>
      </c>
      <c r="G122" s="7">
        <v>4.7142857142857148E-4</v>
      </c>
      <c r="H122" s="7">
        <f t="shared" si="37"/>
        <v>7.5714285714285705E-4</v>
      </c>
      <c r="I122" s="7">
        <f t="shared" si="38"/>
        <v>2.4285714285714289E-4</v>
      </c>
      <c r="J122" s="7">
        <f t="shared" si="39"/>
        <v>3.5714285714285714E-4</v>
      </c>
      <c r="K122" s="7">
        <f t="shared" si="35"/>
        <v>2.8333333333333335E-4</v>
      </c>
      <c r="L122" s="7">
        <f t="shared" si="36"/>
        <v>3.0000000000000003E-4</v>
      </c>
      <c r="M122" s="8">
        <v>0</v>
      </c>
      <c r="N122" s="8">
        <v>0</v>
      </c>
      <c r="O122" s="8">
        <v>0</v>
      </c>
      <c r="P122" s="8">
        <v>0</v>
      </c>
      <c r="Q122" s="8">
        <v>0</v>
      </c>
      <c r="R122" s="8">
        <v>0</v>
      </c>
      <c r="S122" s="8">
        <v>0</v>
      </c>
      <c r="T122" s="8"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8">
        <v>0</v>
      </c>
      <c r="AA122" s="8">
        <v>0</v>
      </c>
      <c r="AB122" s="8">
        <v>0</v>
      </c>
      <c r="AC122" s="8">
        <v>0</v>
      </c>
      <c r="AD122" s="8">
        <v>2.9999999999999997E-4</v>
      </c>
      <c r="AE122" s="8">
        <v>8.9999999999999998E-4</v>
      </c>
      <c r="AF122" s="8">
        <v>1.2999999999999999E-3</v>
      </c>
      <c r="AG122" s="8">
        <v>6.9999999999999999E-4</v>
      </c>
      <c r="AH122" s="8">
        <v>1.6000000000000001E-3</v>
      </c>
      <c r="AI122" s="8">
        <v>5.0000000000000001E-4</v>
      </c>
      <c r="AJ122" s="8">
        <v>2.0000000000000001E-4</v>
      </c>
      <c r="AK122" s="8">
        <v>2.0000000000000001E-4</v>
      </c>
      <c r="AL122" s="8">
        <v>5.9999999999999995E-4</v>
      </c>
      <c r="AM122" s="7">
        <v>2.9999999999999997E-4</v>
      </c>
      <c r="AN122" s="7">
        <v>2.0000000000000001E-4</v>
      </c>
      <c r="AO122" s="7">
        <v>2.9999999999999997E-4</v>
      </c>
      <c r="AP122" s="7">
        <v>2.9999999999999997E-4</v>
      </c>
      <c r="AQ122" s="7">
        <v>4.0000000000000002E-4</v>
      </c>
      <c r="AR122" s="7">
        <v>4.0000000000000002E-4</v>
      </c>
      <c r="AS122" s="7">
        <v>2.9999999999999997E-4</v>
      </c>
      <c r="AT122" s="7">
        <v>2.9999999999999997E-4</v>
      </c>
      <c r="AU122" s="7">
        <v>2.0000000000000001E-4</v>
      </c>
      <c r="AV122" s="7">
        <v>8.0000000000000004E-4</v>
      </c>
      <c r="AW122" s="7">
        <v>1.1000000000000001E-3</v>
      </c>
      <c r="AX122" s="7">
        <v>4.0000000000000002E-4</v>
      </c>
      <c r="AY122" s="7">
        <v>2.9999999999999997E-4</v>
      </c>
      <c r="AZ122" s="7">
        <v>2.9999999999999997E-4</v>
      </c>
      <c r="BA122" s="7">
        <v>2.0000000000000001E-4</v>
      </c>
      <c r="BB122" s="7">
        <v>5.9999999999999995E-4</v>
      </c>
      <c r="BC122" s="7">
        <v>2.9999999999999997E-4</v>
      </c>
      <c r="BD122" s="7">
        <v>2.9999999999999997E-4</v>
      </c>
      <c r="BE122" s="7">
        <f>VLOOKUP($A122,'1.Sep'!$M$8:$O$1048576,3,0)</f>
        <v>2.9999999999999997E-4</v>
      </c>
      <c r="BF122" s="7">
        <f>VLOOKUP($A122,'2.Sep'!$M$8:$O$1048576,3,0)</f>
        <v>3.3E-3</v>
      </c>
      <c r="BG122" s="7">
        <f>VLOOKUP($A122,'3.Sep'!$M$8:$O$1048576,3,0)</f>
        <v>2.9999999999999997E-4</v>
      </c>
      <c r="BH122" s="8">
        <f>VLOOKUP($A122,'4.Sep'!$M$8:$O$1048576,3,0)</f>
        <v>2.0000000000000001E-4</v>
      </c>
      <c r="BI122" s="8">
        <f>VLOOKUP($A122,'5.Sep'!$M$8:$O$1048576,3,0)</f>
        <v>2.0000000000000001E-4</v>
      </c>
      <c r="BJ122" s="8">
        <f>VLOOKUP($A122,'6.Sep'!$M$8:$O$1048576,3,0)</f>
        <v>2.9999999999999997E-4</v>
      </c>
      <c r="BK122" s="8">
        <f>VLOOKUP($A122,'7.Sep'!$M$8:$O$1048576,3,0)</f>
        <v>2.0000000000000001E-4</v>
      </c>
      <c r="BL122" s="8">
        <f>VLOOKUP($A122,'8.Sep'!$M$8:$O$1048576,3,0)</f>
        <v>4.0000000000000002E-4</v>
      </c>
      <c r="BM122" s="8">
        <f>VLOOKUP($A122,'9.Sep'!$M$8:$O$1048576,3,0)</f>
        <v>1E-4</v>
      </c>
      <c r="BN122" s="8">
        <f>VLOOKUP($A122,'10.Sep'!$M$8:$O$1048576,3,0)</f>
        <v>2.0000000000000001E-4</v>
      </c>
      <c r="BO122" s="8">
        <f>VLOOKUP($A122,'11.Sep'!$M$8:$O$1048576,3,0)</f>
        <v>2.9999999999999997E-4</v>
      </c>
      <c r="BP122" s="7">
        <f>VLOOKUP($A122,'12.Sep'!$M$8:$O$1048576,3,0)</f>
        <v>4.0000000000000002E-4</v>
      </c>
      <c r="BQ122" s="7">
        <f>VLOOKUP($A122,'13.Sep'!$M$8:$O$1048576,3,0)</f>
        <v>4.0000000000000002E-4</v>
      </c>
      <c r="BR122" s="7">
        <f>VLOOKUP($A122,'14.Sep'!$M$8:$O$1048576,3,0)</f>
        <v>5.9999999999999995E-4</v>
      </c>
      <c r="BS122" s="7">
        <f>VLOOKUP($A122,'15.Sep'!$M$8:$O$1048576,3,0)</f>
        <v>4.0000000000000002E-4</v>
      </c>
      <c r="BT122" s="7">
        <f>VLOOKUP($A122,'16.Sep'!$M$8:$O$1048576,3,0)</f>
        <v>2.9999999999999997E-4</v>
      </c>
      <c r="BU122" s="7">
        <f>VLOOKUP($A122,'17.Sep'!$M$8:$O$1048576,3,0)</f>
        <v>2.0000000000000001E-4</v>
      </c>
      <c r="BV122" s="7">
        <f>VLOOKUP($A122,'18.Sep'!$M$8:$O$1048576,3,0)</f>
        <v>2.0000000000000001E-4</v>
      </c>
      <c r="BW122" s="7">
        <f>VLOOKUP($A122,'19.Sep'!$M$8:$O$1048576,3,0)</f>
        <v>2.0000000000000001E-4</v>
      </c>
      <c r="BX122" s="7">
        <f>VLOOKUP($A122,'20.Sep'!$M$8:$O$1048576,3,0)</f>
        <v>2.9999999999999997E-4</v>
      </c>
      <c r="BY122" s="7">
        <f>VLOOKUP($A122,'21.Sep'!$M$8:$O$1048576,3,0)</f>
        <v>1E-4</v>
      </c>
      <c r="BZ122" s="7">
        <f>VLOOKUP($A122,'22.Sep'!$M$8:$O$1048576,3,0)</f>
        <v>2.0000000000000001E-4</v>
      </c>
      <c r="CA122" s="7">
        <f>VLOOKUP($A122,'23.Sep'!$M$8:$O$1048576,3,0)</f>
        <v>4.0000000000000002E-4</v>
      </c>
      <c r="CB122" s="7">
        <f>VLOOKUP($A122,'24.Sep'!$M$8:$O$1048576,3,0)</f>
        <v>5.0000000000000001E-4</v>
      </c>
      <c r="CC122" s="7">
        <f>VLOOKUP($A122,'24.Sep'!$M$8:$O$1048576,3,0)</f>
        <v>5.0000000000000001E-4</v>
      </c>
    </row>
    <row r="123" spans="1:81">
      <c r="A123" s="6" t="s">
        <v>10</v>
      </c>
      <c r="B123" s="7">
        <v>0</v>
      </c>
      <c r="C123" s="7">
        <v>0</v>
      </c>
      <c r="D123" s="7">
        <v>8.5714285714285713E-5</v>
      </c>
      <c r="E123" s="7">
        <v>2.7142857142857139E-4</v>
      </c>
      <c r="F123" s="7">
        <v>1.8571428571428574E-4</v>
      </c>
      <c r="G123" s="7">
        <v>2.1428571428571433E-4</v>
      </c>
      <c r="H123" s="7">
        <f t="shared" si="37"/>
        <v>1.5714285714285719E-4</v>
      </c>
      <c r="I123" s="7">
        <f t="shared" si="38"/>
        <v>8.5714285714285726E-5</v>
      </c>
      <c r="J123" s="7">
        <f t="shared" si="39"/>
        <v>1.7142857142857145E-4</v>
      </c>
      <c r="K123" s="7">
        <f t="shared" si="35"/>
        <v>1.6666666666666666E-4</v>
      </c>
      <c r="L123" s="7">
        <f t="shared" si="36"/>
        <v>1.7999999999999998E-4</v>
      </c>
      <c r="M123" s="8">
        <v>0</v>
      </c>
      <c r="N123" s="8">
        <v>0</v>
      </c>
      <c r="O123" s="8">
        <v>0</v>
      </c>
      <c r="P123" s="8">
        <v>0</v>
      </c>
      <c r="Q123" s="8">
        <v>0</v>
      </c>
      <c r="R123" s="8">
        <v>0</v>
      </c>
      <c r="S123" s="8">
        <v>0</v>
      </c>
      <c r="T123" s="8">
        <v>0</v>
      </c>
      <c r="U123" s="8">
        <v>0</v>
      </c>
      <c r="V123" s="8">
        <v>0</v>
      </c>
      <c r="W123" s="8">
        <v>0</v>
      </c>
      <c r="X123" s="8">
        <v>0</v>
      </c>
      <c r="Y123" s="8">
        <v>0</v>
      </c>
      <c r="Z123" s="8">
        <v>0</v>
      </c>
      <c r="AA123" s="8">
        <v>0</v>
      </c>
      <c r="AB123" s="8">
        <v>0</v>
      </c>
      <c r="AC123" s="8">
        <v>0</v>
      </c>
      <c r="AD123" s="8">
        <v>2.9999999999999997E-4</v>
      </c>
      <c r="AE123" s="8">
        <v>1E-4</v>
      </c>
      <c r="AF123" s="8">
        <v>2.0000000000000001E-4</v>
      </c>
      <c r="AG123" s="8">
        <v>2.0000000000000001E-4</v>
      </c>
      <c r="AH123" s="8">
        <v>2.0000000000000001E-4</v>
      </c>
      <c r="AI123" s="8">
        <v>2.0000000000000001E-4</v>
      </c>
      <c r="AJ123" s="8">
        <v>1E-4</v>
      </c>
      <c r="AK123" s="8">
        <v>2.9999999999999997E-4</v>
      </c>
      <c r="AL123" s="8">
        <v>5.9999999999999995E-4</v>
      </c>
      <c r="AM123" s="7">
        <v>2.9999999999999997E-4</v>
      </c>
      <c r="AN123" s="7">
        <v>2.9999999999999997E-4</v>
      </c>
      <c r="AO123" s="7">
        <v>1E-4</v>
      </c>
      <c r="AP123" s="7">
        <v>1E-4</v>
      </c>
      <c r="AQ123" s="7">
        <v>1E-4</v>
      </c>
      <c r="AR123" s="7">
        <v>2.9999999999999997E-4</v>
      </c>
      <c r="AS123" s="7">
        <v>2.0000000000000001E-4</v>
      </c>
      <c r="AT123" s="7">
        <v>2.0000000000000001E-4</v>
      </c>
      <c r="AU123" s="7">
        <v>2.0000000000000001E-4</v>
      </c>
      <c r="AV123" s="7">
        <v>2.0000000000000001E-4</v>
      </c>
      <c r="AW123" s="7">
        <v>2.9999999999999997E-4</v>
      </c>
      <c r="AX123" s="7">
        <v>2.0000000000000001E-4</v>
      </c>
      <c r="AY123" s="7">
        <v>2.0000000000000001E-4</v>
      </c>
      <c r="AZ123" s="7">
        <v>2.0000000000000001E-4</v>
      </c>
      <c r="BA123" s="7">
        <v>2.0000000000000001E-4</v>
      </c>
      <c r="BB123" s="7">
        <v>2.0000000000000001E-4</v>
      </c>
      <c r="BC123" s="7">
        <v>2.0000000000000001E-4</v>
      </c>
      <c r="BD123" s="7">
        <v>2.0000000000000001E-4</v>
      </c>
      <c r="BE123" s="7">
        <f>VLOOKUP($A123,'1.Sep'!$M$8:$O$1048576,3,0)</f>
        <v>1E-4</v>
      </c>
      <c r="BF123" s="7">
        <f>VLOOKUP($A123,'2.Sep'!$M$8:$O$1048576,3,0)</f>
        <v>1E-4</v>
      </c>
      <c r="BG123" s="7">
        <f>VLOOKUP($A123,'3.Sep'!$M$8:$O$1048576,3,0)</f>
        <v>1E-4</v>
      </c>
      <c r="BH123" s="8">
        <f>VLOOKUP($A123,'4.Sep'!$M$8:$O$1048576,3,0)</f>
        <v>2.0000000000000001E-4</v>
      </c>
      <c r="BI123" s="8">
        <f>VLOOKUP($A123,'5.Sep'!$M$8:$O$1048576,3,0)</f>
        <v>0</v>
      </c>
      <c r="BJ123" s="8">
        <f>VLOOKUP($A123,'6.Sep'!$M$8:$O$1048576,3,0)</f>
        <v>0</v>
      </c>
      <c r="BK123" s="8">
        <f>VLOOKUP($A123,'7.Sep'!$M$8:$O$1048576,3,0)</f>
        <v>2.0000000000000001E-4</v>
      </c>
      <c r="BL123" s="8">
        <f>VLOOKUP($A123,'8.Sep'!$M$8:$O$1048576,3,0)</f>
        <v>1E-4</v>
      </c>
      <c r="BM123" s="8">
        <f>VLOOKUP($A123,'9.Sep'!$M$8:$O$1048576,3,0)</f>
        <v>0</v>
      </c>
      <c r="BN123" s="8">
        <f>VLOOKUP($A123,'10.Sep'!$M$8:$O$1048576,3,0)</f>
        <v>1E-4</v>
      </c>
      <c r="BO123" s="8">
        <f>VLOOKUP($A123,'11.Sep'!$M$8:$O$1048576,3,0)</f>
        <v>2.0000000000000001E-4</v>
      </c>
      <c r="BP123" s="7">
        <f>VLOOKUP($A123,'12.Sep'!$M$8:$O$1048576,3,0)</f>
        <v>2.0000000000000001E-4</v>
      </c>
      <c r="BQ123" s="7">
        <f>VLOOKUP($A123,'13.Sep'!$M$8:$O$1048576,3,0)</f>
        <v>0</v>
      </c>
      <c r="BR123" s="7">
        <f>VLOOKUP($A123,'14.Sep'!$M$8:$O$1048576,3,0)</f>
        <v>1E-4</v>
      </c>
      <c r="BS123" s="7">
        <f>VLOOKUP($A123,'15.Sep'!$M$8:$O$1048576,3,0)</f>
        <v>4.0000000000000002E-4</v>
      </c>
      <c r="BT123" s="7">
        <f>VLOOKUP($A123,'16.Sep'!$M$8:$O$1048576,3,0)</f>
        <v>2.0000000000000001E-4</v>
      </c>
      <c r="BU123" s="7">
        <f>VLOOKUP($A123,'17.Sep'!$M$8:$O$1048576,3,0)</f>
        <v>2.0000000000000001E-4</v>
      </c>
      <c r="BV123" s="7">
        <f>VLOOKUP($A123,'18.Sep'!$M$8:$O$1048576,3,0)</f>
        <v>1E-4</v>
      </c>
      <c r="BW123" s="7">
        <f>VLOOKUP($A123,'19.Sep'!$M$8:$O$1048576,3,0)</f>
        <v>1E-4</v>
      </c>
      <c r="BX123" s="7">
        <f>VLOOKUP($A123,'20.Sep'!$M$8:$O$1048576,3,0)</f>
        <v>2.0000000000000001E-4</v>
      </c>
      <c r="BY123" s="7">
        <f>VLOOKUP($A123,'21.Sep'!$M$8:$O$1048576,3,0)</f>
        <v>1E-4</v>
      </c>
      <c r="BZ123" s="7">
        <f>VLOOKUP($A123,'22.Sep'!$M$8:$O$1048576,3,0)</f>
        <v>2.0000000000000001E-4</v>
      </c>
      <c r="CA123" s="7">
        <f>VLOOKUP($A123,'23.Sep'!$M$8:$O$1048576,3,0)</f>
        <v>1E-4</v>
      </c>
      <c r="CB123" s="7">
        <f>VLOOKUP($A123,'24.Sep'!$M$8:$O$1048576,3,0)</f>
        <v>2.9999999999999997E-4</v>
      </c>
      <c r="CC123" s="7">
        <f>VLOOKUP($A123,'24.Sep'!$M$8:$O$1048576,3,0)</f>
        <v>2.9999999999999997E-4</v>
      </c>
    </row>
    <row r="124" spans="1:81">
      <c r="A124" s="6" t="s">
        <v>11</v>
      </c>
      <c r="B124" s="7">
        <v>0</v>
      </c>
      <c r="C124" s="7">
        <v>0</v>
      </c>
      <c r="D124" s="7">
        <v>7.4285714285714287E-4</v>
      </c>
      <c r="E124" s="7">
        <v>6.714285714285713E-4</v>
      </c>
      <c r="F124" s="7">
        <v>5.8571428571428566E-4</v>
      </c>
      <c r="G124" s="7">
        <v>7.7142857142857135E-4</v>
      </c>
      <c r="H124" s="7">
        <f t="shared" si="37"/>
        <v>6.4285714285714293E-4</v>
      </c>
      <c r="I124" s="7">
        <f t="shared" si="38"/>
        <v>5.8571428571428566E-4</v>
      </c>
      <c r="J124" s="7">
        <f t="shared" si="39"/>
        <v>4.7142857142857143E-4</v>
      </c>
      <c r="K124" s="7">
        <f t="shared" si="35"/>
        <v>4.1666666666666675E-4</v>
      </c>
      <c r="L124" s="7">
        <f t="shared" si="36"/>
        <v>4.1999999999999996E-4</v>
      </c>
      <c r="M124" s="8">
        <v>0</v>
      </c>
      <c r="N124" s="8">
        <v>0</v>
      </c>
      <c r="O124" s="8">
        <v>0</v>
      </c>
      <c r="P124" s="8">
        <v>0</v>
      </c>
      <c r="Q124" s="8">
        <v>0</v>
      </c>
      <c r="R124" s="8">
        <v>0</v>
      </c>
      <c r="S124" s="8">
        <v>0</v>
      </c>
      <c r="T124" s="8">
        <v>0</v>
      </c>
      <c r="U124" s="8">
        <v>0</v>
      </c>
      <c r="V124" s="8">
        <v>0</v>
      </c>
      <c r="W124" s="8">
        <v>0</v>
      </c>
      <c r="X124" s="8">
        <v>0</v>
      </c>
      <c r="Y124" s="8">
        <v>0</v>
      </c>
      <c r="Z124" s="8">
        <v>0</v>
      </c>
      <c r="AA124" s="8">
        <v>0</v>
      </c>
      <c r="AB124" s="8">
        <v>0</v>
      </c>
      <c r="AC124" s="8">
        <v>0</v>
      </c>
      <c r="AD124" s="8">
        <v>3.5000000000000001E-3</v>
      </c>
      <c r="AE124" s="8">
        <v>8.0000000000000004E-4</v>
      </c>
      <c r="AF124" s="8">
        <v>8.9999999999999998E-4</v>
      </c>
      <c r="AG124" s="8">
        <v>1E-3</v>
      </c>
      <c r="AH124" s="8">
        <v>1E-3</v>
      </c>
      <c r="AI124" s="8">
        <v>2.9999999999999997E-4</v>
      </c>
      <c r="AJ124" s="8">
        <v>5.0000000000000001E-4</v>
      </c>
      <c r="AK124" s="8">
        <v>8.0000000000000004E-4</v>
      </c>
      <c r="AL124" s="8">
        <v>5.9999999999999995E-4</v>
      </c>
      <c r="AM124" s="7">
        <v>5.0000000000000001E-4</v>
      </c>
      <c r="AN124" s="7">
        <v>5.9999999999999995E-4</v>
      </c>
      <c r="AO124" s="7">
        <v>5.0000000000000001E-4</v>
      </c>
      <c r="AP124" s="7">
        <v>8.0000000000000004E-4</v>
      </c>
      <c r="AQ124" s="7">
        <v>5.0000000000000001E-4</v>
      </c>
      <c r="AR124" s="7">
        <v>4.0000000000000002E-4</v>
      </c>
      <c r="AS124" s="7">
        <v>5.9999999999999995E-4</v>
      </c>
      <c r="AT124" s="7">
        <v>6.9999999999999999E-4</v>
      </c>
      <c r="AU124" s="7">
        <v>5.0000000000000001E-4</v>
      </c>
      <c r="AV124" s="7">
        <v>5.0000000000000001E-4</v>
      </c>
      <c r="AW124" s="7">
        <v>8.9999999999999998E-4</v>
      </c>
      <c r="AX124" s="7">
        <v>8.9999999999999998E-4</v>
      </c>
      <c r="AY124" s="7">
        <v>1E-3</v>
      </c>
      <c r="AZ124" s="7">
        <v>6.9999999999999999E-4</v>
      </c>
      <c r="BA124" s="7">
        <v>8.9999999999999998E-4</v>
      </c>
      <c r="BB124" s="7">
        <v>5.9999999999999995E-4</v>
      </c>
      <c r="BC124" s="7">
        <v>5.9999999999999995E-4</v>
      </c>
      <c r="BD124" s="7">
        <v>8.0000000000000004E-4</v>
      </c>
      <c r="BE124" s="7">
        <f>VLOOKUP($A124,'1.Sep'!$M$8:$O$1048576,3,0)</f>
        <v>8.0000000000000004E-4</v>
      </c>
      <c r="BF124" s="7">
        <f>VLOOKUP($A124,'2.Sep'!$M$8:$O$1048576,3,0)</f>
        <v>6.9999999999999999E-4</v>
      </c>
      <c r="BG124" s="7">
        <f>VLOOKUP($A124,'3.Sep'!$M$8:$O$1048576,3,0)</f>
        <v>4.0000000000000002E-4</v>
      </c>
      <c r="BH124" s="8">
        <f>VLOOKUP($A124,'4.Sep'!$M$8:$O$1048576,3,0)</f>
        <v>5.9999999999999995E-4</v>
      </c>
      <c r="BI124" s="8">
        <f>VLOOKUP($A124,'5.Sep'!$M$8:$O$1048576,3,0)</f>
        <v>5.9999999999999995E-4</v>
      </c>
      <c r="BJ124" s="8">
        <f>VLOOKUP($A124,'6.Sep'!$M$8:$O$1048576,3,0)</f>
        <v>6.9999999999999999E-4</v>
      </c>
      <c r="BK124" s="8">
        <f>VLOOKUP($A124,'7.Sep'!$M$8:$O$1048576,3,0)</f>
        <v>6.9999999999999999E-4</v>
      </c>
      <c r="BL124" s="8">
        <f>VLOOKUP($A124,'8.Sep'!$M$8:$O$1048576,3,0)</f>
        <v>5.9999999999999995E-4</v>
      </c>
      <c r="BM124" s="8">
        <f>VLOOKUP($A124,'9.Sep'!$M$8:$O$1048576,3,0)</f>
        <v>4.0000000000000002E-4</v>
      </c>
      <c r="BN124" s="8">
        <f>VLOOKUP($A124,'10.Sep'!$M$8:$O$1048576,3,0)</f>
        <v>5.9999999999999995E-4</v>
      </c>
      <c r="BO124" s="8">
        <f>VLOOKUP($A124,'11.Sep'!$M$8:$O$1048576,3,0)</f>
        <v>5.0000000000000001E-4</v>
      </c>
      <c r="BP124" s="7">
        <f>VLOOKUP($A124,'12.Sep'!$M$8:$O$1048576,3,0)</f>
        <v>6.9999999999999999E-4</v>
      </c>
      <c r="BQ124" s="7">
        <f>VLOOKUP($A124,'13.Sep'!$M$8:$O$1048576,3,0)</f>
        <v>2.9999999999999997E-4</v>
      </c>
      <c r="BR124" s="7">
        <f>VLOOKUP($A124,'14.Sep'!$M$8:$O$1048576,3,0)</f>
        <v>4.0000000000000002E-4</v>
      </c>
      <c r="BS124" s="7">
        <f>VLOOKUP($A124,'15.Sep'!$M$8:$O$1048576,3,0)</f>
        <v>4.0000000000000002E-4</v>
      </c>
      <c r="BT124" s="7">
        <f>VLOOKUP($A124,'16.Sep'!$M$8:$O$1048576,3,0)</f>
        <v>5.9999999999999995E-4</v>
      </c>
      <c r="BU124" s="7">
        <f>VLOOKUP($A124,'17.Sep'!$M$8:$O$1048576,3,0)</f>
        <v>5.0000000000000001E-4</v>
      </c>
      <c r="BV124" s="7">
        <f>VLOOKUP($A124,'18.Sep'!$M$8:$O$1048576,3,0)</f>
        <v>4.0000000000000002E-4</v>
      </c>
      <c r="BW124" s="7">
        <f>VLOOKUP($A124,'19.Sep'!$M$8:$O$1048576,3,0)</f>
        <v>4.0000000000000002E-4</v>
      </c>
      <c r="BX124" s="7">
        <f>VLOOKUP($A124,'20.Sep'!$M$8:$O$1048576,3,0)</f>
        <v>4.0000000000000002E-4</v>
      </c>
      <c r="BY124" s="7">
        <f>VLOOKUP($A124,'21.Sep'!$M$8:$O$1048576,3,0)</f>
        <v>4.0000000000000002E-4</v>
      </c>
      <c r="BZ124" s="7">
        <f>VLOOKUP($A124,'22.Sep'!$M$8:$O$1048576,3,0)</f>
        <v>5.0000000000000001E-4</v>
      </c>
      <c r="CA124" s="7">
        <f>VLOOKUP($A124,'23.Sep'!$M$8:$O$1048576,3,0)</f>
        <v>4.0000000000000002E-4</v>
      </c>
      <c r="CB124" s="7">
        <f>VLOOKUP($A124,'24.Sep'!$M$8:$O$1048576,3,0)</f>
        <v>4.0000000000000002E-4</v>
      </c>
      <c r="CC124" s="7">
        <f>VLOOKUP($A124,'24.Sep'!$M$8:$O$1048576,3,0)</f>
        <v>4.0000000000000002E-4</v>
      </c>
    </row>
    <row r="125" spans="1:81">
      <c r="A125" s="6" t="s">
        <v>12</v>
      </c>
      <c r="B125" s="7">
        <v>0</v>
      </c>
      <c r="C125" s="7">
        <v>0</v>
      </c>
      <c r="D125" s="7">
        <v>1.4285714285714287E-5</v>
      </c>
      <c r="E125" s="7">
        <v>7.1428571428571434E-5</v>
      </c>
      <c r="F125" s="7">
        <v>4.2857142857142863E-5</v>
      </c>
      <c r="G125" s="7">
        <v>7.1428571428571434E-5</v>
      </c>
      <c r="H125" s="7">
        <f t="shared" si="37"/>
        <v>1.4285714285714287E-4</v>
      </c>
      <c r="I125" s="7">
        <f t="shared" si="38"/>
        <v>2.8571428571428574E-5</v>
      </c>
      <c r="J125" s="7">
        <f t="shared" si="39"/>
        <v>1E-4</v>
      </c>
      <c r="K125" s="7">
        <f t="shared" si="35"/>
        <v>5.0000000000000002E-5</v>
      </c>
      <c r="L125" s="7">
        <f t="shared" si="36"/>
        <v>6.0000000000000008E-5</v>
      </c>
      <c r="M125" s="8">
        <v>0</v>
      </c>
      <c r="N125" s="8">
        <v>0</v>
      </c>
      <c r="O125" s="8">
        <v>0</v>
      </c>
      <c r="P125" s="8">
        <v>0</v>
      </c>
      <c r="Q125" s="8">
        <v>0</v>
      </c>
      <c r="R125" s="8">
        <v>0</v>
      </c>
      <c r="S125" s="8">
        <v>0</v>
      </c>
      <c r="T125" s="8">
        <v>0</v>
      </c>
      <c r="U125" s="8">
        <v>0</v>
      </c>
      <c r="V125" s="8">
        <v>0</v>
      </c>
      <c r="W125" s="8">
        <v>0</v>
      </c>
      <c r="X125" s="8">
        <v>0</v>
      </c>
      <c r="Y125" s="8">
        <v>0</v>
      </c>
      <c r="Z125" s="8">
        <v>0</v>
      </c>
      <c r="AA125" s="8">
        <v>0</v>
      </c>
      <c r="AB125" s="8">
        <v>0</v>
      </c>
      <c r="AC125" s="8">
        <v>0</v>
      </c>
      <c r="AD125" s="8">
        <v>0</v>
      </c>
      <c r="AE125" s="8">
        <v>1E-4</v>
      </c>
      <c r="AF125" s="8">
        <v>0</v>
      </c>
      <c r="AG125" s="8">
        <v>0</v>
      </c>
      <c r="AH125" s="8">
        <v>1E-4</v>
      </c>
      <c r="AI125" s="8">
        <v>0</v>
      </c>
      <c r="AJ125" s="8">
        <v>2.0000000000000001E-4</v>
      </c>
      <c r="AK125" s="8">
        <v>0</v>
      </c>
      <c r="AL125" s="8">
        <v>1E-4</v>
      </c>
      <c r="AM125" s="7">
        <v>1E-4</v>
      </c>
      <c r="AN125" s="7">
        <v>1E-4</v>
      </c>
      <c r="AO125" s="8">
        <v>0</v>
      </c>
      <c r="AP125" s="7">
        <v>0</v>
      </c>
      <c r="AQ125" s="7">
        <v>0</v>
      </c>
      <c r="AR125" s="7">
        <v>1E-4</v>
      </c>
      <c r="AS125" s="8">
        <v>0</v>
      </c>
      <c r="AT125" s="7">
        <v>1E-4</v>
      </c>
      <c r="AU125" s="7">
        <v>0</v>
      </c>
      <c r="AV125" s="7">
        <v>2.0000000000000001E-4</v>
      </c>
      <c r="AW125" s="7">
        <v>1E-4</v>
      </c>
      <c r="AX125" s="7">
        <v>1E-4</v>
      </c>
      <c r="AY125" s="7">
        <v>0</v>
      </c>
      <c r="AZ125" s="7">
        <v>0</v>
      </c>
      <c r="BA125" s="7">
        <v>1E-4</v>
      </c>
      <c r="BB125" s="8">
        <v>0</v>
      </c>
      <c r="BC125" s="7">
        <v>2.0000000000000001E-4</v>
      </c>
      <c r="BD125" s="7">
        <v>0</v>
      </c>
      <c r="BE125" s="7">
        <f>VLOOKUP($A125,'1.Sep'!$M$8:$O$1048576,3,0)</f>
        <v>1E-4</v>
      </c>
      <c r="BF125" s="7">
        <f>VLOOKUP($A125,'2.Sep'!$M$8:$O$1048576,3,0)</f>
        <v>5.9999999999999995E-4</v>
      </c>
      <c r="BG125" s="7">
        <f>VLOOKUP($A125,'3.Sep'!$M$8:$O$1048576,3,0)</f>
        <v>0</v>
      </c>
      <c r="BH125" s="8">
        <f>VLOOKUP($A125,'4.Sep'!$M$8:$O$1048576,3,0)</f>
        <v>1E-4</v>
      </c>
      <c r="BI125" s="8">
        <v>0</v>
      </c>
      <c r="BJ125" s="8">
        <v>0</v>
      </c>
      <c r="BK125" s="8">
        <f>VLOOKUP($A125,'7.Sep'!$M$8:$O$1048576,3,0)</f>
        <v>0</v>
      </c>
      <c r="BL125" s="8">
        <f>VLOOKUP($A125,'8.Sep'!$M$8:$O$1048576,3,0)</f>
        <v>1E-4</v>
      </c>
      <c r="BM125" s="7">
        <v>0</v>
      </c>
      <c r="BN125" s="7">
        <v>0</v>
      </c>
      <c r="BO125" s="8">
        <f>VLOOKUP($A125,'11.Sep'!$M$8:$O$1048576,3,0)</f>
        <v>1E-4</v>
      </c>
      <c r="BP125" s="7">
        <f>VLOOKUP($A125,'12.Sep'!$M$8:$O$1048576,3,0)</f>
        <v>1E-4</v>
      </c>
      <c r="BQ125" s="7">
        <f>VLOOKUP($A125,'13.Sep'!$M$8:$O$1048576,3,0)</f>
        <v>0</v>
      </c>
      <c r="BR125" s="8">
        <v>0</v>
      </c>
      <c r="BS125" s="7">
        <f>VLOOKUP($A125,'15.Sep'!$M$8:$O$1048576,3,0)</f>
        <v>1E-4</v>
      </c>
      <c r="BT125" s="7">
        <f>VLOOKUP($A125,'16.Sep'!$M$8:$O$1048576,3,0)</f>
        <v>0</v>
      </c>
      <c r="BU125" s="7">
        <f>VLOOKUP($A125,'17.Sep'!$M$8:$O$1048576,3,0)</f>
        <v>2.9999999999999997E-4</v>
      </c>
      <c r="BV125" s="7">
        <f>VLOOKUP($A125,'18.Sep'!$M$8:$O$1048576,3,0)</f>
        <v>2.0000000000000001E-4</v>
      </c>
      <c r="BW125" s="7">
        <f>VLOOKUP($A125,'19.Sep'!$M$8:$O$1048576,3,0)</f>
        <v>0</v>
      </c>
      <c r="BX125" s="7">
        <f>VLOOKUP($A125,'20.Sep'!$M$8:$O$1048576,3,0)</f>
        <v>1E-4</v>
      </c>
      <c r="BY125" s="7">
        <f>VLOOKUP($A125,'21.Sep'!$M$8:$O$1048576,3,0)</f>
        <v>1E-4</v>
      </c>
      <c r="BZ125" s="7">
        <v>0</v>
      </c>
      <c r="CA125" s="7">
        <f>VLOOKUP($A125,'23.Sep'!$M$8:$O$1048576,3,0)</f>
        <v>0</v>
      </c>
      <c r="CB125" s="7">
        <f>VLOOKUP($A125,'24.Sep'!$M$8:$O$1048576,3,0)</f>
        <v>1E-4</v>
      </c>
      <c r="CC125" s="7">
        <f>VLOOKUP($A125,'24.Sep'!$M$8:$O$1048576,3,0)</f>
        <v>1E-4</v>
      </c>
    </row>
    <row r="126" spans="1:81" outlineLevel="1">
      <c r="A126" s="6" t="s">
        <v>13</v>
      </c>
      <c r="B126" s="7">
        <v>0</v>
      </c>
      <c r="C126" s="7">
        <v>0</v>
      </c>
      <c r="D126" s="7">
        <v>1.4285714285714287E-5</v>
      </c>
      <c r="E126" s="7">
        <v>0</v>
      </c>
      <c r="F126" s="7">
        <v>0</v>
      </c>
      <c r="G126" s="7">
        <v>0</v>
      </c>
      <c r="H126" s="7">
        <f t="shared" si="37"/>
        <v>0</v>
      </c>
      <c r="I126" s="7">
        <f t="shared" si="38"/>
        <v>0</v>
      </c>
      <c r="J126" s="7">
        <f t="shared" si="39"/>
        <v>1.4285714285714287E-5</v>
      </c>
      <c r="K126" s="7">
        <f t="shared" si="35"/>
        <v>0</v>
      </c>
      <c r="L126" s="7">
        <f t="shared" si="36"/>
        <v>0</v>
      </c>
      <c r="M126" s="8">
        <v>0</v>
      </c>
      <c r="N126" s="8">
        <v>0</v>
      </c>
      <c r="O126" s="8">
        <v>0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0</v>
      </c>
      <c r="W126" s="8">
        <v>0</v>
      </c>
      <c r="X126" s="8">
        <v>0</v>
      </c>
      <c r="Y126" s="8">
        <v>0</v>
      </c>
      <c r="Z126" s="8">
        <v>0</v>
      </c>
      <c r="AA126" s="8">
        <v>0</v>
      </c>
      <c r="AB126" s="8">
        <v>0</v>
      </c>
      <c r="AC126" s="8">
        <v>0</v>
      </c>
      <c r="AD126" s="8">
        <v>0</v>
      </c>
      <c r="AE126" s="8">
        <v>0</v>
      </c>
      <c r="AF126" s="8">
        <v>1E-4</v>
      </c>
      <c r="AG126" s="8">
        <v>0</v>
      </c>
      <c r="AH126" s="8">
        <v>0</v>
      </c>
      <c r="AI126" s="8">
        <v>0</v>
      </c>
      <c r="AJ126" s="8">
        <v>0</v>
      </c>
      <c r="AK126" s="8">
        <v>0</v>
      </c>
      <c r="AL126" s="8">
        <v>0</v>
      </c>
      <c r="AM126" s="7">
        <v>0</v>
      </c>
      <c r="AN126" s="8">
        <v>0</v>
      </c>
      <c r="AO126" s="7">
        <v>0</v>
      </c>
      <c r="AP126" s="7">
        <v>0</v>
      </c>
      <c r="AQ126" s="8">
        <v>0</v>
      </c>
      <c r="AR126" s="8">
        <v>0</v>
      </c>
      <c r="AS126" s="8">
        <v>0</v>
      </c>
      <c r="AT126" s="7">
        <v>0</v>
      </c>
      <c r="AU126" s="8">
        <v>0</v>
      </c>
      <c r="AV126" s="8">
        <v>0</v>
      </c>
      <c r="AW126" s="8">
        <v>0</v>
      </c>
      <c r="AX126" s="7">
        <v>0</v>
      </c>
      <c r="AY126" s="7">
        <v>0</v>
      </c>
      <c r="AZ126" s="8">
        <v>0</v>
      </c>
      <c r="BA126" s="8">
        <v>0</v>
      </c>
      <c r="BB126" s="8">
        <v>0</v>
      </c>
      <c r="BC126" s="8">
        <v>0</v>
      </c>
      <c r="BD126" s="7">
        <v>0</v>
      </c>
      <c r="BE126" s="7">
        <v>0</v>
      </c>
      <c r="BF126" s="7">
        <f>VLOOKUP($A126,'2.Sep'!$M$8:$O$1048576,3,0)</f>
        <v>0</v>
      </c>
      <c r="BG126" s="7">
        <f>VLOOKUP($A126,'3.Sep'!$M$8:$O$1048576,3,0)</f>
        <v>0</v>
      </c>
      <c r="BH126" s="8">
        <v>0</v>
      </c>
      <c r="BI126" s="8">
        <v>0</v>
      </c>
      <c r="BJ126" s="8">
        <v>0</v>
      </c>
      <c r="BK126" s="8">
        <f>VLOOKUP($A126,'7.Sep'!$M$8:$O$1048576,3,0)</f>
        <v>0</v>
      </c>
      <c r="BL126" s="8">
        <v>0</v>
      </c>
      <c r="BM126" s="8">
        <f>VLOOKUP($A126,'9.Sep'!$M$8:$O$1048576,3,0)</f>
        <v>0</v>
      </c>
      <c r="BN126" s="8">
        <f>VLOOKUP($A126,'10.Sep'!$M$8:$O$1048576,3,0)</f>
        <v>0</v>
      </c>
      <c r="BO126" s="8">
        <v>0</v>
      </c>
      <c r="BP126" s="7">
        <v>0</v>
      </c>
      <c r="BQ126" s="7">
        <v>0</v>
      </c>
      <c r="BR126" s="7">
        <f>VLOOKUP($A126,'14.Sep'!$M$8:$O$1048576,3,0)</f>
        <v>0</v>
      </c>
      <c r="BS126" s="8">
        <v>0</v>
      </c>
      <c r="BT126" s="7">
        <f>VLOOKUP($A126,'16.Sep'!$M$8:$O$1048576,3,0)</f>
        <v>0</v>
      </c>
      <c r="BU126" s="8">
        <v>0</v>
      </c>
      <c r="BV126" s="7">
        <f>VLOOKUP($A126,'18.Sep'!$M$8:$O$1048576,3,0)</f>
        <v>1E-4</v>
      </c>
      <c r="BW126" s="7">
        <v>0</v>
      </c>
      <c r="BX126" s="8">
        <v>0</v>
      </c>
      <c r="BY126" s="7">
        <v>0</v>
      </c>
      <c r="BZ126" s="7">
        <v>0</v>
      </c>
      <c r="CA126" s="7">
        <f>VLOOKUP($A126,'23.Sep'!$M$8:$O$1048576,3,0)</f>
        <v>0</v>
      </c>
      <c r="CB126" s="7">
        <f>VLOOKUP($A126,'24.Sep'!$M$8:$O$1048576,3,0)</f>
        <v>0</v>
      </c>
      <c r="CC126" s="7">
        <f>VLOOKUP($A126,'24.Sep'!$M$8:$O$1048576,3,0)</f>
        <v>0</v>
      </c>
    </row>
    <row r="127" spans="1:81" outlineLevel="1">
      <c r="A127" s="6" t="s">
        <v>14</v>
      </c>
      <c r="B127" s="7">
        <v>0</v>
      </c>
      <c r="C127" s="7">
        <v>0</v>
      </c>
      <c r="D127" s="7">
        <v>0</v>
      </c>
      <c r="E127" s="7">
        <v>1.4285714285714287E-5</v>
      </c>
      <c r="F127" s="7">
        <v>0</v>
      </c>
      <c r="G127" s="7">
        <v>0</v>
      </c>
      <c r="H127" s="7">
        <f t="shared" si="37"/>
        <v>2.8571428571428574E-5</v>
      </c>
      <c r="I127" s="7">
        <f t="shared" si="38"/>
        <v>0</v>
      </c>
      <c r="J127" s="7">
        <f t="shared" si="39"/>
        <v>0</v>
      </c>
      <c r="K127" s="7">
        <f t="shared" si="35"/>
        <v>0</v>
      </c>
      <c r="L127" s="7">
        <f t="shared" si="36"/>
        <v>0</v>
      </c>
      <c r="M127" s="8">
        <v>0</v>
      </c>
      <c r="N127" s="8">
        <v>0</v>
      </c>
      <c r="O127" s="8">
        <v>0</v>
      </c>
      <c r="P127" s="8">
        <v>0</v>
      </c>
      <c r="Q127" s="8">
        <v>0</v>
      </c>
      <c r="R127" s="8">
        <v>0</v>
      </c>
      <c r="S127" s="8">
        <v>0</v>
      </c>
      <c r="T127" s="8">
        <v>0</v>
      </c>
      <c r="U127" s="8">
        <v>0</v>
      </c>
      <c r="V127" s="8">
        <v>0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8">
        <v>0</v>
      </c>
      <c r="AC127" s="8">
        <v>0</v>
      </c>
      <c r="AD127" s="8">
        <v>0</v>
      </c>
      <c r="AE127" s="8">
        <v>0</v>
      </c>
      <c r="AF127" s="8">
        <v>0</v>
      </c>
      <c r="AG127" s="8">
        <v>0</v>
      </c>
      <c r="AH127" s="8">
        <v>1E-4</v>
      </c>
      <c r="AI127" s="8">
        <v>0</v>
      </c>
      <c r="AJ127" s="8">
        <v>0</v>
      </c>
      <c r="AK127" s="8">
        <v>0</v>
      </c>
      <c r="AL127" s="8">
        <v>0</v>
      </c>
      <c r="AM127" s="7">
        <v>0</v>
      </c>
      <c r="AN127" s="7">
        <v>0</v>
      </c>
      <c r="AO127" s="8">
        <v>0</v>
      </c>
      <c r="AP127" s="8">
        <v>0</v>
      </c>
      <c r="AQ127" s="8">
        <v>0</v>
      </c>
      <c r="AR127" s="7">
        <v>0</v>
      </c>
      <c r="AS127" s="8">
        <v>0</v>
      </c>
      <c r="AT127" s="8">
        <v>0</v>
      </c>
      <c r="AU127" s="8">
        <v>0</v>
      </c>
      <c r="AV127" s="8">
        <v>0</v>
      </c>
      <c r="AW127" s="8">
        <v>0</v>
      </c>
      <c r="AX127" s="8">
        <v>0</v>
      </c>
      <c r="AY127" s="8">
        <v>0</v>
      </c>
      <c r="AZ127" s="8">
        <v>0</v>
      </c>
      <c r="BA127" s="8">
        <v>0</v>
      </c>
      <c r="BB127" s="7">
        <v>0</v>
      </c>
      <c r="BC127" s="7">
        <v>0</v>
      </c>
      <c r="BD127" s="7">
        <v>0</v>
      </c>
      <c r="BE127" s="7">
        <v>0</v>
      </c>
      <c r="BF127" s="7">
        <f>VLOOKUP($A127,'2.Sep'!$M$8:$O$1048576,3,0)</f>
        <v>2.0000000000000001E-4</v>
      </c>
      <c r="BG127" s="7">
        <v>0</v>
      </c>
      <c r="BH127" s="8">
        <v>0</v>
      </c>
      <c r="BI127" s="8">
        <v>0</v>
      </c>
      <c r="BJ127" s="8">
        <v>0</v>
      </c>
      <c r="BK127" s="8">
        <v>0</v>
      </c>
      <c r="BL127" s="8">
        <v>0</v>
      </c>
      <c r="BM127" s="8">
        <f>VLOOKUP($A127,'9.Sep'!$M$8:$O$1048576,3,0)</f>
        <v>0</v>
      </c>
      <c r="BN127" s="8">
        <f>VLOOKUP($A127,'10.Sep'!$M$8:$O$1048576,3,0)</f>
        <v>0</v>
      </c>
      <c r="BO127" s="8">
        <v>0</v>
      </c>
      <c r="BP127" s="7">
        <v>0</v>
      </c>
      <c r="BQ127" s="7">
        <v>0</v>
      </c>
      <c r="BR127" s="8">
        <v>0</v>
      </c>
      <c r="BS127" s="8">
        <v>0</v>
      </c>
      <c r="BT127" s="8">
        <v>0</v>
      </c>
      <c r="BU127" s="8">
        <v>0</v>
      </c>
      <c r="BV127" s="7">
        <v>0</v>
      </c>
      <c r="BW127" s="7">
        <v>0</v>
      </c>
      <c r="BX127" s="8">
        <v>0</v>
      </c>
      <c r="BY127" s="7">
        <v>0</v>
      </c>
      <c r="BZ127" s="7">
        <v>0</v>
      </c>
      <c r="CA127" s="7">
        <v>0</v>
      </c>
      <c r="CB127" s="7">
        <v>0</v>
      </c>
      <c r="CC127" s="7">
        <v>0</v>
      </c>
    </row>
    <row r="128" spans="1:81" outlineLevel="1">
      <c r="A128" s="6" t="s">
        <v>15</v>
      </c>
      <c r="B128" s="7">
        <v>0</v>
      </c>
      <c r="C128" s="7">
        <v>0</v>
      </c>
      <c r="D128" s="7">
        <v>0</v>
      </c>
      <c r="E128" s="7">
        <v>0</v>
      </c>
      <c r="F128" s="7">
        <v>1.4285714285714287E-5</v>
      </c>
      <c r="G128" s="7">
        <v>2.8571428571428574E-5</v>
      </c>
      <c r="H128" s="7">
        <f t="shared" si="37"/>
        <v>1.4285714285714287E-5</v>
      </c>
      <c r="I128" s="7">
        <f t="shared" si="38"/>
        <v>1.4285714285714287E-5</v>
      </c>
      <c r="J128" s="7">
        <f t="shared" si="39"/>
        <v>4.2857142857142863E-5</v>
      </c>
      <c r="K128" s="7">
        <f t="shared" si="35"/>
        <v>6.666666666666667E-5</v>
      </c>
      <c r="L128" s="7">
        <f t="shared" si="36"/>
        <v>8.0000000000000007E-5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8">
        <v>0</v>
      </c>
      <c r="AC128" s="8">
        <v>0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0</v>
      </c>
      <c r="AK128" s="8">
        <v>0</v>
      </c>
      <c r="AL128" s="8">
        <v>0</v>
      </c>
      <c r="AM128" s="7">
        <v>0</v>
      </c>
      <c r="AN128" s="7">
        <v>0</v>
      </c>
      <c r="AO128" s="7">
        <v>0</v>
      </c>
      <c r="AP128" s="8">
        <v>0</v>
      </c>
      <c r="AQ128" s="8">
        <v>0</v>
      </c>
      <c r="AR128" s="8">
        <v>0</v>
      </c>
      <c r="AS128" s="8">
        <v>0</v>
      </c>
      <c r="AT128" s="7">
        <v>1E-4</v>
      </c>
      <c r="AU128" s="8">
        <v>0</v>
      </c>
      <c r="AV128" s="8">
        <v>0</v>
      </c>
      <c r="AW128" s="7">
        <v>1E-4</v>
      </c>
      <c r="AX128" s="7">
        <v>0</v>
      </c>
      <c r="AY128" s="8">
        <v>0</v>
      </c>
      <c r="AZ128" s="7">
        <v>1E-4</v>
      </c>
      <c r="BA128" s="7">
        <v>0</v>
      </c>
      <c r="BB128" s="7">
        <v>0</v>
      </c>
      <c r="BC128" s="8">
        <v>0</v>
      </c>
      <c r="BD128" s="7">
        <v>1E-4</v>
      </c>
      <c r="BE128" s="7">
        <f>VLOOKUP($A128,'1.Sep'!$M$8:$O$1048576,3,0)</f>
        <v>0</v>
      </c>
      <c r="BF128" s="7">
        <f>VLOOKUP($A128,'2.Sep'!$M$8:$O$1048576,3,0)</f>
        <v>0</v>
      </c>
      <c r="BG128" s="7">
        <v>0</v>
      </c>
      <c r="BH128" s="8">
        <v>0</v>
      </c>
      <c r="BI128" s="8">
        <v>0</v>
      </c>
      <c r="BJ128" s="8">
        <f>VLOOKUP($A128,'6.Sep'!$M$8:$O$1048576,3,0)</f>
        <v>0</v>
      </c>
      <c r="BK128" s="8">
        <f>VLOOKUP($A128,'7.Sep'!$M$8:$O$1048576,3,0)</f>
        <v>0</v>
      </c>
      <c r="BL128" s="8">
        <f>VLOOKUP($A128,'8.Sep'!$M$8:$O$1048576,3,0)</f>
        <v>1E-4</v>
      </c>
      <c r="BM128" s="7">
        <v>0</v>
      </c>
      <c r="BN128" s="8">
        <f>VLOOKUP($A128,'10.Sep'!$M$8:$O$1048576,3,0)</f>
        <v>0</v>
      </c>
      <c r="BO128" s="8">
        <f>VLOOKUP($A128,'11.Sep'!$M$8:$O$1048576,3,0)</f>
        <v>0</v>
      </c>
      <c r="BP128" s="7">
        <f>VLOOKUP($A128,'12.Sep'!$M$8:$O$1048576,3,0)</f>
        <v>1E-4</v>
      </c>
      <c r="BQ128" s="7">
        <f>VLOOKUP($A128,'13.Sep'!$M$8:$O$1048576,3,0)</f>
        <v>0</v>
      </c>
      <c r="BR128" s="7">
        <f>VLOOKUP($A128,'14.Sep'!$M$8:$O$1048576,3,0)</f>
        <v>0</v>
      </c>
      <c r="BS128" s="8">
        <v>0</v>
      </c>
      <c r="BT128" s="7">
        <f>VLOOKUP($A128,'16.Sep'!$M$8:$O$1048576,3,0)</f>
        <v>1E-4</v>
      </c>
      <c r="BU128" s="7">
        <f>VLOOKUP($A128,'17.Sep'!$M$8:$O$1048576,3,0)</f>
        <v>1E-4</v>
      </c>
      <c r="BV128" s="7">
        <f>VLOOKUP($A128,'18.Sep'!$M$8:$O$1048576,3,0)</f>
        <v>0</v>
      </c>
      <c r="BW128" s="7">
        <v>0</v>
      </c>
      <c r="BX128" s="7">
        <f>VLOOKUP($A128,'20.Sep'!$M$8:$O$1048576,3,0)</f>
        <v>1E-4</v>
      </c>
      <c r="BY128" s="7">
        <v>0</v>
      </c>
      <c r="BZ128" s="7">
        <f>VLOOKUP($A128,'22.Sep'!$M$8:$O$1048576,3,0)</f>
        <v>1E-4</v>
      </c>
      <c r="CA128" s="7">
        <v>0</v>
      </c>
      <c r="CB128" s="7">
        <f>VLOOKUP($A128,'24.Sep'!$M$8:$O$1048576,3,0)</f>
        <v>2.0000000000000001E-4</v>
      </c>
      <c r="CC128" s="7">
        <f>VLOOKUP($A128,'24.Sep'!$M$8:$O$1048576,3,0)</f>
        <v>2.0000000000000001E-4</v>
      </c>
    </row>
    <row r="129" spans="1:81" outlineLevel="1">
      <c r="A129" s="6" t="s">
        <v>16</v>
      </c>
      <c r="B129" s="7">
        <v>0</v>
      </c>
      <c r="C129" s="7">
        <v>0</v>
      </c>
      <c r="D129" s="7">
        <v>2.8571428571428574E-5</v>
      </c>
      <c r="E129" s="7">
        <v>1E-4</v>
      </c>
      <c r="F129" s="7">
        <v>7.1428571428571434E-5</v>
      </c>
      <c r="G129" s="7">
        <v>1.1428571428571431E-4</v>
      </c>
      <c r="H129" s="7">
        <f t="shared" si="37"/>
        <v>7.1428571428571434E-5</v>
      </c>
      <c r="I129" s="7">
        <f t="shared" si="38"/>
        <v>1.4285714285714287E-5</v>
      </c>
      <c r="J129" s="7">
        <f t="shared" si="39"/>
        <v>4.2857142857142863E-5</v>
      </c>
      <c r="K129" s="7">
        <f t="shared" si="35"/>
        <v>6.666666666666667E-5</v>
      </c>
      <c r="L129" s="7">
        <f t="shared" si="36"/>
        <v>8.0000000000000007E-5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  <c r="T129" s="8">
        <v>0</v>
      </c>
      <c r="U129" s="8">
        <v>0</v>
      </c>
      <c r="V129" s="8">
        <v>0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8">
        <v>0</v>
      </c>
      <c r="AC129" s="8">
        <v>0</v>
      </c>
      <c r="AD129" s="8">
        <v>1E-4</v>
      </c>
      <c r="AE129" s="8">
        <v>1E-4</v>
      </c>
      <c r="AF129" s="8">
        <v>0</v>
      </c>
      <c r="AG129" s="8">
        <v>0</v>
      </c>
      <c r="AH129" s="8">
        <v>0</v>
      </c>
      <c r="AI129" s="8">
        <v>2.9999999999999997E-4</v>
      </c>
      <c r="AJ129" s="8">
        <v>1E-4</v>
      </c>
      <c r="AK129" s="8">
        <v>2.0000000000000001E-4</v>
      </c>
      <c r="AL129" s="8">
        <v>0</v>
      </c>
      <c r="AM129" s="7">
        <v>1E-4</v>
      </c>
      <c r="AN129" s="7">
        <v>1E-4</v>
      </c>
      <c r="AO129" s="7">
        <v>1E-4</v>
      </c>
      <c r="AP129" s="7">
        <v>1E-4</v>
      </c>
      <c r="AQ129" s="7">
        <v>1E-4</v>
      </c>
      <c r="AR129" s="7">
        <v>0</v>
      </c>
      <c r="AS129" s="7">
        <v>0</v>
      </c>
      <c r="AT129" s="7">
        <v>1E-4</v>
      </c>
      <c r="AU129" s="7">
        <v>0</v>
      </c>
      <c r="AV129" s="7">
        <v>1E-4</v>
      </c>
      <c r="AW129" s="8">
        <v>0</v>
      </c>
      <c r="AX129" s="7">
        <v>4.0000000000000002E-4</v>
      </c>
      <c r="AY129" s="7">
        <v>1E-4</v>
      </c>
      <c r="AZ129" s="7">
        <v>1E-4</v>
      </c>
      <c r="BA129" s="7">
        <v>1E-4</v>
      </c>
      <c r="BB129" s="7">
        <v>1E-4</v>
      </c>
      <c r="BC129" s="7">
        <v>1E-4</v>
      </c>
      <c r="BD129" s="7">
        <v>0</v>
      </c>
      <c r="BE129" s="7">
        <f>VLOOKUP($A129,'1.Sep'!$M$8:$O$1048576,3,0)</f>
        <v>1E-4</v>
      </c>
      <c r="BF129" s="7">
        <f>VLOOKUP($A129,'2.Sep'!$M$8:$O$1048576,3,0)</f>
        <v>1E-4</v>
      </c>
      <c r="BG129" s="7">
        <v>0</v>
      </c>
      <c r="BH129" s="8">
        <f>VLOOKUP($A129,'4.Sep'!$M$8:$O$1048576,3,0)</f>
        <v>1E-4</v>
      </c>
      <c r="BI129" s="8">
        <f>VLOOKUP($A129,'5.Sep'!$M$8:$O$1048576,3,0)</f>
        <v>0</v>
      </c>
      <c r="BJ129" s="8">
        <f>VLOOKUP($A129,'6.Sep'!$M$8:$O$1048576,3,0)</f>
        <v>0</v>
      </c>
      <c r="BK129" s="8">
        <f>VLOOKUP($A129,'7.Sep'!$M$8:$O$1048576,3,0)</f>
        <v>1E-4</v>
      </c>
      <c r="BL129" s="8">
        <v>0</v>
      </c>
      <c r="BM129" s="8">
        <f>VLOOKUP($A129,'9.Sep'!$M$8:$O$1048576,3,0)</f>
        <v>0</v>
      </c>
      <c r="BN129" s="7">
        <v>0</v>
      </c>
      <c r="BO129" s="8">
        <v>0</v>
      </c>
      <c r="BP129" s="7">
        <f>VLOOKUP($A129,'12.Sep'!$M$8:$O$1048576,3,0)</f>
        <v>1E-4</v>
      </c>
      <c r="BQ129" s="7">
        <f>VLOOKUP($A129,'13.Sep'!$M$8:$O$1048576,3,0)</f>
        <v>0</v>
      </c>
      <c r="BR129" s="7">
        <f>VLOOKUP($A129,'14.Sep'!$M$8:$O$1048576,3,0)</f>
        <v>0</v>
      </c>
      <c r="BS129" s="8">
        <v>0</v>
      </c>
      <c r="BT129" s="7">
        <f>VLOOKUP($A129,'16.Sep'!$M$8:$O$1048576,3,0)</f>
        <v>1E-4</v>
      </c>
      <c r="BU129" s="7">
        <f>VLOOKUP($A129,'17.Sep'!$M$8:$O$1048576,3,0)</f>
        <v>1E-4</v>
      </c>
      <c r="BV129" s="7">
        <v>0</v>
      </c>
      <c r="BW129" s="7">
        <f>VLOOKUP($A129,'19.Sep'!$M$8:$O$1048576,3,0)</f>
        <v>0</v>
      </c>
      <c r="BX129" s="8">
        <v>0</v>
      </c>
      <c r="BY129" s="7">
        <f>VLOOKUP($A129,'21.Sep'!$M$8:$O$1048576,3,0)</f>
        <v>1E-4</v>
      </c>
      <c r="BZ129" s="7">
        <f>VLOOKUP($A129,'22.Sep'!$M$8:$O$1048576,3,0)</f>
        <v>1E-4</v>
      </c>
      <c r="CA129" s="7">
        <f>VLOOKUP($A129,'23.Sep'!$M$8:$O$1048576,3,0)</f>
        <v>1E-4</v>
      </c>
      <c r="CB129" s="7">
        <f>VLOOKUP($A129,'24.Sep'!$M$8:$O$1048576,3,0)</f>
        <v>1E-4</v>
      </c>
      <c r="CC129" s="7">
        <f>VLOOKUP($A129,'24.Sep'!$M$8:$O$1048576,3,0)</f>
        <v>1E-4</v>
      </c>
    </row>
    <row r="130" spans="1:81" outlineLevel="1">
      <c r="A130" s="6" t="s">
        <v>17</v>
      </c>
      <c r="B130" s="7">
        <v>0</v>
      </c>
      <c r="C130" s="7">
        <v>0</v>
      </c>
      <c r="D130" s="7">
        <v>5.7142857142857148E-5</v>
      </c>
      <c r="E130" s="7">
        <v>2.142857142857143E-4</v>
      </c>
      <c r="F130" s="7">
        <v>1.7142857142857148E-4</v>
      </c>
      <c r="G130" s="7">
        <v>1.7142857142857145E-4</v>
      </c>
      <c r="H130" s="7">
        <f t="shared" si="37"/>
        <v>1.2857142857142858E-4</v>
      </c>
      <c r="I130" s="7">
        <f t="shared" si="38"/>
        <v>1.0000000000000002E-4</v>
      </c>
      <c r="J130" s="7">
        <f t="shared" si="39"/>
        <v>2.5714285714285715E-4</v>
      </c>
      <c r="K130" s="7">
        <f t="shared" si="35"/>
        <v>2.9999999999999997E-4</v>
      </c>
      <c r="L130" s="7">
        <f t="shared" si="36"/>
        <v>3.3999999999999997E-4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8">
        <v>0</v>
      </c>
      <c r="V130" s="8">
        <v>0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8">
        <v>0</v>
      </c>
      <c r="AC130" s="8">
        <v>0</v>
      </c>
      <c r="AD130" s="8">
        <v>0</v>
      </c>
      <c r="AE130" s="8">
        <v>2.0000000000000001E-4</v>
      </c>
      <c r="AF130" s="8">
        <v>2.0000000000000001E-4</v>
      </c>
      <c r="AG130" s="8">
        <v>2.9999999999999997E-4</v>
      </c>
      <c r="AH130" s="8">
        <v>2.9999999999999997E-4</v>
      </c>
      <c r="AI130" s="8">
        <v>2.0000000000000001E-4</v>
      </c>
      <c r="AJ130" s="8">
        <v>1E-4</v>
      </c>
      <c r="AK130" s="8">
        <v>2.9999999999999997E-4</v>
      </c>
      <c r="AL130" s="8">
        <v>2.0000000000000001E-4</v>
      </c>
      <c r="AM130" s="7">
        <v>1E-4</v>
      </c>
      <c r="AN130" s="7">
        <v>2.0000000000000001E-4</v>
      </c>
      <c r="AO130" s="7">
        <v>2.0000000000000001E-4</v>
      </c>
      <c r="AP130" s="7">
        <v>2.0000000000000001E-4</v>
      </c>
      <c r="AQ130" s="7">
        <v>1E-4</v>
      </c>
      <c r="AR130" s="7">
        <v>1E-4</v>
      </c>
      <c r="AS130" s="7">
        <v>2.0000000000000001E-4</v>
      </c>
      <c r="AT130" s="7">
        <v>2.0000000000000001E-4</v>
      </c>
      <c r="AU130" s="7">
        <v>2.0000000000000001E-4</v>
      </c>
      <c r="AV130" s="7">
        <v>2.0000000000000001E-4</v>
      </c>
      <c r="AW130" s="7">
        <v>1E-4</v>
      </c>
      <c r="AX130" s="7">
        <v>2.9999999999999997E-4</v>
      </c>
      <c r="AY130" s="7">
        <v>1E-4</v>
      </c>
      <c r="AZ130" s="7">
        <v>1E-4</v>
      </c>
      <c r="BA130" s="7">
        <v>2.0000000000000001E-4</v>
      </c>
      <c r="BB130" s="7">
        <v>2.0000000000000001E-4</v>
      </c>
      <c r="BC130" s="7">
        <v>1E-4</v>
      </c>
      <c r="BD130" s="7">
        <v>2.0000000000000001E-4</v>
      </c>
      <c r="BE130" s="7">
        <f>VLOOKUP($A130,'1.Sep'!$M$8:$O$1048576,3,0)</f>
        <v>1E-4</v>
      </c>
      <c r="BF130" s="7">
        <f>VLOOKUP($A130,'2.Sep'!$M$8:$O$1048576,3,0)</f>
        <v>2.0000000000000001E-4</v>
      </c>
      <c r="BG130" s="7">
        <f>VLOOKUP($A130,'3.Sep'!$M$8:$O$1048576,3,0)</f>
        <v>1E-4</v>
      </c>
      <c r="BH130" s="8">
        <v>0</v>
      </c>
      <c r="BI130" s="8">
        <f>VLOOKUP($A130,'5.Sep'!$M$8:$O$1048576,3,0)</f>
        <v>1E-4</v>
      </c>
      <c r="BJ130" s="8">
        <f>VLOOKUP($A130,'6.Sep'!$M$8:$O$1048576,3,0)</f>
        <v>2.0000000000000001E-4</v>
      </c>
      <c r="BK130" s="8">
        <v>0</v>
      </c>
      <c r="BL130" s="8">
        <f>VLOOKUP($A130,'8.Sep'!$M$8:$O$1048576,3,0)</f>
        <v>1E-4</v>
      </c>
      <c r="BM130" s="8">
        <f>VLOOKUP($A130,'9.Sep'!$M$8:$O$1048576,3,0)</f>
        <v>2.0000000000000001E-4</v>
      </c>
      <c r="BN130" s="8">
        <f>VLOOKUP($A130,'10.Sep'!$M$8:$O$1048576,3,0)</f>
        <v>0</v>
      </c>
      <c r="BO130" s="8">
        <f>VLOOKUP($A130,'11.Sep'!$M$8:$O$1048576,3,0)</f>
        <v>1E-4</v>
      </c>
      <c r="BP130" s="7">
        <f>VLOOKUP($A130,'12.Sep'!$M$8:$O$1048576,3,0)</f>
        <v>2.0000000000000001E-4</v>
      </c>
      <c r="BQ130" s="7">
        <f>VLOOKUP($A130,'13.Sep'!$M$8:$O$1048576,3,0)</f>
        <v>1E-4</v>
      </c>
      <c r="BR130" s="7">
        <f>VLOOKUP($A130,'14.Sep'!$M$8:$O$1048576,3,0)</f>
        <v>2.0000000000000001E-4</v>
      </c>
      <c r="BS130" s="7">
        <f>VLOOKUP($A130,'15.Sep'!$M$8:$O$1048576,3,0)</f>
        <v>2.9999999999999997E-4</v>
      </c>
      <c r="BT130" s="7">
        <f>VLOOKUP($A130,'16.Sep'!$M$8:$O$1048576,3,0)</f>
        <v>4.0000000000000002E-4</v>
      </c>
      <c r="BU130" s="7">
        <f>VLOOKUP($A130,'17.Sep'!$M$8:$O$1048576,3,0)</f>
        <v>4.0000000000000002E-4</v>
      </c>
      <c r="BV130" s="7">
        <f>VLOOKUP($A130,'18.Sep'!$M$8:$O$1048576,3,0)</f>
        <v>2.0000000000000001E-4</v>
      </c>
      <c r="BW130" s="7">
        <f>VLOOKUP($A130,'19.Sep'!$M$8:$O$1048576,3,0)</f>
        <v>1E-4</v>
      </c>
      <c r="BX130" s="7">
        <f>VLOOKUP($A130,'20.Sep'!$M$8:$O$1048576,3,0)</f>
        <v>2.0000000000000001E-4</v>
      </c>
      <c r="BY130" s="7">
        <f>VLOOKUP($A130,'21.Sep'!$M$8:$O$1048576,3,0)</f>
        <v>6.9999999999999999E-4</v>
      </c>
      <c r="BZ130" s="7">
        <f>VLOOKUP($A130,'22.Sep'!$M$8:$O$1048576,3,0)</f>
        <v>2.9999999999999997E-4</v>
      </c>
      <c r="CA130" s="7">
        <f>VLOOKUP($A130,'23.Sep'!$M$8:$O$1048576,3,0)</f>
        <v>2.9999999999999997E-4</v>
      </c>
      <c r="CB130" s="7">
        <f>VLOOKUP($A130,'24.Sep'!$M$8:$O$1048576,3,0)</f>
        <v>2.0000000000000001E-4</v>
      </c>
      <c r="CC130" s="7">
        <f>VLOOKUP($A130,'24.Sep'!$M$8:$O$1048576,3,0)</f>
        <v>2.0000000000000001E-4</v>
      </c>
    </row>
    <row r="131" spans="1:81" outlineLevel="1">
      <c r="A131" s="6" t="s">
        <v>18</v>
      </c>
      <c r="B131" s="7">
        <v>0</v>
      </c>
      <c r="C131" s="7">
        <v>0</v>
      </c>
      <c r="D131" s="7">
        <v>7.1428571428571434E-5</v>
      </c>
      <c r="E131" s="7">
        <v>1.1428571428571431E-4</v>
      </c>
      <c r="F131" s="7">
        <v>1.7142857142857145E-4</v>
      </c>
      <c r="G131" s="7">
        <v>2.8571428571428574E-4</v>
      </c>
      <c r="H131" s="7">
        <f t="shared" si="37"/>
        <v>2.7142857142857144E-4</v>
      </c>
      <c r="I131" s="7">
        <f t="shared" si="38"/>
        <v>1.7142857142857145E-4</v>
      </c>
      <c r="J131" s="7">
        <f t="shared" si="39"/>
        <v>2.1428571428571433E-4</v>
      </c>
      <c r="K131" s="7">
        <f t="shared" si="35"/>
        <v>2.9999999999999997E-4</v>
      </c>
      <c r="L131" s="7">
        <f t="shared" si="36"/>
        <v>3.0000000000000003E-4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  <c r="T131" s="8">
        <v>0</v>
      </c>
      <c r="U131" s="8">
        <v>0</v>
      </c>
      <c r="V131" s="8">
        <v>0</v>
      </c>
      <c r="W131" s="8">
        <v>0</v>
      </c>
      <c r="X131" s="8">
        <v>0</v>
      </c>
      <c r="Y131" s="8">
        <v>0</v>
      </c>
      <c r="Z131" s="8">
        <v>0</v>
      </c>
      <c r="AA131" s="8">
        <v>0</v>
      </c>
      <c r="AB131" s="8">
        <v>0</v>
      </c>
      <c r="AC131" s="8">
        <v>0</v>
      </c>
      <c r="AD131" s="8">
        <v>1E-4</v>
      </c>
      <c r="AE131" s="8">
        <v>1E-4</v>
      </c>
      <c r="AF131" s="8">
        <v>2.9999999999999997E-4</v>
      </c>
      <c r="AG131" s="8">
        <v>2.0000000000000001E-4</v>
      </c>
      <c r="AH131" s="8">
        <v>1E-4</v>
      </c>
      <c r="AI131" s="8">
        <v>2.0000000000000001E-4</v>
      </c>
      <c r="AJ131" s="8">
        <v>1E-4</v>
      </c>
      <c r="AK131" s="8">
        <v>1E-4</v>
      </c>
      <c r="AL131" s="8">
        <v>0</v>
      </c>
      <c r="AM131" s="7">
        <v>1E-4</v>
      </c>
      <c r="AN131" s="7">
        <v>2.0000000000000001E-4</v>
      </c>
      <c r="AO131" s="7">
        <v>2.0000000000000001E-4</v>
      </c>
      <c r="AP131" s="7">
        <v>1E-4</v>
      </c>
      <c r="AQ131" s="7">
        <v>2.0000000000000001E-4</v>
      </c>
      <c r="AR131" s="7">
        <v>1E-4</v>
      </c>
      <c r="AS131" s="7">
        <v>2.0000000000000001E-4</v>
      </c>
      <c r="AT131" s="7">
        <v>2.0000000000000001E-4</v>
      </c>
      <c r="AU131" s="7">
        <v>1E-4</v>
      </c>
      <c r="AV131" s="7">
        <v>2.0000000000000001E-4</v>
      </c>
      <c r="AW131" s="7">
        <v>2.0000000000000001E-4</v>
      </c>
      <c r="AX131" s="7">
        <v>4.0000000000000002E-4</v>
      </c>
      <c r="AY131" s="7">
        <v>4.0000000000000002E-4</v>
      </c>
      <c r="AZ131" s="7">
        <v>4.0000000000000002E-4</v>
      </c>
      <c r="BA131" s="7">
        <v>2.9999999999999997E-4</v>
      </c>
      <c r="BB131" s="7">
        <v>4.0000000000000002E-4</v>
      </c>
      <c r="BC131" s="7">
        <v>2.0000000000000001E-4</v>
      </c>
      <c r="BD131" s="7">
        <v>4.0000000000000002E-4</v>
      </c>
      <c r="BE131" s="7">
        <f>VLOOKUP($A131,'1.Sep'!$M$8:$O$1048576,3,0)</f>
        <v>2.0000000000000001E-4</v>
      </c>
      <c r="BF131" s="7">
        <f>VLOOKUP($A131,'2.Sep'!$M$8:$O$1048576,3,0)</f>
        <v>2.0000000000000001E-4</v>
      </c>
      <c r="BG131" s="7">
        <f>VLOOKUP($A131,'3.Sep'!$M$8:$O$1048576,3,0)</f>
        <v>2.0000000000000001E-4</v>
      </c>
      <c r="BH131" s="8">
        <f>VLOOKUP($A131,'4.Sep'!$M$8:$O$1048576,3,0)</f>
        <v>2.9999999999999997E-4</v>
      </c>
      <c r="BI131" s="8">
        <f>VLOOKUP($A131,'5.Sep'!$M$8:$O$1048576,3,0)</f>
        <v>1E-4</v>
      </c>
      <c r="BJ131" s="8">
        <f>VLOOKUP($A131,'6.Sep'!$M$8:$O$1048576,3,0)</f>
        <v>4.0000000000000002E-4</v>
      </c>
      <c r="BK131" s="8">
        <f>VLOOKUP($A131,'7.Sep'!$M$8:$O$1048576,3,0)</f>
        <v>0</v>
      </c>
      <c r="BL131" s="8">
        <f>VLOOKUP($A131,'8.Sep'!$M$8:$O$1048576,3,0)</f>
        <v>2.0000000000000001E-4</v>
      </c>
      <c r="BM131" s="8">
        <f>VLOOKUP($A131,'9.Sep'!$M$8:$O$1048576,3,0)</f>
        <v>1E-4</v>
      </c>
      <c r="BN131" s="8">
        <f>VLOOKUP($A131,'10.Sep'!$M$8:$O$1048576,3,0)</f>
        <v>2.0000000000000001E-4</v>
      </c>
      <c r="BO131" s="8">
        <f>VLOOKUP($A131,'11.Sep'!$M$8:$O$1048576,3,0)</f>
        <v>2.0000000000000001E-4</v>
      </c>
      <c r="BP131" s="7">
        <f>VLOOKUP($A131,'12.Sep'!$M$8:$O$1048576,3,0)</f>
        <v>2.0000000000000001E-4</v>
      </c>
      <c r="BQ131" s="7">
        <f>VLOOKUP($A131,'13.Sep'!$M$8:$O$1048576,3,0)</f>
        <v>2.0000000000000001E-4</v>
      </c>
      <c r="BR131" s="7">
        <f>VLOOKUP($A131,'14.Sep'!$M$8:$O$1048576,3,0)</f>
        <v>2.0000000000000001E-4</v>
      </c>
      <c r="BS131" s="7">
        <f>VLOOKUP($A131,'15.Sep'!$M$8:$O$1048576,3,0)</f>
        <v>2.0000000000000001E-4</v>
      </c>
      <c r="BT131" s="7">
        <f>VLOOKUP($A131,'16.Sep'!$M$8:$O$1048576,3,0)</f>
        <v>2.9999999999999997E-4</v>
      </c>
      <c r="BU131" s="7">
        <f>VLOOKUP($A131,'17.Sep'!$M$8:$O$1048576,3,0)</f>
        <v>2.0000000000000001E-4</v>
      </c>
      <c r="BV131" s="7">
        <f>VLOOKUP($A131,'18.Sep'!$M$8:$O$1048576,3,0)</f>
        <v>2.0000000000000001E-4</v>
      </c>
      <c r="BW131" s="7">
        <f>VLOOKUP($A131,'19.Sep'!$M$8:$O$1048576,3,0)</f>
        <v>2.9999999999999997E-4</v>
      </c>
      <c r="BX131" s="7">
        <f>VLOOKUP($A131,'20.Sep'!$M$8:$O$1048576,3,0)</f>
        <v>5.0000000000000001E-4</v>
      </c>
      <c r="BY131" s="7">
        <f>VLOOKUP($A131,'21.Sep'!$M$8:$O$1048576,3,0)</f>
        <v>2.0000000000000001E-4</v>
      </c>
      <c r="BZ131" s="7">
        <f>VLOOKUP($A131,'22.Sep'!$M$8:$O$1048576,3,0)</f>
        <v>2.9999999999999997E-4</v>
      </c>
      <c r="CA131" s="7">
        <f>VLOOKUP($A131,'23.Sep'!$M$8:$O$1048576,3,0)</f>
        <v>2.0000000000000001E-4</v>
      </c>
      <c r="CB131" s="7">
        <f>VLOOKUP($A131,'24.Sep'!$M$8:$O$1048576,3,0)</f>
        <v>2.9999999999999997E-4</v>
      </c>
      <c r="CC131" s="7">
        <f>VLOOKUP($A131,'24.Sep'!$M$8:$O$1048576,3,0)</f>
        <v>2.9999999999999997E-4</v>
      </c>
    </row>
    <row r="132" spans="1:81" outlineLevel="1">
      <c r="A132" s="6" t="s">
        <v>19</v>
      </c>
      <c r="B132" s="7">
        <v>0</v>
      </c>
      <c r="C132" s="7">
        <v>0</v>
      </c>
      <c r="D132" s="7">
        <v>2.8571428571428574E-5</v>
      </c>
      <c r="E132" s="7">
        <v>8.5714285714285726E-5</v>
      </c>
      <c r="F132" s="7">
        <v>2.8571428571428574E-5</v>
      </c>
      <c r="G132" s="7">
        <v>2.8571428571428574E-5</v>
      </c>
      <c r="H132" s="7">
        <f t="shared" si="37"/>
        <v>7.1428571428571434E-5</v>
      </c>
      <c r="I132" s="7">
        <f t="shared" si="38"/>
        <v>7.1428571428571434E-5</v>
      </c>
      <c r="J132" s="7">
        <f t="shared" si="39"/>
        <v>4.2857142857142863E-5</v>
      </c>
      <c r="K132" s="7">
        <f t="shared" si="35"/>
        <v>6.666666666666667E-5</v>
      </c>
      <c r="L132" s="7">
        <f t="shared" si="36"/>
        <v>6.0000000000000008E-5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0</v>
      </c>
      <c r="S132" s="8">
        <v>0</v>
      </c>
      <c r="T132" s="8">
        <v>0</v>
      </c>
      <c r="U132" s="8">
        <v>0</v>
      </c>
      <c r="V132" s="8">
        <v>0</v>
      </c>
      <c r="W132" s="8">
        <v>0</v>
      </c>
      <c r="X132" s="8">
        <v>0</v>
      </c>
      <c r="Y132" s="8">
        <v>0</v>
      </c>
      <c r="Z132" s="8">
        <v>0</v>
      </c>
      <c r="AA132" s="8">
        <v>0</v>
      </c>
      <c r="AB132" s="8">
        <v>0</v>
      </c>
      <c r="AC132" s="8">
        <v>0</v>
      </c>
      <c r="AD132" s="8">
        <v>1E-4</v>
      </c>
      <c r="AE132" s="8">
        <v>1E-4</v>
      </c>
      <c r="AF132" s="8">
        <v>0</v>
      </c>
      <c r="AG132" s="8">
        <v>1E-4</v>
      </c>
      <c r="AH132" s="8">
        <v>2.0000000000000001E-4</v>
      </c>
      <c r="AI132" s="8">
        <v>0</v>
      </c>
      <c r="AJ132" s="8">
        <v>2.0000000000000001E-4</v>
      </c>
      <c r="AK132" s="8">
        <v>1E-4</v>
      </c>
      <c r="AL132" s="8">
        <v>0</v>
      </c>
      <c r="AM132" s="7">
        <v>0</v>
      </c>
      <c r="AN132" s="7">
        <v>1E-4</v>
      </c>
      <c r="AO132" s="7">
        <v>1E-4</v>
      </c>
      <c r="AP132" s="7">
        <v>0</v>
      </c>
      <c r="AQ132" s="8">
        <v>0</v>
      </c>
      <c r="AR132" s="7">
        <v>0</v>
      </c>
      <c r="AS132" s="8">
        <v>0</v>
      </c>
      <c r="AT132" s="8">
        <v>0</v>
      </c>
      <c r="AU132" s="7">
        <v>1E-4</v>
      </c>
      <c r="AV132" s="7">
        <v>0</v>
      </c>
      <c r="AW132" s="7">
        <v>0</v>
      </c>
      <c r="AX132" s="8">
        <v>0</v>
      </c>
      <c r="AY132" s="7">
        <v>0</v>
      </c>
      <c r="AZ132" s="7">
        <v>1E-4</v>
      </c>
      <c r="BA132" s="8">
        <v>0</v>
      </c>
      <c r="BB132" s="7">
        <v>1E-4</v>
      </c>
      <c r="BC132" s="7">
        <v>0</v>
      </c>
      <c r="BD132" s="7">
        <v>1E-4</v>
      </c>
      <c r="BE132" s="7">
        <v>0</v>
      </c>
      <c r="BF132" s="7">
        <f>VLOOKUP($A132,'2.Sep'!$M$8:$O$1048576,3,0)</f>
        <v>2.0000000000000001E-4</v>
      </c>
      <c r="BG132" s="7">
        <f>VLOOKUP($A132,'3.Sep'!$M$8:$O$1048576,3,0)</f>
        <v>1E-4</v>
      </c>
      <c r="BH132" s="8">
        <v>0</v>
      </c>
      <c r="BI132" s="8">
        <f>VLOOKUP($A132,'5.Sep'!$M$8:$O$1048576,3,0)</f>
        <v>0</v>
      </c>
      <c r="BJ132" s="8">
        <v>0</v>
      </c>
      <c r="BK132" s="8">
        <f>VLOOKUP($A132,'7.Sep'!$M$8:$O$1048576,3,0)</f>
        <v>0</v>
      </c>
      <c r="BL132" s="8">
        <f>VLOOKUP($A132,'8.Sep'!$M$8:$O$1048576,3,0)</f>
        <v>1E-4</v>
      </c>
      <c r="BM132" s="7">
        <v>0</v>
      </c>
      <c r="BN132" s="8">
        <f>VLOOKUP($A132,'10.Sep'!$M$8:$O$1048576,3,0)</f>
        <v>2.9999999999999997E-4</v>
      </c>
      <c r="BO132" s="8">
        <f>VLOOKUP($A132,'11.Sep'!$M$8:$O$1048576,3,0)</f>
        <v>1E-4</v>
      </c>
      <c r="BP132" s="7">
        <f>VLOOKUP($A132,'12.Sep'!$M$8:$O$1048576,3,0)</f>
        <v>1E-4</v>
      </c>
      <c r="BQ132" s="7">
        <f>VLOOKUP($A132,'13.Sep'!$M$8:$O$1048576,3,0)</f>
        <v>0</v>
      </c>
      <c r="BR132" s="8">
        <v>0</v>
      </c>
      <c r="BS132" s="7">
        <f>VLOOKUP($A132,'15.Sep'!$M$8:$O$1048576,3,0)</f>
        <v>0</v>
      </c>
      <c r="BT132" s="7">
        <f>VLOOKUP($A132,'16.Sep'!$M$8:$O$1048576,3,0)</f>
        <v>1E-4</v>
      </c>
      <c r="BU132" s="7">
        <f>VLOOKUP($A132,'17.Sep'!$M$8:$O$1048576,3,0)</f>
        <v>1E-4</v>
      </c>
      <c r="BV132" s="7">
        <f>VLOOKUP($A132,'18.Sep'!$M$8:$O$1048576,3,0)</f>
        <v>0</v>
      </c>
      <c r="BW132" s="7">
        <f>VLOOKUP($A132,'19.Sep'!$M$8:$O$1048576,3,0)</f>
        <v>1E-4</v>
      </c>
      <c r="BX132" s="7">
        <f>VLOOKUP($A132,'20.Sep'!$M$8:$O$1048576,3,0)</f>
        <v>1E-4</v>
      </c>
      <c r="BY132" s="7">
        <v>0</v>
      </c>
      <c r="BZ132" s="7">
        <v>0</v>
      </c>
      <c r="CA132" s="7">
        <f>VLOOKUP($A132,'23.Sep'!$M$8:$O$1048576,3,0)</f>
        <v>1E-4</v>
      </c>
      <c r="CB132" s="7">
        <f>VLOOKUP($A132,'24.Sep'!$M$8:$O$1048576,3,0)</f>
        <v>1E-4</v>
      </c>
      <c r="CC132" s="7">
        <f>VLOOKUP($A132,'24.Sep'!$M$8:$O$1048576,3,0)</f>
        <v>1E-4</v>
      </c>
    </row>
    <row r="133" spans="1:81" outlineLevel="1">
      <c r="A133" s="6" t="s">
        <v>20</v>
      </c>
      <c r="B133" s="7">
        <v>0</v>
      </c>
      <c r="C133" s="7">
        <v>0</v>
      </c>
      <c r="D133" s="7">
        <v>2.8571428571428574E-5</v>
      </c>
      <c r="E133" s="7">
        <v>2.8571428571428574E-5</v>
      </c>
      <c r="F133" s="7">
        <v>8.5714285714285726E-5</v>
      </c>
      <c r="G133" s="7">
        <v>7.1428571428571434E-5</v>
      </c>
      <c r="H133" s="7">
        <f t="shared" si="37"/>
        <v>4.2857142857142863E-5</v>
      </c>
      <c r="I133" s="7">
        <f t="shared" si="38"/>
        <v>1.2857142857142858E-4</v>
      </c>
      <c r="J133" s="7">
        <f t="shared" si="39"/>
        <v>8.5714285714285726E-5</v>
      </c>
      <c r="K133" s="7">
        <f t="shared" si="35"/>
        <v>3.3333333333333335E-5</v>
      </c>
      <c r="L133" s="7">
        <f t="shared" si="36"/>
        <v>4.0000000000000003E-5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  <c r="S133" s="8">
        <v>0</v>
      </c>
      <c r="T133" s="8">
        <v>0</v>
      </c>
      <c r="U133" s="8">
        <v>0</v>
      </c>
      <c r="V133" s="8">
        <v>0</v>
      </c>
      <c r="W133" s="8">
        <v>0</v>
      </c>
      <c r="X133" s="8">
        <v>0</v>
      </c>
      <c r="Y133" s="8">
        <v>0</v>
      </c>
      <c r="Z133" s="8">
        <v>0</v>
      </c>
      <c r="AA133" s="8">
        <v>0</v>
      </c>
      <c r="AB133" s="8">
        <v>0</v>
      </c>
      <c r="AC133" s="8">
        <v>0</v>
      </c>
      <c r="AD133" s="8">
        <v>1E-4</v>
      </c>
      <c r="AE133" s="8">
        <v>1E-4</v>
      </c>
      <c r="AF133" s="8">
        <v>0</v>
      </c>
      <c r="AG133" s="8">
        <v>0</v>
      </c>
      <c r="AH133" s="8">
        <v>0</v>
      </c>
      <c r="AI133" s="8">
        <v>1E-4</v>
      </c>
      <c r="AJ133" s="8">
        <v>0</v>
      </c>
      <c r="AK133" s="8">
        <v>0</v>
      </c>
      <c r="AL133" s="8">
        <v>1E-4</v>
      </c>
      <c r="AM133" s="7">
        <v>0</v>
      </c>
      <c r="AN133" s="7">
        <v>1E-4</v>
      </c>
      <c r="AO133" s="7">
        <v>1E-4</v>
      </c>
      <c r="AP133" s="7">
        <v>1E-4</v>
      </c>
      <c r="AQ133" s="8">
        <v>0</v>
      </c>
      <c r="AR133" s="7">
        <v>1E-4</v>
      </c>
      <c r="AS133" s="7">
        <v>1E-4</v>
      </c>
      <c r="AT133" s="7">
        <v>1E-4</v>
      </c>
      <c r="AU133" s="7">
        <v>1E-4</v>
      </c>
      <c r="AV133" s="8">
        <v>0</v>
      </c>
      <c r="AW133" s="8">
        <v>0</v>
      </c>
      <c r="AX133" s="7">
        <v>2.0000000000000001E-4</v>
      </c>
      <c r="AY133" s="7">
        <v>0</v>
      </c>
      <c r="AZ133" s="7">
        <v>1E-4</v>
      </c>
      <c r="BA133" s="7">
        <v>1E-4</v>
      </c>
      <c r="BB133" s="8">
        <v>0</v>
      </c>
      <c r="BC133" s="7">
        <v>1E-4</v>
      </c>
      <c r="BD133" s="7">
        <v>0</v>
      </c>
      <c r="BE133" s="7">
        <f>VLOOKUP($A133,'1.Sep'!$M$8:$O$1048576,3,0)</f>
        <v>0</v>
      </c>
      <c r="BF133" s="7">
        <f>VLOOKUP($A133,'2.Sep'!$M$8:$O$1048576,3,0)</f>
        <v>1E-4</v>
      </c>
      <c r="BG133" s="7">
        <v>0</v>
      </c>
      <c r="BH133" s="8">
        <f>VLOOKUP($A133,'4.Sep'!$M$8:$O$1048576,3,0)</f>
        <v>1E-4</v>
      </c>
      <c r="BI133" s="8">
        <f>VLOOKUP($A133,'5.Sep'!$M$8:$O$1048576,3,0)</f>
        <v>0</v>
      </c>
      <c r="BJ133" s="8">
        <v>0</v>
      </c>
      <c r="BK133" s="8">
        <f>VLOOKUP($A133,'7.Sep'!$M$8:$O$1048576,3,0)</f>
        <v>5.9999999999999995E-4</v>
      </c>
      <c r="BL133" s="8">
        <f>VLOOKUP($A133,'8.Sep'!$M$8:$O$1048576,3,0)</f>
        <v>0</v>
      </c>
      <c r="BM133" s="8">
        <f>VLOOKUP($A133,'9.Sep'!$M$8:$O$1048576,3,0)</f>
        <v>2.0000000000000001E-4</v>
      </c>
      <c r="BN133" s="8">
        <f>VLOOKUP($A133,'10.Sep'!$M$8:$O$1048576,3,0)</f>
        <v>0</v>
      </c>
      <c r="BO133" s="8">
        <f>VLOOKUP($A133,'11.Sep'!$M$8:$O$1048576,3,0)</f>
        <v>1E-4</v>
      </c>
      <c r="BP133" s="7">
        <f>VLOOKUP($A133,'12.Sep'!$M$8:$O$1048576,3,0)</f>
        <v>1E-4</v>
      </c>
      <c r="BQ133" s="7">
        <f>VLOOKUP($A133,'13.Sep'!$M$8:$O$1048576,3,0)</f>
        <v>0</v>
      </c>
      <c r="BR133" s="7">
        <f>VLOOKUP($A133,'14.Sep'!$M$8:$O$1048576,3,0)</f>
        <v>1E-4</v>
      </c>
      <c r="BS133" s="7">
        <f>VLOOKUP($A133,'15.Sep'!$M$8:$O$1048576,3,0)</f>
        <v>1E-4</v>
      </c>
      <c r="BT133" s="7">
        <f>VLOOKUP($A133,'16.Sep'!$M$8:$O$1048576,3,0)</f>
        <v>1E-4</v>
      </c>
      <c r="BU133" s="7">
        <f>VLOOKUP($A133,'17.Sep'!$M$8:$O$1048576,3,0)</f>
        <v>0</v>
      </c>
      <c r="BV133" s="7">
        <f>VLOOKUP($A133,'18.Sep'!$M$8:$O$1048576,3,0)</f>
        <v>2.0000000000000001E-4</v>
      </c>
      <c r="BW133" s="7">
        <f>VLOOKUP($A133,'19.Sep'!$M$8:$O$1048576,3,0)</f>
        <v>0</v>
      </c>
      <c r="BX133" s="7">
        <f>VLOOKUP($A133,'20.Sep'!$M$8:$O$1048576,3,0)</f>
        <v>1E-4</v>
      </c>
      <c r="BY133" s="7">
        <v>0</v>
      </c>
      <c r="BZ133" s="7">
        <v>0</v>
      </c>
      <c r="CA133" s="7">
        <v>0</v>
      </c>
      <c r="CB133" s="7">
        <f>VLOOKUP($A133,'24.Sep'!$M$8:$O$1048576,3,0)</f>
        <v>1E-4</v>
      </c>
      <c r="CC133" s="7">
        <f>VLOOKUP($A133,'24.Sep'!$M$8:$O$1048576,3,0)</f>
        <v>1E-4</v>
      </c>
    </row>
    <row r="134" spans="1:81" outlineLevel="1">
      <c r="A134" s="6" t="s">
        <v>21</v>
      </c>
      <c r="B134" s="7">
        <v>0</v>
      </c>
      <c r="C134" s="7">
        <v>0</v>
      </c>
      <c r="D134" s="7">
        <v>1.1428571428571427E-4</v>
      </c>
      <c r="E134" s="7">
        <v>3.5714285714285709E-4</v>
      </c>
      <c r="F134" s="7">
        <v>1.0000000000000002E-4</v>
      </c>
      <c r="G134" s="7">
        <v>2.1428571428571433E-4</v>
      </c>
      <c r="H134" s="7">
        <f t="shared" si="37"/>
        <v>1.1428571428571431E-4</v>
      </c>
      <c r="I134" s="7">
        <f t="shared" si="38"/>
        <v>1.2857142857142858E-4</v>
      </c>
      <c r="J134" s="7">
        <f t="shared" si="39"/>
        <v>1.7142857142857145E-4</v>
      </c>
      <c r="K134" s="7">
        <f t="shared" si="35"/>
        <v>1.5000000000000001E-4</v>
      </c>
      <c r="L134" s="7">
        <f t="shared" si="36"/>
        <v>1.4000000000000001E-4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0</v>
      </c>
      <c r="W134" s="8">
        <v>0</v>
      </c>
      <c r="X134" s="8">
        <v>0</v>
      </c>
      <c r="Y134" s="8">
        <v>0</v>
      </c>
      <c r="Z134" s="8">
        <v>0</v>
      </c>
      <c r="AA134" s="8">
        <v>0</v>
      </c>
      <c r="AB134" s="8">
        <v>0</v>
      </c>
      <c r="AC134" s="8">
        <v>0</v>
      </c>
      <c r="AD134" s="8">
        <v>2.9999999999999997E-4</v>
      </c>
      <c r="AE134" s="8">
        <v>2.0000000000000001E-4</v>
      </c>
      <c r="AF134" s="8">
        <v>2.9999999999999997E-4</v>
      </c>
      <c r="AG134" s="8">
        <v>6.9999999999999999E-4</v>
      </c>
      <c r="AH134" s="8">
        <v>1.1000000000000001E-3</v>
      </c>
      <c r="AI134" s="8">
        <v>2.0000000000000001E-4</v>
      </c>
      <c r="AJ134" s="8">
        <v>1E-4</v>
      </c>
      <c r="AK134" s="8">
        <v>1E-4</v>
      </c>
      <c r="AL134" s="8">
        <v>2.0000000000000001E-4</v>
      </c>
      <c r="AM134" s="7">
        <v>1E-4</v>
      </c>
      <c r="AN134" s="7">
        <v>1E-4</v>
      </c>
      <c r="AO134" s="7">
        <v>1E-4</v>
      </c>
      <c r="AP134" s="7">
        <v>1E-4</v>
      </c>
      <c r="AQ134" s="7">
        <v>1E-4</v>
      </c>
      <c r="AR134" s="7">
        <v>2.0000000000000001E-4</v>
      </c>
      <c r="AS134" s="7">
        <v>1E-4</v>
      </c>
      <c r="AT134" s="8">
        <v>0</v>
      </c>
      <c r="AU134" s="7">
        <v>2.9999999999999997E-4</v>
      </c>
      <c r="AV134" s="7">
        <v>1E-4</v>
      </c>
      <c r="AW134" s="7">
        <v>2.0000000000000001E-4</v>
      </c>
      <c r="AX134" s="7">
        <v>4.0000000000000002E-4</v>
      </c>
      <c r="AY134" s="7">
        <v>2.0000000000000001E-4</v>
      </c>
      <c r="AZ134" s="7">
        <v>1E-4</v>
      </c>
      <c r="BA134" s="7">
        <v>2.0000000000000001E-4</v>
      </c>
      <c r="BB134" s="7">
        <v>1E-4</v>
      </c>
      <c r="BC134" s="7">
        <v>1E-4</v>
      </c>
      <c r="BD134" s="7">
        <v>1E-4</v>
      </c>
      <c r="BE134" s="7">
        <f>VLOOKUP($A134,'1.Sep'!$M$8:$O$1048576,3,0)</f>
        <v>1E-4</v>
      </c>
      <c r="BF134" s="7">
        <f>VLOOKUP($A134,'2.Sep'!$M$8:$O$1048576,3,0)</f>
        <v>2.0000000000000001E-4</v>
      </c>
      <c r="BG134" s="7">
        <f>VLOOKUP($A134,'3.Sep'!$M$8:$O$1048576,3,0)</f>
        <v>1E-4</v>
      </c>
      <c r="BH134" s="8">
        <f>VLOOKUP($A134,'4.Sep'!$M$8:$O$1048576,3,0)</f>
        <v>1E-4</v>
      </c>
      <c r="BI134" s="8">
        <f>VLOOKUP($A134,'5.Sep'!$M$8:$O$1048576,3,0)</f>
        <v>2.9999999999999997E-4</v>
      </c>
      <c r="BJ134" s="8">
        <f>VLOOKUP($A134,'6.Sep'!$M$8:$O$1048576,3,0)</f>
        <v>0</v>
      </c>
      <c r="BK134" s="8">
        <f>VLOOKUP($A134,'7.Sep'!$M$8:$O$1048576,3,0)</f>
        <v>2.0000000000000001E-4</v>
      </c>
      <c r="BL134" s="8">
        <f>VLOOKUP($A134,'8.Sep'!$M$8:$O$1048576,3,0)</f>
        <v>1E-4</v>
      </c>
      <c r="BM134" s="8">
        <f>VLOOKUP($A134,'9.Sep'!$M$8:$O$1048576,3,0)</f>
        <v>1E-4</v>
      </c>
      <c r="BN134" s="8">
        <f>VLOOKUP($A134,'10.Sep'!$M$8:$O$1048576,3,0)</f>
        <v>2.0000000000000001E-4</v>
      </c>
      <c r="BO134" s="8">
        <f>VLOOKUP($A134,'11.Sep'!$M$8:$O$1048576,3,0)</f>
        <v>0</v>
      </c>
      <c r="BP134" s="7">
        <f>VLOOKUP($A134,'12.Sep'!$M$8:$O$1048576,3,0)</f>
        <v>2.0000000000000001E-4</v>
      </c>
      <c r="BQ134" s="7">
        <f>VLOOKUP($A134,'13.Sep'!$M$8:$O$1048576,3,0)</f>
        <v>2.0000000000000001E-4</v>
      </c>
      <c r="BR134" s="7">
        <f>VLOOKUP($A134,'14.Sep'!$M$8:$O$1048576,3,0)</f>
        <v>2.0000000000000001E-4</v>
      </c>
      <c r="BS134" s="7">
        <f>VLOOKUP($A134,'15.Sep'!$M$8:$O$1048576,3,0)</f>
        <v>1E-4</v>
      </c>
      <c r="BT134" s="7">
        <f>VLOOKUP($A134,'16.Sep'!$M$8:$O$1048576,3,0)</f>
        <v>2.0000000000000001E-4</v>
      </c>
      <c r="BU134" s="7">
        <f>VLOOKUP($A134,'17.Sep'!$M$8:$O$1048576,3,0)</f>
        <v>1E-4</v>
      </c>
      <c r="BV134" s="7">
        <f>VLOOKUP($A134,'18.Sep'!$M$8:$O$1048576,3,0)</f>
        <v>2.0000000000000001E-4</v>
      </c>
      <c r="BW134" s="7">
        <f>VLOOKUP($A134,'19.Sep'!$M$8:$O$1048576,3,0)</f>
        <v>2.0000000000000001E-4</v>
      </c>
      <c r="BX134" s="7">
        <f>VLOOKUP($A134,'20.Sep'!$M$8:$O$1048576,3,0)</f>
        <v>2.0000000000000001E-4</v>
      </c>
      <c r="BY134" s="7">
        <f>VLOOKUP($A134,'21.Sep'!$M$8:$O$1048576,3,0)</f>
        <v>1E-4</v>
      </c>
      <c r="BZ134" s="7">
        <f>VLOOKUP($A134,'22.Sep'!$M$8:$O$1048576,3,0)</f>
        <v>1E-4</v>
      </c>
      <c r="CA134" s="7">
        <f>VLOOKUP($A134,'23.Sep'!$M$8:$O$1048576,3,0)</f>
        <v>2.0000000000000001E-4</v>
      </c>
      <c r="CB134" s="7">
        <f>VLOOKUP($A134,'24.Sep'!$M$8:$O$1048576,3,0)</f>
        <v>1E-4</v>
      </c>
      <c r="CC134" s="7">
        <f>VLOOKUP($A134,'24.Sep'!$M$8:$O$1048576,3,0)</f>
        <v>1E-4</v>
      </c>
    </row>
    <row r="135" spans="1:81" outlineLevel="1">
      <c r="A135" s="6" t="s">
        <v>22</v>
      </c>
      <c r="B135" s="7">
        <v>0</v>
      </c>
      <c r="C135" s="7">
        <v>0</v>
      </c>
      <c r="D135" s="7">
        <v>5.7142857142857135E-5</v>
      </c>
      <c r="E135" s="7">
        <v>1.1428571428571427E-4</v>
      </c>
      <c r="F135" s="7">
        <v>1.5714285714285716E-4</v>
      </c>
      <c r="G135" s="7">
        <v>2.8571428571428574E-4</v>
      </c>
      <c r="H135" s="7">
        <f t="shared" si="37"/>
        <v>2.142857142857143E-4</v>
      </c>
      <c r="I135" s="7">
        <f t="shared" si="38"/>
        <v>2.5714285714285715E-4</v>
      </c>
      <c r="J135" s="7">
        <f t="shared" si="39"/>
        <v>2.142857142857143E-4</v>
      </c>
      <c r="K135" s="7">
        <f t="shared" si="35"/>
        <v>1.4999999999999999E-4</v>
      </c>
      <c r="L135" s="7">
        <f t="shared" si="36"/>
        <v>1.4000000000000001E-4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8">
        <v>0</v>
      </c>
      <c r="V135" s="8">
        <v>0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8">
        <v>0</v>
      </c>
      <c r="AC135" s="8">
        <v>0</v>
      </c>
      <c r="AD135" s="8">
        <v>2.9999999999999997E-4</v>
      </c>
      <c r="AE135" s="8">
        <v>1E-4</v>
      </c>
      <c r="AF135" s="8">
        <v>0</v>
      </c>
      <c r="AG135" s="8">
        <v>0</v>
      </c>
      <c r="AH135" s="8">
        <v>2.0000000000000001E-4</v>
      </c>
      <c r="AI135" s="8">
        <v>1E-4</v>
      </c>
      <c r="AJ135" s="8">
        <v>0</v>
      </c>
      <c r="AK135" s="8">
        <v>1E-4</v>
      </c>
      <c r="AL135" s="8">
        <v>1E-4</v>
      </c>
      <c r="AM135" s="7">
        <v>2.9999999999999997E-4</v>
      </c>
      <c r="AN135" s="7">
        <v>2.0000000000000001E-4</v>
      </c>
      <c r="AO135" s="7">
        <v>2.0000000000000001E-4</v>
      </c>
      <c r="AP135" s="7">
        <v>2.9999999999999997E-4</v>
      </c>
      <c r="AQ135" s="8">
        <v>0</v>
      </c>
      <c r="AR135" s="7">
        <v>2.0000000000000001E-4</v>
      </c>
      <c r="AS135" s="7">
        <v>1E-4</v>
      </c>
      <c r="AT135" s="7">
        <v>1E-4</v>
      </c>
      <c r="AU135" s="7">
        <v>1E-4</v>
      </c>
      <c r="AV135" s="7">
        <v>2.0000000000000001E-4</v>
      </c>
      <c r="AW135" s="7">
        <v>2.0000000000000001E-4</v>
      </c>
      <c r="AX135" s="7">
        <v>4.0000000000000002E-4</v>
      </c>
      <c r="AY135" s="7">
        <v>5.0000000000000001E-4</v>
      </c>
      <c r="AZ135" s="7">
        <v>2.9999999999999997E-4</v>
      </c>
      <c r="BA135" s="7">
        <v>2.9999999999999997E-4</v>
      </c>
      <c r="BB135" s="7">
        <v>2.0000000000000001E-4</v>
      </c>
      <c r="BC135" s="7">
        <v>0</v>
      </c>
      <c r="BD135" s="7">
        <v>4.0000000000000002E-4</v>
      </c>
      <c r="BE135" s="7">
        <f>VLOOKUP($A135,'1.Sep'!$M$8:$O$1048576,3,0)</f>
        <v>2.9999999999999997E-4</v>
      </c>
      <c r="BF135" s="7">
        <f>VLOOKUP($A135,'2.Sep'!$M$8:$O$1048576,3,0)</f>
        <v>1E-4</v>
      </c>
      <c r="BG135" s="7">
        <f>VLOOKUP($A135,'3.Sep'!$M$8:$O$1048576,3,0)</f>
        <v>2.9999999999999997E-4</v>
      </c>
      <c r="BH135" s="8">
        <f>VLOOKUP($A135,'4.Sep'!$M$8:$O$1048576,3,0)</f>
        <v>2.0000000000000001E-4</v>
      </c>
      <c r="BI135" s="8">
        <f>VLOOKUP($A135,'5.Sep'!$M$8:$O$1048576,3,0)</f>
        <v>2.0000000000000001E-4</v>
      </c>
      <c r="BJ135" s="8">
        <f>VLOOKUP($A135,'6.Sep'!$M$8:$O$1048576,3,0)</f>
        <v>2.9999999999999997E-4</v>
      </c>
      <c r="BK135" s="8">
        <f>VLOOKUP($A135,'7.Sep'!$M$8:$O$1048576,3,0)</f>
        <v>1E-4</v>
      </c>
      <c r="BL135" s="8">
        <f>VLOOKUP($A135,'8.Sep'!$M$8:$O$1048576,3,0)</f>
        <v>5.9999999999999995E-4</v>
      </c>
      <c r="BM135" s="8">
        <f>VLOOKUP($A135,'9.Sep'!$M$8:$O$1048576,3,0)</f>
        <v>1E-4</v>
      </c>
      <c r="BN135" s="8">
        <f>VLOOKUP($A135,'10.Sep'!$M$8:$O$1048576,3,0)</f>
        <v>1E-4</v>
      </c>
      <c r="BO135" s="8">
        <f>VLOOKUP($A135,'11.Sep'!$M$8:$O$1048576,3,0)</f>
        <v>4.0000000000000002E-4</v>
      </c>
      <c r="BP135" s="7">
        <f>VLOOKUP($A135,'12.Sep'!$M$8:$O$1048576,3,0)</f>
        <v>2.9999999999999997E-4</v>
      </c>
      <c r="BQ135" s="7">
        <f>VLOOKUP($A135,'13.Sep'!$M$8:$O$1048576,3,0)</f>
        <v>5.0000000000000001E-4</v>
      </c>
      <c r="BR135" s="7">
        <f>VLOOKUP($A135,'14.Sep'!$M$8:$O$1048576,3,0)</f>
        <v>2.9999999999999997E-4</v>
      </c>
      <c r="BS135" s="7">
        <f>VLOOKUP($A135,'15.Sep'!$M$8:$O$1048576,3,0)</f>
        <v>1E-4</v>
      </c>
      <c r="BT135" s="7">
        <f>VLOOKUP($A135,'16.Sep'!$M$8:$O$1048576,3,0)</f>
        <v>1E-4</v>
      </c>
      <c r="BU135" s="7">
        <f>VLOOKUP($A135,'17.Sep'!$M$8:$O$1048576,3,0)</f>
        <v>1E-4</v>
      </c>
      <c r="BV135" s="7">
        <f>VLOOKUP($A135,'18.Sep'!$M$8:$O$1048576,3,0)</f>
        <v>1E-4</v>
      </c>
      <c r="BW135" s="7">
        <f>VLOOKUP($A135,'19.Sep'!$M$8:$O$1048576,3,0)</f>
        <v>2.0000000000000001E-4</v>
      </c>
      <c r="BX135" s="7">
        <f>VLOOKUP($A135,'20.Sep'!$M$8:$O$1048576,3,0)</f>
        <v>1E-4</v>
      </c>
      <c r="BY135" s="7">
        <f>VLOOKUP($A135,'21.Sep'!$M$8:$O$1048576,3,0)</f>
        <v>1E-4</v>
      </c>
      <c r="BZ135" s="7">
        <f>VLOOKUP($A135,'22.Sep'!$M$8:$O$1048576,3,0)</f>
        <v>1E-4</v>
      </c>
      <c r="CA135" s="7">
        <f>VLOOKUP($A135,'23.Sep'!$M$8:$O$1048576,3,0)</f>
        <v>2.9999999999999997E-4</v>
      </c>
      <c r="CB135" s="7">
        <f>VLOOKUP($A135,'24.Sep'!$M$8:$O$1048576,3,0)</f>
        <v>1E-4</v>
      </c>
      <c r="CC135" s="7">
        <f>VLOOKUP($A135,'24.Sep'!$M$8:$O$1048576,3,0)</f>
        <v>1E-4</v>
      </c>
    </row>
    <row r="136" spans="1:81" outlineLevel="1">
      <c r="A136" s="6" t="s">
        <v>23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f t="shared" si="37"/>
        <v>4.2857142857142856E-5</v>
      </c>
      <c r="I136" s="7">
        <f t="shared" si="38"/>
        <v>3.5714285714285714E-4</v>
      </c>
      <c r="J136" s="7">
        <f t="shared" si="39"/>
        <v>7.1428571428571434E-5</v>
      </c>
      <c r="K136" s="7">
        <f t="shared" si="35"/>
        <v>0</v>
      </c>
      <c r="L136" s="7">
        <f t="shared" si="36"/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  <c r="S136" s="8">
        <v>0</v>
      </c>
      <c r="T136" s="8">
        <v>0</v>
      </c>
      <c r="U136" s="8">
        <v>0</v>
      </c>
      <c r="V136" s="8">
        <v>0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8">
        <v>0</v>
      </c>
      <c r="AC136" s="8">
        <v>0</v>
      </c>
      <c r="AD136" s="8">
        <v>0</v>
      </c>
      <c r="AE136" s="8">
        <v>0</v>
      </c>
      <c r="AF136" s="8">
        <v>0</v>
      </c>
      <c r="AG136" s="8">
        <v>0</v>
      </c>
      <c r="AH136" s="8">
        <v>0</v>
      </c>
      <c r="AI136" s="8">
        <v>0</v>
      </c>
      <c r="AJ136" s="8">
        <v>0</v>
      </c>
      <c r="AK136" s="8">
        <v>0</v>
      </c>
      <c r="AL136" s="8">
        <v>0</v>
      </c>
      <c r="AM136" s="7">
        <v>0</v>
      </c>
      <c r="AN136" s="8">
        <v>0</v>
      </c>
      <c r="AO136" s="8">
        <v>0</v>
      </c>
      <c r="AP136" s="8">
        <v>0</v>
      </c>
      <c r="AQ136" s="8">
        <v>0</v>
      </c>
      <c r="AR136" s="7">
        <v>0</v>
      </c>
      <c r="AS136" s="8">
        <v>0</v>
      </c>
      <c r="AT136" s="8">
        <v>0</v>
      </c>
      <c r="AU136" s="8">
        <v>0</v>
      </c>
      <c r="AV136" s="8">
        <v>0</v>
      </c>
      <c r="AW136" s="8">
        <v>0</v>
      </c>
      <c r="AX136" s="8">
        <v>0</v>
      </c>
      <c r="AY136" s="8">
        <v>0</v>
      </c>
      <c r="AZ136" s="8">
        <v>0</v>
      </c>
      <c r="BA136" s="8">
        <v>0</v>
      </c>
      <c r="BB136" s="8">
        <v>0</v>
      </c>
      <c r="BC136" s="8">
        <v>0</v>
      </c>
      <c r="BD136" s="7">
        <v>0</v>
      </c>
      <c r="BE136" s="7">
        <f>VLOOKUP($A136,'1.Sep'!$M$8:$O$1048576,3,0)</f>
        <v>0</v>
      </c>
      <c r="BF136" s="7">
        <v>0</v>
      </c>
      <c r="BG136" s="7">
        <v>0</v>
      </c>
      <c r="BH136" s="8">
        <f>VLOOKUP($A136,'4.Sep'!$M$8:$O$1048576,3,0)</f>
        <v>2.9999999999999997E-4</v>
      </c>
      <c r="BI136" s="8">
        <f>VLOOKUP($A136,'5.Sep'!$M$8:$O$1048576,3,0)</f>
        <v>1.1999999999999999E-3</v>
      </c>
      <c r="BJ136" s="8">
        <f>VLOOKUP($A136,'6.Sep'!$M$8:$O$1048576,3,0)</f>
        <v>0</v>
      </c>
      <c r="BK136" s="8">
        <f>VLOOKUP($A136,'7.Sep'!$M$8:$O$1048576,3,0)</f>
        <v>5.0000000000000001E-4</v>
      </c>
      <c r="BL136" s="8">
        <v>0</v>
      </c>
      <c r="BM136" s="8">
        <f>VLOOKUP($A136,'9.Sep'!$M$8:$O$1048576,3,0)</f>
        <v>8.0000000000000004E-4</v>
      </c>
      <c r="BN136" s="7">
        <v>0</v>
      </c>
      <c r="BO136" s="8">
        <f>VLOOKUP($A136,'11.Sep'!$M$8:$O$1048576,3,0)</f>
        <v>0</v>
      </c>
      <c r="BP136" s="7">
        <f>VLOOKUP($A136,'12.Sep'!$M$8:$O$1048576,3,0)</f>
        <v>5.0000000000000001E-4</v>
      </c>
      <c r="BQ136" s="7">
        <v>0</v>
      </c>
      <c r="BR136" s="8">
        <v>0</v>
      </c>
      <c r="BS136" s="7">
        <f>VLOOKUP($A136,'15.Sep'!$M$8:$O$1048576,3,0)</f>
        <v>0</v>
      </c>
      <c r="BT136" s="8">
        <v>0</v>
      </c>
      <c r="BU136" s="8">
        <v>0</v>
      </c>
      <c r="BV136" s="7">
        <v>0</v>
      </c>
      <c r="BW136" s="8">
        <v>0</v>
      </c>
      <c r="BX136" s="8">
        <v>0</v>
      </c>
      <c r="BY136" s="7">
        <v>0</v>
      </c>
      <c r="BZ136" s="7">
        <v>0</v>
      </c>
      <c r="CA136" s="7">
        <v>0</v>
      </c>
      <c r="CB136" s="7">
        <v>0</v>
      </c>
      <c r="CC136" s="7">
        <v>0</v>
      </c>
    </row>
    <row r="137" spans="1:81" outlineLevel="1">
      <c r="A137" s="6" t="s">
        <v>24</v>
      </c>
      <c r="B137" s="7">
        <v>0</v>
      </c>
      <c r="C137" s="7">
        <v>0</v>
      </c>
      <c r="D137" s="7">
        <v>0</v>
      </c>
      <c r="E137" s="7">
        <v>1.8571428571428574E-4</v>
      </c>
      <c r="F137" s="7">
        <v>5.7142857142857148E-5</v>
      </c>
      <c r="G137" s="7">
        <v>5.7142857142857148E-5</v>
      </c>
      <c r="H137" s="7">
        <f t="shared" si="37"/>
        <v>8.5714285714285726E-5</v>
      </c>
      <c r="I137" s="7">
        <f t="shared" si="38"/>
        <v>8.5714285714285726E-5</v>
      </c>
      <c r="J137" s="7">
        <f t="shared" si="39"/>
        <v>4.2857142857142863E-5</v>
      </c>
      <c r="K137" s="7">
        <f t="shared" si="35"/>
        <v>6.666666666666667E-5</v>
      </c>
      <c r="L137" s="7">
        <f t="shared" si="36"/>
        <v>8.0000000000000007E-5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D137" s="8">
        <v>0</v>
      </c>
      <c r="AE137" s="8">
        <v>0</v>
      </c>
      <c r="AF137" s="8">
        <v>0</v>
      </c>
      <c r="AG137" s="8">
        <v>1E-4</v>
      </c>
      <c r="AH137" s="8">
        <v>1E-4</v>
      </c>
      <c r="AI137" s="8">
        <v>1E-4</v>
      </c>
      <c r="AJ137" s="8">
        <v>1E-4</v>
      </c>
      <c r="AK137" s="8">
        <v>1E-4</v>
      </c>
      <c r="AL137" s="8">
        <v>6.9999999999999999E-4</v>
      </c>
      <c r="AM137" s="7">
        <v>1E-4</v>
      </c>
      <c r="AN137" s="7">
        <v>1E-4</v>
      </c>
      <c r="AO137" s="7">
        <v>1E-4</v>
      </c>
      <c r="AP137" s="7">
        <v>0</v>
      </c>
      <c r="AQ137" s="7">
        <v>0</v>
      </c>
      <c r="AR137" s="7">
        <v>1E-4</v>
      </c>
      <c r="AS137" s="7">
        <v>1E-4</v>
      </c>
      <c r="AT137" s="8">
        <v>0</v>
      </c>
      <c r="AU137" s="7">
        <v>2.0000000000000001E-4</v>
      </c>
      <c r="AV137" s="8">
        <v>0</v>
      </c>
      <c r="AW137" s="8">
        <v>0</v>
      </c>
      <c r="AX137" s="8">
        <v>0</v>
      </c>
      <c r="AY137" s="7">
        <v>0</v>
      </c>
      <c r="AZ137" s="7">
        <v>2.0000000000000001E-4</v>
      </c>
      <c r="BA137" s="8">
        <v>0</v>
      </c>
      <c r="BB137" s="7">
        <v>0</v>
      </c>
      <c r="BC137" s="7">
        <v>1E-4</v>
      </c>
      <c r="BD137" s="7">
        <v>1E-4</v>
      </c>
      <c r="BE137" s="7">
        <f>VLOOKUP($A137,'1.Sep'!$M$8:$O$1048576,3,0)</f>
        <v>1E-4</v>
      </c>
      <c r="BF137" s="7">
        <f>VLOOKUP($A137,'2.Sep'!$M$8:$O$1048576,3,0)</f>
        <v>0</v>
      </c>
      <c r="BG137" s="7">
        <f>VLOOKUP($A137,'3.Sep'!$M$8:$O$1048576,3,0)</f>
        <v>2.0000000000000001E-4</v>
      </c>
      <c r="BH137" s="8">
        <f>VLOOKUP($A137,'4.Sep'!$M$8:$O$1048576,3,0)</f>
        <v>1E-4</v>
      </c>
      <c r="BI137" s="8">
        <f>VLOOKUP($A137,'5.Sep'!$M$8:$O$1048576,3,0)</f>
        <v>2.0000000000000001E-4</v>
      </c>
      <c r="BJ137" s="8">
        <v>0</v>
      </c>
      <c r="BK137" s="8">
        <f>VLOOKUP($A137,'7.Sep'!$M$8:$O$1048576,3,0)</f>
        <v>0</v>
      </c>
      <c r="BL137" s="8">
        <f>VLOOKUP($A137,'8.Sep'!$M$8:$O$1048576,3,0)</f>
        <v>1E-4</v>
      </c>
      <c r="BM137" s="8">
        <f>VLOOKUP($A137,'9.Sep'!$M$8:$O$1048576,3,0)</f>
        <v>1E-4</v>
      </c>
      <c r="BN137" s="8">
        <f>VLOOKUP($A137,'10.Sep'!$M$8:$O$1048576,3,0)</f>
        <v>1E-4</v>
      </c>
      <c r="BO137" s="8">
        <f>VLOOKUP($A137,'11.Sep'!$M$8:$O$1048576,3,0)</f>
        <v>1E-4</v>
      </c>
      <c r="BP137" s="7">
        <v>0</v>
      </c>
      <c r="BQ137" s="7">
        <f>VLOOKUP($A137,'13.Sep'!$M$8:$O$1048576,3,0)</f>
        <v>1E-4</v>
      </c>
      <c r="BR137" s="8">
        <v>0</v>
      </c>
      <c r="BS137" s="7">
        <f>VLOOKUP($A137,'15.Sep'!$M$8:$O$1048576,3,0)</f>
        <v>0</v>
      </c>
      <c r="BT137" s="8">
        <v>0</v>
      </c>
      <c r="BU137" s="7">
        <f>VLOOKUP($A137,'17.Sep'!$M$8:$O$1048576,3,0)</f>
        <v>1E-4</v>
      </c>
      <c r="BV137" s="7">
        <f>VLOOKUP($A137,'18.Sep'!$M$8:$O$1048576,3,0)</f>
        <v>1E-4</v>
      </c>
      <c r="BW137" s="7">
        <f>VLOOKUP($A137,'19.Sep'!$M$8:$O$1048576,3,0)</f>
        <v>0</v>
      </c>
      <c r="BX137" s="7">
        <f>VLOOKUP($A137,'20.Sep'!$M$8:$O$1048576,3,0)</f>
        <v>2.0000000000000001E-4</v>
      </c>
      <c r="BY137" s="7">
        <v>0</v>
      </c>
      <c r="BZ137" s="7">
        <f>VLOOKUP($A137,'22.Sep'!$M$8:$O$1048576,3,0)</f>
        <v>1E-4</v>
      </c>
      <c r="CA137" s="7">
        <f>VLOOKUP($A137,'23.Sep'!$M$8:$O$1048576,3,0)</f>
        <v>1E-4</v>
      </c>
      <c r="CB137" s="7">
        <f>VLOOKUP($A137,'24.Sep'!$M$8:$O$1048576,3,0)</f>
        <v>0</v>
      </c>
      <c r="CC137" s="7">
        <f>VLOOKUP($A137,'24.Sep'!$M$8:$O$1048576,3,0)</f>
        <v>0</v>
      </c>
    </row>
    <row r="138" spans="1:81" outlineLevel="1">
      <c r="A138" s="6" t="s">
        <v>25</v>
      </c>
      <c r="B138" s="7">
        <v>0</v>
      </c>
      <c r="C138" s="7">
        <v>0</v>
      </c>
      <c r="D138" s="7">
        <v>2.8571428571428574E-5</v>
      </c>
      <c r="E138" s="7">
        <v>7.1428571428571434E-5</v>
      </c>
      <c r="F138" s="7">
        <v>4.2857142857142863E-5</v>
      </c>
      <c r="G138" s="7">
        <v>1.4285714285714287E-5</v>
      </c>
      <c r="H138" s="7">
        <f t="shared" si="37"/>
        <v>5.7142857142857148E-5</v>
      </c>
      <c r="I138" s="7">
        <f t="shared" si="38"/>
        <v>5.7142857142857148E-5</v>
      </c>
      <c r="J138" s="7">
        <f t="shared" si="39"/>
        <v>2.8571428571428574E-5</v>
      </c>
      <c r="K138" s="7">
        <f t="shared" si="35"/>
        <v>1.6666666666666667E-5</v>
      </c>
      <c r="L138" s="7">
        <f t="shared" si="36"/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  <c r="T138" s="8">
        <v>0</v>
      </c>
      <c r="U138" s="8">
        <v>0</v>
      </c>
      <c r="V138" s="8">
        <v>0</v>
      </c>
      <c r="W138" s="8">
        <v>0</v>
      </c>
      <c r="X138" s="8">
        <v>0</v>
      </c>
      <c r="Y138" s="8">
        <v>0</v>
      </c>
      <c r="Z138" s="8">
        <v>0</v>
      </c>
      <c r="AA138" s="8">
        <v>0</v>
      </c>
      <c r="AB138" s="8">
        <v>0</v>
      </c>
      <c r="AC138" s="8">
        <v>0</v>
      </c>
      <c r="AD138" s="8">
        <v>0</v>
      </c>
      <c r="AE138" s="8">
        <v>1E-4</v>
      </c>
      <c r="AF138" s="8">
        <v>1E-4</v>
      </c>
      <c r="AG138" s="8">
        <v>1E-4</v>
      </c>
      <c r="AH138" s="8">
        <v>0</v>
      </c>
      <c r="AI138" s="8">
        <v>1E-4</v>
      </c>
      <c r="AJ138" s="8">
        <v>1E-4</v>
      </c>
      <c r="AK138" s="8">
        <v>1E-4</v>
      </c>
      <c r="AL138" s="8">
        <v>0</v>
      </c>
      <c r="AM138" s="7">
        <v>1E-4</v>
      </c>
      <c r="AN138" s="8">
        <v>0</v>
      </c>
      <c r="AO138" s="7">
        <v>0</v>
      </c>
      <c r="AP138" s="7">
        <v>0</v>
      </c>
      <c r="AQ138" s="7">
        <v>1E-4</v>
      </c>
      <c r="AR138" s="8">
        <v>0</v>
      </c>
      <c r="AS138" s="7">
        <v>1E-4</v>
      </c>
      <c r="AT138" s="7">
        <v>1E-4</v>
      </c>
      <c r="AU138" s="7">
        <v>0</v>
      </c>
      <c r="AV138" s="8">
        <v>0</v>
      </c>
      <c r="AW138" s="7">
        <v>0</v>
      </c>
      <c r="AX138" s="8">
        <v>0</v>
      </c>
      <c r="AY138" s="8">
        <v>0</v>
      </c>
      <c r="AZ138" s="7">
        <v>1E-4</v>
      </c>
      <c r="BA138" s="8">
        <v>0</v>
      </c>
      <c r="BB138" s="7">
        <v>1E-4</v>
      </c>
      <c r="BC138" s="7">
        <v>1E-4</v>
      </c>
      <c r="BD138" s="7">
        <v>1E-4</v>
      </c>
      <c r="BE138" s="7">
        <v>0</v>
      </c>
      <c r="BF138" s="7">
        <f>VLOOKUP($A138,'2.Sep'!$M$8:$O$1048576,3,0)</f>
        <v>0</v>
      </c>
      <c r="BG138" s="7">
        <f>VLOOKUP($A138,'3.Sep'!$M$8:$O$1048576,3,0)</f>
        <v>1E-4</v>
      </c>
      <c r="BH138" s="8">
        <v>0</v>
      </c>
      <c r="BI138" s="8">
        <f>VLOOKUP($A138,'5.Sep'!$M$8:$O$1048576,3,0)</f>
        <v>0</v>
      </c>
      <c r="BJ138" s="8">
        <v>0</v>
      </c>
      <c r="BK138" s="8">
        <f>VLOOKUP($A138,'7.Sep'!$M$8:$O$1048576,3,0)</f>
        <v>1E-4</v>
      </c>
      <c r="BL138" s="8">
        <f>VLOOKUP($A138,'8.Sep'!$M$8:$O$1048576,3,0)</f>
        <v>1E-4</v>
      </c>
      <c r="BM138" s="8">
        <f>VLOOKUP($A138,'9.Sep'!$M$8:$O$1048576,3,0)</f>
        <v>1E-4</v>
      </c>
      <c r="BN138" s="8">
        <f>VLOOKUP($A138,'10.Sep'!$M$8:$O$1048576,3,0)</f>
        <v>0</v>
      </c>
      <c r="BO138" s="8">
        <f>VLOOKUP($A138,'11.Sep'!$M$8:$O$1048576,3,0)</f>
        <v>1E-4</v>
      </c>
      <c r="BP138" s="7">
        <v>0</v>
      </c>
      <c r="BQ138" s="7">
        <v>0</v>
      </c>
      <c r="BR138" s="7">
        <f>VLOOKUP($A138,'14.Sep'!$M$8:$O$1048576,3,0)</f>
        <v>1E-4</v>
      </c>
      <c r="BS138" s="7">
        <f>VLOOKUP($A138,'15.Sep'!$M$8:$O$1048576,3,0)</f>
        <v>0</v>
      </c>
      <c r="BT138" s="7">
        <f>VLOOKUP($A138,'16.Sep'!$M$8:$O$1048576,3,0)</f>
        <v>0</v>
      </c>
      <c r="BU138" s="7">
        <f>VLOOKUP($A138,'17.Sep'!$M$8:$O$1048576,3,0)</f>
        <v>1E-4</v>
      </c>
      <c r="BV138" s="7">
        <f>VLOOKUP($A138,'18.Sep'!$M$8:$O$1048576,3,0)</f>
        <v>0</v>
      </c>
      <c r="BW138" s="7">
        <f>VLOOKUP($A138,'19.Sep'!$M$8:$O$1048576,3,0)</f>
        <v>1E-4</v>
      </c>
      <c r="BX138" s="8">
        <v>0</v>
      </c>
      <c r="BY138" s="7">
        <v>0</v>
      </c>
      <c r="BZ138" s="7">
        <v>0</v>
      </c>
      <c r="CA138" s="7">
        <v>0</v>
      </c>
      <c r="CB138" s="7">
        <v>0</v>
      </c>
      <c r="CC138" s="7">
        <v>0</v>
      </c>
    </row>
    <row r="139" spans="1:81" outlineLevel="1">
      <c r="A139" s="6" t="s">
        <v>26</v>
      </c>
      <c r="B139" s="7">
        <v>0</v>
      </c>
      <c r="C139" s="7">
        <v>0</v>
      </c>
      <c r="D139" s="7">
        <v>0</v>
      </c>
      <c r="E139" s="7">
        <v>1.142857142857143E-4</v>
      </c>
      <c r="F139" s="7">
        <v>8.5714285714285726E-5</v>
      </c>
      <c r="G139" s="7">
        <v>8.5714285714285726E-5</v>
      </c>
      <c r="H139" s="7">
        <f t="shared" si="37"/>
        <v>8.5714285714285726E-5</v>
      </c>
      <c r="I139" s="7">
        <f t="shared" si="38"/>
        <v>2.9999999999999997E-4</v>
      </c>
      <c r="J139" s="7">
        <f t="shared" si="39"/>
        <v>2.9999999999999997E-4</v>
      </c>
      <c r="K139" s="7">
        <f t="shared" si="35"/>
        <v>3.3333333333333335E-5</v>
      </c>
      <c r="L139" s="7">
        <f t="shared" si="36"/>
        <v>2.0000000000000002E-5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8">
        <v>0</v>
      </c>
      <c r="V139" s="8">
        <v>0</v>
      </c>
      <c r="W139" s="8">
        <v>0</v>
      </c>
      <c r="X139" s="8">
        <v>0</v>
      </c>
      <c r="Y139" s="8">
        <v>0</v>
      </c>
      <c r="Z139" s="8">
        <v>0</v>
      </c>
      <c r="AA139" s="8">
        <v>0</v>
      </c>
      <c r="AB139" s="8">
        <v>0</v>
      </c>
      <c r="AC139" s="8">
        <v>0</v>
      </c>
      <c r="AD139" s="8">
        <v>0</v>
      </c>
      <c r="AE139" s="8">
        <v>0</v>
      </c>
      <c r="AF139" s="8">
        <v>0</v>
      </c>
      <c r="AG139" s="8">
        <v>1E-4</v>
      </c>
      <c r="AH139" s="8">
        <v>2.0000000000000001E-4</v>
      </c>
      <c r="AI139" s="8">
        <v>1E-4</v>
      </c>
      <c r="AJ139" s="8">
        <v>0</v>
      </c>
      <c r="AK139" s="8">
        <v>2.9999999999999997E-4</v>
      </c>
      <c r="AL139" s="8">
        <v>1E-4</v>
      </c>
      <c r="AM139" s="7">
        <v>0</v>
      </c>
      <c r="AN139" s="7">
        <v>1E-4</v>
      </c>
      <c r="AO139" s="7">
        <v>1E-4</v>
      </c>
      <c r="AP139" s="7">
        <v>1E-4</v>
      </c>
      <c r="AQ139" s="7">
        <v>1E-4</v>
      </c>
      <c r="AR139" s="7">
        <v>1E-4</v>
      </c>
      <c r="AS139" s="8">
        <v>0</v>
      </c>
      <c r="AT139" s="7">
        <v>1E-4</v>
      </c>
      <c r="AU139" s="7">
        <v>1E-4</v>
      </c>
      <c r="AV139" s="7">
        <v>2.0000000000000001E-4</v>
      </c>
      <c r="AW139" s="7">
        <v>0</v>
      </c>
      <c r="AX139" s="7">
        <v>1E-4</v>
      </c>
      <c r="AY139" s="7">
        <v>0</v>
      </c>
      <c r="AZ139" s="7">
        <v>1E-4</v>
      </c>
      <c r="BA139" s="7">
        <v>1E-4</v>
      </c>
      <c r="BB139" s="7">
        <v>0</v>
      </c>
      <c r="BC139" s="7">
        <v>1E-4</v>
      </c>
      <c r="BD139" s="7">
        <v>1E-4</v>
      </c>
      <c r="BE139" s="7">
        <v>0</v>
      </c>
      <c r="BF139" s="7">
        <f>VLOOKUP($A139,'2.Sep'!$M$8:$O$1048576,3,0)</f>
        <v>2.0000000000000001E-4</v>
      </c>
      <c r="BG139" s="7">
        <f>VLOOKUP($A139,'3.Sep'!$M$8:$O$1048576,3,0)</f>
        <v>1E-4</v>
      </c>
      <c r="BH139" s="8">
        <f>VLOOKUP($A139,'4.Sep'!$M$8:$O$1048576,3,0)</f>
        <v>1E-4</v>
      </c>
      <c r="BI139" s="8">
        <f>VLOOKUP($A139,'5.Sep'!$M$8:$O$1048576,3,0)</f>
        <v>1E-4</v>
      </c>
      <c r="BJ139" s="8">
        <f>VLOOKUP($A139,'6.Sep'!$M$8:$O$1048576,3,0)</f>
        <v>1E-4</v>
      </c>
      <c r="BK139" s="8">
        <f>VLOOKUP($A139,'7.Sep'!$M$8:$O$1048576,3,0)</f>
        <v>2.0000000000000001E-4</v>
      </c>
      <c r="BL139" s="8">
        <f>VLOOKUP($A139,'8.Sep'!$M$8:$O$1048576,3,0)</f>
        <v>4.0000000000000002E-4</v>
      </c>
      <c r="BM139" s="8">
        <f>VLOOKUP($A139,'9.Sep'!$M$8:$O$1048576,3,0)</f>
        <v>2.0000000000000001E-4</v>
      </c>
      <c r="BN139" s="8">
        <f>VLOOKUP($A139,'10.Sep'!$M$8:$O$1048576,3,0)</f>
        <v>4.0000000000000002E-4</v>
      </c>
      <c r="BO139" s="8">
        <f>VLOOKUP($A139,'11.Sep'!$M$8:$O$1048576,3,0)</f>
        <v>6.9999999999999999E-4</v>
      </c>
      <c r="BP139" s="7">
        <f>VLOOKUP($A139,'12.Sep'!$M$8:$O$1048576,3,0)</f>
        <v>6.9999999999999999E-4</v>
      </c>
      <c r="BQ139" s="7">
        <f>VLOOKUP($A139,'13.Sep'!$M$8:$O$1048576,3,0)</f>
        <v>2.9999999999999997E-4</v>
      </c>
      <c r="BR139" s="7">
        <f>VLOOKUP($A139,'14.Sep'!$M$8:$O$1048576,3,0)</f>
        <v>2.9999999999999997E-4</v>
      </c>
      <c r="BS139" s="7">
        <f>VLOOKUP($A139,'15.Sep'!$M$8:$O$1048576,3,0)</f>
        <v>1E-4</v>
      </c>
      <c r="BT139" s="7">
        <f>VLOOKUP($A139,'16.Sep'!$M$8:$O$1048576,3,0)</f>
        <v>2.0000000000000001E-4</v>
      </c>
      <c r="BU139" s="7">
        <f>VLOOKUP($A139,'17.Sep'!$M$8:$O$1048576,3,0)</f>
        <v>2.9999999999999997E-4</v>
      </c>
      <c r="BV139" s="7">
        <f>VLOOKUP($A139,'18.Sep'!$M$8:$O$1048576,3,0)</f>
        <v>2.0000000000000001E-4</v>
      </c>
      <c r="BW139" s="7">
        <f>VLOOKUP($A139,'19.Sep'!$M$8:$O$1048576,3,0)</f>
        <v>1E-4</v>
      </c>
      <c r="BX139" s="8">
        <v>0</v>
      </c>
      <c r="BY139" s="7">
        <v>0</v>
      </c>
      <c r="BZ139" s="7">
        <f>VLOOKUP($A139,'22.Sep'!$M$8:$O$1048576,3,0)</f>
        <v>1E-4</v>
      </c>
      <c r="CA139" s="7">
        <f>VLOOKUP($A139,'23.Sep'!$M$8:$O$1048576,3,0)</f>
        <v>0</v>
      </c>
      <c r="CB139" s="7">
        <f>VLOOKUP($A139,'24.Sep'!$M$8:$O$1048576,3,0)</f>
        <v>0</v>
      </c>
      <c r="CC139" s="7">
        <f>VLOOKUP($A139,'24.Sep'!$M$8:$O$1048576,3,0)</f>
        <v>0</v>
      </c>
    </row>
    <row r="140" spans="1:81" outlineLevel="1">
      <c r="A140" s="6" t="s">
        <v>27</v>
      </c>
      <c r="B140" s="7">
        <v>0</v>
      </c>
      <c r="C140" s="7">
        <v>0</v>
      </c>
      <c r="D140" s="7">
        <v>1.4285714285714287E-5</v>
      </c>
      <c r="E140" s="7">
        <v>4.2857142857142863E-5</v>
      </c>
      <c r="F140" s="7">
        <v>0</v>
      </c>
      <c r="G140" s="7">
        <v>7.1428571428571434E-5</v>
      </c>
      <c r="H140" s="7">
        <f t="shared" si="37"/>
        <v>8.5714285714285726E-5</v>
      </c>
      <c r="I140" s="7">
        <f t="shared" si="38"/>
        <v>1E-4</v>
      </c>
      <c r="J140" s="7">
        <f t="shared" si="39"/>
        <v>8.5714285714285726E-5</v>
      </c>
      <c r="K140" s="7">
        <f t="shared" si="35"/>
        <v>6.666666666666667E-5</v>
      </c>
      <c r="L140" s="7">
        <f t="shared" si="36"/>
        <v>6.0000000000000008E-5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8">
        <v>0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8">
        <v>0</v>
      </c>
      <c r="AC140" s="8">
        <v>0</v>
      </c>
      <c r="AD140" s="8">
        <v>0</v>
      </c>
      <c r="AE140" s="8">
        <v>0</v>
      </c>
      <c r="AF140" s="8">
        <v>1E-4</v>
      </c>
      <c r="AG140" s="8">
        <v>0</v>
      </c>
      <c r="AH140" s="8">
        <v>1E-4</v>
      </c>
      <c r="AI140" s="8">
        <v>0</v>
      </c>
      <c r="AJ140" s="8">
        <v>0</v>
      </c>
      <c r="AK140" s="8">
        <v>1E-4</v>
      </c>
      <c r="AL140" s="8">
        <v>1E-4</v>
      </c>
      <c r="AM140" s="7">
        <v>0</v>
      </c>
      <c r="AN140" s="8">
        <v>0</v>
      </c>
      <c r="AO140" s="8">
        <v>0</v>
      </c>
      <c r="AP140" s="7">
        <v>0</v>
      </c>
      <c r="AQ140" s="8">
        <v>0</v>
      </c>
      <c r="AR140" s="7">
        <v>0</v>
      </c>
      <c r="AS140" s="7">
        <v>0</v>
      </c>
      <c r="AT140" s="8">
        <v>0</v>
      </c>
      <c r="AU140" s="7">
        <v>0</v>
      </c>
      <c r="AV140" s="7">
        <v>0</v>
      </c>
      <c r="AW140" s="8">
        <v>0</v>
      </c>
      <c r="AX140" s="7">
        <v>0</v>
      </c>
      <c r="AY140" s="7">
        <v>2.0000000000000001E-4</v>
      </c>
      <c r="AZ140" s="7">
        <v>2.0000000000000001E-4</v>
      </c>
      <c r="BA140" s="7">
        <v>1E-4</v>
      </c>
      <c r="BB140" s="7">
        <v>0</v>
      </c>
      <c r="BC140" s="7">
        <v>2.0000000000000001E-4</v>
      </c>
      <c r="BD140" s="7">
        <v>2.0000000000000001E-4</v>
      </c>
      <c r="BE140" s="7">
        <f>VLOOKUP($A140,'1.Sep'!$M$8:$O$1048576,3,0)</f>
        <v>0</v>
      </c>
      <c r="BF140" s="7">
        <f>VLOOKUP($A140,'2.Sep'!$M$8:$O$1048576,3,0)</f>
        <v>0</v>
      </c>
      <c r="BG140" s="7">
        <f>VLOOKUP($A140,'3.Sep'!$M$8:$O$1048576,3,0)</f>
        <v>2.0000000000000001E-4</v>
      </c>
      <c r="BH140" s="8">
        <f>VLOOKUP($A140,'4.Sep'!$M$8:$O$1048576,3,0)</f>
        <v>0</v>
      </c>
      <c r="BI140" s="8">
        <f>VLOOKUP($A140,'5.Sep'!$M$8:$O$1048576,3,0)</f>
        <v>0</v>
      </c>
      <c r="BJ140" s="8">
        <f>VLOOKUP($A140,'6.Sep'!$M$8:$O$1048576,3,0)</f>
        <v>1E-4</v>
      </c>
      <c r="BK140" s="8">
        <f>VLOOKUP($A140,'7.Sep'!$M$8:$O$1048576,3,0)</f>
        <v>2.0000000000000001E-4</v>
      </c>
      <c r="BL140" s="8">
        <f>VLOOKUP($A140,'8.Sep'!$M$8:$O$1048576,3,0)</f>
        <v>1E-4</v>
      </c>
      <c r="BM140" s="8">
        <f>VLOOKUP($A140,'9.Sep'!$M$8:$O$1048576,3,0)</f>
        <v>0</v>
      </c>
      <c r="BN140" s="8">
        <f>VLOOKUP($A140,'10.Sep'!$M$8:$O$1048576,3,0)</f>
        <v>1E-4</v>
      </c>
      <c r="BO140" s="8">
        <f>VLOOKUP($A140,'11.Sep'!$M$8:$O$1048576,3,0)</f>
        <v>2.0000000000000001E-4</v>
      </c>
      <c r="BP140" s="7">
        <f>VLOOKUP($A140,'12.Sep'!$M$8:$O$1048576,3,0)</f>
        <v>1E-4</v>
      </c>
      <c r="BQ140" s="7">
        <f>VLOOKUP($A140,'13.Sep'!$M$8:$O$1048576,3,0)</f>
        <v>0</v>
      </c>
      <c r="BR140" s="7">
        <f>VLOOKUP($A140,'14.Sep'!$M$8:$O$1048576,3,0)</f>
        <v>1E-4</v>
      </c>
      <c r="BS140" s="7">
        <f>VLOOKUP($A140,'15.Sep'!$M$8:$O$1048576,3,0)</f>
        <v>1E-4</v>
      </c>
      <c r="BT140" s="7">
        <f>VLOOKUP($A140,'16.Sep'!$M$8:$O$1048576,3,0)</f>
        <v>0</v>
      </c>
      <c r="BU140" s="7">
        <f>VLOOKUP($A140,'17.Sep'!$M$8:$O$1048576,3,0)</f>
        <v>1E-4</v>
      </c>
      <c r="BV140" s="7">
        <f>VLOOKUP($A140,'18.Sep'!$M$8:$O$1048576,3,0)</f>
        <v>2.0000000000000001E-4</v>
      </c>
      <c r="BW140" s="7">
        <f>VLOOKUP($A140,'19.Sep'!$M$8:$O$1048576,3,0)</f>
        <v>1E-4</v>
      </c>
      <c r="BX140" s="7">
        <f>VLOOKUP($A140,'20.Sep'!$M$8:$O$1048576,3,0)</f>
        <v>1E-4</v>
      </c>
      <c r="BY140" s="7">
        <f>VLOOKUP($A140,'21.Sep'!$M$8:$O$1048576,3,0)</f>
        <v>1E-4</v>
      </c>
      <c r="BZ140" s="7">
        <v>0</v>
      </c>
      <c r="CA140" s="7">
        <f>VLOOKUP($A140,'23.Sep'!$M$8:$O$1048576,3,0)</f>
        <v>0</v>
      </c>
      <c r="CB140" s="7">
        <f>VLOOKUP($A140,'24.Sep'!$M$8:$O$1048576,3,0)</f>
        <v>1E-4</v>
      </c>
      <c r="CC140" s="7">
        <f>VLOOKUP($A140,'24.Sep'!$M$8:$O$1048576,3,0)</f>
        <v>1E-4</v>
      </c>
    </row>
    <row r="141" spans="1:81" outlineLevel="1">
      <c r="A141" s="6" t="s">
        <v>28</v>
      </c>
      <c r="B141" s="7">
        <v>0</v>
      </c>
      <c r="C141" s="7">
        <v>0</v>
      </c>
      <c r="D141" s="7">
        <v>0</v>
      </c>
      <c r="E141" s="7">
        <v>1.4285714285714287E-5</v>
      </c>
      <c r="F141" s="7">
        <v>0</v>
      </c>
      <c r="G141" s="7">
        <v>0</v>
      </c>
      <c r="H141" s="7">
        <f t="shared" si="37"/>
        <v>0</v>
      </c>
      <c r="I141" s="7">
        <f t="shared" si="38"/>
        <v>0</v>
      </c>
      <c r="J141" s="7">
        <f t="shared" si="39"/>
        <v>0</v>
      </c>
      <c r="K141" s="7">
        <f t="shared" si="35"/>
        <v>0</v>
      </c>
      <c r="L141" s="7">
        <f t="shared" si="36"/>
        <v>0</v>
      </c>
      <c r="M141" s="8">
        <v>0</v>
      </c>
      <c r="N141" s="8">
        <v>0</v>
      </c>
      <c r="O141" s="8">
        <v>0</v>
      </c>
      <c r="P141" s="8">
        <v>0</v>
      </c>
      <c r="Q141" s="8">
        <v>0</v>
      </c>
      <c r="R141" s="8">
        <v>0</v>
      </c>
      <c r="S141" s="8">
        <v>0</v>
      </c>
      <c r="T141" s="8">
        <v>0</v>
      </c>
      <c r="U141" s="8">
        <v>0</v>
      </c>
      <c r="V141" s="8">
        <v>0</v>
      </c>
      <c r="W141" s="8">
        <v>0</v>
      </c>
      <c r="X141" s="8">
        <v>0</v>
      </c>
      <c r="Y141" s="8">
        <v>0</v>
      </c>
      <c r="Z141" s="8">
        <v>0</v>
      </c>
      <c r="AA141" s="8">
        <v>0</v>
      </c>
      <c r="AB141" s="8">
        <v>0</v>
      </c>
      <c r="AC141" s="8">
        <v>0</v>
      </c>
      <c r="AD141" s="8">
        <v>0</v>
      </c>
      <c r="AE141" s="8">
        <v>0</v>
      </c>
      <c r="AF141" s="8">
        <v>0</v>
      </c>
      <c r="AG141" s="8">
        <v>0</v>
      </c>
      <c r="AH141" s="8">
        <v>1E-4</v>
      </c>
      <c r="AI141" s="8">
        <v>0</v>
      </c>
      <c r="AJ141" s="8">
        <v>0</v>
      </c>
      <c r="AK141" s="8">
        <v>0</v>
      </c>
      <c r="AL141" s="8">
        <v>0</v>
      </c>
      <c r="AM141" s="7">
        <v>0</v>
      </c>
      <c r="AN141" s="8">
        <v>0</v>
      </c>
      <c r="AO141" s="8">
        <v>0</v>
      </c>
      <c r="AP141" s="7">
        <v>0</v>
      </c>
      <c r="AQ141" s="8">
        <v>0</v>
      </c>
      <c r="AR141" s="8">
        <v>0</v>
      </c>
      <c r="AS141" s="8">
        <v>0</v>
      </c>
      <c r="AT141" s="8">
        <v>0</v>
      </c>
      <c r="AU141" s="8">
        <v>0</v>
      </c>
      <c r="AV141" s="8">
        <v>0</v>
      </c>
      <c r="AW141" s="8">
        <v>0</v>
      </c>
      <c r="AX141" s="8">
        <v>0</v>
      </c>
      <c r="AY141" s="8">
        <v>0</v>
      </c>
      <c r="AZ141" s="8">
        <v>0</v>
      </c>
      <c r="BA141" s="7">
        <v>0</v>
      </c>
      <c r="BB141" s="8">
        <v>0</v>
      </c>
      <c r="BC141" s="8">
        <v>0</v>
      </c>
      <c r="BD141" s="7">
        <v>0</v>
      </c>
      <c r="BE141" s="7">
        <v>0</v>
      </c>
      <c r="BF141" s="7">
        <v>0</v>
      </c>
      <c r="BG141" s="7">
        <v>0</v>
      </c>
      <c r="BH141" s="8">
        <v>0</v>
      </c>
      <c r="BI141" s="8">
        <v>0</v>
      </c>
      <c r="BJ141" s="8">
        <v>0</v>
      </c>
      <c r="BK141" s="8">
        <v>0</v>
      </c>
      <c r="BL141" s="8">
        <v>0</v>
      </c>
      <c r="BM141" s="7">
        <v>0</v>
      </c>
      <c r="BN141" s="8">
        <f>VLOOKUP($A141,'10.Sep'!$M$8:$O$1048576,3,0)</f>
        <v>0</v>
      </c>
      <c r="BO141" s="8">
        <f>VLOOKUP($A141,'11.Sep'!$M$8:$O$1048576,3,0)</f>
        <v>0</v>
      </c>
      <c r="BP141" s="7">
        <v>0</v>
      </c>
      <c r="BQ141" s="7">
        <v>0</v>
      </c>
      <c r="BR141" s="7">
        <f>VLOOKUP($A141,'14.Sep'!$M$8:$O$1048576,3,0)</f>
        <v>0</v>
      </c>
      <c r="BS141" s="8">
        <v>0</v>
      </c>
      <c r="BT141" s="8">
        <v>0</v>
      </c>
      <c r="BU141" s="8">
        <v>0</v>
      </c>
      <c r="BV141" s="7">
        <f>VLOOKUP($A141,'18.Sep'!$M$8:$O$1048576,3,0)</f>
        <v>0</v>
      </c>
      <c r="BW141" s="7">
        <v>0</v>
      </c>
      <c r="BX141" s="8">
        <v>0</v>
      </c>
      <c r="BY141" s="7">
        <v>0</v>
      </c>
      <c r="BZ141" s="7">
        <v>0</v>
      </c>
      <c r="CA141" s="7">
        <v>0</v>
      </c>
      <c r="CB141" s="7">
        <v>0</v>
      </c>
      <c r="CC141" s="7">
        <v>0</v>
      </c>
    </row>
    <row r="142" spans="1:81" outlineLevel="1">
      <c r="A142" s="6" t="s">
        <v>29</v>
      </c>
      <c r="B142" s="7">
        <v>0</v>
      </c>
      <c r="C142" s="7">
        <v>0</v>
      </c>
      <c r="D142" s="7">
        <v>1.142857142857143E-4</v>
      </c>
      <c r="E142" s="7">
        <v>1.8571428571428572E-4</v>
      </c>
      <c r="F142" s="7">
        <v>1.1428571428571431E-4</v>
      </c>
      <c r="G142" s="7">
        <v>2.0000000000000004E-4</v>
      </c>
      <c r="H142" s="7">
        <f t="shared" si="37"/>
        <v>3.0000000000000003E-4</v>
      </c>
      <c r="I142" s="7">
        <f t="shared" si="38"/>
        <v>3.2857142857142856E-4</v>
      </c>
      <c r="J142" s="7">
        <f t="shared" si="39"/>
        <v>2.7142857142857144E-4</v>
      </c>
      <c r="K142" s="7">
        <f t="shared" si="35"/>
        <v>2.833333333333333E-4</v>
      </c>
      <c r="L142" s="7">
        <f t="shared" si="36"/>
        <v>2.7999999999999998E-4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0</v>
      </c>
      <c r="W142" s="8">
        <v>0</v>
      </c>
      <c r="X142" s="8">
        <v>0</v>
      </c>
      <c r="Y142" s="8">
        <v>0</v>
      </c>
      <c r="Z142" s="8">
        <v>0</v>
      </c>
      <c r="AA142" s="8">
        <v>0</v>
      </c>
      <c r="AB142" s="8">
        <v>0</v>
      </c>
      <c r="AC142" s="8">
        <v>0</v>
      </c>
      <c r="AD142" s="8">
        <v>1E-4</v>
      </c>
      <c r="AE142" s="8">
        <v>2.0000000000000001E-4</v>
      </c>
      <c r="AF142" s="8">
        <v>5.0000000000000001E-4</v>
      </c>
      <c r="AG142" s="8">
        <v>2.0000000000000001E-4</v>
      </c>
      <c r="AH142" s="8">
        <v>2.0000000000000001E-4</v>
      </c>
      <c r="AI142" s="8">
        <v>2.0000000000000001E-4</v>
      </c>
      <c r="AJ142" s="8">
        <v>2.0000000000000001E-4</v>
      </c>
      <c r="AK142" s="8">
        <v>1E-4</v>
      </c>
      <c r="AL142" s="8">
        <v>1E-4</v>
      </c>
      <c r="AM142" s="7">
        <v>2.9999999999999997E-4</v>
      </c>
      <c r="AN142" s="7">
        <v>1E-4</v>
      </c>
      <c r="AO142" s="7">
        <v>1E-4</v>
      </c>
      <c r="AP142" s="7">
        <v>1E-4</v>
      </c>
      <c r="AQ142" s="7">
        <v>2.0000000000000001E-4</v>
      </c>
      <c r="AR142" s="7">
        <v>1E-4</v>
      </c>
      <c r="AS142" s="7">
        <v>1E-4</v>
      </c>
      <c r="AT142" s="7">
        <v>1E-4</v>
      </c>
      <c r="AU142" s="7">
        <v>2.0000000000000001E-4</v>
      </c>
      <c r="AV142" s="7">
        <v>1E-4</v>
      </c>
      <c r="AW142" s="7">
        <v>2.0000000000000001E-4</v>
      </c>
      <c r="AX142" s="7">
        <v>2.0000000000000001E-4</v>
      </c>
      <c r="AY142" s="7">
        <v>2.9999999999999997E-4</v>
      </c>
      <c r="AZ142" s="7">
        <v>2.0000000000000001E-4</v>
      </c>
      <c r="BA142" s="7">
        <v>2.0000000000000001E-4</v>
      </c>
      <c r="BB142" s="7">
        <v>2.0000000000000001E-4</v>
      </c>
      <c r="BC142" s="7">
        <v>2.0000000000000001E-4</v>
      </c>
      <c r="BD142" s="7">
        <v>2.9999999999999997E-4</v>
      </c>
      <c r="BE142" s="7">
        <f>VLOOKUP($A142,'1.Sep'!$M$8:$O$1048576,3,0)</f>
        <v>4.0000000000000002E-4</v>
      </c>
      <c r="BF142" s="7">
        <f>VLOOKUP($A142,'2.Sep'!$M$8:$O$1048576,3,0)</f>
        <v>1E-4</v>
      </c>
      <c r="BG142" s="7">
        <f>VLOOKUP($A142,'3.Sep'!$M$8:$O$1048576,3,0)</f>
        <v>5.0000000000000001E-4</v>
      </c>
      <c r="BH142" s="8">
        <f>VLOOKUP($A142,'4.Sep'!$M$8:$O$1048576,3,0)</f>
        <v>4.0000000000000002E-4</v>
      </c>
      <c r="BI142" s="8">
        <f>VLOOKUP($A142,'5.Sep'!$M$8:$O$1048576,3,0)</f>
        <v>4.0000000000000002E-4</v>
      </c>
      <c r="BJ142" s="8">
        <f>VLOOKUP($A142,'6.Sep'!$M$8:$O$1048576,3,0)</f>
        <v>5.0000000000000001E-4</v>
      </c>
      <c r="BK142" s="8">
        <f>VLOOKUP($A142,'7.Sep'!$M$8:$O$1048576,3,0)</f>
        <v>2.9999999999999997E-4</v>
      </c>
      <c r="BL142" s="8">
        <f>VLOOKUP($A142,'8.Sep'!$M$8:$O$1048576,3,0)</f>
        <v>2.9999999999999997E-4</v>
      </c>
      <c r="BM142" s="8">
        <f>VLOOKUP($A142,'9.Sep'!$M$8:$O$1048576,3,0)</f>
        <v>2.0000000000000001E-4</v>
      </c>
      <c r="BN142" s="8">
        <f>VLOOKUP($A142,'10.Sep'!$M$8:$O$1048576,3,0)</f>
        <v>4.0000000000000002E-4</v>
      </c>
      <c r="BO142" s="8">
        <f>VLOOKUP($A142,'11.Sep'!$M$8:$O$1048576,3,0)</f>
        <v>2.0000000000000001E-4</v>
      </c>
      <c r="BP142" s="7">
        <f>VLOOKUP($A142,'12.Sep'!$M$8:$O$1048576,3,0)</f>
        <v>2.0000000000000001E-4</v>
      </c>
      <c r="BQ142" s="7">
        <f>VLOOKUP($A142,'13.Sep'!$M$8:$O$1048576,3,0)</f>
        <v>2.9999999999999997E-4</v>
      </c>
      <c r="BR142" s="7">
        <f>VLOOKUP($A142,'14.Sep'!$M$8:$O$1048576,3,0)</f>
        <v>2.9999999999999997E-4</v>
      </c>
      <c r="BS142" s="7">
        <f>VLOOKUP($A142,'15.Sep'!$M$8:$O$1048576,3,0)</f>
        <v>2.0000000000000001E-4</v>
      </c>
      <c r="BT142" s="7">
        <f>VLOOKUP($A142,'16.Sep'!$M$8:$O$1048576,3,0)</f>
        <v>2.0000000000000001E-4</v>
      </c>
      <c r="BU142" s="7">
        <f>VLOOKUP($A142,'17.Sep'!$M$8:$O$1048576,3,0)</f>
        <v>2.0000000000000001E-4</v>
      </c>
      <c r="BV142" s="7">
        <f>VLOOKUP($A142,'18.Sep'!$M$8:$O$1048576,3,0)</f>
        <v>5.0000000000000001E-4</v>
      </c>
      <c r="BW142" s="7">
        <f>VLOOKUP($A142,'19.Sep'!$M$8:$O$1048576,3,0)</f>
        <v>2.9999999999999997E-4</v>
      </c>
      <c r="BX142" s="7">
        <f>VLOOKUP($A142,'20.Sep'!$M$8:$O$1048576,3,0)</f>
        <v>2.9999999999999997E-4</v>
      </c>
      <c r="BY142" s="7">
        <f>VLOOKUP($A142,'21.Sep'!$M$8:$O$1048576,3,0)</f>
        <v>2.0000000000000001E-4</v>
      </c>
      <c r="BZ142" s="7">
        <f>VLOOKUP($A142,'22.Sep'!$M$8:$O$1048576,3,0)</f>
        <v>2.9999999999999997E-4</v>
      </c>
      <c r="CA142" s="7">
        <f>VLOOKUP($A142,'23.Sep'!$M$8:$O$1048576,3,0)</f>
        <v>2.9999999999999997E-4</v>
      </c>
      <c r="CB142" s="7">
        <f>VLOOKUP($A142,'24.Sep'!$M$8:$O$1048576,3,0)</f>
        <v>2.9999999999999997E-4</v>
      </c>
      <c r="CC142" s="7">
        <f>VLOOKUP($A142,'24.Sep'!$M$8:$O$1048576,3,0)</f>
        <v>2.9999999999999997E-4</v>
      </c>
    </row>
    <row r="143" spans="1:81" outlineLevel="1">
      <c r="A143" s="6" t="s">
        <v>30</v>
      </c>
      <c r="B143" s="7">
        <v>0</v>
      </c>
      <c r="C143" s="7">
        <v>0</v>
      </c>
      <c r="D143" s="7">
        <v>7.1428571428571434E-5</v>
      </c>
      <c r="E143" s="7">
        <v>1.4285714285714287E-5</v>
      </c>
      <c r="F143" s="7">
        <v>1.2857142857142858E-4</v>
      </c>
      <c r="G143" s="7">
        <v>1.2857142857142858E-4</v>
      </c>
      <c r="H143" s="7">
        <f t="shared" si="37"/>
        <v>7.1428571428571434E-5</v>
      </c>
      <c r="I143" s="7">
        <f t="shared" si="38"/>
        <v>5.7142857142857148E-5</v>
      </c>
      <c r="J143" s="7">
        <f t="shared" si="39"/>
        <v>4.2857142857142863E-5</v>
      </c>
      <c r="K143" s="7">
        <f t="shared" si="35"/>
        <v>8.3333333333333331E-5</v>
      </c>
      <c r="L143" s="7">
        <f t="shared" si="36"/>
        <v>1E-4</v>
      </c>
      <c r="M143" s="8">
        <v>0</v>
      </c>
      <c r="N143" s="8">
        <v>0</v>
      </c>
      <c r="O143" s="8">
        <v>0</v>
      </c>
      <c r="P143" s="8">
        <v>0</v>
      </c>
      <c r="Q143" s="8">
        <v>0</v>
      </c>
      <c r="R143" s="8">
        <v>0</v>
      </c>
      <c r="S143" s="8">
        <v>0</v>
      </c>
      <c r="T143" s="8">
        <v>0</v>
      </c>
      <c r="U143" s="8">
        <v>0</v>
      </c>
      <c r="V143" s="8">
        <v>0</v>
      </c>
      <c r="W143" s="8">
        <v>0</v>
      </c>
      <c r="X143" s="8">
        <v>0</v>
      </c>
      <c r="Y143" s="8">
        <v>0</v>
      </c>
      <c r="Z143" s="8">
        <v>0</v>
      </c>
      <c r="AA143" s="8">
        <v>0</v>
      </c>
      <c r="AB143" s="8">
        <v>0</v>
      </c>
      <c r="AC143" s="8">
        <v>0</v>
      </c>
      <c r="AD143" s="8">
        <v>2.9999999999999997E-4</v>
      </c>
      <c r="AE143" s="8">
        <v>1E-4</v>
      </c>
      <c r="AF143" s="8">
        <v>1E-4</v>
      </c>
      <c r="AG143" s="8">
        <v>0</v>
      </c>
      <c r="AH143" s="8">
        <v>0</v>
      </c>
      <c r="AI143" s="8">
        <v>0</v>
      </c>
      <c r="AJ143" s="8">
        <v>0</v>
      </c>
      <c r="AK143" s="8">
        <v>1E-4</v>
      </c>
      <c r="AL143" s="8">
        <v>0</v>
      </c>
      <c r="AM143" s="7">
        <v>0</v>
      </c>
      <c r="AN143" s="7">
        <v>1E-4</v>
      </c>
      <c r="AO143" s="7">
        <v>2.9999999999999997E-4</v>
      </c>
      <c r="AP143" s="7">
        <v>1E-4</v>
      </c>
      <c r="AQ143" s="7">
        <v>1E-4</v>
      </c>
      <c r="AR143" s="7">
        <v>2.0000000000000001E-4</v>
      </c>
      <c r="AS143" s="7">
        <v>0</v>
      </c>
      <c r="AT143" s="7">
        <v>1E-4</v>
      </c>
      <c r="AU143" s="7">
        <v>2.9999999999999997E-4</v>
      </c>
      <c r="AV143" s="7">
        <v>1E-4</v>
      </c>
      <c r="AW143" s="7">
        <v>2.9999999999999997E-4</v>
      </c>
      <c r="AX143" s="7">
        <v>1E-4</v>
      </c>
      <c r="AY143" s="7">
        <v>0</v>
      </c>
      <c r="AZ143" s="7">
        <v>1E-4</v>
      </c>
      <c r="BA143" s="7">
        <v>0</v>
      </c>
      <c r="BB143" s="7">
        <v>2.0000000000000001E-4</v>
      </c>
      <c r="BC143" s="7">
        <v>0</v>
      </c>
      <c r="BD143" s="7">
        <v>0</v>
      </c>
      <c r="BE143" s="7">
        <f>VLOOKUP($A143,'1.Sep'!$M$8:$O$1048576,3,0)</f>
        <v>1E-4</v>
      </c>
      <c r="BF143" s="7">
        <f>VLOOKUP($A143,'2.Sep'!$M$8:$O$1048576,3,0)</f>
        <v>1E-4</v>
      </c>
      <c r="BG143" s="7">
        <f>VLOOKUP($A143,'3.Sep'!$M$8:$O$1048576,3,0)</f>
        <v>1E-4</v>
      </c>
      <c r="BH143" s="8">
        <f>VLOOKUP($A143,'4.Sep'!$M$8:$O$1048576,3,0)</f>
        <v>0</v>
      </c>
      <c r="BI143" s="8">
        <v>0</v>
      </c>
      <c r="BJ143" s="8">
        <f>VLOOKUP($A143,'6.Sep'!$M$8:$O$1048576,3,0)</f>
        <v>0</v>
      </c>
      <c r="BK143" s="8">
        <f>VLOOKUP($A143,'7.Sep'!$M$8:$O$1048576,3,0)</f>
        <v>1E-4</v>
      </c>
      <c r="BL143" s="8">
        <f>VLOOKUP($A143,'8.Sep'!$M$8:$O$1048576,3,0)</f>
        <v>1E-4</v>
      </c>
      <c r="BM143" s="8">
        <f>VLOOKUP($A143,'9.Sep'!$M$8:$O$1048576,3,0)</f>
        <v>1E-4</v>
      </c>
      <c r="BN143" s="8">
        <f>VLOOKUP($A143,'10.Sep'!$M$8:$O$1048576,3,0)</f>
        <v>1E-4</v>
      </c>
      <c r="BO143" s="8">
        <f>VLOOKUP($A143,'11.Sep'!$M$8:$O$1048576,3,0)</f>
        <v>0</v>
      </c>
      <c r="BP143" s="7">
        <f>VLOOKUP($A143,'12.Sep'!$M$8:$O$1048576,3,0)</f>
        <v>0</v>
      </c>
      <c r="BQ143" s="7">
        <f>VLOOKUP($A143,'13.Sep'!$M$8:$O$1048576,3,0)</f>
        <v>0</v>
      </c>
      <c r="BR143" s="7">
        <f>VLOOKUP($A143,'14.Sep'!$M$8:$O$1048576,3,0)</f>
        <v>1E-4</v>
      </c>
      <c r="BS143" s="7">
        <f>VLOOKUP($A143,'15.Sep'!$M$8:$O$1048576,3,0)</f>
        <v>0</v>
      </c>
      <c r="BT143" s="7">
        <f>VLOOKUP($A143,'16.Sep'!$M$8:$O$1048576,3,0)</f>
        <v>1E-4</v>
      </c>
      <c r="BU143" s="7">
        <f>VLOOKUP($A143,'17.Sep'!$M$8:$O$1048576,3,0)</f>
        <v>1E-4</v>
      </c>
      <c r="BV143" s="7">
        <v>0</v>
      </c>
      <c r="BW143" s="7">
        <v>0</v>
      </c>
      <c r="BX143" s="7">
        <f>VLOOKUP($A143,'20.Sep'!$M$8:$O$1048576,3,0)</f>
        <v>1E-4</v>
      </c>
      <c r="BY143" s="7">
        <f>VLOOKUP($A143,'21.Sep'!$M$8:$O$1048576,3,0)</f>
        <v>1E-4</v>
      </c>
      <c r="BZ143" s="7">
        <f>VLOOKUP($A143,'22.Sep'!$M$8:$O$1048576,3,0)</f>
        <v>1E-4</v>
      </c>
      <c r="CA143" s="7">
        <f>VLOOKUP($A143,'23.Sep'!$M$8:$O$1048576,3,0)</f>
        <v>1E-4</v>
      </c>
      <c r="CB143" s="7">
        <f>VLOOKUP($A143,'24.Sep'!$M$8:$O$1048576,3,0)</f>
        <v>1E-4</v>
      </c>
      <c r="CC143" s="7">
        <f>VLOOKUP($A143,'24.Sep'!$M$8:$O$1048576,3,0)</f>
        <v>1E-4</v>
      </c>
    </row>
    <row r="144" spans="1:81" outlineLevel="1">
      <c r="A144" s="6" t="s">
        <v>31</v>
      </c>
      <c r="B144" s="7">
        <v>0</v>
      </c>
      <c r="C144" s="7">
        <v>0</v>
      </c>
      <c r="D144" s="7">
        <v>1E-4</v>
      </c>
      <c r="E144" s="7">
        <v>2.5714285714285715E-4</v>
      </c>
      <c r="F144" s="7">
        <v>1.5714285714285716E-4</v>
      </c>
      <c r="G144" s="7">
        <v>2.2857142857142859E-4</v>
      </c>
      <c r="H144" s="7">
        <f t="shared" si="37"/>
        <v>3.2857142857142856E-4</v>
      </c>
      <c r="I144" s="7">
        <f t="shared" si="38"/>
        <v>3.4285714285714285E-4</v>
      </c>
      <c r="J144" s="7">
        <f t="shared" si="39"/>
        <v>2.4285714285714289E-4</v>
      </c>
      <c r="K144" s="7">
        <f t="shared" si="35"/>
        <v>2.1666666666666668E-4</v>
      </c>
      <c r="L144" s="7">
        <f t="shared" si="36"/>
        <v>2.0000000000000001E-4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8">
        <v>0</v>
      </c>
      <c r="V144" s="8">
        <v>0</v>
      </c>
      <c r="W144" s="8">
        <v>0</v>
      </c>
      <c r="X144" s="8">
        <v>0</v>
      </c>
      <c r="Y144" s="8">
        <v>0</v>
      </c>
      <c r="Z144" s="8">
        <v>0</v>
      </c>
      <c r="AA144" s="8">
        <v>0</v>
      </c>
      <c r="AB144" s="8">
        <v>0</v>
      </c>
      <c r="AC144" s="8">
        <v>0</v>
      </c>
      <c r="AD144" s="8">
        <v>2.9999999999999997E-4</v>
      </c>
      <c r="AE144" s="8">
        <v>2.0000000000000001E-4</v>
      </c>
      <c r="AF144" s="8">
        <v>2.0000000000000001E-4</v>
      </c>
      <c r="AG144" s="8">
        <v>4.0000000000000002E-4</v>
      </c>
      <c r="AH144" s="8">
        <v>4.0000000000000002E-4</v>
      </c>
      <c r="AI144" s="8">
        <v>2.0000000000000001E-4</v>
      </c>
      <c r="AJ144" s="8">
        <v>2.9999999999999997E-4</v>
      </c>
      <c r="AK144" s="8">
        <v>2.0000000000000001E-4</v>
      </c>
      <c r="AL144" s="8">
        <v>1E-4</v>
      </c>
      <c r="AM144" s="7">
        <v>2.0000000000000001E-4</v>
      </c>
      <c r="AN144" s="7">
        <v>2.0000000000000001E-4</v>
      </c>
      <c r="AO144" s="7">
        <v>1E-4</v>
      </c>
      <c r="AP144" s="7">
        <v>2.0000000000000001E-4</v>
      </c>
      <c r="AQ144" s="7">
        <v>1E-4</v>
      </c>
      <c r="AR144" s="7">
        <v>2.0000000000000001E-4</v>
      </c>
      <c r="AS144" s="7">
        <v>2.0000000000000001E-4</v>
      </c>
      <c r="AT144" s="7">
        <v>1E-4</v>
      </c>
      <c r="AU144" s="7">
        <v>2.9999999999999997E-4</v>
      </c>
      <c r="AV144" s="7">
        <v>4.0000000000000002E-4</v>
      </c>
      <c r="AW144" s="7">
        <v>1E-4</v>
      </c>
      <c r="AX144" s="7">
        <v>2.0000000000000001E-4</v>
      </c>
      <c r="AY144" s="7">
        <v>2.0000000000000001E-4</v>
      </c>
      <c r="AZ144" s="7">
        <v>1E-4</v>
      </c>
      <c r="BA144" s="7">
        <v>2.9999999999999997E-4</v>
      </c>
      <c r="BB144" s="7">
        <v>2.0000000000000001E-4</v>
      </c>
      <c r="BC144" s="7">
        <v>2.9999999999999997E-4</v>
      </c>
      <c r="BD144" s="7">
        <v>2.9999999999999997E-4</v>
      </c>
      <c r="BE144" s="7">
        <f>VLOOKUP($A144,'1.Sep'!$M$8:$O$1048576,3,0)</f>
        <v>4.0000000000000002E-4</v>
      </c>
      <c r="BF144" s="7">
        <f>VLOOKUP($A144,'2.Sep'!$M$8:$O$1048576,3,0)</f>
        <v>1E-4</v>
      </c>
      <c r="BG144" s="7">
        <f>VLOOKUP($A144,'3.Sep'!$M$8:$O$1048576,3,0)</f>
        <v>5.0000000000000001E-4</v>
      </c>
      <c r="BH144" s="8">
        <f>VLOOKUP($A144,'4.Sep'!$M$8:$O$1048576,3,0)</f>
        <v>5.0000000000000001E-4</v>
      </c>
      <c r="BI144" s="8">
        <f>VLOOKUP($A144,'5.Sep'!$M$8:$O$1048576,3,0)</f>
        <v>4.0000000000000002E-4</v>
      </c>
      <c r="BJ144" s="8">
        <f>VLOOKUP($A144,'6.Sep'!$M$8:$O$1048576,3,0)</f>
        <v>2.9999999999999997E-4</v>
      </c>
      <c r="BK144" s="8">
        <f>VLOOKUP($A144,'7.Sep'!$M$8:$O$1048576,3,0)</f>
        <v>1E-4</v>
      </c>
      <c r="BL144" s="8">
        <f>VLOOKUP($A144,'8.Sep'!$M$8:$O$1048576,3,0)</f>
        <v>6.9999999999999999E-4</v>
      </c>
      <c r="BM144" s="8">
        <f>VLOOKUP($A144,'9.Sep'!$M$8:$O$1048576,3,0)</f>
        <v>4.0000000000000002E-4</v>
      </c>
      <c r="BN144" s="8">
        <f>VLOOKUP($A144,'10.Sep'!$M$8:$O$1048576,3,0)</f>
        <v>2.0000000000000001E-4</v>
      </c>
      <c r="BO144" s="8">
        <f>VLOOKUP($A144,'11.Sep'!$M$8:$O$1048576,3,0)</f>
        <v>2.9999999999999997E-4</v>
      </c>
      <c r="BP144" s="7">
        <f>VLOOKUP($A144,'12.Sep'!$M$8:$O$1048576,3,0)</f>
        <v>2.0000000000000001E-4</v>
      </c>
      <c r="BQ144" s="7">
        <f>VLOOKUP($A144,'13.Sep'!$M$8:$O$1048576,3,0)</f>
        <v>2.0000000000000001E-4</v>
      </c>
      <c r="BR144" s="7">
        <f>VLOOKUP($A144,'14.Sep'!$M$8:$O$1048576,3,0)</f>
        <v>2.0000000000000001E-4</v>
      </c>
      <c r="BS144" s="7">
        <f>VLOOKUP($A144,'15.Sep'!$M$8:$O$1048576,3,0)</f>
        <v>2.0000000000000001E-4</v>
      </c>
      <c r="BT144" s="7">
        <f>VLOOKUP($A144,'16.Sep'!$M$8:$O$1048576,3,0)</f>
        <v>2.9999999999999997E-4</v>
      </c>
      <c r="BU144" s="7">
        <f>VLOOKUP($A144,'17.Sep'!$M$8:$O$1048576,3,0)</f>
        <v>2.0000000000000001E-4</v>
      </c>
      <c r="BV144" s="7">
        <f>VLOOKUP($A144,'18.Sep'!$M$8:$O$1048576,3,0)</f>
        <v>4.0000000000000002E-4</v>
      </c>
      <c r="BW144" s="7">
        <f>VLOOKUP($A144,'19.Sep'!$M$8:$O$1048576,3,0)</f>
        <v>2.9999999999999997E-4</v>
      </c>
      <c r="BX144" s="7">
        <f>VLOOKUP($A144,'20.Sep'!$M$8:$O$1048576,3,0)</f>
        <v>1E-4</v>
      </c>
      <c r="BY144" s="7">
        <f>VLOOKUP($A144,'21.Sep'!$M$8:$O$1048576,3,0)</f>
        <v>1E-4</v>
      </c>
      <c r="BZ144" s="7">
        <f>VLOOKUP($A144,'22.Sep'!$M$8:$O$1048576,3,0)</f>
        <v>1E-4</v>
      </c>
      <c r="CA144" s="7">
        <f>VLOOKUP($A144,'23.Sep'!$M$8:$O$1048576,3,0)</f>
        <v>5.0000000000000001E-4</v>
      </c>
      <c r="CB144" s="7">
        <f>VLOOKUP($A144,'24.Sep'!$M$8:$O$1048576,3,0)</f>
        <v>2.0000000000000001E-4</v>
      </c>
      <c r="CC144" s="7">
        <f>VLOOKUP($A144,'24.Sep'!$M$8:$O$1048576,3,0)</f>
        <v>2.0000000000000001E-4</v>
      </c>
    </row>
    <row r="145" spans="1:81" outlineLevel="1">
      <c r="A145" s="6" t="s">
        <v>32</v>
      </c>
      <c r="B145" s="7">
        <v>0</v>
      </c>
      <c r="C145" s="7">
        <v>0</v>
      </c>
      <c r="D145" s="7">
        <v>0</v>
      </c>
      <c r="E145" s="7">
        <v>0</v>
      </c>
      <c r="F145" s="7">
        <v>1.4285714285714287E-5</v>
      </c>
      <c r="G145" s="7">
        <v>1.4285714285714287E-5</v>
      </c>
      <c r="H145" s="7">
        <f t="shared" si="37"/>
        <v>1.4285714285714287E-5</v>
      </c>
      <c r="I145" s="7">
        <f t="shared" si="38"/>
        <v>1.4285714285714287E-5</v>
      </c>
      <c r="J145" s="7">
        <f t="shared" si="39"/>
        <v>1.4285714285714287E-5</v>
      </c>
      <c r="K145" s="7">
        <f t="shared" si="35"/>
        <v>3.3333333333333335E-5</v>
      </c>
      <c r="L145" s="7">
        <f t="shared" si="36"/>
        <v>4.0000000000000003E-5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8">
        <v>0</v>
      </c>
      <c r="V145" s="8">
        <v>0</v>
      </c>
      <c r="W145" s="8">
        <v>0</v>
      </c>
      <c r="X145" s="8">
        <v>0</v>
      </c>
      <c r="Y145" s="8">
        <v>0</v>
      </c>
      <c r="Z145" s="8">
        <v>0</v>
      </c>
      <c r="AA145" s="8">
        <v>0</v>
      </c>
      <c r="AB145" s="8">
        <v>0</v>
      </c>
      <c r="AC145" s="8">
        <v>0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  <c r="AJ145" s="8">
        <v>0</v>
      </c>
      <c r="AK145" s="8">
        <v>0</v>
      </c>
      <c r="AL145" s="8">
        <v>0</v>
      </c>
      <c r="AM145" s="7">
        <v>0</v>
      </c>
      <c r="AN145" s="7">
        <v>1E-4</v>
      </c>
      <c r="AO145" s="7">
        <v>0</v>
      </c>
      <c r="AP145" s="7">
        <v>0</v>
      </c>
      <c r="AQ145" s="8">
        <v>0</v>
      </c>
      <c r="AR145" s="8">
        <v>0</v>
      </c>
      <c r="AS145" s="8">
        <v>0</v>
      </c>
      <c r="AT145" s="8">
        <v>0</v>
      </c>
      <c r="AU145" s="8">
        <v>0</v>
      </c>
      <c r="AV145" s="7">
        <v>0</v>
      </c>
      <c r="AW145" s="8">
        <v>0</v>
      </c>
      <c r="AX145" s="8">
        <v>0</v>
      </c>
      <c r="AY145" s="8">
        <v>0</v>
      </c>
      <c r="AZ145" s="7">
        <v>0</v>
      </c>
      <c r="BA145" s="7">
        <v>1E-4</v>
      </c>
      <c r="BB145" s="7">
        <v>1E-4</v>
      </c>
      <c r="BC145" s="7">
        <v>0</v>
      </c>
      <c r="BD145" s="7">
        <v>0</v>
      </c>
      <c r="BE145" s="7">
        <f>VLOOKUP($A145,'1.Sep'!$M$8:$O$1048576,3,0)</f>
        <v>0</v>
      </c>
      <c r="BF145" s="7">
        <f>VLOOKUP($A145,'2.Sep'!$M$8:$O$1048576,3,0)</f>
        <v>0</v>
      </c>
      <c r="BG145" s="7">
        <v>0</v>
      </c>
      <c r="BH145" s="8">
        <v>0</v>
      </c>
      <c r="BI145" s="8">
        <v>0</v>
      </c>
      <c r="BJ145" s="8">
        <f>VLOOKUP($A145,'6.Sep'!$M$8:$O$1048576,3,0)</f>
        <v>0</v>
      </c>
      <c r="BK145" s="8">
        <v>0</v>
      </c>
      <c r="BL145" s="8">
        <v>0</v>
      </c>
      <c r="BM145" s="7">
        <v>0</v>
      </c>
      <c r="BN145" s="7">
        <v>0</v>
      </c>
      <c r="BO145" s="8">
        <f>VLOOKUP($A145,'11.Sep'!$M$8:$O$1048576,3,0)</f>
        <v>1E-4</v>
      </c>
      <c r="BP145" s="7">
        <f>VLOOKUP($A145,'12.Sep'!$M$8:$O$1048576,3,0)</f>
        <v>0</v>
      </c>
      <c r="BQ145" s="7">
        <f>VLOOKUP($A145,'13.Sep'!$M$8:$O$1048576,3,0)</f>
        <v>0</v>
      </c>
      <c r="BR145" s="7">
        <f>VLOOKUP($A145,'14.Sep'!$M$8:$O$1048576,3,0)</f>
        <v>1E-4</v>
      </c>
      <c r="BS145" s="7">
        <f>VLOOKUP($A145,'15.Sep'!$M$8:$O$1048576,3,0)</f>
        <v>0</v>
      </c>
      <c r="BT145" s="8">
        <v>0</v>
      </c>
      <c r="BU145" s="8">
        <v>0</v>
      </c>
      <c r="BV145" s="7">
        <f>VLOOKUP($A145,'18.Sep'!$M$8:$O$1048576,3,0)</f>
        <v>0</v>
      </c>
      <c r="BW145" s="7">
        <f>VLOOKUP($A145,'19.Sep'!$M$8:$O$1048576,3,0)</f>
        <v>0</v>
      </c>
      <c r="BX145" s="7">
        <f>VLOOKUP($A145,'20.Sep'!$M$8:$O$1048576,3,0)</f>
        <v>1E-4</v>
      </c>
      <c r="BY145" s="7">
        <v>0</v>
      </c>
      <c r="BZ145" s="7">
        <v>0</v>
      </c>
      <c r="CA145" s="7">
        <v>0</v>
      </c>
      <c r="CB145" s="7">
        <f>VLOOKUP($A145,'24.Sep'!$M$8:$O$1048576,3,0)</f>
        <v>1E-4</v>
      </c>
      <c r="CC145" s="7">
        <f>VLOOKUP($A145,'24.Sep'!$M$8:$O$1048576,3,0)</f>
        <v>1E-4</v>
      </c>
    </row>
    <row r="146" spans="1:81" outlineLevel="1">
      <c r="A146" s="6" t="s">
        <v>33</v>
      </c>
      <c r="B146" s="7">
        <v>0</v>
      </c>
      <c r="C146" s="7">
        <v>0</v>
      </c>
      <c r="D146" s="7">
        <v>2.8571428571428574E-5</v>
      </c>
      <c r="E146" s="7">
        <v>2.142857142857143E-4</v>
      </c>
      <c r="F146" s="7">
        <v>2.8571428571428574E-5</v>
      </c>
      <c r="G146" s="7">
        <v>5.7142857142857148E-5</v>
      </c>
      <c r="H146" s="7">
        <f t="shared" si="37"/>
        <v>1.4285714285714287E-5</v>
      </c>
      <c r="I146" s="7">
        <f t="shared" si="38"/>
        <v>1.4285714285714287E-5</v>
      </c>
      <c r="J146" s="7">
        <f t="shared" si="39"/>
        <v>1.4285714285714287E-5</v>
      </c>
      <c r="K146" s="7">
        <f t="shared" si="35"/>
        <v>3.3333333333333335E-5</v>
      </c>
      <c r="L146" s="7">
        <f t="shared" si="36"/>
        <v>2.0000000000000002E-5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8">
        <v>0</v>
      </c>
      <c r="V146" s="8">
        <v>0</v>
      </c>
      <c r="W146" s="8">
        <v>0</v>
      </c>
      <c r="X146" s="8">
        <v>0</v>
      </c>
      <c r="Y146" s="8">
        <v>0</v>
      </c>
      <c r="Z146" s="8">
        <v>0</v>
      </c>
      <c r="AA146" s="8">
        <v>0</v>
      </c>
      <c r="AB146" s="8">
        <v>0</v>
      </c>
      <c r="AC146" s="8">
        <v>0</v>
      </c>
      <c r="AD146" s="8">
        <v>0</v>
      </c>
      <c r="AE146" s="8">
        <v>1E-4</v>
      </c>
      <c r="AF146" s="8">
        <v>1E-4</v>
      </c>
      <c r="AG146" s="8">
        <v>1E-4</v>
      </c>
      <c r="AH146" s="8">
        <v>2.0000000000000001E-4</v>
      </c>
      <c r="AI146" s="8">
        <v>1E-4</v>
      </c>
      <c r="AJ146" s="8">
        <v>2.9999999999999997E-4</v>
      </c>
      <c r="AK146" s="8">
        <v>5.9999999999999995E-4</v>
      </c>
      <c r="AL146" s="8">
        <v>1E-4</v>
      </c>
      <c r="AM146" s="7">
        <v>1E-4</v>
      </c>
      <c r="AN146" s="7">
        <v>1E-4</v>
      </c>
      <c r="AO146" s="7">
        <v>0</v>
      </c>
      <c r="AP146" s="7">
        <v>1E-4</v>
      </c>
      <c r="AQ146" s="8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1E-4</v>
      </c>
      <c r="AW146" s="7">
        <v>1E-4</v>
      </c>
      <c r="AX146" s="8">
        <v>0</v>
      </c>
      <c r="AY146" s="7">
        <v>1E-4</v>
      </c>
      <c r="AZ146" s="8">
        <v>0</v>
      </c>
      <c r="BA146" s="7">
        <v>1E-4</v>
      </c>
      <c r="BB146" s="8">
        <v>0</v>
      </c>
      <c r="BC146" s="7">
        <v>0</v>
      </c>
      <c r="BD146" s="7">
        <v>0</v>
      </c>
      <c r="BE146" s="7">
        <f>VLOOKUP($A146,'1.Sep'!$M$8:$O$1048576,3,0)</f>
        <v>0</v>
      </c>
      <c r="BF146" s="7">
        <f>VLOOKUP($A146,'2.Sep'!$M$8:$O$1048576,3,0)</f>
        <v>0</v>
      </c>
      <c r="BG146" s="7">
        <f>VLOOKUP($A146,'3.Sep'!$M$8:$O$1048576,3,0)</f>
        <v>1E-4</v>
      </c>
      <c r="BH146" s="8">
        <v>0</v>
      </c>
      <c r="BI146" s="8">
        <f>VLOOKUP($A146,'5.Sep'!$M$8:$O$1048576,3,0)</f>
        <v>1E-4</v>
      </c>
      <c r="BJ146" s="8">
        <v>0</v>
      </c>
      <c r="BK146" s="8">
        <v>0</v>
      </c>
      <c r="BL146" s="8">
        <v>0</v>
      </c>
      <c r="BM146" s="7">
        <v>0</v>
      </c>
      <c r="BN146" s="7">
        <v>0</v>
      </c>
      <c r="BO146" s="8">
        <v>0</v>
      </c>
      <c r="BP146" s="7">
        <v>0</v>
      </c>
      <c r="BQ146" s="7">
        <v>0</v>
      </c>
      <c r="BR146" s="7">
        <f>VLOOKUP($A146,'14.Sep'!$M$8:$O$1048576,3,0)</f>
        <v>0</v>
      </c>
      <c r="BS146" s="7">
        <f>VLOOKUP($A146,'15.Sep'!$M$8:$O$1048576,3,0)</f>
        <v>1E-4</v>
      </c>
      <c r="BT146" s="7">
        <f>VLOOKUP($A146,'16.Sep'!$M$8:$O$1048576,3,0)</f>
        <v>0</v>
      </c>
      <c r="BU146" s="8">
        <v>0</v>
      </c>
      <c r="BV146" s="7">
        <f>VLOOKUP($A146,'18.Sep'!$M$8:$O$1048576,3,0)</f>
        <v>0</v>
      </c>
      <c r="BW146" s="7">
        <f>VLOOKUP($A146,'19.Sep'!$M$8:$O$1048576,3,0)</f>
        <v>1E-4</v>
      </c>
      <c r="BX146" s="8">
        <v>0</v>
      </c>
      <c r="BY146" s="7">
        <v>0</v>
      </c>
      <c r="BZ146" s="7">
        <v>0</v>
      </c>
      <c r="CA146" s="7">
        <v>0</v>
      </c>
      <c r="CB146" s="7">
        <f>VLOOKUP($A146,'24.Sep'!$M$8:$O$1048576,3,0)</f>
        <v>1E-4</v>
      </c>
      <c r="CC146" s="7">
        <f>VLOOKUP($A146,'24.Sep'!$M$8:$O$1048576,3,0)</f>
        <v>1E-4</v>
      </c>
    </row>
    <row r="147" spans="1:81" outlineLevel="1">
      <c r="A147" s="6" t="s">
        <v>34</v>
      </c>
      <c r="B147" s="7">
        <v>0</v>
      </c>
      <c r="C147" s="7">
        <v>0</v>
      </c>
      <c r="D147" s="7">
        <v>0</v>
      </c>
      <c r="E147" s="7">
        <v>1.4285714285714287E-5</v>
      </c>
      <c r="F147" s="7">
        <v>0</v>
      </c>
      <c r="G147" s="7">
        <v>0</v>
      </c>
      <c r="H147" s="7">
        <f t="shared" si="37"/>
        <v>1.4285714285714287E-5</v>
      </c>
      <c r="I147" s="7">
        <f t="shared" si="38"/>
        <v>0</v>
      </c>
      <c r="J147" s="7">
        <f t="shared" si="39"/>
        <v>0</v>
      </c>
      <c r="K147" s="7">
        <f t="shared" si="35"/>
        <v>1.6666666666666667E-5</v>
      </c>
      <c r="L147" s="7">
        <f t="shared" si="36"/>
        <v>2.0000000000000002E-5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  <c r="T147" s="8">
        <v>0</v>
      </c>
      <c r="U147" s="8">
        <v>0</v>
      </c>
      <c r="V147" s="8">
        <v>0</v>
      </c>
      <c r="W147" s="8">
        <v>0</v>
      </c>
      <c r="X147" s="8">
        <v>0</v>
      </c>
      <c r="Y147" s="8">
        <v>0</v>
      </c>
      <c r="Z147" s="8">
        <v>0</v>
      </c>
      <c r="AA147" s="8">
        <v>0</v>
      </c>
      <c r="AB147" s="8">
        <v>0</v>
      </c>
      <c r="AC147" s="8">
        <v>0</v>
      </c>
      <c r="AD147" s="8">
        <v>0</v>
      </c>
      <c r="AE147" s="8">
        <v>0</v>
      </c>
      <c r="AF147" s="8">
        <v>0</v>
      </c>
      <c r="AG147" s="8">
        <v>0</v>
      </c>
      <c r="AH147" s="8">
        <v>0</v>
      </c>
      <c r="AI147" s="8">
        <v>1E-4</v>
      </c>
      <c r="AJ147" s="8">
        <v>0</v>
      </c>
      <c r="AK147" s="8">
        <v>0</v>
      </c>
      <c r="AL147" s="8">
        <v>0</v>
      </c>
      <c r="AM147" s="7">
        <v>0</v>
      </c>
      <c r="AN147" s="8">
        <v>0</v>
      </c>
      <c r="AO147" s="7">
        <v>0</v>
      </c>
      <c r="AP147" s="8">
        <v>0</v>
      </c>
      <c r="AQ147" s="8">
        <v>0</v>
      </c>
      <c r="AR147" s="8">
        <v>0</v>
      </c>
      <c r="AS147" s="8">
        <v>0</v>
      </c>
      <c r="AT147" s="8">
        <v>0</v>
      </c>
      <c r="AU147" s="8">
        <v>0</v>
      </c>
      <c r="AV147" s="8">
        <v>0</v>
      </c>
      <c r="AW147" s="8">
        <v>0</v>
      </c>
      <c r="AX147" s="7">
        <v>0</v>
      </c>
      <c r="AY147" s="8">
        <v>0</v>
      </c>
      <c r="AZ147" s="8">
        <v>0</v>
      </c>
      <c r="BA147" s="8">
        <v>0</v>
      </c>
      <c r="BB147" s="8">
        <v>0</v>
      </c>
      <c r="BC147" s="8">
        <v>0</v>
      </c>
      <c r="BD147" s="7">
        <v>0</v>
      </c>
      <c r="BE147" s="7">
        <v>0</v>
      </c>
      <c r="BF147" s="7">
        <v>0</v>
      </c>
      <c r="BG147" s="7">
        <v>0</v>
      </c>
      <c r="BH147" s="8">
        <f>VLOOKUP($A147,'4.Sep'!$M$8:$O$1048576,3,0)</f>
        <v>1E-4</v>
      </c>
      <c r="BI147" s="8">
        <v>0</v>
      </c>
      <c r="BJ147" s="8">
        <v>0</v>
      </c>
      <c r="BK147" s="8">
        <v>0</v>
      </c>
      <c r="BL147" s="8">
        <v>0</v>
      </c>
      <c r="BM147" s="7">
        <v>0</v>
      </c>
      <c r="BN147" s="7">
        <v>0</v>
      </c>
      <c r="BO147" s="8">
        <v>0</v>
      </c>
      <c r="BP147" s="7">
        <v>0</v>
      </c>
      <c r="BQ147" s="7">
        <v>0</v>
      </c>
      <c r="BR147" s="7">
        <f>VLOOKUP($A147,'14.Sep'!$M$8:$O$1048576,3,0)</f>
        <v>0</v>
      </c>
      <c r="BS147" s="8">
        <v>0</v>
      </c>
      <c r="BT147" s="8">
        <v>0</v>
      </c>
      <c r="BU147" s="7">
        <f>VLOOKUP($A147,'17.Sep'!$M$8:$O$1048576,3,0)</f>
        <v>0</v>
      </c>
      <c r="BV147" s="7">
        <f>VLOOKUP($A147,'18.Sep'!$M$8:$O$1048576,3,0)</f>
        <v>0</v>
      </c>
      <c r="BW147" s="7">
        <v>0</v>
      </c>
      <c r="BX147" s="8">
        <v>0</v>
      </c>
      <c r="BY147" s="7">
        <v>0</v>
      </c>
      <c r="BZ147" s="7">
        <v>0</v>
      </c>
      <c r="CA147" s="7">
        <v>0</v>
      </c>
      <c r="CB147" s="7">
        <f>VLOOKUP($A147,'24.Sep'!$M$8:$O$1048576,3,0)</f>
        <v>1E-4</v>
      </c>
      <c r="CC147" s="7">
        <f>VLOOKUP($A147,'24.Sep'!$M$8:$O$1048576,3,0)</f>
        <v>1E-4</v>
      </c>
    </row>
    <row r="148" spans="1:81" outlineLevel="1">
      <c r="A148" s="6" t="s">
        <v>35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f t="shared" si="37"/>
        <v>0</v>
      </c>
      <c r="I148" s="7">
        <f t="shared" si="38"/>
        <v>0</v>
      </c>
      <c r="J148" s="7">
        <f t="shared" si="39"/>
        <v>0</v>
      </c>
      <c r="K148" s="7">
        <f t="shared" si="35"/>
        <v>0</v>
      </c>
      <c r="L148" s="7">
        <f t="shared" si="36"/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8">
        <v>0</v>
      </c>
      <c r="V148" s="8">
        <v>0</v>
      </c>
      <c r="W148" s="8">
        <v>0</v>
      </c>
      <c r="X148" s="8">
        <v>0</v>
      </c>
      <c r="Y148" s="8">
        <v>0</v>
      </c>
      <c r="Z148" s="8">
        <v>0</v>
      </c>
      <c r="AA148" s="8">
        <v>0</v>
      </c>
      <c r="AB148" s="8">
        <v>0</v>
      </c>
      <c r="AC148" s="8">
        <v>0</v>
      </c>
      <c r="AD148" s="8">
        <v>0</v>
      </c>
      <c r="AE148" s="8">
        <v>0</v>
      </c>
      <c r="AF148" s="8">
        <v>0</v>
      </c>
      <c r="AG148" s="8">
        <v>0</v>
      </c>
      <c r="AH148" s="8">
        <v>0</v>
      </c>
      <c r="AI148" s="8">
        <v>0</v>
      </c>
      <c r="AJ148" s="8">
        <v>0</v>
      </c>
      <c r="AK148" s="8">
        <v>0</v>
      </c>
      <c r="AL148" s="8">
        <v>0</v>
      </c>
      <c r="AM148" s="7">
        <v>0</v>
      </c>
      <c r="AN148" s="8">
        <v>0</v>
      </c>
      <c r="AO148" s="8">
        <v>0</v>
      </c>
      <c r="AP148" s="8">
        <v>0</v>
      </c>
      <c r="AQ148" s="8">
        <v>0</v>
      </c>
      <c r="AR148" s="8">
        <v>0</v>
      </c>
      <c r="AS148" s="8">
        <v>0</v>
      </c>
      <c r="AT148" s="8">
        <v>0</v>
      </c>
      <c r="AU148" s="8">
        <v>0</v>
      </c>
      <c r="AV148" s="8">
        <v>0</v>
      </c>
      <c r="AW148" s="8">
        <v>0</v>
      </c>
      <c r="AX148" s="8">
        <v>0</v>
      </c>
      <c r="AY148" s="8">
        <v>0</v>
      </c>
      <c r="AZ148" s="8">
        <v>0</v>
      </c>
      <c r="BA148" s="8">
        <v>0</v>
      </c>
      <c r="BB148" s="8">
        <v>0</v>
      </c>
      <c r="BC148" s="8">
        <v>0</v>
      </c>
      <c r="BD148" s="7">
        <v>0</v>
      </c>
      <c r="BE148" s="7">
        <v>0</v>
      </c>
      <c r="BF148" s="7">
        <v>0</v>
      </c>
      <c r="BG148" s="7">
        <v>0</v>
      </c>
      <c r="BH148" s="8">
        <v>0</v>
      </c>
      <c r="BI148" s="8">
        <v>0</v>
      </c>
      <c r="BJ148" s="8">
        <v>0</v>
      </c>
      <c r="BK148" s="8">
        <v>0</v>
      </c>
      <c r="BL148" s="8">
        <v>0</v>
      </c>
      <c r="BM148" s="7">
        <v>0</v>
      </c>
      <c r="BN148" s="7">
        <v>0</v>
      </c>
      <c r="BO148" s="8">
        <v>0</v>
      </c>
      <c r="BP148" s="7">
        <v>0</v>
      </c>
      <c r="BQ148" s="7">
        <v>0</v>
      </c>
      <c r="BR148" s="8">
        <v>0</v>
      </c>
      <c r="BS148" s="8">
        <v>0</v>
      </c>
      <c r="BT148" s="8">
        <v>0</v>
      </c>
      <c r="BU148" s="8">
        <v>0</v>
      </c>
      <c r="BV148" s="7">
        <v>0</v>
      </c>
      <c r="BW148" s="8">
        <v>0</v>
      </c>
      <c r="BX148" s="8">
        <v>0</v>
      </c>
      <c r="BY148" s="7">
        <v>0</v>
      </c>
      <c r="BZ148" s="7">
        <v>0</v>
      </c>
      <c r="CA148" s="7">
        <v>0</v>
      </c>
      <c r="CB148" s="7">
        <v>0</v>
      </c>
      <c r="CC148" s="7">
        <v>0</v>
      </c>
    </row>
    <row r="149" spans="1:81" outlineLevel="1">
      <c r="A149" s="6" t="s">
        <v>36</v>
      </c>
      <c r="B149" s="7">
        <v>0</v>
      </c>
      <c r="C149" s="7">
        <v>0</v>
      </c>
      <c r="D149" s="7">
        <v>2.8571428571428574E-5</v>
      </c>
      <c r="E149" s="7">
        <v>2.8571428571428574E-5</v>
      </c>
      <c r="F149" s="7">
        <v>2.8571428571428574E-5</v>
      </c>
      <c r="G149" s="7">
        <v>2.8571428571428574E-5</v>
      </c>
      <c r="H149" s="7">
        <f t="shared" si="37"/>
        <v>4.2857142857142863E-5</v>
      </c>
      <c r="I149" s="7">
        <f t="shared" si="38"/>
        <v>2.8571428571428574E-5</v>
      </c>
      <c r="J149" s="7">
        <f t="shared" si="39"/>
        <v>0</v>
      </c>
      <c r="K149" s="7">
        <f t="shared" ref="K149:K182" si="40">AVERAGE(BW149:CB149)</f>
        <v>1.6666666666666667E-5</v>
      </c>
      <c r="L149" s="7">
        <f t="shared" ref="L149:L182" si="41">AVERAGE(BX149:CB149)</f>
        <v>2.0000000000000002E-5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  <c r="S149" s="8">
        <v>0</v>
      </c>
      <c r="T149" s="8">
        <v>0</v>
      </c>
      <c r="U149" s="8">
        <v>0</v>
      </c>
      <c r="V149" s="8">
        <v>0</v>
      </c>
      <c r="W149" s="8">
        <v>0</v>
      </c>
      <c r="X149" s="8">
        <v>0</v>
      </c>
      <c r="Y149" s="8">
        <v>0</v>
      </c>
      <c r="Z149" s="8">
        <v>0</v>
      </c>
      <c r="AA149" s="8">
        <v>0</v>
      </c>
      <c r="AB149" s="8">
        <v>0</v>
      </c>
      <c r="AC149" s="8">
        <v>0</v>
      </c>
      <c r="AD149" s="8">
        <v>0</v>
      </c>
      <c r="AE149" s="8">
        <v>1E-4</v>
      </c>
      <c r="AF149" s="8">
        <v>1E-4</v>
      </c>
      <c r="AG149" s="8">
        <v>1E-4</v>
      </c>
      <c r="AH149" s="8">
        <v>0</v>
      </c>
      <c r="AI149" s="8">
        <v>0</v>
      </c>
      <c r="AJ149" s="8">
        <v>1E-4</v>
      </c>
      <c r="AK149" s="8">
        <v>0</v>
      </c>
      <c r="AL149" s="8">
        <v>0</v>
      </c>
      <c r="AM149" s="7">
        <v>0</v>
      </c>
      <c r="AN149" s="7">
        <v>0</v>
      </c>
      <c r="AO149" s="7">
        <v>1E-4</v>
      </c>
      <c r="AP149" s="8">
        <v>0</v>
      </c>
      <c r="AQ149" s="8">
        <v>0</v>
      </c>
      <c r="AR149" s="8">
        <v>0</v>
      </c>
      <c r="AS149" s="7">
        <v>1E-4</v>
      </c>
      <c r="AT149" s="7">
        <v>0</v>
      </c>
      <c r="AU149" s="8">
        <v>0</v>
      </c>
      <c r="AV149" s="7">
        <v>0</v>
      </c>
      <c r="AW149" s="7">
        <v>1E-4</v>
      </c>
      <c r="AX149" s="7">
        <v>1E-4</v>
      </c>
      <c r="AY149" s="8">
        <v>0</v>
      </c>
      <c r="AZ149" s="7">
        <v>0</v>
      </c>
      <c r="BA149" s="7">
        <v>0</v>
      </c>
      <c r="BB149" s="7">
        <v>1E-4</v>
      </c>
      <c r="BC149" s="7">
        <v>0</v>
      </c>
      <c r="BD149" s="7">
        <v>0</v>
      </c>
      <c r="BE149" s="7">
        <v>0</v>
      </c>
      <c r="BF149" s="7">
        <v>0</v>
      </c>
      <c r="BG149" s="7">
        <f>VLOOKUP($A149,'3.Sep'!$M$8:$O$1048576,3,0)</f>
        <v>1E-4</v>
      </c>
      <c r="BH149" s="8">
        <f>VLOOKUP($A149,'4.Sep'!$M$8:$O$1048576,3,0)</f>
        <v>1E-4</v>
      </c>
      <c r="BI149" s="8">
        <f>VLOOKUP($A149,'5.Sep'!$M$8:$O$1048576,3,0)</f>
        <v>0</v>
      </c>
      <c r="BJ149" s="8">
        <v>0</v>
      </c>
      <c r="BK149" s="8">
        <f>VLOOKUP($A149,'7.Sep'!$M$8:$O$1048576,3,0)</f>
        <v>0</v>
      </c>
      <c r="BL149" s="8">
        <v>0</v>
      </c>
      <c r="BM149" s="8">
        <f>VLOOKUP($A149,'9.Sep'!$M$8:$O$1048576,3,0)</f>
        <v>2.0000000000000001E-4</v>
      </c>
      <c r="BN149" s="8">
        <f>VLOOKUP($A149,'10.Sep'!$M$8:$O$1048576,3,0)</f>
        <v>0</v>
      </c>
      <c r="BO149" s="8">
        <v>0</v>
      </c>
      <c r="BP149" s="7">
        <v>0</v>
      </c>
      <c r="BQ149" s="7">
        <f>VLOOKUP($A149,'13.Sep'!$M$8:$O$1048576,3,0)</f>
        <v>0</v>
      </c>
      <c r="BR149" s="8">
        <v>0</v>
      </c>
      <c r="BS149" s="8">
        <v>0</v>
      </c>
      <c r="BT149" s="7">
        <f>VLOOKUP($A149,'16.Sep'!$M$8:$O$1048576,3,0)</f>
        <v>0</v>
      </c>
      <c r="BU149" s="7">
        <f>VLOOKUP($A149,'17.Sep'!$M$8:$O$1048576,3,0)</f>
        <v>0</v>
      </c>
      <c r="BV149" s="7">
        <f>VLOOKUP($A149,'18.Sep'!$M$8:$O$1048576,3,0)</f>
        <v>0</v>
      </c>
      <c r="BW149" s="7">
        <v>0</v>
      </c>
      <c r="BX149" s="8">
        <v>0</v>
      </c>
      <c r="BY149" s="7">
        <f>VLOOKUP($A149,'21.Sep'!$M$8:$O$1048576,3,0)</f>
        <v>1E-4</v>
      </c>
      <c r="BZ149" s="7">
        <v>0</v>
      </c>
      <c r="CA149" s="7">
        <f>VLOOKUP($A149,'23.Sep'!$M$8:$O$1048576,3,0)</f>
        <v>0</v>
      </c>
      <c r="CB149" s="7">
        <v>0</v>
      </c>
      <c r="CC149" s="7">
        <v>0</v>
      </c>
    </row>
    <row r="150" spans="1:81" outlineLevel="1">
      <c r="A150" s="6" t="s">
        <v>37</v>
      </c>
      <c r="B150" s="7">
        <v>0</v>
      </c>
      <c r="C150" s="7">
        <v>0</v>
      </c>
      <c r="D150" s="7">
        <v>2.4285714285714289E-4</v>
      </c>
      <c r="E150" s="7">
        <v>4.4285714285714284E-4</v>
      </c>
      <c r="F150" s="7">
        <v>1.2857142857142858E-4</v>
      </c>
      <c r="G150" s="7">
        <v>4.2857142857142863E-5</v>
      </c>
      <c r="H150" s="7">
        <f t="shared" si="37"/>
        <v>1.0000000000000002E-4</v>
      </c>
      <c r="I150" s="7">
        <f t="shared" si="38"/>
        <v>4.285714285714286E-4</v>
      </c>
      <c r="J150" s="7">
        <f t="shared" si="39"/>
        <v>2.4285714285714289E-4</v>
      </c>
      <c r="K150" s="7">
        <f t="shared" si="40"/>
        <v>1.5000000000000001E-4</v>
      </c>
      <c r="L150" s="7">
        <f t="shared" si="41"/>
        <v>1.8000000000000001E-4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  <c r="S150" s="8">
        <v>0</v>
      </c>
      <c r="T150" s="8">
        <v>0</v>
      </c>
      <c r="U150" s="8">
        <v>0</v>
      </c>
      <c r="V150" s="8">
        <v>0</v>
      </c>
      <c r="W150" s="8">
        <v>0</v>
      </c>
      <c r="X150" s="8">
        <v>0</v>
      </c>
      <c r="Y150" s="8">
        <v>0</v>
      </c>
      <c r="Z150" s="8">
        <v>0</v>
      </c>
      <c r="AA150" s="8">
        <v>0</v>
      </c>
      <c r="AB150" s="8">
        <v>0</v>
      </c>
      <c r="AC150" s="8">
        <v>0</v>
      </c>
      <c r="AD150" s="8">
        <v>1E-4</v>
      </c>
      <c r="AE150" s="8">
        <v>6.9999999999999999E-4</v>
      </c>
      <c r="AF150" s="8">
        <v>8.9999999999999998E-4</v>
      </c>
      <c r="AG150" s="8">
        <v>8.0000000000000004E-4</v>
      </c>
      <c r="AH150" s="8">
        <v>2.0000000000000001E-4</v>
      </c>
      <c r="AI150" s="8">
        <v>5.9999999999999995E-4</v>
      </c>
      <c r="AJ150" s="8">
        <v>5.0000000000000001E-4</v>
      </c>
      <c r="AK150" s="8">
        <v>5.0000000000000001E-4</v>
      </c>
      <c r="AL150" s="8">
        <v>2.9999999999999997E-4</v>
      </c>
      <c r="AM150" s="7">
        <v>2.0000000000000001E-4</v>
      </c>
      <c r="AN150" s="7">
        <v>1E-4</v>
      </c>
      <c r="AO150" s="7">
        <v>2.0000000000000001E-4</v>
      </c>
      <c r="AP150" s="7">
        <v>1E-4</v>
      </c>
      <c r="AQ150" s="7">
        <v>0</v>
      </c>
      <c r="AR150" s="7">
        <v>2.0000000000000001E-4</v>
      </c>
      <c r="AS150" s="7">
        <v>2.0000000000000001E-4</v>
      </c>
      <c r="AT150" s="7">
        <v>1E-4</v>
      </c>
      <c r="AU150" s="7">
        <v>0</v>
      </c>
      <c r="AV150" s="8">
        <v>0</v>
      </c>
      <c r="AW150" s="7">
        <v>1E-4</v>
      </c>
      <c r="AX150" s="7">
        <v>0</v>
      </c>
      <c r="AY150" s="8">
        <v>0</v>
      </c>
      <c r="AZ150" s="7">
        <v>1E-4</v>
      </c>
      <c r="BA150" s="7">
        <v>1E-4</v>
      </c>
      <c r="BB150" s="7">
        <v>1E-4</v>
      </c>
      <c r="BC150" s="7">
        <v>0</v>
      </c>
      <c r="BD150" s="7">
        <v>1E-4</v>
      </c>
      <c r="BE150" s="7">
        <f>VLOOKUP($A150,'1.Sep'!$M$8:$O$1048576,3,0)</f>
        <v>1E-4</v>
      </c>
      <c r="BF150" s="7">
        <f>VLOOKUP($A150,'2.Sep'!$M$8:$O$1048576,3,0)</f>
        <v>2.0000000000000001E-4</v>
      </c>
      <c r="BG150" s="7">
        <f>VLOOKUP($A150,'3.Sep'!$M$8:$O$1048576,3,0)</f>
        <v>1E-4</v>
      </c>
      <c r="BH150" s="8">
        <f>VLOOKUP($A150,'4.Sep'!$M$8:$O$1048576,3,0)</f>
        <v>1E-4</v>
      </c>
      <c r="BI150" s="8">
        <f>VLOOKUP($A150,'5.Sep'!$M$8:$O$1048576,3,0)</f>
        <v>1E-4</v>
      </c>
      <c r="BJ150" s="8">
        <f>VLOOKUP($A150,'6.Sep'!$M$8:$O$1048576,3,0)</f>
        <v>1E-4</v>
      </c>
      <c r="BK150" s="8">
        <f>VLOOKUP($A150,'7.Sep'!$M$8:$O$1048576,3,0)</f>
        <v>2.0000000000000001E-4</v>
      </c>
      <c r="BL150" s="8">
        <f>VLOOKUP($A150,'8.Sep'!$M$8:$O$1048576,3,0)</f>
        <v>4.0000000000000002E-4</v>
      </c>
      <c r="BM150" s="8">
        <f>VLOOKUP($A150,'9.Sep'!$M$8:$O$1048576,3,0)</f>
        <v>5.9999999999999995E-4</v>
      </c>
      <c r="BN150" s="8">
        <f>VLOOKUP($A150,'10.Sep'!$M$8:$O$1048576,3,0)</f>
        <v>8.0000000000000004E-4</v>
      </c>
      <c r="BO150" s="8">
        <f>VLOOKUP($A150,'11.Sep'!$M$8:$O$1048576,3,0)</f>
        <v>8.0000000000000004E-4</v>
      </c>
      <c r="BP150" s="7">
        <f>VLOOKUP($A150,'12.Sep'!$M$8:$O$1048576,3,0)</f>
        <v>5.9999999999999995E-4</v>
      </c>
      <c r="BQ150" s="7">
        <f>VLOOKUP($A150,'13.Sep'!$M$8:$O$1048576,3,0)</f>
        <v>2.0000000000000001E-4</v>
      </c>
      <c r="BR150" s="7">
        <f>VLOOKUP($A150,'14.Sep'!$M$8:$O$1048576,3,0)</f>
        <v>4.0000000000000002E-4</v>
      </c>
      <c r="BS150" s="7">
        <f>VLOOKUP($A150,'15.Sep'!$M$8:$O$1048576,3,0)</f>
        <v>1E-4</v>
      </c>
      <c r="BT150" s="7">
        <f>VLOOKUP($A150,'16.Sep'!$M$8:$O$1048576,3,0)</f>
        <v>2.0000000000000001E-4</v>
      </c>
      <c r="BU150" s="7">
        <f>VLOOKUP($A150,'17.Sep'!$M$8:$O$1048576,3,0)</f>
        <v>1E-4</v>
      </c>
      <c r="BV150" s="7">
        <f>VLOOKUP($A150,'18.Sep'!$M$8:$O$1048576,3,0)</f>
        <v>1E-4</v>
      </c>
      <c r="BW150" s="7">
        <v>0</v>
      </c>
      <c r="BX150" s="7">
        <f>VLOOKUP($A150,'20.Sep'!$M$8:$O$1048576,3,0)</f>
        <v>1E-4</v>
      </c>
      <c r="BY150" s="7">
        <f>VLOOKUP($A150,'21.Sep'!$M$8:$O$1048576,3,0)</f>
        <v>1E-4</v>
      </c>
      <c r="BZ150" s="7">
        <f>VLOOKUP($A150,'22.Sep'!$M$8:$O$1048576,3,0)</f>
        <v>5.0000000000000001E-4</v>
      </c>
      <c r="CA150" s="7">
        <f>VLOOKUP($A150,'23.Sep'!$M$8:$O$1048576,3,0)</f>
        <v>1E-4</v>
      </c>
      <c r="CB150" s="7">
        <f>VLOOKUP($A150,'24.Sep'!$M$8:$O$1048576,3,0)</f>
        <v>1E-4</v>
      </c>
      <c r="CC150" s="7">
        <f>VLOOKUP($A150,'24.Sep'!$M$8:$O$1048576,3,0)</f>
        <v>1E-4</v>
      </c>
    </row>
    <row r="151" spans="1:81" outlineLevel="1">
      <c r="A151" s="6" t="s">
        <v>38</v>
      </c>
      <c r="B151" s="7">
        <v>0</v>
      </c>
      <c r="C151" s="7">
        <v>0</v>
      </c>
      <c r="D151" s="7">
        <v>8.5714285714285726E-5</v>
      </c>
      <c r="E151" s="7">
        <v>4.2857142857142863E-5</v>
      </c>
      <c r="F151" s="7">
        <v>5.7142857142857148E-5</v>
      </c>
      <c r="G151" s="7">
        <v>8.5714285714285726E-5</v>
      </c>
      <c r="H151" s="7">
        <f t="shared" si="37"/>
        <v>2.8571428571428574E-5</v>
      </c>
      <c r="I151" s="7">
        <f t="shared" si="38"/>
        <v>0</v>
      </c>
      <c r="J151" s="7">
        <f t="shared" si="39"/>
        <v>0</v>
      </c>
      <c r="K151" s="7">
        <f t="shared" si="40"/>
        <v>3.3333333333333335E-5</v>
      </c>
      <c r="L151" s="7">
        <f t="shared" si="41"/>
        <v>4.0000000000000003E-5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8">
        <v>0</v>
      </c>
      <c r="V151" s="8">
        <v>0</v>
      </c>
      <c r="W151" s="8">
        <v>0</v>
      </c>
      <c r="X151" s="8">
        <v>0</v>
      </c>
      <c r="Y151" s="8">
        <v>0</v>
      </c>
      <c r="Z151" s="8">
        <v>0</v>
      </c>
      <c r="AA151" s="8">
        <v>0</v>
      </c>
      <c r="AB151" s="8">
        <v>0</v>
      </c>
      <c r="AC151" s="8">
        <v>0</v>
      </c>
      <c r="AD151" s="8">
        <v>4.0000000000000002E-4</v>
      </c>
      <c r="AE151" s="8">
        <v>1E-4</v>
      </c>
      <c r="AF151" s="8">
        <v>1E-4</v>
      </c>
      <c r="AG151" s="8">
        <v>0</v>
      </c>
      <c r="AH151" s="8">
        <v>2.0000000000000001E-4</v>
      </c>
      <c r="AI151" s="8">
        <v>0</v>
      </c>
      <c r="AJ151" s="8">
        <v>0</v>
      </c>
      <c r="AK151" s="8">
        <v>0</v>
      </c>
      <c r="AL151" s="8">
        <v>0</v>
      </c>
      <c r="AM151" s="7">
        <v>1E-4</v>
      </c>
      <c r="AN151" s="7">
        <v>1E-4</v>
      </c>
      <c r="AO151" s="7">
        <v>1E-4</v>
      </c>
      <c r="AP151" s="7">
        <v>0</v>
      </c>
      <c r="AQ151" s="7">
        <v>0</v>
      </c>
      <c r="AR151" s="7">
        <v>2.0000000000000001E-4</v>
      </c>
      <c r="AS151" s="7">
        <v>0</v>
      </c>
      <c r="AT151" s="8">
        <v>0</v>
      </c>
      <c r="AU151" s="7">
        <v>2.0000000000000001E-4</v>
      </c>
      <c r="AV151" s="7">
        <v>1E-4</v>
      </c>
      <c r="AW151" s="7">
        <v>1E-4</v>
      </c>
      <c r="AX151" s="7">
        <v>1E-4</v>
      </c>
      <c r="AY151" s="8">
        <v>0</v>
      </c>
      <c r="AZ151" s="7">
        <v>1E-4</v>
      </c>
      <c r="BA151" s="7">
        <v>0</v>
      </c>
      <c r="BB151" s="7">
        <v>1E-4</v>
      </c>
      <c r="BC151" s="8">
        <v>0</v>
      </c>
      <c r="BD151" s="7">
        <v>1E-4</v>
      </c>
      <c r="BE151" s="7">
        <f>VLOOKUP($A151,'1.Sep'!$M$8:$O$1048576,3,0)</f>
        <v>0</v>
      </c>
      <c r="BF151" s="7">
        <f>VLOOKUP($A151,'2.Sep'!$M$8:$O$1048576,3,0)</f>
        <v>0</v>
      </c>
      <c r="BG151" s="7">
        <f>VLOOKUP($A151,'3.Sep'!$M$8:$O$1048576,3,0)</f>
        <v>0</v>
      </c>
      <c r="BH151" s="8">
        <v>0</v>
      </c>
      <c r="BI151" s="8">
        <v>0</v>
      </c>
      <c r="BJ151" s="8">
        <f>VLOOKUP($A151,'6.Sep'!$M$8:$O$1048576,3,0)</f>
        <v>0</v>
      </c>
      <c r="BK151" s="8">
        <f>VLOOKUP($A151,'7.Sep'!$M$8:$O$1048576,3,0)</f>
        <v>0</v>
      </c>
      <c r="BL151" s="8">
        <f>VLOOKUP($A151,'8.Sep'!$M$8:$O$1048576,3,0)</f>
        <v>0</v>
      </c>
      <c r="BM151" s="7">
        <v>0</v>
      </c>
      <c r="BN151" s="8">
        <f>VLOOKUP($A151,'10.Sep'!$M$8:$O$1048576,3,0)</f>
        <v>0</v>
      </c>
      <c r="BO151" s="8">
        <f>VLOOKUP($A151,'11.Sep'!$M$8:$O$1048576,3,0)</f>
        <v>0</v>
      </c>
      <c r="BP151" s="7">
        <v>0</v>
      </c>
      <c r="BQ151" s="7">
        <f>VLOOKUP($A151,'13.Sep'!$M$8:$O$1048576,3,0)</f>
        <v>0</v>
      </c>
      <c r="BR151" s="8">
        <v>0</v>
      </c>
      <c r="BS151" s="8">
        <v>0</v>
      </c>
      <c r="BT151" s="8">
        <v>0</v>
      </c>
      <c r="BU151" s="7">
        <f>VLOOKUP($A151,'17.Sep'!$M$8:$O$1048576,3,0)</f>
        <v>0</v>
      </c>
      <c r="BV151" s="7">
        <v>0</v>
      </c>
      <c r="BW151" s="7">
        <f>VLOOKUP($A151,'19.Sep'!$M$8:$O$1048576,3,0)</f>
        <v>0</v>
      </c>
      <c r="BX151" s="8">
        <v>0</v>
      </c>
      <c r="BY151" s="7">
        <f>VLOOKUP($A151,'21.Sep'!$M$8:$O$1048576,3,0)</f>
        <v>1E-4</v>
      </c>
      <c r="BZ151" s="7">
        <v>0</v>
      </c>
      <c r="CA151" s="7">
        <f>VLOOKUP($A151,'23.Sep'!$M$8:$O$1048576,3,0)</f>
        <v>1E-4</v>
      </c>
      <c r="CB151" s="7">
        <f>VLOOKUP($A151,'24.Sep'!$M$8:$O$1048576,3,0)</f>
        <v>0</v>
      </c>
      <c r="CC151" s="7">
        <f>VLOOKUP($A151,'24.Sep'!$M$8:$O$1048576,3,0)</f>
        <v>0</v>
      </c>
    </row>
    <row r="152" spans="1:81" outlineLevel="1">
      <c r="A152" s="6" t="s">
        <v>39</v>
      </c>
      <c r="B152" s="7">
        <v>0</v>
      </c>
      <c r="C152" s="7">
        <v>0</v>
      </c>
      <c r="D152" s="7">
        <v>1.4285714285714287E-5</v>
      </c>
      <c r="E152" s="7">
        <v>0</v>
      </c>
      <c r="F152" s="7">
        <v>5.7142857142857148E-5</v>
      </c>
      <c r="G152" s="7">
        <v>5.7142857142857148E-5</v>
      </c>
      <c r="H152" s="7">
        <f t="shared" si="37"/>
        <v>2.8571428571428574E-5</v>
      </c>
      <c r="I152" s="7">
        <f t="shared" si="38"/>
        <v>8.5714285714285726E-5</v>
      </c>
      <c r="J152" s="7">
        <f t="shared" si="39"/>
        <v>4.2857142857142863E-5</v>
      </c>
      <c r="K152" s="7">
        <f t="shared" si="40"/>
        <v>3.3333333333333335E-5</v>
      </c>
      <c r="L152" s="7">
        <f t="shared" si="41"/>
        <v>4.0000000000000003E-5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0</v>
      </c>
      <c r="T152" s="8">
        <v>0</v>
      </c>
      <c r="U152" s="8">
        <v>0</v>
      </c>
      <c r="V152" s="8">
        <v>0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8">
        <v>0</v>
      </c>
      <c r="AC152" s="8">
        <v>0</v>
      </c>
      <c r="AD152" s="8">
        <v>0</v>
      </c>
      <c r="AE152" s="8">
        <v>1E-4</v>
      </c>
      <c r="AF152" s="8">
        <v>0</v>
      </c>
      <c r="AG152" s="8">
        <v>0</v>
      </c>
      <c r="AH152" s="8">
        <v>0</v>
      </c>
      <c r="AI152" s="8">
        <v>0</v>
      </c>
      <c r="AJ152" s="8">
        <v>0</v>
      </c>
      <c r="AK152" s="8">
        <v>0</v>
      </c>
      <c r="AL152" s="8">
        <v>0</v>
      </c>
      <c r="AM152" s="7">
        <v>0</v>
      </c>
      <c r="AN152" s="7">
        <v>1E-4</v>
      </c>
      <c r="AO152" s="7">
        <v>1E-4</v>
      </c>
      <c r="AP152" s="7">
        <v>0</v>
      </c>
      <c r="AQ152" s="7">
        <v>0</v>
      </c>
      <c r="AR152" s="7">
        <v>0</v>
      </c>
      <c r="AS152" s="7">
        <v>1E-4</v>
      </c>
      <c r="AT152" s="7">
        <v>1E-4</v>
      </c>
      <c r="AU152" s="7">
        <v>1E-4</v>
      </c>
      <c r="AV152" s="7">
        <v>0</v>
      </c>
      <c r="AW152" s="7">
        <v>0</v>
      </c>
      <c r="AX152" s="7">
        <v>1E-4</v>
      </c>
      <c r="AY152" s="7">
        <v>1E-4</v>
      </c>
      <c r="AZ152" s="7">
        <v>1E-4</v>
      </c>
      <c r="BA152" s="7">
        <v>0</v>
      </c>
      <c r="BB152" s="7">
        <v>0</v>
      </c>
      <c r="BC152" s="7">
        <v>1E-4</v>
      </c>
      <c r="BD152" s="7">
        <v>0</v>
      </c>
      <c r="BE152" s="7">
        <f>VLOOKUP($A152,'1.Sep'!$M$8:$O$1048576,3,0)</f>
        <v>0</v>
      </c>
      <c r="BF152" s="7">
        <f>VLOOKUP($A152,'2.Sep'!$M$8:$O$1048576,3,0)</f>
        <v>0</v>
      </c>
      <c r="BG152" s="7">
        <f>VLOOKUP($A152,'3.Sep'!$M$8:$O$1048576,3,0)</f>
        <v>0</v>
      </c>
      <c r="BH152" s="8">
        <f>VLOOKUP($A152,'4.Sep'!$M$8:$O$1048576,3,0)</f>
        <v>1E-4</v>
      </c>
      <c r="BI152" s="8">
        <f>VLOOKUP($A152,'5.Sep'!$M$8:$O$1048576,3,0)</f>
        <v>1E-4</v>
      </c>
      <c r="BJ152" s="8">
        <v>0</v>
      </c>
      <c r="BK152" s="8">
        <f>VLOOKUP($A152,'7.Sep'!$M$8:$O$1048576,3,0)</f>
        <v>1E-4</v>
      </c>
      <c r="BL152" s="8">
        <f>VLOOKUP($A152,'8.Sep'!$M$8:$O$1048576,3,0)</f>
        <v>1E-4</v>
      </c>
      <c r="BM152" s="8">
        <f>VLOOKUP($A152,'9.Sep'!$M$8:$O$1048576,3,0)</f>
        <v>1E-4</v>
      </c>
      <c r="BN152" s="8">
        <f>VLOOKUP($A152,'10.Sep'!$M$8:$O$1048576,3,0)</f>
        <v>1E-4</v>
      </c>
      <c r="BO152" s="8">
        <f>VLOOKUP($A152,'11.Sep'!$M$8:$O$1048576,3,0)</f>
        <v>1E-4</v>
      </c>
      <c r="BP152" s="7">
        <f>VLOOKUP($A152,'12.Sep'!$M$8:$O$1048576,3,0)</f>
        <v>0</v>
      </c>
      <c r="BQ152" s="7">
        <f>VLOOKUP($A152,'13.Sep'!$M$8:$O$1048576,3,0)</f>
        <v>0</v>
      </c>
      <c r="BR152" s="7">
        <f>VLOOKUP($A152,'14.Sep'!$M$8:$O$1048576,3,0)</f>
        <v>1E-4</v>
      </c>
      <c r="BS152" s="7">
        <f>VLOOKUP($A152,'15.Sep'!$M$8:$O$1048576,3,0)</f>
        <v>0</v>
      </c>
      <c r="BT152" s="8">
        <v>0</v>
      </c>
      <c r="BU152" s="7">
        <f>VLOOKUP($A152,'17.Sep'!$M$8:$O$1048576,3,0)</f>
        <v>1E-4</v>
      </c>
      <c r="BV152" s="7">
        <f>VLOOKUP($A152,'18.Sep'!$M$8:$O$1048576,3,0)</f>
        <v>1E-4</v>
      </c>
      <c r="BW152" s="7">
        <f>VLOOKUP($A152,'19.Sep'!$M$8:$O$1048576,3,0)</f>
        <v>0</v>
      </c>
      <c r="BX152" s="8">
        <v>0</v>
      </c>
      <c r="BY152" s="7">
        <f>VLOOKUP($A152,'21.Sep'!$M$8:$O$1048576,3,0)</f>
        <v>1E-4</v>
      </c>
      <c r="BZ152" s="7">
        <f>VLOOKUP($A152,'22.Sep'!$M$8:$O$1048576,3,0)</f>
        <v>1E-4</v>
      </c>
      <c r="CA152" s="7">
        <f>VLOOKUP($A152,'23.Sep'!$M$8:$O$1048576,3,0)</f>
        <v>0</v>
      </c>
      <c r="CB152" s="7">
        <f>VLOOKUP($A152,'24.Sep'!$M$8:$O$1048576,3,0)</f>
        <v>0</v>
      </c>
      <c r="CC152" s="7">
        <f>VLOOKUP($A152,'24.Sep'!$M$8:$O$1048576,3,0)</f>
        <v>0</v>
      </c>
    </row>
    <row r="153" spans="1:81" outlineLevel="1">
      <c r="A153" s="6" t="s">
        <v>40</v>
      </c>
      <c r="B153" s="7">
        <v>0</v>
      </c>
      <c r="C153" s="7">
        <v>0</v>
      </c>
      <c r="D153" s="7">
        <v>0</v>
      </c>
      <c r="E153" s="7">
        <v>1.5714285714285716E-4</v>
      </c>
      <c r="F153" s="7">
        <v>8.5714285714285726E-5</v>
      </c>
      <c r="G153" s="7">
        <v>1.4285714285714287E-4</v>
      </c>
      <c r="H153" s="7">
        <f t="shared" si="37"/>
        <v>1E-4</v>
      </c>
      <c r="I153" s="7">
        <f t="shared" si="38"/>
        <v>1.0000000000000002E-4</v>
      </c>
      <c r="J153" s="7">
        <f t="shared" si="39"/>
        <v>5.7142857142857148E-5</v>
      </c>
      <c r="K153" s="7">
        <f t="shared" si="40"/>
        <v>8.3333333333333331E-5</v>
      </c>
      <c r="L153" s="7">
        <f t="shared" si="41"/>
        <v>1E-4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8">
        <v>0</v>
      </c>
      <c r="V153" s="8">
        <v>0</v>
      </c>
      <c r="W153" s="8">
        <v>0</v>
      </c>
      <c r="X153" s="8">
        <v>0</v>
      </c>
      <c r="Y153" s="8">
        <v>0</v>
      </c>
      <c r="Z153" s="8">
        <v>0</v>
      </c>
      <c r="AA153" s="8">
        <v>0</v>
      </c>
      <c r="AB153" s="8">
        <v>0</v>
      </c>
      <c r="AC153" s="8">
        <v>0</v>
      </c>
      <c r="AD153" s="8">
        <v>0</v>
      </c>
      <c r="AE153" s="8">
        <v>0</v>
      </c>
      <c r="AF153" s="8">
        <v>0</v>
      </c>
      <c r="AG153" s="8">
        <v>1E-4</v>
      </c>
      <c r="AH153" s="8">
        <v>0</v>
      </c>
      <c r="AI153" s="8">
        <v>4.0000000000000002E-4</v>
      </c>
      <c r="AJ153" s="8">
        <v>2.0000000000000001E-4</v>
      </c>
      <c r="AK153" s="8">
        <v>1E-4</v>
      </c>
      <c r="AL153" s="8">
        <v>1E-4</v>
      </c>
      <c r="AM153" s="7">
        <v>2.0000000000000001E-4</v>
      </c>
      <c r="AN153" s="8">
        <v>0</v>
      </c>
      <c r="AO153" s="7">
        <v>2.9999999999999997E-4</v>
      </c>
      <c r="AP153" s="7">
        <v>1E-4</v>
      </c>
      <c r="AQ153" s="7">
        <v>0</v>
      </c>
      <c r="AR153" s="7">
        <v>1E-4</v>
      </c>
      <c r="AS153" s="7">
        <v>0</v>
      </c>
      <c r="AT153" s="7">
        <v>1E-4</v>
      </c>
      <c r="AU153" s="7">
        <v>0</v>
      </c>
      <c r="AV153" s="7">
        <v>2.0000000000000001E-4</v>
      </c>
      <c r="AW153" s="8">
        <v>0</v>
      </c>
      <c r="AX153" s="7">
        <v>2.9999999999999997E-4</v>
      </c>
      <c r="AY153" s="7">
        <v>1E-4</v>
      </c>
      <c r="AZ153" s="7">
        <v>2.9999999999999997E-4</v>
      </c>
      <c r="BA153" s="7">
        <v>1E-4</v>
      </c>
      <c r="BB153" s="7">
        <v>1E-4</v>
      </c>
      <c r="BC153" s="7">
        <v>0</v>
      </c>
      <c r="BD153" s="7">
        <v>1E-4</v>
      </c>
      <c r="BE153" s="7">
        <f>VLOOKUP($A153,'1.Sep'!$M$8:$O$1048576,3,0)</f>
        <v>1E-4</v>
      </c>
      <c r="BF153" s="7">
        <f>VLOOKUP($A153,'2.Sep'!$M$8:$O$1048576,3,0)</f>
        <v>1E-4</v>
      </c>
      <c r="BG153" s="7">
        <f>VLOOKUP($A153,'3.Sep'!$M$8:$O$1048576,3,0)</f>
        <v>1E-4</v>
      </c>
      <c r="BH153" s="8">
        <f>VLOOKUP($A153,'4.Sep'!$M$8:$O$1048576,3,0)</f>
        <v>2.0000000000000001E-4</v>
      </c>
      <c r="BI153" s="8">
        <f>VLOOKUP($A153,'5.Sep'!$M$8:$O$1048576,3,0)</f>
        <v>1E-4</v>
      </c>
      <c r="BJ153" s="8">
        <f>VLOOKUP($A153,'6.Sep'!$M$8:$O$1048576,3,0)</f>
        <v>0</v>
      </c>
      <c r="BK153" s="8">
        <f>VLOOKUP($A153,'7.Sep'!$M$8:$O$1048576,3,0)</f>
        <v>1E-4</v>
      </c>
      <c r="BL153" s="8">
        <f>VLOOKUP($A153,'8.Sep'!$M$8:$O$1048576,3,0)</f>
        <v>1E-4</v>
      </c>
      <c r="BM153" s="8">
        <f>VLOOKUP($A153,'9.Sep'!$M$8:$O$1048576,3,0)</f>
        <v>2.9999999999999997E-4</v>
      </c>
      <c r="BN153" s="8">
        <f>VLOOKUP($A153,'10.Sep'!$M$8:$O$1048576,3,0)</f>
        <v>1E-4</v>
      </c>
      <c r="BO153" s="8">
        <f>VLOOKUP($A153,'11.Sep'!$M$8:$O$1048576,3,0)</f>
        <v>0</v>
      </c>
      <c r="BP153" s="7">
        <f>VLOOKUP($A153,'12.Sep'!$M$8:$O$1048576,3,0)</f>
        <v>0</v>
      </c>
      <c r="BQ153" s="7">
        <f>VLOOKUP($A153,'13.Sep'!$M$8:$O$1048576,3,0)</f>
        <v>1E-4</v>
      </c>
      <c r="BR153" s="7">
        <f>VLOOKUP($A153,'14.Sep'!$M$8:$O$1048576,3,0)</f>
        <v>0</v>
      </c>
      <c r="BS153" s="7">
        <f>VLOOKUP($A153,'15.Sep'!$M$8:$O$1048576,3,0)</f>
        <v>1E-4</v>
      </c>
      <c r="BT153" s="8">
        <v>0</v>
      </c>
      <c r="BU153" s="7">
        <f>VLOOKUP($A153,'17.Sep'!$M$8:$O$1048576,3,0)</f>
        <v>1E-4</v>
      </c>
      <c r="BV153" s="7">
        <f>VLOOKUP($A153,'18.Sep'!$M$8:$O$1048576,3,0)</f>
        <v>1E-4</v>
      </c>
      <c r="BW153" s="7">
        <f>VLOOKUP($A153,'19.Sep'!$M$8:$O$1048576,3,0)</f>
        <v>0</v>
      </c>
      <c r="BX153" s="7">
        <f>VLOOKUP($A153,'20.Sep'!$M$8:$O$1048576,3,0)</f>
        <v>1E-4</v>
      </c>
      <c r="BY153" s="7">
        <v>0</v>
      </c>
      <c r="BZ153" s="7">
        <f>VLOOKUP($A153,'22.Sep'!$M$8:$O$1048576,3,0)</f>
        <v>1E-4</v>
      </c>
      <c r="CA153" s="7">
        <f>VLOOKUP($A153,'23.Sep'!$M$8:$O$1048576,3,0)</f>
        <v>2.0000000000000001E-4</v>
      </c>
      <c r="CB153" s="7">
        <f>VLOOKUP($A153,'24.Sep'!$M$8:$O$1048576,3,0)</f>
        <v>1E-4</v>
      </c>
      <c r="CC153" s="7">
        <f>VLOOKUP($A153,'24.Sep'!$M$8:$O$1048576,3,0)</f>
        <v>1E-4</v>
      </c>
    </row>
    <row r="154" spans="1:81" outlineLevel="1">
      <c r="A154" s="6" t="s">
        <v>41</v>
      </c>
      <c r="B154" s="7">
        <v>0</v>
      </c>
      <c r="C154" s="7">
        <v>0</v>
      </c>
      <c r="D154" s="7">
        <v>2.142857142857143E-4</v>
      </c>
      <c r="E154" s="7">
        <v>5.7142857142857147E-4</v>
      </c>
      <c r="F154" s="7">
        <v>4.4285714285714284E-4</v>
      </c>
      <c r="G154" s="7">
        <v>2.2857142857142859E-4</v>
      </c>
      <c r="H154" s="7">
        <f t="shared" si="37"/>
        <v>3.8571428571428573E-4</v>
      </c>
      <c r="I154" s="7">
        <f t="shared" si="38"/>
        <v>4.8571428571428577E-4</v>
      </c>
      <c r="J154" s="7">
        <f t="shared" si="39"/>
        <v>6.2857142857142853E-4</v>
      </c>
      <c r="K154" s="7">
        <f t="shared" si="40"/>
        <v>8.0000000000000004E-4</v>
      </c>
      <c r="L154" s="7">
        <f t="shared" si="41"/>
        <v>8.2000000000000009E-4</v>
      </c>
      <c r="M154" s="8">
        <v>0</v>
      </c>
      <c r="N154" s="8">
        <v>0</v>
      </c>
      <c r="O154" s="8">
        <v>0</v>
      </c>
      <c r="P154" s="8">
        <v>0</v>
      </c>
      <c r="Q154" s="8">
        <v>0</v>
      </c>
      <c r="R154" s="8">
        <v>0</v>
      </c>
      <c r="S154" s="8">
        <v>0</v>
      </c>
      <c r="T154" s="8">
        <v>0</v>
      </c>
      <c r="U154" s="8">
        <v>0</v>
      </c>
      <c r="V154" s="8">
        <v>0</v>
      </c>
      <c r="W154" s="8">
        <v>0</v>
      </c>
      <c r="X154" s="8">
        <v>0</v>
      </c>
      <c r="Y154" s="8">
        <v>0</v>
      </c>
      <c r="Z154" s="8">
        <v>0</v>
      </c>
      <c r="AA154" s="8">
        <v>0</v>
      </c>
      <c r="AB154" s="8">
        <v>0</v>
      </c>
      <c r="AC154" s="8">
        <v>0</v>
      </c>
      <c r="AD154" s="8">
        <v>2.9999999999999997E-4</v>
      </c>
      <c r="AE154" s="8">
        <v>6.9999999999999999E-4</v>
      </c>
      <c r="AF154" s="8">
        <v>5.0000000000000001E-4</v>
      </c>
      <c r="AG154" s="8">
        <v>2.0000000000000001E-4</v>
      </c>
      <c r="AH154" s="8">
        <v>6.9999999999999999E-4</v>
      </c>
      <c r="AI154" s="8">
        <v>1E-3</v>
      </c>
      <c r="AJ154" s="8">
        <v>6.9999999999999999E-4</v>
      </c>
      <c r="AK154" s="8">
        <v>5.0000000000000001E-4</v>
      </c>
      <c r="AL154" s="8">
        <v>4.0000000000000002E-4</v>
      </c>
      <c r="AM154" s="7">
        <v>5.0000000000000001E-4</v>
      </c>
      <c r="AN154" s="7">
        <v>5.0000000000000001E-4</v>
      </c>
      <c r="AO154" s="7">
        <v>5.0000000000000001E-4</v>
      </c>
      <c r="AP154" s="7">
        <v>5.9999999999999995E-4</v>
      </c>
      <c r="AQ154" s="7">
        <v>5.0000000000000001E-4</v>
      </c>
      <c r="AR154" s="7">
        <v>2.9999999999999997E-4</v>
      </c>
      <c r="AS154" s="7">
        <v>2.9999999999999997E-4</v>
      </c>
      <c r="AT154" s="7">
        <v>4.0000000000000002E-4</v>
      </c>
      <c r="AU154" s="7">
        <v>2.0000000000000001E-4</v>
      </c>
      <c r="AV154" s="7">
        <v>2.0000000000000001E-4</v>
      </c>
      <c r="AW154" s="7">
        <v>2.0000000000000001E-4</v>
      </c>
      <c r="AX154" s="7">
        <v>2.9999999999999997E-4</v>
      </c>
      <c r="AY154" s="7">
        <v>4.0000000000000002E-4</v>
      </c>
      <c r="AZ154" s="7">
        <v>2.0000000000000001E-4</v>
      </c>
      <c r="BA154" s="7">
        <v>1E-4</v>
      </c>
      <c r="BB154" s="7">
        <v>4.0000000000000002E-4</v>
      </c>
      <c r="BC154" s="7">
        <v>4.0000000000000002E-4</v>
      </c>
      <c r="BD154" s="7">
        <v>4.0000000000000002E-4</v>
      </c>
      <c r="BE154" s="7">
        <f>VLOOKUP($A154,'1.Sep'!$M$8:$O$1048576,3,0)</f>
        <v>4.0000000000000002E-4</v>
      </c>
      <c r="BF154" s="7">
        <f>VLOOKUP($A154,'2.Sep'!$M$8:$O$1048576,3,0)</f>
        <v>4.0000000000000002E-4</v>
      </c>
      <c r="BG154" s="7">
        <f>VLOOKUP($A154,'3.Sep'!$M$8:$O$1048576,3,0)</f>
        <v>2.9999999999999997E-4</v>
      </c>
      <c r="BH154" s="8">
        <f>VLOOKUP($A154,'4.Sep'!$M$8:$O$1048576,3,0)</f>
        <v>4.0000000000000002E-4</v>
      </c>
      <c r="BI154" s="8">
        <f>VLOOKUP($A154,'5.Sep'!$M$8:$O$1048576,3,0)</f>
        <v>2.9999999999999997E-4</v>
      </c>
      <c r="BJ154" s="8">
        <f>VLOOKUP($A154,'6.Sep'!$M$8:$O$1048576,3,0)</f>
        <v>8.0000000000000004E-4</v>
      </c>
      <c r="BK154" s="8">
        <f>VLOOKUP($A154,'7.Sep'!$M$8:$O$1048576,3,0)</f>
        <v>5.0000000000000001E-4</v>
      </c>
      <c r="BL154" s="8">
        <f>VLOOKUP($A154,'8.Sep'!$M$8:$O$1048576,3,0)</f>
        <v>4.0000000000000002E-4</v>
      </c>
      <c r="BM154" s="8">
        <f>VLOOKUP($A154,'9.Sep'!$M$8:$O$1048576,3,0)</f>
        <v>4.0000000000000002E-4</v>
      </c>
      <c r="BN154" s="8">
        <f>VLOOKUP($A154,'10.Sep'!$M$8:$O$1048576,3,0)</f>
        <v>5.0000000000000001E-4</v>
      </c>
      <c r="BO154" s="8">
        <f>VLOOKUP($A154,'11.Sep'!$M$8:$O$1048576,3,0)</f>
        <v>5.0000000000000001E-4</v>
      </c>
      <c r="BP154" s="7">
        <f>VLOOKUP($A154,'12.Sep'!$M$8:$O$1048576,3,0)</f>
        <v>5.0000000000000001E-4</v>
      </c>
      <c r="BQ154" s="7">
        <f>VLOOKUP($A154,'13.Sep'!$M$8:$O$1048576,3,0)</f>
        <v>5.9999999999999995E-4</v>
      </c>
      <c r="BR154" s="7">
        <f>VLOOKUP($A154,'14.Sep'!$M$8:$O$1048576,3,0)</f>
        <v>5.0000000000000001E-4</v>
      </c>
      <c r="BS154" s="7">
        <f>VLOOKUP($A154,'15.Sep'!$M$8:$O$1048576,3,0)</f>
        <v>5.9999999999999995E-4</v>
      </c>
      <c r="BT154" s="7">
        <f>VLOOKUP($A154,'16.Sep'!$M$8:$O$1048576,3,0)</f>
        <v>5.9999999999999995E-4</v>
      </c>
      <c r="BU154" s="7">
        <f>VLOOKUP($A154,'17.Sep'!$M$8:$O$1048576,3,0)</f>
        <v>1E-3</v>
      </c>
      <c r="BV154" s="7">
        <f>VLOOKUP($A154,'18.Sep'!$M$8:$O$1048576,3,0)</f>
        <v>5.9999999999999995E-4</v>
      </c>
      <c r="BW154" s="7">
        <f>VLOOKUP($A154,'19.Sep'!$M$8:$O$1048576,3,0)</f>
        <v>6.9999999999999999E-4</v>
      </c>
      <c r="BX154" s="7">
        <f>VLOOKUP($A154,'20.Sep'!$M$8:$O$1048576,3,0)</f>
        <v>1E-3</v>
      </c>
      <c r="BY154" s="7">
        <f>VLOOKUP($A154,'21.Sep'!$M$8:$O$1048576,3,0)</f>
        <v>8.9999999999999998E-4</v>
      </c>
      <c r="BZ154" s="7">
        <f>VLOOKUP($A154,'22.Sep'!$M$8:$O$1048576,3,0)</f>
        <v>5.0000000000000001E-4</v>
      </c>
      <c r="CA154" s="7">
        <f>VLOOKUP($A154,'23.Sep'!$M$8:$O$1048576,3,0)</f>
        <v>8.9999999999999998E-4</v>
      </c>
      <c r="CB154" s="7">
        <f>VLOOKUP($A154,'24.Sep'!$M$8:$O$1048576,3,0)</f>
        <v>8.0000000000000004E-4</v>
      </c>
      <c r="CC154" s="7">
        <f>VLOOKUP($A154,'24.Sep'!$M$8:$O$1048576,3,0)</f>
        <v>8.0000000000000004E-4</v>
      </c>
    </row>
    <row r="155" spans="1:81" outlineLevel="1">
      <c r="A155" s="6" t="s">
        <v>42</v>
      </c>
      <c r="B155" s="7">
        <v>0</v>
      </c>
      <c r="C155" s="7">
        <v>0</v>
      </c>
      <c r="D155" s="7">
        <v>1.4285714285714287E-5</v>
      </c>
      <c r="E155" s="7">
        <v>0</v>
      </c>
      <c r="F155" s="7">
        <v>0</v>
      </c>
      <c r="G155" s="7">
        <v>0</v>
      </c>
      <c r="H155" s="7">
        <f t="shared" si="37"/>
        <v>0</v>
      </c>
      <c r="I155" s="7">
        <f t="shared" si="38"/>
        <v>1.4285714285714287E-5</v>
      </c>
      <c r="J155" s="7">
        <f t="shared" si="39"/>
        <v>4.2857142857142863E-5</v>
      </c>
      <c r="K155" s="7">
        <f t="shared" si="40"/>
        <v>0</v>
      </c>
      <c r="L155" s="7">
        <f t="shared" si="41"/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8">
        <v>0</v>
      </c>
      <c r="V155" s="8">
        <v>0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8">
        <v>0</v>
      </c>
      <c r="AC155" s="8">
        <v>0</v>
      </c>
      <c r="AD155" s="8">
        <v>0</v>
      </c>
      <c r="AE155" s="8">
        <v>1E-4</v>
      </c>
      <c r="AF155" s="8">
        <v>0</v>
      </c>
      <c r="AG155" s="8">
        <v>0</v>
      </c>
      <c r="AH155" s="8">
        <v>0</v>
      </c>
      <c r="AI155" s="8">
        <v>0</v>
      </c>
      <c r="AJ155" s="8">
        <v>0</v>
      </c>
      <c r="AK155" s="8">
        <v>0</v>
      </c>
      <c r="AL155" s="8">
        <v>0</v>
      </c>
      <c r="AM155" s="7">
        <v>0</v>
      </c>
      <c r="AN155" s="8">
        <v>0</v>
      </c>
      <c r="AO155" s="8">
        <v>0</v>
      </c>
      <c r="AP155" s="8">
        <v>0</v>
      </c>
      <c r="AQ155" s="8">
        <v>0</v>
      </c>
      <c r="AR155" s="8">
        <v>0</v>
      </c>
      <c r="AS155" s="8">
        <v>0</v>
      </c>
      <c r="AT155" s="8">
        <v>0</v>
      </c>
      <c r="AU155" s="8">
        <v>0</v>
      </c>
      <c r="AV155" s="8">
        <v>0</v>
      </c>
      <c r="AW155" s="8">
        <v>0</v>
      </c>
      <c r="AX155" s="8">
        <v>0</v>
      </c>
      <c r="AY155" s="8">
        <v>0</v>
      </c>
      <c r="AZ155" s="8">
        <v>0</v>
      </c>
      <c r="BA155" s="8">
        <v>0</v>
      </c>
      <c r="BB155" s="8">
        <v>0</v>
      </c>
      <c r="BC155" s="8">
        <v>0</v>
      </c>
      <c r="BD155" s="7">
        <v>0</v>
      </c>
      <c r="BE155" s="7">
        <f>VLOOKUP($A155,'1.Sep'!$M$8:$O$1048576,3,0)</f>
        <v>0</v>
      </c>
      <c r="BF155" s="7">
        <f>VLOOKUP($A155,'2.Sep'!$M$8:$O$1048576,3,0)</f>
        <v>0</v>
      </c>
      <c r="BG155" s="7">
        <v>0</v>
      </c>
      <c r="BH155" s="8">
        <f>VLOOKUP($A155,'4.Sep'!$M$8:$O$1048576,3,0)</f>
        <v>0</v>
      </c>
      <c r="BI155" s="8">
        <v>0</v>
      </c>
      <c r="BJ155" s="8">
        <f>VLOOKUP($A155,'6.Sep'!$M$8:$O$1048576,3,0)</f>
        <v>0</v>
      </c>
      <c r="BK155" s="8">
        <f>VLOOKUP($A155,'7.Sep'!$M$8:$O$1048576,3,0)</f>
        <v>0</v>
      </c>
      <c r="BL155" s="8">
        <v>0</v>
      </c>
      <c r="BM155" s="8">
        <f>VLOOKUP($A155,'9.Sep'!$M$8:$O$1048576,3,0)</f>
        <v>1E-4</v>
      </c>
      <c r="BN155" s="8">
        <f>VLOOKUP($A155,'10.Sep'!$M$8:$O$1048576,3,0)</f>
        <v>0</v>
      </c>
      <c r="BO155" s="8">
        <f>VLOOKUP($A155,'11.Sep'!$M$8:$O$1048576,3,0)</f>
        <v>0</v>
      </c>
      <c r="BP155" s="7">
        <f>VLOOKUP($A155,'12.Sep'!$M$8:$O$1048576,3,0)</f>
        <v>1E-4</v>
      </c>
      <c r="BQ155" s="7">
        <f>VLOOKUP($A155,'13.Sep'!$M$8:$O$1048576,3,0)</f>
        <v>1E-4</v>
      </c>
      <c r="BR155" s="7">
        <f>VLOOKUP($A155,'14.Sep'!$M$8:$O$1048576,3,0)</f>
        <v>0</v>
      </c>
      <c r="BS155" s="7">
        <f>VLOOKUP($A155,'15.Sep'!$M$8:$O$1048576,3,0)</f>
        <v>0</v>
      </c>
      <c r="BT155" s="8">
        <v>0</v>
      </c>
      <c r="BU155" s="7">
        <f>VLOOKUP($A155,'17.Sep'!$M$8:$O$1048576,3,0)</f>
        <v>1E-4</v>
      </c>
      <c r="BV155" s="7">
        <f>VLOOKUP($A155,'18.Sep'!$M$8:$O$1048576,3,0)</f>
        <v>0</v>
      </c>
      <c r="BW155" s="7">
        <v>0</v>
      </c>
      <c r="BX155" s="8">
        <v>0</v>
      </c>
      <c r="BY155" s="7">
        <v>0</v>
      </c>
      <c r="BZ155" s="7">
        <v>0</v>
      </c>
      <c r="CA155" s="7">
        <f>VLOOKUP($A155,'23.Sep'!$M$8:$O$1048576,3,0)</f>
        <v>0</v>
      </c>
      <c r="CB155" s="7">
        <v>0</v>
      </c>
      <c r="CC155" s="7">
        <v>0</v>
      </c>
    </row>
    <row r="156" spans="1:81" outlineLevel="1">
      <c r="A156" s="6" t="s">
        <v>43</v>
      </c>
      <c r="B156" s="7">
        <v>0</v>
      </c>
      <c r="C156" s="7">
        <v>0</v>
      </c>
      <c r="D156" s="7">
        <v>1.4285714285714287E-5</v>
      </c>
      <c r="E156" s="7">
        <v>1.5714285714285716E-4</v>
      </c>
      <c r="F156" s="7">
        <v>1.4285714285714287E-4</v>
      </c>
      <c r="G156" s="7">
        <v>1.0000000000000002E-4</v>
      </c>
      <c r="H156" s="7">
        <f t="shared" si="37"/>
        <v>8.5714285714285726E-5</v>
      </c>
      <c r="I156" s="7">
        <f t="shared" si="38"/>
        <v>2.8571428571428574E-5</v>
      </c>
      <c r="J156" s="7">
        <f t="shared" si="39"/>
        <v>4.2857142857142863E-5</v>
      </c>
      <c r="K156" s="7">
        <f t="shared" si="40"/>
        <v>1.1666666666666668E-4</v>
      </c>
      <c r="L156" s="7">
        <f t="shared" si="41"/>
        <v>1E-4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0</v>
      </c>
      <c r="S156" s="8">
        <v>0</v>
      </c>
      <c r="T156" s="8">
        <v>0</v>
      </c>
      <c r="U156" s="8">
        <v>0</v>
      </c>
      <c r="V156" s="8">
        <v>0</v>
      </c>
      <c r="W156" s="8">
        <v>0</v>
      </c>
      <c r="X156" s="8">
        <v>0</v>
      </c>
      <c r="Y156" s="8">
        <v>0</v>
      </c>
      <c r="Z156" s="8">
        <v>0</v>
      </c>
      <c r="AA156" s="8">
        <v>0</v>
      </c>
      <c r="AB156" s="8">
        <v>0</v>
      </c>
      <c r="AC156" s="8">
        <v>0</v>
      </c>
      <c r="AD156" s="8">
        <v>1E-4</v>
      </c>
      <c r="AE156" s="8">
        <v>0</v>
      </c>
      <c r="AF156" s="8">
        <v>0</v>
      </c>
      <c r="AG156" s="8">
        <v>1E-4</v>
      </c>
      <c r="AH156" s="8">
        <v>1E-4</v>
      </c>
      <c r="AI156" s="8">
        <v>5.0000000000000001E-4</v>
      </c>
      <c r="AJ156" s="8">
        <v>1E-4</v>
      </c>
      <c r="AK156" s="8">
        <v>1E-4</v>
      </c>
      <c r="AL156" s="8">
        <v>1E-4</v>
      </c>
      <c r="AM156" s="7">
        <v>1E-4</v>
      </c>
      <c r="AN156" s="7">
        <v>2.0000000000000001E-4</v>
      </c>
      <c r="AO156" s="7">
        <v>1E-4</v>
      </c>
      <c r="AP156" s="7">
        <v>1E-4</v>
      </c>
      <c r="AQ156" s="7">
        <v>1E-4</v>
      </c>
      <c r="AR156" s="7">
        <v>2.9999999999999997E-4</v>
      </c>
      <c r="AS156" s="7">
        <v>1E-4</v>
      </c>
      <c r="AT156" s="7">
        <v>1E-4</v>
      </c>
      <c r="AU156" s="7">
        <v>1E-4</v>
      </c>
      <c r="AV156" s="7">
        <v>0</v>
      </c>
      <c r="AW156" s="8">
        <v>0</v>
      </c>
      <c r="AX156" s="7">
        <v>1E-4</v>
      </c>
      <c r="AY156" s="7">
        <v>2.0000000000000001E-4</v>
      </c>
      <c r="AZ156" s="7">
        <v>2.0000000000000001E-4</v>
      </c>
      <c r="BA156" s="7">
        <v>1E-4</v>
      </c>
      <c r="BB156" s="8">
        <v>0</v>
      </c>
      <c r="BC156" s="7">
        <v>1E-4</v>
      </c>
      <c r="BD156" s="7">
        <v>1E-4</v>
      </c>
      <c r="BE156" s="7">
        <f>VLOOKUP($A156,'1.Sep'!$M$8:$O$1048576,3,0)</f>
        <v>1E-4</v>
      </c>
      <c r="BF156" s="7">
        <v>0</v>
      </c>
      <c r="BG156" s="7">
        <f>VLOOKUP($A156,'3.Sep'!$M$8:$O$1048576,3,0)</f>
        <v>2.0000000000000001E-4</v>
      </c>
      <c r="BH156" s="8">
        <f>VLOOKUP($A156,'4.Sep'!$M$8:$O$1048576,3,0)</f>
        <v>1E-4</v>
      </c>
      <c r="BI156" s="8">
        <v>0</v>
      </c>
      <c r="BJ156" s="8">
        <f>VLOOKUP($A156,'6.Sep'!$M$8:$O$1048576,3,0)</f>
        <v>1E-4</v>
      </c>
      <c r="BK156" s="8">
        <f>VLOOKUP($A156,'7.Sep'!$M$8:$O$1048576,3,0)</f>
        <v>0</v>
      </c>
      <c r="BL156" s="8">
        <v>0</v>
      </c>
      <c r="BM156" s="7">
        <v>0</v>
      </c>
      <c r="BN156" s="7">
        <v>0</v>
      </c>
      <c r="BO156" s="8">
        <f>VLOOKUP($A156,'11.Sep'!$M$8:$O$1048576,3,0)</f>
        <v>1E-4</v>
      </c>
      <c r="BP156" s="7">
        <f>VLOOKUP($A156,'12.Sep'!$M$8:$O$1048576,3,0)</f>
        <v>1E-4</v>
      </c>
      <c r="BQ156" s="7">
        <f>VLOOKUP($A156,'13.Sep'!$M$8:$O$1048576,3,0)</f>
        <v>0</v>
      </c>
      <c r="BR156" s="7">
        <f>VLOOKUP($A156,'14.Sep'!$M$8:$O$1048576,3,0)</f>
        <v>1E-4</v>
      </c>
      <c r="BS156" s="7">
        <f>VLOOKUP($A156,'15.Sep'!$M$8:$O$1048576,3,0)</f>
        <v>1E-4</v>
      </c>
      <c r="BT156" s="7">
        <f>VLOOKUP($A156,'16.Sep'!$M$8:$O$1048576,3,0)</f>
        <v>0</v>
      </c>
      <c r="BU156" s="8">
        <v>0</v>
      </c>
      <c r="BV156" s="7">
        <f>VLOOKUP($A156,'18.Sep'!$M$8:$O$1048576,3,0)</f>
        <v>0</v>
      </c>
      <c r="BW156" s="7">
        <f>VLOOKUP($A156,'19.Sep'!$M$8:$O$1048576,3,0)</f>
        <v>2.0000000000000001E-4</v>
      </c>
      <c r="BX156" s="8">
        <v>0</v>
      </c>
      <c r="BY156" s="7">
        <f>VLOOKUP($A156,'21.Sep'!$M$8:$O$1048576,3,0)</f>
        <v>1E-4</v>
      </c>
      <c r="BZ156" s="7">
        <f>VLOOKUP($A156,'22.Sep'!$M$8:$O$1048576,3,0)</f>
        <v>1E-4</v>
      </c>
      <c r="CA156" s="7">
        <f>VLOOKUP($A156,'23.Sep'!$M$8:$O$1048576,3,0)</f>
        <v>2.0000000000000001E-4</v>
      </c>
      <c r="CB156" s="7">
        <f>VLOOKUP($A156,'24.Sep'!$M$8:$O$1048576,3,0)</f>
        <v>1E-4</v>
      </c>
      <c r="CC156" s="7">
        <f>VLOOKUP($A156,'24.Sep'!$M$8:$O$1048576,3,0)</f>
        <v>1E-4</v>
      </c>
    </row>
    <row r="157" spans="1:81" outlineLevel="1">
      <c r="A157" s="6" t="s">
        <v>44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f t="shared" si="37"/>
        <v>0</v>
      </c>
      <c r="I157" s="7">
        <f t="shared" si="38"/>
        <v>0</v>
      </c>
      <c r="J157" s="7">
        <f t="shared" si="39"/>
        <v>0</v>
      </c>
      <c r="K157" s="7">
        <f t="shared" si="40"/>
        <v>0</v>
      </c>
      <c r="L157" s="7">
        <f t="shared" si="41"/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8">
        <v>0</v>
      </c>
      <c r="V157" s="8">
        <v>0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8">
        <v>0</v>
      </c>
      <c r="AC157" s="8">
        <v>0</v>
      </c>
      <c r="AD157" s="8">
        <v>0</v>
      </c>
      <c r="AE157" s="8">
        <v>0</v>
      </c>
      <c r="AF157" s="8">
        <v>0</v>
      </c>
      <c r="AG157" s="8">
        <v>0</v>
      </c>
      <c r="AH157" s="8">
        <v>0</v>
      </c>
      <c r="AI157" s="8">
        <v>0</v>
      </c>
      <c r="AJ157" s="8">
        <v>0</v>
      </c>
      <c r="AK157" s="8">
        <v>0</v>
      </c>
      <c r="AL157" s="8">
        <v>0</v>
      </c>
      <c r="AM157" s="7">
        <v>0</v>
      </c>
      <c r="AN157" s="8">
        <v>0</v>
      </c>
      <c r="AO157" s="8">
        <v>0</v>
      </c>
      <c r="AP157" s="8">
        <v>0</v>
      </c>
      <c r="AQ157" s="8">
        <v>0</v>
      </c>
      <c r="AR157" s="8">
        <v>0</v>
      </c>
      <c r="AS157" s="8">
        <v>0</v>
      </c>
      <c r="AT157" s="8">
        <v>0</v>
      </c>
      <c r="AU157" s="8">
        <v>0</v>
      </c>
      <c r="AV157" s="8">
        <v>0</v>
      </c>
      <c r="AW157" s="8">
        <v>0</v>
      </c>
      <c r="AX157" s="8">
        <v>0</v>
      </c>
      <c r="AY157" s="8">
        <v>0</v>
      </c>
      <c r="AZ157" s="8">
        <v>0</v>
      </c>
      <c r="BA157" s="8">
        <v>0</v>
      </c>
      <c r="BB157" s="8">
        <v>0</v>
      </c>
      <c r="BC157" s="8">
        <v>0</v>
      </c>
      <c r="BD157" s="7">
        <v>0</v>
      </c>
      <c r="BE157" s="7">
        <v>0</v>
      </c>
      <c r="BF157" s="7">
        <v>0</v>
      </c>
      <c r="BG157" s="7">
        <v>0</v>
      </c>
      <c r="BH157" s="8">
        <v>0</v>
      </c>
      <c r="BI157" s="8">
        <v>0</v>
      </c>
      <c r="BJ157" s="8">
        <v>0</v>
      </c>
      <c r="BK157" s="8">
        <v>0</v>
      </c>
      <c r="BL157" s="8">
        <v>0</v>
      </c>
      <c r="BM157" s="7">
        <v>0</v>
      </c>
      <c r="BN157" s="7">
        <v>0</v>
      </c>
      <c r="BO157" s="8">
        <v>0</v>
      </c>
      <c r="BP157" s="8">
        <v>0</v>
      </c>
      <c r="BQ157" s="7">
        <v>0</v>
      </c>
      <c r="BR157" s="8">
        <v>0</v>
      </c>
      <c r="BS157" s="8">
        <v>0</v>
      </c>
      <c r="BT157" s="8">
        <v>0</v>
      </c>
      <c r="BU157" s="8">
        <v>0</v>
      </c>
      <c r="BV157" s="7">
        <v>0</v>
      </c>
      <c r="BW157" s="8">
        <v>0</v>
      </c>
      <c r="BX157" s="8">
        <v>0</v>
      </c>
      <c r="BY157" s="7">
        <v>0</v>
      </c>
      <c r="BZ157" s="7">
        <v>0</v>
      </c>
      <c r="CA157" s="7">
        <v>0</v>
      </c>
      <c r="CB157" s="7">
        <v>0</v>
      </c>
      <c r="CC157" s="7">
        <v>0</v>
      </c>
    </row>
    <row r="158" spans="1:81" outlineLevel="1">
      <c r="A158" s="6" t="s">
        <v>45</v>
      </c>
      <c r="B158" s="7">
        <v>0</v>
      </c>
      <c r="C158" s="7">
        <v>0</v>
      </c>
      <c r="D158" s="7">
        <v>0</v>
      </c>
      <c r="E158" s="7">
        <v>7.1428571428571434E-5</v>
      </c>
      <c r="F158" s="7">
        <v>2.8571428571428574E-5</v>
      </c>
      <c r="G158" s="7">
        <v>2.8571428571428574E-5</v>
      </c>
      <c r="H158" s="7">
        <f t="shared" si="37"/>
        <v>2.8571428571428574E-5</v>
      </c>
      <c r="I158" s="7">
        <f t="shared" si="38"/>
        <v>8.5714285714285726E-5</v>
      </c>
      <c r="J158" s="7">
        <f t="shared" si="39"/>
        <v>4.2857142857142863E-5</v>
      </c>
      <c r="K158" s="7">
        <f t="shared" si="40"/>
        <v>1.6666666666666667E-5</v>
      </c>
      <c r="L158" s="7">
        <f t="shared" si="41"/>
        <v>2.0000000000000002E-5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  <c r="S158" s="8">
        <v>0</v>
      </c>
      <c r="T158" s="8">
        <v>0</v>
      </c>
      <c r="U158" s="8">
        <v>0</v>
      </c>
      <c r="V158" s="8">
        <v>0</v>
      </c>
      <c r="W158" s="8">
        <v>0</v>
      </c>
      <c r="X158" s="8">
        <v>0</v>
      </c>
      <c r="Y158" s="8">
        <v>0</v>
      </c>
      <c r="Z158" s="8">
        <v>0</v>
      </c>
      <c r="AA158" s="8">
        <v>0</v>
      </c>
      <c r="AB158" s="8">
        <v>0</v>
      </c>
      <c r="AC158" s="8">
        <v>0</v>
      </c>
      <c r="AD158" s="8">
        <v>0</v>
      </c>
      <c r="AE158" s="8">
        <v>0</v>
      </c>
      <c r="AF158" s="8">
        <v>0</v>
      </c>
      <c r="AG158" s="8">
        <v>0</v>
      </c>
      <c r="AH158" s="8">
        <v>0</v>
      </c>
      <c r="AI158" s="8">
        <v>2.0000000000000001E-4</v>
      </c>
      <c r="AJ158" s="8">
        <v>1E-4</v>
      </c>
      <c r="AK158" s="8">
        <v>0</v>
      </c>
      <c r="AL158" s="8">
        <v>2.0000000000000001E-4</v>
      </c>
      <c r="AM158" s="7">
        <v>0</v>
      </c>
      <c r="AN158" s="7">
        <v>0</v>
      </c>
      <c r="AO158" s="7">
        <v>1E-4</v>
      </c>
      <c r="AP158" s="7">
        <v>0</v>
      </c>
      <c r="AQ158" s="8">
        <v>0</v>
      </c>
      <c r="AR158" s="8">
        <v>0</v>
      </c>
      <c r="AS158" s="7">
        <v>0</v>
      </c>
      <c r="AT158" s="7">
        <v>1E-4</v>
      </c>
      <c r="AU158" s="8">
        <v>0</v>
      </c>
      <c r="AV158" s="8">
        <v>0</v>
      </c>
      <c r="AW158" s="7">
        <v>0</v>
      </c>
      <c r="AX158" s="7">
        <v>1E-4</v>
      </c>
      <c r="AY158" s="7">
        <v>1E-4</v>
      </c>
      <c r="AZ158" s="8">
        <v>0</v>
      </c>
      <c r="BA158" s="7">
        <v>0</v>
      </c>
      <c r="BB158" s="7">
        <v>0</v>
      </c>
      <c r="BC158" s="7">
        <v>0</v>
      </c>
      <c r="BD158" s="7">
        <v>0</v>
      </c>
      <c r="BE158" s="7">
        <f>VLOOKUP($A158,'1.Sep'!$M$8:$O$1048576,3,0)</f>
        <v>0</v>
      </c>
      <c r="BF158" s="7">
        <f>VLOOKUP($A158,'2.Sep'!$M$8:$O$1048576,3,0)</f>
        <v>0</v>
      </c>
      <c r="BG158" s="7">
        <f>VLOOKUP($A158,'3.Sep'!$M$8:$O$1048576,3,0)</f>
        <v>1E-4</v>
      </c>
      <c r="BH158" s="8">
        <f>VLOOKUP($A158,'4.Sep'!$M$8:$O$1048576,3,0)</f>
        <v>1E-4</v>
      </c>
      <c r="BI158" s="8">
        <f>VLOOKUP($A158,'5.Sep'!$M$8:$O$1048576,3,0)</f>
        <v>1E-4</v>
      </c>
      <c r="BJ158" s="8">
        <v>0</v>
      </c>
      <c r="BK158" s="8">
        <v>0</v>
      </c>
      <c r="BL158" s="8">
        <v>0</v>
      </c>
      <c r="BM158" s="8">
        <f>VLOOKUP($A158,'9.Sep'!$M$8:$O$1048576,3,0)</f>
        <v>2.0000000000000001E-4</v>
      </c>
      <c r="BN158" s="7">
        <v>0</v>
      </c>
      <c r="BO158" s="8">
        <f>VLOOKUP($A158,'11.Sep'!$M$8:$O$1048576,3,0)</f>
        <v>2.9999999999999997E-4</v>
      </c>
      <c r="BP158" s="7">
        <f>VLOOKUP($A158,'12.Sep'!$M$8:$O$1048576,3,0)</f>
        <v>0</v>
      </c>
      <c r="BQ158" s="7">
        <f>VLOOKUP($A158,'13.Sep'!$M$8:$O$1048576,3,0)</f>
        <v>1E-4</v>
      </c>
      <c r="BR158" s="7">
        <f>VLOOKUP($A158,'14.Sep'!$M$8:$O$1048576,3,0)</f>
        <v>2.0000000000000001E-4</v>
      </c>
      <c r="BS158" s="7">
        <f>VLOOKUP($A158,'15.Sep'!$M$8:$O$1048576,3,0)</f>
        <v>0</v>
      </c>
      <c r="BT158" s="7">
        <f>VLOOKUP($A158,'16.Sep'!$M$8:$O$1048576,3,0)</f>
        <v>0</v>
      </c>
      <c r="BU158" s="7">
        <f>VLOOKUP($A158,'17.Sep'!$M$8:$O$1048576,3,0)</f>
        <v>0</v>
      </c>
      <c r="BV158" s="7">
        <f>VLOOKUP($A158,'18.Sep'!$M$8:$O$1048576,3,0)</f>
        <v>0</v>
      </c>
      <c r="BW158" s="7">
        <f>VLOOKUP($A158,'19.Sep'!$M$8:$O$1048576,3,0)</f>
        <v>0</v>
      </c>
      <c r="BX158" s="8">
        <v>0</v>
      </c>
      <c r="BY158" s="7">
        <v>0</v>
      </c>
      <c r="BZ158" s="7">
        <v>0</v>
      </c>
      <c r="CA158" s="7">
        <f>VLOOKUP($A158,'23.Sep'!$M$8:$O$1048576,3,0)</f>
        <v>0</v>
      </c>
      <c r="CB158" s="7">
        <f>VLOOKUP($A158,'24.Sep'!$M$8:$O$1048576,3,0)</f>
        <v>1E-4</v>
      </c>
      <c r="CC158" s="7">
        <f>VLOOKUP($A158,'24.Sep'!$M$8:$O$1048576,3,0)</f>
        <v>1E-4</v>
      </c>
    </row>
    <row r="159" spans="1:81" outlineLevel="1">
      <c r="A159" s="6" t="s">
        <v>46</v>
      </c>
      <c r="B159" s="7">
        <v>0</v>
      </c>
      <c r="C159" s="7">
        <v>0</v>
      </c>
      <c r="D159" s="7">
        <v>0</v>
      </c>
      <c r="E159" s="7">
        <v>0</v>
      </c>
      <c r="F159" s="7">
        <v>1.4285714285714287E-4</v>
      </c>
      <c r="G159" s="7">
        <v>5.7142857142857148E-5</v>
      </c>
      <c r="H159" s="7">
        <f t="shared" si="37"/>
        <v>0</v>
      </c>
      <c r="I159" s="7">
        <f t="shared" si="38"/>
        <v>0</v>
      </c>
      <c r="J159" s="7">
        <f t="shared" si="39"/>
        <v>0</v>
      </c>
      <c r="K159" s="7">
        <f t="shared" si="40"/>
        <v>0</v>
      </c>
      <c r="L159" s="7">
        <f t="shared" si="41"/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  <c r="S159" s="8">
        <v>0</v>
      </c>
      <c r="T159" s="8">
        <v>0</v>
      </c>
      <c r="U159" s="8">
        <v>0</v>
      </c>
      <c r="V159" s="8">
        <v>0</v>
      </c>
      <c r="W159" s="8">
        <v>0</v>
      </c>
      <c r="X159" s="8">
        <v>0</v>
      </c>
      <c r="Y159" s="8">
        <v>0</v>
      </c>
      <c r="Z159" s="8">
        <v>0</v>
      </c>
      <c r="AA159" s="8">
        <v>0</v>
      </c>
      <c r="AB159" s="8">
        <v>0</v>
      </c>
      <c r="AC159" s="8">
        <v>0</v>
      </c>
      <c r="AD159" s="8">
        <v>0</v>
      </c>
      <c r="AE159" s="8">
        <v>0</v>
      </c>
      <c r="AF159" s="8">
        <v>0</v>
      </c>
      <c r="AG159" s="8">
        <v>0</v>
      </c>
      <c r="AH159" s="8">
        <v>0</v>
      </c>
      <c r="AI159" s="8">
        <v>0</v>
      </c>
      <c r="AJ159" s="8">
        <v>0</v>
      </c>
      <c r="AK159" s="8">
        <v>0</v>
      </c>
      <c r="AL159" s="8">
        <v>0</v>
      </c>
      <c r="AM159" s="7">
        <v>0</v>
      </c>
      <c r="AN159" s="7">
        <v>2.0000000000000001E-4</v>
      </c>
      <c r="AO159" s="7">
        <v>0</v>
      </c>
      <c r="AP159" s="8">
        <v>0</v>
      </c>
      <c r="AQ159" s="7">
        <v>2.0000000000000001E-4</v>
      </c>
      <c r="AR159" s="7">
        <v>5.9999999999999995E-4</v>
      </c>
      <c r="AS159" s="8">
        <v>0</v>
      </c>
      <c r="AT159" s="8">
        <v>0</v>
      </c>
      <c r="AU159" s="8">
        <v>0</v>
      </c>
      <c r="AV159" s="8">
        <v>0</v>
      </c>
      <c r="AW159" s="8">
        <v>0</v>
      </c>
      <c r="AX159" s="8">
        <v>0</v>
      </c>
      <c r="AY159" s="7">
        <v>4.0000000000000002E-4</v>
      </c>
      <c r="AZ159" s="8">
        <v>0</v>
      </c>
      <c r="BA159" s="8">
        <v>0</v>
      </c>
      <c r="BB159" s="8">
        <v>0</v>
      </c>
      <c r="BC159" s="8">
        <v>0</v>
      </c>
      <c r="BD159" s="7">
        <v>0</v>
      </c>
      <c r="BE159" s="7">
        <v>0</v>
      </c>
      <c r="BF159" s="7">
        <v>0</v>
      </c>
      <c r="BG159" s="7">
        <v>0</v>
      </c>
      <c r="BH159" s="8">
        <v>0</v>
      </c>
      <c r="BI159" s="8">
        <v>0</v>
      </c>
      <c r="BJ159" s="8">
        <v>0</v>
      </c>
      <c r="BK159" s="8">
        <v>0</v>
      </c>
      <c r="BL159" s="8">
        <v>0</v>
      </c>
      <c r="BM159" s="7">
        <v>0</v>
      </c>
      <c r="BN159" s="7">
        <v>0</v>
      </c>
      <c r="BO159" s="8">
        <v>0</v>
      </c>
      <c r="BP159" s="8">
        <v>0</v>
      </c>
      <c r="BQ159" s="7">
        <v>0</v>
      </c>
      <c r="BR159" s="8">
        <v>0</v>
      </c>
      <c r="BS159" s="8">
        <v>0</v>
      </c>
      <c r="BT159" s="8">
        <v>0</v>
      </c>
      <c r="BU159" s="8">
        <v>0</v>
      </c>
      <c r="BV159" s="7">
        <f>VLOOKUP($A159,'18.Sep'!$M$8:$O$1048576,3,0)</f>
        <v>0</v>
      </c>
      <c r="BW159" s="8">
        <v>0</v>
      </c>
      <c r="BX159" s="8">
        <v>0</v>
      </c>
      <c r="BY159" s="7">
        <v>0</v>
      </c>
      <c r="BZ159" s="7">
        <v>0</v>
      </c>
      <c r="CA159" s="7">
        <v>0</v>
      </c>
      <c r="CB159" s="7">
        <v>0</v>
      </c>
      <c r="CC159" s="7">
        <v>0</v>
      </c>
    </row>
    <row r="160" spans="1:81" outlineLevel="1">
      <c r="A160" s="6" t="s">
        <v>47</v>
      </c>
      <c r="B160" s="7">
        <v>0</v>
      </c>
      <c r="C160" s="7">
        <v>0</v>
      </c>
      <c r="D160" s="7">
        <v>0</v>
      </c>
      <c r="E160" s="7">
        <v>1.4285714285714287E-5</v>
      </c>
      <c r="F160" s="7">
        <v>0</v>
      </c>
      <c r="G160" s="7">
        <v>0</v>
      </c>
      <c r="H160" s="7">
        <f t="shared" si="37"/>
        <v>0</v>
      </c>
      <c r="I160" s="7">
        <f t="shared" si="38"/>
        <v>0</v>
      </c>
      <c r="J160" s="7">
        <f t="shared" si="39"/>
        <v>0</v>
      </c>
      <c r="K160" s="7">
        <f t="shared" si="40"/>
        <v>0</v>
      </c>
      <c r="L160" s="7">
        <f t="shared" si="41"/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  <c r="S160" s="8">
        <v>0</v>
      </c>
      <c r="T160" s="8">
        <v>0</v>
      </c>
      <c r="U160" s="8">
        <v>0</v>
      </c>
      <c r="V160" s="8">
        <v>0</v>
      </c>
      <c r="W160" s="8">
        <v>0</v>
      </c>
      <c r="X160" s="8">
        <v>0</v>
      </c>
      <c r="Y160" s="8">
        <v>0</v>
      </c>
      <c r="Z160" s="8">
        <v>0</v>
      </c>
      <c r="AA160" s="8">
        <v>0</v>
      </c>
      <c r="AB160" s="8">
        <v>0</v>
      </c>
      <c r="AC160" s="8">
        <v>0</v>
      </c>
      <c r="AD160" s="8">
        <v>0</v>
      </c>
      <c r="AE160" s="8">
        <v>0</v>
      </c>
      <c r="AF160" s="8">
        <v>0</v>
      </c>
      <c r="AG160" s="8">
        <v>1E-4</v>
      </c>
      <c r="AH160" s="8">
        <v>0</v>
      </c>
      <c r="AI160" s="8">
        <v>0</v>
      </c>
      <c r="AJ160" s="8">
        <v>0</v>
      </c>
      <c r="AK160" s="8">
        <v>0</v>
      </c>
      <c r="AL160" s="8">
        <v>0</v>
      </c>
      <c r="AM160" s="7">
        <v>0</v>
      </c>
      <c r="AN160" s="8">
        <v>0</v>
      </c>
      <c r="AO160" s="8">
        <v>0</v>
      </c>
      <c r="AP160" s="8">
        <v>0</v>
      </c>
      <c r="AQ160" s="8">
        <v>0</v>
      </c>
      <c r="AR160" s="7">
        <v>0</v>
      </c>
      <c r="AS160" s="8">
        <v>0</v>
      </c>
      <c r="AT160" s="8">
        <v>0</v>
      </c>
      <c r="AU160" s="8">
        <v>0</v>
      </c>
      <c r="AV160" s="8">
        <v>0</v>
      </c>
      <c r="AW160" s="8">
        <v>0</v>
      </c>
      <c r="AX160" s="8">
        <v>0</v>
      </c>
      <c r="AY160" s="8">
        <v>0</v>
      </c>
      <c r="AZ160" s="8">
        <v>0</v>
      </c>
      <c r="BA160" s="8">
        <v>0</v>
      </c>
      <c r="BB160" s="8">
        <v>0</v>
      </c>
      <c r="BC160" s="7">
        <v>0</v>
      </c>
      <c r="BD160" s="7">
        <v>0</v>
      </c>
      <c r="BE160" s="7">
        <v>0</v>
      </c>
      <c r="BF160" s="7">
        <v>0</v>
      </c>
      <c r="BG160" s="7">
        <v>0</v>
      </c>
      <c r="BH160" s="8">
        <v>0</v>
      </c>
      <c r="BI160" s="8">
        <v>0</v>
      </c>
      <c r="BJ160" s="8">
        <v>0</v>
      </c>
      <c r="BK160" s="8">
        <v>0</v>
      </c>
      <c r="BL160" s="8">
        <v>0</v>
      </c>
      <c r="BM160" s="7">
        <v>0</v>
      </c>
      <c r="BN160" s="7">
        <v>0</v>
      </c>
      <c r="BO160" s="8">
        <v>0</v>
      </c>
      <c r="BP160" s="8">
        <v>0</v>
      </c>
      <c r="BQ160" s="7">
        <v>0</v>
      </c>
      <c r="BR160" s="8">
        <v>0</v>
      </c>
      <c r="BS160" s="8">
        <v>0</v>
      </c>
      <c r="BT160" s="7">
        <f>VLOOKUP($A160,'16.Sep'!$M$8:$O$1048576,3,0)</f>
        <v>0</v>
      </c>
      <c r="BU160" s="7">
        <f>VLOOKUP($A160,'17.Sep'!$M$8:$O$1048576,3,0)</f>
        <v>0</v>
      </c>
      <c r="BV160" s="7">
        <v>0</v>
      </c>
      <c r="BW160" s="7">
        <v>0</v>
      </c>
      <c r="BX160" s="8">
        <v>0</v>
      </c>
      <c r="BY160" s="7">
        <v>0</v>
      </c>
      <c r="BZ160" s="7">
        <v>0</v>
      </c>
      <c r="CA160" s="7">
        <v>0</v>
      </c>
      <c r="CB160" s="7">
        <v>0</v>
      </c>
      <c r="CC160" s="7">
        <v>0</v>
      </c>
    </row>
    <row r="161" spans="1:81" outlineLevel="1">
      <c r="A161" s="6" t="s">
        <v>48</v>
      </c>
      <c r="B161" s="7">
        <v>0</v>
      </c>
      <c r="C161" s="7">
        <v>0</v>
      </c>
      <c r="D161" s="7">
        <v>0</v>
      </c>
      <c r="E161" s="7">
        <v>2.8571428571428574E-5</v>
      </c>
      <c r="F161" s="7">
        <v>0</v>
      </c>
      <c r="G161" s="7">
        <v>1.4285714285714287E-5</v>
      </c>
      <c r="H161" s="7">
        <f t="shared" si="37"/>
        <v>0</v>
      </c>
      <c r="I161" s="7">
        <f t="shared" si="38"/>
        <v>0</v>
      </c>
      <c r="J161" s="7">
        <f t="shared" si="39"/>
        <v>0</v>
      </c>
      <c r="K161" s="7">
        <f t="shared" si="40"/>
        <v>1.6666666666666667E-5</v>
      </c>
      <c r="L161" s="7">
        <f t="shared" si="41"/>
        <v>2.0000000000000002E-5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8">
        <v>0</v>
      </c>
      <c r="V161" s="8">
        <v>0</v>
      </c>
      <c r="W161" s="8">
        <v>0</v>
      </c>
      <c r="X161" s="8">
        <v>0</v>
      </c>
      <c r="Y161" s="8">
        <v>0</v>
      </c>
      <c r="Z161" s="8">
        <v>0</v>
      </c>
      <c r="AA161" s="8">
        <v>0</v>
      </c>
      <c r="AB161" s="8">
        <v>0</v>
      </c>
      <c r="AC161" s="8">
        <v>0</v>
      </c>
      <c r="AD161" s="8">
        <v>0</v>
      </c>
      <c r="AE161" s="8">
        <v>0</v>
      </c>
      <c r="AF161" s="8">
        <v>0</v>
      </c>
      <c r="AG161" s="8">
        <v>0</v>
      </c>
      <c r="AH161" s="8">
        <v>1E-4</v>
      </c>
      <c r="AI161" s="8">
        <v>1E-4</v>
      </c>
      <c r="AJ161" s="8">
        <v>0</v>
      </c>
      <c r="AK161" s="8">
        <v>0</v>
      </c>
      <c r="AL161" s="8">
        <v>0</v>
      </c>
      <c r="AM161" s="7">
        <v>0</v>
      </c>
      <c r="AN161" s="8">
        <v>0</v>
      </c>
      <c r="AO161" s="7">
        <v>0</v>
      </c>
      <c r="AP161" s="7">
        <v>0</v>
      </c>
      <c r="AQ161" s="8">
        <v>0</v>
      </c>
      <c r="AR161" s="8">
        <v>0</v>
      </c>
      <c r="AS161" s="8">
        <v>0</v>
      </c>
      <c r="AT161" s="8">
        <v>0</v>
      </c>
      <c r="AU161" s="7">
        <v>1E-4</v>
      </c>
      <c r="AV161" s="8">
        <v>0</v>
      </c>
      <c r="AW161" s="8">
        <v>0</v>
      </c>
      <c r="AX161" s="7">
        <v>0</v>
      </c>
      <c r="AY161" s="7">
        <v>0</v>
      </c>
      <c r="AZ161" s="7">
        <v>0</v>
      </c>
      <c r="BA161" s="7">
        <v>0</v>
      </c>
      <c r="BB161" s="8">
        <v>0</v>
      </c>
      <c r="BC161" s="8">
        <v>0</v>
      </c>
      <c r="BD161" s="7">
        <v>0</v>
      </c>
      <c r="BE161" s="7">
        <v>0</v>
      </c>
      <c r="BF161" s="7">
        <f>VLOOKUP($A161,'2.Sep'!$M$8:$O$1048576,3,0)</f>
        <v>0</v>
      </c>
      <c r="BG161" s="7">
        <v>0</v>
      </c>
      <c r="BH161" s="8">
        <v>0</v>
      </c>
      <c r="BI161" s="8">
        <v>0</v>
      </c>
      <c r="BJ161" s="8">
        <f>VLOOKUP($A161,'6.Sep'!$M$8:$O$1048576,3,0)</f>
        <v>0</v>
      </c>
      <c r="BK161" s="8">
        <f>VLOOKUP($A161,'7.Sep'!$M$8:$O$1048576,3,0)</f>
        <v>0</v>
      </c>
      <c r="BL161" s="8">
        <v>0</v>
      </c>
      <c r="BM161" s="7">
        <v>0</v>
      </c>
      <c r="BN161" s="7">
        <v>0</v>
      </c>
      <c r="BO161" s="8">
        <v>0</v>
      </c>
      <c r="BP161" s="7">
        <f>VLOOKUP($A161,'12.Sep'!$M$8:$O$1048576,3,0)</f>
        <v>0</v>
      </c>
      <c r="BQ161" s="7">
        <v>0</v>
      </c>
      <c r="BR161" s="7">
        <f>VLOOKUP($A161,'14.Sep'!$M$8:$O$1048576,3,0)</f>
        <v>0</v>
      </c>
      <c r="BS161" s="8">
        <v>0</v>
      </c>
      <c r="BT161" s="7">
        <f>VLOOKUP($A161,'16.Sep'!$M$8:$O$1048576,3,0)</f>
        <v>0</v>
      </c>
      <c r="BU161" s="7">
        <f>VLOOKUP($A161,'17.Sep'!$M$8:$O$1048576,3,0)</f>
        <v>0</v>
      </c>
      <c r="BV161" s="7">
        <v>0</v>
      </c>
      <c r="BW161" s="7">
        <v>0</v>
      </c>
      <c r="BX161" s="8">
        <v>0</v>
      </c>
      <c r="BY161" s="7">
        <f>VLOOKUP($A161,'21.Sep'!$M$8:$O$1048576,3,0)</f>
        <v>1E-4</v>
      </c>
      <c r="BZ161" s="7">
        <v>0</v>
      </c>
      <c r="CA161" s="7">
        <v>0</v>
      </c>
      <c r="CB161" s="7">
        <f>VLOOKUP($A161,'24.Sep'!$M$8:$O$1048576,3,0)</f>
        <v>0</v>
      </c>
      <c r="CC161" s="7">
        <f>VLOOKUP($A161,'24.Sep'!$M$8:$O$1048576,3,0)</f>
        <v>0</v>
      </c>
    </row>
    <row r="162" spans="1:81" outlineLevel="1">
      <c r="A162" s="6" t="s">
        <v>49</v>
      </c>
      <c r="B162" s="7">
        <v>0</v>
      </c>
      <c r="C162" s="7">
        <v>0</v>
      </c>
      <c r="D162" s="7">
        <v>0</v>
      </c>
      <c r="E162" s="7">
        <v>2.2857142857142859E-4</v>
      </c>
      <c r="F162" s="7">
        <v>7.8571428571428575E-4</v>
      </c>
      <c r="G162" s="7">
        <v>7.1428571428571434E-5</v>
      </c>
      <c r="H162" s="7">
        <f t="shared" si="37"/>
        <v>0</v>
      </c>
      <c r="I162" s="7">
        <f t="shared" si="38"/>
        <v>1.5714285714285716E-4</v>
      </c>
      <c r="J162" s="7">
        <f t="shared" si="39"/>
        <v>0</v>
      </c>
      <c r="K162" s="7">
        <f t="shared" si="40"/>
        <v>0</v>
      </c>
      <c r="L162" s="7">
        <f t="shared" si="41"/>
        <v>0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  <c r="S162" s="8">
        <v>0</v>
      </c>
      <c r="T162" s="8">
        <v>0</v>
      </c>
      <c r="U162" s="8">
        <v>0</v>
      </c>
      <c r="V162" s="8">
        <v>0</v>
      </c>
      <c r="W162" s="8">
        <v>0</v>
      </c>
      <c r="X162" s="8">
        <v>0</v>
      </c>
      <c r="Y162" s="8">
        <v>0</v>
      </c>
      <c r="Z162" s="8">
        <v>0</v>
      </c>
      <c r="AA162" s="8">
        <v>0</v>
      </c>
      <c r="AB162" s="8">
        <v>0</v>
      </c>
      <c r="AC162" s="8">
        <v>0</v>
      </c>
      <c r="AD162" s="8">
        <v>0</v>
      </c>
      <c r="AE162" s="8">
        <v>0</v>
      </c>
      <c r="AF162" s="8">
        <v>0</v>
      </c>
      <c r="AG162" s="8">
        <v>0</v>
      </c>
      <c r="AH162" s="8">
        <v>0</v>
      </c>
      <c r="AI162" s="8">
        <v>0</v>
      </c>
      <c r="AJ162" s="8">
        <v>0</v>
      </c>
      <c r="AK162" s="8">
        <v>0</v>
      </c>
      <c r="AL162" s="8">
        <v>0</v>
      </c>
      <c r="AM162" s="7">
        <v>1.6000000000000001E-3</v>
      </c>
      <c r="AN162" s="7">
        <v>3.5000000000000001E-3</v>
      </c>
      <c r="AO162" s="7">
        <v>1E-3</v>
      </c>
      <c r="AP162" s="7">
        <v>2.9999999999999997E-4</v>
      </c>
      <c r="AQ162" s="7">
        <v>2.9999999999999997E-4</v>
      </c>
      <c r="AR162" s="7">
        <v>2.9999999999999997E-4</v>
      </c>
      <c r="AS162" s="8">
        <v>0</v>
      </c>
      <c r="AT162" s="7">
        <v>1E-4</v>
      </c>
      <c r="AU162" s="7">
        <v>1E-4</v>
      </c>
      <c r="AV162" s="8">
        <v>0</v>
      </c>
      <c r="AW162" s="7">
        <v>4.0000000000000002E-4</v>
      </c>
      <c r="AX162" s="8">
        <v>0</v>
      </c>
      <c r="AY162" s="8">
        <v>0</v>
      </c>
      <c r="AZ162" s="8">
        <v>0</v>
      </c>
      <c r="BA162" s="8">
        <v>0</v>
      </c>
      <c r="BB162" s="8">
        <v>0</v>
      </c>
      <c r="BC162" s="8">
        <v>0</v>
      </c>
      <c r="BD162" s="7">
        <v>0</v>
      </c>
      <c r="BE162" s="7">
        <v>0</v>
      </c>
      <c r="BF162" s="7">
        <v>0</v>
      </c>
      <c r="BG162" s="7">
        <f>VLOOKUP($A162,'3.Sep'!$M$8:$O$1048576,3,0)</f>
        <v>0</v>
      </c>
      <c r="BH162" s="8">
        <v>0</v>
      </c>
      <c r="BI162" s="8">
        <v>0</v>
      </c>
      <c r="BJ162" s="8">
        <v>0</v>
      </c>
      <c r="BK162" s="8">
        <v>0</v>
      </c>
      <c r="BL162" s="8">
        <f>VLOOKUP($A162,'8.Sep'!$M$8:$O$1048576,3,0)</f>
        <v>8.0000000000000004E-4</v>
      </c>
      <c r="BM162" s="8">
        <f>VLOOKUP($A162,'9.Sep'!$M$8:$O$1048576,3,0)</f>
        <v>1E-4</v>
      </c>
      <c r="BN162" s="8">
        <f>VLOOKUP($A162,'10.Sep'!$M$8:$O$1048576,3,0)</f>
        <v>2.0000000000000001E-4</v>
      </c>
      <c r="BO162" s="8">
        <v>0</v>
      </c>
      <c r="BP162" s="8">
        <v>0</v>
      </c>
      <c r="BQ162" s="7">
        <f>VLOOKUP($A162,'13.Sep'!$M$8:$O$1048576,3,0)</f>
        <v>0</v>
      </c>
      <c r="BR162" s="8">
        <v>0</v>
      </c>
      <c r="BS162" s="8">
        <v>0</v>
      </c>
      <c r="BT162" s="8">
        <v>0</v>
      </c>
      <c r="BU162" s="8">
        <v>0</v>
      </c>
      <c r="BV162" s="7">
        <v>0</v>
      </c>
      <c r="BW162" s="8">
        <v>0</v>
      </c>
      <c r="BX162" s="8">
        <v>0</v>
      </c>
      <c r="BY162" s="7">
        <v>0</v>
      </c>
      <c r="BZ162" s="7">
        <v>0</v>
      </c>
      <c r="CA162" s="7">
        <v>0</v>
      </c>
      <c r="CB162" s="7">
        <v>0</v>
      </c>
      <c r="CC162" s="7">
        <v>0</v>
      </c>
    </row>
    <row r="163" spans="1:81" outlineLevel="1">
      <c r="A163" s="6" t="s">
        <v>50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f t="shared" si="37"/>
        <v>0</v>
      </c>
      <c r="I163" s="7">
        <f t="shared" si="38"/>
        <v>0</v>
      </c>
      <c r="J163" s="7">
        <f t="shared" si="39"/>
        <v>0</v>
      </c>
      <c r="K163" s="7">
        <f t="shared" si="40"/>
        <v>0</v>
      </c>
      <c r="L163" s="7">
        <f t="shared" si="41"/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8">
        <v>0</v>
      </c>
      <c r="V163" s="8">
        <v>0</v>
      </c>
      <c r="W163" s="8">
        <v>0</v>
      </c>
      <c r="X163" s="8">
        <v>0</v>
      </c>
      <c r="Y163" s="8">
        <v>0</v>
      </c>
      <c r="Z163" s="8">
        <v>0</v>
      </c>
      <c r="AA163" s="8">
        <v>0</v>
      </c>
      <c r="AB163" s="8">
        <v>0</v>
      </c>
      <c r="AC163" s="8">
        <v>0</v>
      </c>
      <c r="AD163" s="8">
        <v>0</v>
      </c>
      <c r="AE163" s="8">
        <v>0</v>
      </c>
      <c r="AF163" s="8">
        <v>0</v>
      </c>
      <c r="AG163" s="8">
        <v>0</v>
      </c>
      <c r="AH163" s="8">
        <v>0</v>
      </c>
      <c r="AI163" s="8">
        <v>0</v>
      </c>
      <c r="AJ163" s="8">
        <v>0</v>
      </c>
      <c r="AK163" s="8">
        <v>0</v>
      </c>
      <c r="AL163" s="8">
        <v>0</v>
      </c>
      <c r="AM163" s="7">
        <v>0</v>
      </c>
      <c r="AN163" s="8">
        <v>0</v>
      </c>
      <c r="AO163" s="8">
        <v>0</v>
      </c>
      <c r="AP163" s="8">
        <v>0</v>
      </c>
      <c r="AQ163" s="8">
        <v>0</v>
      </c>
      <c r="AR163" s="8">
        <v>0</v>
      </c>
      <c r="AS163" s="8">
        <v>0</v>
      </c>
      <c r="AT163" s="8">
        <v>0</v>
      </c>
      <c r="AU163" s="8">
        <v>0</v>
      </c>
      <c r="AV163" s="8">
        <v>0</v>
      </c>
      <c r="AW163" s="8">
        <v>0</v>
      </c>
      <c r="AX163" s="8">
        <v>0</v>
      </c>
      <c r="AY163" s="8">
        <v>0</v>
      </c>
      <c r="AZ163" s="8">
        <v>0</v>
      </c>
      <c r="BA163" s="8">
        <v>0</v>
      </c>
      <c r="BB163" s="8">
        <v>0</v>
      </c>
      <c r="BC163" s="8">
        <v>0</v>
      </c>
      <c r="BD163" s="7">
        <v>0</v>
      </c>
      <c r="BE163" s="7">
        <v>0</v>
      </c>
      <c r="BF163" s="7">
        <v>0</v>
      </c>
      <c r="BG163" s="7">
        <v>0</v>
      </c>
      <c r="BH163" s="8">
        <v>0</v>
      </c>
      <c r="BI163" s="8">
        <v>0</v>
      </c>
      <c r="BJ163" s="8">
        <v>0</v>
      </c>
      <c r="BK163" s="8">
        <v>0</v>
      </c>
      <c r="BL163" s="8">
        <v>0</v>
      </c>
      <c r="BM163" s="7">
        <v>0</v>
      </c>
      <c r="BN163" s="7">
        <v>0</v>
      </c>
      <c r="BO163" s="8">
        <v>0</v>
      </c>
      <c r="BP163" s="8">
        <v>0</v>
      </c>
      <c r="BQ163" s="7">
        <v>0</v>
      </c>
      <c r="BR163" s="8">
        <v>0</v>
      </c>
      <c r="BS163" s="8">
        <v>0</v>
      </c>
      <c r="BT163" s="8">
        <v>0</v>
      </c>
      <c r="BU163" s="8">
        <v>0</v>
      </c>
      <c r="BV163" s="7">
        <v>0</v>
      </c>
      <c r="BW163" s="8">
        <v>0</v>
      </c>
      <c r="BX163" s="8">
        <v>0</v>
      </c>
      <c r="BY163" s="7">
        <v>0</v>
      </c>
      <c r="BZ163" s="7">
        <v>0</v>
      </c>
      <c r="CA163" s="7">
        <v>0</v>
      </c>
      <c r="CB163" s="7">
        <v>0</v>
      </c>
      <c r="CC163" s="7">
        <v>0</v>
      </c>
    </row>
    <row r="164" spans="1:81" outlineLevel="1">
      <c r="A164" s="6" t="s">
        <v>51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f t="shared" si="37"/>
        <v>0</v>
      </c>
      <c r="I164" s="7">
        <f t="shared" si="38"/>
        <v>0</v>
      </c>
      <c r="J164" s="7">
        <f t="shared" si="39"/>
        <v>0</v>
      </c>
      <c r="K164" s="7">
        <f t="shared" si="40"/>
        <v>0</v>
      </c>
      <c r="L164" s="7">
        <f t="shared" si="41"/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8">
        <v>0</v>
      </c>
      <c r="V164" s="8">
        <v>0</v>
      </c>
      <c r="W164" s="8">
        <v>0</v>
      </c>
      <c r="X164" s="8">
        <v>0</v>
      </c>
      <c r="Y164" s="8">
        <v>0</v>
      </c>
      <c r="Z164" s="8">
        <v>0</v>
      </c>
      <c r="AA164" s="8">
        <v>0</v>
      </c>
      <c r="AB164" s="8">
        <v>0</v>
      </c>
      <c r="AC164" s="8">
        <v>0</v>
      </c>
      <c r="AD164" s="8">
        <v>0</v>
      </c>
      <c r="AE164" s="8">
        <v>0</v>
      </c>
      <c r="AF164" s="8">
        <v>0</v>
      </c>
      <c r="AG164" s="8">
        <v>0</v>
      </c>
      <c r="AH164" s="8">
        <v>0</v>
      </c>
      <c r="AI164" s="8">
        <v>0</v>
      </c>
      <c r="AJ164" s="8">
        <v>0</v>
      </c>
      <c r="AK164" s="8">
        <v>0</v>
      </c>
      <c r="AL164" s="8">
        <v>0</v>
      </c>
      <c r="AM164" s="7">
        <v>0</v>
      </c>
      <c r="AN164" s="8">
        <v>0</v>
      </c>
      <c r="AO164" s="8">
        <v>0</v>
      </c>
      <c r="AP164" s="8">
        <v>0</v>
      </c>
      <c r="AQ164" s="8">
        <v>0</v>
      </c>
      <c r="AR164" s="8">
        <v>0</v>
      </c>
      <c r="AS164" s="8">
        <v>0</v>
      </c>
      <c r="AT164" s="8">
        <v>0</v>
      </c>
      <c r="AU164" s="8">
        <v>0</v>
      </c>
      <c r="AV164" s="8">
        <v>0</v>
      </c>
      <c r="AW164" s="8">
        <v>0</v>
      </c>
      <c r="AX164" s="8">
        <v>0</v>
      </c>
      <c r="AY164" s="8">
        <v>0</v>
      </c>
      <c r="AZ164" s="8">
        <v>0</v>
      </c>
      <c r="BA164" s="8">
        <v>0</v>
      </c>
      <c r="BB164" s="8">
        <v>0</v>
      </c>
      <c r="BC164" s="8">
        <v>0</v>
      </c>
      <c r="BD164" s="7">
        <v>0</v>
      </c>
      <c r="BE164" s="7">
        <v>0</v>
      </c>
      <c r="BF164" s="7">
        <v>0</v>
      </c>
      <c r="BG164" s="7">
        <f>VLOOKUP($A164,'3.Sep'!$M$8:$O$1048576,3,0)</f>
        <v>0</v>
      </c>
      <c r="BH164" s="8">
        <v>0</v>
      </c>
      <c r="BI164" s="8">
        <v>0</v>
      </c>
      <c r="BJ164" s="8">
        <v>0</v>
      </c>
      <c r="BK164" s="8">
        <v>0</v>
      </c>
      <c r="BL164" s="8">
        <v>0</v>
      </c>
      <c r="BM164" s="7">
        <v>0</v>
      </c>
      <c r="BN164" s="7">
        <v>0</v>
      </c>
      <c r="BO164" s="8">
        <v>0</v>
      </c>
      <c r="BP164" s="8">
        <v>0</v>
      </c>
      <c r="BQ164" s="7">
        <v>0</v>
      </c>
      <c r="BR164" s="7">
        <f>VLOOKUP($A164,'14.Sep'!$M$8:$O$1048576,3,0)</f>
        <v>0</v>
      </c>
      <c r="BS164" s="8">
        <v>0</v>
      </c>
      <c r="BT164" s="8">
        <v>0</v>
      </c>
      <c r="BU164" s="8">
        <v>0</v>
      </c>
      <c r="BV164" s="7">
        <f>VLOOKUP($A164,'18.Sep'!$M$8:$O$1048576,3,0)</f>
        <v>0</v>
      </c>
      <c r="BW164" s="8">
        <v>0</v>
      </c>
      <c r="BX164" s="8">
        <v>0</v>
      </c>
      <c r="BY164" s="7">
        <v>0</v>
      </c>
      <c r="BZ164" s="7">
        <v>0</v>
      </c>
      <c r="CA164" s="7">
        <v>0</v>
      </c>
      <c r="CB164" s="7">
        <f>VLOOKUP($A164,'24.Sep'!$M$8:$O$1048576,3,0)</f>
        <v>0</v>
      </c>
      <c r="CC164" s="7">
        <f>VLOOKUP($A164,'24.Sep'!$M$8:$O$1048576,3,0)</f>
        <v>0</v>
      </c>
    </row>
    <row r="165" spans="1:81" outlineLevel="1">
      <c r="A165" s="6" t="s">
        <v>52</v>
      </c>
      <c r="B165" s="7">
        <v>0</v>
      </c>
      <c r="C165" s="7">
        <v>0</v>
      </c>
      <c r="D165" s="7">
        <v>1.4285714285714287E-5</v>
      </c>
      <c r="E165" s="7">
        <v>0</v>
      </c>
      <c r="F165" s="7">
        <v>0</v>
      </c>
      <c r="G165" s="7">
        <v>0</v>
      </c>
      <c r="H165" s="7">
        <f t="shared" si="37"/>
        <v>0</v>
      </c>
      <c r="I165" s="7">
        <f t="shared" si="38"/>
        <v>0</v>
      </c>
      <c r="J165" s="7">
        <f t="shared" si="39"/>
        <v>0</v>
      </c>
      <c r="K165" s="7">
        <f t="shared" si="40"/>
        <v>0</v>
      </c>
      <c r="L165" s="7">
        <f t="shared" si="41"/>
        <v>0</v>
      </c>
      <c r="M165" s="8">
        <v>0</v>
      </c>
      <c r="N165" s="8">
        <v>0</v>
      </c>
      <c r="O165" s="8">
        <v>0</v>
      </c>
      <c r="P165" s="8">
        <v>0</v>
      </c>
      <c r="Q165" s="8">
        <v>0</v>
      </c>
      <c r="R165" s="8">
        <v>0</v>
      </c>
      <c r="S165" s="8">
        <v>0</v>
      </c>
      <c r="T165" s="8">
        <v>0</v>
      </c>
      <c r="U165" s="8">
        <v>0</v>
      </c>
      <c r="V165" s="8">
        <v>0</v>
      </c>
      <c r="W165" s="8">
        <v>0</v>
      </c>
      <c r="X165" s="8">
        <v>0</v>
      </c>
      <c r="Y165" s="8">
        <v>0</v>
      </c>
      <c r="Z165" s="8">
        <v>0</v>
      </c>
      <c r="AA165" s="8">
        <v>0</v>
      </c>
      <c r="AB165" s="8">
        <v>0</v>
      </c>
      <c r="AC165" s="8">
        <v>0</v>
      </c>
      <c r="AD165" s="8">
        <v>1E-4</v>
      </c>
      <c r="AE165" s="8">
        <v>0</v>
      </c>
      <c r="AF165" s="8">
        <v>0</v>
      </c>
      <c r="AG165" s="8">
        <v>0</v>
      </c>
      <c r="AH165" s="8">
        <v>0</v>
      </c>
      <c r="AI165" s="8">
        <v>0</v>
      </c>
      <c r="AJ165" s="8">
        <v>0</v>
      </c>
      <c r="AK165" s="8">
        <v>0</v>
      </c>
      <c r="AL165" s="8">
        <v>0</v>
      </c>
      <c r="AM165" s="7">
        <v>0</v>
      </c>
      <c r="AN165" s="8">
        <v>0</v>
      </c>
      <c r="AO165" s="8">
        <v>0</v>
      </c>
      <c r="AP165" s="8">
        <v>0</v>
      </c>
      <c r="AQ165" s="8">
        <v>0</v>
      </c>
      <c r="AR165" s="8">
        <v>0</v>
      </c>
      <c r="AS165" s="8">
        <v>0</v>
      </c>
      <c r="AT165" s="8">
        <v>0</v>
      </c>
      <c r="AU165" s="8">
        <v>0</v>
      </c>
      <c r="AV165" s="8">
        <v>0</v>
      </c>
      <c r="AW165" s="8">
        <v>0</v>
      </c>
      <c r="AX165" s="8">
        <v>0</v>
      </c>
      <c r="AY165" s="8">
        <v>0</v>
      </c>
      <c r="AZ165" s="8">
        <v>0</v>
      </c>
      <c r="BA165" s="8">
        <v>0</v>
      </c>
      <c r="BB165" s="8">
        <v>0</v>
      </c>
      <c r="BC165" s="8">
        <v>0</v>
      </c>
      <c r="BD165" s="7">
        <v>0</v>
      </c>
      <c r="BE165" s="7">
        <v>0</v>
      </c>
      <c r="BF165" s="7">
        <v>0</v>
      </c>
      <c r="BG165" s="7">
        <v>0</v>
      </c>
      <c r="BH165" s="8">
        <v>0</v>
      </c>
      <c r="BI165" s="8">
        <v>0</v>
      </c>
      <c r="BJ165" s="8">
        <v>0</v>
      </c>
      <c r="BK165" s="8">
        <v>0</v>
      </c>
      <c r="BL165" s="8">
        <v>0</v>
      </c>
      <c r="BM165" s="7">
        <v>0</v>
      </c>
      <c r="BN165" s="7">
        <v>0</v>
      </c>
      <c r="BO165" s="8">
        <v>0</v>
      </c>
      <c r="BP165" s="8">
        <v>0</v>
      </c>
      <c r="BQ165" s="7">
        <v>0</v>
      </c>
      <c r="BR165" s="8">
        <v>0</v>
      </c>
      <c r="BS165" s="8">
        <v>0</v>
      </c>
      <c r="BT165" s="8">
        <v>0</v>
      </c>
      <c r="BU165" s="8">
        <v>0</v>
      </c>
      <c r="BV165" s="7">
        <v>0</v>
      </c>
      <c r="BW165" s="8">
        <v>0</v>
      </c>
      <c r="BX165" s="8">
        <v>0</v>
      </c>
      <c r="BY165" s="7">
        <v>0</v>
      </c>
      <c r="BZ165" s="7">
        <v>0</v>
      </c>
      <c r="CA165" s="7">
        <v>0</v>
      </c>
      <c r="CB165" s="7">
        <v>0</v>
      </c>
      <c r="CC165" s="7">
        <v>0</v>
      </c>
    </row>
    <row r="166" spans="1:81" outlineLevel="1">
      <c r="A166" s="6" t="s">
        <v>53</v>
      </c>
      <c r="B166" s="7">
        <v>0</v>
      </c>
      <c r="C166" s="7">
        <v>0</v>
      </c>
      <c r="D166" s="7">
        <v>0</v>
      </c>
      <c r="E166" s="7">
        <v>1.4285714285714287E-5</v>
      </c>
      <c r="F166" s="7">
        <v>0</v>
      </c>
      <c r="G166" s="7">
        <v>0</v>
      </c>
      <c r="H166" s="7">
        <f t="shared" si="37"/>
        <v>0</v>
      </c>
      <c r="I166" s="7">
        <f t="shared" si="38"/>
        <v>0</v>
      </c>
      <c r="J166" s="7">
        <f t="shared" si="39"/>
        <v>0</v>
      </c>
      <c r="K166" s="7">
        <f t="shared" si="40"/>
        <v>3.3333333333333335E-5</v>
      </c>
      <c r="L166" s="7">
        <f t="shared" si="41"/>
        <v>2.0000000000000002E-5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8">
        <v>0</v>
      </c>
      <c r="V166" s="8">
        <v>0</v>
      </c>
      <c r="W166" s="8">
        <v>0</v>
      </c>
      <c r="X166" s="8">
        <v>0</v>
      </c>
      <c r="Y166" s="8">
        <v>0</v>
      </c>
      <c r="Z166" s="8">
        <v>0</v>
      </c>
      <c r="AA166" s="8">
        <v>0</v>
      </c>
      <c r="AB166" s="8">
        <v>0</v>
      </c>
      <c r="AC166" s="8">
        <v>0</v>
      </c>
      <c r="AD166" s="8">
        <v>0</v>
      </c>
      <c r="AE166" s="8">
        <v>0</v>
      </c>
      <c r="AF166" s="8">
        <v>0</v>
      </c>
      <c r="AG166" s="8">
        <v>0</v>
      </c>
      <c r="AH166" s="8">
        <v>1E-4</v>
      </c>
      <c r="AI166" s="8">
        <v>0</v>
      </c>
      <c r="AJ166" s="8">
        <v>0</v>
      </c>
      <c r="AK166" s="8">
        <v>0</v>
      </c>
      <c r="AL166" s="8">
        <v>0</v>
      </c>
      <c r="AM166" s="7">
        <v>0</v>
      </c>
      <c r="AN166" s="8">
        <v>0</v>
      </c>
      <c r="AO166" s="8">
        <v>0</v>
      </c>
      <c r="AP166" s="8">
        <v>0</v>
      </c>
      <c r="AQ166" s="8">
        <v>0</v>
      </c>
      <c r="AR166" s="8">
        <v>0</v>
      </c>
      <c r="AS166" s="7">
        <v>0</v>
      </c>
      <c r="AT166" s="8">
        <v>0</v>
      </c>
      <c r="AU166" s="8">
        <v>0</v>
      </c>
      <c r="AV166" s="7">
        <v>0</v>
      </c>
      <c r="AW166" s="8">
        <v>0</v>
      </c>
      <c r="AX166" s="8">
        <v>0</v>
      </c>
      <c r="AY166" s="8">
        <v>0</v>
      </c>
      <c r="AZ166" s="8">
        <v>0</v>
      </c>
      <c r="BA166" s="8">
        <v>0</v>
      </c>
      <c r="BB166" s="8">
        <v>0</v>
      </c>
      <c r="BC166" s="7">
        <v>0</v>
      </c>
      <c r="BD166" s="7">
        <v>0</v>
      </c>
      <c r="BE166" s="7">
        <v>0</v>
      </c>
      <c r="BF166" s="7">
        <v>0</v>
      </c>
      <c r="BG166" s="7">
        <f>VLOOKUP($A166,'3.Sep'!$M$8:$O$1048576,3,0)</f>
        <v>0</v>
      </c>
      <c r="BH166" s="8">
        <v>0</v>
      </c>
      <c r="BI166" s="8">
        <v>0</v>
      </c>
      <c r="BJ166" s="8">
        <v>0</v>
      </c>
      <c r="BK166" s="8">
        <v>0</v>
      </c>
      <c r="BL166" s="8">
        <v>0</v>
      </c>
      <c r="BM166" s="7">
        <v>0</v>
      </c>
      <c r="BN166" s="8">
        <f>VLOOKUP($A166,'10.Sep'!$M$8:$O$1048576,3,0)</f>
        <v>0</v>
      </c>
      <c r="BO166" s="8">
        <v>0</v>
      </c>
      <c r="BP166" s="8">
        <v>0</v>
      </c>
      <c r="BQ166" s="7">
        <v>0</v>
      </c>
      <c r="BR166" s="8">
        <v>0</v>
      </c>
      <c r="BS166" s="8">
        <v>0</v>
      </c>
      <c r="BT166" s="8">
        <v>0</v>
      </c>
      <c r="BU166" s="8">
        <v>0</v>
      </c>
      <c r="BV166" s="7">
        <f>VLOOKUP($A166,'18.Sep'!$M$8:$O$1048576,3,0)</f>
        <v>0</v>
      </c>
      <c r="BW166" s="7">
        <f>VLOOKUP($A166,'19.Sep'!$M$8:$O$1048576,3,0)</f>
        <v>1E-4</v>
      </c>
      <c r="BX166" s="8">
        <v>0</v>
      </c>
      <c r="BY166" s="7">
        <v>0</v>
      </c>
      <c r="BZ166" s="7">
        <f>VLOOKUP($A166,'22.Sep'!$M$8:$O$1048576,3,0)</f>
        <v>1E-4</v>
      </c>
      <c r="CA166" s="7">
        <f>VLOOKUP($A166,'23.Sep'!$M$8:$O$1048576,3,0)</f>
        <v>0</v>
      </c>
      <c r="CB166" s="7">
        <v>0</v>
      </c>
      <c r="CC166" s="7">
        <v>0</v>
      </c>
    </row>
    <row r="167" spans="1:81" outlineLevel="1">
      <c r="A167" s="6" t="s">
        <v>54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f t="shared" si="37"/>
        <v>0</v>
      </c>
      <c r="I167" s="7">
        <f t="shared" si="38"/>
        <v>0</v>
      </c>
      <c r="J167" s="7">
        <f t="shared" si="39"/>
        <v>0</v>
      </c>
      <c r="K167" s="7">
        <f t="shared" si="40"/>
        <v>0</v>
      </c>
      <c r="L167" s="7">
        <f t="shared" si="41"/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8">
        <v>0</v>
      </c>
      <c r="V167" s="8">
        <v>0</v>
      </c>
      <c r="W167" s="8">
        <v>0</v>
      </c>
      <c r="X167" s="8">
        <v>0</v>
      </c>
      <c r="Y167" s="8">
        <v>0</v>
      </c>
      <c r="Z167" s="8">
        <v>0</v>
      </c>
      <c r="AA167" s="8">
        <v>0</v>
      </c>
      <c r="AB167" s="8">
        <v>0</v>
      </c>
      <c r="AC167" s="8">
        <v>0</v>
      </c>
      <c r="AD167" s="8">
        <v>0</v>
      </c>
      <c r="AE167" s="8">
        <v>0</v>
      </c>
      <c r="AF167" s="8">
        <v>0</v>
      </c>
      <c r="AG167" s="8">
        <v>0</v>
      </c>
      <c r="AH167" s="8">
        <v>0</v>
      </c>
      <c r="AI167" s="8">
        <v>0</v>
      </c>
      <c r="AJ167" s="8">
        <v>0</v>
      </c>
      <c r="AK167" s="8">
        <v>0</v>
      </c>
      <c r="AL167" s="8">
        <v>0</v>
      </c>
      <c r="AM167" s="7">
        <v>0</v>
      </c>
      <c r="AN167" s="8">
        <v>0</v>
      </c>
      <c r="AO167" s="8">
        <v>0</v>
      </c>
      <c r="AP167" s="8">
        <v>0</v>
      </c>
      <c r="AQ167" s="8">
        <v>0</v>
      </c>
      <c r="AR167" s="8">
        <v>0</v>
      </c>
      <c r="AS167" s="8">
        <v>0</v>
      </c>
      <c r="AT167" s="8">
        <v>0</v>
      </c>
      <c r="AU167" s="8">
        <v>0</v>
      </c>
      <c r="AV167" s="8">
        <v>0</v>
      </c>
      <c r="AW167" s="8">
        <v>0</v>
      </c>
      <c r="AX167" s="8">
        <v>0</v>
      </c>
      <c r="AY167" s="8">
        <v>0</v>
      </c>
      <c r="AZ167" s="8">
        <v>0</v>
      </c>
      <c r="BA167" s="8">
        <v>0</v>
      </c>
      <c r="BB167" s="8">
        <v>0</v>
      </c>
      <c r="BC167" s="8">
        <v>0</v>
      </c>
      <c r="BD167" s="7">
        <v>0</v>
      </c>
      <c r="BE167" s="7">
        <v>0</v>
      </c>
      <c r="BF167" s="7">
        <v>0</v>
      </c>
      <c r="BG167" s="7">
        <v>0</v>
      </c>
      <c r="BH167" s="8">
        <v>0</v>
      </c>
      <c r="BI167" s="8">
        <v>0</v>
      </c>
      <c r="BJ167" s="8">
        <v>0</v>
      </c>
      <c r="BK167" s="8">
        <v>0</v>
      </c>
      <c r="BL167" s="8">
        <v>0</v>
      </c>
      <c r="BM167" s="7">
        <v>0</v>
      </c>
      <c r="BN167" s="7">
        <v>0</v>
      </c>
      <c r="BO167" s="8">
        <v>0</v>
      </c>
      <c r="BP167" s="8">
        <v>0</v>
      </c>
      <c r="BQ167" s="7">
        <v>0</v>
      </c>
      <c r="BR167" s="8">
        <v>0</v>
      </c>
      <c r="BS167" s="8">
        <v>0</v>
      </c>
      <c r="BT167" s="8">
        <v>0</v>
      </c>
      <c r="BU167" s="8">
        <v>0</v>
      </c>
      <c r="BV167" s="7">
        <v>0</v>
      </c>
      <c r="BW167" s="8">
        <v>0</v>
      </c>
      <c r="BX167" s="8">
        <v>0</v>
      </c>
      <c r="BY167" s="7">
        <v>0</v>
      </c>
      <c r="BZ167" s="7">
        <v>0</v>
      </c>
      <c r="CA167" s="7">
        <v>0</v>
      </c>
      <c r="CB167" s="7">
        <v>0</v>
      </c>
      <c r="CC167" s="7">
        <v>0</v>
      </c>
    </row>
    <row r="168" spans="1:81" outlineLevel="1">
      <c r="A168" s="6" t="s">
        <v>55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f t="shared" si="37"/>
        <v>0</v>
      </c>
      <c r="I168" s="7">
        <f t="shared" si="38"/>
        <v>0</v>
      </c>
      <c r="J168" s="7">
        <f t="shared" si="39"/>
        <v>0</v>
      </c>
      <c r="K168" s="7">
        <f t="shared" si="40"/>
        <v>0</v>
      </c>
      <c r="L168" s="7">
        <f t="shared" si="41"/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0</v>
      </c>
      <c r="S168" s="8">
        <v>0</v>
      </c>
      <c r="T168" s="8">
        <v>0</v>
      </c>
      <c r="U168" s="8">
        <v>0</v>
      </c>
      <c r="V168" s="8">
        <v>0</v>
      </c>
      <c r="W168" s="8">
        <v>0</v>
      </c>
      <c r="X168" s="8">
        <v>0</v>
      </c>
      <c r="Y168" s="8">
        <v>0</v>
      </c>
      <c r="Z168" s="8">
        <v>0</v>
      </c>
      <c r="AA168" s="8">
        <v>0</v>
      </c>
      <c r="AB168" s="8">
        <v>0</v>
      </c>
      <c r="AC168" s="8">
        <v>0</v>
      </c>
      <c r="AD168" s="8">
        <v>0</v>
      </c>
      <c r="AE168" s="8">
        <v>0</v>
      </c>
      <c r="AF168" s="8">
        <v>0</v>
      </c>
      <c r="AG168" s="8">
        <v>0</v>
      </c>
      <c r="AH168" s="8">
        <v>0</v>
      </c>
      <c r="AI168" s="8">
        <v>0</v>
      </c>
      <c r="AJ168" s="8">
        <v>0</v>
      </c>
      <c r="AK168" s="8">
        <v>0</v>
      </c>
      <c r="AL168" s="8">
        <v>0</v>
      </c>
      <c r="AM168" s="7">
        <v>0</v>
      </c>
      <c r="AN168" s="8">
        <v>0</v>
      </c>
      <c r="AO168" s="8">
        <v>0</v>
      </c>
      <c r="AP168" s="8">
        <v>0</v>
      </c>
      <c r="AQ168" s="8">
        <v>0</v>
      </c>
      <c r="AR168" s="8">
        <v>0</v>
      </c>
      <c r="AS168" s="8">
        <v>0</v>
      </c>
      <c r="AT168" s="8">
        <v>0</v>
      </c>
      <c r="AU168" s="8">
        <v>0</v>
      </c>
      <c r="AV168" s="8">
        <v>0</v>
      </c>
      <c r="AW168" s="8">
        <v>0</v>
      </c>
      <c r="AX168" s="7">
        <v>0</v>
      </c>
      <c r="AY168" s="8">
        <v>0</v>
      </c>
      <c r="AZ168" s="8">
        <v>0</v>
      </c>
      <c r="BA168" s="8">
        <v>0</v>
      </c>
      <c r="BB168" s="8">
        <v>0</v>
      </c>
      <c r="BC168" s="8">
        <v>0</v>
      </c>
      <c r="BD168" s="7">
        <v>0</v>
      </c>
      <c r="BE168" s="7">
        <v>0</v>
      </c>
      <c r="BF168" s="7">
        <v>0</v>
      </c>
      <c r="BG168" s="7">
        <f>VLOOKUP($A168,'3.Sep'!$M$8:$O$1048576,3,0)</f>
        <v>0</v>
      </c>
      <c r="BH168" s="8">
        <v>0</v>
      </c>
      <c r="BI168" s="8">
        <v>0</v>
      </c>
      <c r="BJ168" s="8">
        <v>0</v>
      </c>
      <c r="BK168" s="8">
        <v>0</v>
      </c>
      <c r="BL168" s="8">
        <v>0</v>
      </c>
      <c r="BM168" s="7">
        <v>0</v>
      </c>
      <c r="BN168" s="7">
        <v>0</v>
      </c>
      <c r="BO168" s="8">
        <v>0</v>
      </c>
      <c r="BP168" s="8">
        <v>0</v>
      </c>
      <c r="BQ168" s="7">
        <v>0</v>
      </c>
      <c r="BR168" s="8">
        <v>0</v>
      </c>
      <c r="BS168" s="8">
        <v>0</v>
      </c>
      <c r="BT168" s="8">
        <v>0</v>
      </c>
      <c r="BU168" s="8">
        <v>0</v>
      </c>
      <c r="BV168" s="7">
        <v>0</v>
      </c>
      <c r="BW168" s="8">
        <v>0</v>
      </c>
      <c r="BX168" s="8">
        <v>0</v>
      </c>
      <c r="BY168" s="7">
        <v>0</v>
      </c>
      <c r="BZ168" s="7">
        <v>0</v>
      </c>
      <c r="CA168" s="7">
        <v>0</v>
      </c>
      <c r="CB168" s="7">
        <f>VLOOKUP($A168,'24.Sep'!$M$8:$O$1048576,3,0)</f>
        <v>0</v>
      </c>
      <c r="CC168" s="7">
        <f>VLOOKUP($A168,'24.Sep'!$M$8:$O$1048576,3,0)</f>
        <v>0</v>
      </c>
    </row>
    <row r="169" spans="1:81" outlineLevel="1">
      <c r="A169" s="6" t="s">
        <v>56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f t="shared" si="37"/>
        <v>0</v>
      </c>
      <c r="I169" s="7">
        <f t="shared" si="38"/>
        <v>0</v>
      </c>
      <c r="J169" s="7">
        <f t="shared" si="39"/>
        <v>0</v>
      </c>
      <c r="K169" s="7">
        <f t="shared" si="40"/>
        <v>0</v>
      </c>
      <c r="L169" s="7">
        <f t="shared" si="41"/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  <c r="S169" s="8">
        <v>0</v>
      </c>
      <c r="T169" s="8">
        <v>0</v>
      </c>
      <c r="U169" s="8">
        <v>0</v>
      </c>
      <c r="V169" s="8">
        <v>0</v>
      </c>
      <c r="W169" s="8">
        <v>0</v>
      </c>
      <c r="X169" s="8">
        <v>0</v>
      </c>
      <c r="Y169" s="8">
        <v>0</v>
      </c>
      <c r="Z169" s="8">
        <v>0</v>
      </c>
      <c r="AA169" s="8">
        <v>0</v>
      </c>
      <c r="AB169" s="8">
        <v>0</v>
      </c>
      <c r="AC169" s="8">
        <v>0</v>
      </c>
      <c r="AD169" s="8">
        <v>0</v>
      </c>
      <c r="AE169" s="8">
        <v>0</v>
      </c>
      <c r="AF169" s="8">
        <v>0</v>
      </c>
      <c r="AG169" s="8">
        <v>0</v>
      </c>
      <c r="AH169" s="8">
        <v>0</v>
      </c>
      <c r="AI169" s="8">
        <v>0</v>
      </c>
      <c r="AJ169" s="8">
        <v>0</v>
      </c>
      <c r="AK169" s="8">
        <v>0</v>
      </c>
      <c r="AL169" s="8">
        <v>0</v>
      </c>
      <c r="AM169" s="7">
        <v>0</v>
      </c>
      <c r="AN169" s="8">
        <v>0</v>
      </c>
      <c r="AO169" s="8">
        <v>0</v>
      </c>
      <c r="AP169" s="8">
        <v>0</v>
      </c>
      <c r="AQ169" s="8">
        <v>0</v>
      </c>
      <c r="AR169" s="8">
        <v>0</v>
      </c>
      <c r="AS169" s="8">
        <v>0</v>
      </c>
      <c r="AT169" s="8">
        <v>0</v>
      </c>
      <c r="AU169" s="8">
        <v>0</v>
      </c>
      <c r="AV169" s="8">
        <v>0</v>
      </c>
      <c r="AW169" s="8">
        <v>0</v>
      </c>
      <c r="AX169" s="8">
        <v>0</v>
      </c>
      <c r="AY169" s="8">
        <v>0</v>
      </c>
      <c r="AZ169" s="8">
        <v>0</v>
      </c>
      <c r="BA169" s="8">
        <v>0</v>
      </c>
      <c r="BB169" s="8">
        <v>0</v>
      </c>
      <c r="BC169" s="8">
        <v>0</v>
      </c>
      <c r="BD169" s="7">
        <v>0</v>
      </c>
      <c r="BE169" s="7">
        <v>0</v>
      </c>
      <c r="BF169" s="7">
        <v>0</v>
      </c>
      <c r="BG169" s="7">
        <v>0</v>
      </c>
      <c r="BH169" s="8">
        <v>0</v>
      </c>
      <c r="BI169" s="8">
        <v>0</v>
      </c>
      <c r="BJ169" s="8">
        <v>0</v>
      </c>
      <c r="BK169" s="8">
        <v>0</v>
      </c>
      <c r="BL169" s="8">
        <v>0</v>
      </c>
      <c r="BM169" s="7">
        <v>0</v>
      </c>
      <c r="BN169" s="7">
        <v>0</v>
      </c>
      <c r="BO169" s="8">
        <v>0</v>
      </c>
      <c r="BP169" s="8">
        <v>0</v>
      </c>
      <c r="BQ169" s="7">
        <v>0</v>
      </c>
      <c r="BR169" s="8">
        <v>0</v>
      </c>
      <c r="BS169" s="8">
        <v>0</v>
      </c>
      <c r="BT169" s="8">
        <v>0</v>
      </c>
      <c r="BU169" s="8">
        <v>0</v>
      </c>
      <c r="BV169" s="7">
        <v>0</v>
      </c>
      <c r="BW169" s="8">
        <v>0</v>
      </c>
      <c r="BX169" s="8">
        <v>0</v>
      </c>
      <c r="BY169" s="7">
        <v>0</v>
      </c>
      <c r="BZ169" s="7">
        <v>0</v>
      </c>
      <c r="CA169" s="7">
        <f>VLOOKUP($A169,'23.Sep'!$M$8:$O$1048576,3,0)</f>
        <v>0</v>
      </c>
      <c r="CB169" s="7">
        <v>0</v>
      </c>
      <c r="CC169" s="7">
        <v>0</v>
      </c>
    </row>
    <row r="170" spans="1:81" outlineLevel="1">
      <c r="A170" s="6" t="s">
        <v>57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f t="shared" si="37"/>
        <v>0</v>
      </c>
      <c r="I170" s="7">
        <f t="shared" si="38"/>
        <v>0</v>
      </c>
      <c r="J170" s="7">
        <f t="shared" si="39"/>
        <v>0</v>
      </c>
      <c r="K170" s="7">
        <f t="shared" si="40"/>
        <v>0</v>
      </c>
      <c r="L170" s="7">
        <f t="shared" si="41"/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8">
        <v>0</v>
      </c>
      <c r="V170" s="8">
        <v>0</v>
      </c>
      <c r="W170" s="8">
        <v>0</v>
      </c>
      <c r="X170" s="8">
        <v>0</v>
      </c>
      <c r="Y170" s="8">
        <v>0</v>
      </c>
      <c r="Z170" s="8">
        <v>0</v>
      </c>
      <c r="AA170" s="8">
        <v>0</v>
      </c>
      <c r="AB170" s="8">
        <v>0</v>
      </c>
      <c r="AC170" s="8">
        <v>0</v>
      </c>
      <c r="AD170" s="8">
        <v>0</v>
      </c>
      <c r="AE170" s="8">
        <v>0</v>
      </c>
      <c r="AF170" s="8">
        <v>0</v>
      </c>
      <c r="AG170" s="8">
        <v>0</v>
      </c>
      <c r="AH170" s="8">
        <v>0</v>
      </c>
      <c r="AI170" s="8">
        <v>0</v>
      </c>
      <c r="AJ170" s="8">
        <v>0</v>
      </c>
      <c r="AK170" s="8">
        <v>0</v>
      </c>
      <c r="AL170" s="8">
        <v>0</v>
      </c>
      <c r="AM170" s="7">
        <v>0</v>
      </c>
      <c r="AN170" s="8">
        <v>0</v>
      </c>
      <c r="AO170" s="8">
        <v>0</v>
      </c>
      <c r="AP170" s="7">
        <v>0</v>
      </c>
      <c r="AQ170" s="8">
        <v>0</v>
      </c>
      <c r="AR170" s="8">
        <v>0</v>
      </c>
      <c r="AS170" s="8">
        <v>0</v>
      </c>
      <c r="AT170" s="8">
        <v>0</v>
      </c>
      <c r="AU170" s="8">
        <v>0</v>
      </c>
      <c r="AV170" s="8">
        <v>0</v>
      </c>
      <c r="AW170" s="7">
        <v>0</v>
      </c>
      <c r="AX170" s="8">
        <v>0</v>
      </c>
      <c r="AY170" s="8">
        <v>0</v>
      </c>
      <c r="AZ170" s="8">
        <v>0</v>
      </c>
      <c r="BA170" s="7">
        <v>0</v>
      </c>
      <c r="BB170" s="8">
        <v>0</v>
      </c>
      <c r="BC170" s="7">
        <v>0</v>
      </c>
      <c r="BD170" s="7">
        <v>0</v>
      </c>
      <c r="BE170" s="7">
        <v>0</v>
      </c>
      <c r="BF170" s="7">
        <f>VLOOKUP($A170,'2.Sep'!$M$8:$O$1048576,3,0)</f>
        <v>0</v>
      </c>
      <c r="BG170" s="7">
        <f>VLOOKUP($A170,'3.Sep'!$M$8:$O$1048576,3,0)</f>
        <v>0</v>
      </c>
      <c r="BH170" s="8">
        <v>0</v>
      </c>
      <c r="BI170" s="8">
        <v>0</v>
      </c>
      <c r="BJ170" s="8">
        <v>0</v>
      </c>
      <c r="BK170" s="8">
        <v>0</v>
      </c>
      <c r="BL170" s="8">
        <f>VLOOKUP($A170,'8.Sep'!$M$8:$O$1048576,3,0)</f>
        <v>0</v>
      </c>
      <c r="BM170" s="7">
        <v>0</v>
      </c>
      <c r="BN170" s="7">
        <v>0</v>
      </c>
      <c r="BO170" s="8">
        <v>0</v>
      </c>
      <c r="BP170" s="7">
        <f>VLOOKUP($A170,'12.Sep'!$M$8:$O$1048576,3,0)</f>
        <v>0</v>
      </c>
      <c r="BQ170" s="7">
        <f>VLOOKUP($A170,'13.Sep'!$M$8:$O$1048576,3,0)</f>
        <v>0</v>
      </c>
      <c r="BR170" s="8">
        <v>0</v>
      </c>
      <c r="BS170" s="8">
        <v>0</v>
      </c>
      <c r="BT170" s="8">
        <v>0</v>
      </c>
      <c r="BU170" s="8">
        <v>0</v>
      </c>
      <c r="BV170" s="7">
        <v>0</v>
      </c>
      <c r="BW170" s="7">
        <v>0</v>
      </c>
      <c r="BX170" s="8">
        <v>0</v>
      </c>
      <c r="BY170" s="7">
        <v>0</v>
      </c>
      <c r="BZ170" s="7">
        <v>0</v>
      </c>
      <c r="CA170" s="7">
        <v>0</v>
      </c>
      <c r="CB170" s="7">
        <v>0</v>
      </c>
      <c r="CC170" s="7">
        <v>0</v>
      </c>
    </row>
    <row r="171" spans="1:81" outlineLevel="1">
      <c r="A171" s="6" t="s">
        <v>58</v>
      </c>
      <c r="B171" s="7">
        <v>0</v>
      </c>
      <c r="C171" s="7">
        <v>0</v>
      </c>
      <c r="D171" s="7">
        <v>0</v>
      </c>
      <c r="E171" s="7">
        <v>1.4285714285714287E-5</v>
      </c>
      <c r="F171" s="7">
        <v>4.2857142857142863E-5</v>
      </c>
      <c r="G171" s="7">
        <v>1.4285714285714287E-5</v>
      </c>
      <c r="H171" s="7">
        <f t="shared" si="37"/>
        <v>1.4285714285714287E-5</v>
      </c>
      <c r="I171" s="7">
        <f t="shared" si="38"/>
        <v>1.4285714285714287E-5</v>
      </c>
      <c r="J171" s="7">
        <f t="shared" si="39"/>
        <v>1.4285714285714287E-5</v>
      </c>
      <c r="K171" s="7">
        <f t="shared" si="40"/>
        <v>1.6666666666666667E-5</v>
      </c>
      <c r="L171" s="7">
        <f t="shared" si="41"/>
        <v>2.0000000000000002E-5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  <c r="T171" s="8">
        <v>0</v>
      </c>
      <c r="U171" s="8">
        <v>0</v>
      </c>
      <c r="V171" s="8">
        <v>0</v>
      </c>
      <c r="W171" s="8">
        <v>0</v>
      </c>
      <c r="X171" s="8">
        <v>0</v>
      </c>
      <c r="Y171" s="8">
        <v>0</v>
      </c>
      <c r="Z171" s="8">
        <v>0</v>
      </c>
      <c r="AA171" s="8">
        <v>0</v>
      </c>
      <c r="AB171" s="8">
        <v>0</v>
      </c>
      <c r="AC171" s="8">
        <v>0</v>
      </c>
      <c r="AD171" s="8">
        <v>0</v>
      </c>
      <c r="AE171" s="8">
        <v>0</v>
      </c>
      <c r="AF171" s="8">
        <v>0</v>
      </c>
      <c r="AG171" s="8">
        <v>0</v>
      </c>
      <c r="AH171" s="8">
        <v>0</v>
      </c>
      <c r="AI171" s="8">
        <v>1E-4</v>
      </c>
      <c r="AJ171" s="8">
        <v>0</v>
      </c>
      <c r="AK171" s="8">
        <v>0</v>
      </c>
      <c r="AL171" s="8">
        <v>0</v>
      </c>
      <c r="AM171" s="7">
        <v>0</v>
      </c>
      <c r="AN171" s="8">
        <v>0</v>
      </c>
      <c r="AO171" s="8">
        <v>0</v>
      </c>
      <c r="AP171" s="7">
        <v>0</v>
      </c>
      <c r="AQ171" s="7">
        <v>0</v>
      </c>
      <c r="AR171" s="7">
        <v>1E-4</v>
      </c>
      <c r="AS171" s="7">
        <v>1E-4</v>
      </c>
      <c r="AT171" s="7">
        <v>1E-4</v>
      </c>
      <c r="AU171" s="8">
        <v>0</v>
      </c>
      <c r="AV171" s="8">
        <v>0</v>
      </c>
      <c r="AW171" s="8">
        <v>0</v>
      </c>
      <c r="AX171" s="7">
        <v>0</v>
      </c>
      <c r="AY171" s="8">
        <v>0</v>
      </c>
      <c r="AZ171" s="7">
        <v>0</v>
      </c>
      <c r="BA171" s="7">
        <v>1E-4</v>
      </c>
      <c r="BB171" s="7">
        <v>0</v>
      </c>
      <c r="BC171" s="7">
        <v>0</v>
      </c>
      <c r="BD171" s="7">
        <v>0</v>
      </c>
      <c r="BE171" s="7">
        <v>0</v>
      </c>
      <c r="BF171" s="7">
        <f>VLOOKUP($A171,'2.Sep'!$M$8:$O$1048576,3,0)</f>
        <v>1E-4</v>
      </c>
      <c r="BG171" s="7">
        <v>0</v>
      </c>
      <c r="BH171" s="8">
        <v>0</v>
      </c>
      <c r="BI171" s="8">
        <v>0</v>
      </c>
      <c r="BJ171" s="8">
        <v>0</v>
      </c>
      <c r="BK171" s="8">
        <v>0</v>
      </c>
      <c r="BL171" s="8">
        <f>VLOOKUP($A171,'8.Sep'!$M$8:$O$1048576,3,0)</f>
        <v>1E-4</v>
      </c>
      <c r="BM171" s="7">
        <v>0</v>
      </c>
      <c r="BN171" s="7">
        <v>0</v>
      </c>
      <c r="BO171" s="8">
        <f>VLOOKUP($A171,'11.Sep'!$M$8:$O$1048576,3,0)</f>
        <v>0</v>
      </c>
      <c r="BP171" s="7">
        <f>VLOOKUP($A171,'12.Sep'!$M$8:$O$1048576,3,0)</f>
        <v>0</v>
      </c>
      <c r="BQ171" s="7">
        <v>0</v>
      </c>
      <c r="BR171" s="7">
        <f>VLOOKUP($A171,'14.Sep'!$M$8:$O$1048576,3,0)</f>
        <v>1E-4</v>
      </c>
      <c r="BS171" s="7">
        <f>VLOOKUP($A171,'15.Sep'!$M$8:$O$1048576,3,0)</f>
        <v>0</v>
      </c>
      <c r="BT171" s="7">
        <f>VLOOKUP($A171,'16.Sep'!$M$8:$O$1048576,3,0)</f>
        <v>0</v>
      </c>
      <c r="BU171" s="7">
        <f>VLOOKUP($A171,'17.Sep'!$M$8:$O$1048576,3,0)</f>
        <v>0</v>
      </c>
      <c r="BV171" s="7">
        <f>VLOOKUP($A171,'18.Sep'!$M$8:$O$1048576,3,0)</f>
        <v>0</v>
      </c>
      <c r="BW171" s="7">
        <v>0</v>
      </c>
      <c r="BX171" s="7">
        <f>VLOOKUP($A171,'20.Sep'!$M$8:$O$1048576,3,0)</f>
        <v>1E-4</v>
      </c>
      <c r="BY171" s="7">
        <v>0</v>
      </c>
      <c r="BZ171" s="7">
        <v>0</v>
      </c>
      <c r="CA171" s="7">
        <f>VLOOKUP($A171,'23.Sep'!$M$8:$O$1048576,3,0)</f>
        <v>0</v>
      </c>
      <c r="CB171" s="7">
        <f>VLOOKUP($A171,'24.Sep'!$M$8:$O$1048576,3,0)</f>
        <v>0</v>
      </c>
      <c r="CC171" s="7">
        <f>VLOOKUP($A171,'24.Sep'!$M$8:$O$1048576,3,0)</f>
        <v>0</v>
      </c>
    </row>
    <row r="172" spans="1:81" outlineLevel="1">
      <c r="A172" s="6" t="s">
        <v>59</v>
      </c>
      <c r="B172" s="7">
        <v>0</v>
      </c>
      <c r="C172" s="7">
        <v>0</v>
      </c>
      <c r="D172" s="7">
        <v>2.8571428571428574E-5</v>
      </c>
      <c r="E172" s="7">
        <v>4.2857142857142863E-5</v>
      </c>
      <c r="F172" s="7">
        <v>0</v>
      </c>
      <c r="G172" s="7">
        <v>0</v>
      </c>
      <c r="H172" s="7">
        <f t="shared" si="37"/>
        <v>0</v>
      </c>
      <c r="I172" s="7">
        <f t="shared" si="38"/>
        <v>2.8571428571428574E-5</v>
      </c>
      <c r="J172" s="7">
        <f t="shared" si="39"/>
        <v>2.8571428571428574E-5</v>
      </c>
      <c r="K172" s="7">
        <f t="shared" si="40"/>
        <v>1.6666666666666667E-5</v>
      </c>
      <c r="L172" s="7">
        <f t="shared" si="41"/>
        <v>2.0000000000000002E-5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  <c r="T172" s="8">
        <v>0</v>
      </c>
      <c r="U172" s="8">
        <v>0</v>
      </c>
      <c r="V172" s="8">
        <v>0</v>
      </c>
      <c r="W172" s="8">
        <v>0</v>
      </c>
      <c r="X172" s="8">
        <v>0</v>
      </c>
      <c r="Y172" s="8">
        <v>0</v>
      </c>
      <c r="Z172" s="8">
        <v>0</v>
      </c>
      <c r="AA172" s="8">
        <v>0</v>
      </c>
      <c r="AB172" s="8">
        <v>0</v>
      </c>
      <c r="AC172" s="8">
        <v>0</v>
      </c>
      <c r="AD172" s="8">
        <v>1E-4</v>
      </c>
      <c r="AE172" s="8">
        <v>1E-4</v>
      </c>
      <c r="AF172" s="8">
        <v>0</v>
      </c>
      <c r="AG172" s="8">
        <v>1E-4</v>
      </c>
      <c r="AH172" s="8">
        <v>2.0000000000000001E-4</v>
      </c>
      <c r="AI172" s="8">
        <v>0</v>
      </c>
      <c r="AJ172" s="8">
        <v>0</v>
      </c>
      <c r="AK172" s="8">
        <v>0</v>
      </c>
      <c r="AL172" s="8">
        <v>0</v>
      </c>
      <c r="AM172" s="7">
        <v>0</v>
      </c>
      <c r="AN172" s="8">
        <v>0</v>
      </c>
      <c r="AO172" s="8">
        <v>0</v>
      </c>
      <c r="AP172" s="8">
        <v>0</v>
      </c>
      <c r="AQ172" s="8">
        <v>0</v>
      </c>
      <c r="AR172" s="8">
        <v>0</v>
      </c>
      <c r="AS172" s="7">
        <v>0</v>
      </c>
      <c r="AT172" s="7">
        <v>0</v>
      </c>
      <c r="AU172" s="8">
        <v>0</v>
      </c>
      <c r="AV172" s="8">
        <v>0</v>
      </c>
      <c r="AW172" s="8">
        <v>0</v>
      </c>
      <c r="AX172" s="8">
        <v>0</v>
      </c>
      <c r="AY172" s="8">
        <v>0</v>
      </c>
      <c r="AZ172" s="8">
        <v>0</v>
      </c>
      <c r="BA172" s="8">
        <v>0</v>
      </c>
      <c r="BB172" s="8">
        <v>0</v>
      </c>
      <c r="BC172" s="8">
        <v>0</v>
      </c>
      <c r="BD172" s="7">
        <v>0</v>
      </c>
      <c r="BE172" s="7">
        <v>0</v>
      </c>
      <c r="BF172" s="7">
        <v>0</v>
      </c>
      <c r="BG172" s="7">
        <v>0</v>
      </c>
      <c r="BH172" s="8">
        <v>0</v>
      </c>
      <c r="BI172" s="8">
        <v>0</v>
      </c>
      <c r="BJ172" s="8">
        <f>VLOOKUP($A172,'6.Sep'!$M$8:$O$1048576,3,0)</f>
        <v>1E-4</v>
      </c>
      <c r="BK172" s="8">
        <v>0</v>
      </c>
      <c r="BL172" s="8">
        <v>0</v>
      </c>
      <c r="BM172" s="7">
        <v>0</v>
      </c>
      <c r="BN172" s="7">
        <v>0</v>
      </c>
      <c r="BO172" s="8">
        <f>VLOOKUP($A172,'11.Sep'!$M$8:$O$1048576,3,0)</f>
        <v>1E-4</v>
      </c>
      <c r="BP172" s="7">
        <f>VLOOKUP($A172,'12.Sep'!$M$8:$O$1048576,3,0)</f>
        <v>1E-4</v>
      </c>
      <c r="BQ172" s="7">
        <f>VLOOKUP($A172,'13.Sep'!$M$8:$O$1048576,3,0)</f>
        <v>1E-4</v>
      </c>
      <c r="BR172" s="8">
        <v>0</v>
      </c>
      <c r="BS172" s="7">
        <f>VLOOKUP($A172,'15.Sep'!$M$8:$O$1048576,3,0)</f>
        <v>0</v>
      </c>
      <c r="BT172" s="8">
        <v>0</v>
      </c>
      <c r="BU172" s="8">
        <v>0</v>
      </c>
      <c r="BV172" s="7">
        <v>0</v>
      </c>
      <c r="BW172" s="7">
        <v>0</v>
      </c>
      <c r="BX172" s="8">
        <v>0</v>
      </c>
      <c r="BY172" s="7">
        <v>0</v>
      </c>
      <c r="BZ172" s="7">
        <f>VLOOKUP($A172,'22.Sep'!$M$8:$O$1048576,3,0)</f>
        <v>1E-4</v>
      </c>
      <c r="CA172" s="7">
        <v>0</v>
      </c>
      <c r="CB172" s="7">
        <v>0</v>
      </c>
      <c r="CC172" s="7">
        <v>0</v>
      </c>
    </row>
    <row r="173" spans="1:81" outlineLevel="1">
      <c r="A173" s="6" t="s">
        <v>60</v>
      </c>
      <c r="B173" s="7">
        <v>0</v>
      </c>
      <c r="C173" s="7">
        <v>0</v>
      </c>
      <c r="D173" s="7">
        <v>0</v>
      </c>
      <c r="E173" s="7">
        <v>1.4285714285714287E-5</v>
      </c>
      <c r="F173" s="7">
        <v>0</v>
      </c>
      <c r="G173" s="7">
        <v>2.8571428571428574E-5</v>
      </c>
      <c r="H173" s="7">
        <f t="shared" si="37"/>
        <v>0</v>
      </c>
      <c r="I173" s="7">
        <f t="shared" si="38"/>
        <v>0</v>
      </c>
      <c r="J173" s="7">
        <f t="shared" si="39"/>
        <v>0</v>
      </c>
      <c r="K173" s="7">
        <f t="shared" si="40"/>
        <v>1.6666666666666667E-5</v>
      </c>
      <c r="L173" s="7">
        <f t="shared" si="41"/>
        <v>2.0000000000000002E-5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  <c r="S173" s="8">
        <v>0</v>
      </c>
      <c r="T173" s="8">
        <v>0</v>
      </c>
      <c r="U173" s="8">
        <v>0</v>
      </c>
      <c r="V173" s="8">
        <v>0</v>
      </c>
      <c r="W173" s="8">
        <v>0</v>
      </c>
      <c r="X173" s="8">
        <v>0</v>
      </c>
      <c r="Y173" s="8">
        <v>0</v>
      </c>
      <c r="Z173" s="8">
        <v>0</v>
      </c>
      <c r="AA173" s="8">
        <v>0</v>
      </c>
      <c r="AB173" s="8">
        <v>0</v>
      </c>
      <c r="AC173" s="8">
        <v>0</v>
      </c>
      <c r="AD173" s="8">
        <v>0</v>
      </c>
      <c r="AE173" s="8">
        <v>0</v>
      </c>
      <c r="AF173" s="8">
        <v>0</v>
      </c>
      <c r="AG173" s="8">
        <v>0</v>
      </c>
      <c r="AH173" s="8">
        <v>0</v>
      </c>
      <c r="AI173" s="8">
        <v>1E-4</v>
      </c>
      <c r="AJ173" s="8">
        <v>0</v>
      </c>
      <c r="AK173" s="8">
        <v>0</v>
      </c>
      <c r="AL173" s="8">
        <v>0</v>
      </c>
      <c r="AM173" s="7">
        <v>0</v>
      </c>
      <c r="AN173" s="7">
        <v>0</v>
      </c>
      <c r="AO173" s="8">
        <v>0</v>
      </c>
      <c r="AP173" s="7">
        <v>0</v>
      </c>
      <c r="AQ173" s="7">
        <v>0</v>
      </c>
      <c r="AR173" s="8">
        <v>0</v>
      </c>
      <c r="AS173" s="8">
        <v>0</v>
      </c>
      <c r="AT173" s="8">
        <v>0</v>
      </c>
      <c r="AU173" s="7">
        <v>1E-4</v>
      </c>
      <c r="AV173" s="7">
        <v>0</v>
      </c>
      <c r="AW173" s="7">
        <v>0</v>
      </c>
      <c r="AX173" s="7">
        <v>1E-4</v>
      </c>
      <c r="AY173" s="7">
        <v>0</v>
      </c>
      <c r="AZ173" s="7">
        <v>0</v>
      </c>
      <c r="BA173" s="7">
        <v>0</v>
      </c>
      <c r="BB173" s="8">
        <v>0</v>
      </c>
      <c r="BC173" s="8">
        <v>0</v>
      </c>
      <c r="BD173" s="7">
        <v>0</v>
      </c>
      <c r="BE173" s="7">
        <f>VLOOKUP($A173,'1.Sep'!$M$8:$O$1048576,3,0)</f>
        <v>0</v>
      </c>
      <c r="BF173" s="7">
        <f>VLOOKUP($A173,'2.Sep'!$M$8:$O$1048576,3,0)</f>
        <v>0</v>
      </c>
      <c r="BG173" s="7">
        <f>VLOOKUP($A173,'3.Sep'!$M$8:$O$1048576,3,0)</f>
        <v>0</v>
      </c>
      <c r="BH173" s="8">
        <f>VLOOKUP($A173,'4.Sep'!$M$8:$O$1048576,3,0)</f>
        <v>0</v>
      </c>
      <c r="BI173" s="8">
        <v>0</v>
      </c>
      <c r="BJ173" s="8">
        <f>VLOOKUP($A173,'6.Sep'!$M$8:$O$1048576,3,0)</f>
        <v>0</v>
      </c>
      <c r="BK173" s="8">
        <v>0</v>
      </c>
      <c r="BL173" s="8">
        <f>VLOOKUP($A173,'8.Sep'!$M$8:$O$1048576,3,0)</f>
        <v>0</v>
      </c>
      <c r="BM173" s="8">
        <f>VLOOKUP($A173,'9.Sep'!$M$8:$O$1048576,3,0)</f>
        <v>0</v>
      </c>
      <c r="BN173" s="7">
        <v>0</v>
      </c>
      <c r="BO173" s="8">
        <v>0</v>
      </c>
      <c r="BP173" s="7">
        <f>VLOOKUP($A173,'12.Sep'!$M$8:$O$1048576,3,0)</f>
        <v>0</v>
      </c>
      <c r="BQ173" s="7">
        <f>VLOOKUP($A173,'13.Sep'!$M$8:$O$1048576,3,0)</f>
        <v>0</v>
      </c>
      <c r="BR173" s="8">
        <v>0</v>
      </c>
      <c r="BS173" s="8">
        <v>0</v>
      </c>
      <c r="BT173" s="8">
        <v>0</v>
      </c>
      <c r="BU173" s="8">
        <v>0</v>
      </c>
      <c r="BV173" s="7">
        <f>VLOOKUP($A173,'18.Sep'!$M$8:$O$1048576,3,0)</f>
        <v>0</v>
      </c>
      <c r="BW173" s="7">
        <v>0</v>
      </c>
      <c r="BX173" s="8">
        <v>0</v>
      </c>
      <c r="BY173" s="7">
        <v>0</v>
      </c>
      <c r="BZ173" s="7">
        <v>0</v>
      </c>
      <c r="CA173" s="7">
        <v>0</v>
      </c>
      <c r="CB173" s="7">
        <f>VLOOKUP($A173,'24.Sep'!$M$8:$O$1048576,3,0)</f>
        <v>1E-4</v>
      </c>
      <c r="CC173" s="7">
        <f>VLOOKUP($A173,'24.Sep'!$M$8:$O$1048576,3,0)</f>
        <v>1E-4</v>
      </c>
    </row>
    <row r="174" spans="1:81" outlineLevel="1">
      <c r="A174" s="6" t="s">
        <v>61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f t="shared" si="37"/>
        <v>0</v>
      </c>
      <c r="I174" s="7">
        <f t="shared" si="38"/>
        <v>0</v>
      </c>
      <c r="J174" s="7">
        <f t="shared" si="39"/>
        <v>0</v>
      </c>
      <c r="K174" s="7">
        <f t="shared" si="40"/>
        <v>0</v>
      </c>
      <c r="L174" s="7">
        <f t="shared" si="41"/>
        <v>0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  <c r="S174" s="8">
        <v>0</v>
      </c>
      <c r="T174" s="8">
        <v>0</v>
      </c>
      <c r="U174" s="8">
        <v>0</v>
      </c>
      <c r="V174" s="8">
        <v>0</v>
      </c>
      <c r="W174" s="8">
        <v>0</v>
      </c>
      <c r="X174" s="8">
        <v>0</v>
      </c>
      <c r="Y174" s="8">
        <v>0</v>
      </c>
      <c r="Z174" s="8">
        <v>0</v>
      </c>
      <c r="AA174" s="8">
        <v>0</v>
      </c>
      <c r="AB174" s="8">
        <v>0</v>
      </c>
      <c r="AC174" s="8">
        <v>0</v>
      </c>
      <c r="AD174" s="8">
        <v>0</v>
      </c>
      <c r="AE174" s="8">
        <v>0</v>
      </c>
      <c r="AF174" s="8">
        <v>0</v>
      </c>
      <c r="AG174" s="8">
        <v>0</v>
      </c>
      <c r="AH174" s="8">
        <v>0</v>
      </c>
      <c r="AI174" s="8">
        <v>0</v>
      </c>
      <c r="AJ174" s="8">
        <v>0</v>
      </c>
      <c r="AK174" s="8">
        <v>0</v>
      </c>
      <c r="AL174" s="8">
        <v>0</v>
      </c>
      <c r="AM174" s="7">
        <v>0</v>
      </c>
      <c r="AN174" s="8">
        <v>0</v>
      </c>
      <c r="AO174" s="8">
        <v>0</v>
      </c>
      <c r="AP174" s="8">
        <v>0</v>
      </c>
      <c r="AQ174" s="8">
        <v>0</v>
      </c>
      <c r="AR174" s="8">
        <v>0</v>
      </c>
      <c r="AS174" s="8">
        <v>0</v>
      </c>
      <c r="AT174" s="8">
        <v>0</v>
      </c>
      <c r="AU174" s="8">
        <v>0</v>
      </c>
      <c r="AV174" s="8">
        <v>0</v>
      </c>
      <c r="AW174" s="8">
        <v>0</v>
      </c>
      <c r="AX174" s="8">
        <v>0</v>
      </c>
      <c r="AY174" s="8">
        <v>0</v>
      </c>
      <c r="AZ174" s="8">
        <v>0</v>
      </c>
      <c r="BA174" s="8">
        <v>0</v>
      </c>
      <c r="BB174" s="8">
        <v>0</v>
      </c>
      <c r="BC174" s="8">
        <v>0</v>
      </c>
      <c r="BD174" s="7">
        <v>0</v>
      </c>
      <c r="BE174" s="7">
        <v>0</v>
      </c>
      <c r="BF174" s="7">
        <f>VLOOKUP($A174,'2.Sep'!$M$8:$O$1048576,3,0)</f>
        <v>0</v>
      </c>
      <c r="BG174" s="7">
        <v>0</v>
      </c>
      <c r="BH174" s="8">
        <v>0</v>
      </c>
      <c r="BI174" s="8">
        <v>0</v>
      </c>
      <c r="BJ174" s="8">
        <v>0</v>
      </c>
      <c r="BK174" s="8">
        <v>0</v>
      </c>
      <c r="BL174" s="8">
        <v>0</v>
      </c>
      <c r="BM174" s="7">
        <v>0</v>
      </c>
      <c r="BN174" s="7">
        <v>0</v>
      </c>
      <c r="BO174" s="8">
        <v>0</v>
      </c>
      <c r="BP174" s="8">
        <v>0</v>
      </c>
      <c r="BQ174" s="7">
        <v>0</v>
      </c>
      <c r="BR174" s="7">
        <f>VLOOKUP($A174,'14.Sep'!$M$8:$O$1048576,3,0)</f>
        <v>0</v>
      </c>
      <c r="BS174" s="8">
        <v>0</v>
      </c>
      <c r="BT174" s="8">
        <v>0</v>
      </c>
      <c r="BU174" s="8">
        <v>0</v>
      </c>
      <c r="BV174" s="7">
        <v>0</v>
      </c>
      <c r="BW174" s="8">
        <v>0</v>
      </c>
      <c r="BX174" s="8">
        <v>0</v>
      </c>
      <c r="BY174" s="7">
        <v>0</v>
      </c>
      <c r="BZ174" s="7">
        <v>0</v>
      </c>
      <c r="CA174" s="7">
        <v>0</v>
      </c>
      <c r="CB174" s="7">
        <v>0</v>
      </c>
      <c r="CC174" s="7">
        <v>0</v>
      </c>
    </row>
    <row r="175" spans="1:81" outlineLevel="1">
      <c r="A175" s="6" t="s">
        <v>62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f t="shared" si="37"/>
        <v>0</v>
      </c>
      <c r="I175" s="7">
        <f t="shared" si="38"/>
        <v>0</v>
      </c>
      <c r="J175" s="7">
        <f t="shared" si="39"/>
        <v>0</v>
      </c>
      <c r="K175" s="7">
        <f t="shared" si="40"/>
        <v>0</v>
      </c>
      <c r="L175" s="7">
        <f t="shared" si="41"/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0</v>
      </c>
      <c r="T175" s="8">
        <v>0</v>
      </c>
      <c r="U175" s="8">
        <v>0</v>
      </c>
      <c r="V175" s="8">
        <v>0</v>
      </c>
      <c r="W175" s="8">
        <v>0</v>
      </c>
      <c r="X175" s="8">
        <v>0</v>
      </c>
      <c r="Y175" s="8">
        <v>0</v>
      </c>
      <c r="Z175" s="8">
        <v>0</v>
      </c>
      <c r="AA175" s="8">
        <v>0</v>
      </c>
      <c r="AB175" s="8">
        <v>0</v>
      </c>
      <c r="AC175" s="8">
        <v>0</v>
      </c>
      <c r="AD175" s="8">
        <v>0</v>
      </c>
      <c r="AE175" s="8">
        <v>0</v>
      </c>
      <c r="AF175" s="8">
        <v>0</v>
      </c>
      <c r="AG175" s="8">
        <v>0</v>
      </c>
      <c r="AH175" s="8">
        <v>0</v>
      </c>
      <c r="AI175" s="8">
        <v>0</v>
      </c>
      <c r="AJ175" s="8">
        <v>0</v>
      </c>
      <c r="AK175" s="8">
        <v>0</v>
      </c>
      <c r="AL175" s="8">
        <v>0</v>
      </c>
      <c r="AM175" s="7">
        <v>0</v>
      </c>
      <c r="AN175" s="8">
        <v>0</v>
      </c>
      <c r="AO175" s="8">
        <v>0</v>
      </c>
      <c r="AP175" s="8">
        <v>0</v>
      </c>
      <c r="AQ175" s="8">
        <v>0</v>
      </c>
      <c r="AR175" s="8">
        <v>0</v>
      </c>
      <c r="AS175" s="8">
        <v>0</v>
      </c>
      <c r="AT175" s="8">
        <v>0</v>
      </c>
      <c r="AU175" s="8">
        <v>0</v>
      </c>
      <c r="AV175" s="8">
        <v>0</v>
      </c>
      <c r="AW175" s="8">
        <v>0</v>
      </c>
      <c r="AX175" s="8">
        <v>0</v>
      </c>
      <c r="AY175" s="8">
        <v>0</v>
      </c>
      <c r="AZ175" s="8">
        <v>0</v>
      </c>
      <c r="BA175" s="8">
        <v>0</v>
      </c>
      <c r="BB175" s="8">
        <v>0</v>
      </c>
      <c r="BC175" s="8">
        <v>0</v>
      </c>
      <c r="BD175" s="7">
        <v>0</v>
      </c>
      <c r="BE175" s="7">
        <v>0</v>
      </c>
      <c r="BF175" s="7">
        <v>0</v>
      </c>
      <c r="BG175" s="7">
        <v>0</v>
      </c>
      <c r="BH175" s="8">
        <v>0</v>
      </c>
      <c r="BI175" s="8">
        <v>0</v>
      </c>
      <c r="BJ175" s="8">
        <v>0</v>
      </c>
      <c r="BK175" s="8">
        <v>0</v>
      </c>
      <c r="BL175" s="8">
        <v>0</v>
      </c>
      <c r="BM175" s="7">
        <v>0</v>
      </c>
      <c r="BN175" s="7">
        <v>0</v>
      </c>
      <c r="BO175" s="8">
        <v>0</v>
      </c>
      <c r="BP175" s="8">
        <v>0</v>
      </c>
      <c r="BQ175" s="7">
        <v>0</v>
      </c>
      <c r="BR175" s="7">
        <f>VLOOKUP($A175,'14.Sep'!$M$8:$O$1048576,3,0)</f>
        <v>0</v>
      </c>
      <c r="BS175" s="8">
        <v>0</v>
      </c>
      <c r="BT175" s="8">
        <v>0</v>
      </c>
      <c r="BU175" s="7">
        <f>VLOOKUP($A175,'17.Sep'!$M$8:$O$1048576,3,0)</f>
        <v>0</v>
      </c>
      <c r="BV175" s="7">
        <v>0</v>
      </c>
      <c r="BW175" s="8">
        <v>0</v>
      </c>
      <c r="BX175" s="8">
        <v>0</v>
      </c>
      <c r="BY175" s="7">
        <v>0</v>
      </c>
      <c r="BZ175" s="7">
        <v>0</v>
      </c>
      <c r="CA175" s="7">
        <v>0</v>
      </c>
      <c r="CB175" s="7">
        <v>0</v>
      </c>
      <c r="CC175" s="7">
        <v>0</v>
      </c>
    </row>
    <row r="176" spans="1:81" outlineLevel="1">
      <c r="A176" s="6" t="s">
        <v>63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f t="shared" si="37"/>
        <v>0</v>
      </c>
      <c r="I176" s="7">
        <f t="shared" si="38"/>
        <v>0</v>
      </c>
      <c r="J176" s="7">
        <f t="shared" si="39"/>
        <v>0</v>
      </c>
      <c r="K176" s="7">
        <f t="shared" si="40"/>
        <v>0</v>
      </c>
      <c r="L176" s="7">
        <f t="shared" si="41"/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0</v>
      </c>
      <c r="S176" s="8">
        <v>0</v>
      </c>
      <c r="T176" s="8">
        <v>0</v>
      </c>
      <c r="U176" s="8">
        <v>0</v>
      </c>
      <c r="V176" s="8">
        <v>0</v>
      </c>
      <c r="W176" s="8">
        <v>0</v>
      </c>
      <c r="X176" s="8">
        <v>0</v>
      </c>
      <c r="Y176" s="8">
        <v>0</v>
      </c>
      <c r="Z176" s="8">
        <v>0</v>
      </c>
      <c r="AA176" s="8">
        <v>0</v>
      </c>
      <c r="AB176" s="8">
        <v>0</v>
      </c>
      <c r="AC176" s="8">
        <v>0</v>
      </c>
      <c r="AD176" s="8">
        <v>0</v>
      </c>
      <c r="AE176" s="8">
        <v>0</v>
      </c>
      <c r="AF176" s="8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0</v>
      </c>
      <c r="AL176" s="8">
        <v>0</v>
      </c>
      <c r="AM176" s="7">
        <v>0</v>
      </c>
      <c r="AN176" s="8">
        <v>0</v>
      </c>
      <c r="AO176" s="8">
        <v>0</v>
      </c>
      <c r="AP176" s="8">
        <v>0</v>
      </c>
      <c r="AQ176" s="8">
        <v>0</v>
      </c>
      <c r="AR176" s="8">
        <v>0</v>
      </c>
      <c r="AS176" s="8">
        <v>0</v>
      </c>
      <c r="AT176" s="8">
        <v>0</v>
      </c>
      <c r="AU176" s="8">
        <v>0</v>
      </c>
      <c r="AV176" s="8">
        <v>0</v>
      </c>
      <c r="AW176" s="8">
        <v>0</v>
      </c>
      <c r="AX176" s="8">
        <v>0</v>
      </c>
      <c r="AY176" s="8">
        <v>0</v>
      </c>
      <c r="AZ176" s="8">
        <v>0</v>
      </c>
      <c r="BA176" s="8">
        <v>0</v>
      </c>
      <c r="BB176" s="8">
        <v>0</v>
      </c>
      <c r="BC176" s="8">
        <v>0</v>
      </c>
      <c r="BD176" s="7">
        <v>0</v>
      </c>
      <c r="BE176" s="7">
        <v>0</v>
      </c>
      <c r="BF176" s="7">
        <v>0</v>
      </c>
      <c r="BG176" s="7">
        <v>0</v>
      </c>
      <c r="BH176" s="8">
        <v>0</v>
      </c>
      <c r="BI176" s="8">
        <v>0</v>
      </c>
      <c r="BJ176" s="8">
        <v>0</v>
      </c>
      <c r="BK176" s="8">
        <v>0</v>
      </c>
      <c r="BL176" s="8">
        <v>0</v>
      </c>
      <c r="BM176" s="7">
        <v>0</v>
      </c>
      <c r="BN176" s="7">
        <v>0</v>
      </c>
      <c r="BO176" s="8">
        <v>0</v>
      </c>
      <c r="BP176" s="8">
        <v>0</v>
      </c>
      <c r="BQ176" s="7">
        <v>0</v>
      </c>
      <c r="BR176" s="8">
        <v>0</v>
      </c>
      <c r="BS176" s="8">
        <v>0</v>
      </c>
      <c r="BT176" s="8">
        <v>0</v>
      </c>
      <c r="BU176" s="8">
        <v>0</v>
      </c>
      <c r="BV176" s="7">
        <v>0</v>
      </c>
      <c r="BW176" s="8">
        <v>0</v>
      </c>
      <c r="BX176" s="8">
        <v>0</v>
      </c>
      <c r="BY176" s="7">
        <v>0</v>
      </c>
      <c r="BZ176" s="7">
        <v>0</v>
      </c>
      <c r="CA176" s="7">
        <v>0</v>
      </c>
      <c r="CB176" s="7">
        <v>0</v>
      </c>
      <c r="CC176" s="7">
        <v>0</v>
      </c>
    </row>
    <row r="177" spans="1:81" outlineLevel="1">
      <c r="A177" s="6" t="s">
        <v>64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f t="shared" si="37"/>
        <v>0</v>
      </c>
      <c r="I177" s="7">
        <f t="shared" si="38"/>
        <v>0</v>
      </c>
      <c r="J177" s="7">
        <f t="shared" si="39"/>
        <v>0</v>
      </c>
      <c r="K177" s="7">
        <f t="shared" si="40"/>
        <v>3.3333333333333335E-5</v>
      </c>
      <c r="L177" s="7">
        <f t="shared" si="41"/>
        <v>4.0000000000000003E-5</v>
      </c>
      <c r="M177" s="8">
        <v>0</v>
      </c>
      <c r="N177" s="8">
        <v>0</v>
      </c>
      <c r="O177" s="8">
        <v>0</v>
      </c>
      <c r="P177" s="8">
        <v>0</v>
      </c>
      <c r="Q177" s="8">
        <v>0</v>
      </c>
      <c r="R177" s="8">
        <v>0</v>
      </c>
      <c r="S177" s="8">
        <v>0</v>
      </c>
      <c r="T177" s="8">
        <v>0</v>
      </c>
      <c r="U177" s="8">
        <v>0</v>
      </c>
      <c r="V177" s="8">
        <v>0</v>
      </c>
      <c r="W177" s="8">
        <v>0</v>
      </c>
      <c r="X177" s="8">
        <v>0</v>
      </c>
      <c r="Y177" s="8">
        <v>0</v>
      </c>
      <c r="Z177" s="8">
        <v>0</v>
      </c>
      <c r="AA177" s="8">
        <v>0</v>
      </c>
      <c r="AB177" s="8">
        <v>0</v>
      </c>
      <c r="AC177" s="8">
        <v>0</v>
      </c>
      <c r="AD177" s="8">
        <v>0</v>
      </c>
      <c r="AE177" s="8">
        <v>0</v>
      </c>
      <c r="AF177" s="8">
        <v>0</v>
      </c>
      <c r="AG177" s="8">
        <v>0</v>
      </c>
      <c r="AH177" s="8">
        <v>0</v>
      </c>
      <c r="AI177" s="8">
        <v>0</v>
      </c>
      <c r="AJ177" s="8">
        <v>0</v>
      </c>
      <c r="AK177" s="8">
        <v>0</v>
      </c>
      <c r="AL177" s="8">
        <v>0</v>
      </c>
      <c r="AM177" s="7">
        <v>0</v>
      </c>
      <c r="AN177" s="7">
        <v>0</v>
      </c>
      <c r="AO177" s="8">
        <v>0</v>
      </c>
      <c r="AP177" s="8">
        <v>0</v>
      </c>
      <c r="AQ177" s="8">
        <v>0</v>
      </c>
      <c r="AR177" s="8">
        <v>0</v>
      </c>
      <c r="AS177" s="8">
        <v>0</v>
      </c>
      <c r="AT177" s="8">
        <v>0</v>
      </c>
      <c r="AU177" s="7">
        <v>0</v>
      </c>
      <c r="AV177" s="7">
        <v>0</v>
      </c>
      <c r="AW177" s="8">
        <v>0</v>
      </c>
      <c r="AX177" s="8">
        <v>0</v>
      </c>
      <c r="AY177" s="7">
        <v>0</v>
      </c>
      <c r="AZ177" s="8">
        <v>0</v>
      </c>
      <c r="BA177" s="8">
        <v>0</v>
      </c>
      <c r="BB177" s="8">
        <v>0</v>
      </c>
      <c r="BC177" s="8">
        <v>0</v>
      </c>
      <c r="BD177" s="7">
        <v>0</v>
      </c>
      <c r="BE177" s="7">
        <v>0</v>
      </c>
      <c r="BF177" s="7">
        <f>VLOOKUP($A177,'2.Sep'!$M$8:$O$1048576,3,0)</f>
        <v>0</v>
      </c>
      <c r="BG177" s="7">
        <v>0</v>
      </c>
      <c r="BH177" s="8">
        <v>0</v>
      </c>
      <c r="BI177" s="8">
        <v>0</v>
      </c>
      <c r="BJ177" s="8">
        <v>0</v>
      </c>
      <c r="BK177" s="8">
        <v>0</v>
      </c>
      <c r="BL177" s="8">
        <f>VLOOKUP($A177,'8.Sep'!$M$8:$O$1048576,3,0)</f>
        <v>0</v>
      </c>
      <c r="BM177" s="7">
        <v>0</v>
      </c>
      <c r="BN177" s="7">
        <v>0</v>
      </c>
      <c r="BO177" s="8">
        <v>0</v>
      </c>
      <c r="BP177" s="8">
        <v>0</v>
      </c>
      <c r="BQ177" s="7">
        <v>0</v>
      </c>
      <c r="BR177" s="8">
        <v>0</v>
      </c>
      <c r="BS177" s="8">
        <v>0</v>
      </c>
      <c r="BT177" s="8">
        <v>0</v>
      </c>
      <c r="BU177" s="7">
        <f>VLOOKUP($A177,'17.Sep'!$M$8:$O$1048576,3,0)</f>
        <v>0</v>
      </c>
      <c r="BV177" s="7">
        <v>0</v>
      </c>
      <c r="BW177" s="7">
        <v>0</v>
      </c>
      <c r="BX177" s="7">
        <f>VLOOKUP($A177,'20.Sep'!$M$8:$O$1048576,3,0)</f>
        <v>1E-4</v>
      </c>
      <c r="BY177" s="7">
        <v>0</v>
      </c>
      <c r="BZ177" s="7">
        <v>0</v>
      </c>
      <c r="CA177" s="7">
        <f>VLOOKUP($A177,'23.Sep'!$M$8:$O$1048576,3,0)</f>
        <v>1E-4</v>
      </c>
      <c r="CB177" s="7">
        <f>VLOOKUP($A177,'24.Sep'!$M$8:$O$1048576,3,0)</f>
        <v>0</v>
      </c>
      <c r="CC177" s="7">
        <f>VLOOKUP($A177,'24.Sep'!$M$8:$O$1048576,3,0)</f>
        <v>0</v>
      </c>
    </row>
    <row r="178" spans="1:81" outlineLevel="1">
      <c r="A178" s="6" t="s">
        <v>65</v>
      </c>
      <c r="B178" s="7">
        <v>0</v>
      </c>
      <c r="C178" s="7">
        <v>0</v>
      </c>
      <c r="D178" s="7">
        <v>0</v>
      </c>
      <c r="E178" s="7">
        <v>0</v>
      </c>
      <c r="F178" s="7">
        <v>4.2857142857142856E-5</v>
      </c>
      <c r="G178" s="7">
        <v>0</v>
      </c>
      <c r="H178" s="7">
        <f t="shared" si="37"/>
        <v>0</v>
      </c>
      <c r="I178" s="7">
        <f t="shared" si="38"/>
        <v>2.8571428571428574E-5</v>
      </c>
      <c r="J178" s="7">
        <f t="shared" si="39"/>
        <v>0</v>
      </c>
      <c r="K178" s="7">
        <f t="shared" si="40"/>
        <v>0</v>
      </c>
      <c r="L178" s="7">
        <f t="shared" si="41"/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  <c r="T178" s="8">
        <v>0</v>
      </c>
      <c r="U178" s="8">
        <v>0</v>
      </c>
      <c r="V178" s="8">
        <v>0</v>
      </c>
      <c r="W178" s="8">
        <v>0</v>
      </c>
      <c r="X178" s="8">
        <v>0</v>
      </c>
      <c r="Y178" s="8">
        <v>0</v>
      </c>
      <c r="Z178" s="8">
        <v>0</v>
      </c>
      <c r="AA178" s="8">
        <v>0</v>
      </c>
      <c r="AB178" s="8">
        <v>0</v>
      </c>
      <c r="AC178" s="8">
        <v>0</v>
      </c>
      <c r="AD178" s="8">
        <v>0</v>
      </c>
      <c r="AE178" s="8">
        <v>0</v>
      </c>
      <c r="AF178" s="8">
        <v>0</v>
      </c>
      <c r="AG178" s="8">
        <v>0</v>
      </c>
      <c r="AH178" s="8">
        <v>0</v>
      </c>
      <c r="AI178" s="8">
        <v>0</v>
      </c>
      <c r="AJ178" s="8">
        <v>0</v>
      </c>
      <c r="AK178" s="8">
        <v>0</v>
      </c>
      <c r="AL178" s="8">
        <v>0</v>
      </c>
      <c r="AM178" s="7">
        <v>0</v>
      </c>
      <c r="AN178" s="8">
        <v>0</v>
      </c>
      <c r="AO178" s="7">
        <v>0</v>
      </c>
      <c r="AP178" s="8">
        <v>0</v>
      </c>
      <c r="AQ178" s="7">
        <v>2.9999999999999997E-4</v>
      </c>
      <c r="AR178" s="7">
        <v>0</v>
      </c>
      <c r="AS178" s="8">
        <v>0</v>
      </c>
      <c r="AT178" s="8">
        <v>0</v>
      </c>
      <c r="AU178" s="8">
        <v>0</v>
      </c>
      <c r="AV178" s="8">
        <v>0</v>
      </c>
      <c r="AW178" s="8">
        <v>0</v>
      </c>
      <c r="AX178" s="8">
        <v>0</v>
      </c>
      <c r="AY178" s="8">
        <v>0</v>
      </c>
      <c r="AZ178" s="8">
        <v>0</v>
      </c>
      <c r="BA178" s="8">
        <v>0</v>
      </c>
      <c r="BB178" s="8">
        <v>0</v>
      </c>
      <c r="BC178" s="8">
        <v>0</v>
      </c>
      <c r="BD178" s="7">
        <v>0</v>
      </c>
      <c r="BE178" s="7">
        <v>0</v>
      </c>
      <c r="BF178" s="7">
        <v>0</v>
      </c>
      <c r="BG178" s="7">
        <v>0</v>
      </c>
      <c r="BH178" s="8">
        <v>0</v>
      </c>
      <c r="BI178" s="8">
        <f>VLOOKUP($A178,'5.Sep'!$M$8:$O$1048576,3,0)</f>
        <v>0</v>
      </c>
      <c r="BJ178" s="8">
        <v>0</v>
      </c>
      <c r="BK178" s="8">
        <v>0</v>
      </c>
      <c r="BL178" s="8">
        <f>VLOOKUP($A178,'8.Sep'!$M$8:$O$1048576,3,0)</f>
        <v>2.0000000000000001E-4</v>
      </c>
      <c r="BM178" s="7">
        <v>0</v>
      </c>
      <c r="BN178" s="7">
        <v>0</v>
      </c>
      <c r="BO178" s="8">
        <v>0</v>
      </c>
      <c r="BP178" s="8">
        <v>0</v>
      </c>
      <c r="BQ178" s="7">
        <f>VLOOKUP($A178,'13.Sep'!$M$8:$O$1048576,3,0)</f>
        <v>0</v>
      </c>
      <c r="BR178" s="8">
        <v>0</v>
      </c>
      <c r="BS178" s="8">
        <v>0</v>
      </c>
      <c r="BT178" s="8">
        <v>0</v>
      </c>
      <c r="BU178" s="7">
        <f>VLOOKUP($A178,'17.Sep'!$M$8:$O$1048576,3,0)</f>
        <v>0</v>
      </c>
      <c r="BV178" s="7">
        <v>0</v>
      </c>
      <c r="BW178" s="7">
        <v>0</v>
      </c>
      <c r="BX178" s="8">
        <v>0</v>
      </c>
      <c r="BY178" s="7">
        <v>0</v>
      </c>
      <c r="BZ178" s="7">
        <v>0</v>
      </c>
      <c r="CA178" s="7">
        <v>0</v>
      </c>
      <c r="CB178" s="7">
        <f>VLOOKUP($A178,'24.Sep'!$M$8:$O$1048576,3,0)</f>
        <v>0</v>
      </c>
      <c r="CC178" s="7">
        <f>VLOOKUP($A178,'24.Sep'!$M$8:$O$1048576,3,0)</f>
        <v>0</v>
      </c>
    </row>
    <row r="179" spans="1:81" outlineLevel="1">
      <c r="A179" s="6" t="s">
        <v>66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f t="shared" si="37"/>
        <v>1.4285714285714287E-5</v>
      </c>
      <c r="I179" s="7">
        <f t="shared" si="38"/>
        <v>0</v>
      </c>
      <c r="J179" s="7">
        <f t="shared" si="39"/>
        <v>0</v>
      </c>
      <c r="K179" s="7">
        <f t="shared" si="40"/>
        <v>0</v>
      </c>
      <c r="L179" s="7">
        <f t="shared" si="41"/>
        <v>0</v>
      </c>
      <c r="M179" s="8">
        <v>0</v>
      </c>
      <c r="N179" s="8">
        <v>0</v>
      </c>
      <c r="O179" s="8">
        <v>0</v>
      </c>
      <c r="P179" s="8">
        <v>0</v>
      </c>
      <c r="Q179" s="8">
        <v>0</v>
      </c>
      <c r="R179" s="8">
        <v>0</v>
      </c>
      <c r="S179" s="8">
        <v>0</v>
      </c>
      <c r="T179" s="8">
        <v>0</v>
      </c>
      <c r="U179" s="8">
        <v>0</v>
      </c>
      <c r="V179" s="8">
        <v>0</v>
      </c>
      <c r="W179" s="8">
        <v>0</v>
      </c>
      <c r="X179" s="8">
        <v>0</v>
      </c>
      <c r="Y179" s="8">
        <v>0</v>
      </c>
      <c r="Z179" s="8">
        <v>0</v>
      </c>
      <c r="AA179" s="8">
        <v>0</v>
      </c>
      <c r="AB179" s="8">
        <v>0</v>
      </c>
      <c r="AC179" s="8">
        <v>0</v>
      </c>
      <c r="AD179" s="8">
        <v>0</v>
      </c>
      <c r="AE179" s="8">
        <v>0</v>
      </c>
      <c r="AF179" s="8">
        <v>0</v>
      </c>
      <c r="AG179" s="8">
        <v>0</v>
      </c>
      <c r="AH179" s="8">
        <v>0</v>
      </c>
      <c r="AI179" s="8">
        <v>0</v>
      </c>
      <c r="AJ179" s="8">
        <v>0</v>
      </c>
      <c r="AK179" s="8">
        <v>0</v>
      </c>
      <c r="AL179" s="8">
        <v>0</v>
      </c>
      <c r="AM179" s="7">
        <v>0</v>
      </c>
      <c r="AN179" s="8">
        <v>0</v>
      </c>
      <c r="AO179" s="8">
        <v>0</v>
      </c>
      <c r="AP179" s="8">
        <v>0</v>
      </c>
      <c r="AQ179" s="7">
        <v>0</v>
      </c>
      <c r="AR179" s="8">
        <v>0</v>
      </c>
      <c r="AS179" s="8">
        <v>0</v>
      </c>
      <c r="AT179" s="8">
        <v>0</v>
      </c>
      <c r="AU179" s="8">
        <v>0</v>
      </c>
      <c r="AV179" s="8">
        <v>0</v>
      </c>
      <c r="AW179" s="8">
        <v>0</v>
      </c>
      <c r="AX179" s="8">
        <v>0</v>
      </c>
      <c r="AY179" s="8">
        <v>0</v>
      </c>
      <c r="AZ179" s="8">
        <v>0</v>
      </c>
      <c r="BA179" s="8">
        <v>0</v>
      </c>
      <c r="BB179" s="8">
        <v>0</v>
      </c>
      <c r="BC179" s="8">
        <v>0</v>
      </c>
      <c r="BD179" s="7">
        <v>1E-4</v>
      </c>
      <c r="BE179" s="7">
        <v>0</v>
      </c>
      <c r="BF179" s="7">
        <v>0</v>
      </c>
      <c r="BG179" s="7">
        <f>VLOOKUP($A179,'3.Sep'!$M$8:$O$1048576,3,0)</f>
        <v>0</v>
      </c>
      <c r="BH179" s="8">
        <v>0</v>
      </c>
      <c r="BI179" s="8">
        <v>0</v>
      </c>
      <c r="BJ179" s="8">
        <v>0</v>
      </c>
      <c r="BK179" s="8">
        <v>0</v>
      </c>
      <c r="BL179" s="8">
        <v>0</v>
      </c>
      <c r="BM179" s="7">
        <v>0</v>
      </c>
      <c r="BN179" s="7">
        <v>0</v>
      </c>
      <c r="BO179" s="8">
        <v>0</v>
      </c>
      <c r="BP179" s="8">
        <v>0</v>
      </c>
      <c r="BQ179" s="7">
        <f>VLOOKUP($A179,'13.Sep'!$M$8:$O$1048576,3,0)</f>
        <v>0</v>
      </c>
      <c r="BR179" s="8">
        <v>0</v>
      </c>
      <c r="BS179" s="8">
        <v>0</v>
      </c>
      <c r="BT179" s="8">
        <v>0</v>
      </c>
      <c r="BU179" s="8">
        <v>0</v>
      </c>
      <c r="BV179" s="7">
        <v>0</v>
      </c>
      <c r="BW179" s="7">
        <v>0</v>
      </c>
      <c r="BX179" s="8">
        <v>0</v>
      </c>
      <c r="BY179" s="7">
        <v>0</v>
      </c>
      <c r="BZ179" s="7">
        <v>0</v>
      </c>
      <c r="CA179" s="7">
        <v>0</v>
      </c>
      <c r="CB179" s="7">
        <f>VLOOKUP($A179,'24.Sep'!$M$8:$O$1048576,3,0)</f>
        <v>0</v>
      </c>
      <c r="CC179" s="7">
        <f>VLOOKUP($A179,'24.Sep'!$M$8:$O$1048576,3,0)</f>
        <v>0</v>
      </c>
    </row>
    <row r="180" spans="1:81" outlineLevel="1">
      <c r="A180" s="6" t="s">
        <v>67</v>
      </c>
      <c r="B180" s="7">
        <v>0</v>
      </c>
      <c r="C180" s="7">
        <v>0</v>
      </c>
      <c r="D180" s="7">
        <v>0</v>
      </c>
      <c r="E180" s="7">
        <v>4.2857142857142863E-5</v>
      </c>
      <c r="F180" s="7">
        <v>2.8571428571428574E-5</v>
      </c>
      <c r="G180" s="7">
        <v>0</v>
      </c>
      <c r="H180" s="7">
        <f t="shared" si="37"/>
        <v>0</v>
      </c>
      <c r="I180" s="7">
        <f t="shared" si="38"/>
        <v>0</v>
      </c>
      <c r="J180" s="7">
        <f t="shared" si="39"/>
        <v>1.4285714285714287E-5</v>
      </c>
      <c r="K180" s="7">
        <f t="shared" si="40"/>
        <v>3.3333333333333335E-5</v>
      </c>
      <c r="L180" s="7">
        <f t="shared" si="41"/>
        <v>4.0000000000000003E-5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8">
        <v>0</v>
      </c>
      <c r="V180" s="8">
        <v>0</v>
      </c>
      <c r="W180" s="8">
        <v>0</v>
      </c>
      <c r="X180" s="8">
        <v>0</v>
      </c>
      <c r="Y180" s="8">
        <v>0</v>
      </c>
      <c r="Z180" s="8">
        <v>0</v>
      </c>
      <c r="AA180" s="8">
        <v>0</v>
      </c>
      <c r="AB180" s="8">
        <v>0</v>
      </c>
      <c r="AC180" s="8">
        <v>0</v>
      </c>
      <c r="AD180" s="8">
        <v>0</v>
      </c>
      <c r="AE180" s="8">
        <v>0</v>
      </c>
      <c r="AF180" s="8">
        <v>0</v>
      </c>
      <c r="AG180" s="8">
        <v>2.0000000000000001E-4</v>
      </c>
      <c r="AH180" s="8">
        <v>0</v>
      </c>
      <c r="AI180" s="8">
        <v>0</v>
      </c>
      <c r="AJ180" s="8">
        <v>1E-4</v>
      </c>
      <c r="AK180" s="8">
        <v>0</v>
      </c>
      <c r="AL180" s="8">
        <v>0</v>
      </c>
      <c r="AM180" s="7">
        <v>0</v>
      </c>
      <c r="AN180" s="7">
        <v>1E-4</v>
      </c>
      <c r="AO180" s="7">
        <v>1E-4</v>
      </c>
      <c r="AP180" s="7">
        <v>0</v>
      </c>
      <c r="AQ180" s="7">
        <v>0</v>
      </c>
      <c r="AR180" s="7">
        <v>0</v>
      </c>
      <c r="AS180" s="8">
        <v>0</v>
      </c>
      <c r="AT180" s="8">
        <v>0</v>
      </c>
      <c r="AU180" s="8">
        <v>0</v>
      </c>
      <c r="AV180" s="8">
        <v>0</v>
      </c>
      <c r="AW180" s="8">
        <v>0</v>
      </c>
      <c r="AX180" s="8">
        <v>0</v>
      </c>
      <c r="AY180" s="7">
        <v>0</v>
      </c>
      <c r="AZ180" s="7">
        <v>0</v>
      </c>
      <c r="BA180" s="8">
        <v>0</v>
      </c>
      <c r="BB180" s="7">
        <v>0</v>
      </c>
      <c r="BC180" s="7">
        <v>0</v>
      </c>
      <c r="BD180" s="7">
        <v>0</v>
      </c>
      <c r="BE180" s="7">
        <f>VLOOKUP($A180,'1.Sep'!$M$8:$O$1048576,3,0)</f>
        <v>0</v>
      </c>
      <c r="BF180" s="7">
        <v>0</v>
      </c>
      <c r="BG180" s="7">
        <v>0</v>
      </c>
      <c r="BH180" s="8">
        <f>VLOOKUP($A180,'4.Sep'!$M$8:$O$1048576,3,0)</f>
        <v>0</v>
      </c>
      <c r="BI180" s="8">
        <f>VLOOKUP($A180,'5.Sep'!$M$8:$O$1048576,3,0)</f>
        <v>0</v>
      </c>
      <c r="BJ180" s="8">
        <f>VLOOKUP($A180,'6.Sep'!$M$8:$O$1048576,3,0)</f>
        <v>0</v>
      </c>
      <c r="BK180" s="8">
        <v>0</v>
      </c>
      <c r="BL180" s="8">
        <f>VLOOKUP($A180,'8.Sep'!$M$8:$O$1048576,3,0)</f>
        <v>0</v>
      </c>
      <c r="BM180" s="7">
        <v>0</v>
      </c>
      <c r="BN180" s="7">
        <v>0</v>
      </c>
      <c r="BO180" s="8">
        <v>0</v>
      </c>
      <c r="BP180" s="8">
        <v>0</v>
      </c>
      <c r="BQ180" s="7">
        <v>0</v>
      </c>
      <c r="BR180" s="7">
        <f>VLOOKUP($A180,'14.Sep'!$M$8:$O$1048576,3,0)</f>
        <v>0</v>
      </c>
      <c r="BS180" s="8">
        <v>0</v>
      </c>
      <c r="BT180" s="8">
        <v>0</v>
      </c>
      <c r="BU180" s="7">
        <f>VLOOKUP($A180,'17.Sep'!$M$8:$O$1048576,3,0)</f>
        <v>1E-4</v>
      </c>
      <c r="BV180" s="7">
        <f>VLOOKUP($A180,'18.Sep'!$M$8:$O$1048576,3,0)</f>
        <v>0</v>
      </c>
      <c r="BW180" s="7">
        <v>0</v>
      </c>
      <c r="BX180" s="8">
        <v>0</v>
      </c>
      <c r="BY180" s="7">
        <f>VLOOKUP($A180,'21.Sep'!$M$8:$O$1048576,3,0)</f>
        <v>1E-4</v>
      </c>
      <c r="BZ180" s="7">
        <v>0</v>
      </c>
      <c r="CA180" s="7">
        <f>VLOOKUP($A180,'23.Sep'!$M$8:$O$1048576,3,0)</f>
        <v>1E-4</v>
      </c>
      <c r="CB180" s="7">
        <v>0</v>
      </c>
      <c r="CC180" s="7">
        <v>0</v>
      </c>
    </row>
    <row r="181" spans="1:81" outlineLevel="1">
      <c r="A181" s="6" t="s">
        <v>68</v>
      </c>
      <c r="B181" s="7">
        <v>0</v>
      </c>
      <c r="C181" s="7">
        <v>0</v>
      </c>
      <c r="D181" s="7">
        <v>0</v>
      </c>
      <c r="E181" s="7">
        <v>1.4285714285714287E-5</v>
      </c>
      <c r="F181" s="7">
        <v>0</v>
      </c>
      <c r="G181" s="7">
        <v>0</v>
      </c>
      <c r="H181" s="7">
        <f t="shared" si="37"/>
        <v>0</v>
      </c>
      <c r="I181" s="7">
        <f t="shared" si="38"/>
        <v>1.4285714285714287E-5</v>
      </c>
      <c r="J181" s="7">
        <f t="shared" si="39"/>
        <v>1.4285714285714287E-5</v>
      </c>
      <c r="K181" s="7">
        <f t="shared" si="40"/>
        <v>0</v>
      </c>
      <c r="L181" s="7">
        <f t="shared" si="41"/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0</v>
      </c>
      <c r="T181" s="8">
        <v>0</v>
      </c>
      <c r="U181" s="8">
        <v>0</v>
      </c>
      <c r="V181" s="8">
        <v>0</v>
      </c>
      <c r="W181" s="8">
        <v>0</v>
      </c>
      <c r="X181" s="8">
        <v>0</v>
      </c>
      <c r="Y181" s="8">
        <v>0</v>
      </c>
      <c r="Z181" s="8">
        <v>0</v>
      </c>
      <c r="AA181" s="8">
        <v>0</v>
      </c>
      <c r="AB181" s="8">
        <v>0</v>
      </c>
      <c r="AC181" s="8">
        <v>0</v>
      </c>
      <c r="AD181" s="8">
        <v>0</v>
      </c>
      <c r="AE181" s="8">
        <v>0</v>
      </c>
      <c r="AF181" s="8">
        <v>0</v>
      </c>
      <c r="AG181" s="8">
        <v>1E-4</v>
      </c>
      <c r="AH181" s="8">
        <v>0</v>
      </c>
      <c r="AI181" s="8">
        <v>0</v>
      </c>
      <c r="AJ181" s="8">
        <v>0</v>
      </c>
      <c r="AK181" s="8">
        <v>0</v>
      </c>
      <c r="AL181" s="8">
        <v>0</v>
      </c>
      <c r="AM181" s="7">
        <v>0</v>
      </c>
      <c r="AN181" s="8">
        <v>0</v>
      </c>
      <c r="AO181" s="8">
        <v>0</v>
      </c>
      <c r="AP181" s="8">
        <v>0</v>
      </c>
      <c r="AQ181" s="8">
        <v>0</v>
      </c>
      <c r="AR181" s="8">
        <v>0</v>
      </c>
      <c r="AS181" s="8">
        <v>0</v>
      </c>
      <c r="AT181" s="8">
        <v>0</v>
      </c>
      <c r="AU181" s="8">
        <v>0</v>
      </c>
      <c r="AV181" s="7">
        <v>0</v>
      </c>
      <c r="AW181" s="8">
        <v>0</v>
      </c>
      <c r="AX181" s="8">
        <v>0</v>
      </c>
      <c r="AY181" s="7">
        <v>0</v>
      </c>
      <c r="AZ181" s="8">
        <v>0</v>
      </c>
      <c r="BA181" s="8">
        <v>0</v>
      </c>
      <c r="BB181" s="8">
        <v>0</v>
      </c>
      <c r="BC181" s="8">
        <v>0</v>
      </c>
      <c r="BD181" s="7">
        <v>0</v>
      </c>
      <c r="BE181" s="7">
        <v>0</v>
      </c>
      <c r="BF181" s="7">
        <f>VLOOKUP($A181,'2.Sep'!$M$8:$O$1048576,3,0)</f>
        <v>0</v>
      </c>
      <c r="BG181" s="7">
        <v>0</v>
      </c>
      <c r="BH181" s="8">
        <v>0</v>
      </c>
      <c r="BI181" s="8">
        <v>0</v>
      </c>
      <c r="BJ181" s="8">
        <v>0</v>
      </c>
      <c r="BK181" s="8">
        <f>VLOOKUP($A181,'7.Sep'!$M$8:$O$1048576,3,0)</f>
        <v>1E-4</v>
      </c>
      <c r="BL181" s="8">
        <v>0</v>
      </c>
      <c r="BM181" s="7">
        <v>0</v>
      </c>
      <c r="BN181" s="8">
        <f>VLOOKUP($A181,'10.Sep'!$M$8:$O$1048576,3,0)</f>
        <v>0</v>
      </c>
      <c r="BO181" s="8">
        <f>VLOOKUP($A181,'11.Sep'!$M$8:$O$1048576,3,0)</f>
        <v>0</v>
      </c>
      <c r="BP181" s="7">
        <f>VLOOKUP($A181,'12.Sep'!$M$8:$O$1048576,3,0)</f>
        <v>0</v>
      </c>
      <c r="BQ181" s="7">
        <f>VLOOKUP($A181,'13.Sep'!$M$8:$O$1048576,3,0)</f>
        <v>1E-4</v>
      </c>
      <c r="BR181" s="7">
        <f>VLOOKUP($A181,'14.Sep'!$M$8:$O$1048576,3,0)</f>
        <v>0</v>
      </c>
      <c r="BS181" s="8">
        <v>0</v>
      </c>
      <c r="BT181" s="7">
        <f>VLOOKUP($A181,'16.Sep'!$M$8:$O$1048576,3,0)</f>
        <v>0</v>
      </c>
      <c r="BU181" s="7">
        <f>VLOOKUP($A181,'17.Sep'!$M$8:$O$1048576,3,0)</f>
        <v>0</v>
      </c>
      <c r="BV181" s="7">
        <v>0</v>
      </c>
      <c r="BW181" s="8">
        <v>0</v>
      </c>
      <c r="BX181" s="8">
        <v>0</v>
      </c>
      <c r="BY181" s="7">
        <v>0</v>
      </c>
      <c r="BZ181" s="7">
        <v>0</v>
      </c>
      <c r="CA181" s="7">
        <f>VLOOKUP($A181,'23.Sep'!$M$8:$O$1048576,3,0)</f>
        <v>0</v>
      </c>
      <c r="CB181" s="7">
        <v>0</v>
      </c>
      <c r="CC181" s="7">
        <v>0</v>
      </c>
    </row>
    <row r="182" spans="1:81">
      <c r="A182" s="6" t="s">
        <v>69</v>
      </c>
      <c r="B182" s="7">
        <v>0</v>
      </c>
      <c r="C182" s="7">
        <v>0</v>
      </c>
      <c r="D182" s="7">
        <v>2.8571428571428574E-5</v>
      </c>
      <c r="E182" s="7">
        <v>7.1428571428571434E-5</v>
      </c>
      <c r="F182" s="7">
        <v>0</v>
      </c>
      <c r="G182" s="7">
        <v>4.2857142857142856E-5</v>
      </c>
      <c r="H182" s="7">
        <f t="shared" ref="H182" si="42">AVERAGE(BB182:BH182)</f>
        <v>1.4285714285714287E-5</v>
      </c>
      <c r="I182" s="7">
        <f t="shared" ref="I182" si="43">AVERAGE(BI182:BO182)</f>
        <v>0</v>
      </c>
      <c r="J182" s="7">
        <f t="shared" ref="J182" si="44">AVERAGE(BP182:BV182)</f>
        <v>0</v>
      </c>
      <c r="K182" s="7">
        <f t="shared" si="40"/>
        <v>3.3333333333333335E-5</v>
      </c>
      <c r="L182" s="7">
        <f t="shared" si="41"/>
        <v>4.0000000000000003E-5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8">
        <v>0</v>
      </c>
      <c r="V182" s="8">
        <v>0</v>
      </c>
      <c r="W182" s="8">
        <v>0</v>
      </c>
      <c r="X182" s="8">
        <v>0</v>
      </c>
      <c r="Y182" s="8">
        <v>0</v>
      </c>
      <c r="Z182" s="8">
        <v>0</v>
      </c>
      <c r="AA182" s="8">
        <v>0</v>
      </c>
      <c r="AB182" s="8">
        <v>0</v>
      </c>
      <c r="AC182" s="8">
        <v>0</v>
      </c>
      <c r="AD182" s="8">
        <v>1E-4</v>
      </c>
      <c r="AE182" s="8">
        <v>1E-4</v>
      </c>
      <c r="AF182" s="8">
        <v>0</v>
      </c>
      <c r="AG182" s="8">
        <v>1E-4</v>
      </c>
      <c r="AH182" s="8">
        <v>1E-4</v>
      </c>
      <c r="AI182" s="8">
        <v>1E-4</v>
      </c>
      <c r="AJ182" s="8">
        <v>0</v>
      </c>
      <c r="AK182" s="8">
        <v>1E-4</v>
      </c>
      <c r="AL182" s="8">
        <v>1E-4</v>
      </c>
      <c r="AM182" s="7">
        <v>0</v>
      </c>
      <c r="AN182" s="8">
        <v>0</v>
      </c>
      <c r="AO182" s="8">
        <v>0</v>
      </c>
      <c r="AP182" s="8">
        <v>0</v>
      </c>
      <c r="AQ182" s="8">
        <v>0</v>
      </c>
      <c r="AR182" s="8">
        <v>0</v>
      </c>
      <c r="AS182" s="8">
        <v>0</v>
      </c>
      <c r="AT182" s="8">
        <v>0</v>
      </c>
      <c r="AU182" s="8">
        <v>0</v>
      </c>
      <c r="AV182" s="8">
        <v>0</v>
      </c>
      <c r="AW182" s="8">
        <v>0</v>
      </c>
      <c r="AX182" s="7">
        <v>2.9999999999999997E-4</v>
      </c>
      <c r="AY182" s="8">
        <v>0</v>
      </c>
      <c r="AZ182" s="8">
        <v>0</v>
      </c>
      <c r="BA182" s="8">
        <v>0</v>
      </c>
      <c r="BB182" s="7">
        <v>0</v>
      </c>
      <c r="BC182" s="7">
        <v>0</v>
      </c>
      <c r="BD182" s="7">
        <v>1E-4</v>
      </c>
      <c r="BE182" s="7">
        <v>0</v>
      </c>
      <c r="BF182" s="7">
        <f>VLOOKUP($A182,'2.Sep'!$M$8:$O$1048576,3,0)</f>
        <v>0</v>
      </c>
      <c r="BG182" s="7">
        <v>0</v>
      </c>
      <c r="BH182" s="8">
        <f>VLOOKUP($A182,'4.Sep'!$M$8:$O$1048576,3,0)</f>
        <v>0</v>
      </c>
      <c r="BI182" s="8">
        <v>0</v>
      </c>
      <c r="BJ182" s="8">
        <v>0</v>
      </c>
      <c r="BK182" s="8">
        <v>0</v>
      </c>
      <c r="BL182" s="8">
        <f>VLOOKUP($A182,'8.Sep'!$M$8:$O$1048576,3,0)</f>
        <v>0</v>
      </c>
      <c r="BM182" s="7">
        <v>0</v>
      </c>
      <c r="BN182" s="7">
        <v>0</v>
      </c>
      <c r="BO182" s="8">
        <f>VLOOKUP($A182,'11.Sep'!$M$8:$O$1048576,3,0)</f>
        <v>0</v>
      </c>
      <c r="BP182" s="8">
        <v>0</v>
      </c>
      <c r="BQ182" s="7">
        <v>0</v>
      </c>
      <c r="BR182" s="8">
        <v>0</v>
      </c>
      <c r="BS182" s="8">
        <v>0</v>
      </c>
      <c r="BT182" s="8">
        <v>0</v>
      </c>
      <c r="BU182" s="8">
        <v>0</v>
      </c>
      <c r="BV182" s="7">
        <f>VLOOKUP($A182,'18.Sep'!$M$8:$O$1048576,3,0)</f>
        <v>0</v>
      </c>
      <c r="BW182" s="7">
        <f>VLOOKUP($A182,'19.Sep'!$M$8:$O$1048576,3,0)</f>
        <v>0</v>
      </c>
      <c r="BX182" s="8">
        <v>0</v>
      </c>
      <c r="BY182" s="7">
        <f>VLOOKUP($A182,'21.Sep'!$M$8:$O$1048576,3,0)</f>
        <v>1E-4</v>
      </c>
      <c r="BZ182" s="7">
        <f>VLOOKUP($A182,'22.Sep'!$M$8:$O$1048576,3,0)</f>
        <v>1E-4</v>
      </c>
      <c r="CA182" s="7">
        <f>VLOOKUP($A182,'23.Sep'!$M$8:$O$1048576,3,0)</f>
        <v>0</v>
      </c>
      <c r="CB182" s="7">
        <v>0</v>
      </c>
      <c r="CC182" s="7">
        <v>0</v>
      </c>
    </row>
    <row r="183" spans="1:81">
      <c r="A183" s="12" t="s">
        <v>70</v>
      </c>
      <c r="B183" s="10">
        <v>0</v>
      </c>
      <c r="C183" s="10">
        <v>0</v>
      </c>
      <c r="D183" s="10">
        <v>6.9999999999999949E-3</v>
      </c>
      <c r="E183" s="10">
        <v>1.4442857142857144E-2</v>
      </c>
      <c r="F183" s="10">
        <v>1.2042857142857138E-2</v>
      </c>
      <c r="G183" s="10">
        <v>1.1971428571428565E-2</v>
      </c>
      <c r="H183" s="10">
        <f t="shared" ref="H183" si="45">SUM(H117:H182)</f>
        <v>1.2142857142857146E-2</v>
      </c>
      <c r="I183" s="10">
        <f t="shared" ref="I183:J183" si="46">SUM(I117:I182)</f>
        <v>1.0999999999999999E-2</v>
      </c>
      <c r="J183" s="10">
        <f t="shared" si="46"/>
        <v>1.0614285714285718E-2</v>
      </c>
      <c r="K183" s="10">
        <f t="shared" ref="K183:L183" si="47">SUM(K117:K182)</f>
        <v>1.0283333333333328E-2</v>
      </c>
      <c r="L183" s="10">
        <f t="shared" si="47"/>
        <v>1.045999999999999E-2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1.9400000000000001E-2</v>
      </c>
      <c r="AE183" s="11">
        <v>1.539999999999999E-2</v>
      </c>
      <c r="AF183" s="11">
        <v>1.4199999999999999E-2</v>
      </c>
      <c r="AG183" s="11">
        <v>1.5599999999999994E-2</v>
      </c>
      <c r="AH183" s="11">
        <v>1.7399999999999988E-2</v>
      </c>
      <c r="AI183" s="11">
        <v>1.6299999999999995E-2</v>
      </c>
      <c r="AJ183" s="11">
        <v>1.3999999999999997E-2</v>
      </c>
      <c r="AK183" s="11">
        <v>1.2199999999999994E-2</v>
      </c>
      <c r="AL183" s="11">
        <v>1.2699999999999994E-2</v>
      </c>
      <c r="AM183" s="10">
        <v>1.2899999999999997E-2</v>
      </c>
      <c r="AN183" s="10">
        <v>1.5099999999999994E-2</v>
      </c>
      <c r="AO183" s="10">
        <v>1.2899999999999995E-2</v>
      </c>
      <c r="AP183" s="10">
        <v>1.0799999999999994E-2</v>
      </c>
      <c r="AQ183" s="10">
        <v>1.0599999999999997E-2</v>
      </c>
      <c r="AR183" s="10">
        <v>1.1499999999999996E-2</v>
      </c>
      <c r="AS183" s="10">
        <v>1.1999999999999995E-2</v>
      </c>
      <c r="AT183" s="10">
        <v>1.139999999999999E-2</v>
      </c>
      <c r="AU183" s="10">
        <v>9.3999999999999986E-3</v>
      </c>
      <c r="AV183" s="10">
        <v>1.1600000000000001E-2</v>
      </c>
      <c r="AW183" s="10">
        <v>1.3399999999999997E-2</v>
      </c>
      <c r="AX183" s="10">
        <v>1.4699999999999991E-2</v>
      </c>
      <c r="AY183" s="10">
        <v>1.3099999999999997E-2</v>
      </c>
      <c r="AZ183" s="10">
        <v>1.0399999999999998E-2</v>
      </c>
      <c r="BA183" s="10">
        <v>1.1199999999999993E-2</v>
      </c>
      <c r="BB183" s="10">
        <v>1.0799999999999995E-2</v>
      </c>
      <c r="BC183" s="10">
        <v>1.0999999999999998E-2</v>
      </c>
      <c r="BD183" s="10">
        <v>1.0499999999999992E-2</v>
      </c>
      <c r="BE183" s="10">
        <f t="shared" ref="BE183:CB183" si="48">SUM(BE117:BE182)</f>
        <v>1.1599999999999994E-2</v>
      </c>
      <c r="BF183" s="10">
        <f t="shared" si="48"/>
        <v>1.769999999999999E-2</v>
      </c>
      <c r="BG183" s="10">
        <f t="shared" si="48"/>
        <v>1.1299999999999998E-2</v>
      </c>
      <c r="BH183" s="11">
        <f t="shared" si="48"/>
        <v>1.2099999999999993E-2</v>
      </c>
      <c r="BI183" s="11">
        <f t="shared" si="48"/>
        <v>1.1999999999999995E-2</v>
      </c>
      <c r="BJ183" s="11">
        <f t="shared" si="48"/>
        <v>1.0599999999999997E-2</v>
      </c>
      <c r="BK183" s="11">
        <f t="shared" si="48"/>
        <v>1.1099999999999999E-2</v>
      </c>
      <c r="BL183" s="11">
        <f t="shared" si="48"/>
        <v>1.2099999999999994E-2</v>
      </c>
      <c r="BM183" s="11">
        <f t="shared" si="48"/>
        <v>1.0399999999999998E-2</v>
      </c>
      <c r="BN183" s="11">
        <f t="shared" si="48"/>
        <v>9.6000000000000009E-3</v>
      </c>
      <c r="BO183" s="11">
        <f t="shared" si="48"/>
        <v>1.12E-2</v>
      </c>
      <c r="BP183" s="10">
        <f t="shared" si="48"/>
        <v>1.21E-2</v>
      </c>
      <c r="BQ183" s="10">
        <f t="shared" si="48"/>
        <v>9.7999999999999979E-3</v>
      </c>
      <c r="BR183" s="10">
        <f t="shared" si="48"/>
        <v>1.1499999999999998E-2</v>
      </c>
      <c r="BS183" s="10">
        <f t="shared" si="48"/>
        <v>9.6999999999999968E-3</v>
      </c>
      <c r="BT183" s="10">
        <f t="shared" si="48"/>
        <v>1.03E-2</v>
      </c>
      <c r="BU183" s="10">
        <f t="shared" si="48"/>
        <v>1.1099999999999992E-2</v>
      </c>
      <c r="BV183" s="10">
        <f t="shared" si="48"/>
        <v>9.7999999999999979E-3</v>
      </c>
      <c r="BW183" s="10">
        <f t="shared" si="48"/>
        <v>9.3999999999999986E-3</v>
      </c>
      <c r="BX183" s="10">
        <f t="shared" si="48"/>
        <v>1.0599999999999995E-2</v>
      </c>
      <c r="BY183" s="10">
        <f t="shared" si="48"/>
        <v>1.0399999999999993E-2</v>
      </c>
      <c r="BZ183" s="10">
        <f t="shared" si="48"/>
        <v>9.5999999999999974E-3</v>
      </c>
      <c r="CA183" s="10">
        <f t="shared" si="48"/>
        <v>1.0599999999999997E-2</v>
      </c>
      <c r="CB183" s="10">
        <f t="shared" si="48"/>
        <v>1.1099999999999992E-2</v>
      </c>
      <c r="CC183" s="10">
        <f t="shared" ref="CC183" si="49">SUM(CC117:CC182)</f>
        <v>1.1099999999999992E-2</v>
      </c>
    </row>
    <row r="184" spans="1:81">
      <c r="A184" s="13" t="s">
        <v>71</v>
      </c>
      <c r="B184" s="14">
        <v>61744</v>
      </c>
      <c r="C184" s="14">
        <v>119339</v>
      </c>
      <c r="D184" s="14">
        <v>202359</v>
      </c>
      <c r="E184" s="14">
        <v>146441</v>
      </c>
      <c r="F184" s="14">
        <v>255968</v>
      </c>
      <c r="G184" s="14">
        <v>222356</v>
      </c>
      <c r="H184" s="14">
        <f>SUM(BB184:BH184)</f>
        <v>273333</v>
      </c>
      <c r="I184" s="14">
        <f>SUM(BI184:BO184)</f>
        <v>179206</v>
      </c>
      <c r="J184" s="14">
        <f>SUM(BP184:BV184)</f>
        <v>287585</v>
      </c>
      <c r="K184" s="14">
        <f>SUM(BW184:CB184)</f>
        <v>156547</v>
      </c>
      <c r="L184" s="14">
        <f>SUM(BX184:CB184)</f>
        <v>124032</v>
      </c>
      <c r="M184" s="15">
        <v>8999</v>
      </c>
      <c r="N184" s="15">
        <v>7167</v>
      </c>
      <c r="O184" s="15">
        <v>10052</v>
      </c>
      <c r="P184" s="15">
        <v>11243</v>
      </c>
      <c r="Q184" s="15">
        <v>12410</v>
      </c>
      <c r="R184" s="15">
        <v>11873</v>
      </c>
      <c r="S184" s="15">
        <v>13200</v>
      </c>
      <c r="T184" s="15">
        <v>10380</v>
      </c>
      <c r="U184" s="15">
        <v>14737</v>
      </c>
      <c r="V184" s="15">
        <v>18130</v>
      </c>
      <c r="W184" s="15">
        <v>22513</v>
      </c>
      <c r="X184" s="15">
        <v>22513</v>
      </c>
      <c r="Y184" s="15">
        <v>17866</v>
      </c>
      <c r="Z184" s="15">
        <v>41757</v>
      </c>
      <c r="AA184" s="15">
        <v>38551</v>
      </c>
      <c r="AB184" s="15">
        <v>41374</v>
      </c>
      <c r="AC184" s="15">
        <v>43211</v>
      </c>
      <c r="AD184" s="15">
        <v>6897</v>
      </c>
      <c r="AE184" s="15">
        <v>19610</v>
      </c>
      <c r="AF184" s="15">
        <v>10959</v>
      </c>
      <c r="AG184" s="15">
        <v>16596</v>
      </c>
      <c r="AH184" s="15">
        <v>12617</v>
      </c>
      <c r="AI184" s="15">
        <v>17630</v>
      </c>
      <c r="AJ184" s="15">
        <v>20408</v>
      </c>
      <c r="AK184" s="15">
        <v>27353</v>
      </c>
      <c r="AL184" s="15">
        <v>21035</v>
      </c>
      <c r="AM184" s="14">
        <v>30802</v>
      </c>
      <c r="AN184" s="14">
        <v>38152</v>
      </c>
      <c r="AO184" s="14">
        <v>36776</v>
      </c>
      <c r="AP184" s="14">
        <v>49190</v>
      </c>
      <c r="AQ184" s="14">
        <v>28222</v>
      </c>
      <c r="AR184" s="14">
        <v>31426</v>
      </c>
      <c r="AS184" s="14">
        <v>35886</v>
      </c>
      <c r="AT184" s="14">
        <v>36316</v>
      </c>
      <c r="AU184" s="14">
        <v>26473</v>
      </c>
      <c r="AV184" s="14">
        <v>37024</v>
      </c>
      <c r="AW184" s="14">
        <v>22568</v>
      </c>
      <c r="AX184" s="14">
        <v>35081</v>
      </c>
      <c r="AY184" s="14">
        <v>32360</v>
      </c>
      <c r="AZ184" s="14">
        <v>39146</v>
      </c>
      <c r="BA184" s="14">
        <v>29704</v>
      </c>
      <c r="BB184" s="14">
        <v>33198</v>
      </c>
      <c r="BC184" s="14">
        <v>41851</v>
      </c>
      <c r="BD184" s="14">
        <v>19103</v>
      </c>
      <c r="BE184" s="14">
        <f>'1.Sep'!$O$2</f>
        <v>42453</v>
      </c>
      <c r="BF184" s="14">
        <f>'2.Sep'!$O$2</f>
        <v>69147</v>
      </c>
      <c r="BG184" s="14">
        <f>'3.Sep'!$O$2</f>
        <v>34336</v>
      </c>
      <c r="BH184" s="15">
        <f>'4.Sep'!$O$2</f>
        <v>33245</v>
      </c>
      <c r="BI184" s="15">
        <f>'5.Sep'!$O$2</f>
        <v>23302</v>
      </c>
      <c r="BJ184" s="15">
        <f>'6.Sep'!$O$2</f>
        <v>28470</v>
      </c>
      <c r="BK184" s="15">
        <f>'7.Sep'!$O$2</f>
        <v>21935</v>
      </c>
      <c r="BL184" s="15">
        <f>'8.Sep'!$O$2</f>
        <v>25118</v>
      </c>
      <c r="BM184" s="15">
        <f>'9.Sep'!$O$2</f>
        <v>22980</v>
      </c>
      <c r="BN184" s="15">
        <f>'10.Sep'!$O$2</f>
        <v>25144</v>
      </c>
      <c r="BO184" s="15">
        <f>'11.Sep'!$O$2</f>
        <v>32257</v>
      </c>
      <c r="BP184" s="14">
        <f>'12.Sep'!$O$2</f>
        <v>29088</v>
      </c>
      <c r="BQ184" s="14">
        <f>'13.Sep'!$O$2</f>
        <v>33407</v>
      </c>
      <c r="BR184" s="14">
        <f>'14.Sep'!$O$2</f>
        <v>34049</v>
      </c>
      <c r="BS184" s="14">
        <f>'15.Sep'!$O$2</f>
        <v>47224</v>
      </c>
      <c r="BT184" s="14">
        <f>'16.Sep'!$O$2</f>
        <v>42163</v>
      </c>
      <c r="BU184" s="14">
        <f>'17.Sep'!$O$2</f>
        <v>56914</v>
      </c>
      <c r="BV184" s="14">
        <f>'18.Sep'!$O$2</f>
        <v>44740</v>
      </c>
      <c r="BW184" s="14">
        <f>'19.Sep'!$O$2</f>
        <v>32515</v>
      </c>
      <c r="BX184" s="14">
        <f>'20.Sep'!$O$2</f>
        <v>15558</v>
      </c>
      <c r="BY184" s="14">
        <f>'21.Sep'!$O$2</f>
        <v>16022</v>
      </c>
      <c r="BZ184" s="14">
        <f>'22.Sep'!$O$2</f>
        <v>15105</v>
      </c>
      <c r="CA184" s="14">
        <f>'23.Sep'!$O$2</f>
        <v>41977</v>
      </c>
      <c r="CB184" s="14">
        <f>'24.Sep'!$O$2</f>
        <v>35370</v>
      </c>
      <c r="CC184" s="14">
        <f>'24.Sep'!$O$2</f>
        <v>35370</v>
      </c>
    </row>
    <row r="185" spans="1:81">
      <c r="A185" s="13" t="s">
        <v>72</v>
      </c>
      <c r="B185" s="14">
        <v>60179</v>
      </c>
      <c r="C185" s="14">
        <v>116987</v>
      </c>
      <c r="D185" s="14">
        <v>197915</v>
      </c>
      <c r="E185" s="14">
        <v>144360</v>
      </c>
      <c r="F185" s="14">
        <v>252622</v>
      </c>
      <c r="G185" s="14">
        <v>222356</v>
      </c>
      <c r="H185" s="14">
        <f>SUM(BB185:BH185)</f>
        <v>273333</v>
      </c>
      <c r="I185" s="14">
        <f>SUM(BI185:BO185)</f>
        <v>179206</v>
      </c>
      <c r="J185" s="14">
        <f>SUM(BP185:BV185)</f>
        <v>287585</v>
      </c>
      <c r="K185" s="14">
        <f>SUM(BW185:CB185)</f>
        <v>156547</v>
      </c>
      <c r="L185" s="14">
        <f>SUM(BX185:CB185)</f>
        <v>124032</v>
      </c>
      <c r="M185" s="15">
        <v>8744</v>
      </c>
      <c r="N185" s="15">
        <v>6955</v>
      </c>
      <c r="O185" s="15">
        <v>9831</v>
      </c>
      <c r="P185" s="15">
        <v>10920</v>
      </c>
      <c r="Q185" s="15">
        <v>12106</v>
      </c>
      <c r="R185" s="15">
        <v>11623</v>
      </c>
      <c r="S185" s="15">
        <v>12953</v>
      </c>
      <c r="T185" s="15">
        <v>10193</v>
      </c>
      <c r="U185" s="15">
        <v>14465</v>
      </c>
      <c r="V185" s="15">
        <v>17803</v>
      </c>
      <c r="W185" s="15">
        <v>22063</v>
      </c>
      <c r="X185" s="15">
        <v>22063</v>
      </c>
      <c r="Y185" s="15">
        <v>17447</v>
      </c>
      <c r="Z185" s="15">
        <v>40880</v>
      </c>
      <c r="AA185" s="15">
        <v>37634</v>
      </c>
      <c r="AB185" s="15">
        <v>40442</v>
      </c>
      <c r="AC185" s="15">
        <v>42073</v>
      </c>
      <c r="AD185" s="15">
        <v>6760</v>
      </c>
      <c r="AE185" s="15">
        <v>19320</v>
      </c>
      <c r="AF185" s="15">
        <v>10806</v>
      </c>
      <c r="AG185" s="15">
        <v>16341</v>
      </c>
      <c r="AH185" s="15">
        <v>12399</v>
      </c>
      <c r="AI185" s="15">
        <v>17347</v>
      </c>
      <c r="AJ185" s="15">
        <v>20101</v>
      </c>
      <c r="AK185" s="15">
        <v>27011</v>
      </c>
      <c r="AL185" s="15">
        <v>20755</v>
      </c>
      <c r="AM185" s="14">
        <v>30406</v>
      </c>
      <c r="AN185" s="14">
        <v>37590</v>
      </c>
      <c r="AO185" s="14">
        <v>36290</v>
      </c>
      <c r="AP185" s="14">
        <v>48628</v>
      </c>
      <c r="AQ185" s="14">
        <v>27910</v>
      </c>
      <c r="AR185" s="14">
        <v>30842</v>
      </c>
      <c r="AS185" s="14">
        <v>35452</v>
      </c>
      <c r="AT185" s="14">
        <v>35910</v>
      </c>
      <c r="AU185" s="14">
        <v>26473</v>
      </c>
      <c r="AV185" s="14">
        <v>37024</v>
      </c>
      <c r="AW185" s="14">
        <v>22568</v>
      </c>
      <c r="AX185" s="14">
        <v>35081</v>
      </c>
      <c r="AY185" s="14">
        <v>32360</v>
      </c>
      <c r="AZ185" s="14">
        <v>39146</v>
      </c>
      <c r="BA185" s="14">
        <v>29704</v>
      </c>
      <c r="BB185" s="14">
        <v>33198</v>
      </c>
      <c r="BC185" s="14">
        <v>41851</v>
      </c>
      <c r="BD185" s="14">
        <v>19103</v>
      </c>
      <c r="BE185" s="14">
        <f>'1.Sep'!$O$2</f>
        <v>42453</v>
      </c>
      <c r="BF185" s="14">
        <f>'2.Sep'!$O$2</f>
        <v>69147</v>
      </c>
      <c r="BG185" s="14">
        <f>'3.Sep'!$O$2</f>
        <v>34336</v>
      </c>
      <c r="BH185" s="15">
        <f>'4.Sep'!$O$2</f>
        <v>33245</v>
      </c>
      <c r="BI185" s="15">
        <f>'5.Sep'!$O$2</f>
        <v>23302</v>
      </c>
      <c r="BJ185" s="15">
        <f>'6.Sep'!$O$2</f>
        <v>28470</v>
      </c>
      <c r="BK185" s="15">
        <f>'7.Sep'!$O$2</f>
        <v>21935</v>
      </c>
      <c r="BL185" s="15">
        <f>'8.Sep'!$O$2</f>
        <v>25118</v>
      </c>
      <c r="BM185" s="15">
        <f>'9.Sep'!$O$2</f>
        <v>22980</v>
      </c>
      <c r="BN185" s="15">
        <f>'10.Sep'!$O$2</f>
        <v>25144</v>
      </c>
      <c r="BO185" s="15">
        <f>'11.Sep'!$O$2</f>
        <v>32257</v>
      </c>
      <c r="BP185" s="14">
        <f>'12.Sep'!$O$2</f>
        <v>29088</v>
      </c>
      <c r="BQ185" s="14">
        <f>'13.Sep'!$O$2</f>
        <v>33407</v>
      </c>
      <c r="BR185" s="14">
        <f>'14.Sep'!$O$2</f>
        <v>34049</v>
      </c>
      <c r="BS185" s="14">
        <f>'15.Sep'!$O$2</f>
        <v>47224</v>
      </c>
      <c r="BT185" s="14">
        <f>'16.Sep'!$O$2</f>
        <v>42163</v>
      </c>
      <c r="BU185" s="14">
        <f>'17.Sep'!$O$2</f>
        <v>56914</v>
      </c>
      <c r="BV185" s="14">
        <f>'18.Sep'!$O$2</f>
        <v>44740</v>
      </c>
      <c r="BW185" s="14">
        <f>'19.Sep'!$O$2</f>
        <v>32515</v>
      </c>
      <c r="BX185" s="14">
        <f>'20.Sep'!$O$2</f>
        <v>15558</v>
      </c>
      <c r="BY185" s="14">
        <f>'21.Sep'!$O$2</f>
        <v>16022</v>
      </c>
      <c r="BZ185" s="14">
        <f>'22.Sep'!$O$2</f>
        <v>15105</v>
      </c>
      <c r="CA185" s="14">
        <f>'23.Sep'!$O$2</f>
        <v>41977</v>
      </c>
      <c r="CB185" s="14">
        <f>'24.Sep'!$O$2</f>
        <v>35370</v>
      </c>
      <c r="CC185" s="14">
        <f>'24.Sep'!$O$2</f>
        <v>35370</v>
      </c>
    </row>
    <row r="186" spans="1:81" ht="19.5">
      <c r="A186" s="1" t="s">
        <v>137</v>
      </c>
      <c r="B186" s="16" t="s">
        <v>1</v>
      </c>
      <c r="C186" s="16" t="s">
        <v>118</v>
      </c>
      <c r="D186" s="16" t="s">
        <v>128</v>
      </c>
      <c r="E186" s="16" t="s">
        <v>144</v>
      </c>
      <c r="F186" s="16" t="s">
        <v>151</v>
      </c>
      <c r="G186" s="16" t="s">
        <v>162</v>
      </c>
      <c r="H186" s="16" t="s">
        <v>163</v>
      </c>
      <c r="I186" s="16" t="s">
        <v>168</v>
      </c>
      <c r="J186" s="16" t="s">
        <v>173</v>
      </c>
      <c r="K186" s="16" t="s">
        <v>178</v>
      </c>
      <c r="L186" s="16" t="s">
        <v>178</v>
      </c>
      <c r="M186" s="18">
        <v>44761</v>
      </c>
      <c r="N186" s="18">
        <v>44762</v>
      </c>
      <c r="O186" s="18">
        <v>44763</v>
      </c>
      <c r="P186" s="18">
        <v>44764</v>
      </c>
      <c r="Q186" s="17">
        <v>44765</v>
      </c>
      <c r="R186" s="17">
        <v>44766</v>
      </c>
      <c r="S186" s="17">
        <v>44767</v>
      </c>
      <c r="T186" s="17">
        <v>44768</v>
      </c>
      <c r="U186" s="17">
        <v>44769</v>
      </c>
      <c r="V186" s="17">
        <v>44770</v>
      </c>
      <c r="W186" s="17">
        <v>44771</v>
      </c>
      <c r="X186" s="17">
        <v>44772</v>
      </c>
      <c r="Y186" s="17">
        <v>44773</v>
      </c>
      <c r="Z186" s="17">
        <v>44774</v>
      </c>
      <c r="AA186" s="17">
        <v>44775</v>
      </c>
      <c r="AB186" s="17">
        <v>44776</v>
      </c>
      <c r="AC186" s="17">
        <v>44777</v>
      </c>
      <c r="AD186" s="17">
        <v>44778</v>
      </c>
      <c r="AE186" s="17">
        <v>44779</v>
      </c>
      <c r="AF186" s="18">
        <v>44780</v>
      </c>
      <c r="AG186" s="18">
        <v>44781</v>
      </c>
      <c r="AH186" s="18">
        <v>44782</v>
      </c>
      <c r="AI186" s="18">
        <v>44783</v>
      </c>
      <c r="AJ186" s="18">
        <v>44784</v>
      </c>
      <c r="AK186" s="18">
        <v>44785</v>
      </c>
      <c r="AL186" s="18">
        <v>44786</v>
      </c>
      <c r="AM186" s="17">
        <v>44787</v>
      </c>
      <c r="AN186" s="17">
        <v>44788</v>
      </c>
      <c r="AO186" s="17">
        <v>44789</v>
      </c>
      <c r="AP186" s="17">
        <v>44790</v>
      </c>
      <c r="AQ186" s="17">
        <v>44791</v>
      </c>
      <c r="AR186" s="17">
        <v>44792</v>
      </c>
      <c r="AS186" s="17">
        <v>44793</v>
      </c>
      <c r="AT186" s="17">
        <v>44794</v>
      </c>
      <c r="AU186" s="17">
        <v>44795</v>
      </c>
      <c r="AV186" s="17">
        <v>44796</v>
      </c>
      <c r="AW186" s="17">
        <v>44797</v>
      </c>
      <c r="AX186" s="17">
        <v>44798</v>
      </c>
      <c r="AY186" s="17">
        <v>44799</v>
      </c>
      <c r="AZ186" s="17">
        <v>44800</v>
      </c>
      <c r="BA186" s="17">
        <v>44801</v>
      </c>
      <c r="BB186" s="17">
        <v>44802</v>
      </c>
      <c r="BC186" s="17">
        <v>44803</v>
      </c>
      <c r="BD186" s="17">
        <v>44804</v>
      </c>
      <c r="BE186" s="17">
        <v>44805</v>
      </c>
      <c r="BF186" s="17">
        <v>44806</v>
      </c>
      <c r="BG186" s="17">
        <v>44807</v>
      </c>
      <c r="BH186" s="18">
        <v>44808</v>
      </c>
      <c r="BI186" s="18">
        <v>44809</v>
      </c>
      <c r="BJ186" s="18">
        <v>44810</v>
      </c>
      <c r="BK186" s="18">
        <v>44811</v>
      </c>
      <c r="BL186" s="18">
        <v>44812</v>
      </c>
      <c r="BM186" s="18">
        <v>44813</v>
      </c>
      <c r="BN186" s="18">
        <v>44814</v>
      </c>
      <c r="BO186" s="18">
        <v>44815</v>
      </c>
      <c r="BP186" s="17">
        <v>44816</v>
      </c>
      <c r="BQ186" s="17">
        <v>44817</v>
      </c>
      <c r="BR186" s="17">
        <v>44818</v>
      </c>
      <c r="BS186" s="17">
        <v>44819</v>
      </c>
      <c r="BT186" s="17">
        <v>44820</v>
      </c>
      <c r="BU186" s="17">
        <v>44821</v>
      </c>
      <c r="BV186" s="17">
        <v>44822</v>
      </c>
      <c r="BW186" s="17">
        <v>44823</v>
      </c>
      <c r="BX186" s="17">
        <v>44824</v>
      </c>
      <c r="BY186" s="17">
        <v>44825</v>
      </c>
      <c r="BZ186" s="17">
        <v>44826</v>
      </c>
      <c r="CA186" s="17">
        <v>44827</v>
      </c>
      <c r="CB186" s="17">
        <v>44828</v>
      </c>
      <c r="CC186" s="17">
        <v>44828</v>
      </c>
    </row>
    <row r="187" spans="1:81">
      <c r="A187" s="6" t="s">
        <v>74</v>
      </c>
      <c r="B187" s="7">
        <v>0</v>
      </c>
      <c r="C187" s="7">
        <v>0</v>
      </c>
      <c r="D187" s="7">
        <v>0</v>
      </c>
      <c r="E187" s="7">
        <v>2.4285714285714283E-4</v>
      </c>
      <c r="F187" s="7">
        <v>2.2857142857142862E-4</v>
      </c>
      <c r="G187" s="7">
        <v>7.1428571428571434E-5</v>
      </c>
      <c r="H187" s="7">
        <f>AVERAGE(BB187:BH187)</f>
        <v>4.2857142857142863E-5</v>
      </c>
      <c r="I187" s="7">
        <f>AVERAGE(BI187:BO187)</f>
        <v>2.8571428571428574E-5</v>
      </c>
      <c r="J187" s="7">
        <f>AVERAGE(BP187:BV187)</f>
        <v>1.1428571428571431E-4</v>
      </c>
      <c r="K187" s="7">
        <f t="shared" ref="K187:K211" si="50">AVERAGE(BW187:CB187)</f>
        <v>2.6666666666666663E-4</v>
      </c>
      <c r="L187" s="7">
        <f t="shared" ref="L187:L211" si="51">AVERAGE(BX187:CB187)</f>
        <v>3.0000000000000003E-4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  <c r="S187" s="8">
        <v>0</v>
      </c>
      <c r="T187" s="8">
        <v>0</v>
      </c>
      <c r="U187" s="8">
        <v>0</v>
      </c>
      <c r="V187" s="8">
        <v>0</v>
      </c>
      <c r="W187" s="8">
        <v>0</v>
      </c>
      <c r="X187" s="8">
        <v>0</v>
      </c>
      <c r="Y187" s="8">
        <v>0</v>
      </c>
      <c r="Z187" s="8">
        <v>0</v>
      </c>
      <c r="AA187" s="8">
        <v>0</v>
      </c>
      <c r="AB187" s="8">
        <v>0</v>
      </c>
      <c r="AC187" s="8">
        <v>0</v>
      </c>
      <c r="AD187" s="7">
        <v>0</v>
      </c>
      <c r="AE187" s="7">
        <v>0</v>
      </c>
      <c r="AF187" s="8">
        <v>0</v>
      </c>
      <c r="AG187" s="8">
        <v>1E-4</v>
      </c>
      <c r="AH187" s="8">
        <v>1E-4</v>
      </c>
      <c r="AI187" s="8">
        <v>1E-4</v>
      </c>
      <c r="AJ187" s="8">
        <v>1E-4</v>
      </c>
      <c r="AK187" s="8">
        <v>2.9999999999999997E-4</v>
      </c>
      <c r="AL187" s="8">
        <v>6.9999999999999999E-4</v>
      </c>
      <c r="AM187" s="7">
        <v>2.9999999999999997E-4</v>
      </c>
      <c r="AN187" s="7">
        <v>4.0000000000000002E-4</v>
      </c>
      <c r="AO187" s="7">
        <v>2.0000000000000001E-4</v>
      </c>
      <c r="AP187" s="7">
        <v>2.0000000000000001E-4</v>
      </c>
      <c r="AQ187" s="7">
        <v>4.0000000000000002E-4</v>
      </c>
      <c r="AR187" s="7">
        <v>1E-4</v>
      </c>
      <c r="AS187" s="7">
        <v>2.0000000000000001E-4</v>
      </c>
      <c r="AT187" s="7">
        <v>1E-4</v>
      </c>
      <c r="AU187" s="7">
        <v>0</v>
      </c>
      <c r="AV187" s="7">
        <v>0</v>
      </c>
      <c r="AW187" s="7">
        <v>1E-4</v>
      </c>
      <c r="AX187" s="7">
        <v>1E-4</v>
      </c>
      <c r="AY187" s="7">
        <v>1E-4</v>
      </c>
      <c r="AZ187" s="7">
        <v>1E-4</v>
      </c>
      <c r="BA187" s="7">
        <v>1E-4</v>
      </c>
      <c r="BB187" s="7">
        <v>1E-4</v>
      </c>
      <c r="BC187" s="7">
        <v>0</v>
      </c>
      <c r="BD187" s="7">
        <v>1E-4</v>
      </c>
      <c r="BE187" s="7">
        <f>VLOOKUP($A187,'1.Sep'!$Q$8:$S$1048576,3,0)</f>
        <v>1E-4</v>
      </c>
      <c r="BF187" s="7">
        <f>VLOOKUP($A187,'2.Sep'!$Q$8:$S$1048576,3,0)</f>
        <v>0</v>
      </c>
      <c r="BG187" s="7">
        <f>VLOOKUP($A187,'3.Sep'!$Q$8:$S$1048576,3,0)</f>
        <v>0</v>
      </c>
      <c r="BH187" s="8">
        <v>0</v>
      </c>
      <c r="BI187" s="7">
        <f>VLOOKUP($A187,'5.Sep'!$Q$8:$S$1048576,3,0)</f>
        <v>1E-4</v>
      </c>
      <c r="BJ187" s="7">
        <f>VLOOKUP($A187,'6.Sep'!$Q$8:$S$1048576,3,0)</f>
        <v>0</v>
      </c>
      <c r="BK187" s="7">
        <f>VLOOKUP($A187,'7.Sep'!$Q$8:$S$1048576,3,0)</f>
        <v>0</v>
      </c>
      <c r="BL187" s="7">
        <f>VLOOKUP($A187,'8.Sep'!$Q$8:$S$1048576,3,0)</f>
        <v>0</v>
      </c>
      <c r="BM187" s="8">
        <v>0</v>
      </c>
      <c r="BN187" s="8">
        <v>0</v>
      </c>
      <c r="BO187" s="8">
        <f>VLOOKUP($A187,'11.Sep'!$Q$8:$S$1048576,3,0)</f>
        <v>1E-4</v>
      </c>
      <c r="BP187" s="7">
        <f>VLOOKUP($A187,'12.Sep'!$Q$8:$S$1048576,3,0)</f>
        <v>2.0000000000000001E-4</v>
      </c>
      <c r="BQ187" s="7">
        <f>VLOOKUP($A187,'13.Sep'!$Q$8:$S$1048576,3,0)</f>
        <v>1E-4</v>
      </c>
      <c r="BR187" s="7">
        <f>VLOOKUP($A187,'14.Sep'!$Q$8:$S$1048576,3,0)</f>
        <v>1E-4</v>
      </c>
      <c r="BS187" s="7">
        <f>VLOOKUP($A187,'15.Sep'!$Q$8:$S$1048576,3,0)</f>
        <v>1E-4</v>
      </c>
      <c r="BT187" s="7">
        <f>VLOOKUP($A187,'16.Sep'!$Q$8:$S$1048576,3,0)</f>
        <v>1E-4</v>
      </c>
      <c r="BU187" s="7">
        <f>VLOOKUP($A187,'17.Sep'!$Q$8:$S$1048576,3,0)</f>
        <v>1E-4</v>
      </c>
      <c r="BV187" s="7">
        <f>VLOOKUP($A187,'18.Sep'!$Q$8:$S$1048576,3,0)</f>
        <v>1E-4</v>
      </c>
      <c r="BW187" s="7">
        <f>VLOOKUP($A187,'19.Sep'!$Q$8:$S$1048576,3,0)</f>
        <v>1E-4</v>
      </c>
      <c r="BX187" s="7">
        <f>VLOOKUP($A187,'20.Sep'!$Q$8:$S$1048576,3,0)</f>
        <v>2.9999999999999997E-4</v>
      </c>
      <c r="BY187" s="7">
        <f>VLOOKUP($A187,'21.Sep'!$Q$8:$S$1048576,3,0)</f>
        <v>4.0000000000000002E-4</v>
      </c>
      <c r="BZ187" s="7">
        <f>VLOOKUP($A187,'22.Sep'!$Q$8:$S$1048576,3,0)</f>
        <v>1E-4</v>
      </c>
      <c r="CA187" s="7">
        <f>VLOOKUP($A187,'23.Sep'!$Q$8:$S$1048576,3,0)</f>
        <v>4.0000000000000002E-4</v>
      </c>
      <c r="CB187" s="7">
        <f>VLOOKUP($A187,'24.Sep'!$Q$8:$S$1048576,3,0)</f>
        <v>2.9999999999999997E-4</v>
      </c>
      <c r="CC187" s="7">
        <f>VLOOKUP($A187,'24.Sep'!$Q$8:$S$1048576,3,0)</f>
        <v>2.9999999999999997E-4</v>
      </c>
    </row>
    <row r="188" spans="1:81">
      <c r="A188" s="6" t="s">
        <v>122</v>
      </c>
      <c r="B188" s="7">
        <v>0</v>
      </c>
      <c r="C188" s="7">
        <v>0</v>
      </c>
      <c r="D188" s="7">
        <v>8.714285714285715E-4</v>
      </c>
      <c r="E188" s="7">
        <v>2.1285714285714285E-3</v>
      </c>
      <c r="F188" s="7">
        <v>2.6000000000000003E-3</v>
      </c>
      <c r="G188" s="7">
        <v>1.5285714285714284E-3</v>
      </c>
      <c r="H188" s="7">
        <f t="shared" ref="H188:H211" si="52">AVERAGE(BB188:BH188)</f>
        <v>2.0285714285714286E-3</v>
      </c>
      <c r="I188" s="7">
        <f t="shared" ref="I188:I211" si="53">AVERAGE(BI188:BO188)</f>
        <v>2.2142857142857142E-3</v>
      </c>
      <c r="J188" s="7">
        <f t="shared" ref="J188:J211" si="54">AVERAGE(BP188:BV188)</f>
        <v>2.3428571428571426E-3</v>
      </c>
      <c r="K188" s="7">
        <f t="shared" si="50"/>
        <v>1.6666666666666668E-3</v>
      </c>
      <c r="L188" s="7">
        <f t="shared" si="51"/>
        <v>1.7000000000000001E-3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8">
        <v>0</v>
      </c>
      <c r="V188" s="8">
        <v>0</v>
      </c>
      <c r="W188" s="8">
        <v>0</v>
      </c>
      <c r="X188" s="8">
        <v>0</v>
      </c>
      <c r="Y188" s="8">
        <v>0</v>
      </c>
      <c r="Z188" s="8">
        <v>0</v>
      </c>
      <c r="AA188" s="8">
        <v>0</v>
      </c>
      <c r="AB188" s="8">
        <v>0</v>
      </c>
      <c r="AC188" s="8">
        <v>0</v>
      </c>
      <c r="AD188" s="7">
        <v>1.5E-3</v>
      </c>
      <c r="AE188" s="7">
        <v>2.7000000000000001E-3</v>
      </c>
      <c r="AF188" s="8">
        <v>1.9E-3</v>
      </c>
      <c r="AG188" s="8">
        <v>5.0000000000000001E-4</v>
      </c>
      <c r="AH188" s="8">
        <v>1.4E-3</v>
      </c>
      <c r="AI188" s="8">
        <v>1.6000000000000001E-3</v>
      </c>
      <c r="AJ188" s="8">
        <v>2.8E-3</v>
      </c>
      <c r="AK188" s="8">
        <v>2.8E-3</v>
      </c>
      <c r="AL188" s="8">
        <v>2.0999999999999999E-3</v>
      </c>
      <c r="AM188" s="7">
        <v>3.7000000000000002E-3</v>
      </c>
      <c r="AN188" s="7">
        <v>4.0000000000000001E-3</v>
      </c>
      <c r="AO188" s="7">
        <v>3.2000000000000002E-3</v>
      </c>
      <c r="AP188" s="7">
        <v>2.3E-3</v>
      </c>
      <c r="AQ188" s="7">
        <v>2.2000000000000001E-3</v>
      </c>
      <c r="AR188" s="7">
        <v>2.3999999999999998E-3</v>
      </c>
      <c r="AS188" s="7">
        <v>1.8E-3</v>
      </c>
      <c r="AT188" s="7">
        <v>2.3E-3</v>
      </c>
      <c r="AU188" s="7">
        <v>1.8E-3</v>
      </c>
      <c r="AV188" s="7">
        <v>1.4E-3</v>
      </c>
      <c r="AW188" s="7">
        <v>1.4E-3</v>
      </c>
      <c r="AX188" s="7">
        <v>1.5E-3</v>
      </c>
      <c r="AY188" s="7">
        <v>1.1999999999999999E-3</v>
      </c>
      <c r="AZ188" s="7">
        <v>1.6000000000000001E-3</v>
      </c>
      <c r="BA188" s="7">
        <v>1.8E-3</v>
      </c>
      <c r="BB188" s="7">
        <v>1.4E-3</v>
      </c>
      <c r="BC188" s="7">
        <v>2.3E-3</v>
      </c>
      <c r="BD188" s="7">
        <v>2E-3</v>
      </c>
      <c r="BE188" s="7">
        <f>VLOOKUP($A188,'1.Sep'!$Q$8:$S$1048576,3,0)</f>
        <v>1.6999999999999999E-3</v>
      </c>
      <c r="BF188" s="7">
        <f>VLOOKUP($A188,'2.Sep'!$Q$8:$S$1048576,3,0)</f>
        <v>1.8E-3</v>
      </c>
      <c r="BG188" s="7">
        <f>VLOOKUP($A188,'3.Sep'!$Q$8:$S$1048576,3,0)</f>
        <v>2.0999999999999999E-3</v>
      </c>
      <c r="BH188" s="8">
        <f>VLOOKUP($A188,'4.Sep'!$Q$8:$S$1048576,3,0)</f>
        <v>2.8999999999999998E-3</v>
      </c>
      <c r="BI188" s="7">
        <f>VLOOKUP($A188,'5.Sep'!$Q$8:$S$1048576,3,0)</f>
        <v>2.2000000000000001E-3</v>
      </c>
      <c r="BJ188" s="7">
        <f>VLOOKUP($A188,'6.Sep'!$Q$8:$S$1048576,3,0)</f>
        <v>2.7000000000000001E-3</v>
      </c>
      <c r="BK188" s="7">
        <f>VLOOKUP($A188,'7.Sep'!$Q$8:$S$1048576,3,0)</f>
        <v>1.9E-3</v>
      </c>
      <c r="BL188" s="7">
        <f>VLOOKUP($A188,'8.Sep'!$Q$8:$S$1048576,3,0)</f>
        <v>1.9E-3</v>
      </c>
      <c r="BM188" s="7">
        <f>VLOOKUP($A188,'9.Sep'!$Q$8:$S$1048576,3,0)</f>
        <v>1.2999999999999999E-3</v>
      </c>
      <c r="BN188" s="7">
        <f>VLOOKUP($A188,'10.Sep'!$Q$8:$S$1048576,3,0)</f>
        <v>3.2000000000000002E-3</v>
      </c>
      <c r="BO188" s="8">
        <f>VLOOKUP($A188,'11.Sep'!$Q$8:$S$1048576,3,0)</f>
        <v>2.3E-3</v>
      </c>
      <c r="BP188" s="7">
        <f>VLOOKUP($A188,'12.Sep'!$Q$8:$S$1048576,3,0)</f>
        <v>2.5999999999999999E-3</v>
      </c>
      <c r="BQ188" s="7">
        <f>VLOOKUP($A188,'13.Sep'!$Q$8:$S$1048576,3,0)</f>
        <v>2.5999999999999999E-3</v>
      </c>
      <c r="BR188" s="7">
        <f>VLOOKUP($A188,'14.Sep'!$Q$8:$S$1048576,3,0)</f>
        <v>2.3999999999999998E-3</v>
      </c>
      <c r="BS188" s="7">
        <f>VLOOKUP($A188,'15.Sep'!$Q$8:$S$1048576,3,0)</f>
        <v>2.8E-3</v>
      </c>
      <c r="BT188" s="7">
        <f>VLOOKUP($A188,'16.Sep'!$Q$8:$S$1048576,3,0)</f>
        <v>2.3E-3</v>
      </c>
      <c r="BU188" s="7">
        <f>VLOOKUP($A188,'17.Sep'!$Q$8:$S$1048576,3,0)</f>
        <v>2E-3</v>
      </c>
      <c r="BV188" s="7">
        <f>VLOOKUP($A188,'18.Sep'!$Q$8:$S$1048576,3,0)</f>
        <v>1.6999999999999999E-3</v>
      </c>
      <c r="BW188" s="7">
        <f>VLOOKUP($A188,'19.Sep'!$Q$8:$S$1048576,3,0)</f>
        <v>1.5E-3</v>
      </c>
      <c r="BX188" s="7">
        <f>VLOOKUP($A188,'20.Sep'!$Q$8:$S$1048576,3,0)</f>
        <v>1E-3</v>
      </c>
      <c r="BY188" s="7">
        <f>VLOOKUP($A188,'21.Sep'!$Q$8:$S$1048576,3,0)</f>
        <v>1.8E-3</v>
      </c>
      <c r="BZ188" s="7">
        <f>VLOOKUP($A188,'22.Sep'!$Q$8:$S$1048576,3,0)</f>
        <v>1.1999999999999999E-3</v>
      </c>
      <c r="CA188" s="7">
        <f>VLOOKUP($A188,'23.Sep'!$Q$8:$S$1048576,3,0)</f>
        <v>2E-3</v>
      </c>
      <c r="CB188" s="7">
        <f>VLOOKUP($A188,'24.Sep'!$Q$8:$S$1048576,3,0)</f>
        <v>2.5000000000000001E-3</v>
      </c>
      <c r="CC188" s="7">
        <f>VLOOKUP($A188,'24.Sep'!$Q$8:$S$1048576,3,0)</f>
        <v>2.5000000000000001E-3</v>
      </c>
    </row>
    <row r="189" spans="1:81">
      <c r="A189" s="6" t="s">
        <v>75</v>
      </c>
      <c r="B189" s="7">
        <v>0</v>
      </c>
      <c r="C189" s="7">
        <v>0</v>
      </c>
      <c r="D189" s="7">
        <v>0</v>
      </c>
      <c r="E189" s="7">
        <v>1.4285714285714287E-5</v>
      </c>
      <c r="F189" s="7">
        <v>0</v>
      </c>
      <c r="G189" s="7">
        <v>1.4285714285714287E-5</v>
      </c>
      <c r="H189" s="7">
        <f t="shared" si="52"/>
        <v>0</v>
      </c>
      <c r="I189" s="7">
        <f t="shared" si="53"/>
        <v>5.7142857142857148E-5</v>
      </c>
      <c r="J189" s="7">
        <f t="shared" si="54"/>
        <v>0</v>
      </c>
      <c r="K189" s="7">
        <f t="shared" si="50"/>
        <v>0</v>
      </c>
      <c r="L189" s="7">
        <f t="shared" si="51"/>
        <v>0</v>
      </c>
      <c r="M189" s="8">
        <v>0</v>
      </c>
      <c r="N189" s="8">
        <v>0</v>
      </c>
      <c r="O189" s="8">
        <v>0</v>
      </c>
      <c r="P189" s="8">
        <v>0</v>
      </c>
      <c r="Q189" s="8">
        <v>0</v>
      </c>
      <c r="R189" s="8">
        <v>0</v>
      </c>
      <c r="S189" s="8">
        <v>0</v>
      </c>
      <c r="T189" s="8">
        <v>0</v>
      </c>
      <c r="U189" s="8">
        <v>0</v>
      </c>
      <c r="V189" s="8">
        <v>0</v>
      </c>
      <c r="W189" s="8">
        <v>0</v>
      </c>
      <c r="X189" s="8">
        <v>0</v>
      </c>
      <c r="Y189" s="8">
        <v>0</v>
      </c>
      <c r="Z189" s="8">
        <v>0</v>
      </c>
      <c r="AA189" s="8">
        <v>0</v>
      </c>
      <c r="AB189" s="8">
        <v>0</v>
      </c>
      <c r="AC189" s="8">
        <v>0</v>
      </c>
      <c r="AD189" s="7">
        <v>0</v>
      </c>
      <c r="AE189" s="7">
        <v>0</v>
      </c>
      <c r="AF189" s="8">
        <v>0</v>
      </c>
      <c r="AG189" s="8">
        <v>0</v>
      </c>
      <c r="AH189" s="8">
        <v>0</v>
      </c>
      <c r="AI189" s="8">
        <v>0</v>
      </c>
      <c r="AJ189" s="8">
        <v>0</v>
      </c>
      <c r="AK189" s="8">
        <v>1E-4</v>
      </c>
      <c r="AL189" s="8">
        <v>0</v>
      </c>
      <c r="AM189" s="7">
        <v>0</v>
      </c>
      <c r="AN189" s="8">
        <v>0</v>
      </c>
      <c r="AO189" s="8">
        <v>0</v>
      </c>
      <c r="AP189" s="7">
        <v>0</v>
      </c>
      <c r="AQ189" s="8">
        <v>0</v>
      </c>
      <c r="AR189" s="7">
        <v>0</v>
      </c>
      <c r="AS189" s="7">
        <v>0</v>
      </c>
      <c r="AT189" s="7">
        <v>0</v>
      </c>
      <c r="AU189" s="7">
        <v>0</v>
      </c>
      <c r="AV189" s="8">
        <v>0</v>
      </c>
      <c r="AW189" s="8">
        <v>0</v>
      </c>
      <c r="AX189" s="8">
        <v>0</v>
      </c>
      <c r="AY189" s="7">
        <v>1E-4</v>
      </c>
      <c r="AZ189" s="8">
        <v>0</v>
      </c>
      <c r="BA189" s="8">
        <v>0</v>
      </c>
      <c r="BB189" s="7">
        <v>0</v>
      </c>
      <c r="BC189" s="7">
        <v>0</v>
      </c>
      <c r="BD189" s="8">
        <v>0</v>
      </c>
      <c r="BE189" s="8">
        <v>0</v>
      </c>
      <c r="BF189" s="7">
        <f>VLOOKUP($A189,'2.Sep'!$Q$8:$S$1048576,3,0)</f>
        <v>0</v>
      </c>
      <c r="BG189" s="8">
        <v>0</v>
      </c>
      <c r="BH189" s="8">
        <v>0</v>
      </c>
      <c r="BI189" s="8">
        <v>0</v>
      </c>
      <c r="BJ189" s="7">
        <f>VLOOKUP($A189,'6.Sep'!$Q$8:$S$1048576,3,0)</f>
        <v>0</v>
      </c>
      <c r="BK189" s="8">
        <v>0</v>
      </c>
      <c r="BL189" s="8">
        <v>0</v>
      </c>
      <c r="BM189" s="7">
        <f>VLOOKUP($A189,'9.Sep'!$Q$8:$S$1048576,3,0)</f>
        <v>2.0000000000000001E-4</v>
      </c>
      <c r="BN189" s="7">
        <f>VLOOKUP($A189,'10.Sep'!$Q$8:$S$1048576,3,0)</f>
        <v>0</v>
      </c>
      <c r="BO189" s="8">
        <f>VLOOKUP($A189,'11.Sep'!$Q$8:$S$1048576,3,0)</f>
        <v>2.0000000000000001E-4</v>
      </c>
      <c r="BP189" s="8">
        <v>0</v>
      </c>
      <c r="BQ189" s="7">
        <f>VLOOKUP($A189,'13.Sep'!$Q$8:$S$1048576,3,0)</f>
        <v>0</v>
      </c>
      <c r="BR189" s="8">
        <v>0</v>
      </c>
      <c r="BS189" s="7">
        <f>VLOOKUP($A189,'15.Sep'!$Q$8:$S$1048576,3,0)</f>
        <v>0</v>
      </c>
      <c r="BT189" s="8">
        <v>0</v>
      </c>
      <c r="BU189" s="8">
        <v>0</v>
      </c>
      <c r="BV189" s="8">
        <v>0</v>
      </c>
      <c r="BW189" s="8">
        <v>0</v>
      </c>
      <c r="BX189" s="8">
        <v>0</v>
      </c>
      <c r="BY189" s="8">
        <v>0</v>
      </c>
      <c r="BZ189" s="8">
        <v>0</v>
      </c>
      <c r="CA189" s="8">
        <v>0</v>
      </c>
      <c r="CB189" s="8">
        <v>0</v>
      </c>
      <c r="CC189" s="8">
        <v>0</v>
      </c>
    </row>
    <row r="190" spans="1:81">
      <c r="A190" s="6" t="s">
        <v>76</v>
      </c>
      <c r="B190" s="7">
        <v>0</v>
      </c>
      <c r="C190" s="7">
        <v>0</v>
      </c>
      <c r="D190" s="7">
        <v>7.1428571428571434E-5</v>
      </c>
      <c r="E190" s="7">
        <v>3.1428571428571427E-4</v>
      </c>
      <c r="F190" s="7">
        <v>2.2857142857142859E-4</v>
      </c>
      <c r="G190" s="7">
        <v>1.5714285714285716E-4</v>
      </c>
      <c r="H190" s="7">
        <f t="shared" si="52"/>
        <v>7.1428571428571434E-5</v>
      </c>
      <c r="I190" s="7">
        <f t="shared" si="53"/>
        <v>8.5714285714285726E-5</v>
      </c>
      <c r="J190" s="7">
        <f t="shared" si="54"/>
        <v>1.0000000000000002E-4</v>
      </c>
      <c r="K190" s="7">
        <f t="shared" si="50"/>
        <v>1.3333333333333337E-4</v>
      </c>
      <c r="L190" s="7">
        <f t="shared" si="51"/>
        <v>1.4000000000000001E-4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8">
        <v>0</v>
      </c>
      <c r="V190" s="8">
        <v>0</v>
      </c>
      <c r="W190" s="8">
        <v>0</v>
      </c>
      <c r="X190" s="8">
        <v>0</v>
      </c>
      <c r="Y190" s="8">
        <v>0</v>
      </c>
      <c r="Z190" s="8">
        <v>0</v>
      </c>
      <c r="AA190" s="8">
        <v>0</v>
      </c>
      <c r="AB190" s="8">
        <v>0</v>
      </c>
      <c r="AC190" s="8">
        <v>0</v>
      </c>
      <c r="AD190" s="7">
        <v>2.0000000000000001E-4</v>
      </c>
      <c r="AE190" s="7">
        <v>2.9999999999999997E-4</v>
      </c>
      <c r="AF190" s="8">
        <v>0</v>
      </c>
      <c r="AG190" s="8">
        <v>4.0000000000000002E-4</v>
      </c>
      <c r="AH190" s="8">
        <v>2.0000000000000001E-4</v>
      </c>
      <c r="AI190" s="8">
        <v>2.9999999999999997E-4</v>
      </c>
      <c r="AJ190" s="8">
        <v>2.9999999999999997E-4</v>
      </c>
      <c r="AK190" s="8">
        <v>2.9999999999999997E-4</v>
      </c>
      <c r="AL190" s="8">
        <v>2.9999999999999997E-4</v>
      </c>
      <c r="AM190" s="7">
        <v>4.0000000000000002E-4</v>
      </c>
      <c r="AN190" s="7">
        <v>4.0000000000000002E-4</v>
      </c>
      <c r="AO190" s="7">
        <v>1E-4</v>
      </c>
      <c r="AP190" s="7">
        <v>1E-4</v>
      </c>
      <c r="AQ190" s="7">
        <v>2.9999999999999997E-4</v>
      </c>
      <c r="AR190" s="7">
        <v>2.0000000000000001E-4</v>
      </c>
      <c r="AS190" s="7">
        <v>4.0000000000000002E-4</v>
      </c>
      <c r="AT190" s="7">
        <v>1E-4</v>
      </c>
      <c r="AU190" s="7">
        <v>2.0000000000000001E-4</v>
      </c>
      <c r="AV190" s="7">
        <v>1E-4</v>
      </c>
      <c r="AW190" s="7">
        <v>2.0000000000000001E-4</v>
      </c>
      <c r="AX190" s="7">
        <v>2.0000000000000001E-4</v>
      </c>
      <c r="AY190" s="7">
        <v>2.0000000000000001E-4</v>
      </c>
      <c r="AZ190" s="7">
        <v>1E-4</v>
      </c>
      <c r="BA190" s="7">
        <v>1E-4</v>
      </c>
      <c r="BB190" s="7">
        <v>0</v>
      </c>
      <c r="BC190" s="7">
        <v>0</v>
      </c>
      <c r="BD190" s="7">
        <v>2.0000000000000001E-4</v>
      </c>
      <c r="BE190" s="7">
        <f>VLOOKUP($A190,'1.Sep'!$Q$8:$S$1048576,3,0)</f>
        <v>1E-4</v>
      </c>
      <c r="BF190" s="7">
        <f>VLOOKUP($A190,'2.Sep'!$Q$8:$S$1048576,3,0)</f>
        <v>0</v>
      </c>
      <c r="BG190" s="7">
        <f>VLOOKUP($A190,'3.Sep'!$Q$8:$S$1048576,3,0)</f>
        <v>1E-4</v>
      </c>
      <c r="BH190" s="8">
        <f>VLOOKUP($A190,'4.Sep'!$Q$8:$S$1048576,3,0)</f>
        <v>1E-4</v>
      </c>
      <c r="BI190" s="7">
        <f>VLOOKUP($A190,'5.Sep'!$Q$8:$S$1048576,3,0)</f>
        <v>1E-4</v>
      </c>
      <c r="BJ190" s="7">
        <f>VLOOKUP($A190,'6.Sep'!$Q$8:$S$1048576,3,0)</f>
        <v>0</v>
      </c>
      <c r="BK190" s="7">
        <f>VLOOKUP($A190,'7.Sep'!$Q$8:$S$1048576,3,0)</f>
        <v>0</v>
      </c>
      <c r="BL190" s="7">
        <f>VLOOKUP($A190,'8.Sep'!$Q$8:$S$1048576,3,0)</f>
        <v>2.0000000000000001E-4</v>
      </c>
      <c r="BM190" s="8">
        <v>0</v>
      </c>
      <c r="BN190" s="7">
        <f>VLOOKUP($A190,'10.Sep'!$Q$8:$S$1048576,3,0)</f>
        <v>2.0000000000000001E-4</v>
      </c>
      <c r="BO190" s="8">
        <f>VLOOKUP($A190,'11.Sep'!$Q$8:$S$1048576,3,0)</f>
        <v>1E-4</v>
      </c>
      <c r="BP190" s="7">
        <f>VLOOKUP($A190,'12.Sep'!$Q$8:$S$1048576,3,0)</f>
        <v>0</v>
      </c>
      <c r="BQ190" s="7">
        <f>VLOOKUP($A190,'13.Sep'!$Q$8:$S$1048576,3,0)</f>
        <v>1E-4</v>
      </c>
      <c r="BR190" s="7">
        <f>VLOOKUP($A190,'14.Sep'!$Q$8:$S$1048576,3,0)</f>
        <v>2.0000000000000001E-4</v>
      </c>
      <c r="BS190" s="7">
        <f>VLOOKUP($A190,'15.Sep'!$Q$8:$S$1048576,3,0)</f>
        <v>1E-4</v>
      </c>
      <c r="BT190" s="7">
        <f>VLOOKUP($A190,'16.Sep'!$Q$8:$S$1048576,3,0)</f>
        <v>1E-4</v>
      </c>
      <c r="BU190" s="7">
        <f>VLOOKUP($A190,'17.Sep'!$Q$8:$S$1048576,3,0)</f>
        <v>1E-4</v>
      </c>
      <c r="BV190" s="7">
        <f>VLOOKUP($A190,'18.Sep'!$Q$8:$S$1048576,3,0)</f>
        <v>1E-4</v>
      </c>
      <c r="BW190" s="7">
        <f>VLOOKUP($A190,'19.Sep'!$Q$8:$S$1048576,3,0)</f>
        <v>1E-4</v>
      </c>
      <c r="BX190" s="8">
        <v>0</v>
      </c>
      <c r="BY190" s="7">
        <f>VLOOKUP($A190,'21.Sep'!$Q$8:$S$1048576,3,0)</f>
        <v>2.0000000000000001E-4</v>
      </c>
      <c r="BZ190" s="7">
        <f>VLOOKUP($A190,'22.Sep'!$Q$8:$S$1048576,3,0)</f>
        <v>2.9999999999999997E-4</v>
      </c>
      <c r="CA190" s="7">
        <f>VLOOKUP($A190,'23.Sep'!$Q$8:$S$1048576,3,0)</f>
        <v>1E-4</v>
      </c>
      <c r="CB190" s="7">
        <f>VLOOKUP($A190,'24.Sep'!$Q$8:$S$1048576,3,0)</f>
        <v>1E-4</v>
      </c>
      <c r="CC190" s="7">
        <f>VLOOKUP($A190,'24.Sep'!$Q$8:$S$1048576,3,0)</f>
        <v>1E-4</v>
      </c>
    </row>
    <row r="191" spans="1:81">
      <c r="A191" s="6" t="s">
        <v>77</v>
      </c>
      <c r="B191" s="7">
        <v>0</v>
      </c>
      <c r="C191" s="7">
        <v>0</v>
      </c>
      <c r="D191" s="7">
        <v>4.2857142857142856E-5</v>
      </c>
      <c r="E191" s="7">
        <v>8.5714285714285726E-5</v>
      </c>
      <c r="F191" s="7">
        <v>2.8571428571428574E-5</v>
      </c>
      <c r="G191" s="7">
        <v>5.7142857142857148E-5</v>
      </c>
      <c r="H191" s="7">
        <f t="shared" si="52"/>
        <v>4.2857142857142863E-5</v>
      </c>
      <c r="I191" s="7">
        <f t="shared" si="53"/>
        <v>8.5714285714285726E-5</v>
      </c>
      <c r="J191" s="7">
        <f t="shared" si="54"/>
        <v>7.1428571428571434E-5</v>
      </c>
      <c r="K191" s="7">
        <f t="shared" si="50"/>
        <v>1.1666666666666668E-4</v>
      </c>
      <c r="L191" s="7">
        <f t="shared" si="51"/>
        <v>1.2000000000000002E-4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8">
        <v>0</v>
      </c>
      <c r="V191" s="8">
        <v>0</v>
      </c>
      <c r="W191" s="8">
        <v>0</v>
      </c>
      <c r="X191" s="8">
        <v>0</v>
      </c>
      <c r="Y191" s="8">
        <v>0</v>
      </c>
      <c r="Z191" s="8">
        <v>0</v>
      </c>
      <c r="AA191" s="8">
        <v>0</v>
      </c>
      <c r="AB191" s="8">
        <v>0</v>
      </c>
      <c r="AC191" s="8">
        <v>0</v>
      </c>
      <c r="AD191" s="7">
        <v>0</v>
      </c>
      <c r="AE191" s="7">
        <v>2.9999999999999997E-4</v>
      </c>
      <c r="AF191" s="8">
        <v>0</v>
      </c>
      <c r="AG191" s="8">
        <v>0</v>
      </c>
      <c r="AH191" s="8">
        <v>1E-4</v>
      </c>
      <c r="AI191" s="8">
        <v>0</v>
      </c>
      <c r="AJ191" s="8">
        <v>1E-4</v>
      </c>
      <c r="AK191" s="8">
        <v>1E-4</v>
      </c>
      <c r="AL191" s="8">
        <v>2.0000000000000001E-4</v>
      </c>
      <c r="AM191" s="7">
        <v>1E-4</v>
      </c>
      <c r="AN191" s="7">
        <v>0</v>
      </c>
      <c r="AO191" s="7">
        <v>0</v>
      </c>
      <c r="AP191" s="7">
        <v>1E-4</v>
      </c>
      <c r="AQ191" s="8">
        <v>0</v>
      </c>
      <c r="AR191" s="7">
        <v>0</v>
      </c>
      <c r="AS191" s="7">
        <v>1E-4</v>
      </c>
      <c r="AT191" s="7">
        <v>0</v>
      </c>
      <c r="AU191" s="7">
        <v>0</v>
      </c>
      <c r="AV191" s="7">
        <v>1E-4</v>
      </c>
      <c r="AW191" s="7">
        <v>0</v>
      </c>
      <c r="AX191" s="7">
        <v>1E-4</v>
      </c>
      <c r="AY191" s="7">
        <v>1E-4</v>
      </c>
      <c r="AZ191" s="7">
        <v>1E-4</v>
      </c>
      <c r="BA191" s="8">
        <v>0</v>
      </c>
      <c r="BB191" s="7">
        <v>0</v>
      </c>
      <c r="BC191" s="7">
        <v>0</v>
      </c>
      <c r="BD191" s="7">
        <v>0</v>
      </c>
      <c r="BE191" s="7">
        <f>VLOOKUP($A191,'1.Sep'!$Q$8:$S$1048576,3,0)</f>
        <v>1E-4</v>
      </c>
      <c r="BF191" s="7">
        <f>VLOOKUP($A191,'2.Sep'!$Q$8:$S$1048576,3,0)</f>
        <v>1E-4</v>
      </c>
      <c r="BG191" s="7">
        <f>VLOOKUP($A191,'3.Sep'!$Q$8:$S$1048576,3,0)</f>
        <v>0</v>
      </c>
      <c r="BH191" s="8">
        <f>VLOOKUP($A191,'4.Sep'!$Q$8:$S$1048576,3,0)</f>
        <v>1E-4</v>
      </c>
      <c r="BI191" s="8">
        <v>0</v>
      </c>
      <c r="BJ191" s="7">
        <f>VLOOKUP($A191,'6.Sep'!$Q$8:$S$1048576,3,0)</f>
        <v>1E-4</v>
      </c>
      <c r="BK191" s="7">
        <f>VLOOKUP($A191,'7.Sep'!$Q$8:$S$1048576,3,0)</f>
        <v>1E-4</v>
      </c>
      <c r="BL191" s="7">
        <f>VLOOKUP($A191,'8.Sep'!$Q$8:$S$1048576,3,0)</f>
        <v>2.0000000000000001E-4</v>
      </c>
      <c r="BM191" s="7">
        <f>VLOOKUP($A191,'9.Sep'!$Q$8:$S$1048576,3,0)</f>
        <v>1E-4</v>
      </c>
      <c r="BN191" s="7">
        <f>VLOOKUP($A191,'10.Sep'!$Q$8:$S$1048576,3,0)</f>
        <v>1E-4</v>
      </c>
      <c r="BO191" s="8">
        <v>0</v>
      </c>
      <c r="BP191" s="7">
        <f>VLOOKUP($A191,'12.Sep'!$Q$8:$S$1048576,3,0)</f>
        <v>1E-4</v>
      </c>
      <c r="BQ191" s="8">
        <v>0</v>
      </c>
      <c r="BR191" s="7">
        <f>VLOOKUP($A191,'14.Sep'!$Q$8:$S$1048576,3,0)</f>
        <v>0</v>
      </c>
      <c r="BS191" s="7">
        <f>VLOOKUP($A191,'15.Sep'!$Q$8:$S$1048576,3,0)</f>
        <v>1E-4</v>
      </c>
      <c r="BT191" s="7">
        <f>VLOOKUP($A191,'16.Sep'!$Q$8:$S$1048576,3,0)</f>
        <v>1E-4</v>
      </c>
      <c r="BU191" s="7">
        <f>VLOOKUP($A191,'17.Sep'!$Q$8:$S$1048576,3,0)</f>
        <v>1E-4</v>
      </c>
      <c r="BV191" s="7">
        <f>VLOOKUP($A191,'18.Sep'!$Q$8:$S$1048576,3,0)</f>
        <v>1E-4</v>
      </c>
      <c r="BW191" s="7">
        <f>VLOOKUP($A191,'19.Sep'!$Q$8:$S$1048576,3,0)</f>
        <v>1E-4</v>
      </c>
      <c r="BX191" s="7">
        <f>VLOOKUP($A191,'20.Sep'!$Q$8:$S$1048576,3,0)</f>
        <v>1E-4</v>
      </c>
      <c r="BY191" s="7">
        <f>VLOOKUP($A191,'21.Sep'!$Q$8:$S$1048576,3,0)</f>
        <v>2.0000000000000001E-4</v>
      </c>
      <c r="BZ191" s="7">
        <f>VLOOKUP($A191,'22.Sep'!$Q$8:$S$1048576,3,0)</f>
        <v>2.0000000000000001E-4</v>
      </c>
      <c r="CA191" s="7">
        <f>VLOOKUP($A191,'23.Sep'!$Q$8:$S$1048576,3,0)</f>
        <v>0</v>
      </c>
      <c r="CB191" s="7">
        <f>VLOOKUP($A191,'24.Sep'!$Q$8:$S$1048576,3,0)</f>
        <v>1E-4</v>
      </c>
      <c r="CC191" s="7">
        <f>VLOOKUP($A191,'24.Sep'!$Q$8:$S$1048576,3,0)</f>
        <v>1E-4</v>
      </c>
    </row>
    <row r="192" spans="1:81">
      <c r="A192" s="6" t="s">
        <v>78</v>
      </c>
      <c r="B192" s="7">
        <v>0</v>
      </c>
      <c r="C192" s="7">
        <v>0</v>
      </c>
      <c r="D192" s="7">
        <v>0</v>
      </c>
      <c r="E192" s="7">
        <v>2.8571428571428574E-5</v>
      </c>
      <c r="F192" s="7">
        <v>0</v>
      </c>
      <c r="G192" s="7">
        <v>0</v>
      </c>
      <c r="H192" s="7">
        <f t="shared" si="52"/>
        <v>0</v>
      </c>
      <c r="I192" s="7">
        <f t="shared" si="53"/>
        <v>1.4285714285714287E-5</v>
      </c>
      <c r="J192" s="7">
        <f t="shared" si="54"/>
        <v>1.4285714285714287E-5</v>
      </c>
      <c r="K192" s="7">
        <f t="shared" si="50"/>
        <v>0</v>
      </c>
      <c r="L192" s="7">
        <f t="shared" si="51"/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8">
        <v>0</v>
      </c>
      <c r="V192" s="8">
        <v>0</v>
      </c>
      <c r="W192" s="8">
        <v>0</v>
      </c>
      <c r="X192" s="8">
        <v>0</v>
      </c>
      <c r="Y192" s="8">
        <v>0</v>
      </c>
      <c r="Z192" s="8">
        <v>0</v>
      </c>
      <c r="AA192" s="8">
        <v>0</v>
      </c>
      <c r="AB192" s="8">
        <v>0</v>
      </c>
      <c r="AC192" s="8">
        <v>0</v>
      </c>
      <c r="AD192" s="7">
        <v>0</v>
      </c>
      <c r="AE192" s="7">
        <v>0</v>
      </c>
      <c r="AF192" s="8">
        <v>0</v>
      </c>
      <c r="AG192" s="8">
        <v>0</v>
      </c>
      <c r="AH192" s="8">
        <v>1E-4</v>
      </c>
      <c r="AI192" s="8">
        <v>0</v>
      </c>
      <c r="AJ192" s="8">
        <v>0</v>
      </c>
      <c r="AK192" s="8">
        <v>0</v>
      </c>
      <c r="AL192" s="8">
        <v>1E-4</v>
      </c>
      <c r="AM192" s="7">
        <v>0</v>
      </c>
      <c r="AN192" s="8">
        <v>0</v>
      </c>
      <c r="AO192" s="8">
        <v>0</v>
      </c>
      <c r="AP192" s="8">
        <v>0</v>
      </c>
      <c r="AQ192" s="8">
        <v>0</v>
      </c>
      <c r="AR192" s="7">
        <v>0</v>
      </c>
      <c r="AS192" s="7">
        <v>0</v>
      </c>
      <c r="AT192" s="7">
        <v>0</v>
      </c>
      <c r="AU192" s="7">
        <v>0</v>
      </c>
      <c r="AV192" s="8">
        <v>0</v>
      </c>
      <c r="AW192" s="8">
        <v>0</v>
      </c>
      <c r="AX192" s="8">
        <v>0</v>
      </c>
      <c r="AY192" s="8">
        <v>0</v>
      </c>
      <c r="AZ192" s="8">
        <v>0</v>
      </c>
      <c r="BA192" s="8">
        <v>0</v>
      </c>
      <c r="BB192" s="7">
        <v>0</v>
      </c>
      <c r="BC192" s="7">
        <v>0</v>
      </c>
      <c r="BD192" s="8">
        <v>0</v>
      </c>
      <c r="BE192" s="8">
        <v>0</v>
      </c>
      <c r="BF192" s="8">
        <v>0</v>
      </c>
      <c r="BG192" s="8">
        <v>0</v>
      </c>
      <c r="BH192" s="8">
        <f>VLOOKUP($A192,'4.Sep'!$Q$8:$S$1048576,3,0)</f>
        <v>0</v>
      </c>
      <c r="BI192" s="8">
        <v>0</v>
      </c>
      <c r="BJ192" s="8">
        <v>0</v>
      </c>
      <c r="BK192" s="7">
        <f>VLOOKUP($A192,'7.Sep'!$Q$8:$S$1048576,3,0)</f>
        <v>0</v>
      </c>
      <c r="BL192" s="8">
        <v>0</v>
      </c>
      <c r="BM192" s="7">
        <f>VLOOKUP($A192,'9.Sep'!$Q$8:$S$1048576,3,0)</f>
        <v>0</v>
      </c>
      <c r="BN192" s="8">
        <v>0</v>
      </c>
      <c r="BO192" s="8">
        <f>VLOOKUP($A192,'11.Sep'!$Q$8:$S$1048576,3,0)</f>
        <v>1E-4</v>
      </c>
      <c r="BP192" s="7">
        <f>VLOOKUP($A192,'12.Sep'!$Q$8:$S$1048576,3,0)</f>
        <v>1E-4</v>
      </c>
      <c r="BQ192" s="7">
        <f>VLOOKUP($A192,'13.Sep'!$Q$8:$S$1048576,3,0)</f>
        <v>0</v>
      </c>
      <c r="BR192" s="8">
        <v>0</v>
      </c>
      <c r="BS192" s="8">
        <v>0</v>
      </c>
      <c r="BT192" s="8">
        <v>0</v>
      </c>
      <c r="BU192" s="8">
        <v>0</v>
      </c>
      <c r="BV192" s="8">
        <v>0</v>
      </c>
      <c r="BW192" s="8">
        <v>0</v>
      </c>
      <c r="BX192" s="8">
        <v>0</v>
      </c>
      <c r="BY192" s="8">
        <v>0</v>
      </c>
      <c r="BZ192" s="8">
        <v>0</v>
      </c>
      <c r="CA192" s="8">
        <v>0</v>
      </c>
      <c r="CB192" s="8">
        <v>0</v>
      </c>
      <c r="CC192" s="8">
        <v>0</v>
      </c>
    </row>
    <row r="193" spans="1:81">
      <c r="A193" s="6" t="s">
        <v>79</v>
      </c>
      <c r="B193" s="7">
        <v>0</v>
      </c>
      <c r="C193" s="7">
        <v>0</v>
      </c>
      <c r="D193" s="7">
        <v>1.4285714285714287E-5</v>
      </c>
      <c r="E193" s="7">
        <v>0</v>
      </c>
      <c r="F193" s="7">
        <v>2.8571428571428574E-5</v>
      </c>
      <c r="G193" s="7">
        <v>0</v>
      </c>
      <c r="H193" s="7">
        <f t="shared" si="52"/>
        <v>0</v>
      </c>
      <c r="I193" s="7">
        <f t="shared" si="53"/>
        <v>5.7142857142857148E-5</v>
      </c>
      <c r="J193" s="7">
        <f t="shared" si="54"/>
        <v>0</v>
      </c>
      <c r="K193" s="7">
        <f t="shared" si="50"/>
        <v>1.6666666666666667E-5</v>
      </c>
      <c r="L193" s="7">
        <f t="shared" si="51"/>
        <v>2.0000000000000002E-5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8">
        <v>0</v>
      </c>
      <c r="V193" s="8">
        <v>0</v>
      </c>
      <c r="W193" s="8">
        <v>0</v>
      </c>
      <c r="X193" s="8">
        <v>0</v>
      </c>
      <c r="Y193" s="8">
        <v>0</v>
      </c>
      <c r="Z193" s="8">
        <v>0</v>
      </c>
      <c r="AA193" s="8">
        <v>0</v>
      </c>
      <c r="AB193" s="8">
        <v>0</v>
      </c>
      <c r="AC193" s="8">
        <v>0</v>
      </c>
      <c r="AD193" s="7">
        <v>0</v>
      </c>
      <c r="AE193" s="7">
        <v>1E-4</v>
      </c>
      <c r="AF193" s="8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0</v>
      </c>
      <c r="AL193" s="8">
        <v>0</v>
      </c>
      <c r="AM193" s="7">
        <v>0</v>
      </c>
      <c r="AN193" s="8">
        <v>0</v>
      </c>
      <c r="AO193" s="8">
        <v>0</v>
      </c>
      <c r="AP193" s="7">
        <v>1E-4</v>
      </c>
      <c r="AQ193" s="7">
        <v>1E-4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8">
        <v>0</v>
      </c>
      <c r="AX193" s="8">
        <v>0</v>
      </c>
      <c r="AY193" s="8">
        <v>0</v>
      </c>
      <c r="AZ193" s="8">
        <v>0</v>
      </c>
      <c r="BA193" s="8">
        <v>0</v>
      </c>
      <c r="BB193" s="7">
        <v>0</v>
      </c>
      <c r="BC193" s="7">
        <v>0</v>
      </c>
      <c r="BD193" s="8">
        <v>0</v>
      </c>
      <c r="BE193" s="8">
        <v>0</v>
      </c>
      <c r="BF193" s="8">
        <v>0</v>
      </c>
      <c r="BG193" s="8">
        <v>0</v>
      </c>
      <c r="BH193" s="8">
        <v>0</v>
      </c>
      <c r="BI193" s="7">
        <f>VLOOKUP($A193,'5.Sep'!$Q$8:$S$1048576,3,0)</f>
        <v>1E-4</v>
      </c>
      <c r="BJ193" s="8">
        <v>0</v>
      </c>
      <c r="BK193" s="8">
        <v>0</v>
      </c>
      <c r="BL193" s="7">
        <f>VLOOKUP($A193,'8.Sep'!$Q$8:$S$1048576,3,0)</f>
        <v>1E-4</v>
      </c>
      <c r="BM193" s="7">
        <f>VLOOKUP($A193,'9.Sep'!$Q$8:$S$1048576,3,0)</f>
        <v>1E-4</v>
      </c>
      <c r="BN193" s="7">
        <f>VLOOKUP($A193,'10.Sep'!$Q$8:$S$1048576,3,0)</f>
        <v>0</v>
      </c>
      <c r="BO193" s="8">
        <f>VLOOKUP($A193,'11.Sep'!$Q$8:$S$1048576,3,0)</f>
        <v>1E-4</v>
      </c>
      <c r="BP193" s="7">
        <f>VLOOKUP($A193,'12.Sep'!$Q$8:$S$1048576,3,0)</f>
        <v>0</v>
      </c>
      <c r="BQ193" s="8">
        <v>0</v>
      </c>
      <c r="BR193" s="7">
        <f>VLOOKUP($A193,'14.Sep'!$Q$8:$S$1048576,3,0)</f>
        <v>0</v>
      </c>
      <c r="BS193" s="7">
        <f>VLOOKUP($A193,'15.Sep'!$Q$8:$S$1048576,3,0)</f>
        <v>0</v>
      </c>
      <c r="BT193" s="8">
        <v>0</v>
      </c>
      <c r="BU193" s="7">
        <f>VLOOKUP($A193,'17.Sep'!$Q$8:$S$1048576,3,0)</f>
        <v>0</v>
      </c>
      <c r="BV193" s="8">
        <v>0</v>
      </c>
      <c r="BW193" s="7">
        <f>VLOOKUP($A193,'19.Sep'!$Q$8:$S$1048576,3,0)</f>
        <v>0</v>
      </c>
      <c r="BX193" s="8">
        <v>0</v>
      </c>
      <c r="BY193" s="7">
        <f>VLOOKUP($A193,'21.Sep'!$Q$8:$S$1048576,3,0)</f>
        <v>1E-4</v>
      </c>
      <c r="BZ193" s="8">
        <v>0</v>
      </c>
      <c r="CA193" s="8">
        <v>0</v>
      </c>
      <c r="CB193" s="8">
        <v>0</v>
      </c>
      <c r="CC193" s="8">
        <v>0</v>
      </c>
    </row>
    <row r="194" spans="1:81">
      <c r="A194" s="6" t="s">
        <v>80</v>
      </c>
      <c r="B194" s="7">
        <v>0</v>
      </c>
      <c r="C194" s="7">
        <v>0</v>
      </c>
      <c r="D194" s="7">
        <v>2.8571428571428574E-5</v>
      </c>
      <c r="E194" s="7">
        <v>5.7142857142857148E-5</v>
      </c>
      <c r="F194" s="7">
        <v>1.4285714285714287E-5</v>
      </c>
      <c r="G194" s="7">
        <v>0</v>
      </c>
      <c r="H194" s="7">
        <f t="shared" si="52"/>
        <v>0</v>
      </c>
      <c r="I194" s="7">
        <f t="shared" si="53"/>
        <v>1.4285714285714287E-5</v>
      </c>
      <c r="J194" s="7">
        <f t="shared" si="54"/>
        <v>1.4285714285714287E-5</v>
      </c>
      <c r="K194" s="7">
        <f t="shared" si="50"/>
        <v>3.3333333333333335E-5</v>
      </c>
      <c r="L194" s="7">
        <f t="shared" si="51"/>
        <v>4.0000000000000003E-5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8">
        <v>0</v>
      </c>
      <c r="V194" s="8">
        <v>0</v>
      </c>
      <c r="W194" s="8">
        <v>0</v>
      </c>
      <c r="X194" s="8">
        <v>0</v>
      </c>
      <c r="Y194" s="8">
        <v>0</v>
      </c>
      <c r="Z194" s="8">
        <v>0</v>
      </c>
      <c r="AA194" s="8">
        <v>0</v>
      </c>
      <c r="AB194" s="8">
        <v>0</v>
      </c>
      <c r="AC194" s="8">
        <v>0</v>
      </c>
      <c r="AD194" s="7">
        <v>0</v>
      </c>
      <c r="AE194" s="7">
        <v>1E-4</v>
      </c>
      <c r="AF194" s="8">
        <v>1E-4</v>
      </c>
      <c r="AG194" s="8">
        <v>1E-4</v>
      </c>
      <c r="AH194" s="8">
        <v>1E-4</v>
      </c>
      <c r="AI194" s="8">
        <v>1E-4</v>
      </c>
      <c r="AJ194" s="8">
        <v>1E-4</v>
      </c>
      <c r="AK194" s="8">
        <v>0</v>
      </c>
      <c r="AL194" s="8">
        <v>0</v>
      </c>
      <c r="AM194" s="7">
        <v>0</v>
      </c>
      <c r="AN194" s="7">
        <v>0</v>
      </c>
      <c r="AO194" s="8">
        <v>0</v>
      </c>
      <c r="AP194" s="7">
        <v>0</v>
      </c>
      <c r="AQ194" s="7">
        <v>0</v>
      </c>
      <c r="AR194" s="7">
        <v>0</v>
      </c>
      <c r="AS194" s="7">
        <v>1E-4</v>
      </c>
      <c r="AT194" s="7">
        <v>0</v>
      </c>
      <c r="AU194" s="7">
        <v>0</v>
      </c>
      <c r="AV194" s="8">
        <v>0</v>
      </c>
      <c r="AW194" s="7">
        <v>0</v>
      </c>
      <c r="AX194" s="7">
        <v>0</v>
      </c>
      <c r="AY194" s="8">
        <v>0</v>
      </c>
      <c r="AZ194" s="7">
        <v>0</v>
      </c>
      <c r="BA194" s="7">
        <v>0</v>
      </c>
      <c r="BB194" s="7">
        <v>0</v>
      </c>
      <c r="BC194" s="7">
        <v>0</v>
      </c>
      <c r="BD194" s="7">
        <v>0</v>
      </c>
      <c r="BE194" s="7">
        <f>VLOOKUP($A194,'1.Sep'!$Q$8:$S$1048576,3,0)</f>
        <v>0</v>
      </c>
      <c r="BF194" s="8">
        <v>0</v>
      </c>
      <c r="BG194" s="7">
        <f>VLOOKUP($A194,'3.Sep'!$Q$8:$S$1048576,3,0)</f>
        <v>0</v>
      </c>
      <c r="BH194" s="8">
        <v>0</v>
      </c>
      <c r="BI194" s="7">
        <f>VLOOKUP($A194,'5.Sep'!$Q$8:$S$1048576,3,0)</f>
        <v>0</v>
      </c>
      <c r="BJ194" s="8">
        <v>0</v>
      </c>
      <c r="BK194" s="7">
        <f>VLOOKUP($A194,'7.Sep'!$Q$8:$S$1048576,3,0)</f>
        <v>1E-4</v>
      </c>
      <c r="BL194" s="7">
        <f>VLOOKUP($A194,'8.Sep'!$Q$8:$S$1048576,3,0)</f>
        <v>0</v>
      </c>
      <c r="BM194" s="7">
        <f>VLOOKUP($A194,'9.Sep'!$Q$8:$S$1048576,3,0)</f>
        <v>0</v>
      </c>
      <c r="BN194" s="7">
        <f>VLOOKUP($A194,'10.Sep'!$Q$8:$S$1048576,3,0)</f>
        <v>0</v>
      </c>
      <c r="BO194" s="8">
        <f>VLOOKUP($A194,'11.Sep'!$Q$8:$S$1048576,3,0)</f>
        <v>0</v>
      </c>
      <c r="BP194" s="7">
        <f>VLOOKUP($A194,'12.Sep'!$Q$8:$S$1048576,3,0)</f>
        <v>0</v>
      </c>
      <c r="BQ194" s="7">
        <f>VLOOKUP($A194,'13.Sep'!$Q$8:$S$1048576,3,0)</f>
        <v>1E-4</v>
      </c>
      <c r="BR194" s="8">
        <v>0</v>
      </c>
      <c r="BS194" s="7">
        <f>VLOOKUP($A194,'15.Sep'!$Q$8:$S$1048576,3,0)</f>
        <v>0</v>
      </c>
      <c r="BT194" s="7">
        <f>VLOOKUP($A194,'16.Sep'!$Q$8:$S$1048576,3,0)</f>
        <v>0</v>
      </c>
      <c r="BU194" s="7">
        <f>VLOOKUP($A194,'17.Sep'!$Q$8:$S$1048576,3,0)</f>
        <v>0</v>
      </c>
      <c r="BV194" s="7">
        <f>VLOOKUP($A194,'18.Sep'!$Q$8:$S$1048576,3,0)</f>
        <v>0</v>
      </c>
      <c r="BW194" s="7">
        <f>VLOOKUP($A194,'19.Sep'!$Q$8:$S$1048576,3,0)</f>
        <v>0</v>
      </c>
      <c r="BX194" s="7">
        <f>VLOOKUP($A194,'20.Sep'!$Q$8:$S$1048576,3,0)</f>
        <v>1E-4</v>
      </c>
      <c r="BY194" s="7">
        <f>VLOOKUP($A194,'21.Sep'!$Q$8:$S$1048576,3,0)</f>
        <v>1E-4</v>
      </c>
      <c r="BZ194" s="8">
        <v>0</v>
      </c>
      <c r="CA194" s="7">
        <f>VLOOKUP($A194,'23.Sep'!$Q$8:$S$1048576,3,0)</f>
        <v>0</v>
      </c>
      <c r="CB194" s="7">
        <f>VLOOKUP($A194,'24.Sep'!$Q$8:$S$1048576,3,0)</f>
        <v>0</v>
      </c>
      <c r="CC194" s="7">
        <f>VLOOKUP($A194,'24.Sep'!$Q$8:$S$1048576,3,0)</f>
        <v>0</v>
      </c>
    </row>
    <row r="195" spans="1:81">
      <c r="A195" s="6" t="s">
        <v>81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f t="shared" si="52"/>
        <v>0</v>
      </c>
      <c r="I195" s="7">
        <f t="shared" si="53"/>
        <v>0</v>
      </c>
      <c r="J195" s="7">
        <f t="shared" si="54"/>
        <v>0</v>
      </c>
      <c r="K195" s="7">
        <f t="shared" si="50"/>
        <v>1.6666666666666667E-5</v>
      </c>
      <c r="L195" s="7">
        <f t="shared" si="51"/>
        <v>2.0000000000000002E-5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  <c r="S195" s="8">
        <v>0</v>
      </c>
      <c r="T195" s="8">
        <v>0</v>
      </c>
      <c r="U195" s="8">
        <v>0</v>
      </c>
      <c r="V195" s="8">
        <v>0</v>
      </c>
      <c r="W195" s="8">
        <v>0</v>
      </c>
      <c r="X195" s="8">
        <v>0</v>
      </c>
      <c r="Y195" s="8">
        <v>0</v>
      </c>
      <c r="Z195" s="8">
        <v>0</v>
      </c>
      <c r="AA195" s="8">
        <v>0</v>
      </c>
      <c r="AB195" s="8">
        <v>0</v>
      </c>
      <c r="AC195" s="8">
        <v>0</v>
      </c>
      <c r="AD195" s="7">
        <v>0</v>
      </c>
      <c r="AE195" s="7">
        <v>0</v>
      </c>
      <c r="AF195" s="8">
        <v>0</v>
      </c>
      <c r="AG195" s="8">
        <v>0</v>
      </c>
      <c r="AH195" s="8">
        <v>0</v>
      </c>
      <c r="AI195" s="8">
        <v>0</v>
      </c>
      <c r="AJ195" s="8">
        <v>0</v>
      </c>
      <c r="AK195" s="8">
        <v>0</v>
      </c>
      <c r="AL195" s="8">
        <v>0</v>
      </c>
      <c r="AM195" s="7">
        <v>0</v>
      </c>
      <c r="AN195" s="8">
        <v>0</v>
      </c>
      <c r="AO195" s="8">
        <v>0</v>
      </c>
      <c r="AP195" s="8">
        <v>0</v>
      </c>
      <c r="AQ195" s="8">
        <v>0</v>
      </c>
      <c r="AR195" s="7">
        <v>0</v>
      </c>
      <c r="AS195" s="7">
        <v>0</v>
      </c>
      <c r="AT195" s="7">
        <v>0</v>
      </c>
      <c r="AU195" s="7">
        <v>0</v>
      </c>
      <c r="AV195" s="8">
        <v>0</v>
      </c>
      <c r="AW195" s="8">
        <v>0</v>
      </c>
      <c r="AX195" s="8">
        <v>0</v>
      </c>
      <c r="AY195" s="8">
        <v>0</v>
      </c>
      <c r="AZ195" s="8">
        <v>0</v>
      </c>
      <c r="BA195" s="8">
        <v>0</v>
      </c>
      <c r="BB195" s="7">
        <v>0</v>
      </c>
      <c r="BC195" s="7">
        <v>0</v>
      </c>
      <c r="BD195" s="8">
        <v>0</v>
      </c>
      <c r="BE195" s="8">
        <v>0</v>
      </c>
      <c r="BF195" s="8">
        <v>0</v>
      </c>
      <c r="BG195" s="8">
        <v>0</v>
      </c>
      <c r="BH195" s="8">
        <v>0</v>
      </c>
      <c r="BI195" s="8">
        <v>0</v>
      </c>
      <c r="BJ195" s="8">
        <v>0</v>
      </c>
      <c r="BK195" s="7">
        <f>VLOOKUP($A195,'7.Sep'!$Q$8:$S$1048576,3,0)</f>
        <v>0</v>
      </c>
      <c r="BL195" s="8">
        <v>0</v>
      </c>
      <c r="BM195" s="7">
        <f>VLOOKUP($A195,'9.Sep'!$Q$8:$S$1048576,3,0)</f>
        <v>0</v>
      </c>
      <c r="BN195" s="8">
        <v>0</v>
      </c>
      <c r="BO195" s="8">
        <v>0</v>
      </c>
      <c r="BP195" s="8">
        <v>0</v>
      </c>
      <c r="BQ195" s="7">
        <f>VLOOKUP($A195,'13.Sep'!$Q$8:$S$1048576,3,0)</f>
        <v>0</v>
      </c>
      <c r="BR195" s="8">
        <v>0</v>
      </c>
      <c r="BS195" s="8">
        <v>0</v>
      </c>
      <c r="BT195" s="8">
        <v>0</v>
      </c>
      <c r="BU195" s="7">
        <f>VLOOKUP($A195,'17.Sep'!$Q$8:$S$1048576,3,0)</f>
        <v>0</v>
      </c>
      <c r="BV195" s="7">
        <f>VLOOKUP($A195,'18.Sep'!$Q$8:$S$1048576,3,0)</f>
        <v>0</v>
      </c>
      <c r="BW195" s="8">
        <v>0</v>
      </c>
      <c r="BX195" s="7">
        <f>VLOOKUP($A195,'20.Sep'!$Q$8:$S$1048576,3,0)</f>
        <v>1E-4</v>
      </c>
      <c r="BY195" s="8">
        <v>0</v>
      </c>
      <c r="BZ195" s="8">
        <v>0</v>
      </c>
      <c r="CA195" s="8">
        <v>0</v>
      </c>
      <c r="CB195" s="8">
        <v>0</v>
      </c>
      <c r="CC195" s="8">
        <v>0</v>
      </c>
    </row>
    <row r="196" spans="1:81" outlineLevel="1">
      <c r="A196" s="6" t="s">
        <v>82</v>
      </c>
      <c r="B196" s="7">
        <v>0</v>
      </c>
      <c r="C196" s="7">
        <v>0</v>
      </c>
      <c r="D196" s="7">
        <v>0</v>
      </c>
      <c r="E196" s="7">
        <v>1.4285714285714287E-5</v>
      </c>
      <c r="F196" s="7">
        <v>0</v>
      </c>
      <c r="G196" s="7">
        <v>0</v>
      </c>
      <c r="H196" s="7">
        <f t="shared" si="52"/>
        <v>0</v>
      </c>
      <c r="I196" s="7">
        <f t="shared" si="53"/>
        <v>0</v>
      </c>
      <c r="J196" s="7">
        <f t="shared" si="54"/>
        <v>0</v>
      </c>
      <c r="K196" s="7">
        <f t="shared" si="50"/>
        <v>0</v>
      </c>
      <c r="L196" s="7">
        <f t="shared" si="51"/>
        <v>0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8">
        <v>0</v>
      </c>
      <c r="V196" s="8">
        <v>0</v>
      </c>
      <c r="W196" s="8">
        <v>0</v>
      </c>
      <c r="X196" s="8">
        <v>0</v>
      </c>
      <c r="Y196" s="8">
        <v>0</v>
      </c>
      <c r="Z196" s="8">
        <v>0</v>
      </c>
      <c r="AA196" s="8">
        <v>0</v>
      </c>
      <c r="AB196" s="8">
        <v>0</v>
      </c>
      <c r="AC196" s="8">
        <v>0</v>
      </c>
      <c r="AD196" s="7">
        <v>0</v>
      </c>
      <c r="AE196" s="7">
        <v>0</v>
      </c>
      <c r="AF196" s="8">
        <v>0</v>
      </c>
      <c r="AG196" s="8">
        <v>0</v>
      </c>
      <c r="AH196" s="8">
        <v>1E-4</v>
      </c>
      <c r="AI196" s="8">
        <v>0</v>
      </c>
      <c r="AJ196" s="8">
        <v>0</v>
      </c>
      <c r="AK196" s="8">
        <v>0</v>
      </c>
      <c r="AL196" s="8">
        <v>0</v>
      </c>
      <c r="AM196" s="7">
        <v>0</v>
      </c>
      <c r="AN196" s="8">
        <v>0</v>
      </c>
      <c r="AO196" s="8">
        <v>0</v>
      </c>
      <c r="AP196" s="8">
        <v>0</v>
      </c>
      <c r="AQ196" s="8">
        <v>0</v>
      </c>
      <c r="AR196" s="7">
        <v>0</v>
      </c>
      <c r="AS196" s="7">
        <v>0</v>
      </c>
      <c r="AT196" s="7">
        <v>0</v>
      </c>
      <c r="AU196" s="7">
        <v>0</v>
      </c>
      <c r="AV196" s="8">
        <v>0</v>
      </c>
      <c r="AW196" s="8">
        <v>0</v>
      </c>
      <c r="AX196" s="8">
        <v>0</v>
      </c>
      <c r="AY196" s="8">
        <v>0</v>
      </c>
      <c r="AZ196" s="8">
        <v>0</v>
      </c>
      <c r="BA196" s="8">
        <v>0</v>
      </c>
      <c r="BB196" s="7">
        <v>0</v>
      </c>
      <c r="BC196" s="7">
        <v>0</v>
      </c>
      <c r="BD196" s="8">
        <v>0</v>
      </c>
      <c r="BE196" s="8">
        <v>0</v>
      </c>
      <c r="BF196" s="8">
        <v>0</v>
      </c>
      <c r="BG196" s="8">
        <v>0</v>
      </c>
      <c r="BH196" s="8">
        <v>0</v>
      </c>
      <c r="BI196" s="8">
        <v>0</v>
      </c>
      <c r="BJ196" s="8">
        <v>0</v>
      </c>
      <c r="BK196" s="8">
        <v>0</v>
      </c>
      <c r="BL196" s="8">
        <v>0</v>
      </c>
      <c r="BM196" s="8">
        <v>0</v>
      </c>
      <c r="BN196" s="8">
        <v>0</v>
      </c>
      <c r="BO196" s="8">
        <v>0</v>
      </c>
      <c r="BP196" s="8">
        <v>0</v>
      </c>
      <c r="BQ196" s="8">
        <v>0</v>
      </c>
      <c r="BR196" s="8">
        <v>0</v>
      </c>
      <c r="BS196" s="7">
        <f>VLOOKUP($A196,'15.Sep'!$Q$8:$S$1048576,3,0)</f>
        <v>0</v>
      </c>
      <c r="BT196" s="8">
        <v>0</v>
      </c>
      <c r="BU196" s="7">
        <f>VLOOKUP($A196,'17.Sep'!$Q$8:$S$1048576,3,0)</f>
        <v>0</v>
      </c>
      <c r="BV196" s="8">
        <v>0</v>
      </c>
      <c r="BW196" s="8">
        <v>0</v>
      </c>
      <c r="BX196" s="8">
        <v>0</v>
      </c>
      <c r="BY196" s="8">
        <v>0</v>
      </c>
      <c r="BZ196" s="8">
        <v>0</v>
      </c>
      <c r="CA196" s="8">
        <v>0</v>
      </c>
      <c r="CB196" s="8">
        <v>0</v>
      </c>
      <c r="CC196" s="8">
        <v>0</v>
      </c>
    </row>
    <row r="197" spans="1:81" outlineLevel="1">
      <c r="A197" s="6" t="s">
        <v>83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f t="shared" si="52"/>
        <v>0</v>
      </c>
      <c r="I197" s="7">
        <f t="shared" si="53"/>
        <v>0</v>
      </c>
      <c r="J197" s="7">
        <f t="shared" si="54"/>
        <v>0</v>
      </c>
      <c r="K197" s="7">
        <f t="shared" si="50"/>
        <v>1.6666666666666667E-5</v>
      </c>
      <c r="L197" s="7">
        <f t="shared" si="51"/>
        <v>2.0000000000000002E-5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8">
        <v>0</v>
      </c>
      <c r="V197" s="8">
        <v>0</v>
      </c>
      <c r="W197" s="8">
        <v>0</v>
      </c>
      <c r="X197" s="8">
        <v>0</v>
      </c>
      <c r="Y197" s="8">
        <v>0</v>
      </c>
      <c r="Z197" s="8">
        <v>0</v>
      </c>
      <c r="AA197" s="8">
        <v>0</v>
      </c>
      <c r="AB197" s="8">
        <v>0</v>
      </c>
      <c r="AC197" s="8">
        <v>0</v>
      </c>
      <c r="AD197" s="7">
        <v>0</v>
      </c>
      <c r="AE197" s="7">
        <v>0</v>
      </c>
      <c r="AF197" s="8">
        <v>0</v>
      </c>
      <c r="AG197" s="8">
        <v>0</v>
      </c>
      <c r="AH197" s="8">
        <v>0</v>
      </c>
      <c r="AI197" s="8">
        <v>0</v>
      </c>
      <c r="AJ197" s="8">
        <v>0</v>
      </c>
      <c r="AK197" s="8">
        <v>0</v>
      </c>
      <c r="AL197" s="8">
        <v>0</v>
      </c>
      <c r="AM197" s="7">
        <v>0</v>
      </c>
      <c r="AN197" s="8">
        <v>0</v>
      </c>
      <c r="AO197" s="8">
        <v>0</v>
      </c>
      <c r="AP197" s="8">
        <v>0</v>
      </c>
      <c r="AQ197" s="8">
        <v>0</v>
      </c>
      <c r="AR197" s="7">
        <v>0</v>
      </c>
      <c r="AS197" s="7">
        <v>0</v>
      </c>
      <c r="AT197" s="7">
        <v>0</v>
      </c>
      <c r="AU197" s="7">
        <v>0</v>
      </c>
      <c r="AV197" s="8">
        <v>0</v>
      </c>
      <c r="AW197" s="8">
        <v>0</v>
      </c>
      <c r="AX197" s="8">
        <v>0</v>
      </c>
      <c r="AY197" s="8">
        <v>0</v>
      </c>
      <c r="AZ197" s="8">
        <v>0</v>
      </c>
      <c r="BA197" s="8">
        <v>0</v>
      </c>
      <c r="BB197" s="7">
        <v>0</v>
      </c>
      <c r="BC197" s="7">
        <v>0</v>
      </c>
      <c r="BD197" s="8">
        <v>0</v>
      </c>
      <c r="BE197" s="8">
        <v>0</v>
      </c>
      <c r="BF197" s="8">
        <v>0</v>
      </c>
      <c r="BG197" s="8">
        <v>0</v>
      </c>
      <c r="BH197" s="8">
        <v>0</v>
      </c>
      <c r="BI197" s="8">
        <v>0</v>
      </c>
      <c r="BJ197" s="8">
        <v>0</v>
      </c>
      <c r="BK197" s="8">
        <v>0</v>
      </c>
      <c r="BL197" s="8">
        <v>0</v>
      </c>
      <c r="BM197" s="8">
        <v>0</v>
      </c>
      <c r="BN197" s="8">
        <v>0</v>
      </c>
      <c r="BO197" s="8">
        <v>0</v>
      </c>
      <c r="BP197" s="8">
        <v>0</v>
      </c>
      <c r="BQ197" s="8">
        <v>0</v>
      </c>
      <c r="BR197" s="8">
        <v>0</v>
      </c>
      <c r="BS197" s="8">
        <v>0</v>
      </c>
      <c r="BT197" s="8">
        <v>0</v>
      </c>
      <c r="BU197" s="8">
        <v>0</v>
      </c>
      <c r="BV197" s="7">
        <f>VLOOKUP($A197,'18.Sep'!$Q$8:$S$1048576,3,0)</f>
        <v>0</v>
      </c>
      <c r="BW197" s="8">
        <v>0</v>
      </c>
      <c r="BX197" s="8">
        <v>0</v>
      </c>
      <c r="BY197" s="8">
        <v>0</v>
      </c>
      <c r="BZ197" s="8">
        <v>0</v>
      </c>
      <c r="CA197" s="7">
        <f>VLOOKUP($A197,'23.Sep'!$Q$8:$S$1048576,3,0)</f>
        <v>1E-4</v>
      </c>
      <c r="CB197" s="7">
        <f>VLOOKUP($A197,'24.Sep'!$Q$8:$S$1048576,3,0)</f>
        <v>0</v>
      </c>
      <c r="CC197" s="7">
        <f>VLOOKUP($A197,'24.Sep'!$Q$8:$S$1048576,3,0)</f>
        <v>0</v>
      </c>
    </row>
    <row r="198" spans="1:81" outlineLevel="1">
      <c r="A198" s="6" t="s">
        <v>84</v>
      </c>
      <c r="B198" s="7">
        <v>0</v>
      </c>
      <c r="C198" s="7">
        <v>0</v>
      </c>
      <c r="D198" s="7">
        <v>0</v>
      </c>
      <c r="E198" s="7">
        <v>1.4285714285714287E-5</v>
      </c>
      <c r="F198" s="7">
        <v>0</v>
      </c>
      <c r="G198" s="7">
        <v>0</v>
      </c>
      <c r="H198" s="7">
        <f t="shared" si="52"/>
        <v>0</v>
      </c>
      <c r="I198" s="7">
        <f t="shared" si="53"/>
        <v>0</v>
      </c>
      <c r="J198" s="7">
        <f t="shared" si="54"/>
        <v>0</v>
      </c>
      <c r="K198" s="7">
        <f t="shared" si="50"/>
        <v>0</v>
      </c>
      <c r="L198" s="7">
        <f t="shared" si="51"/>
        <v>0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8">
        <v>0</v>
      </c>
      <c r="V198" s="8">
        <v>0</v>
      </c>
      <c r="W198" s="8">
        <v>0</v>
      </c>
      <c r="X198" s="8">
        <v>0</v>
      </c>
      <c r="Y198" s="8">
        <v>0</v>
      </c>
      <c r="Z198" s="8">
        <v>0</v>
      </c>
      <c r="AA198" s="8">
        <v>0</v>
      </c>
      <c r="AB198" s="8">
        <v>0</v>
      </c>
      <c r="AC198" s="8">
        <v>0</v>
      </c>
      <c r="AD198" s="7">
        <v>0</v>
      </c>
      <c r="AE198" s="7">
        <v>0</v>
      </c>
      <c r="AF198" s="8">
        <v>0</v>
      </c>
      <c r="AG198" s="8">
        <v>0</v>
      </c>
      <c r="AH198" s="8">
        <v>0</v>
      </c>
      <c r="AI198" s="8">
        <v>0</v>
      </c>
      <c r="AJ198" s="8">
        <v>1E-4</v>
      </c>
      <c r="AK198" s="8">
        <v>0</v>
      </c>
      <c r="AL198" s="8">
        <v>0</v>
      </c>
      <c r="AM198" s="7">
        <v>0</v>
      </c>
      <c r="AN198" s="8">
        <v>0</v>
      </c>
      <c r="AO198" s="8">
        <v>0</v>
      </c>
      <c r="AP198" s="8">
        <v>0</v>
      </c>
      <c r="AQ198" s="8">
        <v>0</v>
      </c>
      <c r="AR198" s="7">
        <v>0</v>
      </c>
      <c r="AS198" s="7">
        <v>0</v>
      </c>
      <c r="AT198" s="7">
        <v>0</v>
      </c>
      <c r="AU198" s="7">
        <v>0</v>
      </c>
      <c r="AV198" s="8">
        <v>0</v>
      </c>
      <c r="AW198" s="8">
        <v>0</v>
      </c>
      <c r="AX198" s="8">
        <v>0</v>
      </c>
      <c r="AY198" s="8">
        <v>0</v>
      </c>
      <c r="AZ198" s="8">
        <v>0</v>
      </c>
      <c r="BA198" s="8">
        <v>0</v>
      </c>
      <c r="BB198" s="7">
        <v>0</v>
      </c>
      <c r="BC198" s="7">
        <v>0</v>
      </c>
      <c r="BD198" s="8">
        <v>0</v>
      </c>
      <c r="BE198" s="8">
        <v>0</v>
      </c>
      <c r="BF198" s="8">
        <v>0</v>
      </c>
      <c r="BG198" s="8">
        <v>0</v>
      </c>
      <c r="BH198" s="8">
        <v>0</v>
      </c>
      <c r="BI198" s="8">
        <v>0</v>
      </c>
      <c r="BJ198" s="8">
        <v>0</v>
      </c>
      <c r="BK198" s="8">
        <v>0</v>
      </c>
      <c r="BL198" s="8">
        <v>0</v>
      </c>
      <c r="BM198" s="8">
        <v>0</v>
      </c>
      <c r="BN198" s="8">
        <v>0</v>
      </c>
      <c r="BO198" s="8">
        <v>0</v>
      </c>
      <c r="BP198" s="7">
        <f>VLOOKUP($A198,'12.Sep'!$Q$8:$S$1048576,3,0)</f>
        <v>0</v>
      </c>
      <c r="BQ198" s="8">
        <v>0</v>
      </c>
      <c r="BR198" s="8">
        <v>0</v>
      </c>
      <c r="BS198" s="8">
        <v>0</v>
      </c>
      <c r="BT198" s="8">
        <v>0</v>
      </c>
      <c r="BU198" s="8">
        <v>0</v>
      </c>
      <c r="BV198" s="8">
        <v>0</v>
      </c>
      <c r="BW198" s="8">
        <v>0</v>
      </c>
      <c r="BX198" s="8">
        <v>0</v>
      </c>
      <c r="BY198" s="8">
        <v>0</v>
      </c>
      <c r="BZ198" s="8">
        <v>0</v>
      </c>
      <c r="CA198" s="8">
        <v>0</v>
      </c>
      <c r="CB198" s="8">
        <v>0</v>
      </c>
      <c r="CC198" s="8">
        <v>0</v>
      </c>
    </row>
    <row r="199" spans="1:81" outlineLevel="1">
      <c r="A199" s="6" t="s">
        <v>85</v>
      </c>
      <c r="B199" s="7">
        <v>0</v>
      </c>
      <c r="C199" s="7">
        <v>0</v>
      </c>
      <c r="D199" s="7">
        <v>0</v>
      </c>
      <c r="E199" s="7">
        <v>1.4285714285714287E-5</v>
      </c>
      <c r="F199" s="7">
        <v>0</v>
      </c>
      <c r="G199" s="7">
        <v>0</v>
      </c>
      <c r="H199" s="7">
        <f t="shared" si="52"/>
        <v>0</v>
      </c>
      <c r="I199" s="7">
        <f t="shared" si="53"/>
        <v>0</v>
      </c>
      <c r="J199" s="7">
        <f t="shared" si="54"/>
        <v>0</v>
      </c>
      <c r="K199" s="7">
        <f t="shared" si="50"/>
        <v>0</v>
      </c>
      <c r="L199" s="7">
        <f t="shared" si="51"/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0</v>
      </c>
      <c r="Z199" s="8">
        <v>0</v>
      </c>
      <c r="AA199" s="8">
        <v>0</v>
      </c>
      <c r="AB199" s="8">
        <v>0</v>
      </c>
      <c r="AC199" s="8">
        <v>0</v>
      </c>
      <c r="AD199" s="7">
        <v>0</v>
      </c>
      <c r="AE199" s="7">
        <v>0</v>
      </c>
      <c r="AF199" s="8">
        <v>0</v>
      </c>
      <c r="AG199" s="8">
        <v>0</v>
      </c>
      <c r="AH199" s="8">
        <v>0</v>
      </c>
      <c r="AI199" s="8">
        <v>0</v>
      </c>
      <c r="AJ199" s="8">
        <v>1E-4</v>
      </c>
      <c r="AK199" s="8">
        <v>0</v>
      </c>
      <c r="AL199" s="8">
        <v>0</v>
      </c>
      <c r="AM199" s="7">
        <v>0</v>
      </c>
      <c r="AN199" s="8">
        <v>0</v>
      </c>
      <c r="AO199" s="8">
        <v>0</v>
      </c>
      <c r="AP199" s="8">
        <v>0</v>
      </c>
      <c r="AQ199" s="8">
        <v>0</v>
      </c>
      <c r="AR199" s="7">
        <v>0</v>
      </c>
      <c r="AS199" s="7">
        <v>0</v>
      </c>
      <c r="AT199" s="7">
        <v>0</v>
      </c>
      <c r="AU199" s="7">
        <v>0</v>
      </c>
      <c r="AV199" s="8">
        <v>0</v>
      </c>
      <c r="AW199" s="8">
        <v>0</v>
      </c>
      <c r="AX199" s="8">
        <v>0</v>
      </c>
      <c r="AY199" s="8">
        <v>0</v>
      </c>
      <c r="AZ199" s="8">
        <v>0</v>
      </c>
      <c r="BA199" s="8">
        <v>0</v>
      </c>
      <c r="BB199" s="7">
        <v>0</v>
      </c>
      <c r="BC199" s="7">
        <v>0</v>
      </c>
      <c r="BD199" s="8">
        <v>0</v>
      </c>
      <c r="BE199" s="7">
        <f>VLOOKUP($A199,'1.Sep'!$Q$8:$S$1048576,3,0)</f>
        <v>0</v>
      </c>
      <c r="BF199" s="8">
        <v>0</v>
      </c>
      <c r="BG199" s="8">
        <v>0</v>
      </c>
      <c r="BH199" s="8">
        <f>VLOOKUP($A199,'4.Sep'!$Q$8:$S$1048576,3,0)</f>
        <v>0</v>
      </c>
      <c r="BI199" s="8">
        <v>0</v>
      </c>
      <c r="BJ199" s="8">
        <v>0</v>
      </c>
      <c r="BK199" s="8">
        <v>0</v>
      </c>
      <c r="BL199" s="8">
        <v>0</v>
      </c>
      <c r="BM199" s="8">
        <v>0</v>
      </c>
      <c r="BN199" s="8">
        <v>0</v>
      </c>
      <c r="BO199" s="8">
        <v>0</v>
      </c>
      <c r="BP199" s="8">
        <v>0</v>
      </c>
      <c r="BQ199" s="8">
        <v>0</v>
      </c>
      <c r="BR199" s="8">
        <v>0</v>
      </c>
      <c r="BS199" s="8">
        <v>0</v>
      </c>
      <c r="BT199" s="8">
        <v>0</v>
      </c>
      <c r="BU199" s="8">
        <v>0</v>
      </c>
      <c r="BV199" s="8">
        <v>0</v>
      </c>
      <c r="BW199" s="8">
        <v>0</v>
      </c>
      <c r="BX199" s="8">
        <v>0</v>
      </c>
      <c r="BY199" s="8">
        <v>0</v>
      </c>
      <c r="BZ199" s="8">
        <v>0</v>
      </c>
      <c r="CA199" s="7">
        <f>VLOOKUP($A199,'23.Sep'!$Q$8:$S$1048576,3,0)</f>
        <v>0</v>
      </c>
      <c r="CB199" s="8">
        <v>0</v>
      </c>
      <c r="CC199" s="8">
        <v>0</v>
      </c>
    </row>
    <row r="200" spans="1:81" outlineLevel="1">
      <c r="A200" s="6" t="s">
        <v>86</v>
      </c>
      <c r="B200" s="7">
        <v>0</v>
      </c>
      <c r="C200" s="7">
        <v>0</v>
      </c>
      <c r="D200" s="7">
        <v>1.4285714285714287E-5</v>
      </c>
      <c r="E200" s="7">
        <v>1.4285714285714287E-5</v>
      </c>
      <c r="F200" s="7">
        <v>4.2857142857142863E-5</v>
      </c>
      <c r="G200" s="7">
        <v>0</v>
      </c>
      <c r="H200" s="7">
        <f t="shared" si="52"/>
        <v>2.8571428571428574E-5</v>
      </c>
      <c r="I200" s="7">
        <f t="shared" si="53"/>
        <v>1.4285714285714287E-5</v>
      </c>
      <c r="J200" s="7">
        <f t="shared" si="54"/>
        <v>0</v>
      </c>
      <c r="K200" s="7">
        <f t="shared" si="50"/>
        <v>3.3333333333333335E-5</v>
      </c>
      <c r="L200" s="7">
        <f t="shared" si="51"/>
        <v>4.0000000000000003E-5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8">
        <v>0</v>
      </c>
      <c r="V200" s="8">
        <v>0</v>
      </c>
      <c r="W200" s="8">
        <v>0</v>
      </c>
      <c r="X200" s="8">
        <v>0</v>
      </c>
      <c r="Y200" s="8">
        <v>0</v>
      </c>
      <c r="Z200" s="8">
        <v>0</v>
      </c>
      <c r="AA200" s="8">
        <v>0</v>
      </c>
      <c r="AB200" s="8">
        <v>0</v>
      </c>
      <c r="AC200" s="8">
        <v>0</v>
      </c>
      <c r="AD200" s="7">
        <v>0</v>
      </c>
      <c r="AE200" s="7">
        <v>1E-4</v>
      </c>
      <c r="AF200" s="8">
        <v>0</v>
      </c>
      <c r="AG200" s="8">
        <v>0</v>
      </c>
      <c r="AH200" s="8">
        <v>0</v>
      </c>
      <c r="AI200" s="8">
        <v>0</v>
      </c>
      <c r="AJ200" s="8">
        <v>0</v>
      </c>
      <c r="AK200" s="8">
        <v>0</v>
      </c>
      <c r="AL200" s="8">
        <v>1E-4</v>
      </c>
      <c r="AM200" s="7">
        <v>0</v>
      </c>
      <c r="AN200" s="8">
        <v>0</v>
      </c>
      <c r="AO200" s="7">
        <v>0</v>
      </c>
      <c r="AP200" s="7">
        <v>0</v>
      </c>
      <c r="AQ200" s="7">
        <v>2.0000000000000001E-4</v>
      </c>
      <c r="AR200" s="7">
        <v>1E-4</v>
      </c>
      <c r="AS200" s="7">
        <v>0</v>
      </c>
      <c r="AT200" s="7">
        <v>0</v>
      </c>
      <c r="AU200" s="7">
        <v>0</v>
      </c>
      <c r="AV200" s="8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1E-4</v>
      </c>
      <c r="BC200" s="7">
        <v>0</v>
      </c>
      <c r="BD200" s="7">
        <v>0</v>
      </c>
      <c r="BE200" s="7">
        <f>VLOOKUP($A200,'1.Sep'!$Q$8:$S$1048576,3,0)</f>
        <v>1E-4</v>
      </c>
      <c r="BF200" s="8">
        <v>0</v>
      </c>
      <c r="BG200" s="7">
        <f>VLOOKUP($A200,'3.Sep'!$Q$8:$S$1048576,3,0)</f>
        <v>0</v>
      </c>
      <c r="BH200" s="8">
        <v>0</v>
      </c>
      <c r="BI200" s="8">
        <v>0</v>
      </c>
      <c r="BJ200" s="8">
        <v>0</v>
      </c>
      <c r="BK200" s="8">
        <v>0</v>
      </c>
      <c r="BL200" s="8">
        <v>0</v>
      </c>
      <c r="BM200" s="8">
        <v>0</v>
      </c>
      <c r="BN200" s="7">
        <f>VLOOKUP($A200,'10.Sep'!$Q$8:$S$1048576,3,0)</f>
        <v>1E-4</v>
      </c>
      <c r="BO200" s="8">
        <f>VLOOKUP($A200,'11.Sep'!$Q$8:$S$1048576,3,0)</f>
        <v>0</v>
      </c>
      <c r="BP200" s="7">
        <f>VLOOKUP($A200,'12.Sep'!$Q$8:$S$1048576,3,0)</f>
        <v>0</v>
      </c>
      <c r="BQ200" s="7">
        <f>VLOOKUP($A200,'13.Sep'!$Q$8:$S$1048576,3,0)</f>
        <v>0</v>
      </c>
      <c r="BR200" s="8">
        <v>0</v>
      </c>
      <c r="BS200" s="8">
        <v>0</v>
      </c>
      <c r="BT200" s="8">
        <v>0</v>
      </c>
      <c r="BU200" s="8">
        <v>0</v>
      </c>
      <c r="BV200" s="8">
        <v>0</v>
      </c>
      <c r="BW200" s="8">
        <v>0</v>
      </c>
      <c r="BX200" s="8">
        <v>0</v>
      </c>
      <c r="BY200" s="8">
        <v>0</v>
      </c>
      <c r="BZ200" s="7">
        <f>VLOOKUP($A200,'22.Sep'!$Q$8:$S$1048576,3,0)</f>
        <v>1E-4</v>
      </c>
      <c r="CA200" s="8">
        <v>0</v>
      </c>
      <c r="CB200" s="7">
        <f>VLOOKUP($A200,'24.Sep'!$Q$8:$S$1048576,3,0)</f>
        <v>1E-4</v>
      </c>
      <c r="CC200" s="7">
        <f>VLOOKUP($A200,'24.Sep'!$Q$8:$S$1048576,3,0)</f>
        <v>1E-4</v>
      </c>
    </row>
    <row r="201" spans="1:81" outlineLevel="1">
      <c r="A201" s="6" t="s">
        <v>87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f t="shared" si="52"/>
        <v>0</v>
      </c>
      <c r="I201" s="7">
        <f t="shared" si="53"/>
        <v>0</v>
      </c>
      <c r="J201" s="7">
        <f t="shared" si="54"/>
        <v>0</v>
      </c>
      <c r="K201" s="7">
        <f t="shared" si="50"/>
        <v>0</v>
      </c>
      <c r="L201" s="7">
        <f t="shared" si="51"/>
        <v>0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8">
        <v>0</v>
      </c>
      <c r="V201" s="8">
        <v>0</v>
      </c>
      <c r="W201" s="8">
        <v>0</v>
      </c>
      <c r="X201" s="8">
        <v>0</v>
      </c>
      <c r="Y201" s="8">
        <v>0</v>
      </c>
      <c r="Z201" s="8">
        <v>0</v>
      </c>
      <c r="AA201" s="8">
        <v>0</v>
      </c>
      <c r="AB201" s="8">
        <v>0</v>
      </c>
      <c r="AC201" s="8">
        <v>0</v>
      </c>
      <c r="AD201" s="7">
        <v>0</v>
      </c>
      <c r="AE201" s="7">
        <v>0</v>
      </c>
      <c r="AF201" s="8">
        <v>0</v>
      </c>
      <c r="AG201" s="8">
        <v>0</v>
      </c>
      <c r="AH201" s="8">
        <v>0</v>
      </c>
      <c r="AI201" s="8">
        <v>0</v>
      </c>
      <c r="AJ201" s="8">
        <v>0</v>
      </c>
      <c r="AK201" s="8">
        <v>0</v>
      </c>
      <c r="AL201" s="8">
        <v>0</v>
      </c>
      <c r="AM201" s="7">
        <v>0</v>
      </c>
      <c r="AN201" s="8">
        <v>0</v>
      </c>
      <c r="AO201" s="8">
        <v>0</v>
      </c>
      <c r="AP201" s="8">
        <v>0</v>
      </c>
      <c r="AQ201" s="8">
        <v>0</v>
      </c>
      <c r="AR201" s="7">
        <v>0</v>
      </c>
      <c r="AS201" s="7">
        <v>0</v>
      </c>
      <c r="AT201" s="7">
        <v>0</v>
      </c>
      <c r="AU201" s="7">
        <v>0</v>
      </c>
      <c r="AV201" s="8">
        <v>0</v>
      </c>
      <c r="AW201" s="8">
        <v>0</v>
      </c>
      <c r="AX201" s="8">
        <v>0</v>
      </c>
      <c r="AY201" s="8">
        <v>0</v>
      </c>
      <c r="AZ201" s="8">
        <v>0</v>
      </c>
      <c r="BA201" s="8">
        <v>0</v>
      </c>
      <c r="BB201" s="7">
        <v>0</v>
      </c>
      <c r="BC201" s="7">
        <v>0</v>
      </c>
      <c r="BD201" s="8">
        <v>0</v>
      </c>
      <c r="BE201" s="8">
        <v>0</v>
      </c>
      <c r="BF201" s="8">
        <v>0</v>
      </c>
      <c r="BG201" s="8">
        <v>0</v>
      </c>
      <c r="BH201" s="8">
        <v>0</v>
      </c>
      <c r="BI201" s="8">
        <v>0</v>
      </c>
      <c r="BJ201" s="8">
        <v>0</v>
      </c>
      <c r="BK201" s="8">
        <v>0</v>
      </c>
      <c r="BL201" s="8">
        <v>0</v>
      </c>
      <c r="BM201" s="8">
        <v>0</v>
      </c>
      <c r="BN201" s="8">
        <v>0</v>
      </c>
      <c r="BO201" s="8">
        <v>0</v>
      </c>
      <c r="BP201" s="8">
        <v>0</v>
      </c>
      <c r="BQ201" s="7">
        <f>VLOOKUP($A201,'13.Sep'!$Q$8:$S$1048576,3,0)</f>
        <v>0</v>
      </c>
      <c r="BR201" s="8">
        <v>0</v>
      </c>
      <c r="BS201" s="8">
        <v>0</v>
      </c>
      <c r="BT201" s="8">
        <v>0</v>
      </c>
      <c r="BU201" s="8">
        <v>0</v>
      </c>
      <c r="BV201" s="8">
        <v>0</v>
      </c>
      <c r="BW201" s="8">
        <v>0</v>
      </c>
      <c r="BX201" s="8">
        <v>0</v>
      </c>
      <c r="BY201" s="8">
        <v>0</v>
      </c>
      <c r="BZ201" s="8">
        <v>0</v>
      </c>
      <c r="CA201" s="8">
        <v>0</v>
      </c>
      <c r="CB201" s="8">
        <v>0</v>
      </c>
      <c r="CC201" s="8">
        <v>0</v>
      </c>
    </row>
    <row r="202" spans="1:81" outlineLevel="1">
      <c r="A202" s="6" t="s">
        <v>88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f t="shared" si="52"/>
        <v>0</v>
      </c>
      <c r="I202" s="7">
        <f t="shared" si="53"/>
        <v>0</v>
      </c>
      <c r="J202" s="7">
        <f t="shared" si="54"/>
        <v>0</v>
      </c>
      <c r="K202" s="7">
        <f t="shared" si="50"/>
        <v>0</v>
      </c>
      <c r="L202" s="7">
        <f t="shared" si="51"/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8">
        <v>0</v>
      </c>
      <c r="V202" s="8">
        <v>0</v>
      </c>
      <c r="W202" s="8">
        <v>0</v>
      </c>
      <c r="X202" s="8">
        <v>0</v>
      </c>
      <c r="Y202" s="8">
        <v>0</v>
      </c>
      <c r="Z202" s="8">
        <v>0</v>
      </c>
      <c r="AA202" s="8">
        <v>0</v>
      </c>
      <c r="AB202" s="8">
        <v>0</v>
      </c>
      <c r="AC202" s="8">
        <v>0</v>
      </c>
      <c r="AD202" s="7">
        <v>0</v>
      </c>
      <c r="AE202" s="7">
        <v>0</v>
      </c>
      <c r="AF202" s="8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0</v>
      </c>
      <c r="AL202" s="8">
        <v>0</v>
      </c>
      <c r="AM202" s="7">
        <v>0</v>
      </c>
      <c r="AN202" s="8">
        <v>0</v>
      </c>
      <c r="AO202" s="8">
        <v>0</v>
      </c>
      <c r="AP202" s="8">
        <v>0</v>
      </c>
      <c r="AQ202" s="8">
        <v>0</v>
      </c>
      <c r="AR202" s="7">
        <v>0</v>
      </c>
      <c r="AS202" s="7">
        <v>0</v>
      </c>
      <c r="AT202" s="7">
        <v>0</v>
      </c>
      <c r="AU202" s="7">
        <v>0</v>
      </c>
      <c r="AV202" s="8">
        <v>0</v>
      </c>
      <c r="AW202" s="8">
        <v>0</v>
      </c>
      <c r="AX202" s="8">
        <v>0</v>
      </c>
      <c r="AY202" s="8">
        <v>0</v>
      </c>
      <c r="AZ202" s="8">
        <v>0</v>
      </c>
      <c r="BA202" s="8">
        <v>0</v>
      </c>
      <c r="BB202" s="7">
        <v>0</v>
      </c>
      <c r="BC202" s="7">
        <v>0</v>
      </c>
      <c r="BD202" s="8">
        <v>0</v>
      </c>
      <c r="BE202" s="7">
        <f>VLOOKUP($A202,'1.Sep'!$Q$8:$S$1048576,3,0)</f>
        <v>0</v>
      </c>
      <c r="BF202" s="8">
        <v>0</v>
      </c>
      <c r="BG202" s="8">
        <v>0</v>
      </c>
      <c r="BH202" s="8">
        <v>0</v>
      </c>
      <c r="BI202" s="8">
        <v>0</v>
      </c>
      <c r="BJ202" s="8">
        <v>0</v>
      </c>
      <c r="BK202" s="8">
        <v>0</v>
      </c>
      <c r="BL202" s="8">
        <v>0</v>
      </c>
      <c r="BM202" s="8">
        <v>0</v>
      </c>
      <c r="BN202" s="8">
        <v>0</v>
      </c>
      <c r="BO202" s="8">
        <v>0</v>
      </c>
      <c r="BP202" s="8">
        <v>0</v>
      </c>
      <c r="BQ202" s="8">
        <v>0</v>
      </c>
      <c r="BR202" s="8">
        <v>0</v>
      </c>
      <c r="BS202" s="8">
        <v>0</v>
      </c>
      <c r="BT202" s="8">
        <v>0</v>
      </c>
      <c r="BU202" s="8">
        <v>0</v>
      </c>
      <c r="BV202" s="8">
        <v>0</v>
      </c>
      <c r="BW202" s="8">
        <v>0</v>
      </c>
      <c r="BX202" s="8">
        <v>0</v>
      </c>
      <c r="BY202" s="8">
        <v>0</v>
      </c>
      <c r="BZ202" s="8">
        <v>0</v>
      </c>
      <c r="CA202" s="8">
        <v>0</v>
      </c>
      <c r="CB202" s="8">
        <v>0</v>
      </c>
      <c r="CC202" s="8">
        <v>0</v>
      </c>
    </row>
    <row r="203" spans="1:81" outlineLevel="1">
      <c r="A203" s="6" t="s">
        <v>89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f t="shared" si="52"/>
        <v>0</v>
      </c>
      <c r="I203" s="7">
        <f t="shared" si="53"/>
        <v>0</v>
      </c>
      <c r="J203" s="7">
        <f t="shared" si="54"/>
        <v>0</v>
      </c>
      <c r="K203" s="7">
        <f t="shared" si="50"/>
        <v>0</v>
      </c>
      <c r="L203" s="7">
        <f t="shared" si="51"/>
        <v>0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8">
        <v>0</v>
      </c>
      <c r="V203" s="8">
        <v>0</v>
      </c>
      <c r="W203" s="8">
        <v>0</v>
      </c>
      <c r="X203" s="8">
        <v>0</v>
      </c>
      <c r="Y203" s="8">
        <v>0</v>
      </c>
      <c r="Z203" s="8">
        <v>0</v>
      </c>
      <c r="AA203" s="8">
        <v>0</v>
      </c>
      <c r="AB203" s="8">
        <v>0</v>
      </c>
      <c r="AC203" s="8">
        <v>0</v>
      </c>
      <c r="AD203" s="7">
        <v>0</v>
      </c>
      <c r="AE203" s="7">
        <v>0</v>
      </c>
      <c r="AF203" s="8">
        <v>0</v>
      </c>
      <c r="AG203" s="8">
        <v>0</v>
      </c>
      <c r="AH203" s="8">
        <v>0</v>
      </c>
      <c r="AI203" s="8">
        <v>0</v>
      </c>
      <c r="AJ203" s="8">
        <v>0</v>
      </c>
      <c r="AK203" s="8">
        <v>0</v>
      </c>
      <c r="AL203" s="8">
        <v>0</v>
      </c>
      <c r="AM203" s="7">
        <v>0</v>
      </c>
      <c r="AN203" s="8">
        <v>0</v>
      </c>
      <c r="AO203" s="8">
        <v>0</v>
      </c>
      <c r="AP203" s="7">
        <v>0</v>
      </c>
      <c r="AQ203" s="8">
        <v>0</v>
      </c>
      <c r="AR203" s="7">
        <v>0</v>
      </c>
      <c r="AS203" s="7">
        <v>0</v>
      </c>
      <c r="AT203" s="7">
        <v>0</v>
      </c>
      <c r="AU203" s="7">
        <v>0</v>
      </c>
      <c r="AV203" s="8">
        <v>0</v>
      </c>
      <c r="AW203" s="8">
        <v>0</v>
      </c>
      <c r="AX203" s="8">
        <v>0</v>
      </c>
      <c r="AY203" s="8">
        <v>0</v>
      </c>
      <c r="AZ203" s="8">
        <v>0</v>
      </c>
      <c r="BA203" s="8">
        <v>0</v>
      </c>
      <c r="BB203" s="7">
        <v>0</v>
      </c>
      <c r="BC203" s="7">
        <v>0</v>
      </c>
      <c r="BD203" s="8">
        <v>0</v>
      </c>
      <c r="BE203" s="8">
        <v>0</v>
      </c>
      <c r="BF203" s="8">
        <v>0</v>
      </c>
      <c r="BG203" s="8">
        <v>0</v>
      </c>
      <c r="BH203" s="8">
        <v>0</v>
      </c>
      <c r="BI203" s="8">
        <v>0</v>
      </c>
      <c r="BJ203" s="8">
        <v>0</v>
      </c>
      <c r="BK203" s="8">
        <v>0</v>
      </c>
      <c r="BL203" s="8">
        <v>0</v>
      </c>
      <c r="BM203" s="8">
        <v>0</v>
      </c>
      <c r="BN203" s="8">
        <v>0</v>
      </c>
      <c r="BO203" s="8">
        <v>0</v>
      </c>
      <c r="BP203" s="8">
        <v>0</v>
      </c>
      <c r="BQ203" s="8">
        <v>0</v>
      </c>
      <c r="BR203" s="8">
        <v>0</v>
      </c>
      <c r="BS203" s="8">
        <v>0</v>
      </c>
      <c r="BT203" s="8">
        <v>0</v>
      </c>
      <c r="BU203" s="8">
        <v>0</v>
      </c>
      <c r="BV203" s="8">
        <v>0</v>
      </c>
      <c r="BW203" s="8">
        <v>0</v>
      </c>
      <c r="BX203" s="8">
        <v>0</v>
      </c>
      <c r="BY203" s="8">
        <v>0</v>
      </c>
      <c r="BZ203" s="8">
        <v>0</v>
      </c>
      <c r="CA203" s="8">
        <v>0</v>
      </c>
      <c r="CB203" s="8">
        <v>0</v>
      </c>
      <c r="CC203" s="8">
        <v>0</v>
      </c>
    </row>
    <row r="204" spans="1:81" outlineLevel="1">
      <c r="A204" s="6" t="s">
        <v>90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f t="shared" si="52"/>
        <v>0</v>
      </c>
      <c r="I204" s="7">
        <f t="shared" si="53"/>
        <v>0</v>
      </c>
      <c r="J204" s="7">
        <f t="shared" si="54"/>
        <v>0</v>
      </c>
      <c r="K204" s="7">
        <f t="shared" si="50"/>
        <v>0</v>
      </c>
      <c r="L204" s="7">
        <f t="shared" si="51"/>
        <v>0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8">
        <v>0</v>
      </c>
      <c r="V204" s="8">
        <v>0</v>
      </c>
      <c r="W204" s="8">
        <v>0</v>
      </c>
      <c r="X204" s="8">
        <v>0</v>
      </c>
      <c r="Y204" s="8">
        <v>0</v>
      </c>
      <c r="Z204" s="8">
        <v>0</v>
      </c>
      <c r="AA204" s="8">
        <v>0</v>
      </c>
      <c r="AB204" s="8">
        <v>0</v>
      </c>
      <c r="AC204" s="8">
        <v>0</v>
      </c>
      <c r="AD204" s="7">
        <v>0</v>
      </c>
      <c r="AE204" s="7">
        <v>0</v>
      </c>
      <c r="AF204" s="8">
        <v>0</v>
      </c>
      <c r="AG204" s="8">
        <v>0</v>
      </c>
      <c r="AH204" s="8">
        <v>0</v>
      </c>
      <c r="AI204" s="8">
        <v>0</v>
      </c>
      <c r="AJ204" s="8">
        <v>0</v>
      </c>
      <c r="AK204" s="8">
        <v>0</v>
      </c>
      <c r="AL204" s="8">
        <v>0</v>
      </c>
      <c r="AM204" s="7">
        <v>0</v>
      </c>
      <c r="AN204" s="8">
        <v>0</v>
      </c>
      <c r="AO204" s="8">
        <v>0</v>
      </c>
      <c r="AP204" s="8">
        <v>0</v>
      </c>
      <c r="AQ204" s="8">
        <v>0</v>
      </c>
      <c r="AR204" s="7">
        <v>0</v>
      </c>
      <c r="AS204" s="7">
        <v>0</v>
      </c>
      <c r="AT204" s="7">
        <v>0</v>
      </c>
      <c r="AU204" s="7">
        <v>0</v>
      </c>
      <c r="AV204" s="8">
        <v>0</v>
      </c>
      <c r="AW204" s="8">
        <v>0</v>
      </c>
      <c r="AX204" s="8">
        <v>0</v>
      </c>
      <c r="AY204" s="8">
        <v>0</v>
      </c>
      <c r="AZ204" s="8">
        <v>0</v>
      </c>
      <c r="BA204" s="8">
        <v>0</v>
      </c>
      <c r="BB204" s="7">
        <v>0</v>
      </c>
      <c r="BC204" s="7">
        <v>0</v>
      </c>
      <c r="BD204" s="8">
        <v>0</v>
      </c>
      <c r="BE204" s="8">
        <v>0</v>
      </c>
      <c r="BF204" s="8">
        <v>0</v>
      </c>
      <c r="BG204" s="8">
        <v>0</v>
      </c>
      <c r="BH204" s="8">
        <v>0</v>
      </c>
      <c r="BI204" s="8">
        <v>0</v>
      </c>
      <c r="BJ204" s="8">
        <v>0</v>
      </c>
      <c r="BK204" s="8">
        <v>0</v>
      </c>
      <c r="BL204" s="8">
        <v>0</v>
      </c>
      <c r="BM204" s="8">
        <v>0</v>
      </c>
      <c r="BN204" s="8">
        <v>0</v>
      </c>
      <c r="BO204" s="8">
        <v>0</v>
      </c>
      <c r="BP204" s="8">
        <v>0</v>
      </c>
      <c r="BQ204" s="8">
        <v>0</v>
      </c>
      <c r="BR204" s="8">
        <v>0</v>
      </c>
      <c r="BS204" s="8">
        <v>0</v>
      </c>
      <c r="BT204" s="8">
        <v>0</v>
      </c>
      <c r="BU204" s="8">
        <v>0</v>
      </c>
      <c r="BV204" s="8">
        <v>0</v>
      </c>
      <c r="BW204" s="8">
        <v>0</v>
      </c>
      <c r="BX204" s="8">
        <v>0</v>
      </c>
      <c r="BY204" s="8">
        <v>0</v>
      </c>
      <c r="BZ204" s="8">
        <v>0</v>
      </c>
      <c r="CA204" s="8">
        <v>0</v>
      </c>
      <c r="CB204" s="8">
        <v>0</v>
      </c>
      <c r="CC204" s="8">
        <v>0</v>
      </c>
    </row>
    <row r="205" spans="1:81" outlineLevel="1">
      <c r="A205" s="6" t="s">
        <v>91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f t="shared" si="52"/>
        <v>0</v>
      </c>
      <c r="I205" s="7">
        <f t="shared" si="53"/>
        <v>0</v>
      </c>
      <c r="J205" s="7">
        <f t="shared" si="54"/>
        <v>0</v>
      </c>
      <c r="K205" s="7">
        <f t="shared" si="50"/>
        <v>1.6666666666666667E-5</v>
      </c>
      <c r="L205" s="7">
        <f t="shared" si="51"/>
        <v>2.0000000000000002E-5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8">
        <v>0</v>
      </c>
      <c r="V205" s="8">
        <v>0</v>
      </c>
      <c r="W205" s="8">
        <v>0</v>
      </c>
      <c r="X205" s="8">
        <v>0</v>
      </c>
      <c r="Y205" s="8">
        <v>0</v>
      </c>
      <c r="Z205" s="8">
        <v>0</v>
      </c>
      <c r="AA205" s="8">
        <v>0</v>
      </c>
      <c r="AB205" s="8">
        <v>0</v>
      </c>
      <c r="AC205" s="8">
        <v>0</v>
      </c>
      <c r="AD205" s="7">
        <v>0</v>
      </c>
      <c r="AE205" s="7">
        <v>0</v>
      </c>
      <c r="AF205" s="8">
        <v>0</v>
      </c>
      <c r="AG205" s="8">
        <v>0</v>
      </c>
      <c r="AH205" s="8">
        <v>0</v>
      </c>
      <c r="AI205" s="8">
        <v>0</v>
      </c>
      <c r="AJ205" s="8">
        <v>0</v>
      </c>
      <c r="AK205" s="8">
        <v>0</v>
      </c>
      <c r="AL205" s="8">
        <v>0</v>
      </c>
      <c r="AM205" s="7">
        <v>0</v>
      </c>
      <c r="AN205" s="8">
        <v>0</v>
      </c>
      <c r="AO205" s="8">
        <v>0</v>
      </c>
      <c r="AP205" s="7">
        <v>0</v>
      </c>
      <c r="AQ205" s="8">
        <v>0</v>
      </c>
      <c r="AR205" s="7">
        <v>0</v>
      </c>
      <c r="AS205" s="7">
        <v>0</v>
      </c>
      <c r="AT205" s="7">
        <v>0</v>
      </c>
      <c r="AU205" s="7">
        <v>0</v>
      </c>
      <c r="AV205" s="8">
        <v>0</v>
      </c>
      <c r="AW205" s="8">
        <v>0</v>
      </c>
      <c r="AX205" s="8">
        <v>0</v>
      </c>
      <c r="AY205" s="7">
        <v>0</v>
      </c>
      <c r="AZ205" s="8">
        <v>0</v>
      </c>
      <c r="BA205" s="8">
        <v>0</v>
      </c>
      <c r="BB205" s="7">
        <v>0</v>
      </c>
      <c r="BC205" s="7">
        <v>0</v>
      </c>
      <c r="BD205" s="8">
        <v>0</v>
      </c>
      <c r="BE205" s="8">
        <v>0</v>
      </c>
      <c r="BF205" s="8">
        <v>0</v>
      </c>
      <c r="BG205" s="7">
        <f>VLOOKUP($A205,'3.Sep'!$Q$8:$S$1048576,3,0)</f>
        <v>0</v>
      </c>
      <c r="BH205" s="8">
        <v>0</v>
      </c>
      <c r="BI205" s="8">
        <v>0</v>
      </c>
      <c r="BJ205" s="8">
        <v>0</v>
      </c>
      <c r="BK205" s="8">
        <v>0</v>
      </c>
      <c r="BL205" s="8">
        <v>0</v>
      </c>
      <c r="BM205" s="7">
        <f>VLOOKUP($A205,'9.Sep'!$Q$8:$S$1048576,3,0)</f>
        <v>0</v>
      </c>
      <c r="BN205" s="8">
        <v>0</v>
      </c>
      <c r="BO205" s="8">
        <v>0</v>
      </c>
      <c r="BP205" s="7">
        <f>VLOOKUP($A205,'12.Sep'!$Q$8:$S$1048576,3,0)</f>
        <v>0</v>
      </c>
      <c r="BQ205" s="8">
        <v>0</v>
      </c>
      <c r="BR205" s="8">
        <v>0</v>
      </c>
      <c r="BS205" s="7">
        <f>VLOOKUP($A205,'15.Sep'!$Q$8:$S$1048576,3,0)</f>
        <v>0</v>
      </c>
      <c r="BT205" s="8">
        <v>0</v>
      </c>
      <c r="BU205" s="8">
        <v>0</v>
      </c>
      <c r="BV205" s="8">
        <v>0</v>
      </c>
      <c r="BW205" s="8">
        <v>0</v>
      </c>
      <c r="BX205" s="8">
        <v>0</v>
      </c>
      <c r="BY205" s="7">
        <f>VLOOKUP($A205,'21.Sep'!$Q$8:$S$1048576,3,0)</f>
        <v>1E-4</v>
      </c>
      <c r="BZ205" s="8">
        <v>0</v>
      </c>
      <c r="CA205" s="7">
        <f>VLOOKUP($A205,'23.Sep'!$Q$8:$S$1048576,3,0)</f>
        <v>0</v>
      </c>
      <c r="CB205" s="8">
        <v>0</v>
      </c>
      <c r="CC205" s="8">
        <v>0</v>
      </c>
    </row>
    <row r="206" spans="1:81" outlineLevel="1">
      <c r="A206" s="6" t="s">
        <v>92</v>
      </c>
      <c r="B206" s="7">
        <v>0</v>
      </c>
      <c r="C206" s="7">
        <v>0</v>
      </c>
      <c r="D206" s="7">
        <v>1.4285714285714287E-5</v>
      </c>
      <c r="E206" s="7">
        <v>4.2857142857142863E-5</v>
      </c>
      <c r="F206" s="7">
        <v>2.8571428571428574E-5</v>
      </c>
      <c r="G206" s="7">
        <v>2.8571428571428574E-5</v>
      </c>
      <c r="H206" s="7">
        <f t="shared" si="52"/>
        <v>7.1428571428571434E-5</v>
      </c>
      <c r="I206" s="7">
        <f t="shared" si="53"/>
        <v>0</v>
      </c>
      <c r="J206" s="7">
        <f t="shared" si="54"/>
        <v>1.4285714285714287E-5</v>
      </c>
      <c r="K206" s="7">
        <f t="shared" si="50"/>
        <v>5.0000000000000002E-5</v>
      </c>
      <c r="L206" s="7">
        <f t="shared" si="51"/>
        <v>6.0000000000000008E-5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8">
        <v>0</v>
      </c>
      <c r="V206" s="8">
        <v>0</v>
      </c>
      <c r="W206" s="8">
        <v>0</v>
      </c>
      <c r="X206" s="8">
        <v>0</v>
      </c>
      <c r="Y206" s="8">
        <v>0</v>
      </c>
      <c r="Z206" s="8">
        <v>0</v>
      </c>
      <c r="AA206" s="8">
        <v>0</v>
      </c>
      <c r="AB206" s="8">
        <v>0</v>
      </c>
      <c r="AC206" s="8">
        <v>0</v>
      </c>
      <c r="AD206" s="7">
        <v>0</v>
      </c>
      <c r="AE206" s="7">
        <v>0</v>
      </c>
      <c r="AF206" s="8">
        <v>1E-4</v>
      </c>
      <c r="AG206" s="8">
        <v>1E-4</v>
      </c>
      <c r="AH206" s="8">
        <v>0</v>
      </c>
      <c r="AI206" s="8">
        <v>1E-4</v>
      </c>
      <c r="AJ206" s="8">
        <v>1E-4</v>
      </c>
      <c r="AK206" s="8">
        <v>0</v>
      </c>
      <c r="AL206" s="8">
        <v>0</v>
      </c>
      <c r="AM206" s="7">
        <v>0</v>
      </c>
      <c r="AN206" s="7">
        <v>0</v>
      </c>
      <c r="AO206" s="8">
        <v>0</v>
      </c>
      <c r="AP206" s="8">
        <v>0</v>
      </c>
      <c r="AQ206" s="7">
        <v>0</v>
      </c>
      <c r="AR206" s="7">
        <v>1E-4</v>
      </c>
      <c r="AS206" s="7">
        <v>1E-4</v>
      </c>
      <c r="AT206" s="7">
        <v>0</v>
      </c>
      <c r="AU206" s="7">
        <v>0</v>
      </c>
      <c r="AV206" s="8">
        <v>0</v>
      </c>
      <c r="AW206" s="8">
        <v>0</v>
      </c>
      <c r="AX206" s="8">
        <v>0</v>
      </c>
      <c r="AY206" s="7">
        <v>0</v>
      </c>
      <c r="AZ206" s="7">
        <v>1E-4</v>
      </c>
      <c r="BA206" s="7">
        <v>1E-4</v>
      </c>
      <c r="BB206" s="7">
        <v>1E-4</v>
      </c>
      <c r="BC206" s="7">
        <v>0</v>
      </c>
      <c r="BD206" s="7">
        <v>1E-4</v>
      </c>
      <c r="BE206" s="7">
        <f>VLOOKUP($A206,'1.Sep'!$Q$8:$S$1048576,3,0)</f>
        <v>1E-4</v>
      </c>
      <c r="BF206" s="7">
        <f>VLOOKUP($A206,'2.Sep'!$Q$8:$S$1048576,3,0)</f>
        <v>1E-4</v>
      </c>
      <c r="BG206" s="8">
        <v>0</v>
      </c>
      <c r="BH206" s="8">
        <f>VLOOKUP($A206,'4.Sep'!$Q$8:$S$1048576,3,0)</f>
        <v>1E-4</v>
      </c>
      <c r="BI206" s="8">
        <v>0</v>
      </c>
      <c r="BJ206" s="8">
        <v>0</v>
      </c>
      <c r="BK206" s="8">
        <v>0</v>
      </c>
      <c r="BL206" s="8">
        <v>0</v>
      </c>
      <c r="BM206" s="8">
        <v>0</v>
      </c>
      <c r="BN206" s="7">
        <f>VLOOKUP($A206,'10.Sep'!$Q$8:$S$1048576,3,0)</f>
        <v>0</v>
      </c>
      <c r="BO206" s="8">
        <v>0</v>
      </c>
      <c r="BP206" s="7">
        <f>VLOOKUP($A206,'12.Sep'!$Q$8:$S$1048576,3,0)</f>
        <v>0</v>
      </c>
      <c r="BQ206" s="7">
        <f>VLOOKUP($A206,'13.Sep'!$Q$8:$S$1048576,3,0)</f>
        <v>0</v>
      </c>
      <c r="BR206" s="7">
        <f>VLOOKUP($A206,'14.Sep'!$Q$8:$S$1048576,3,0)</f>
        <v>0</v>
      </c>
      <c r="BS206" s="7">
        <f>VLOOKUP($A206,'15.Sep'!$Q$8:$S$1048576,3,0)</f>
        <v>0</v>
      </c>
      <c r="BT206" s="7">
        <f>VLOOKUP($A206,'16.Sep'!$Q$8:$S$1048576,3,0)</f>
        <v>1E-4</v>
      </c>
      <c r="BU206" s="7">
        <f>VLOOKUP($A206,'17.Sep'!$Q$8:$S$1048576,3,0)</f>
        <v>0</v>
      </c>
      <c r="BV206" s="7">
        <f>VLOOKUP($A206,'18.Sep'!$Q$8:$S$1048576,3,0)</f>
        <v>0</v>
      </c>
      <c r="BW206" s="8">
        <v>0</v>
      </c>
      <c r="BX206" s="8">
        <v>0</v>
      </c>
      <c r="BY206" s="7">
        <f>VLOOKUP($A206,'21.Sep'!$Q$8:$S$1048576,3,0)</f>
        <v>1E-4</v>
      </c>
      <c r="BZ206" s="7">
        <f>VLOOKUP($A206,'22.Sep'!$Q$8:$S$1048576,3,0)</f>
        <v>1E-4</v>
      </c>
      <c r="CA206" s="7">
        <f>VLOOKUP($A206,'23.Sep'!$Q$8:$S$1048576,3,0)</f>
        <v>1E-4</v>
      </c>
      <c r="CB206" s="8">
        <v>0</v>
      </c>
      <c r="CC206" s="8">
        <v>0</v>
      </c>
    </row>
    <row r="207" spans="1:81" outlineLevel="1">
      <c r="A207" s="6" t="s">
        <v>93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f t="shared" si="52"/>
        <v>0</v>
      </c>
      <c r="I207" s="7">
        <f t="shared" si="53"/>
        <v>0</v>
      </c>
      <c r="J207" s="7">
        <f t="shared" si="54"/>
        <v>0</v>
      </c>
      <c r="K207" s="7">
        <f t="shared" si="50"/>
        <v>1.6666666666666667E-5</v>
      </c>
      <c r="L207" s="7">
        <f t="shared" si="51"/>
        <v>2.0000000000000002E-5</v>
      </c>
      <c r="M207" s="8">
        <v>0</v>
      </c>
      <c r="N207" s="8">
        <v>0</v>
      </c>
      <c r="O207" s="8">
        <v>0</v>
      </c>
      <c r="P207" s="8">
        <v>0</v>
      </c>
      <c r="Q207" s="8">
        <v>0</v>
      </c>
      <c r="R207" s="8">
        <v>0</v>
      </c>
      <c r="S207" s="8">
        <v>0</v>
      </c>
      <c r="T207" s="8">
        <v>0</v>
      </c>
      <c r="U207" s="8">
        <v>0</v>
      </c>
      <c r="V207" s="8">
        <v>0</v>
      </c>
      <c r="W207" s="8">
        <v>0</v>
      </c>
      <c r="X207" s="8">
        <v>0</v>
      </c>
      <c r="Y207" s="8">
        <v>0</v>
      </c>
      <c r="Z207" s="8">
        <v>0</v>
      </c>
      <c r="AA207" s="8">
        <v>0</v>
      </c>
      <c r="AB207" s="8">
        <v>0</v>
      </c>
      <c r="AC207" s="8">
        <v>0</v>
      </c>
      <c r="AD207" s="7">
        <v>0</v>
      </c>
      <c r="AE207" s="7">
        <v>0</v>
      </c>
      <c r="AF207" s="8">
        <v>0</v>
      </c>
      <c r="AG207" s="8">
        <v>0</v>
      </c>
      <c r="AH207" s="8">
        <v>0</v>
      </c>
      <c r="AI207" s="8">
        <v>0</v>
      </c>
      <c r="AJ207" s="8">
        <v>0</v>
      </c>
      <c r="AK207" s="8">
        <v>0</v>
      </c>
      <c r="AL207" s="8">
        <v>0</v>
      </c>
      <c r="AM207" s="7">
        <v>0</v>
      </c>
      <c r="AN207" s="8">
        <v>0</v>
      </c>
      <c r="AO207" s="7">
        <v>0</v>
      </c>
      <c r="AP207" s="8">
        <v>0</v>
      </c>
      <c r="AQ207" s="8">
        <v>0</v>
      </c>
      <c r="AR207" s="7">
        <v>0</v>
      </c>
      <c r="AS207" s="7">
        <v>0</v>
      </c>
      <c r="AT207" s="7">
        <v>0</v>
      </c>
      <c r="AU207" s="7">
        <v>0</v>
      </c>
      <c r="AV207" s="8">
        <v>0</v>
      </c>
      <c r="AW207" s="8">
        <v>0</v>
      </c>
      <c r="AX207" s="8">
        <v>0</v>
      </c>
      <c r="AY207" s="8">
        <v>0</v>
      </c>
      <c r="AZ207" s="8">
        <v>0</v>
      </c>
      <c r="BA207" s="8">
        <v>0</v>
      </c>
      <c r="BB207" s="7">
        <v>0</v>
      </c>
      <c r="BC207" s="7">
        <v>0</v>
      </c>
      <c r="BD207" s="8">
        <v>0</v>
      </c>
      <c r="BE207" s="8">
        <v>0</v>
      </c>
      <c r="BF207" s="8">
        <v>0</v>
      </c>
      <c r="BG207" s="8">
        <v>0</v>
      </c>
      <c r="BH207" s="8">
        <f>VLOOKUP($A207,'4.Sep'!$Q$8:$S$1048576,3,0)</f>
        <v>0</v>
      </c>
      <c r="BI207" s="8">
        <v>0</v>
      </c>
      <c r="BJ207" s="7">
        <f>VLOOKUP($A207,'6.Sep'!$Q$8:$S$1048576,3,0)</f>
        <v>0</v>
      </c>
      <c r="BK207" s="8">
        <v>0</v>
      </c>
      <c r="BL207" s="8">
        <v>0</v>
      </c>
      <c r="BM207" s="8">
        <v>0</v>
      </c>
      <c r="BN207" s="8">
        <v>0</v>
      </c>
      <c r="BO207" s="8">
        <v>0</v>
      </c>
      <c r="BP207" s="8">
        <v>0</v>
      </c>
      <c r="BQ207" s="8">
        <v>0</v>
      </c>
      <c r="BR207" s="7">
        <f>VLOOKUP($A207,'14.Sep'!$Q$8:$S$1048576,3,0)</f>
        <v>0</v>
      </c>
      <c r="BS207" s="8">
        <v>0</v>
      </c>
      <c r="BT207" s="8">
        <v>0</v>
      </c>
      <c r="BU207" s="8">
        <v>0</v>
      </c>
      <c r="BV207" s="8">
        <v>0</v>
      </c>
      <c r="BW207" s="8">
        <v>0</v>
      </c>
      <c r="BX207" s="8">
        <v>0</v>
      </c>
      <c r="BY207" s="8">
        <v>0</v>
      </c>
      <c r="BZ207" s="7">
        <f>VLOOKUP($A207,'22.Sep'!$Q$8:$S$1048576,3,0)</f>
        <v>1E-4</v>
      </c>
      <c r="CA207" s="8">
        <v>0</v>
      </c>
      <c r="CB207" s="8">
        <v>0</v>
      </c>
      <c r="CC207" s="8">
        <v>0</v>
      </c>
    </row>
    <row r="208" spans="1:81" outlineLevel="1">
      <c r="A208" s="6" t="s">
        <v>84</v>
      </c>
      <c r="B208" s="7">
        <v>0</v>
      </c>
      <c r="C208" s="7">
        <v>0</v>
      </c>
      <c r="D208" s="7">
        <v>0</v>
      </c>
      <c r="E208" s="7">
        <v>1.4285714285714287E-5</v>
      </c>
      <c r="F208" s="7">
        <v>0</v>
      </c>
      <c r="G208" s="7">
        <v>0</v>
      </c>
      <c r="H208" s="7">
        <f t="shared" si="52"/>
        <v>0</v>
      </c>
      <c r="I208" s="7">
        <f t="shared" si="53"/>
        <v>0</v>
      </c>
      <c r="J208" s="7">
        <f t="shared" si="54"/>
        <v>0</v>
      </c>
      <c r="K208" s="7">
        <f t="shared" si="50"/>
        <v>0</v>
      </c>
      <c r="L208" s="7">
        <f t="shared" si="51"/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8">
        <v>0</v>
      </c>
      <c r="V208" s="8">
        <v>0</v>
      </c>
      <c r="W208" s="8">
        <v>0</v>
      </c>
      <c r="X208" s="8">
        <v>0</v>
      </c>
      <c r="Y208" s="8">
        <v>0</v>
      </c>
      <c r="Z208" s="8">
        <v>0</v>
      </c>
      <c r="AA208" s="8">
        <v>0</v>
      </c>
      <c r="AB208" s="8">
        <v>0</v>
      </c>
      <c r="AC208" s="8">
        <v>0</v>
      </c>
      <c r="AD208" s="7">
        <v>0</v>
      </c>
      <c r="AE208" s="7">
        <v>0</v>
      </c>
      <c r="AF208" s="8">
        <v>0</v>
      </c>
      <c r="AG208" s="8">
        <v>0</v>
      </c>
      <c r="AH208" s="8">
        <v>0</v>
      </c>
      <c r="AI208" s="8">
        <v>0</v>
      </c>
      <c r="AJ208" s="8">
        <v>1E-4</v>
      </c>
      <c r="AK208" s="8">
        <v>0</v>
      </c>
      <c r="AL208" s="8">
        <v>0</v>
      </c>
      <c r="AM208" s="7">
        <v>0</v>
      </c>
      <c r="AN208" s="8">
        <v>0</v>
      </c>
      <c r="AO208" s="8">
        <v>0</v>
      </c>
      <c r="AP208" s="8">
        <v>0</v>
      </c>
      <c r="AQ208" s="8">
        <v>0</v>
      </c>
      <c r="AR208" s="7">
        <v>0</v>
      </c>
      <c r="AS208" s="7">
        <v>0</v>
      </c>
      <c r="AT208" s="7">
        <v>0</v>
      </c>
      <c r="AU208" s="7">
        <v>0</v>
      </c>
      <c r="AV208" s="8">
        <v>0</v>
      </c>
      <c r="AW208" s="8">
        <v>0</v>
      </c>
      <c r="AX208" s="8">
        <v>0</v>
      </c>
      <c r="AY208" s="8">
        <v>0</v>
      </c>
      <c r="AZ208" s="8">
        <v>0</v>
      </c>
      <c r="BA208" s="8">
        <v>0</v>
      </c>
      <c r="BB208" s="7">
        <v>0</v>
      </c>
      <c r="BC208" s="7">
        <v>0</v>
      </c>
      <c r="BD208" s="8">
        <v>0</v>
      </c>
      <c r="BE208" s="8">
        <v>0</v>
      </c>
      <c r="BF208" s="8">
        <v>0</v>
      </c>
      <c r="BG208" s="8">
        <v>0</v>
      </c>
      <c r="BH208" s="8">
        <v>0</v>
      </c>
      <c r="BI208" s="8">
        <v>0</v>
      </c>
      <c r="BJ208" s="8">
        <v>0</v>
      </c>
      <c r="BK208" s="8">
        <v>0</v>
      </c>
      <c r="BL208" s="8">
        <v>0</v>
      </c>
      <c r="BM208" s="8">
        <v>0</v>
      </c>
      <c r="BN208" s="8">
        <v>0</v>
      </c>
      <c r="BO208" s="8">
        <v>0</v>
      </c>
      <c r="BP208" s="7">
        <f>VLOOKUP($A208,'12.Sep'!$Q$8:$S$1048576,3,0)</f>
        <v>0</v>
      </c>
      <c r="BQ208" s="8">
        <v>0</v>
      </c>
      <c r="BR208" s="8">
        <v>0</v>
      </c>
      <c r="BS208" s="8">
        <v>0</v>
      </c>
      <c r="BT208" s="8">
        <v>0</v>
      </c>
      <c r="BU208" s="8">
        <v>0</v>
      </c>
      <c r="BV208" s="8">
        <v>0</v>
      </c>
      <c r="BW208" s="8">
        <v>0</v>
      </c>
      <c r="BX208" s="8">
        <v>0</v>
      </c>
      <c r="BY208" s="8">
        <v>0</v>
      </c>
      <c r="BZ208" s="8">
        <v>0</v>
      </c>
      <c r="CA208" s="8">
        <v>0</v>
      </c>
      <c r="CB208" s="8">
        <v>0</v>
      </c>
      <c r="CC208" s="8">
        <v>0</v>
      </c>
    </row>
    <row r="209" spans="1:81" outlineLevel="1">
      <c r="A209" s="6" t="s">
        <v>94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f t="shared" si="52"/>
        <v>0</v>
      </c>
      <c r="I209" s="7">
        <f t="shared" si="53"/>
        <v>0</v>
      </c>
      <c r="J209" s="7">
        <f t="shared" si="54"/>
        <v>0</v>
      </c>
      <c r="K209" s="7">
        <f t="shared" si="50"/>
        <v>1.6666666666666667E-5</v>
      </c>
      <c r="L209" s="7">
        <f t="shared" si="51"/>
        <v>2.0000000000000002E-5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  <c r="T209" s="8">
        <v>0</v>
      </c>
      <c r="U209" s="8">
        <v>0</v>
      </c>
      <c r="V209" s="8">
        <v>0</v>
      </c>
      <c r="W209" s="8">
        <v>0</v>
      </c>
      <c r="X209" s="8">
        <v>0</v>
      </c>
      <c r="Y209" s="8">
        <v>0</v>
      </c>
      <c r="Z209" s="8">
        <v>0</v>
      </c>
      <c r="AA209" s="8">
        <v>0</v>
      </c>
      <c r="AB209" s="8">
        <v>0</v>
      </c>
      <c r="AC209" s="8">
        <v>0</v>
      </c>
      <c r="AD209" s="7">
        <v>0</v>
      </c>
      <c r="AE209" s="7">
        <v>0</v>
      </c>
      <c r="AF209" s="8">
        <v>0</v>
      </c>
      <c r="AG209" s="8">
        <v>0</v>
      </c>
      <c r="AH209" s="8">
        <v>0</v>
      </c>
      <c r="AI209" s="8">
        <v>0</v>
      </c>
      <c r="AJ209" s="8">
        <v>0</v>
      </c>
      <c r="AK209" s="8">
        <v>0</v>
      </c>
      <c r="AL209" s="8">
        <v>0</v>
      </c>
      <c r="AM209" s="7">
        <v>0</v>
      </c>
      <c r="AN209" s="8">
        <v>0</v>
      </c>
      <c r="AO209" s="8">
        <v>0</v>
      </c>
      <c r="AP209" s="8">
        <v>0</v>
      </c>
      <c r="AQ209" s="8">
        <v>0</v>
      </c>
      <c r="AR209" s="7">
        <v>0</v>
      </c>
      <c r="AS209" s="7">
        <v>0</v>
      </c>
      <c r="AT209" s="7">
        <v>0</v>
      </c>
      <c r="AU209" s="7">
        <v>0</v>
      </c>
      <c r="AV209" s="8">
        <v>0</v>
      </c>
      <c r="AW209" s="8">
        <v>0</v>
      </c>
      <c r="AX209" s="8">
        <v>0</v>
      </c>
      <c r="AY209" s="8">
        <v>0</v>
      </c>
      <c r="AZ209" s="8">
        <v>0</v>
      </c>
      <c r="BA209" s="8">
        <v>0</v>
      </c>
      <c r="BB209" s="7">
        <v>0</v>
      </c>
      <c r="BC209" s="7">
        <v>0</v>
      </c>
      <c r="BD209" s="8">
        <v>0</v>
      </c>
      <c r="BE209" s="8">
        <v>0</v>
      </c>
      <c r="BF209" s="8">
        <v>0</v>
      </c>
      <c r="BG209" s="8">
        <v>0</v>
      </c>
      <c r="BH209" s="8">
        <v>0</v>
      </c>
      <c r="BI209" s="8">
        <v>0</v>
      </c>
      <c r="BJ209" s="8">
        <v>0</v>
      </c>
      <c r="BK209" s="8">
        <v>0</v>
      </c>
      <c r="BL209" s="8">
        <v>0</v>
      </c>
      <c r="BM209" s="8">
        <v>0</v>
      </c>
      <c r="BN209" s="8">
        <v>0</v>
      </c>
      <c r="BO209" s="8">
        <v>0</v>
      </c>
      <c r="BP209" s="8">
        <v>0</v>
      </c>
      <c r="BQ209" s="8">
        <v>0</v>
      </c>
      <c r="BR209" s="8">
        <v>0</v>
      </c>
      <c r="BS209" s="8">
        <v>0</v>
      </c>
      <c r="BT209" s="8">
        <v>0</v>
      </c>
      <c r="BU209" s="8">
        <v>0</v>
      </c>
      <c r="BV209" s="8">
        <v>0</v>
      </c>
      <c r="BW209" s="8">
        <v>0</v>
      </c>
      <c r="BX209" s="8">
        <v>0</v>
      </c>
      <c r="BY209" s="8">
        <v>0</v>
      </c>
      <c r="BZ209" s="7">
        <f>VLOOKUP($A209,'22.Sep'!$Q$8:$S$1048576,3,0)</f>
        <v>1E-4</v>
      </c>
      <c r="CA209" s="8">
        <v>0</v>
      </c>
      <c r="CB209" s="8">
        <v>0</v>
      </c>
      <c r="CC209" s="8">
        <v>0</v>
      </c>
    </row>
    <row r="210" spans="1:81">
      <c r="A210" s="6" t="s">
        <v>95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f t="shared" si="52"/>
        <v>0</v>
      </c>
      <c r="I210" s="7">
        <f t="shared" si="53"/>
        <v>0</v>
      </c>
      <c r="J210" s="7">
        <f t="shared" si="54"/>
        <v>0</v>
      </c>
      <c r="K210" s="7">
        <f t="shared" si="50"/>
        <v>0</v>
      </c>
      <c r="L210" s="7">
        <f t="shared" si="51"/>
        <v>0</v>
      </c>
      <c r="M210" s="8">
        <v>0</v>
      </c>
      <c r="N210" s="8">
        <v>0</v>
      </c>
      <c r="O210" s="8">
        <v>0</v>
      </c>
      <c r="P210" s="8">
        <v>0</v>
      </c>
      <c r="Q210" s="8">
        <v>0</v>
      </c>
      <c r="R210" s="8">
        <v>0</v>
      </c>
      <c r="S210" s="8">
        <v>0</v>
      </c>
      <c r="T210" s="8">
        <v>0</v>
      </c>
      <c r="U210" s="8">
        <v>0</v>
      </c>
      <c r="V210" s="8">
        <v>0</v>
      </c>
      <c r="W210" s="8">
        <v>0</v>
      </c>
      <c r="X210" s="8">
        <v>0</v>
      </c>
      <c r="Y210" s="8">
        <v>0</v>
      </c>
      <c r="Z210" s="8">
        <v>0</v>
      </c>
      <c r="AA210" s="8">
        <v>0</v>
      </c>
      <c r="AB210" s="8">
        <v>0</v>
      </c>
      <c r="AC210" s="8">
        <v>0</v>
      </c>
      <c r="AD210" s="7">
        <v>0</v>
      </c>
      <c r="AE210" s="7">
        <v>0</v>
      </c>
      <c r="AF210" s="8">
        <v>0</v>
      </c>
      <c r="AG210" s="8">
        <v>0</v>
      </c>
      <c r="AH210" s="8">
        <v>0</v>
      </c>
      <c r="AI210" s="8">
        <v>0</v>
      </c>
      <c r="AJ210" s="8">
        <v>0</v>
      </c>
      <c r="AK210" s="8">
        <v>0</v>
      </c>
      <c r="AL210" s="8">
        <v>0</v>
      </c>
      <c r="AM210" s="7">
        <v>0</v>
      </c>
      <c r="AN210" s="8">
        <v>0</v>
      </c>
      <c r="AO210" s="8">
        <v>0</v>
      </c>
      <c r="AP210" s="8">
        <v>0</v>
      </c>
      <c r="AQ210" s="8">
        <v>0</v>
      </c>
      <c r="AR210" s="7">
        <v>0</v>
      </c>
      <c r="AS210" s="7">
        <v>0</v>
      </c>
      <c r="AT210" s="7">
        <v>0</v>
      </c>
      <c r="AU210" s="7">
        <v>0</v>
      </c>
      <c r="AV210" s="8">
        <v>0</v>
      </c>
      <c r="AW210" s="8">
        <v>0</v>
      </c>
      <c r="AX210" s="8">
        <v>0</v>
      </c>
      <c r="AY210" s="8">
        <v>0</v>
      </c>
      <c r="AZ210" s="8">
        <v>0</v>
      </c>
      <c r="BA210" s="8">
        <v>0</v>
      </c>
      <c r="BB210" s="7">
        <v>0</v>
      </c>
      <c r="BC210" s="7">
        <v>0</v>
      </c>
      <c r="BD210" s="8">
        <v>0</v>
      </c>
      <c r="BE210" s="8">
        <v>0</v>
      </c>
      <c r="BF210" s="8">
        <v>0</v>
      </c>
      <c r="BG210" s="8">
        <v>0</v>
      </c>
      <c r="BH210" s="8">
        <v>0</v>
      </c>
      <c r="BI210" s="8">
        <v>0</v>
      </c>
      <c r="BJ210" s="8">
        <v>0</v>
      </c>
      <c r="BK210" s="8">
        <v>0</v>
      </c>
      <c r="BL210" s="8">
        <v>0</v>
      </c>
      <c r="BM210" s="8">
        <v>0</v>
      </c>
      <c r="BN210" s="8">
        <v>0</v>
      </c>
      <c r="BO210" s="8">
        <v>0</v>
      </c>
      <c r="BP210" s="8">
        <v>0</v>
      </c>
      <c r="BQ210" s="8">
        <v>0</v>
      </c>
      <c r="BR210" s="8">
        <v>0</v>
      </c>
      <c r="BS210" s="8">
        <v>0</v>
      </c>
      <c r="BT210" s="7">
        <f>VLOOKUP($A210,'16.Sep'!$Q$8:$S$1048576,3,0)</f>
        <v>0</v>
      </c>
      <c r="BU210" s="8">
        <v>0</v>
      </c>
      <c r="BV210" s="8">
        <v>0</v>
      </c>
      <c r="BW210" s="8">
        <v>0</v>
      </c>
      <c r="BX210" s="8">
        <v>0</v>
      </c>
      <c r="BY210" s="8">
        <v>0</v>
      </c>
      <c r="BZ210" s="8">
        <v>0</v>
      </c>
      <c r="CA210" s="8">
        <v>0</v>
      </c>
      <c r="CB210" s="8">
        <v>0</v>
      </c>
      <c r="CC210" s="8">
        <v>0</v>
      </c>
    </row>
    <row r="211" spans="1:81">
      <c r="A211" s="6" t="s">
        <v>96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f t="shared" si="52"/>
        <v>0</v>
      </c>
      <c r="I211" s="7">
        <f t="shared" si="53"/>
        <v>0</v>
      </c>
      <c r="J211" s="7">
        <f t="shared" si="54"/>
        <v>0</v>
      </c>
      <c r="K211" s="7">
        <f t="shared" si="50"/>
        <v>0</v>
      </c>
      <c r="L211" s="7">
        <f t="shared" si="51"/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8">
        <v>0</v>
      </c>
      <c r="V211" s="8">
        <v>0</v>
      </c>
      <c r="W211" s="8">
        <v>0</v>
      </c>
      <c r="X211" s="8">
        <v>0</v>
      </c>
      <c r="Y211" s="8">
        <v>0</v>
      </c>
      <c r="Z211" s="8">
        <v>0</v>
      </c>
      <c r="AA211" s="8">
        <v>0</v>
      </c>
      <c r="AB211" s="8">
        <v>0</v>
      </c>
      <c r="AC211" s="8">
        <v>0</v>
      </c>
      <c r="AD211" s="7">
        <v>0</v>
      </c>
      <c r="AE211" s="7">
        <v>0</v>
      </c>
      <c r="AF211" s="8">
        <v>0</v>
      </c>
      <c r="AG211" s="8">
        <v>0</v>
      </c>
      <c r="AH211" s="8">
        <v>0</v>
      </c>
      <c r="AI211" s="8">
        <v>0</v>
      </c>
      <c r="AJ211" s="8">
        <v>0</v>
      </c>
      <c r="AK211" s="8">
        <v>0</v>
      </c>
      <c r="AL211" s="8">
        <v>0</v>
      </c>
      <c r="AM211" s="7">
        <v>0</v>
      </c>
      <c r="AN211" s="8">
        <v>0</v>
      </c>
      <c r="AO211" s="8">
        <v>0</v>
      </c>
      <c r="AP211" s="8">
        <v>0</v>
      </c>
      <c r="AQ211" s="8">
        <v>0</v>
      </c>
      <c r="AR211" s="7">
        <v>0</v>
      </c>
      <c r="AS211" s="7">
        <v>0</v>
      </c>
      <c r="AT211" s="7">
        <v>0</v>
      </c>
      <c r="AU211" s="7">
        <v>0</v>
      </c>
      <c r="AV211" s="8">
        <v>0</v>
      </c>
      <c r="AW211" s="8">
        <v>0</v>
      </c>
      <c r="AX211" s="8">
        <v>0</v>
      </c>
      <c r="AY211" s="8">
        <v>0</v>
      </c>
      <c r="AZ211" s="8">
        <v>0</v>
      </c>
      <c r="BA211" s="8">
        <v>0</v>
      </c>
      <c r="BB211" s="7">
        <v>0</v>
      </c>
      <c r="BC211" s="7">
        <v>0</v>
      </c>
      <c r="BD211" s="8">
        <v>0</v>
      </c>
      <c r="BE211" s="8">
        <v>0</v>
      </c>
      <c r="BF211" s="8">
        <v>0</v>
      </c>
      <c r="BG211" s="8">
        <v>0</v>
      </c>
      <c r="BH211" s="8">
        <v>0</v>
      </c>
      <c r="BI211" s="8">
        <v>0</v>
      </c>
      <c r="BJ211" s="8">
        <v>0</v>
      </c>
      <c r="BK211" s="8">
        <v>0</v>
      </c>
      <c r="BL211" s="8">
        <v>0</v>
      </c>
      <c r="BM211" s="8">
        <v>0</v>
      </c>
      <c r="BN211" s="8">
        <v>0</v>
      </c>
      <c r="BO211" s="8">
        <v>0</v>
      </c>
      <c r="BP211" s="8">
        <v>0</v>
      </c>
      <c r="BQ211" s="8">
        <v>0</v>
      </c>
      <c r="BR211" s="8">
        <v>0</v>
      </c>
      <c r="BS211" s="8">
        <v>0</v>
      </c>
      <c r="BT211" s="8">
        <v>0</v>
      </c>
      <c r="BU211" s="8">
        <v>0</v>
      </c>
      <c r="BV211" s="8">
        <v>0</v>
      </c>
      <c r="BW211" s="8">
        <v>0</v>
      </c>
      <c r="BX211" s="8">
        <v>0</v>
      </c>
      <c r="BY211" s="8">
        <v>0</v>
      </c>
      <c r="BZ211" s="8">
        <v>0</v>
      </c>
      <c r="CA211" s="8">
        <v>0</v>
      </c>
      <c r="CB211" s="8">
        <v>0</v>
      </c>
      <c r="CC211" s="8">
        <v>0</v>
      </c>
    </row>
    <row r="212" spans="1:81">
      <c r="A212" s="12" t="s">
        <v>70</v>
      </c>
      <c r="B212" s="10">
        <v>0</v>
      </c>
      <c r="C212" s="10">
        <v>0</v>
      </c>
      <c r="D212" s="10">
        <v>1.0571428571428572E-3</v>
      </c>
      <c r="E212" s="10">
        <v>2.9857142857142843E-3</v>
      </c>
      <c r="F212" s="10">
        <v>3.2000000000000002E-3</v>
      </c>
      <c r="G212" s="10">
        <v>1.8571428571428571E-3</v>
      </c>
      <c r="H212" s="10">
        <f t="shared" ref="H212" si="55">SUM(H187:H211)</f>
        <v>2.285714285714285E-3</v>
      </c>
      <c r="I212" s="10">
        <f t="shared" ref="I212:J212" si="56">SUM(I187:I211)</f>
        <v>2.5714285714285709E-3</v>
      </c>
      <c r="J212" s="10">
        <f t="shared" si="56"/>
        <v>2.6714285714285703E-3</v>
      </c>
      <c r="K212" s="10">
        <f t="shared" ref="K212:L212" si="57">SUM(K187:K211)</f>
        <v>2.3999999999999994E-3</v>
      </c>
      <c r="L212" s="10">
        <f t="shared" si="57"/>
        <v>2.5200000000000005E-3</v>
      </c>
      <c r="M212" s="11">
        <v>0</v>
      </c>
      <c r="N212" s="11">
        <v>0</v>
      </c>
      <c r="O212" s="11">
        <v>0</v>
      </c>
      <c r="P212" s="11">
        <v>0</v>
      </c>
      <c r="Q212" s="11">
        <v>0</v>
      </c>
      <c r="R212" s="11">
        <v>0</v>
      </c>
      <c r="S212" s="11">
        <v>0</v>
      </c>
      <c r="T212" s="11">
        <v>0</v>
      </c>
      <c r="U212" s="11">
        <v>0</v>
      </c>
      <c r="V212" s="11">
        <v>0</v>
      </c>
      <c r="W212" s="11">
        <v>0</v>
      </c>
      <c r="X212" s="11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1.7000000000000001E-3</v>
      </c>
      <c r="AE212" s="11">
        <v>3.5999999999999995E-3</v>
      </c>
      <c r="AF212" s="11">
        <v>2.0999999999999999E-3</v>
      </c>
      <c r="AG212" s="11">
        <v>1.2000000000000001E-3</v>
      </c>
      <c r="AH212" s="11">
        <v>2.0999999999999999E-3</v>
      </c>
      <c r="AI212" s="11">
        <v>2.1999999999999997E-3</v>
      </c>
      <c r="AJ212" s="11">
        <v>3.7999999999999987E-3</v>
      </c>
      <c r="AK212" s="11">
        <v>3.5999999999999995E-3</v>
      </c>
      <c r="AL212" s="11">
        <v>3.4999999999999996E-3</v>
      </c>
      <c r="AM212" s="10">
        <v>4.5000000000000005E-3</v>
      </c>
      <c r="AN212" s="10">
        <v>4.8000000000000004E-3</v>
      </c>
      <c r="AO212" s="10">
        <v>3.5000000000000001E-3</v>
      </c>
      <c r="AP212" s="10">
        <v>2.7999999999999995E-3</v>
      </c>
      <c r="AQ212" s="10">
        <v>3.2000000000000002E-3</v>
      </c>
      <c r="AR212" s="10">
        <v>2.8999999999999994E-3</v>
      </c>
      <c r="AS212" s="10">
        <v>2.6999999999999997E-3</v>
      </c>
      <c r="AT212" s="10">
        <v>2.4999999999999996E-3</v>
      </c>
      <c r="AU212" s="10">
        <v>2E-3</v>
      </c>
      <c r="AV212" s="10">
        <v>1.6000000000000001E-3</v>
      </c>
      <c r="AW212" s="10">
        <v>1.7000000000000001E-3</v>
      </c>
      <c r="AX212" s="10">
        <v>1.9000000000000002E-3</v>
      </c>
      <c r="AY212" s="10">
        <v>1.7000000000000001E-3</v>
      </c>
      <c r="AZ212" s="10">
        <v>2E-3</v>
      </c>
      <c r="BA212" s="10">
        <v>2.0999999999999999E-3</v>
      </c>
      <c r="BB212" s="10">
        <v>1.7000000000000001E-3</v>
      </c>
      <c r="BC212" s="10">
        <v>2.3E-3</v>
      </c>
      <c r="BD212" s="10">
        <v>2.3999999999999998E-3</v>
      </c>
      <c r="BE212" s="10">
        <f t="shared" ref="BE212:CB212" si="58">SUM(BE187:BE211)</f>
        <v>2.1999999999999997E-3</v>
      </c>
      <c r="BF212" s="10">
        <f t="shared" si="58"/>
        <v>2E-3</v>
      </c>
      <c r="BG212" s="10">
        <f t="shared" si="58"/>
        <v>2.1999999999999997E-3</v>
      </c>
      <c r="BH212" s="11">
        <f t="shared" si="58"/>
        <v>3.1999999999999993E-3</v>
      </c>
      <c r="BI212" s="11">
        <f t="shared" si="58"/>
        <v>2.4999999999999996E-3</v>
      </c>
      <c r="BJ212" s="11">
        <f t="shared" si="58"/>
        <v>2.8E-3</v>
      </c>
      <c r="BK212" s="11">
        <f t="shared" si="58"/>
        <v>2.0999999999999999E-3</v>
      </c>
      <c r="BL212" s="11">
        <f t="shared" si="58"/>
        <v>2.3999999999999998E-3</v>
      </c>
      <c r="BM212" s="11">
        <f t="shared" si="58"/>
        <v>1.7000000000000001E-3</v>
      </c>
      <c r="BN212" s="11">
        <f t="shared" si="58"/>
        <v>3.5999999999999999E-3</v>
      </c>
      <c r="BO212" s="11">
        <f t="shared" si="58"/>
        <v>2.8999999999999994E-3</v>
      </c>
      <c r="BP212" s="10">
        <f t="shared" si="58"/>
        <v>2.9999999999999996E-3</v>
      </c>
      <c r="BQ212" s="10">
        <f t="shared" si="58"/>
        <v>2.8999999999999994E-3</v>
      </c>
      <c r="BR212" s="10">
        <f t="shared" si="58"/>
        <v>2.6999999999999997E-3</v>
      </c>
      <c r="BS212" s="10">
        <f t="shared" si="58"/>
        <v>3.0999999999999995E-3</v>
      </c>
      <c r="BT212" s="10">
        <f t="shared" si="58"/>
        <v>2.6999999999999993E-3</v>
      </c>
      <c r="BU212" s="10">
        <f t="shared" si="58"/>
        <v>2.2999999999999995E-3</v>
      </c>
      <c r="BV212" s="10">
        <f t="shared" si="58"/>
        <v>2E-3</v>
      </c>
      <c r="BW212" s="10">
        <f t="shared" si="58"/>
        <v>1.8000000000000002E-3</v>
      </c>
      <c r="BX212" s="10">
        <f t="shared" si="58"/>
        <v>1.6000000000000001E-3</v>
      </c>
      <c r="BY212" s="10">
        <f t="shared" si="58"/>
        <v>2.9999999999999996E-3</v>
      </c>
      <c r="BZ212" s="10">
        <f t="shared" si="58"/>
        <v>2.1999999999999997E-3</v>
      </c>
      <c r="CA212" s="10">
        <f t="shared" si="58"/>
        <v>2.6999999999999997E-3</v>
      </c>
      <c r="CB212" s="10">
        <f t="shared" si="58"/>
        <v>3.0999999999999995E-3</v>
      </c>
      <c r="CC212" s="10">
        <f t="shared" ref="CC212" si="59">SUM(CC187:CC211)</f>
        <v>3.0999999999999995E-3</v>
      </c>
    </row>
    <row r="213" spans="1:81">
      <c r="A213" s="13" t="s">
        <v>71</v>
      </c>
      <c r="B213" s="14">
        <v>54357</v>
      </c>
      <c r="C213" s="14">
        <v>115037</v>
      </c>
      <c r="D213" s="14">
        <v>186158</v>
      </c>
      <c r="E213" s="14">
        <v>140937</v>
      </c>
      <c r="F213" s="14">
        <v>219011</v>
      </c>
      <c r="G213" s="14">
        <v>212483</v>
      </c>
      <c r="H213" s="14">
        <f>SUM(BB213:BH213)</f>
        <v>221256</v>
      </c>
      <c r="I213" s="14">
        <f>SUM(BI213:BO213)</f>
        <v>174993</v>
      </c>
      <c r="J213" s="14">
        <f>SUM(BP213:BV213)</f>
        <v>279132</v>
      </c>
      <c r="K213" s="14">
        <f>SUM(BW213:CB213)</f>
        <v>141077</v>
      </c>
      <c r="L213" s="14">
        <f>SUM(BX213:CB213)</f>
        <v>107619</v>
      </c>
      <c r="M213" s="15">
        <v>8046</v>
      </c>
      <c r="N213" s="15">
        <v>5922</v>
      </c>
      <c r="O213" s="15">
        <v>7494</v>
      </c>
      <c r="P213" s="15">
        <v>9978</v>
      </c>
      <c r="Q213" s="15">
        <v>11828</v>
      </c>
      <c r="R213" s="15">
        <v>11089</v>
      </c>
      <c r="S213" s="15">
        <v>14372</v>
      </c>
      <c r="T213" s="15">
        <v>9956</v>
      </c>
      <c r="U213" s="15">
        <v>14389</v>
      </c>
      <c r="V213" s="15">
        <v>2707</v>
      </c>
      <c r="W213" s="15">
        <v>8254</v>
      </c>
      <c r="X213" s="15">
        <v>38146</v>
      </c>
      <c r="Y213" s="15">
        <v>27213</v>
      </c>
      <c r="Z213" s="15">
        <v>39250</v>
      </c>
      <c r="AA213" s="15">
        <v>36620</v>
      </c>
      <c r="AB213" s="15">
        <v>34414</v>
      </c>
      <c r="AC213" s="15">
        <v>39546</v>
      </c>
      <c r="AD213" s="15">
        <v>6177</v>
      </c>
      <c r="AE213" s="15">
        <v>15089</v>
      </c>
      <c r="AF213" s="15">
        <v>15062</v>
      </c>
      <c r="AG213" s="15">
        <v>14305</v>
      </c>
      <c r="AH213" s="15">
        <v>16224</v>
      </c>
      <c r="AI213" s="15">
        <v>14650</v>
      </c>
      <c r="AJ213" s="15">
        <v>19738</v>
      </c>
      <c r="AK213" s="15">
        <v>26039</v>
      </c>
      <c r="AL213" s="15">
        <v>22904</v>
      </c>
      <c r="AM213" s="14">
        <v>27077</v>
      </c>
      <c r="AN213" s="14">
        <v>30067</v>
      </c>
      <c r="AO213" s="14">
        <v>26531</v>
      </c>
      <c r="AP213" s="14">
        <v>39091</v>
      </c>
      <c r="AQ213" s="14">
        <v>26822</v>
      </c>
      <c r="AR213" s="14">
        <v>26282</v>
      </c>
      <c r="AS213" s="14">
        <v>33496</v>
      </c>
      <c r="AT213" s="14">
        <v>36722</v>
      </c>
      <c r="AU213" s="14">
        <v>20612</v>
      </c>
      <c r="AV213" s="14">
        <v>35232</v>
      </c>
      <c r="AW213" s="14">
        <v>20208</v>
      </c>
      <c r="AX213" s="14">
        <v>31676</v>
      </c>
      <c r="AY213" s="14">
        <v>33281</v>
      </c>
      <c r="AZ213" s="14">
        <v>36506</v>
      </c>
      <c r="BA213" s="14">
        <v>34968</v>
      </c>
      <c r="BB213" s="14">
        <v>29017</v>
      </c>
      <c r="BC213" s="14">
        <v>41706</v>
      </c>
      <c r="BD213" s="14">
        <v>20850</v>
      </c>
      <c r="BE213" s="14">
        <f>'1.Sep'!$S$2</f>
        <v>38548</v>
      </c>
      <c r="BF213" s="14">
        <f>'2.Sep'!$S$2</f>
        <v>26336</v>
      </c>
      <c r="BG213" s="14">
        <f>'3.Sep'!$S$2</f>
        <v>32261</v>
      </c>
      <c r="BH213" s="15">
        <f>'4.Sep'!$S$2</f>
        <v>32538</v>
      </c>
      <c r="BI213" s="15">
        <f>'5.Sep'!$S$2</f>
        <v>24568</v>
      </c>
      <c r="BJ213" s="15">
        <f>'6.Sep'!$S$2</f>
        <v>27386</v>
      </c>
      <c r="BK213" s="15">
        <f>'7.Sep'!$S$2</f>
        <v>26406</v>
      </c>
      <c r="BL213" s="15">
        <f>'8.Sep'!$S$2</f>
        <v>22221</v>
      </c>
      <c r="BM213" s="15">
        <f>'9.Sep'!$S$2</f>
        <v>22438</v>
      </c>
      <c r="BN213" s="15">
        <f>'10.Sep'!$S$2</f>
        <v>21550</v>
      </c>
      <c r="BO213" s="15">
        <f>'11.Sep'!$S$2</f>
        <v>30424</v>
      </c>
      <c r="BP213" s="14">
        <f>'12.Sep'!$S$2</f>
        <v>27935</v>
      </c>
      <c r="BQ213" s="14">
        <f>'13.Sep'!$S$2</f>
        <v>32131</v>
      </c>
      <c r="BR213" s="14">
        <f>'14.Sep'!$S$2</f>
        <v>33109</v>
      </c>
      <c r="BS213" s="14">
        <f>'15.Sep'!$S$2</f>
        <v>43828</v>
      </c>
      <c r="BT213" s="14">
        <f>'16.Sep'!$S$2</f>
        <v>37033</v>
      </c>
      <c r="BU213" s="14">
        <f>'17.Sep'!$S$2</f>
        <v>56116</v>
      </c>
      <c r="BV213" s="14">
        <f>'18.Sep'!$S$2</f>
        <v>48980</v>
      </c>
      <c r="BW213" s="14">
        <f>'19.Sep'!$S$2</f>
        <v>33458</v>
      </c>
      <c r="BX213" s="14">
        <f>'20.Sep'!$S$2</f>
        <v>16251</v>
      </c>
      <c r="BY213" s="14">
        <f>'21.Sep'!$S$2</f>
        <v>16501</v>
      </c>
      <c r="BZ213" s="14">
        <f>'22.Sep'!$S$2</f>
        <v>12600</v>
      </c>
      <c r="CA213" s="14">
        <f>'23.Sep'!$S$2</f>
        <v>31178</v>
      </c>
      <c r="CB213" s="14">
        <f>'24.Sep'!$S$2</f>
        <v>31089</v>
      </c>
      <c r="CC213" s="14">
        <f>'24.Sep'!$S$2</f>
        <v>31089</v>
      </c>
    </row>
    <row r="214" spans="1:81">
      <c r="A214" s="13" t="s">
        <v>72</v>
      </c>
      <c r="B214" s="14">
        <v>54269</v>
      </c>
      <c r="C214" s="14">
        <v>114582</v>
      </c>
      <c r="D214" s="14">
        <v>185635</v>
      </c>
      <c r="E214" s="14">
        <v>140482</v>
      </c>
      <c r="F214" s="14">
        <v>218307</v>
      </c>
      <c r="G214" s="14">
        <v>212071</v>
      </c>
      <c r="H214" s="14">
        <f>SUM(BB214:BH214)</f>
        <v>220721</v>
      </c>
      <c r="I214" s="14">
        <f>SUM(BI214:BO214)</f>
        <v>174518</v>
      </c>
      <c r="J214" s="14">
        <f>SUM(BP214:BV214)</f>
        <v>278363</v>
      </c>
      <c r="K214" s="14">
        <f>SUM(BW214:CB214)</f>
        <v>140728</v>
      </c>
      <c r="L214" s="14">
        <f>SUM(BX214:CB214)</f>
        <v>107334</v>
      </c>
      <c r="M214" s="15">
        <v>8032</v>
      </c>
      <c r="N214" s="15">
        <v>5910</v>
      </c>
      <c r="O214" s="15">
        <v>7484</v>
      </c>
      <c r="P214" s="15">
        <v>9953</v>
      </c>
      <c r="Q214" s="15">
        <v>11817</v>
      </c>
      <c r="R214" s="15">
        <v>11073</v>
      </c>
      <c r="S214" s="15">
        <v>14351</v>
      </c>
      <c r="T214" s="15">
        <v>9943</v>
      </c>
      <c r="U214" s="15">
        <v>14363</v>
      </c>
      <c r="V214" s="15">
        <v>2703</v>
      </c>
      <c r="W214" s="15">
        <v>8219</v>
      </c>
      <c r="X214" s="15">
        <v>37941</v>
      </c>
      <c r="Y214" s="15">
        <v>27062</v>
      </c>
      <c r="Z214" s="15">
        <v>39132</v>
      </c>
      <c r="AA214" s="15">
        <v>36514</v>
      </c>
      <c r="AB214" s="15">
        <v>34321</v>
      </c>
      <c r="AC214" s="15">
        <v>39432</v>
      </c>
      <c r="AD214" s="15">
        <v>6167</v>
      </c>
      <c r="AE214" s="15">
        <v>15038</v>
      </c>
      <c r="AF214" s="15">
        <v>15031</v>
      </c>
      <c r="AG214" s="15">
        <v>14288</v>
      </c>
      <c r="AH214" s="15">
        <v>16189</v>
      </c>
      <c r="AI214" s="15">
        <v>14619</v>
      </c>
      <c r="AJ214" s="15">
        <v>19671</v>
      </c>
      <c r="AK214" s="15">
        <v>25942</v>
      </c>
      <c r="AL214" s="15">
        <v>22819</v>
      </c>
      <c r="AM214" s="14">
        <v>26954</v>
      </c>
      <c r="AN214" s="14">
        <v>29921</v>
      </c>
      <c r="AO214" s="14">
        <v>26434</v>
      </c>
      <c r="AP214" s="14">
        <v>38977</v>
      </c>
      <c r="AQ214" s="14">
        <v>26733</v>
      </c>
      <c r="AR214" s="14">
        <v>26208</v>
      </c>
      <c r="AS214" s="14">
        <v>33410</v>
      </c>
      <c r="AT214" s="14">
        <v>36624</v>
      </c>
      <c r="AU214" s="14">
        <v>20566</v>
      </c>
      <c r="AV214" s="14">
        <v>35172</v>
      </c>
      <c r="AW214" s="14">
        <v>20169</v>
      </c>
      <c r="AX214" s="14">
        <v>31615</v>
      </c>
      <c r="AY214" s="14">
        <v>33223</v>
      </c>
      <c r="AZ214" s="14">
        <v>36434</v>
      </c>
      <c r="BA214" s="14">
        <v>34892</v>
      </c>
      <c r="BB214" s="14">
        <v>28963</v>
      </c>
      <c r="BC214" s="14">
        <v>41601</v>
      </c>
      <c r="BD214" s="14">
        <v>20796</v>
      </c>
      <c r="BE214" s="14">
        <f>'1.Sep'!$S$3</f>
        <v>38466</v>
      </c>
      <c r="BF214" s="14">
        <f>'2.Sep'!$S$3</f>
        <v>26279</v>
      </c>
      <c r="BG214" s="14">
        <f>'3.Sep'!$S$3</f>
        <v>32186</v>
      </c>
      <c r="BH214" s="15">
        <f>'4.Sep'!$S$3</f>
        <v>32430</v>
      </c>
      <c r="BI214" s="15">
        <f>'5.Sep'!$S$3</f>
        <v>24504</v>
      </c>
      <c r="BJ214" s="15">
        <f>'6.Sep'!$S$3</f>
        <v>27305</v>
      </c>
      <c r="BK214" s="15">
        <f>'7.Sep'!$S$3</f>
        <v>26347</v>
      </c>
      <c r="BL214" s="15">
        <f>'8.Sep'!$S$3</f>
        <v>22167</v>
      </c>
      <c r="BM214" s="15">
        <f>'9.Sep'!$S$3</f>
        <v>22392</v>
      </c>
      <c r="BN214" s="15">
        <f>'10.Sep'!$S$3</f>
        <v>21469</v>
      </c>
      <c r="BO214" s="15">
        <f>'11.Sep'!$S$3</f>
        <v>30334</v>
      </c>
      <c r="BP214" s="14">
        <f>'12.Sep'!$S$3</f>
        <v>27844</v>
      </c>
      <c r="BQ214" s="14">
        <f>'13.Sep'!$S$3</f>
        <v>32033</v>
      </c>
      <c r="BR214" s="14">
        <f>'14.Sep'!$S$3</f>
        <v>33018</v>
      </c>
      <c r="BS214" s="14">
        <f>'15.Sep'!$S$3</f>
        <v>43683</v>
      </c>
      <c r="BT214" s="14">
        <f>'16.Sep'!$S$3</f>
        <v>36930</v>
      </c>
      <c r="BU214" s="14">
        <f>'17.Sep'!$S$3</f>
        <v>55982</v>
      </c>
      <c r="BV214" s="14">
        <f>'18.Sep'!$S$3</f>
        <v>48873</v>
      </c>
      <c r="BW214" s="14">
        <f>'19.Sep'!$S$3</f>
        <v>33394</v>
      </c>
      <c r="BX214" s="14">
        <f>'20.Sep'!$S$3</f>
        <v>16227</v>
      </c>
      <c r="BY214" s="14">
        <f>'21.Sep'!$S$3</f>
        <v>16455</v>
      </c>
      <c r="BZ214" s="14">
        <f>'22.Sep'!$S$3</f>
        <v>12572</v>
      </c>
      <c r="CA214" s="14">
        <f>'23.Sep'!$S$3</f>
        <v>31090</v>
      </c>
      <c r="CB214" s="14">
        <f>'24.Sep'!$S$3</f>
        <v>30990</v>
      </c>
      <c r="CC214" s="14">
        <f>'24.Sep'!$S$3</f>
        <v>30990</v>
      </c>
    </row>
    <row r="215" spans="1:81" ht="19.5">
      <c r="A215" s="1" t="s">
        <v>138</v>
      </c>
      <c r="B215" s="16" t="s">
        <v>1</v>
      </c>
      <c r="C215" s="16" t="s">
        <v>118</v>
      </c>
      <c r="D215" s="16" t="s">
        <v>128</v>
      </c>
      <c r="E215" s="16" t="s">
        <v>144</v>
      </c>
      <c r="F215" s="16" t="s">
        <v>151</v>
      </c>
      <c r="G215" s="16" t="s">
        <v>162</v>
      </c>
      <c r="H215" s="16" t="s">
        <v>163</v>
      </c>
      <c r="I215" s="16" t="s">
        <v>168</v>
      </c>
      <c r="J215" s="16" t="s">
        <v>173</v>
      </c>
      <c r="K215" s="16" t="s">
        <v>178</v>
      </c>
      <c r="L215" s="16" t="s">
        <v>178</v>
      </c>
      <c r="M215" s="18">
        <v>44761</v>
      </c>
      <c r="N215" s="18">
        <v>44762</v>
      </c>
      <c r="O215" s="18">
        <v>44763</v>
      </c>
      <c r="P215" s="18">
        <v>44764</v>
      </c>
      <c r="Q215" s="17">
        <v>44765</v>
      </c>
      <c r="R215" s="17">
        <v>44766</v>
      </c>
      <c r="S215" s="17">
        <v>44767</v>
      </c>
      <c r="T215" s="17">
        <v>44768</v>
      </c>
      <c r="U215" s="17">
        <v>44769</v>
      </c>
      <c r="V215" s="17">
        <v>44770</v>
      </c>
      <c r="W215" s="17">
        <v>44771</v>
      </c>
      <c r="X215" s="17">
        <v>44772</v>
      </c>
      <c r="Y215" s="17">
        <v>44773</v>
      </c>
      <c r="Z215" s="17">
        <v>44774</v>
      </c>
      <c r="AA215" s="17">
        <v>44775</v>
      </c>
      <c r="AB215" s="17">
        <v>44776</v>
      </c>
      <c r="AC215" s="17">
        <v>44777</v>
      </c>
      <c r="AD215" s="17">
        <v>44778</v>
      </c>
      <c r="AE215" s="17">
        <v>44779</v>
      </c>
      <c r="AF215" s="18">
        <v>44780</v>
      </c>
      <c r="AG215" s="18">
        <v>44781</v>
      </c>
      <c r="AH215" s="18">
        <v>44782</v>
      </c>
      <c r="AI215" s="18">
        <v>44783</v>
      </c>
      <c r="AJ215" s="18">
        <v>44784</v>
      </c>
      <c r="AK215" s="18">
        <v>44785</v>
      </c>
      <c r="AL215" s="18">
        <v>44786</v>
      </c>
      <c r="AM215" s="17">
        <v>44787</v>
      </c>
      <c r="AN215" s="17">
        <v>44788</v>
      </c>
      <c r="AO215" s="17">
        <v>44789</v>
      </c>
      <c r="AP215" s="17">
        <v>44790</v>
      </c>
      <c r="AQ215" s="17">
        <v>44791</v>
      </c>
      <c r="AR215" s="17">
        <v>44792</v>
      </c>
      <c r="AS215" s="17">
        <v>44793</v>
      </c>
      <c r="AT215" s="17">
        <v>44794</v>
      </c>
      <c r="AU215" s="17">
        <v>44795</v>
      </c>
      <c r="AV215" s="17">
        <v>44796</v>
      </c>
      <c r="AW215" s="17">
        <v>44797</v>
      </c>
      <c r="AX215" s="17">
        <v>44798</v>
      </c>
      <c r="AY215" s="17">
        <v>44799</v>
      </c>
      <c r="AZ215" s="17">
        <v>44800</v>
      </c>
      <c r="BA215" s="17">
        <v>44801</v>
      </c>
      <c r="BB215" s="17">
        <v>44802</v>
      </c>
      <c r="BC215" s="17">
        <v>44803</v>
      </c>
      <c r="BD215" s="17">
        <v>44804</v>
      </c>
      <c r="BE215" s="17">
        <v>44805</v>
      </c>
      <c r="BF215" s="17">
        <v>44806</v>
      </c>
      <c r="BG215" s="17">
        <v>44807</v>
      </c>
      <c r="BH215" s="18">
        <v>44808</v>
      </c>
      <c r="BI215" s="18">
        <v>44809</v>
      </c>
      <c r="BJ215" s="18">
        <v>44810</v>
      </c>
      <c r="BK215" s="18">
        <v>44811</v>
      </c>
      <c r="BL215" s="18">
        <v>44812</v>
      </c>
      <c r="BM215" s="18">
        <v>44813</v>
      </c>
      <c r="BN215" s="18">
        <v>44814</v>
      </c>
      <c r="BO215" s="18">
        <v>44815</v>
      </c>
      <c r="BP215" s="17">
        <v>44816</v>
      </c>
      <c r="BQ215" s="17">
        <v>44817</v>
      </c>
      <c r="BR215" s="17">
        <v>44818</v>
      </c>
      <c r="BS215" s="17">
        <v>44819</v>
      </c>
      <c r="BT215" s="17">
        <v>44820</v>
      </c>
      <c r="BU215" s="17">
        <v>44821</v>
      </c>
      <c r="BV215" s="17">
        <v>44822</v>
      </c>
      <c r="BW215" s="17">
        <v>44823</v>
      </c>
      <c r="BX215" s="17">
        <v>44824</v>
      </c>
      <c r="BY215" s="17">
        <v>44825</v>
      </c>
      <c r="BZ215" s="17">
        <v>44826</v>
      </c>
      <c r="CA215" s="17">
        <v>44827</v>
      </c>
      <c r="CB215" s="17">
        <v>44828</v>
      </c>
      <c r="CC215" s="17">
        <v>44828</v>
      </c>
    </row>
    <row r="216" spans="1:81">
      <c r="A216" s="6" t="s">
        <v>2</v>
      </c>
      <c r="B216" s="7">
        <v>0</v>
      </c>
      <c r="C216" s="7">
        <v>0</v>
      </c>
      <c r="D216" s="7">
        <v>7.1428571428571434E-5</v>
      </c>
      <c r="E216" s="7">
        <v>3.8571428571428573E-4</v>
      </c>
      <c r="F216" s="7">
        <v>2.4285714285714283E-4</v>
      </c>
      <c r="G216" s="7">
        <v>3.5714285714285714E-4</v>
      </c>
      <c r="H216" s="7">
        <f>AVERAGE(BB216:BH216)</f>
        <v>2.9999999999999997E-4</v>
      </c>
      <c r="I216" s="7">
        <f>AVERAGE(BI216:BO216)</f>
        <v>2.2857142857142854E-4</v>
      </c>
      <c r="J216" s="7">
        <f>AVERAGE(BP216:BV216)</f>
        <v>2.7142857142857144E-4</v>
      </c>
      <c r="K216" s="7">
        <f t="shared" ref="K216:K222" si="60">AVERAGE(BW216:CB216)</f>
        <v>2.6666666666666663E-4</v>
      </c>
      <c r="L216" s="7">
        <f t="shared" ref="L216:L222" si="61">AVERAGE(BX216:CB216)</f>
        <v>2.5999999999999998E-4</v>
      </c>
      <c r="M216" s="8">
        <v>0</v>
      </c>
      <c r="N216" s="8">
        <v>0</v>
      </c>
      <c r="O216" s="8">
        <v>0</v>
      </c>
      <c r="P216" s="8">
        <v>0</v>
      </c>
      <c r="Q216" s="8">
        <v>0</v>
      </c>
      <c r="R216" s="8">
        <v>0</v>
      </c>
      <c r="S216" s="8">
        <v>0</v>
      </c>
      <c r="T216" s="8">
        <v>0</v>
      </c>
      <c r="U216" s="8">
        <v>0</v>
      </c>
      <c r="V216" s="8">
        <v>0</v>
      </c>
      <c r="W216" s="8">
        <v>0</v>
      </c>
      <c r="X216" s="8">
        <v>0</v>
      </c>
      <c r="Y216" s="8">
        <v>0</v>
      </c>
      <c r="Z216" s="8">
        <v>0</v>
      </c>
      <c r="AA216" s="8">
        <v>0</v>
      </c>
      <c r="AB216" s="8">
        <v>0</v>
      </c>
      <c r="AC216" s="8">
        <v>0</v>
      </c>
      <c r="AD216" s="8">
        <v>0</v>
      </c>
      <c r="AE216" s="8">
        <v>1E-4</v>
      </c>
      <c r="AF216" s="8">
        <v>4.0000000000000002E-4</v>
      </c>
      <c r="AG216" s="8">
        <v>6.9999999999999999E-4</v>
      </c>
      <c r="AH216" s="8">
        <v>5.0000000000000001E-4</v>
      </c>
      <c r="AI216" s="8">
        <v>2.0000000000000001E-4</v>
      </c>
      <c r="AJ216" s="8">
        <v>2.9999999999999997E-4</v>
      </c>
      <c r="AK216" s="8">
        <v>4.0000000000000002E-4</v>
      </c>
      <c r="AL216" s="8">
        <v>2.9999999999999997E-4</v>
      </c>
      <c r="AM216" s="7">
        <v>2.9999999999999997E-4</v>
      </c>
      <c r="AN216" s="7">
        <v>1E-4</v>
      </c>
      <c r="AO216" s="7">
        <v>2.9999999999999997E-4</v>
      </c>
      <c r="AP216" s="7">
        <v>2.9999999999999997E-4</v>
      </c>
      <c r="AQ216" s="7">
        <v>2.0000000000000001E-4</v>
      </c>
      <c r="AR216" s="7">
        <v>2.9999999999999997E-4</v>
      </c>
      <c r="AS216" s="7">
        <v>2.9999999999999997E-4</v>
      </c>
      <c r="AT216" s="7">
        <v>2.0000000000000001E-4</v>
      </c>
      <c r="AU216" s="7">
        <v>2.9999999999999997E-4</v>
      </c>
      <c r="AV216" s="7">
        <v>4.0000000000000002E-4</v>
      </c>
      <c r="AW216" s="7">
        <v>2.9999999999999997E-4</v>
      </c>
      <c r="AX216" s="7">
        <v>4.0000000000000002E-4</v>
      </c>
      <c r="AY216" s="7">
        <v>5.0000000000000001E-4</v>
      </c>
      <c r="AZ216" s="7">
        <v>4.0000000000000002E-4</v>
      </c>
      <c r="BA216" s="7">
        <v>2.0000000000000001E-4</v>
      </c>
      <c r="BB216" s="7">
        <v>2.9999999999999997E-4</v>
      </c>
      <c r="BC216" s="7">
        <v>2.9999999999999997E-4</v>
      </c>
      <c r="BD216" s="7">
        <v>2.0000000000000001E-4</v>
      </c>
      <c r="BE216" s="7">
        <f>VLOOKUP($A216,'1.Sep'!$U$8:$W$1048576,3,0)</f>
        <v>2.0000000000000001E-4</v>
      </c>
      <c r="BF216" s="7">
        <f>VLOOKUP($A216,'2.Sep'!$U$8:$W$1048576,3,0)</f>
        <v>2.9999999999999997E-4</v>
      </c>
      <c r="BG216" s="7">
        <f>VLOOKUP($A216,'3.Sep'!$U$8:$W$1048576,3,0)</f>
        <v>4.0000000000000002E-4</v>
      </c>
      <c r="BH216" s="8">
        <f>VLOOKUP($A216,'4.Sep'!$U$8:$W$1048576,3,0)</f>
        <v>4.0000000000000002E-4</v>
      </c>
      <c r="BI216" s="8">
        <f>VLOOKUP($A216,'5.Sep'!$U$8:$W$1048576,3,0)</f>
        <v>1E-4</v>
      </c>
      <c r="BJ216" s="8">
        <f>VLOOKUP($A216,'6.Sep'!$U$8:$W$1048576,3,0)</f>
        <v>2.9999999999999997E-4</v>
      </c>
      <c r="BK216" s="8">
        <f>VLOOKUP($A216,'7.Sep'!$U$8:$W$1048576,3,0)</f>
        <v>2.9999999999999997E-4</v>
      </c>
      <c r="BL216" s="8">
        <f>VLOOKUP($A216,'8.Sep'!$U$8:$W$1048576,3,0)</f>
        <v>2.9999999999999997E-4</v>
      </c>
      <c r="BM216" s="8">
        <f>VLOOKUP($A216,'9.Sep'!$U$8:$W$1048576,3,0)</f>
        <v>1E-4</v>
      </c>
      <c r="BN216" s="8">
        <f>VLOOKUP($A216,'10.Sep'!$U$8:$W$1048576,3,0)</f>
        <v>2.9999999999999997E-4</v>
      </c>
      <c r="BO216" s="8">
        <f>VLOOKUP($A216,'11.Sep'!$U$8:$W$1048576,3,0)</f>
        <v>2.0000000000000001E-4</v>
      </c>
      <c r="BP216" s="7">
        <f>VLOOKUP($A216,'12.Sep'!$U$8:$W$1048576,3,0)</f>
        <v>2.9999999999999997E-4</v>
      </c>
      <c r="BQ216" s="7">
        <f>VLOOKUP($A216,'13.Sep'!$U$8:$W$1048576,3,0)</f>
        <v>2.0000000000000001E-4</v>
      </c>
      <c r="BR216" s="7">
        <f>VLOOKUP($A216,'14.Sep'!$U$8:$W$1048576,3,0)</f>
        <v>4.0000000000000002E-4</v>
      </c>
      <c r="BS216" s="7">
        <f>VLOOKUP($A216,'15.Sep'!$U$8:$W$1048576,3,0)</f>
        <v>2.9999999999999997E-4</v>
      </c>
      <c r="BT216" s="7">
        <f>VLOOKUP($A216,'16.Sep'!$U$8:$W$1048576,3,0)</f>
        <v>2.9999999999999997E-4</v>
      </c>
      <c r="BU216" s="7">
        <f>VLOOKUP($A216,'17.Sep'!$U$8:$W$1048576,3,0)</f>
        <v>2.0000000000000001E-4</v>
      </c>
      <c r="BV216" s="7">
        <f>VLOOKUP($A216,'18.Sep'!$U$8:$W$1048576,3,0)</f>
        <v>2.0000000000000001E-4</v>
      </c>
      <c r="BW216" s="7">
        <f>VLOOKUP($A216,'19.Sep'!$U$8:$W$1048576,3,0)</f>
        <v>2.9999999999999997E-4</v>
      </c>
      <c r="BX216" s="7">
        <f>VLOOKUP($A216,'20.Sep'!$U$8:$W$1048576,3,0)</f>
        <v>1E-4</v>
      </c>
      <c r="BY216" s="7">
        <f>VLOOKUP($A216,'21.Sep'!$U$8:$W$1048576,3,0)</f>
        <v>2.9999999999999997E-4</v>
      </c>
      <c r="BZ216" s="7">
        <f>VLOOKUP($A216,'22.Sep'!$U$8:$W$1048576,3,0)</f>
        <v>4.0000000000000002E-4</v>
      </c>
      <c r="CA216" s="7">
        <f>VLOOKUP($A216,'23.Sep'!$U$8:$W$1048576,3,0)</f>
        <v>2.0000000000000001E-4</v>
      </c>
      <c r="CB216" s="7">
        <f>VLOOKUP($A216,'24.Sep'!$U$8:$W$1048576,3,0)</f>
        <v>2.9999999999999997E-4</v>
      </c>
      <c r="CC216" s="7">
        <f>VLOOKUP($A216,'24.Sep'!$U$8:$W$1048576,3,0)</f>
        <v>2.9999999999999997E-4</v>
      </c>
    </row>
    <row r="217" spans="1:81">
      <c r="A217" s="6" t="s">
        <v>98</v>
      </c>
      <c r="B217" s="7">
        <v>0</v>
      </c>
      <c r="C217" s="7">
        <v>0</v>
      </c>
      <c r="D217" s="7">
        <v>1.4285714285714287E-4</v>
      </c>
      <c r="E217" s="7">
        <v>2.0000000000000004E-4</v>
      </c>
      <c r="F217" s="7">
        <v>2.0000000000000001E-4</v>
      </c>
      <c r="G217" s="7">
        <v>2.0000000000000004E-4</v>
      </c>
      <c r="H217" s="7">
        <f t="shared" ref="H217:H222" si="62">AVERAGE(BB217:BH217)</f>
        <v>1.7142857142857145E-4</v>
      </c>
      <c r="I217" s="7">
        <f t="shared" ref="I217:I222" si="63">AVERAGE(BI217:BO217)</f>
        <v>2.2857142857142862E-4</v>
      </c>
      <c r="J217" s="7">
        <f t="shared" ref="J217:J222" si="64">AVERAGE(BP217:BV217)</f>
        <v>2.142857142857143E-4</v>
      </c>
      <c r="K217" s="7">
        <f t="shared" si="60"/>
        <v>1.6666666666666666E-4</v>
      </c>
      <c r="L217" s="7">
        <f t="shared" si="61"/>
        <v>1.7999999999999998E-4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  <c r="T217" s="8">
        <v>0</v>
      </c>
      <c r="U217" s="8">
        <v>0</v>
      </c>
      <c r="V217" s="8">
        <v>0</v>
      </c>
      <c r="W217" s="8">
        <v>0</v>
      </c>
      <c r="X217" s="8">
        <v>0</v>
      </c>
      <c r="Y217" s="8">
        <v>0</v>
      </c>
      <c r="Z217" s="8">
        <v>0</v>
      </c>
      <c r="AA217" s="8">
        <v>0</v>
      </c>
      <c r="AB217" s="8">
        <v>0</v>
      </c>
      <c r="AC217" s="8">
        <v>0</v>
      </c>
      <c r="AD217" s="8">
        <v>0</v>
      </c>
      <c r="AE217" s="8">
        <v>2.0000000000000001E-4</v>
      </c>
      <c r="AF217" s="8">
        <v>8.0000000000000004E-4</v>
      </c>
      <c r="AG217" s="8">
        <v>1E-4</v>
      </c>
      <c r="AH217" s="8">
        <v>2.0000000000000001E-4</v>
      </c>
      <c r="AI217" s="8">
        <v>0</v>
      </c>
      <c r="AJ217" s="8">
        <v>1E-4</v>
      </c>
      <c r="AK217" s="8">
        <v>6.9999999999999999E-4</v>
      </c>
      <c r="AL217" s="8">
        <v>2.0000000000000001E-4</v>
      </c>
      <c r="AM217" s="7">
        <v>1E-4</v>
      </c>
      <c r="AN217" s="7">
        <v>1E-4</v>
      </c>
      <c r="AO217" s="7">
        <v>2.0000000000000001E-4</v>
      </c>
      <c r="AP217" s="7">
        <v>2.0000000000000001E-4</v>
      </c>
      <c r="AQ217" s="7">
        <v>2.0000000000000001E-4</v>
      </c>
      <c r="AR217" s="7">
        <v>2.0000000000000001E-4</v>
      </c>
      <c r="AS217" s="7">
        <v>4.0000000000000002E-4</v>
      </c>
      <c r="AT217" s="7">
        <v>1E-4</v>
      </c>
      <c r="AU217" s="7">
        <v>2.0000000000000001E-4</v>
      </c>
      <c r="AV217" s="7">
        <v>2.9999999999999997E-4</v>
      </c>
      <c r="AW217" s="7">
        <v>2.0000000000000001E-4</v>
      </c>
      <c r="AX217" s="7">
        <v>2.0000000000000001E-4</v>
      </c>
      <c r="AY217" s="7">
        <v>2.0000000000000001E-4</v>
      </c>
      <c r="AZ217" s="7">
        <v>1E-4</v>
      </c>
      <c r="BA217" s="7">
        <v>2.0000000000000001E-4</v>
      </c>
      <c r="BB217" s="7">
        <v>2.0000000000000001E-4</v>
      </c>
      <c r="BC217" s="7">
        <v>1E-4</v>
      </c>
      <c r="BD217" s="7">
        <v>2.0000000000000001E-4</v>
      </c>
      <c r="BE217" s="7">
        <f>VLOOKUP($A217,'1.Sep'!$U$8:$W$1048576,3,0)</f>
        <v>2.0000000000000001E-4</v>
      </c>
      <c r="BF217" s="7">
        <f>VLOOKUP($A217,'2.Sep'!$U$8:$W$1048576,3,0)</f>
        <v>2.9999999999999997E-4</v>
      </c>
      <c r="BG217" s="7">
        <f>VLOOKUP($A217,'3.Sep'!$U$8:$W$1048576,3,0)</f>
        <v>1E-4</v>
      </c>
      <c r="BH217" s="8">
        <f>VLOOKUP($A217,'4.Sep'!$U$8:$W$1048576,3,0)</f>
        <v>1E-4</v>
      </c>
      <c r="BI217" s="8">
        <f>VLOOKUP($A217,'5.Sep'!$U$8:$W$1048576,3,0)</f>
        <v>4.0000000000000002E-4</v>
      </c>
      <c r="BJ217" s="8">
        <f>VLOOKUP($A217,'6.Sep'!$U$8:$W$1048576,3,0)</f>
        <v>5.0000000000000001E-4</v>
      </c>
      <c r="BK217" s="8">
        <v>0</v>
      </c>
      <c r="BL217" s="8">
        <f>VLOOKUP($A217,'8.Sep'!$U$8:$W$1048576,3,0)</f>
        <v>2.0000000000000001E-4</v>
      </c>
      <c r="BM217" s="8">
        <f>VLOOKUP($A217,'9.Sep'!$U$8:$W$1048576,3,0)</f>
        <v>2.0000000000000001E-4</v>
      </c>
      <c r="BN217" s="8">
        <f>VLOOKUP($A217,'10.Sep'!$U$8:$W$1048576,3,0)</f>
        <v>1E-4</v>
      </c>
      <c r="BO217" s="8">
        <f>VLOOKUP($A217,'11.Sep'!$U$8:$W$1048576,3,0)</f>
        <v>2.0000000000000001E-4</v>
      </c>
      <c r="BP217" s="7">
        <f>VLOOKUP($A217,'12.Sep'!$U$8:$W$1048576,3,0)</f>
        <v>2.0000000000000001E-4</v>
      </c>
      <c r="BQ217" s="7">
        <f>VLOOKUP($A217,'13.Sep'!$U$8:$W$1048576,3,0)</f>
        <v>2.0000000000000001E-4</v>
      </c>
      <c r="BR217" s="7">
        <f>VLOOKUP($A217,'14.Sep'!$U$8:$W$1048576,3,0)</f>
        <v>2.0000000000000001E-4</v>
      </c>
      <c r="BS217" s="7">
        <f>VLOOKUP($A217,'15.Sep'!$U$8:$W$1048576,3,0)</f>
        <v>2.0000000000000001E-4</v>
      </c>
      <c r="BT217" s="7">
        <f>VLOOKUP($A217,'16.Sep'!$U$8:$W$1048576,3,0)</f>
        <v>2.0000000000000001E-4</v>
      </c>
      <c r="BU217" s="7">
        <f>VLOOKUP($A217,'17.Sep'!$U$8:$W$1048576,3,0)</f>
        <v>2.9999999999999997E-4</v>
      </c>
      <c r="BV217" s="7">
        <f>VLOOKUP($A217,'18.Sep'!$U$8:$W$1048576,3,0)</f>
        <v>2.0000000000000001E-4</v>
      </c>
      <c r="BW217" s="7">
        <f>VLOOKUP($A217,'19.Sep'!$U$8:$W$1048576,3,0)</f>
        <v>1E-4</v>
      </c>
      <c r="BX217" s="7">
        <f>VLOOKUP($A217,'20.Sep'!$U$8:$W$1048576,3,0)</f>
        <v>2.0000000000000001E-4</v>
      </c>
      <c r="BY217" s="7">
        <f>VLOOKUP($A217,'21.Sep'!$U$8:$W$1048576,3,0)</f>
        <v>2.0000000000000001E-4</v>
      </c>
      <c r="BZ217" s="7">
        <f>VLOOKUP($A217,'22.Sep'!$U$8:$W$1048576,3,0)</f>
        <v>1E-4</v>
      </c>
      <c r="CA217" s="7">
        <f>VLOOKUP($A217,'23.Sep'!$U$8:$W$1048576,3,0)</f>
        <v>1E-4</v>
      </c>
      <c r="CB217" s="7">
        <f>VLOOKUP($A217,'24.Sep'!$U$8:$W$1048576,3,0)</f>
        <v>2.9999999999999997E-4</v>
      </c>
      <c r="CC217" s="7">
        <f>VLOOKUP($A217,'24.Sep'!$U$8:$W$1048576,3,0)</f>
        <v>2.9999999999999997E-4</v>
      </c>
    </row>
    <row r="218" spans="1:81">
      <c r="A218" s="6" t="s">
        <v>99</v>
      </c>
      <c r="B218" s="7">
        <v>0</v>
      </c>
      <c r="C218" s="7">
        <v>0</v>
      </c>
      <c r="D218" s="7">
        <v>1.1428571428571427E-4</v>
      </c>
      <c r="E218" s="7">
        <v>2.1428571428571433E-4</v>
      </c>
      <c r="F218" s="7">
        <v>1.8571428571428574E-4</v>
      </c>
      <c r="G218" s="7">
        <v>2.0000000000000004E-4</v>
      </c>
      <c r="H218" s="7">
        <f t="shared" si="62"/>
        <v>2.1428571428571433E-4</v>
      </c>
      <c r="I218" s="7">
        <f t="shared" si="63"/>
        <v>1.1428571428571427E-4</v>
      </c>
      <c r="J218" s="7">
        <f t="shared" si="64"/>
        <v>1.285714285714286E-4</v>
      </c>
      <c r="K218" s="7">
        <f t="shared" si="60"/>
        <v>1E-4</v>
      </c>
      <c r="L218" s="7">
        <f t="shared" si="61"/>
        <v>7.9999999999999993E-5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8">
        <v>0</v>
      </c>
      <c r="V218" s="8">
        <v>0</v>
      </c>
      <c r="W218" s="8">
        <v>0</v>
      </c>
      <c r="X218" s="8">
        <v>0</v>
      </c>
      <c r="Y218" s="8">
        <v>0</v>
      </c>
      <c r="Z218" s="8">
        <v>0</v>
      </c>
      <c r="AA218" s="8">
        <v>0</v>
      </c>
      <c r="AB218" s="8">
        <v>0</v>
      </c>
      <c r="AC218" s="8">
        <v>0</v>
      </c>
      <c r="AD218" s="8">
        <v>1E-4</v>
      </c>
      <c r="AE218" s="8">
        <v>2.9999999999999997E-4</v>
      </c>
      <c r="AF218" s="8">
        <v>4.0000000000000002E-4</v>
      </c>
      <c r="AG218" s="8">
        <v>2.0000000000000001E-4</v>
      </c>
      <c r="AH218" s="8">
        <v>4.0000000000000002E-4</v>
      </c>
      <c r="AI218" s="8">
        <v>4.0000000000000002E-4</v>
      </c>
      <c r="AJ218" s="8">
        <v>2.0000000000000001E-4</v>
      </c>
      <c r="AK218" s="8">
        <v>2.0000000000000001E-4</v>
      </c>
      <c r="AL218" s="8">
        <v>0</v>
      </c>
      <c r="AM218" s="7">
        <v>1E-4</v>
      </c>
      <c r="AN218" s="7">
        <v>1E-4</v>
      </c>
      <c r="AO218" s="7">
        <v>2.9999999999999997E-4</v>
      </c>
      <c r="AP218" s="7">
        <v>2.0000000000000001E-4</v>
      </c>
      <c r="AQ218" s="7">
        <v>1E-4</v>
      </c>
      <c r="AR218" s="7">
        <v>2.9999999999999997E-4</v>
      </c>
      <c r="AS218" s="7">
        <v>2.0000000000000001E-4</v>
      </c>
      <c r="AT218" s="7">
        <v>1E-4</v>
      </c>
      <c r="AU218" s="7">
        <v>2.9999999999999997E-4</v>
      </c>
      <c r="AV218" s="7">
        <v>2.9999999999999997E-4</v>
      </c>
      <c r="AW218" s="7">
        <v>1E-4</v>
      </c>
      <c r="AX218" s="7">
        <v>2.0000000000000001E-4</v>
      </c>
      <c r="AY218" s="7">
        <v>2.0000000000000001E-4</v>
      </c>
      <c r="AZ218" s="7">
        <v>1E-4</v>
      </c>
      <c r="BA218" s="7">
        <v>2.0000000000000001E-4</v>
      </c>
      <c r="BB218" s="7">
        <v>4.0000000000000002E-4</v>
      </c>
      <c r="BC218" s="7">
        <v>1E-4</v>
      </c>
      <c r="BD218" s="7">
        <v>2.9999999999999997E-4</v>
      </c>
      <c r="BE218" s="7">
        <f>VLOOKUP($A218,'1.Sep'!$U$8:$W$1048576,3,0)</f>
        <v>2.0000000000000001E-4</v>
      </c>
      <c r="BF218" s="7">
        <f>VLOOKUP($A218,'2.Sep'!$U$8:$W$1048576,3,0)</f>
        <v>1E-4</v>
      </c>
      <c r="BG218" s="7">
        <f>VLOOKUP($A218,'3.Sep'!$U$8:$W$1048576,3,0)</f>
        <v>2.0000000000000001E-4</v>
      </c>
      <c r="BH218" s="8">
        <f>VLOOKUP($A218,'4.Sep'!$U$8:$W$1048576,3,0)</f>
        <v>2.0000000000000001E-4</v>
      </c>
      <c r="BI218" s="8">
        <f>VLOOKUP($A218,'5.Sep'!$U$8:$W$1048576,3,0)</f>
        <v>1E-4</v>
      </c>
      <c r="BJ218" s="8">
        <f>VLOOKUP($A218,'6.Sep'!$U$8:$W$1048576,3,0)</f>
        <v>2.0000000000000001E-4</v>
      </c>
      <c r="BK218" s="8">
        <f>VLOOKUP($A218,'7.Sep'!$U$8:$W$1048576,3,0)</f>
        <v>1E-4</v>
      </c>
      <c r="BL218" s="8">
        <f>VLOOKUP($A218,'8.Sep'!$U$8:$W$1048576,3,0)</f>
        <v>0</v>
      </c>
      <c r="BM218" s="8">
        <f>VLOOKUP($A218,'9.Sep'!$U$8:$W$1048576,3,0)</f>
        <v>0</v>
      </c>
      <c r="BN218" s="8">
        <f>VLOOKUP($A218,'10.Sep'!$U$8:$W$1048576,3,0)</f>
        <v>1E-4</v>
      </c>
      <c r="BO218" s="8">
        <f>VLOOKUP($A218,'11.Sep'!$U$8:$W$1048576,3,0)</f>
        <v>2.9999999999999997E-4</v>
      </c>
      <c r="BP218" s="7">
        <f>VLOOKUP($A218,'12.Sep'!$U$8:$W$1048576,3,0)</f>
        <v>2.0000000000000001E-4</v>
      </c>
      <c r="BQ218" s="7">
        <f>VLOOKUP($A218,'13.Sep'!$U$8:$W$1048576,3,0)</f>
        <v>2.0000000000000001E-4</v>
      </c>
      <c r="BR218" s="7">
        <f>VLOOKUP($A218,'14.Sep'!$U$8:$W$1048576,3,0)</f>
        <v>1E-4</v>
      </c>
      <c r="BS218" s="7">
        <f>VLOOKUP($A218,'15.Sep'!$U$8:$W$1048576,3,0)</f>
        <v>1E-4</v>
      </c>
      <c r="BT218" s="7">
        <f>VLOOKUP($A218,'16.Sep'!$U$8:$W$1048576,3,0)</f>
        <v>1E-4</v>
      </c>
      <c r="BU218" s="7">
        <f>VLOOKUP($A218,'17.Sep'!$U$8:$W$1048576,3,0)</f>
        <v>1E-4</v>
      </c>
      <c r="BV218" s="7">
        <f>VLOOKUP($A218,'18.Sep'!$U$8:$W$1048576,3,0)</f>
        <v>1E-4</v>
      </c>
      <c r="BW218" s="7">
        <f>VLOOKUP($A218,'19.Sep'!$U$8:$W$1048576,3,0)</f>
        <v>2.0000000000000001E-4</v>
      </c>
      <c r="BX218" s="7">
        <f>VLOOKUP($A218,'20.Sep'!$U$8:$W$1048576,3,0)</f>
        <v>1E-4</v>
      </c>
      <c r="BY218" s="7">
        <f>VLOOKUP($A218,'21.Sep'!$U$8:$W$1048576,3,0)</f>
        <v>2.9999999999999997E-4</v>
      </c>
      <c r="BZ218" s="7">
        <v>0</v>
      </c>
      <c r="CA218" s="7">
        <v>0</v>
      </c>
      <c r="CB218" s="7">
        <f>VLOOKUP($A218,'24.Sep'!$U$8:$W$1048576,3,0)</f>
        <v>0</v>
      </c>
      <c r="CC218" s="7">
        <f>VLOOKUP($A218,'24.Sep'!$U$8:$W$1048576,3,0)</f>
        <v>0</v>
      </c>
    </row>
    <row r="219" spans="1:81">
      <c r="A219" s="6" t="s">
        <v>100</v>
      </c>
      <c r="B219" s="7">
        <v>0</v>
      </c>
      <c r="C219" s="7">
        <v>0</v>
      </c>
      <c r="D219" s="7">
        <v>2.8571428571428574E-5</v>
      </c>
      <c r="E219" s="7">
        <v>1.4285714285714287E-5</v>
      </c>
      <c r="F219" s="7">
        <v>0</v>
      </c>
      <c r="G219" s="7">
        <v>2.8571428571428574E-5</v>
      </c>
      <c r="H219" s="7">
        <f t="shared" si="62"/>
        <v>0</v>
      </c>
      <c r="I219" s="7">
        <f t="shared" si="63"/>
        <v>0</v>
      </c>
      <c r="J219" s="7">
        <f t="shared" si="64"/>
        <v>0</v>
      </c>
      <c r="K219" s="7">
        <f t="shared" si="60"/>
        <v>5.0000000000000002E-5</v>
      </c>
      <c r="L219" s="7">
        <f t="shared" si="61"/>
        <v>6.0000000000000008E-5</v>
      </c>
      <c r="M219" s="8">
        <v>0</v>
      </c>
      <c r="N219" s="8">
        <v>0</v>
      </c>
      <c r="O219" s="8">
        <v>0</v>
      </c>
      <c r="P219" s="8">
        <v>0</v>
      </c>
      <c r="Q219" s="8">
        <v>0</v>
      </c>
      <c r="R219" s="8">
        <v>0</v>
      </c>
      <c r="S219" s="8">
        <v>0</v>
      </c>
      <c r="T219" s="8">
        <v>0</v>
      </c>
      <c r="U219" s="8">
        <v>0</v>
      </c>
      <c r="V219" s="8">
        <v>0</v>
      </c>
      <c r="W219" s="8">
        <v>0</v>
      </c>
      <c r="X219" s="8">
        <v>0</v>
      </c>
      <c r="Y219" s="8">
        <v>0</v>
      </c>
      <c r="Z219" s="8">
        <v>0</v>
      </c>
      <c r="AA219" s="8">
        <v>0</v>
      </c>
      <c r="AB219" s="8">
        <v>0</v>
      </c>
      <c r="AC219" s="8">
        <v>0</v>
      </c>
      <c r="AD219" s="8">
        <v>0</v>
      </c>
      <c r="AE219" s="8">
        <v>1E-4</v>
      </c>
      <c r="AF219" s="8">
        <v>1E-4</v>
      </c>
      <c r="AG219" s="8">
        <v>0</v>
      </c>
      <c r="AH219" s="8">
        <v>1E-4</v>
      </c>
      <c r="AI219" s="8">
        <v>0</v>
      </c>
      <c r="AJ219" s="8">
        <v>0</v>
      </c>
      <c r="AK219" s="8">
        <v>0</v>
      </c>
      <c r="AL219" s="8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1E-4</v>
      </c>
      <c r="AV219" s="7">
        <v>0</v>
      </c>
      <c r="AW219" s="7">
        <v>1E-4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 s="7">
        <v>0</v>
      </c>
      <c r="BE219" s="7">
        <f>VLOOKUP($A219,'1.Sep'!$U$8:$W$1048576,3,0)</f>
        <v>0</v>
      </c>
      <c r="BF219" s="8">
        <v>0</v>
      </c>
      <c r="BG219" s="7">
        <f>VLOOKUP($A219,'3.Sep'!$U$8:$W$1048576,3,0)</f>
        <v>0</v>
      </c>
      <c r="BH219" s="8">
        <f>VLOOKUP($A219,'4.Sep'!$U$8:$W$1048576,3,0)</f>
        <v>0</v>
      </c>
      <c r="BI219" s="8">
        <f>VLOOKUP($A219,'5.Sep'!$U$8:$W$1048576,3,0)</f>
        <v>0</v>
      </c>
      <c r="BJ219" s="8">
        <f>VLOOKUP($A219,'6.Sep'!$U$8:$W$1048576,3,0)</f>
        <v>0</v>
      </c>
      <c r="BK219" s="8">
        <f>VLOOKUP($A219,'7.Sep'!$U$8:$W$1048576,3,0)</f>
        <v>0</v>
      </c>
      <c r="BL219" s="8">
        <f>VLOOKUP($A219,'8.Sep'!$U$8:$W$1048576,3,0)</f>
        <v>0</v>
      </c>
      <c r="BM219" s="8">
        <f>VLOOKUP($A219,'9.Sep'!$U$8:$W$1048576,3,0)</f>
        <v>0</v>
      </c>
      <c r="BN219" s="8">
        <f>VLOOKUP($A219,'10.Sep'!$U$8:$W$1048576,3,0)</f>
        <v>0</v>
      </c>
      <c r="BO219" s="8">
        <f>VLOOKUP($A219,'11.Sep'!$U$8:$W$1048576,3,0)</f>
        <v>0</v>
      </c>
      <c r="BP219" s="8">
        <v>0</v>
      </c>
      <c r="BQ219" s="7">
        <f>VLOOKUP($A219,'13.Sep'!$U$8:$W$1048576,3,0)</f>
        <v>0</v>
      </c>
      <c r="BR219" s="8">
        <v>0</v>
      </c>
      <c r="BS219" s="8">
        <v>0</v>
      </c>
      <c r="BT219" s="7">
        <f>VLOOKUP($A219,'16.Sep'!$U$8:$W$1048576,3,0)</f>
        <v>0</v>
      </c>
      <c r="BU219" s="7">
        <f>VLOOKUP($A219,'17.Sep'!$U$8:$W$1048576,3,0)</f>
        <v>0</v>
      </c>
      <c r="BV219" s="7">
        <f>VLOOKUP($A219,'18.Sep'!$U$8:$W$1048576,3,0)</f>
        <v>0</v>
      </c>
      <c r="BW219" s="7">
        <f>VLOOKUP($A219,'19.Sep'!$U$8:$W$1048576,3,0)</f>
        <v>0</v>
      </c>
      <c r="BX219" s="7">
        <f>VLOOKUP($A219,'20.Sep'!$U$8:$W$1048576,3,0)</f>
        <v>1E-4</v>
      </c>
      <c r="BY219" s="7">
        <f>VLOOKUP($A219,'21.Sep'!$U$8:$W$1048576,3,0)</f>
        <v>1E-4</v>
      </c>
      <c r="BZ219" s="7">
        <f>VLOOKUP($A219,'22.Sep'!$U$8:$W$1048576,3,0)</f>
        <v>1E-4</v>
      </c>
      <c r="CA219" s="7">
        <f>VLOOKUP($A219,'23.Sep'!$U$8:$W$1048576,3,0)</f>
        <v>0</v>
      </c>
      <c r="CB219" s="7">
        <f>VLOOKUP($A219,'24.Sep'!$U$8:$W$1048576,3,0)</f>
        <v>0</v>
      </c>
      <c r="CC219" s="7">
        <f>VLOOKUP($A219,'24.Sep'!$U$8:$W$1048576,3,0)</f>
        <v>0</v>
      </c>
    </row>
    <row r="220" spans="1:81">
      <c r="A220" s="6" t="s">
        <v>101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f t="shared" si="62"/>
        <v>0</v>
      </c>
      <c r="I220" s="7">
        <f t="shared" si="63"/>
        <v>0</v>
      </c>
      <c r="J220" s="7">
        <f t="shared" si="64"/>
        <v>0</v>
      </c>
      <c r="K220" s="7">
        <f t="shared" si="60"/>
        <v>0</v>
      </c>
      <c r="L220" s="7">
        <f t="shared" si="61"/>
        <v>0</v>
      </c>
      <c r="M220" s="8">
        <v>0</v>
      </c>
      <c r="N220" s="8">
        <v>0</v>
      </c>
      <c r="O220" s="8">
        <v>0</v>
      </c>
      <c r="P220" s="8">
        <v>0</v>
      </c>
      <c r="Q220" s="8">
        <v>0</v>
      </c>
      <c r="R220" s="8">
        <v>0</v>
      </c>
      <c r="S220" s="8">
        <v>0</v>
      </c>
      <c r="T220" s="8">
        <v>0</v>
      </c>
      <c r="U220" s="8">
        <v>0</v>
      </c>
      <c r="V220" s="8">
        <v>0</v>
      </c>
      <c r="W220" s="8">
        <v>0</v>
      </c>
      <c r="X220" s="8">
        <v>0</v>
      </c>
      <c r="Y220" s="8">
        <v>0</v>
      </c>
      <c r="Z220" s="8">
        <v>0</v>
      </c>
      <c r="AA220" s="8">
        <v>0</v>
      </c>
      <c r="AB220" s="8">
        <v>0</v>
      </c>
      <c r="AC220" s="8">
        <v>0</v>
      </c>
      <c r="AD220" s="8">
        <v>0</v>
      </c>
      <c r="AE220" s="8">
        <v>0</v>
      </c>
      <c r="AF220" s="8">
        <v>0</v>
      </c>
      <c r="AG220" s="8">
        <v>0</v>
      </c>
      <c r="AH220" s="8">
        <v>0</v>
      </c>
      <c r="AI220" s="8">
        <v>0</v>
      </c>
      <c r="AJ220" s="8">
        <v>0</v>
      </c>
      <c r="AK220" s="8">
        <v>0</v>
      </c>
      <c r="AL220" s="8">
        <v>0</v>
      </c>
      <c r="AM220" s="7">
        <v>0</v>
      </c>
      <c r="AN220" s="8">
        <v>0</v>
      </c>
      <c r="AO220" s="7">
        <v>0</v>
      </c>
      <c r="AP220" s="8">
        <v>0</v>
      </c>
      <c r="AQ220" s="7">
        <v>0</v>
      </c>
      <c r="AR220" s="8">
        <v>0</v>
      </c>
      <c r="AS220" s="8">
        <v>0</v>
      </c>
      <c r="AT220" s="8">
        <v>0</v>
      </c>
      <c r="AU220" s="7">
        <v>0</v>
      </c>
      <c r="AV220" s="8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 s="8">
        <v>0</v>
      </c>
      <c r="BE220" s="8">
        <v>0</v>
      </c>
      <c r="BF220" s="8">
        <v>0</v>
      </c>
      <c r="BG220" s="8">
        <v>0</v>
      </c>
      <c r="BH220" s="8">
        <v>0</v>
      </c>
      <c r="BI220" s="8">
        <v>0</v>
      </c>
      <c r="BJ220" s="8">
        <v>0</v>
      </c>
      <c r="BK220" s="8">
        <v>0</v>
      </c>
      <c r="BL220" s="8">
        <v>0</v>
      </c>
      <c r="BM220" s="8">
        <v>0</v>
      </c>
      <c r="BN220" s="8">
        <v>0</v>
      </c>
      <c r="BO220" s="8">
        <v>0</v>
      </c>
      <c r="BP220" s="8">
        <v>0</v>
      </c>
      <c r="BQ220" s="7">
        <v>0</v>
      </c>
      <c r="BR220" s="8">
        <v>0</v>
      </c>
      <c r="BS220" s="8">
        <v>0</v>
      </c>
      <c r="BT220" s="7">
        <v>0</v>
      </c>
      <c r="BU220" s="7">
        <v>0</v>
      </c>
      <c r="BV220" s="7">
        <v>0</v>
      </c>
      <c r="BW220" s="8">
        <v>0</v>
      </c>
      <c r="BX220" s="7">
        <v>0</v>
      </c>
      <c r="BY220" s="7">
        <v>0</v>
      </c>
      <c r="BZ220" s="7">
        <v>0</v>
      </c>
      <c r="CA220" s="7">
        <v>0</v>
      </c>
      <c r="CB220" s="7">
        <v>0</v>
      </c>
      <c r="CC220" s="7">
        <v>0</v>
      </c>
    </row>
    <row r="221" spans="1:81">
      <c r="A221" s="6" t="s">
        <v>102</v>
      </c>
      <c r="B221" s="7">
        <v>0</v>
      </c>
      <c r="C221" s="7">
        <v>0</v>
      </c>
      <c r="D221" s="7">
        <v>5.7142857142857148E-5</v>
      </c>
      <c r="E221" s="7">
        <v>1E-4</v>
      </c>
      <c r="F221" s="7">
        <v>7.1428571428571434E-5</v>
      </c>
      <c r="G221" s="7">
        <v>1.7142857142857145E-4</v>
      </c>
      <c r="H221" s="7">
        <f t="shared" si="62"/>
        <v>1.142857142857143E-4</v>
      </c>
      <c r="I221" s="7">
        <f t="shared" si="63"/>
        <v>1.2857142857142858E-4</v>
      </c>
      <c r="J221" s="7">
        <f t="shared" si="64"/>
        <v>8.5714285714285726E-5</v>
      </c>
      <c r="K221" s="7">
        <f t="shared" si="60"/>
        <v>1.3333333333333337E-4</v>
      </c>
      <c r="L221" s="7">
        <f t="shared" si="61"/>
        <v>1.4000000000000001E-4</v>
      </c>
      <c r="M221" s="8">
        <v>0</v>
      </c>
      <c r="N221" s="8">
        <v>0</v>
      </c>
      <c r="O221" s="8">
        <v>0</v>
      </c>
      <c r="P221" s="8">
        <v>0</v>
      </c>
      <c r="Q221" s="8">
        <v>0</v>
      </c>
      <c r="R221" s="8">
        <v>0</v>
      </c>
      <c r="S221" s="8">
        <v>0</v>
      </c>
      <c r="T221" s="8">
        <v>0</v>
      </c>
      <c r="U221" s="8">
        <v>0</v>
      </c>
      <c r="V221" s="8">
        <v>0</v>
      </c>
      <c r="W221" s="8">
        <v>0</v>
      </c>
      <c r="X221" s="8">
        <v>0</v>
      </c>
      <c r="Y221" s="8">
        <v>0</v>
      </c>
      <c r="Z221" s="8">
        <v>0</v>
      </c>
      <c r="AA221" s="8">
        <v>0</v>
      </c>
      <c r="AB221" s="8">
        <v>0</v>
      </c>
      <c r="AC221" s="8">
        <v>0</v>
      </c>
      <c r="AD221" s="8">
        <v>1E-4</v>
      </c>
      <c r="AE221" s="8">
        <v>2.0000000000000001E-4</v>
      </c>
      <c r="AF221" s="8">
        <v>1E-4</v>
      </c>
      <c r="AG221" s="8">
        <v>1E-4</v>
      </c>
      <c r="AH221" s="8">
        <v>1E-4</v>
      </c>
      <c r="AI221" s="8">
        <v>1E-4</v>
      </c>
      <c r="AJ221" s="8">
        <v>2.0000000000000001E-4</v>
      </c>
      <c r="AK221" s="8">
        <v>2.0000000000000001E-4</v>
      </c>
      <c r="AL221" s="8">
        <v>0</v>
      </c>
      <c r="AM221" s="7">
        <v>0</v>
      </c>
      <c r="AN221" s="7">
        <v>1E-4</v>
      </c>
      <c r="AO221" s="7">
        <v>0</v>
      </c>
      <c r="AP221" s="7">
        <v>2.0000000000000001E-4</v>
      </c>
      <c r="AQ221" s="7">
        <v>0</v>
      </c>
      <c r="AR221" s="7">
        <v>1E-4</v>
      </c>
      <c r="AS221" s="7">
        <v>0</v>
      </c>
      <c r="AT221" s="7">
        <v>1E-4</v>
      </c>
      <c r="AU221" s="7">
        <v>2.0000000000000001E-4</v>
      </c>
      <c r="AV221" s="7">
        <v>1E-4</v>
      </c>
      <c r="AW221" s="7">
        <v>2.0000000000000001E-4</v>
      </c>
      <c r="AX221" s="7">
        <v>2.0000000000000001E-4</v>
      </c>
      <c r="AY221" s="7">
        <v>2.0000000000000001E-4</v>
      </c>
      <c r="AZ221" s="7">
        <v>2.0000000000000001E-4</v>
      </c>
      <c r="BA221" s="7">
        <v>1E-4</v>
      </c>
      <c r="BB221" s="7">
        <v>1E-4</v>
      </c>
      <c r="BC221" s="7">
        <v>1E-4</v>
      </c>
      <c r="BD221" s="7">
        <v>1E-4</v>
      </c>
      <c r="BE221" s="7">
        <f>VLOOKUP($A221,'1.Sep'!$U$8:$W$1048576,3,0)</f>
        <v>1E-4</v>
      </c>
      <c r="BF221" s="7">
        <f>VLOOKUP($A221,'2.Sep'!$U$8:$W$1048576,3,0)</f>
        <v>1E-4</v>
      </c>
      <c r="BG221" s="7">
        <f>VLOOKUP($A221,'3.Sep'!$U$8:$W$1048576,3,0)</f>
        <v>1E-4</v>
      </c>
      <c r="BH221" s="8">
        <f>VLOOKUP($A221,'4.Sep'!$U$8:$W$1048576,3,0)</f>
        <v>2.0000000000000001E-4</v>
      </c>
      <c r="BI221" s="8">
        <f>VLOOKUP($A221,'5.Sep'!$U$8:$W$1048576,3,0)</f>
        <v>2.0000000000000001E-4</v>
      </c>
      <c r="BJ221" s="8">
        <f>VLOOKUP($A221,'6.Sep'!$U$8:$W$1048576,3,0)</f>
        <v>1E-4</v>
      </c>
      <c r="BK221" s="8">
        <f>VLOOKUP($A221,'7.Sep'!$U$8:$W$1048576,3,0)</f>
        <v>2.9999999999999997E-4</v>
      </c>
      <c r="BL221" s="8">
        <f>VLOOKUP($A221,'8.Sep'!$U$8:$W$1048576,3,0)</f>
        <v>0</v>
      </c>
      <c r="BM221" s="8">
        <f>VLOOKUP($A221,'9.Sep'!$U$8:$W$1048576,3,0)</f>
        <v>1E-4</v>
      </c>
      <c r="BN221" s="8">
        <f>VLOOKUP($A221,'10.Sep'!$U$8:$W$1048576,3,0)</f>
        <v>0</v>
      </c>
      <c r="BO221" s="8">
        <f>VLOOKUP($A221,'11.Sep'!$U$8:$W$1048576,3,0)</f>
        <v>2.0000000000000001E-4</v>
      </c>
      <c r="BP221" s="8">
        <v>0</v>
      </c>
      <c r="BQ221" s="7">
        <f>VLOOKUP($A221,'13.Sep'!$U$8:$W$1048576,3,0)</f>
        <v>1E-4</v>
      </c>
      <c r="BR221" s="7">
        <f>VLOOKUP($A221,'14.Sep'!$U$8:$W$1048576,3,0)</f>
        <v>1E-4</v>
      </c>
      <c r="BS221" s="7">
        <f>VLOOKUP($A221,'15.Sep'!$U$8:$W$1048576,3,0)</f>
        <v>1E-4</v>
      </c>
      <c r="BT221" s="7">
        <f>VLOOKUP($A221,'16.Sep'!$U$8:$W$1048576,3,0)</f>
        <v>1E-4</v>
      </c>
      <c r="BU221" s="7">
        <f>VLOOKUP($A221,'17.Sep'!$U$8:$W$1048576,3,0)</f>
        <v>1E-4</v>
      </c>
      <c r="BV221" s="7">
        <f>VLOOKUP($A221,'18.Sep'!$U$8:$W$1048576,3,0)</f>
        <v>1E-4</v>
      </c>
      <c r="BW221" s="7">
        <f>VLOOKUP($A221,'19.Sep'!$U$8:$W$1048576,3,0)</f>
        <v>1E-4</v>
      </c>
      <c r="BX221" s="7">
        <f>VLOOKUP($A221,'20.Sep'!$U$8:$W$1048576,3,0)</f>
        <v>1E-4</v>
      </c>
      <c r="BY221" s="7">
        <f>VLOOKUP($A221,'21.Sep'!$U$8:$W$1048576,3,0)</f>
        <v>2.0000000000000001E-4</v>
      </c>
      <c r="BZ221" s="7">
        <f>VLOOKUP($A221,'22.Sep'!$U$8:$W$1048576,3,0)</f>
        <v>2.0000000000000001E-4</v>
      </c>
      <c r="CA221" s="7">
        <f>VLOOKUP($A221,'23.Sep'!$U$8:$W$1048576,3,0)</f>
        <v>1E-4</v>
      </c>
      <c r="CB221" s="7">
        <f>VLOOKUP($A221,'24.Sep'!$U$8:$W$1048576,3,0)</f>
        <v>1E-4</v>
      </c>
      <c r="CC221" s="7">
        <f>VLOOKUP($A221,'24.Sep'!$U$8:$W$1048576,3,0)</f>
        <v>1E-4</v>
      </c>
    </row>
    <row r="222" spans="1:81">
      <c r="A222" s="6" t="s">
        <v>103</v>
      </c>
      <c r="B222" s="7">
        <v>0</v>
      </c>
      <c r="C222" s="7">
        <v>0</v>
      </c>
      <c r="D222" s="7">
        <v>2.8571428571428574E-5</v>
      </c>
      <c r="E222" s="7">
        <v>5.7142857142857148E-5</v>
      </c>
      <c r="F222" s="7">
        <v>1.4285714285714287E-5</v>
      </c>
      <c r="G222" s="7">
        <v>1.4285714285714287E-5</v>
      </c>
      <c r="H222" s="7">
        <f t="shared" si="62"/>
        <v>2.8571428571428574E-5</v>
      </c>
      <c r="I222" s="7">
        <f t="shared" si="63"/>
        <v>0</v>
      </c>
      <c r="J222" s="7">
        <f t="shared" si="64"/>
        <v>2.8571428571428574E-5</v>
      </c>
      <c r="K222" s="7">
        <f t="shared" si="60"/>
        <v>1.3333333333333334E-4</v>
      </c>
      <c r="L222" s="7">
        <f t="shared" si="61"/>
        <v>1.6000000000000001E-4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8">
        <v>0</v>
      </c>
      <c r="V222" s="8">
        <v>0</v>
      </c>
      <c r="W222" s="8">
        <v>0</v>
      </c>
      <c r="X222" s="8">
        <v>0</v>
      </c>
      <c r="Y222" s="8">
        <v>0</v>
      </c>
      <c r="Z222" s="8">
        <v>0</v>
      </c>
      <c r="AA222" s="8">
        <v>0</v>
      </c>
      <c r="AB222" s="8">
        <v>0</v>
      </c>
      <c r="AC222" s="8">
        <v>0</v>
      </c>
      <c r="AD222" s="8">
        <v>0</v>
      </c>
      <c r="AE222" s="8">
        <v>1E-4</v>
      </c>
      <c r="AF222" s="8">
        <v>1E-4</v>
      </c>
      <c r="AG222" s="8">
        <v>1E-4</v>
      </c>
      <c r="AH222" s="8">
        <v>1E-4</v>
      </c>
      <c r="AI222" s="8">
        <v>1E-4</v>
      </c>
      <c r="AJ222" s="8">
        <v>1E-4</v>
      </c>
      <c r="AK222" s="8">
        <v>0</v>
      </c>
      <c r="AL222" s="8">
        <v>0</v>
      </c>
      <c r="AM222" s="7">
        <v>0</v>
      </c>
      <c r="AN222" s="8">
        <v>0</v>
      </c>
      <c r="AO222" s="7">
        <v>0</v>
      </c>
      <c r="AP222" s="7">
        <v>0</v>
      </c>
      <c r="AQ222" s="7">
        <v>0</v>
      </c>
      <c r="AR222" s="7">
        <v>0</v>
      </c>
      <c r="AS222" s="8">
        <v>0</v>
      </c>
      <c r="AT222" s="7">
        <v>1E-4</v>
      </c>
      <c r="AU222" s="7">
        <v>0</v>
      </c>
      <c r="AV222" s="7">
        <v>0</v>
      </c>
      <c r="AW222" s="7">
        <v>0</v>
      </c>
      <c r="AX222" s="7">
        <v>0</v>
      </c>
      <c r="AY222" s="7">
        <v>1E-4</v>
      </c>
      <c r="AZ222" s="7">
        <v>0</v>
      </c>
      <c r="BA222" s="7">
        <v>0</v>
      </c>
      <c r="BB222" s="7">
        <v>0</v>
      </c>
      <c r="BC222" s="7">
        <v>1E-4</v>
      </c>
      <c r="BD222" s="8">
        <v>0</v>
      </c>
      <c r="BE222" s="7">
        <f>VLOOKUP($A222,'1.Sep'!$U$8:$W$1048576,3,0)</f>
        <v>0</v>
      </c>
      <c r="BF222" s="8">
        <v>0</v>
      </c>
      <c r="BG222" s="7">
        <f>VLOOKUP($A222,'3.Sep'!$U$8:$W$1048576,3,0)</f>
        <v>0</v>
      </c>
      <c r="BH222" s="8">
        <f>VLOOKUP($A222,'4.Sep'!$U$8:$W$1048576,3,0)</f>
        <v>1E-4</v>
      </c>
      <c r="BI222" s="8">
        <f>VLOOKUP($A222,'5.Sep'!$U$8:$W$1048576,3,0)</f>
        <v>0</v>
      </c>
      <c r="BJ222" s="8">
        <v>0</v>
      </c>
      <c r="BK222" s="8">
        <v>0</v>
      </c>
      <c r="BL222" s="8">
        <v>0</v>
      </c>
      <c r="BM222" s="8">
        <v>0</v>
      </c>
      <c r="BN222" s="8">
        <v>0</v>
      </c>
      <c r="BO222" s="8">
        <f>VLOOKUP($A222,'11.Sep'!$U$8:$W$1048576,3,0)</f>
        <v>0</v>
      </c>
      <c r="BP222" s="8">
        <v>0</v>
      </c>
      <c r="BQ222" s="7">
        <f>VLOOKUP($A222,'13.Sep'!$U$8:$W$1048576,3,0)</f>
        <v>0</v>
      </c>
      <c r="BR222" s="7">
        <f>VLOOKUP($A222,'14.Sep'!$U$8:$W$1048576,3,0)</f>
        <v>0</v>
      </c>
      <c r="BS222" s="7">
        <f>VLOOKUP($A222,'15.Sep'!$U$8:$W$1048576,3,0)</f>
        <v>1E-4</v>
      </c>
      <c r="BT222" s="7">
        <v>0</v>
      </c>
      <c r="BU222" s="7">
        <f>VLOOKUP($A222,'17.Sep'!$U$8:$W$1048576,3,0)</f>
        <v>1E-4</v>
      </c>
      <c r="BV222" s="7">
        <f>VLOOKUP($A222,'18.Sep'!$U$8:$W$1048576,3,0)</f>
        <v>0</v>
      </c>
      <c r="BW222" s="7">
        <v>0</v>
      </c>
      <c r="BX222" s="7">
        <v>0</v>
      </c>
      <c r="BY222" s="7">
        <v>0</v>
      </c>
      <c r="BZ222" s="7">
        <v>0</v>
      </c>
      <c r="CA222" s="7">
        <v>0</v>
      </c>
      <c r="CB222" s="7">
        <f>VLOOKUP($A222,'24.Sep'!$U$8:$W$1048576,3,0)</f>
        <v>8.0000000000000004E-4</v>
      </c>
      <c r="CC222" s="7">
        <f>VLOOKUP($A222,'24.Sep'!$U$8:$W$1048576,3,0)</f>
        <v>8.0000000000000004E-4</v>
      </c>
    </row>
    <row r="223" spans="1:81">
      <c r="A223" s="12" t="s">
        <v>70</v>
      </c>
      <c r="B223" s="10">
        <v>0</v>
      </c>
      <c r="C223" s="10">
        <v>0</v>
      </c>
      <c r="D223" s="10">
        <v>4.428571428571429E-4</v>
      </c>
      <c r="E223" s="10">
        <v>9.7142857142857165E-4</v>
      </c>
      <c r="F223" s="10">
        <v>7.1428571428571439E-4</v>
      </c>
      <c r="G223" s="10">
        <v>9.7142857142857165E-4</v>
      </c>
      <c r="H223" s="10">
        <f t="shared" ref="H223" si="65">SUM(H216:H222)</f>
        <v>8.2857142857142873E-4</v>
      </c>
      <c r="I223" s="10">
        <f t="shared" ref="I223:J223" si="66">SUM(I216:I222)</f>
        <v>6.9999999999999988E-4</v>
      </c>
      <c r="J223" s="10">
        <f t="shared" si="66"/>
        <v>7.2857142857142869E-4</v>
      </c>
      <c r="K223" s="10">
        <f t="shared" ref="K223:L223" si="67">SUM(K216:K222)</f>
        <v>8.5000000000000006E-4</v>
      </c>
      <c r="L223" s="10">
        <f t="shared" si="67"/>
        <v>8.8000000000000003E-4</v>
      </c>
      <c r="M223" s="11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8">
        <v>0</v>
      </c>
      <c r="V223" s="8">
        <v>0</v>
      </c>
      <c r="W223" s="8">
        <v>0</v>
      </c>
      <c r="X223" s="8">
        <v>0</v>
      </c>
      <c r="Y223" s="8">
        <v>0</v>
      </c>
      <c r="Z223" s="8">
        <v>0</v>
      </c>
      <c r="AA223" s="8">
        <v>0</v>
      </c>
      <c r="AB223" s="8">
        <v>0</v>
      </c>
      <c r="AC223" s="8">
        <v>0</v>
      </c>
      <c r="AD223" s="11">
        <v>2.0000000000000001E-4</v>
      </c>
      <c r="AE223" s="11">
        <v>1E-3</v>
      </c>
      <c r="AF223" s="11">
        <v>1.9000000000000002E-3</v>
      </c>
      <c r="AG223" s="11">
        <v>1.2000000000000001E-3</v>
      </c>
      <c r="AH223" s="11">
        <v>1.4000000000000002E-3</v>
      </c>
      <c r="AI223" s="11">
        <v>8.0000000000000015E-4</v>
      </c>
      <c r="AJ223" s="11">
        <v>8.9999999999999998E-4</v>
      </c>
      <c r="AK223" s="11">
        <v>1.5000000000000002E-3</v>
      </c>
      <c r="AL223" s="11">
        <v>5.0000000000000001E-4</v>
      </c>
      <c r="AM223" s="10">
        <v>5.0000000000000001E-4</v>
      </c>
      <c r="AN223" s="10">
        <v>4.0000000000000002E-4</v>
      </c>
      <c r="AO223" s="10">
        <v>7.9999999999999993E-4</v>
      </c>
      <c r="AP223" s="10">
        <v>8.9999999999999998E-4</v>
      </c>
      <c r="AQ223" s="10">
        <v>5.0000000000000001E-4</v>
      </c>
      <c r="AR223" s="10">
        <v>8.9999999999999998E-4</v>
      </c>
      <c r="AS223" s="10">
        <v>8.9999999999999998E-4</v>
      </c>
      <c r="AT223" s="10">
        <v>6.0000000000000006E-4</v>
      </c>
      <c r="AU223" s="10">
        <v>1.1000000000000001E-3</v>
      </c>
      <c r="AV223" s="10">
        <v>1.1000000000000001E-3</v>
      </c>
      <c r="AW223" s="10">
        <v>9.0000000000000008E-4</v>
      </c>
      <c r="AX223" s="10">
        <v>1E-3</v>
      </c>
      <c r="AY223" s="10">
        <v>1.2000000000000001E-3</v>
      </c>
      <c r="AZ223" s="10">
        <v>8.0000000000000004E-4</v>
      </c>
      <c r="BA223" s="10">
        <v>7.000000000000001E-4</v>
      </c>
      <c r="BB223" s="10">
        <v>1E-3</v>
      </c>
      <c r="BC223" s="10">
        <v>7.000000000000001E-4</v>
      </c>
      <c r="BD223" s="10">
        <v>8.0000000000000004E-4</v>
      </c>
      <c r="BE223" s="10">
        <f t="shared" ref="BE223:CB223" si="68">SUM(BE216:BE222)</f>
        <v>7.000000000000001E-4</v>
      </c>
      <c r="BF223" s="10">
        <f t="shared" si="68"/>
        <v>8.0000000000000004E-4</v>
      </c>
      <c r="BG223" s="10">
        <f t="shared" si="68"/>
        <v>8.0000000000000004E-4</v>
      </c>
      <c r="BH223" s="11">
        <f t="shared" si="68"/>
        <v>1E-3</v>
      </c>
      <c r="BI223" s="11">
        <f t="shared" si="68"/>
        <v>8.0000000000000004E-4</v>
      </c>
      <c r="BJ223" s="11">
        <f t="shared" si="68"/>
        <v>1.1000000000000001E-3</v>
      </c>
      <c r="BK223" s="11">
        <f t="shared" si="68"/>
        <v>6.9999999999999988E-4</v>
      </c>
      <c r="BL223" s="11">
        <f t="shared" si="68"/>
        <v>5.0000000000000001E-4</v>
      </c>
      <c r="BM223" s="11">
        <f t="shared" si="68"/>
        <v>4.0000000000000002E-4</v>
      </c>
      <c r="BN223" s="11">
        <f t="shared" si="68"/>
        <v>5.0000000000000001E-4</v>
      </c>
      <c r="BO223" s="11">
        <f t="shared" si="68"/>
        <v>8.9999999999999998E-4</v>
      </c>
      <c r="BP223" s="10">
        <f t="shared" si="68"/>
        <v>6.9999999999999999E-4</v>
      </c>
      <c r="BQ223" s="10">
        <f t="shared" si="68"/>
        <v>7.000000000000001E-4</v>
      </c>
      <c r="BR223" s="10">
        <f t="shared" si="68"/>
        <v>8.0000000000000015E-4</v>
      </c>
      <c r="BS223" s="10">
        <f t="shared" si="68"/>
        <v>8.0000000000000015E-4</v>
      </c>
      <c r="BT223" s="10">
        <f t="shared" si="68"/>
        <v>7.000000000000001E-4</v>
      </c>
      <c r="BU223" s="10">
        <f t="shared" si="68"/>
        <v>8.0000000000000015E-4</v>
      </c>
      <c r="BV223" s="10">
        <f t="shared" si="68"/>
        <v>6.0000000000000006E-4</v>
      </c>
      <c r="BW223" s="10">
        <f t="shared" si="68"/>
        <v>6.9999999999999999E-4</v>
      </c>
      <c r="BX223" s="10">
        <f t="shared" si="68"/>
        <v>6.0000000000000006E-4</v>
      </c>
      <c r="BY223" s="10">
        <f t="shared" si="68"/>
        <v>1.1000000000000001E-3</v>
      </c>
      <c r="BZ223" s="10">
        <f t="shared" si="68"/>
        <v>8.0000000000000004E-4</v>
      </c>
      <c r="CA223" s="10">
        <f t="shared" si="68"/>
        <v>4.0000000000000002E-4</v>
      </c>
      <c r="CB223" s="10">
        <f t="shared" si="68"/>
        <v>1.5E-3</v>
      </c>
      <c r="CC223" s="10">
        <f t="shared" ref="CC223" si="69">SUM(CC216:CC222)</f>
        <v>1.5E-3</v>
      </c>
    </row>
    <row r="224" spans="1:81">
      <c r="A224" s="13" t="s">
        <v>71</v>
      </c>
      <c r="B224" s="14">
        <v>52456</v>
      </c>
      <c r="C224" s="14">
        <v>111266</v>
      </c>
      <c r="D224" s="14">
        <v>197000</v>
      </c>
      <c r="E224" s="14">
        <v>139280</v>
      </c>
      <c r="F224" s="14">
        <v>223302</v>
      </c>
      <c r="G224" s="14">
        <v>213341</v>
      </c>
      <c r="H224" s="14">
        <f>SUM(BB224:BH224)</f>
        <v>222249</v>
      </c>
      <c r="I224" s="14">
        <f>SUM(BI224:BO224)</f>
        <v>179372</v>
      </c>
      <c r="J224" s="14">
        <f>SUM(BP224:BV224)</f>
        <v>280426</v>
      </c>
      <c r="K224" s="14">
        <f>SUM(BW224:CB224)</f>
        <v>141007</v>
      </c>
      <c r="L224" s="14">
        <f>SUM(BX224:CB224)</f>
        <v>107139</v>
      </c>
      <c r="M224" s="15">
        <v>1768</v>
      </c>
      <c r="N224" s="15">
        <v>5391</v>
      </c>
      <c r="O224" s="15">
        <v>9379</v>
      </c>
      <c r="P224" s="15">
        <v>12252</v>
      </c>
      <c r="Q224" s="15">
        <v>11716</v>
      </c>
      <c r="R224" s="15">
        <v>11950</v>
      </c>
      <c r="S224" s="15">
        <v>14199</v>
      </c>
      <c r="T224" s="15">
        <v>11024</v>
      </c>
      <c r="U224" s="15">
        <v>13434</v>
      </c>
      <c r="V224" s="15">
        <v>2878</v>
      </c>
      <c r="W224" s="15">
        <v>6299</v>
      </c>
      <c r="X224" s="15">
        <v>34387</v>
      </c>
      <c r="Y224" s="15">
        <v>29045</v>
      </c>
      <c r="Z224" s="15">
        <v>41566</v>
      </c>
      <c r="AA224" s="15">
        <v>34959</v>
      </c>
      <c r="AB224" s="15">
        <v>39389</v>
      </c>
      <c r="AC224" s="15">
        <v>44280</v>
      </c>
      <c r="AD224" s="15">
        <v>6828</v>
      </c>
      <c r="AE224" s="15">
        <v>13236</v>
      </c>
      <c r="AF224" s="15">
        <v>16742</v>
      </c>
      <c r="AG224" s="15">
        <v>13732</v>
      </c>
      <c r="AH224" s="15">
        <v>16419</v>
      </c>
      <c r="AI224" s="15">
        <v>14554</v>
      </c>
      <c r="AJ224" s="15">
        <v>20730</v>
      </c>
      <c r="AK224" s="15">
        <v>24207</v>
      </c>
      <c r="AL224" s="15">
        <v>22106</v>
      </c>
      <c r="AM224" s="14">
        <v>27532</v>
      </c>
      <c r="AN224" s="14">
        <v>29873</v>
      </c>
      <c r="AO224" s="14">
        <v>27238</v>
      </c>
      <c r="AP224" s="14">
        <v>37334</v>
      </c>
      <c r="AQ224" s="14">
        <v>27797</v>
      </c>
      <c r="AR224" s="14">
        <v>27365</v>
      </c>
      <c r="AS224" s="14">
        <v>34191</v>
      </c>
      <c r="AT224" s="14">
        <v>39504</v>
      </c>
      <c r="AU224" s="14">
        <v>18387</v>
      </c>
      <c r="AV224" s="14">
        <v>37779</v>
      </c>
      <c r="AW224" s="14">
        <v>19539</v>
      </c>
      <c r="AX224" s="14">
        <v>33056</v>
      </c>
      <c r="AY224" s="14">
        <v>31984</v>
      </c>
      <c r="AZ224" s="14">
        <v>35817</v>
      </c>
      <c r="BA224" s="14">
        <v>36779</v>
      </c>
      <c r="BB224" s="14">
        <v>29084</v>
      </c>
      <c r="BC224" s="14">
        <v>40918</v>
      </c>
      <c r="BD224" s="14">
        <v>21272</v>
      </c>
      <c r="BE224" s="14">
        <f>'1.Sep'!$W$2</f>
        <v>39251</v>
      </c>
      <c r="BF224" s="14">
        <f>'2.Sep'!$W$2</f>
        <v>27467</v>
      </c>
      <c r="BG224" s="14">
        <f>'3.Sep'!$W$2</f>
        <v>30734</v>
      </c>
      <c r="BH224" s="15">
        <f>'4.Sep'!$W$2</f>
        <v>33523</v>
      </c>
      <c r="BI224" s="15">
        <f>'5.Sep'!$W$2</f>
        <v>26409</v>
      </c>
      <c r="BJ224" s="15">
        <f>'6.Sep'!$W$2</f>
        <v>27560</v>
      </c>
      <c r="BK224" s="15">
        <f>'7.Sep'!$W$2</f>
        <v>28122</v>
      </c>
      <c r="BL224" s="15">
        <f>'8.Sep'!$W$2</f>
        <v>23035</v>
      </c>
      <c r="BM224" s="15">
        <f>'9.Sep'!$W$2</f>
        <v>23258</v>
      </c>
      <c r="BN224" s="15">
        <f>'10.Sep'!$W$2</f>
        <v>21891</v>
      </c>
      <c r="BO224" s="15">
        <f>'11.Sep'!$W$2</f>
        <v>29097</v>
      </c>
      <c r="BP224" s="14">
        <f>'12.Sep'!$W$2</f>
        <v>29048</v>
      </c>
      <c r="BQ224" s="14">
        <f>'13.Sep'!$W$2</f>
        <v>32217</v>
      </c>
      <c r="BR224" s="14">
        <f>'14.Sep'!$W$2</f>
        <v>32894</v>
      </c>
      <c r="BS224" s="14">
        <f>'15.Sep'!$W$2</f>
        <v>43406</v>
      </c>
      <c r="BT224" s="14">
        <f>'16.Sep'!$W$2</f>
        <v>36590</v>
      </c>
      <c r="BU224" s="14">
        <f>'17.Sep'!$W$2</f>
        <v>55529</v>
      </c>
      <c r="BV224" s="14">
        <f>'18.Sep'!$W$2</f>
        <v>50742</v>
      </c>
      <c r="BW224" s="14">
        <f>'19.Sep'!$W$2</f>
        <v>33868</v>
      </c>
      <c r="BX224" s="14">
        <f>'20.Sep'!$W$2</f>
        <v>17183</v>
      </c>
      <c r="BY224" s="14">
        <f>'21.Sep'!$W$2</f>
        <v>15104</v>
      </c>
      <c r="BZ224" s="14">
        <f>'22.Sep'!$W$2</f>
        <v>12457</v>
      </c>
      <c r="CA224" s="14">
        <f>'23.Sep'!$W$2</f>
        <v>31430</v>
      </c>
      <c r="CB224" s="14">
        <f>'24.Sep'!$W$2</f>
        <v>30965</v>
      </c>
      <c r="CC224" s="14">
        <f>'24.Sep'!$W$2</f>
        <v>30965</v>
      </c>
    </row>
    <row r="225" spans="1:81">
      <c r="A225" s="13" t="s">
        <v>72</v>
      </c>
      <c r="B225" s="14">
        <v>52418</v>
      </c>
      <c r="C225" s="14">
        <v>111143</v>
      </c>
      <c r="D225" s="14">
        <v>196783</v>
      </c>
      <c r="E225" s="14">
        <v>139139</v>
      </c>
      <c r="F225" s="14">
        <v>223097</v>
      </c>
      <c r="G225" s="14">
        <v>213134</v>
      </c>
      <c r="H225" s="14">
        <f>SUM(BB225:BH225)</f>
        <v>222040</v>
      </c>
      <c r="I225" s="14">
        <f>SUM(BI225:BO225)</f>
        <v>179210</v>
      </c>
      <c r="J225" s="14">
        <f>SUM(BP225:BV225)</f>
        <v>280191</v>
      </c>
      <c r="K225" s="14">
        <f>SUM(BW225:CB225)</f>
        <v>140865</v>
      </c>
      <c r="L225" s="14">
        <f>SUM(BX225:CB225)</f>
        <v>107030</v>
      </c>
      <c r="M225" s="15">
        <v>1764</v>
      </c>
      <c r="N225" s="15">
        <v>5386</v>
      </c>
      <c r="O225" s="15">
        <v>9375</v>
      </c>
      <c r="P225" s="15">
        <v>12245</v>
      </c>
      <c r="Q225" s="15">
        <v>11707</v>
      </c>
      <c r="R225" s="15">
        <v>11941</v>
      </c>
      <c r="S225" s="15">
        <v>14190</v>
      </c>
      <c r="T225" s="15">
        <v>11011</v>
      </c>
      <c r="U225" s="15">
        <v>13420</v>
      </c>
      <c r="V225" s="15">
        <v>2877</v>
      </c>
      <c r="W225" s="15">
        <v>6293</v>
      </c>
      <c r="X225" s="15">
        <v>34349</v>
      </c>
      <c r="Y225" s="15">
        <v>29003</v>
      </c>
      <c r="Z225" s="15">
        <v>41522</v>
      </c>
      <c r="AA225" s="15">
        <v>34930</v>
      </c>
      <c r="AB225" s="15">
        <v>39344</v>
      </c>
      <c r="AC225" s="15">
        <v>44226</v>
      </c>
      <c r="AD225" s="15">
        <v>6825</v>
      </c>
      <c r="AE225" s="15">
        <v>13223</v>
      </c>
      <c r="AF225" s="15">
        <v>16713</v>
      </c>
      <c r="AG225" s="15">
        <v>13715</v>
      </c>
      <c r="AH225" s="15">
        <v>16397</v>
      </c>
      <c r="AI225" s="15">
        <v>14542</v>
      </c>
      <c r="AJ225" s="15">
        <v>20711</v>
      </c>
      <c r="AK225" s="15">
        <v>24168</v>
      </c>
      <c r="AL225" s="15">
        <v>22091</v>
      </c>
      <c r="AM225" s="14">
        <v>27515</v>
      </c>
      <c r="AN225" s="14">
        <v>29848</v>
      </c>
      <c r="AO225" s="14">
        <v>27209</v>
      </c>
      <c r="AP225" s="14">
        <v>37296</v>
      </c>
      <c r="AQ225" s="14">
        <v>27777</v>
      </c>
      <c r="AR225" s="14">
        <v>27337</v>
      </c>
      <c r="AS225" s="14">
        <v>34154</v>
      </c>
      <c r="AT225" s="14">
        <v>39476</v>
      </c>
      <c r="AU225" s="14">
        <v>18369</v>
      </c>
      <c r="AV225" s="14">
        <v>37733</v>
      </c>
      <c r="AW225" s="14">
        <v>19524</v>
      </c>
      <c r="AX225" s="14">
        <v>33020</v>
      </c>
      <c r="AY225" s="14">
        <v>31947</v>
      </c>
      <c r="AZ225" s="14">
        <v>35788</v>
      </c>
      <c r="BA225" s="14">
        <v>36753</v>
      </c>
      <c r="BB225" s="14">
        <v>29050</v>
      </c>
      <c r="BC225" s="14">
        <v>40886</v>
      </c>
      <c r="BD225" s="14">
        <v>21251</v>
      </c>
      <c r="BE225" s="14">
        <f>'1.Sep'!$W$3</f>
        <v>39221</v>
      </c>
      <c r="BF225" s="14">
        <f>'2.Sep'!$W$3</f>
        <v>27446</v>
      </c>
      <c r="BG225" s="14">
        <f>'3.Sep'!$W$3</f>
        <v>30704</v>
      </c>
      <c r="BH225" s="15">
        <f>'4.Sep'!$W$3</f>
        <v>33482</v>
      </c>
      <c r="BI225" s="15">
        <f>'5.Sep'!$W$3</f>
        <v>26383</v>
      </c>
      <c r="BJ225" s="15">
        <f>'6.Sep'!$W$3</f>
        <v>27527</v>
      </c>
      <c r="BK225" s="15">
        <f>'7.Sep'!$W$3</f>
        <v>28096</v>
      </c>
      <c r="BL225" s="15">
        <f>'8.Sep'!$W$3</f>
        <v>23017</v>
      </c>
      <c r="BM225" s="15">
        <f>'9.Sep'!$W$3</f>
        <v>23244</v>
      </c>
      <c r="BN225" s="15">
        <f>'10.Sep'!$W$3</f>
        <v>21877</v>
      </c>
      <c r="BO225" s="15">
        <f>'11.Sep'!$W$3</f>
        <v>29066</v>
      </c>
      <c r="BP225" s="14">
        <f>'12.Sep'!$W$3</f>
        <v>29023</v>
      </c>
      <c r="BQ225" s="14">
        <f>'13.Sep'!$W$3</f>
        <v>32191</v>
      </c>
      <c r="BR225" s="14">
        <f>'14.Sep'!$W$3</f>
        <v>32868</v>
      </c>
      <c r="BS225" s="14">
        <f>'15.Sep'!$W$3</f>
        <v>43368</v>
      </c>
      <c r="BT225" s="14">
        <f>'16.Sep'!$W$3</f>
        <v>36558</v>
      </c>
      <c r="BU225" s="14">
        <f>'17.Sep'!$W$3</f>
        <v>55478</v>
      </c>
      <c r="BV225" s="14">
        <f>'18.Sep'!$W$3</f>
        <v>50705</v>
      </c>
      <c r="BW225" s="14">
        <f>'19.Sep'!$W$3</f>
        <v>33835</v>
      </c>
      <c r="BX225" s="14">
        <f>'20.Sep'!$W$3</f>
        <v>17175</v>
      </c>
      <c r="BY225" s="14">
        <f>'21.Sep'!$W$3</f>
        <v>15088</v>
      </c>
      <c r="BZ225" s="14">
        <f>'22.Sep'!$W$3</f>
        <v>12444</v>
      </c>
      <c r="CA225" s="14">
        <f>'23.Sep'!$W$3</f>
        <v>31411</v>
      </c>
      <c r="CB225" s="14">
        <f>'24.Sep'!$W$3</f>
        <v>30912</v>
      </c>
      <c r="CC225" s="14">
        <f>'24.Sep'!$W$3</f>
        <v>30912</v>
      </c>
    </row>
    <row r="226" spans="1:81"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 t="s">
        <v>218</v>
      </c>
      <c r="CC226" s="20"/>
    </row>
    <row r="227" spans="1:81"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 t="s">
        <v>218</v>
      </c>
      <c r="CC227" s="20"/>
    </row>
    <row r="228" spans="1:81"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 t="s">
        <v>218</v>
      </c>
      <c r="CC228" s="20"/>
    </row>
    <row r="229" spans="1:81"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 t="s">
        <v>218</v>
      </c>
      <c r="CC229" s="20"/>
    </row>
    <row r="230" spans="1:81"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 t="s">
        <v>218</v>
      </c>
      <c r="CC230" s="20"/>
    </row>
    <row r="231" spans="1:81" ht="19.5">
      <c r="A231" s="1" t="s">
        <v>139</v>
      </c>
      <c r="B231" s="2" t="s">
        <v>1</v>
      </c>
      <c r="C231" s="2" t="s">
        <v>118</v>
      </c>
      <c r="D231" s="2" t="s">
        <v>128</v>
      </c>
      <c r="E231" s="2" t="s">
        <v>144</v>
      </c>
      <c r="F231" s="2" t="s">
        <v>151</v>
      </c>
      <c r="G231" s="2" t="s">
        <v>162</v>
      </c>
      <c r="H231" s="2" t="s">
        <v>163</v>
      </c>
      <c r="I231" s="2" t="s">
        <v>168</v>
      </c>
      <c r="J231" s="2" t="s">
        <v>173</v>
      </c>
      <c r="K231" s="2" t="s">
        <v>178</v>
      </c>
      <c r="L231" s="2" t="s">
        <v>178</v>
      </c>
      <c r="M231" s="4">
        <v>44761</v>
      </c>
      <c r="N231" s="4">
        <v>44762</v>
      </c>
      <c r="O231" s="4">
        <v>44763</v>
      </c>
      <c r="P231" s="4">
        <v>44764</v>
      </c>
      <c r="Q231" s="3">
        <v>44765</v>
      </c>
      <c r="R231" s="3">
        <v>44766</v>
      </c>
      <c r="S231" s="3">
        <v>44767</v>
      </c>
      <c r="T231" s="3">
        <v>44768</v>
      </c>
      <c r="U231" s="3">
        <v>44769</v>
      </c>
      <c r="V231" s="3">
        <v>44770</v>
      </c>
      <c r="W231" s="3">
        <v>44771</v>
      </c>
      <c r="X231" s="3">
        <v>44772</v>
      </c>
      <c r="Y231" s="3">
        <v>44773</v>
      </c>
      <c r="Z231" s="3">
        <v>44774</v>
      </c>
      <c r="AA231" s="3">
        <v>44775</v>
      </c>
      <c r="AB231" s="3">
        <v>44776</v>
      </c>
      <c r="AC231" s="3">
        <v>44777</v>
      </c>
      <c r="AD231" s="3">
        <v>44778</v>
      </c>
      <c r="AE231" s="3">
        <v>44779</v>
      </c>
      <c r="AF231" s="4">
        <v>44780</v>
      </c>
      <c r="AG231" s="4">
        <v>44781</v>
      </c>
      <c r="AH231" s="4">
        <v>44782</v>
      </c>
      <c r="AI231" s="4">
        <v>44783</v>
      </c>
      <c r="AJ231" s="4">
        <v>44784</v>
      </c>
      <c r="AK231" s="4">
        <v>44785</v>
      </c>
      <c r="AL231" s="4">
        <v>44786</v>
      </c>
      <c r="AM231" s="3">
        <v>44787</v>
      </c>
      <c r="AN231" s="3">
        <v>44788</v>
      </c>
      <c r="AO231" s="3">
        <v>44789</v>
      </c>
      <c r="AP231" s="3">
        <v>44790</v>
      </c>
      <c r="AQ231" s="3">
        <v>44791</v>
      </c>
      <c r="AR231" s="3">
        <v>44792</v>
      </c>
      <c r="AS231" s="3">
        <v>44793</v>
      </c>
      <c r="AT231" s="3">
        <v>44794</v>
      </c>
      <c r="AU231" s="3">
        <v>44795</v>
      </c>
      <c r="AV231" s="3">
        <v>44796</v>
      </c>
      <c r="AW231" s="3">
        <v>44797</v>
      </c>
      <c r="AX231" s="3">
        <v>44798</v>
      </c>
      <c r="AY231" s="3">
        <v>44799</v>
      </c>
      <c r="AZ231" s="3">
        <v>44800</v>
      </c>
      <c r="BA231" s="3">
        <v>44801</v>
      </c>
      <c r="BB231" s="3">
        <v>44802</v>
      </c>
      <c r="BC231" s="3">
        <v>44803</v>
      </c>
      <c r="BD231" s="3">
        <v>44804</v>
      </c>
      <c r="BE231" s="3">
        <v>44805</v>
      </c>
      <c r="BF231" s="3">
        <v>44806</v>
      </c>
      <c r="BG231" s="3">
        <v>44807</v>
      </c>
      <c r="BH231" s="4">
        <v>44808</v>
      </c>
      <c r="BI231" s="4">
        <v>44809</v>
      </c>
      <c r="BJ231" s="4">
        <v>44810</v>
      </c>
      <c r="BK231" s="4">
        <v>44811</v>
      </c>
      <c r="BL231" s="4">
        <v>44812</v>
      </c>
      <c r="BM231" s="4">
        <v>44813</v>
      </c>
      <c r="BN231" s="4">
        <v>44814</v>
      </c>
      <c r="BO231" s="4">
        <v>44815</v>
      </c>
      <c r="BP231" s="3">
        <v>44816</v>
      </c>
      <c r="BQ231" s="3">
        <v>44817</v>
      </c>
      <c r="BR231" s="3">
        <v>44818</v>
      </c>
      <c r="BS231" s="3">
        <v>44819</v>
      </c>
      <c r="BT231" s="3">
        <v>44820</v>
      </c>
      <c r="BU231" s="3">
        <v>44821</v>
      </c>
      <c r="BV231" s="3">
        <v>44822</v>
      </c>
      <c r="BW231" s="3">
        <v>44823</v>
      </c>
      <c r="BX231" s="3">
        <v>44824</v>
      </c>
      <c r="BY231" s="3">
        <v>44825</v>
      </c>
      <c r="BZ231" s="3">
        <v>44826</v>
      </c>
      <c r="CA231" s="3">
        <v>44827</v>
      </c>
      <c r="CB231" s="3">
        <v>44828</v>
      </c>
      <c r="CC231" s="3">
        <v>44828</v>
      </c>
    </row>
    <row r="232" spans="1:81">
      <c r="A232" s="6" t="s">
        <v>2</v>
      </c>
      <c r="B232" s="7">
        <v>4.8999999999999998E-3</v>
      </c>
      <c r="C232" s="7">
        <v>5.3571428571428572E-3</v>
      </c>
      <c r="D232" s="7">
        <v>6.7142857142857143E-3</v>
      </c>
      <c r="E232" s="7">
        <v>5.9714285714285711E-3</v>
      </c>
      <c r="F232" s="7">
        <v>5.1428571428571435E-3</v>
      </c>
      <c r="G232" s="7">
        <v>3.0857142857142858E-3</v>
      </c>
      <c r="H232" s="7">
        <f>AVERAGE(BB232:BH232)</f>
        <v>2.9428571428571429E-3</v>
      </c>
      <c r="I232" s="7">
        <f>AVERAGE(BI232:BO232)</f>
        <v>3.0142857142857146E-3</v>
      </c>
      <c r="J232" s="7">
        <f>AVERAGE(BP232:BV232)</f>
        <v>2.9428571428571429E-3</v>
      </c>
      <c r="K232" s="7">
        <f t="shared" ref="K232:K263" si="70">AVERAGE(BW232:CB232)</f>
        <v>3.3333333333333335E-3</v>
      </c>
      <c r="L232" s="7">
        <f t="shared" ref="L232:L263" si="71">AVERAGE(BX232:CB232)</f>
        <v>3.3E-3</v>
      </c>
      <c r="M232" s="8">
        <v>3.8999999999999998E-3</v>
      </c>
      <c r="N232" s="8">
        <v>4.7000000000000002E-3</v>
      </c>
      <c r="O232" s="8">
        <v>5.7000000000000002E-3</v>
      </c>
      <c r="P232" s="8">
        <v>4.7999999999999996E-3</v>
      </c>
      <c r="Q232" s="8">
        <v>4.4999999999999997E-3</v>
      </c>
      <c r="R232" s="8">
        <v>5.7999999999999996E-3</v>
      </c>
      <c r="S232" s="8">
        <v>6.0000000000000001E-3</v>
      </c>
      <c r="T232" s="8">
        <v>5.4999999999999997E-3</v>
      </c>
      <c r="U232" s="8">
        <v>4.1000000000000003E-3</v>
      </c>
      <c r="V232" s="8">
        <v>5.7999999999999996E-3</v>
      </c>
      <c r="W232" s="8">
        <v>4.4000000000000003E-3</v>
      </c>
      <c r="X232" s="8">
        <v>4.4000000000000003E-3</v>
      </c>
      <c r="Y232" s="8">
        <v>7.3000000000000001E-3</v>
      </c>
      <c r="Z232" s="8">
        <v>6.7000000000000002E-3</v>
      </c>
      <c r="AA232" s="8">
        <v>7.0000000000000001E-3</v>
      </c>
      <c r="AB232" s="8">
        <v>6.1999999999999998E-3</v>
      </c>
      <c r="AC232" s="8">
        <v>8.5000000000000006E-3</v>
      </c>
      <c r="AD232" s="8">
        <v>6.3E-3</v>
      </c>
      <c r="AE232" s="8">
        <v>6.7000000000000002E-3</v>
      </c>
      <c r="AF232" s="8">
        <v>5.5999999999999999E-3</v>
      </c>
      <c r="AG232" s="8">
        <v>6.1999999999999998E-3</v>
      </c>
      <c r="AH232" s="8">
        <v>6.1000000000000004E-3</v>
      </c>
      <c r="AI232" s="8">
        <v>5.7999999999999996E-3</v>
      </c>
      <c r="AJ232" s="8">
        <v>5.7000000000000002E-3</v>
      </c>
      <c r="AK232" s="8">
        <v>5.8999999999999999E-3</v>
      </c>
      <c r="AL232" s="8">
        <v>5.4999999999999997E-3</v>
      </c>
      <c r="AM232" s="7">
        <v>6.6E-3</v>
      </c>
      <c r="AN232" s="7">
        <v>6.1999999999999998E-3</v>
      </c>
      <c r="AO232" s="7">
        <v>4.5999999999999999E-3</v>
      </c>
      <c r="AP232" s="7">
        <v>5.0000000000000001E-3</v>
      </c>
      <c r="AQ232" s="7">
        <v>4.5999999999999999E-3</v>
      </c>
      <c r="AR232" s="7">
        <v>5.5999999999999999E-3</v>
      </c>
      <c r="AS232" s="7">
        <v>5.0000000000000001E-3</v>
      </c>
      <c r="AT232" s="7">
        <v>5.0000000000000001E-3</v>
      </c>
      <c r="AU232" s="7">
        <v>3.7000000000000002E-3</v>
      </c>
      <c r="AV232" s="7">
        <v>2.7000000000000001E-3</v>
      </c>
      <c r="AW232" s="7">
        <v>3.0000000000000001E-3</v>
      </c>
      <c r="AX232" s="7">
        <v>3.2000000000000002E-3</v>
      </c>
      <c r="AY232" s="7">
        <v>2.8999999999999998E-3</v>
      </c>
      <c r="AZ232" s="7">
        <v>3.2000000000000002E-3</v>
      </c>
      <c r="BA232" s="7">
        <v>2.8999999999999998E-3</v>
      </c>
      <c r="BB232" s="7">
        <v>2.5999999999999999E-3</v>
      </c>
      <c r="BC232" s="7">
        <v>3.3999999999999998E-3</v>
      </c>
      <c r="BD232" s="7">
        <v>2.8999999999999998E-3</v>
      </c>
      <c r="BE232" s="7">
        <f>VLOOKUP($A232,'1.Sep'!$Y$8:$AA$1048576,3,0)</f>
        <v>2.8E-3</v>
      </c>
      <c r="BF232" s="7">
        <f>VLOOKUP($A232,'2.Sep'!$Y$8:$AA$1048576,3,0)</f>
        <v>3.3999999999999998E-3</v>
      </c>
      <c r="BG232" s="7">
        <f>VLOOKUP($A232,'3.Sep'!$Y$8:$AA$1048576,3,0)</f>
        <v>2.8E-3</v>
      </c>
      <c r="BH232" s="8">
        <f>VLOOKUP($A232,'4.Sep'!$Y$8:$AA$1048576,3,0)</f>
        <v>2.7000000000000001E-3</v>
      </c>
      <c r="BI232" s="8">
        <f>VLOOKUP($A232,'5.Sep'!$Y$8:$AA$1048576,3,0)</f>
        <v>2.7000000000000001E-3</v>
      </c>
      <c r="BJ232" s="8">
        <f>VLOOKUP($A232,'6.Sep'!$Y$8:$AA$1048576,3,0)</f>
        <v>2.8E-3</v>
      </c>
      <c r="BK232" s="8">
        <f>VLOOKUP($A232,'7.Sep'!$Y$8:$AA$1048576,3,0)</f>
        <v>2.7000000000000001E-3</v>
      </c>
      <c r="BL232" s="8">
        <f>VLOOKUP($A232,'8.Sep'!$Y$8:$AA$1048576,3,0)</f>
        <v>3.3E-3</v>
      </c>
      <c r="BM232" s="8">
        <f>VLOOKUP($A232,'9.Sep'!$Y$8:$AA$1048576,3,0)</f>
        <v>2.8999999999999998E-3</v>
      </c>
      <c r="BN232" s="8">
        <f>VLOOKUP($A232,'10.Sep'!$Y$8:$AA$1048576,3,0)</f>
        <v>3.0000000000000001E-3</v>
      </c>
      <c r="BO232" s="8">
        <f>VLOOKUP($A232,'11.Sep'!$Y$8:$AA$1048576,3,0)</f>
        <v>3.7000000000000002E-3</v>
      </c>
      <c r="BP232" s="7">
        <f>VLOOKUP($A232,'12.Sep'!$Y$8:$AA$1048576,3,0)</f>
        <v>2.7000000000000001E-3</v>
      </c>
      <c r="BQ232" s="7">
        <f>VLOOKUP($A232,'13.Sep'!$Y$8:$AA$1048576,3,0)</f>
        <v>3.0000000000000001E-3</v>
      </c>
      <c r="BR232" s="7">
        <f>VLOOKUP($A232,'14.Sep'!$Y$8:$AA$1048576,3,0)</f>
        <v>2.8999999999999998E-3</v>
      </c>
      <c r="BS232" s="7">
        <f>VLOOKUP($A232,'15.Sep'!$Y$8:$AA$1048576,3,0)</f>
        <v>3.0000000000000001E-3</v>
      </c>
      <c r="BT232" s="7">
        <f>VLOOKUP($A232,'16.Sep'!$Y$8:$AA$1048576,3,0)</f>
        <v>2.8E-3</v>
      </c>
      <c r="BU232" s="7">
        <f>VLOOKUP($A232,'17.Sep'!$Y$8:$AA$1048576,3,0)</f>
        <v>2.8E-3</v>
      </c>
      <c r="BV232" s="7">
        <f>VLOOKUP($A232,'18.Sep'!$Y$8:$AA$1048576,3,0)</f>
        <v>3.3999999999999998E-3</v>
      </c>
      <c r="BW232" s="7">
        <f>VLOOKUP($A232,'19.Sep'!$Y$8:$AA$1048576,3,0)</f>
        <v>3.5000000000000001E-3</v>
      </c>
      <c r="BX232" s="7">
        <f>VLOOKUP($A232,'20.Sep'!$Y$8:$AA$1048576,3,0)</f>
        <v>3.3E-3</v>
      </c>
      <c r="BY232" s="7">
        <f>VLOOKUP($A232,'21.Sep'!$Y$8:$AA$1048576,3,0)</f>
        <v>3.0000000000000001E-3</v>
      </c>
      <c r="BZ232" s="7">
        <f>VLOOKUP($A232,'22.Sep'!$Y$8:$AA$1048576,3,0)</f>
        <v>3.3999999999999998E-3</v>
      </c>
      <c r="CA232" s="7">
        <f>VLOOKUP($A232,'23.Sep'!$Y$8:$AA$1048576,3,0)</f>
        <v>3.3999999999999998E-3</v>
      </c>
      <c r="CB232" s="7">
        <f>VLOOKUP($A232,'24.Sep'!$Y$8:$AA$1048576,3,0)</f>
        <v>3.3999999999999998E-3</v>
      </c>
      <c r="CC232" s="7">
        <f>VLOOKUP($A232,'24.Sep'!$Y$8:$AA$1048576,3,0)</f>
        <v>3.3999999999999998E-3</v>
      </c>
    </row>
    <row r="233" spans="1:81">
      <c r="A233" s="6" t="s">
        <v>3</v>
      </c>
      <c r="B233" s="7">
        <v>3.333333333333334E-3</v>
      </c>
      <c r="C233" s="7">
        <v>2.4285714285714288E-3</v>
      </c>
      <c r="D233" s="7">
        <v>2.6285714285714285E-3</v>
      </c>
      <c r="E233" s="7">
        <v>2.3857142857142857E-3</v>
      </c>
      <c r="F233" s="7">
        <v>2.2714285714285709E-3</v>
      </c>
      <c r="G233" s="7">
        <v>2.0285714285714286E-3</v>
      </c>
      <c r="H233" s="7">
        <f t="shared" ref="H233:H296" si="72">AVERAGE(BB233:BH233)</f>
        <v>1.9714285714285715E-3</v>
      </c>
      <c r="I233" s="7">
        <f t="shared" ref="I233:I296" si="73">AVERAGE(BI233:BO233)</f>
        <v>2E-3</v>
      </c>
      <c r="J233" s="7">
        <f t="shared" ref="J233:J296" si="74">AVERAGE(BP233:BV233)</f>
        <v>2.0571428571428572E-3</v>
      </c>
      <c r="K233" s="7">
        <f t="shared" si="70"/>
        <v>1.9500000000000001E-3</v>
      </c>
      <c r="L233" s="7">
        <f t="shared" si="71"/>
        <v>1.9200000000000003E-3</v>
      </c>
      <c r="M233" s="8">
        <v>4.0000000000000001E-3</v>
      </c>
      <c r="N233" s="8">
        <v>2.3999999999999998E-3</v>
      </c>
      <c r="O233" s="8">
        <v>3.0999999999999999E-3</v>
      </c>
      <c r="P233" s="8">
        <v>3.5999999999999999E-3</v>
      </c>
      <c r="Q233" s="8">
        <v>3.7000000000000002E-3</v>
      </c>
      <c r="R233" s="8">
        <v>3.2000000000000002E-3</v>
      </c>
      <c r="S233" s="8">
        <v>3.3E-3</v>
      </c>
      <c r="T233" s="8">
        <v>1.6000000000000001E-3</v>
      </c>
      <c r="U233" s="8">
        <v>2.2000000000000001E-3</v>
      </c>
      <c r="V233" s="8">
        <v>1.4E-3</v>
      </c>
      <c r="W233" s="8">
        <v>2.8E-3</v>
      </c>
      <c r="X233" s="8">
        <v>2.8E-3</v>
      </c>
      <c r="Y233" s="8">
        <v>2.8999999999999998E-3</v>
      </c>
      <c r="Z233" s="8">
        <v>2.3E-3</v>
      </c>
      <c r="AA233" s="8">
        <v>2.7000000000000001E-3</v>
      </c>
      <c r="AB233" s="8">
        <v>2.8999999999999998E-3</v>
      </c>
      <c r="AC233" s="8">
        <v>2.8999999999999998E-3</v>
      </c>
      <c r="AD233" s="8">
        <v>2.5999999999999999E-3</v>
      </c>
      <c r="AE233" s="8">
        <v>2.7000000000000001E-3</v>
      </c>
      <c r="AF233" s="8">
        <v>2.3E-3</v>
      </c>
      <c r="AG233" s="8">
        <v>2.8999999999999998E-3</v>
      </c>
      <c r="AH233" s="8">
        <v>2.2000000000000001E-3</v>
      </c>
      <c r="AI233" s="8">
        <v>2.0999999999999999E-3</v>
      </c>
      <c r="AJ233" s="8">
        <v>2.5000000000000001E-3</v>
      </c>
      <c r="AK233" s="8">
        <v>2.2000000000000001E-3</v>
      </c>
      <c r="AL233" s="8">
        <v>2.2000000000000001E-3</v>
      </c>
      <c r="AM233" s="7">
        <v>2.5999999999999999E-3</v>
      </c>
      <c r="AN233" s="7">
        <v>2.8E-3</v>
      </c>
      <c r="AO233" s="7">
        <v>1.9E-3</v>
      </c>
      <c r="AP233" s="7">
        <v>2.0999999999999999E-3</v>
      </c>
      <c r="AQ233" s="7">
        <v>2.0999999999999999E-3</v>
      </c>
      <c r="AR233" s="7">
        <v>2.3999999999999998E-3</v>
      </c>
      <c r="AS233" s="7">
        <v>2.3E-3</v>
      </c>
      <c r="AT233" s="7">
        <v>2.3E-3</v>
      </c>
      <c r="AU233" s="7">
        <v>2.5000000000000001E-3</v>
      </c>
      <c r="AV233" s="7">
        <v>2.5999999999999999E-3</v>
      </c>
      <c r="AW233" s="7">
        <v>1.9E-3</v>
      </c>
      <c r="AX233" s="7">
        <v>1.8E-3</v>
      </c>
      <c r="AY233" s="7">
        <v>2E-3</v>
      </c>
      <c r="AZ233" s="7">
        <v>1.9E-3</v>
      </c>
      <c r="BA233" s="7">
        <v>1.5E-3</v>
      </c>
      <c r="BB233" s="7">
        <v>1.9E-3</v>
      </c>
      <c r="BC233" s="7">
        <v>1.6999999999999999E-3</v>
      </c>
      <c r="BD233" s="7">
        <v>1.8E-3</v>
      </c>
      <c r="BE233" s="7">
        <f>VLOOKUP($A233,'1.Sep'!$Y$8:$AA$1048576,3,0)</f>
        <v>2.0999999999999999E-3</v>
      </c>
      <c r="BF233" s="7">
        <f>VLOOKUP($A233,'2.Sep'!$Y$8:$AA$1048576,3,0)</f>
        <v>1.6999999999999999E-3</v>
      </c>
      <c r="BG233" s="7">
        <f>VLOOKUP($A233,'3.Sep'!$Y$8:$AA$1048576,3,0)</f>
        <v>2.2000000000000001E-3</v>
      </c>
      <c r="BH233" s="8">
        <f>VLOOKUP($A233,'4.Sep'!$Y$8:$AA$1048576,3,0)</f>
        <v>2.3999999999999998E-3</v>
      </c>
      <c r="BI233" s="8">
        <f>VLOOKUP($A233,'5.Sep'!$Y$8:$AA$1048576,3,0)</f>
        <v>1.9E-3</v>
      </c>
      <c r="BJ233" s="8">
        <f>VLOOKUP($A233,'6.Sep'!$Y$8:$AA$1048576,3,0)</f>
        <v>2E-3</v>
      </c>
      <c r="BK233" s="8">
        <f>VLOOKUP($A233,'7.Sep'!$Y$8:$AA$1048576,3,0)</f>
        <v>1.9E-3</v>
      </c>
      <c r="BL233" s="8">
        <f>VLOOKUP($A233,'8.Sep'!$Y$8:$AA$1048576,3,0)</f>
        <v>2.0999999999999999E-3</v>
      </c>
      <c r="BM233" s="8">
        <f>VLOOKUP($A233,'9.Sep'!$Y$8:$AA$1048576,3,0)</f>
        <v>2E-3</v>
      </c>
      <c r="BN233" s="8">
        <f>VLOOKUP($A233,'10.Sep'!$Y$8:$AA$1048576,3,0)</f>
        <v>1.9E-3</v>
      </c>
      <c r="BO233" s="8">
        <f>VLOOKUP($A233,'11.Sep'!$Y$8:$AA$1048576,3,0)</f>
        <v>2.2000000000000001E-3</v>
      </c>
      <c r="BP233" s="7">
        <f>VLOOKUP($A233,'12.Sep'!$Y$8:$AA$1048576,3,0)</f>
        <v>1.9E-3</v>
      </c>
      <c r="BQ233" s="7">
        <f>VLOOKUP($A233,'13.Sep'!$Y$8:$AA$1048576,3,0)</f>
        <v>2.0999999999999999E-3</v>
      </c>
      <c r="BR233" s="7">
        <f>VLOOKUP($A233,'14.Sep'!$Y$8:$AA$1048576,3,0)</f>
        <v>2.3999999999999998E-3</v>
      </c>
      <c r="BS233" s="7">
        <f>VLOOKUP($A233,'15.Sep'!$Y$8:$AA$1048576,3,0)</f>
        <v>2E-3</v>
      </c>
      <c r="BT233" s="7">
        <f>VLOOKUP($A233,'16.Sep'!$Y$8:$AA$1048576,3,0)</f>
        <v>2E-3</v>
      </c>
      <c r="BU233" s="7">
        <f>VLOOKUP($A233,'17.Sep'!$Y$8:$AA$1048576,3,0)</f>
        <v>2.0999999999999999E-3</v>
      </c>
      <c r="BV233" s="7">
        <f>VLOOKUP($A233,'18.Sep'!$Y$8:$AA$1048576,3,0)</f>
        <v>1.9E-3</v>
      </c>
      <c r="BW233" s="7">
        <f>VLOOKUP($A233,'19.Sep'!$Y$8:$AA$1048576,3,0)</f>
        <v>2.0999999999999999E-3</v>
      </c>
      <c r="BX233" s="7">
        <f>VLOOKUP($A233,'20.Sep'!$Y$8:$AA$1048576,3,0)</f>
        <v>1.6999999999999999E-3</v>
      </c>
      <c r="BY233" s="7">
        <f>VLOOKUP($A233,'21.Sep'!$Y$8:$AA$1048576,3,0)</f>
        <v>1.9E-3</v>
      </c>
      <c r="BZ233" s="7">
        <f>VLOOKUP($A233,'22.Sep'!$Y$8:$AA$1048576,3,0)</f>
        <v>2E-3</v>
      </c>
      <c r="CA233" s="7">
        <f>VLOOKUP($A233,'23.Sep'!$Y$8:$AA$1048576,3,0)</f>
        <v>2.0999999999999999E-3</v>
      </c>
      <c r="CB233" s="7">
        <f>VLOOKUP($A233,'24.Sep'!$Y$8:$AA$1048576,3,0)</f>
        <v>1.9E-3</v>
      </c>
      <c r="CC233" s="7">
        <f>VLOOKUP($A233,'24.Sep'!$Y$8:$AA$1048576,3,0)</f>
        <v>1.9E-3</v>
      </c>
    </row>
    <row r="234" spans="1:81">
      <c r="A234" s="6" t="s">
        <v>5</v>
      </c>
      <c r="B234" s="7">
        <v>1.6499999999999998E-3</v>
      </c>
      <c r="C234" s="7">
        <v>8.2857142857142862E-4</v>
      </c>
      <c r="D234" s="7">
        <v>1.6285714285714284E-3</v>
      </c>
      <c r="E234" s="7">
        <v>2.5142857142857141E-3</v>
      </c>
      <c r="F234" s="7">
        <v>1.6142857142857144E-3</v>
      </c>
      <c r="G234" s="7">
        <v>1.1285714285714284E-3</v>
      </c>
      <c r="H234" s="7">
        <f t="shared" si="72"/>
        <v>1E-3</v>
      </c>
      <c r="I234" s="7">
        <f t="shared" si="73"/>
        <v>9.2857142857142856E-4</v>
      </c>
      <c r="J234" s="7">
        <f t="shared" si="74"/>
        <v>9.5714285714285714E-4</v>
      </c>
      <c r="K234" s="7">
        <f t="shared" si="70"/>
        <v>1.0833333333333333E-3</v>
      </c>
      <c r="L234" s="7">
        <f t="shared" si="71"/>
        <v>1.0400000000000001E-3</v>
      </c>
      <c r="M234" s="8">
        <v>1.2999999999999999E-3</v>
      </c>
      <c r="N234" s="8">
        <v>3.5000000000000001E-3</v>
      </c>
      <c r="O234" s="8">
        <v>5.0000000000000001E-4</v>
      </c>
      <c r="P234" s="8">
        <v>3.3E-3</v>
      </c>
      <c r="Q234" s="8">
        <v>6.9999999999999999E-4</v>
      </c>
      <c r="R234" s="8">
        <v>5.9999999999999995E-4</v>
      </c>
      <c r="S234" s="8">
        <v>5.0000000000000001E-4</v>
      </c>
      <c r="T234" s="8">
        <v>1E-3</v>
      </c>
      <c r="U234" s="8">
        <v>5.9999999999999995E-4</v>
      </c>
      <c r="V234" s="8">
        <v>6.9999999999999999E-4</v>
      </c>
      <c r="W234" s="8">
        <v>8.0000000000000004E-4</v>
      </c>
      <c r="X234" s="8">
        <v>8.0000000000000004E-4</v>
      </c>
      <c r="Y234" s="8">
        <v>1.4E-3</v>
      </c>
      <c r="Z234" s="8">
        <v>1.2999999999999999E-3</v>
      </c>
      <c r="AA234" s="8">
        <v>1.1999999999999999E-3</v>
      </c>
      <c r="AB234" s="8">
        <v>8.9999999999999998E-4</v>
      </c>
      <c r="AC234" s="8">
        <v>1.9E-3</v>
      </c>
      <c r="AD234" s="8">
        <v>2.8E-3</v>
      </c>
      <c r="AE234" s="8">
        <v>1.8E-3</v>
      </c>
      <c r="AF234" s="8">
        <v>1.5E-3</v>
      </c>
      <c r="AG234" s="8">
        <v>1.9E-3</v>
      </c>
      <c r="AH234" s="8">
        <v>1.5E-3</v>
      </c>
      <c r="AI234" s="8">
        <v>1.2999999999999999E-3</v>
      </c>
      <c r="AJ234" s="8">
        <v>1.6999999999999999E-3</v>
      </c>
      <c r="AK234" s="8">
        <v>1.6000000000000001E-3</v>
      </c>
      <c r="AL234" s="8">
        <v>4.7000000000000002E-3</v>
      </c>
      <c r="AM234" s="7">
        <v>4.8999999999999998E-3</v>
      </c>
      <c r="AN234" s="7">
        <v>2.8E-3</v>
      </c>
      <c r="AO234" s="7">
        <v>1.4E-3</v>
      </c>
      <c r="AP234" s="7">
        <v>8.0000000000000004E-4</v>
      </c>
      <c r="AQ234" s="7">
        <v>1.2999999999999999E-3</v>
      </c>
      <c r="AR234" s="7">
        <v>1E-3</v>
      </c>
      <c r="AS234" s="7">
        <v>1.2999999999999999E-3</v>
      </c>
      <c r="AT234" s="7">
        <v>2.7000000000000001E-3</v>
      </c>
      <c r="AU234" s="7">
        <v>2.0999999999999999E-3</v>
      </c>
      <c r="AV234" s="7">
        <v>1.1999999999999999E-3</v>
      </c>
      <c r="AW234" s="7">
        <v>8.9999999999999998E-4</v>
      </c>
      <c r="AX234" s="7">
        <v>8.9999999999999998E-4</v>
      </c>
      <c r="AY234" s="7">
        <v>1E-3</v>
      </c>
      <c r="AZ234" s="7">
        <v>5.9999999999999995E-4</v>
      </c>
      <c r="BA234" s="7">
        <v>1.1999999999999999E-3</v>
      </c>
      <c r="BB234" s="7">
        <v>1.1999999999999999E-3</v>
      </c>
      <c r="BC234" s="7">
        <v>8.0000000000000004E-4</v>
      </c>
      <c r="BD234" s="7">
        <v>1.1000000000000001E-3</v>
      </c>
      <c r="BE234" s="7">
        <f>VLOOKUP($A234,'1.Sep'!$Y$8:$AA$1048576,3,0)</f>
        <v>8.0000000000000004E-4</v>
      </c>
      <c r="BF234" s="7">
        <f>VLOOKUP($A234,'2.Sep'!$Y$8:$AA$1048576,3,0)</f>
        <v>8.0000000000000004E-4</v>
      </c>
      <c r="BG234" s="7">
        <f>VLOOKUP($A234,'3.Sep'!$Y$8:$AA$1048576,3,0)</f>
        <v>1.1000000000000001E-3</v>
      </c>
      <c r="BH234" s="8">
        <f>VLOOKUP($A234,'4.Sep'!$Y$8:$AA$1048576,3,0)</f>
        <v>1.1999999999999999E-3</v>
      </c>
      <c r="BI234" s="8">
        <f>VLOOKUP($A234,'5.Sep'!$Y$8:$AA$1048576,3,0)</f>
        <v>1.1000000000000001E-3</v>
      </c>
      <c r="BJ234" s="8">
        <f>VLOOKUP($A234,'6.Sep'!$Y$8:$AA$1048576,3,0)</f>
        <v>1.1000000000000001E-3</v>
      </c>
      <c r="BK234" s="8">
        <f>VLOOKUP($A234,'7.Sep'!$Y$8:$AA$1048576,3,0)</f>
        <v>8.9999999999999998E-4</v>
      </c>
      <c r="BL234" s="8">
        <f>VLOOKUP($A234,'8.Sep'!$Y$8:$AA$1048576,3,0)</f>
        <v>8.0000000000000004E-4</v>
      </c>
      <c r="BM234" s="8">
        <f>VLOOKUP($A234,'9.Sep'!$Y$8:$AA$1048576,3,0)</f>
        <v>8.0000000000000004E-4</v>
      </c>
      <c r="BN234" s="8">
        <f>VLOOKUP($A234,'10.Sep'!$Y$8:$AA$1048576,3,0)</f>
        <v>8.9999999999999998E-4</v>
      </c>
      <c r="BO234" s="8">
        <f>VLOOKUP($A234,'11.Sep'!$Y$8:$AA$1048576,3,0)</f>
        <v>8.9999999999999998E-4</v>
      </c>
      <c r="BP234" s="7">
        <f>VLOOKUP($A234,'12.Sep'!$Y$8:$AA$1048576,3,0)</f>
        <v>6.9999999999999999E-4</v>
      </c>
      <c r="BQ234" s="7">
        <f>VLOOKUP($A234,'13.Sep'!$Y$8:$AA$1048576,3,0)</f>
        <v>1.2999999999999999E-3</v>
      </c>
      <c r="BR234" s="7">
        <f>VLOOKUP($A234,'14.Sep'!$Y$8:$AA$1048576,3,0)</f>
        <v>1E-3</v>
      </c>
      <c r="BS234" s="7">
        <f>VLOOKUP($A234,'15.Sep'!$Y$8:$AA$1048576,3,0)</f>
        <v>1.1999999999999999E-3</v>
      </c>
      <c r="BT234" s="7">
        <f>VLOOKUP($A234,'16.Sep'!$Y$8:$AA$1048576,3,0)</f>
        <v>1.1000000000000001E-3</v>
      </c>
      <c r="BU234" s="7">
        <f>VLOOKUP($A234,'17.Sep'!$Y$8:$AA$1048576,3,0)</f>
        <v>6.9999999999999999E-4</v>
      </c>
      <c r="BV234" s="7">
        <f>VLOOKUP($A234,'18.Sep'!$Y$8:$AA$1048576,3,0)</f>
        <v>6.9999999999999999E-4</v>
      </c>
      <c r="BW234" s="7">
        <f>VLOOKUP($A234,'19.Sep'!$Y$8:$AA$1048576,3,0)</f>
        <v>1.2999999999999999E-3</v>
      </c>
      <c r="BX234" s="7">
        <f>VLOOKUP($A234,'20.Sep'!$Y$8:$AA$1048576,3,0)</f>
        <v>6.9999999999999999E-4</v>
      </c>
      <c r="BY234" s="7">
        <f>VLOOKUP($A234,'21.Sep'!$Y$8:$AA$1048576,3,0)</f>
        <v>1.1000000000000001E-3</v>
      </c>
      <c r="BZ234" s="7">
        <f>VLOOKUP($A234,'22.Sep'!$Y$8:$AA$1048576,3,0)</f>
        <v>8.9999999999999998E-4</v>
      </c>
      <c r="CA234" s="7">
        <f>VLOOKUP($A234,'23.Sep'!$Y$8:$AA$1048576,3,0)</f>
        <v>1.5E-3</v>
      </c>
      <c r="CB234" s="7">
        <f>VLOOKUP($A234,'24.Sep'!$Y$8:$AA$1048576,3,0)</f>
        <v>1E-3</v>
      </c>
      <c r="CC234" s="7">
        <f>VLOOKUP($A234,'24.Sep'!$Y$8:$AA$1048576,3,0)</f>
        <v>1E-3</v>
      </c>
    </row>
    <row r="235" spans="1:81">
      <c r="A235" s="6" t="s">
        <v>7</v>
      </c>
      <c r="B235" s="7">
        <v>5.8333333333333338E-4</v>
      </c>
      <c r="C235" s="7">
        <v>7.7142857142857145E-4</v>
      </c>
      <c r="D235" s="7">
        <v>1.0857142857142856E-3</v>
      </c>
      <c r="E235" s="7">
        <v>9.2857142857142867E-4</v>
      </c>
      <c r="F235" s="7">
        <v>6.9999999999999999E-4</v>
      </c>
      <c r="G235" s="7">
        <v>5.2857142857142849E-4</v>
      </c>
      <c r="H235" s="7">
        <f t="shared" si="72"/>
        <v>4.8571428571428577E-4</v>
      </c>
      <c r="I235" s="7">
        <f t="shared" si="73"/>
        <v>5.2857142857142849E-4</v>
      </c>
      <c r="J235" s="7">
        <f t="shared" si="74"/>
        <v>5.1428571428571419E-4</v>
      </c>
      <c r="K235" s="7">
        <f t="shared" si="70"/>
        <v>6.8333333333333321E-4</v>
      </c>
      <c r="L235" s="7">
        <f t="shared" si="71"/>
        <v>6.6E-4</v>
      </c>
      <c r="M235" s="8">
        <v>1E-4</v>
      </c>
      <c r="N235" s="8">
        <v>1E-4</v>
      </c>
      <c r="O235" s="8">
        <v>8.9999999999999998E-4</v>
      </c>
      <c r="P235" s="8">
        <v>1.1000000000000001E-3</v>
      </c>
      <c r="Q235" s="8">
        <v>8.9999999999999998E-4</v>
      </c>
      <c r="R235" s="8">
        <v>4.0000000000000002E-4</v>
      </c>
      <c r="S235" s="8">
        <v>8.0000000000000004E-4</v>
      </c>
      <c r="T235" s="8">
        <v>1.1000000000000001E-3</v>
      </c>
      <c r="U235" s="8">
        <v>8.0000000000000004E-4</v>
      </c>
      <c r="V235" s="8">
        <v>5.0000000000000001E-4</v>
      </c>
      <c r="W235" s="8">
        <v>6.9999999999999999E-4</v>
      </c>
      <c r="X235" s="8">
        <v>6.9999999999999999E-4</v>
      </c>
      <c r="Y235" s="8">
        <v>8.0000000000000004E-4</v>
      </c>
      <c r="Z235" s="8">
        <v>1E-3</v>
      </c>
      <c r="AA235" s="8">
        <v>1.1999999999999999E-3</v>
      </c>
      <c r="AB235" s="8">
        <v>1.1999999999999999E-3</v>
      </c>
      <c r="AC235" s="8">
        <v>1.2999999999999999E-3</v>
      </c>
      <c r="AD235" s="8">
        <v>1E-3</v>
      </c>
      <c r="AE235" s="8">
        <v>8.9999999999999998E-4</v>
      </c>
      <c r="AF235" s="8">
        <v>1E-3</v>
      </c>
      <c r="AG235" s="8">
        <v>1E-3</v>
      </c>
      <c r="AH235" s="8">
        <v>1.1999999999999999E-3</v>
      </c>
      <c r="AI235" s="8">
        <v>8.9999999999999998E-4</v>
      </c>
      <c r="AJ235" s="8">
        <v>1.1000000000000001E-3</v>
      </c>
      <c r="AK235" s="8">
        <v>8.0000000000000004E-4</v>
      </c>
      <c r="AL235" s="8">
        <v>6.9999999999999999E-4</v>
      </c>
      <c r="AM235" s="7">
        <v>8.0000000000000004E-4</v>
      </c>
      <c r="AN235" s="7">
        <v>6.9999999999999999E-4</v>
      </c>
      <c r="AO235" s="7">
        <v>6.9999999999999999E-4</v>
      </c>
      <c r="AP235" s="7">
        <v>8.9999999999999998E-4</v>
      </c>
      <c r="AQ235" s="7">
        <v>5.9999999999999995E-4</v>
      </c>
      <c r="AR235" s="7">
        <v>5.0000000000000001E-4</v>
      </c>
      <c r="AS235" s="7">
        <v>8.0000000000000004E-4</v>
      </c>
      <c r="AT235" s="7">
        <v>6.9999999999999999E-4</v>
      </c>
      <c r="AU235" s="7">
        <v>5.0000000000000001E-4</v>
      </c>
      <c r="AV235" s="7">
        <v>5.9999999999999995E-4</v>
      </c>
      <c r="AW235" s="7">
        <v>5.0000000000000001E-4</v>
      </c>
      <c r="AX235" s="7">
        <v>5.0000000000000001E-4</v>
      </c>
      <c r="AY235" s="7">
        <v>5.0000000000000001E-4</v>
      </c>
      <c r="AZ235" s="7">
        <v>5.9999999999999995E-4</v>
      </c>
      <c r="BA235" s="7">
        <v>5.0000000000000001E-4</v>
      </c>
      <c r="BB235" s="7">
        <v>5.0000000000000001E-4</v>
      </c>
      <c r="BC235" s="7">
        <v>4.0000000000000002E-4</v>
      </c>
      <c r="BD235" s="7">
        <v>5.9999999999999995E-4</v>
      </c>
      <c r="BE235" s="7">
        <f>VLOOKUP($A235,'1.Sep'!$Y$8:$AA$1048576,3,0)</f>
        <v>5.0000000000000001E-4</v>
      </c>
      <c r="BF235" s="7">
        <f>VLOOKUP($A235,'2.Sep'!$Y$8:$AA$1048576,3,0)</f>
        <v>4.0000000000000002E-4</v>
      </c>
      <c r="BG235" s="7">
        <f>VLOOKUP($A235,'3.Sep'!$Y$8:$AA$1048576,3,0)</f>
        <v>4.0000000000000002E-4</v>
      </c>
      <c r="BH235" s="8">
        <f>VLOOKUP($A235,'4.Sep'!$Y$8:$AA$1048576,3,0)</f>
        <v>5.9999999999999995E-4</v>
      </c>
      <c r="BI235" s="8">
        <f>VLOOKUP($A235,'5.Sep'!$Y$8:$AA$1048576,3,0)</f>
        <v>5.9999999999999995E-4</v>
      </c>
      <c r="BJ235" s="8">
        <f>VLOOKUP($A235,'6.Sep'!$Y$8:$AA$1048576,3,0)</f>
        <v>5.0000000000000001E-4</v>
      </c>
      <c r="BK235" s="8">
        <f>VLOOKUP($A235,'7.Sep'!$Y$8:$AA$1048576,3,0)</f>
        <v>5.0000000000000001E-4</v>
      </c>
      <c r="BL235" s="8">
        <f>VLOOKUP($A235,'8.Sep'!$Y$8:$AA$1048576,3,0)</f>
        <v>5.0000000000000001E-4</v>
      </c>
      <c r="BM235" s="8">
        <f>VLOOKUP($A235,'9.Sep'!$Y$8:$AA$1048576,3,0)</f>
        <v>5.0000000000000001E-4</v>
      </c>
      <c r="BN235" s="8">
        <f>VLOOKUP($A235,'10.Sep'!$Y$8:$AA$1048576,3,0)</f>
        <v>5.0000000000000001E-4</v>
      </c>
      <c r="BO235" s="8">
        <f>VLOOKUP($A235,'11.Sep'!$Y$8:$AA$1048576,3,0)</f>
        <v>5.9999999999999995E-4</v>
      </c>
      <c r="BP235" s="7">
        <f>VLOOKUP($A235,'12.Sep'!$Y$8:$AA$1048576,3,0)</f>
        <v>4.0000000000000002E-4</v>
      </c>
      <c r="BQ235" s="7">
        <f>VLOOKUP($A235,'13.Sep'!$Y$8:$AA$1048576,3,0)</f>
        <v>4.0000000000000002E-4</v>
      </c>
      <c r="BR235" s="7">
        <f>VLOOKUP($A235,'14.Sep'!$Y$8:$AA$1048576,3,0)</f>
        <v>5.0000000000000001E-4</v>
      </c>
      <c r="BS235" s="7">
        <f>VLOOKUP($A235,'15.Sep'!$Y$8:$AA$1048576,3,0)</f>
        <v>4.0000000000000002E-4</v>
      </c>
      <c r="BT235" s="7">
        <f>VLOOKUP($A235,'16.Sep'!$Y$8:$AA$1048576,3,0)</f>
        <v>5.0000000000000001E-4</v>
      </c>
      <c r="BU235" s="7">
        <f>VLOOKUP($A235,'17.Sep'!$Y$8:$AA$1048576,3,0)</f>
        <v>5.9999999999999995E-4</v>
      </c>
      <c r="BV235" s="7">
        <f>VLOOKUP($A235,'18.Sep'!$Y$8:$AA$1048576,3,0)</f>
        <v>8.0000000000000004E-4</v>
      </c>
      <c r="BW235" s="7">
        <f>VLOOKUP($A235,'19.Sep'!$Y$8:$AA$1048576,3,0)</f>
        <v>8.0000000000000004E-4</v>
      </c>
      <c r="BX235" s="7">
        <f>VLOOKUP($A235,'20.Sep'!$Y$8:$AA$1048576,3,0)</f>
        <v>5.9999999999999995E-4</v>
      </c>
      <c r="BY235" s="7">
        <f>VLOOKUP($A235,'21.Sep'!$Y$8:$AA$1048576,3,0)</f>
        <v>6.9999999999999999E-4</v>
      </c>
      <c r="BZ235" s="7">
        <f>VLOOKUP($A235,'22.Sep'!$Y$8:$AA$1048576,3,0)</f>
        <v>6.9999999999999999E-4</v>
      </c>
      <c r="CA235" s="7">
        <f>VLOOKUP($A235,'23.Sep'!$Y$8:$AA$1048576,3,0)</f>
        <v>5.9999999999999995E-4</v>
      </c>
      <c r="CB235" s="7">
        <f>VLOOKUP($A235,'24.Sep'!$Y$8:$AA$1048576,3,0)</f>
        <v>6.9999999999999999E-4</v>
      </c>
      <c r="CC235" s="7">
        <f>VLOOKUP($A235,'24.Sep'!$Y$8:$AA$1048576,3,0)</f>
        <v>6.9999999999999999E-4</v>
      </c>
    </row>
    <row r="236" spans="1:81">
      <c r="A236" s="6" t="s">
        <v>8</v>
      </c>
      <c r="B236" s="7">
        <v>1.25E-3</v>
      </c>
      <c r="C236" s="7">
        <v>1.157142857142857E-3</v>
      </c>
      <c r="D236" s="7">
        <v>1.7285714285714285E-3</v>
      </c>
      <c r="E236" s="7">
        <v>2.2285714285714287E-3</v>
      </c>
      <c r="F236" s="7">
        <v>1.742857142857143E-3</v>
      </c>
      <c r="G236" s="7">
        <v>3.0571428571428577E-3</v>
      </c>
      <c r="H236" s="7">
        <f t="shared" si="72"/>
        <v>1.9571428571428569E-3</v>
      </c>
      <c r="I236" s="7">
        <f t="shared" si="73"/>
        <v>1.9428571428571431E-3</v>
      </c>
      <c r="J236" s="7">
        <f t="shared" si="74"/>
        <v>2.3714285714285716E-3</v>
      </c>
      <c r="K236" s="7">
        <f t="shared" si="70"/>
        <v>2.6666666666666666E-3</v>
      </c>
      <c r="L236" s="7">
        <f t="shared" si="71"/>
        <v>2.5999999999999999E-3</v>
      </c>
      <c r="M236" s="8">
        <v>2.7000000000000001E-3</v>
      </c>
      <c r="N236" s="8">
        <v>1.4E-3</v>
      </c>
      <c r="O236" s="8">
        <v>2.9999999999999997E-4</v>
      </c>
      <c r="P236" s="8">
        <v>1.6000000000000001E-3</v>
      </c>
      <c r="Q236" s="8">
        <v>1E-3</v>
      </c>
      <c r="R236" s="8">
        <v>5.0000000000000001E-4</v>
      </c>
      <c r="S236" s="8">
        <v>2.0000000000000001E-4</v>
      </c>
      <c r="T236" s="8">
        <v>1.6000000000000001E-3</v>
      </c>
      <c r="U236" s="8">
        <v>6.9999999999999999E-4</v>
      </c>
      <c r="V236" s="8">
        <v>1E-3</v>
      </c>
      <c r="W236" s="8">
        <v>1.8E-3</v>
      </c>
      <c r="X236" s="8">
        <v>1.8E-3</v>
      </c>
      <c r="Y236" s="8">
        <v>1E-3</v>
      </c>
      <c r="Z236" s="8">
        <v>5.9999999999999995E-4</v>
      </c>
      <c r="AA236" s="8">
        <v>8.9999999999999998E-4</v>
      </c>
      <c r="AB236" s="8">
        <v>1.8E-3</v>
      </c>
      <c r="AC236" s="8">
        <v>8.9999999999999998E-4</v>
      </c>
      <c r="AD236" s="8">
        <v>2.3E-3</v>
      </c>
      <c r="AE236" s="8">
        <v>3.3E-3</v>
      </c>
      <c r="AF236" s="8">
        <v>2.3E-3</v>
      </c>
      <c r="AG236" s="8">
        <v>1.2999999999999999E-3</v>
      </c>
      <c r="AH236" s="8">
        <v>2.2000000000000001E-3</v>
      </c>
      <c r="AI236" s="8">
        <v>2.8E-3</v>
      </c>
      <c r="AJ236" s="8">
        <v>1.5E-3</v>
      </c>
      <c r="AK236" s="8">
        <v>2.2000000000000001E-3</v>
      </c>
      <c r="AL236" s="8">
        <v>2.2000000000000001E-3</v>
      </c>
      <c r="AM236" s="7">
        <v>3.3999999999999998E-3</v>
      </c>
      <c r="AN236" s="7">
        <v>2.2000000000000001E-3</v>
      </c>
      <c r="AO236" s="7">
        <v>5.9999999999999995E-4</v>
      </c>
      <c r="AP236" s="7">
        <v>2.2000000000000001E-3</v>
      </c>
      <c r="AQ236" s="7">
        <v>2.0999999999999999E-3</v>
      </c>
      <c r="AR236" s="7">
        <v>2.0999999999999999E-3</v>
      </c>
      <c r="AS236" s="7">
        <v>1.4E-3</v>
      </c>
      <c r="AT236" s="7">
        <v>1.6000000000000001E-3</v>
      </c>
      <c r="AU236" s="7">
        <v>1.5E-3</v>
      </c>
      <c r="AV236" s="7">
        <v>2E-3</v>
      </c>
      <c r="AW236" s="7">
        <v>2.7000000000000001E-3</v>
      </c>
      <c r="AX236" s="7">
        <v>4.1000000000000003E-3</v>
      </c>
      <c r="AY236" s="7">
        <v>2.7000000000000001E-3</v>
      </c>
      <c r="AZ236" s="7">
        <v>3.3E-3</v>
      </c>
      <c r="BA236" s="7">
        <v>5.1000000000000004E-3</v>
      </c>
      <c r="BB236" s="7">
        <v>2.0999999999999999E-3</v>
      </c>
      <c r="BC236" s="7">
        <v>2.5999999999999999E-3</v>
      </c>
      <c r="BD236" s="7">
        <v>2.3E-3</v>
      </c>
      <c r="BE236" s="7">
        <f>VLOOKUP($A236,'1.Sep'!$Y$8:$AA$1048576,3,0)</f>
        <v>1.6999999999999999E-3</v>
      </c>
      <c r="BF236" s="7">
        <f>VLOOKUP($A236,'2.Sep'!$Y$8:$AA$1048576,3,0)</f>
        <v>2.5999999999999999E-3</v>
      </c>
      <c r="BG236" s="7">
        <f>VLOOKUP($A236,'3.Sep'!$Y$8:$AA$1048576,3,0)</f>
        <v>1.1999999999999999E-3</v>
      </c>
      <c r="BH236" s="8">
        <f>VLOOKUP($A236,'4.Sep'!$Y$8:$AA$1048576,3,0)</f>
        <v>1.1999999999999999E-3</v>
      </c>
      <c r="BI236" s="8">
        <f>VLOOKUP($A236,'5.Sep'!$Y$8:$AA$1048576,3,0)</f>
        <v>8.9999999999999998E-4</v>
      </c>
      <c r="BJ236" s="8">
        <f>VLOOKUP($A236,'6.Sep'!$Y$8:$AA$1048576,3,0)</f>
        <v>2.2000000000000001E-3</v>
      </c>
      <c r="BK236" s="8">
        <f>VLOOKUP($A236,'7.Sep'!$Y$8:$AA$1048576,3,0)</f>
        <v>1.4E-3</v>
      </c>
      <c r="BL236" s="8">
        <f>VLOOKUP($A236,'8.Sep'!$Y$8:$AA$1048576,3,0)</f>
        <v>1.9E-3</v>
      </c>
      <c r="BM236" s="8">
        <f>VLOOKUP($A236,'9.Sep'!$Y$8:$AA$1048576,3,0)</f>
        <v>1.4E-3</v>
      </c>
      <c r="BN236" s="8">
        <f>VLOOKUP($A236,'10.Sep'!$Y$8:$AA$1048576,3,0)</f>
        <v>2.8999999999999998E-3</v>
      </c>
      <c r="BO236" s="8">
        <f>VLOOKUP($A236,'11.Sep'!$Y$8:$AA$1048576,3,0)</f>
        <v>2.8999999999999998E-3</v>
      </c>
      <c r="BP236" s="7">
        <f>VLOOKUP($A236,'12.Sep'!$Y$8:$AA$1048576,3,0)</f>
        <v>2.2000000000000001E-3</v>
      </c>
      <c r="BQ236" s="7">
        <f>VLOOKUP($A236,'13.Sep'!$Y$8:$AA$1048576,3,0)</f>
        <v>2.2000000000000001E-3</v>
      </c>
      <c r="BR236" s="7">
        <f>VLOOKUP($A236,'14.Sep'!$Y$8:$AA$1048576,3,0)</f>
        <v>3.0000000000000001E-3</v>
      </c>
      <c r="BS236" s="7">
        <f>VLOOKUP($A236,'15.Sep'!$Y$8:$AA$1048576,3,0)</f>
        <v>1.1999999999999999E-3</v>
      </c>
      <c r="BT236" s="7">
        <f>VLOOKUP($A236,'16.Sep'!$Y$8:$AA$1048576,3,0)</f>
        <v>2.3E-3</v>
      </c>
      <c r="BU236" s="7">
        <f>VLOOKUP($A236,'17.Sep'!$Y$8:$AA$1048576,3,0)</f>
        <v>3.8999999999999998E-3</v>
      </c>
      <c r="BV236" s="7">
        <f>VLOOKUP($A236,'18.Sep'!$Y$8:$AA$1048576,3,0)</f>
        <v>1.8E-3</v>
      </c>
      <c r="BW236" s="7">
        <f>VLOOKUP($A236,'19.Sep'!$Y$8:$AA$1048576,3,0)</f>
        <v>3.0000000000000001E-3</v>
      </c>
      <c r="BX236" s="7">
        <f>VLOOKUP($A236,'20.Sep'!$Y$8:$AA$1048576,3,0)</f>
        <v>2.5000000000000001E-3</v>
      </c>
      <c r="BY236" s="7">
        <f>VLOOKUP($A236,'21.Sep'!$Y$8:$AA$1048576,3,0)</f>
        <v>2.8E-3</v>
      </c>
      <c r="BZ236" s="7">
        <f>VLOOKUP($A236,'22.Sep'!$Y$8:$AA$1048576,3,0)</f>
        <v>2.8E-3</v>
      </c>
      <c r="CA236" s="7">
        <f>VLOOKUP($A236,'23.Sep'!$Y$8:$AA$1048576,3,0)</f>
        <v>3.8E-3</v>
      </c>
      <c r="CB236" s="7">
        <f>VLOOKUP($A236,'24.Sep'!$Y$8:$AA$1048576,3,0)</f>
        <v>1.1000000000000001E-3</v>
      </c>
      <c r="CC236" s="7">
        <f>VLOOKUP($A236,'24.Sep'!$Y$8:$AA$1048576,3,0)</f>
        <v>1.1000000000000001E-3</v>
      </c>
    </row>
    <row r="237" spans="1:81">
      <c r="A237" s="6" t="s">
        <v>9</v>
      </c>
      <c r="B237" s="7">
        <v>4.8833333333333333E-3</v>
      </c>
      <c r="C237" s="7">
        <v>2.0428571428571427E-3</v>
      </c>
      <c r="D237" s="7">
        <v>3.0999999999999995E-3</v>
      </c>
      <c r="E237" s="7">
        <v>2.7000000000000001E-3</v>
      </c>
      <c r="F237" s="7">
        <v>3.3428571428571431E-3</v>
      </c>
      <c r="G237" s="7">
        <v>2.457142857142857E-3</v>
      </c>
      <c r="H237" s="7">
        <f t="shared" si="72"/>
        <v>2.6428571428571425E-3</v>
      </c>
      <c r="I237" s="7">
        <f t="shared" si="73"/>
        <v>4.2571428571428569E-3</v>
      </c>
      <c r="J237" s="7">
        <f t="shared" si="74"/>
        <v>3.5000000000000001E-3</v>
      </c>
      <c r="K237" s="7">
        <f t="shared" si="70"/>
        <v>4.5666666666666668E-3</v>
      </c>
      <c r="L237" s="7">
        <f t="shared" si="71"/>
        <v>4.4399999999999995E-3</v>
      </c>
      <c r="M237" s="8">
        <v>5.5999999999999999E-3</v>
      </c>
      <c r="N237" s="8">
        <v>8.6999999999999994E-3</v>
      </c>
      <c r="O237" s="8">
        <v>5.0000000000000001E-3</v>
      </c>
      <c r="P237" s="8">
        <v>6.8999999999999999E-3</v>
      </c>
      <c r="Q237" s="8">
        <v>1.8E-3</v>
      </c>
      <c r="R237" s="8">
        <v>1.2999999999999999E-3</v>
      </c>
      <c r="S237" s="8">
        <v>1.5E-3</v>
      </c>
      <c r="T237" s="8">
        <v>1.1000000000000001E-3</v>
      </c>
      <c r="U237" s="8">
        <v>2.5999999999999999E-3</v>
      </c>
      <c r="V237" s="8">
        <v>3.0999999999999999E-3</v>
      </c>
      <c r="W237" s="8">
        <v>1.6999999999999999E-3</v>
      </c>
      <c r="X237" s="8">
        <v>1.6999999999999999E-3</v>
      </c>
      <c r="Y237" s="8">
        <v>2.5999999999999999E-3</v>
      </c>
      <c r="Z237" s="8">
        <v>1.6999999999999999E-3</v>
      </c>
      <c r="AA237" s="8">
        <v>2.3999999999999998E-3</v>
      </c>
      <c r="AB237" s="8">
        <v>3.3999999999999998E-3</v>
      </c>
      <c r="AC237" s="8">
        <v>4.1000000000000003E-3</v>
      </c>
      <c r="AD237" s="8">
        <v>4.1999999999999997E-3</v>
      </c>
      <c r="AE237" s="8">
        <v>3.5999999999999999E-3</v>
      </c>
      <c r="AF237" s="8">
        <v>2.3E-3</v>
      </c>
      <c r="AG237" s="8">
        <v>1.8E-3</v>
      </c>
      <c r="AH237" s="8">
        <v>3.7000000000000002E-3</v>
      </c>
      <c r="AI237" s="8">
        <v>2.3999999999999998E-3</v>
      </c>
      <c r="AJ237" s="8">
        <v>3.0999999999999999E-3</v>
      </c>
      <c r="AK237" s="8">
        <v>3.3E-3</v>
      </c>
      <c r="AL237" s="8">
        <v>2.5000000000000001E-3</v>
      </c>
      <c r="AM237" s="7">
        <v>2.0999999999999999E-3</v>
      </c>
      <c r="AN237" s="7">
        <v>2.5000000000000001E-3</v>
      </c>
      <c r="AO237" s="7">
        <v>1.8E-3</v>
      </c>
      <c r="AP237" s="7">
        <v>4.4000000000000003E-3</v>
      </c>
      <c r="AQ237" s="7">
        <v>4.3E-3</v>
      </c>
      <c r="AR237" s="7">
        <v>5.0000000000000001E-3</v>
      </c>
      <c r="AS237" s="7">
        <v>3.2000000000000002E-3</v>
      </c>
      <c r="AT237" s="7">
        <v>2.2000000000000001E-3</v>
      </c>
      <c r="AU237" s="7">
        <v>3.3999999999999998E-3</v>
      </c>
      <c r="AV237" s="7">
        <v>2.5000000000000001E-3</v>
      </c>
      <c r="AW237" s="7">
        <v>1.5E-3</v>
      </c>
      <c r="AX237" s="7">
        <v>1.6999999999999999E-3</v>
      </c>
      <c r="AY237" s="7">
        <v>1.6999999999999999E-3</v>
      </c>
      <c r="AZ237" s="7">
        <v>1.9E-3</v>
      </c>
      <c r="BA237" s="7">
        <v>4.4999999999999997E-3</v>
      </c>
      <c r="BB237" s="7">
        <v>4.3E-3</v>
      </c>
      <c r="BC237" s="7">
        <v>2.5999999999999999E-3</v>
      </c>
      <c r="BD237" s="7">
        <v>2.3E-3</v>
      </c>
      <c r="BE237" s="7">
        <f>VLOOKUP($A237,'1.Sep'!$Y$8:$AA$1048576,3,0)</f>
        <v>2.3999999999999998E-3</v>
      </c>
      <c r="BF237" s="7">
        <f>VLOOKUP($A237,'2.Sep'!$Y$8:$AA$1048576,3,0)</f>
        <v>2.5999999999999999E-3</v>
      </c>
      <c r="BG237" s="7">
        <f>VLOOKUP($A237,'3.Sep'!$Y$8:$AA$1048576,3,0)</f>
        <v>1.8E-3</v>
      </c>
      <c r="BH237" s="8">
        <f>VLOOKUP($A237,'4.Sep'!$Y$8:$AA$1048576,3,0)</f>
        <v>2.5000000000000001E-3</v>
      </c>
      <c r="BI237" s="8">
        <f>VLOOKUP($A237,'5.Sep'!$Y$8:$AA$1048576,3,0)</f>
        <v>3.7000000000000002E-3</v>
      </c>
      <c r="BJ237" s="8">
        <f>VLOOKUP($A237,'6.Sep'!$Y$8:$AA$1048576,3,0)</f>
        <v>4.8999999999999998E-3</v>
      </c>
      <c r="BK237" s="8">
        <f>VLOOKUP($A237,'7.Sep'!$Y$8:$AA$1048576,3,0)</f>
        <v>3.8999999999999998E-3</v>
      </c>
      <c r="BL237" s="8">
        <f>VLOOKUP($A237,'8.Sep'!$Y$8:$AA$1048576,3,0)</f>
        <v>5.1999999999999998E-3</v>
      </c>
      <c r="BM237" s="8">
        <f>VLOOKUP($A237,'9.Sep'!$Y$8:$AA$1048576,3,0)</f>
        <v>5.1000000000000004E-3</v>
      </c>
      <c r="BN237" s="8">
        <f>VLOOKUP($A237,'10.Sep'!$Y$8:$AA$1048576,3,0)</f>
        <v>2.5000000000000001E-3</v>
      </c>
      <c r="BO237" s="8">
        <f>VLOOKUP($A237,'11.Sep'!$Y$8:$AA$1048576,3,0)</f>
        <v>4.4999999999999997E-3</v>
      </c>
      <c r="BP237" s="7">
        <f>VLOOKUP($A237,'12.Sep'!$Y$8:$AA$1048576,3,0)</f>
        <v>3.8999999999999998E-3</v>
      </c>
      <c r="BQ237" s="7">
        <f>VLOOKUP($A237,'13.Sep'!$Y$8:$AA$1048576,3,0)</f>
        <v>3.8E-3</v>
      </c>
      <c r="BR237" s="7">
        <f>VLOOKUP($A237,'14.Sep'!$Y$8:$AA$1048576,3,0)</f>
        <v>3.2000000000000002E-3</v>
      </c>
      <c r="BS237" s="7">
        <f>VLOOKUP($A237,'15.Sep'!$Y$8:$AA$1048576,3,0)</f>
        <v>4.4000000000000003E-3</v>
      </c>
      <c r="BT237" s="7">
        <f>VLOOKUP($A237,'16.Sep'!$Y$8:$AA$1048576,3,0)</f>
        <v>2.8999999999999998E-3</v>
      </c>
      <c r="BU237" s="7">
        <f>VLOOKUP($A237,'17.Sep'!$Y$8:$AA$1048576,3,0)</f>
        <v>3.0999999999999999E-3</v>
      </c>
      <c r="BV237" s="7">
        <f>VLOOKUP($A237,'18.Sep'!$Y$8:$AA$1048576,3,0)</f>
        <v>3.2000000000000002E-3</v>
      </c>
      <c r="BW237" s="7">
        <f>VLOOKUP($A237,'19.Sep'!$Y$8:$AA$1048576,3,0)</f>
        <v>5.1999999999999998E-3</v>
      </c>
      <c r="BX237" s="7">
        <f>VLOOKUP($A237,'20.Sep'!$Y$8:$AA$1048576,3,0)</f>
        <v>5.4999999999999997E-3</v>
      </c>
      <c r="BY237" s="7">
        <f>VLOOKUP($A237,'21.Sep'!$Y$8:$AA$1048576,3,0)</f>
        <v>4.7000000000000002E-3</v>
      </c>
      <c r="BZ237" s="7">
        <f>VLOOKUP($A237,'22.Sep'!$Y$8:$AA$1048576,3,0)</f>
        <v>3.2000000000000002E-3</v>
      </c>
      <c r="CA237" s="7">
        <f>VLOOKUP($A237,'23.Sep'!$Y$8:$AA$1048576,3,0)</f>
        <v>5.7000000000000002E-3</v>
      </c>
      <c r="CB237" s="7">
        <f>VLOOKUP($A237,'24.Sep'!$Y$8:$AA$1048576,3,0)</f>
        <v>3.0999999999999999E-3</v>
      </c>
      <c r="CC237" s="7">
        <f>VLOOKUP($A237,'24.Sep'!$Y$8:$AA$1048576,3,0)</f>
        <v>3.0999999999999999E-3</v>
      </c>
    </row>
    <row r="238" spans="1:81">
      <c r="A238" s="6" t="s">
        <v>10</v>
      </c>
      <c r="B238" s="7">
        <v>1.8333333333333334E-4</v>
      </c>
      <c r="C238" s="7">
        <v>2.2857142857142854E-4</v>
      </c>
      <c r="D238" s="7">
        <v>2.0000000000000001E-4</v>
      </c>
      <c r="E238" s="7">
        <v>1.5714285714285719E-4</v>
      </c>
      <c r="F238" s="7">
        <v>1.8571428571428574E-4</v>
      </c>
      <c r="G238" s="7">
        <v>1.5714285714285716E-4</v>
      </c>
      <c r="H238" s="7">
        <f t="shared" si="72"/>
        <v>1.142857142857143E-4</v>
      </c>
      <c r="I238" s="7">
        <f t="shared" si="73"/>
        <v>1.5714285714285716E-4</v>
      </c>
      <c r="J238" s="7">
        <f t="shared" si="74"/>
        <v>2.0000000000000004E-4</v>
      </c>
      <c r="K238" s="7">
        <f t="shared" si="70"/>
        <v>1.8333333333333334E-4</v>
      </c>
      <c r="L238" s="7">
        <f t="shared" si="71"/>
        <v>1.7999999999999998E-4</v>
      </c>
      <c r="M238" s="8">
        <v>2.0000000000000001E-4</v>
      </c>
      <c r="N238" s="8">
        <v>2.9999999999999997E-4</v>
      </c>
      <c r="O238" s="8">
        <v>0</v>
      </c>
      <c r="P238" s="8">
        <v>1E-4</v>
      </c>
      <c r="Q238" s="8">
        <v>2.0000000000000001E-4</v>
      </c>
      <c r="R238" s="8">
        <v>2.9999999999999997E-4</v>
      </c>
      <c r="S238" s="8">
        <v>2.9999999999999997E-4</v>
      </c>
      <c r="T238" s="8">
        <v>0</v>
      </c>
      <c r="U238" s="8">
        <v>2.0000000000000001E-4</v>
      </c>
      <c r="V238" s="8">
        <v>2.0000000000000001E-4</v>
      </c>
      <c r="W238" s="8">
        <v>2.9999999999999997E-4</v>
      </c>
      <c r="X238" s="8">
        <v>2.9999999999999997E-4</v>
      </c>
      <c r="Y238" s="8">
        <v>2.9999999999999997E-4</v>
      </c>
      <c r="Z238" s="8">
        <v>2.0000000000000001E-4</v>
      </c>
      <c r="AA238" s="8">
        <v>1E-4</v>
      </c>
      <c r="AB238" s="8">
        <v>1E-4</v>
      </c>
      <c r="AC238" s="8">
        <v>2.0000000000000001E-4</v>
      </c>
      <c r="AD238" s="8">
        <v>2.0000000000000001E-4</v>
      </c>
      <c r="AE238" s="8">
        <v>2.0000000000000001E-4</v>
      </c>
      <c r="AF238" s="8">
        <v>4.0000000000000002E-4</v>
      </c>
      <c r="AG238" s="8">
        <v>2.0000000000000001E-4</v>
      </c>
      <c r="AH238" s="8">
        <v>2.0000000000000001E-4</v>
      </c>
      <c r="AI238" s="8">
        <v>2.0000000000000001E-4</v>
      </c>
      <c r="AJ238" s="8">
        <v>1E-4</v>
      </c>
      <c r="AK238" s="8">
        <v>1E-4</v>
      </c>
      <c r="AL238" s="8">
        <v>2.0000000000000001E-4</v>
      </c>
      <c r="AM238" s="7">
        <v>1E-4</v>
      </c>
      <c r="AN238" s="7">
        <v>2.9999999999999997E-4</v>
      </c>
      <c r="AO238" s="7">
        <v>1E-4</v>
      </c>
      <c r="AP238" s="7">
        <v>2.0000000000000001E-4</v>
      </c>
      <c r="AQ238" s="7">
        <v>2.0000000000000001E-4</v>
      </c>
      <c r="AR238" s="7">
        <v>1E-4</v>
      </c>
      <c r="AS238" s="7">
        <v>2.0000000000000001E-4</v>
      </c>
      <c r="AT238" s="7">
        <v>2.0000000000000001E-4</v>
      </c>
      <c r="AU238" s="7">
        <v>2.9999999999999997E-4</v>
      </c>
      <c r="AV238" s="7">
        <v>1E-4</v>
      </c>
      <c r="AW238" s="7">
        <v>1E-4</v>
      </c>
      <c r="AX238" s="7">
        <v>2.0000000000000001E-4</v>
      </c>
      <c r="AY238" s="7">
        <v>2.0000000000000001E-4</v>
      </c>
      <c r="AZ238" s="7">
        <v>1E-4</v>
      </c>
      <c r="BA238" s="7">
        <v>1E-4</v>
      </c>
      <c r="BB238" s="7">
        <v>1E-4</v>
      </c>
      <c r="BC238" s="7">
        <v>1E-4</v>
      </c>
      <c r="BD238" s="7">
        <v>0</v>
      </c>
      <c r="BE238" s="7">
        <f>VLOOKUP($A238,'1.Sep'!$Y$8:$AA$1048576,3,0)</f>
        <v>1E-4</v>
      </c>
      <c r="BF238" s="7">
        <f>VLOOKUP($A238,'2.Sep'!$Y$8:$AA$1048576,3,0)</f>
        <v>1E-4</v>
      </c>
      <c r="BG238" s="7">
        <f>VLOOKUP($A238,'3.Sep'!$Y$8:$AA$1048576,3,0)</f>
        <v>2.0000000000000001E-4</v>
      </c>
      <c r="BH238" s="8">
        <f>VLOOKUP($A238,'4.Sep'!$Y$8:$AA$1048576,3,0)</f>
        <v>2.0000000000000001E-4</v>
      </c>
      <c r="BI238" s="8">
        <f>VLOOKUP($A238,'5.Sep'!$Y$8:$AA$1048576,3,0)</f>
        <v>2.0000000000000001E-4</v>
      </c>
      <c r="BJ238" s="8">
        <f>VLOOKUP($A238,'6.Sep'!$Y$8:$AA$1048576,3,0)</f>
        <v>2.0000000000000001E-4</v>
      </c>
      <c r="BK238" s="8">
        <f>VLOOKUP($A238,'7.Sep'!$Y$8:$AA$1048576,3,0)</f>
        <v>1E-4</v>
      </c>
      <c r="BL238" s="8">
        <f>VLOOKUP($A238,'8.Sep'!$Y$8:$AA$1048576,3,0)</f>
        <v>2.0000000000000001E-4</v>
      </c>
      <c r="BM238" s="8">
        <f>VLOOKUP($A238,'9.Sep'!$Y$8:$AA$1048576,3,0)</f>
        <v>2.0000000000000001E-4</v>
      </c>
      <c r="BN238" s="8">
        <f>VLOOKUP($A238,'10.Sep'!$Y$8:$AA$1048576,3,0)</f>
        <v>1E-4</v>
      </c>
      <c r="BO238" s="8">
        <f>VLOOKUP($A238,'11.Sep'!$Y$8:$AA$1048576,3,0)</f>
        <v>1E-4</v>
      </c>
      <c r="BP238" s="7">
        <f>VLOOKUP($A238,'12.Sep'!$Y$8:$AA$1048576,3,0)</f>
        <v>2.0000000000000001E-4</v>
      </c>
      <c r="BQ238" s="7">
        <f>VLOOKUP($A238,'13.Sep'!$Y$8:$AA$1048576,3,0)</f>
        <v>1E-4</v>
      </c>
      <c r="BR238" s="7">
        <f>VLOOKUP($A238,'14.Sep'!$Y$8:$AA$1048576,3,0)</f>
        <v>2.0000000000000001E-4</v>
      </c>
      <c r="BS238" s="7">
        <f>VLOOKUP($A238,'15.Sep'!$Y$8:$AA$1048576,3,0)</f>
        <v>2.0000000000000001E-4</v>
      </c>
      <c r="BT238" s="7">
        <f>VLOOKUP($A238,'16.Sep'!$Y$8:$AA$1048576,3,0)</f>
        <v>4.0000000000000002E-4</v>
      </c>
      <c r="BU238" s="7">
        <f>VLOOKUP($A238,'17.Sep'!$Y$8:$AA$1048576,3,0)</f>
        <v>1E-4</v>
      </c>
      <c r="BV238" s="7">
        <f>VLOOKUP($A238,'18.Sep'!$Y$8:$AA$1048576,3,0)</f>
        <v>2.0000000000000001E-4</v>
      </c>
      <c r="BW238" s="7">
        <f>VLOOKUP($A238,'19.Sep'!$Y$8:$AA$1048576,3,0)</f>
        <v>2.0000000000000001E-4</v>
      </c>
      <c r="BX238" s="7">
        <f>VLOOKUP($A238,'20.Sep'!$Y$8:$AA$1048576,3,0)</f>
        <v>1E-4</v>
      </c>
      <c r="BY238" s="7">
        <f>VLOOKUP($A238,'21.Sep'!$Y$8:$AA$1048576,3,0)</f>
        <v>2.0000000000000001E-4</v>
      </c>
      <c r="BZ238" s="7">
        <f>VLOOKUP($A238,'22.Sep'!$Y$8:$AA$1048576,3,0)</f>
        <v>2.0000000000000001E-4</v>
      </c>
      <c r="CA238" s="7">
        <f>VLOOKUP($A238,'23.Sep'!$Y$8:$AA$1048576,3,0)</f>
        <v>2.9999999999999997E-4</v>
      </c>
      <c r="CB238" s="7">
        <f>VLOOKUP($A238,'24.Sep'!$Y$8:$AA$1048576,3,0)</f>
        <v>1E-4</v>
      </c>
      <c r="CC238" s="7">
        <f>VLOOKUP($A238,'24.Sep'!$Y$8:$AA$1048576,3,0)</f>
        <v>1E-4</v>
      </c>
    </row>
    <row r="239" spans="1:81">
      <c r="A239" s="6" t="s">
        <v>11</v>
      </c>
      <c r="B239" s="7">
        <v>1.3666666666666669E-3</v>
      </c>
      <c r="C239" s="7">
        <v>1.1428571428571429E-3</v>
      </c>
      <c r="D239" s="7">
        <v>1.0142857142857143E-3</v>
      </c>
      <c r="E239" s="7">
        <v>7.2857142857142847E-4</v>
      </c>
      <c r="F239" s="7">
        <v>7.000000000000001E-4</v>
      </c>
      <c r="G239" s="7">
        <v>7.7142857142857156E-4</v>
      </c>
      <c r="H239" s="7">
        <f t="shared" si="72"/>
        <v>6.4285714285714282E-4</v>
      </c>
      <c r="I239" s="7">
        <f t="shared" si="73"/>
        <v>7.4285714285714287E-4</v>
      </c>
      <c r="J239" s="7">
        <f t="shared" si="74"/>
        <v>7.5714285714285716E-4</v>
      </c>
      <c r="K239" s="7">
        <f t="shared" si="70"/>
        <v>6.4999999999999997E-4</v>
      </c>
      <c r="L239" s="7">
        <f t="shared" si="71"/>
        <v>6.2E-4</v>
      </c>
      <c r="M239" s="8">
        <v>2.3E-3</v>
      </c>
      <c r="N239" s="8">
        <v>1E-3</v>
      </c>
      <c r="O239" s="8">
        <v>5.9999999999999995E-4</v>
      </c>
      <c r="P239" s="8">
        <v>2.3999999999999998E-3</v>
      </c>
      <c r="Q239" s="8">
        <v>1E-3</v>
      </c>
      <c r="R239" s="8">
        <v>8.9999999999999998E-4</v>
      </c>
      <c r="S239" s="8">
        <v>1.1999999999999999E-3</v>
      </c>
      <c r="T239" s="8">
        <v>1E-3</v>
      </c>
      <c r="U239" s="8">
        <v>5.9999999999999995E-4</v>
      </c>
      <c r="V239" s="8">
        <v>8.0000000000000004E-4</v>
      </c>
      <c r="W239" s="8">
        <v>1.6999999999999999E-3</v>
      </c>
      <c r="X239" s="8">
        <v>1.6999999999999999E-3</v>
      </c>
      <c r="Y239" s="8">
        <v>1E-3</v>
      </c>
      <c r="Z239" s="8">
        <v>8.9999999999999998E-4</v>
      </c>
      <c r="AA239" s="8">
        <v>1.2999999999999999E-3</v>
      </c>
      <c r="AB239" s="8">
        <v>8.0000000000000004E-4</v>
      </c>
      <c r="AC239" s="8">
        <v>1.2999999999999999E-3</v>
      </c>
      <c r="AD239" s="8">
        <v>1.1000000000000001E-3</v>
      </c>
      <c r="AE239" s="8">
        <v>1E-3</v>
      </c>
      <c r="AF239" s="8">
        <v>6.9999999999999999E-4</v>
      </c>
      <c r="AG239" s="8">
        <v>8.9999999999999998E-4</v>
      </c>
      <c r="AH239" s="8">
        <v>6.9999999999999999E-4</v>
      </c>
      <c r="AI239" s="8">
        <v>8.9999999999999998E-4</v>
      </c>
      <c r="AJ239" s="8">
        <v>5.9999999999999995E-4</v>
      </c>
      <c r="AK239" s="8">
        <v>1E-3</v>
      </c>
      <c r="AL239" s="8">
        <v>4.0000000000000002E-4</v>
      </c>
      <c r="AM239" s="7">
        <v>5.9999999999999995E-4</v>
      </c>
      <c r="AN239" s="7">
        <v>8.0000000000000004E-4</v>
      </c>
      <c r="AO239" s="7">
        <v>8.0000000000000004E-4</v>
      </c>
      <c r="AP239" s="7">
        <v>5.9999999999999995E-4</v>
      </c>
      <c r="AQ239" s="7">
        <v>5.0000000000000001E-4</v>
      </c>
      <c r="AR239" s="7">
        <v>8.0000000000000004E-4</v>
      </c>
      <c r="AS239" s="7">
        <v>5.9999999999999995E-4</v>
      </c>
      <c r="AT239" s="7">
        <v>8.0000000000000004E-4</v>
      </c>
      <c r="AU239" s="7">
        <v>5.9999999999999995E-4</v>
      </c>
      <c r="AV239" s="7">
        <v>8.0000000000000004E-4</v>
      </c>
      <c r="AW239" s="7">
        <v>8.0000000000000004E-4</v>
      </c>
      <c r="AX239" s="7">
        <v>6.9999999999999999E-4</v>
      </c>
      <c r="AY239" s="7">
        <v>8.9999999999999998E-4</v>
      </c>
      <c r="AZ239" s="7">
        <v>8.0000000000000004E-4</v>
      </c>
      <c r="BA239" s="7">
        <v>8.0000000000000004E-4</v>
      </c>
      <c r="BB239" s="7">
        <v>5.9999999999999995E-4</v>
      </c>
      <c r="BC239" s="7">
        <v>5.9999999999999995E-4</v>
      </c>
      <c r="BD239" s="7">
        <v>6.9999999999999999E-4</v>
      </c>
      <c r="BE239" s="7">
        <f>VLOOKUP($A239,'1.Sep'!$Y$8:$AA$1048576,3,0)</f>
        <v>6.9999999999999999E-4</v>
      </c>
      <c r="BF239" s="7">
        <f>VLOOKUP($A239,'2.Sep'!$Y$8:$AA$1048576,3,0)</f>
        <v>5.9999999999999995E-4</v>
      </c>
      <c r="BG239" s="7">
        <f>VLOOKUP($A239,'3.Sep'!$Y$8:$AA$1048576,3,0)</f>
        <v>5.9999999999999995E-4</v>
      </c>
      <c r="BH239" s="8">
        <f>VLOOKUP($A239,'4.Sep'!$Y$8:$AA$1048576,3,0)</f>
        <v>6.9999999999999999E-4</v>
      </c>
      <c r="BI239" s="8">
        <f>VLOOKUP($A239,'5.Sep'!$Y$8:$AA$1048576,3,0)</f>
        <v>8.0000000000000004E-4</v>
      </c>
      <c r="BJ239" s="8">
        <f>VLOOKUP($A239,'6.Sep'!$Y$8:$AA$1048576,3,0)</f>
        <v>8.0000000000000004E-4</v>
      </c>
      <c r="BK239" s="8">
        <f>VLOOKUP($A239,'7.Sep'!$Y$8:$AA$1048576,3,0)</f>
        <v>8.9999999999999998E-4</v>
      </c>
      <c r="BL239" s="8">
        <f>VLOOKUP($A239,'8.Sep'!$Y$8:$AA$1048576,3,0)</f>
        <v>6.9999999999999999E-4</v>
      </c>
      <c r="BM239" s="8">
        <f>VLOOKUP($A239,'9.Sep'!$Y$8:$AA$1048576,3,0)</f>
        <v>5.9999999999999995E-4</v>
      </c>
      <c r="BN239" s="8">
        <f>VLOOKUP($A239,'10.Sep'!$Y$8:$AA$1048576,3,0)</f>
        <v>6.9999999999999999E-4</v>
      </c>
      <c r="BO239" s="8">
        <f>VLOOKUP($A239,'11.Sep'!$Y$8:$AA$1048576,3,0)</f>
        <v>6.9999999999999999E-4</v>
      </c>
      <c r="BP239" s="7">
        <f>VLOOKUP($A239,'12.Sep'!$Y$8:$AA$1048576,3,0)</f>
        <v>6.9999999999999999E-4</v>
      </c>
      <c r="BQ239" s="7">
        <f>VLOOKUP($A239,'13.Sep'!$Y$8:$AA$1048576,3,0)</f>
        <v>6.9999999999999999E-4</v>
      </c>
      <c r="BR239" s="7">
        <f>VLOOKUP($A239,'14.Sep'!$Y$8:$AA$1048576,3,0)</f>
        <v>8.9999999999999998E-4</v>
      </c>
      <c r="BS239" s="7">
        <f>VLOOKUP($A239,'15.Sep'!$Y$8:$AA$1048576,3,0)</f>
        <v>8.9999999999999998E-4</v>
      </c>
      <c r="BT239" s="7">
        <f>VLOOKUP($A239,'16.Sep'!$Y$8:$AA$1048576,3,0)</f>
        <v>5.9999999999999995E-4</v>
      </c>
      <c r="BU239" s="7">
        <f>VLOOKUP($A239,'17.Sep'!$Y$8:$AA$1048576,3,0)</f>
        <v>6.9999999999999999E-4</v>
      </c>
      <c r="BV239" s="7">
        <f>VLOOKUP($A239,'18.Sep'!$Y$8:$AA$1048576,3,0)</f>
        <v>8.0000000000000004E-4</v>
      </c>
      <c r="BW239" s="7">
        <f>VLOOKUP($A239,'19.Sep'!$Y$8:$AA$1048576,3,0)</f>
        <v>8.0000000000000004E-4</v>
      </c>
      <c r="BX239" s="7">
        <f>VLOOKUP($A239,'20.Sep'!$Y$8:$AA$1048576,3,0)</f>
        <v>5.9999999999999995E-4</v>
      </c>
      <c r="BY239" s="7">
        <f>VLOOKUP($A239,'21.Sep'!$Y$8:$AA$1048576,3,0)</f>
        <v>6.9999999999999999E-4</v>
      </c>
      <c r="BZ239" s="7">
        <f>VLOOKUP($A239,'22.Sep'!$Y$8:$AA$1048576,3,0)</f>
        <v>5.9999999999999995E-4</v>
      </c>
      <c r="CA239" s="7">
        <f>VLOOKUP($A239,'23.Sep'!$Y$8:$AA$1048576,3,0)</f>
        <v>6.9999999999999999E-4</v>
      </c>
      <c r="CB239" s="7">
        <f>VLOOKUP($A239,'24.Sep'!$Y$8:$AA$1048576,3,0)</f>
        <v>5.0000000000000001E-4</v>
      </c>
      <c r="CC239" s="7">
        <f>VLOOKUP($A239,'24.Sep'!$Y$8:$AA$1048576,3,0)</f>
        <v>5.0000000000000001E-4</v>
      </c>
    </row>
    <row r="240" spans="1:81" outlineLevel="1">
      <c r="A240" s="6" t="s">
        <v>12</v>
      </c>
      <c r="B240" s="7">
        <v>1.3333333333333331E-4</v>
      </c>
      <c r="C240" s="7">
        <v>1.2857142857142858E-4</v>
      </c>
      <c r="D240" s="7">
        <v>3.0000000000000003E-4</v>
      </c>
      <c r="E240" s="7">
        <v>1.8571428571428572E-4</v>
      </c>
      <c r="F240" s="7">
        <v>8.5714285714285726E-5</v>
      </c>
      <c r="G240" s="7">
        <v>3.2857142857142861E-4</v>
      </c>
      <c r="H240" s="7">
        <f t="shared" si="72"/>
        <v>4.5714285714285719E-4</v>
      </c>
      <c r="I240" s="7">
        <f t="shared" si="73"/>
        <v>5.142857142857143E-4</v>
      </c>
      <c r="J240" s="7">
        <f t="shared" si="74"/>
        <v>2.9999999999999997E-4</v>
      </c>
      <c r="K240" s="7">
        <f t="shared" si="70"/>
        <v>4.8333333333333339E-4</v>
      </c>
      <c r="L240" s="7">
        <f t="shared" si="71"/>
        <v>5.2000000000000006E-4</v>
      </c>
      <c r="M240" s="8">
        <v>1E-4</v>
      </c>
      <c r="N240" s="8">
        <v>1E-4</v>
      </c>
      <c r="O240" s="8">
        <v>1E-4</v>
      </c>
      <c r="P240" s="8">
        <v>1E-4</v>
      </c>
      <c r="Q240" s="8">
        <v>1E-4</v>
      </c>
      <c r="R240" s="8">
        <v>2.9999999999999997E-4</v>
      </c>
      <c r="S240" s="8">
        <v>2.0000000000000001E-4</v>
      </c>
      <c r="T240" s="8">
        <v>0</v>
      </c>
      <c r="U240" s="8">
        <v>1E-4</v>
      </c>
      <c r="V240" s="8">
        <v>2.0000000000000001E-4</v>
      </c>
      <c r="W240" s="8">
        <v>2.0000000000000001E-4</v>
      </c>
      <c r="X240" s="8">
        <v>2.0000000000000001E-4</v>
      </c>
      <c r="Y240" s="8">
        <v>0</v>
      </c>
      <c r="Z240" s="8">
        <v>5.0000000000000001E-4</v>
      </c>
      <c r="AA240" s="8">
        <v>4.0000000000000002E-4</v>
      </c>
      <c r="AB240" s="8">
        <v>4.0000000000000002E-4</v>
      </c>
      <c r="AC240" s="8">
        <v>2.0000000000000001E-4</v>
      </c>
      <c r="AD240" s="8">
        <v>2.0000000000000001E-4</v>
      </c>
      <c r="AE240" s="8">
        <v>2.0000000000000001E-4</v>
      </c>
      <c r="AF240" s="8">
        <v>2.0000000000000001E-4</v>
      </c>
      <c r="AG240" s="8">
        <v>1E-4</v>
      </c>
      <c r="AH240" s="8">
        <v>1E-4</v>
      </c>
      <c r="AI240" s="8">
        <v>0</v>
      </c>
      <c r="AJ240" s="8">
        <v>2.0000000000000001E-4</v>
      </c>
      <c r="AK240" s="8">
        <v>2.9999999999999997E-4</v>
      </c>
      <c r="AL240" s="8">
        <v>2.0000000000000001E-4</v>
      </c>
      <c r="AM240" s="7">
        <v>4.0000000000000002E-4</v>
      </c>
      <c r="AN240" s="7">
        <v>1E-4</v>
      </c>
      <c r="AO240" s="7">
        <v>1E-4</v>
      </c>
      <c r="AP240" s="7">
        <v>0</v>
      </c>
      <c r="AQ240" s="7">
        <v>0</v>
      </c>
      <c r="AR240" s="7">
        <v>1E-4</v>
      </c>
      <c r="AS240" s="7">
        <v>1E-4</v>
      </c>
      <c r="AT240" s="7">
        <v>2.0000000000000001E-4</v>
      </c>
      <c r="AU240" s="7">
        <v>2.0000000000000001E-4</v>
      </c>
      <c r="AV240" s="7">
        <v>2.0000000000000001E-4</v>
      </c>
      <c r="AW240" s="7">
        <v>2.9999999999999997E-4</v>
      </c>
      <c r="AX240" s="7">
        <v>5.0000000000000001E-4</v>
      </c>
      <c r="AY240" s="7">
        <v>5.0000000000000001E-4</v>
      </c>
      <c r="AZ240" s="7">
        <v>2.0000000000000001E-4</v>
      </c>
      <c r="BA240" s="7">
        <v>4.0000000000000002E-4</v>
      </c>
      <c r="BB240" s="7">
        <v>5.0000000000000001E-4</v>
      </c>
      <c r="BC240" s="7">
        <v>4.0000000000000002E-4</v>
      </c>
      <c r="BD240" s="7">
        <v>5.0000000000000001E-4</v>
      </c>
      <c r="BE240" s="7">
        <f>VLOOKUP($A240,'1.Sep'!$Y$8:$AA$1048576,3,0)</f>
        <v>4.0000000000000002E-4</v>
      </c>
      <c r="BF240" s="7">
        <f>VLOOKUP($A240,'2.Sep'!$Y$8:$AA$1048576,3,0)</f>
        <v>4.0000000000000002E-4</v>
      </c>
      <c r="BG240" s="7">
        <f>VLOOKUP($A240,'3.Sep'!$Y$8:$AA$1048576,3,0)</f>
        <v>4.0000000000000002E-4</v>
      </c>
      <c r="BH240" s="8">
        <f>VLOOKUP($A240,'4.Sep'!$Y$8:$AA$1048576,3,0)</f>
        <v>5.9999999999999995E-4</v>
      </c>
      <c r="BI240" s="8">
        <f>VLOOKUP($A240,'5.Sep'!$Y$8:$AA$1048576,3,0)</f>
        <v>4.0000000000000002E-4</v>
      </c>
      <c r="BJ240" s="8">
        <f>VLOOKUP($A240,'6.Sep'!$Y$8:$AA$1048576,3,0)</f>
        <v>5.0000000000000001E-4</v>
      </c>
      <c r="BK240" s="8">
        <f>VLOOKUP($A240,'7.Sep'!$Y$8:$AA$1048576,3,0)</f>
        <v>5.0000000000000001E-4</v>
      </c>
      <c r="BL240" s="8">
        <f>VLOOKUP($A240,'8.Sep'!$Y$8:$AA$1048576,3,0)</f>
        <v>5.0000000000000001E-4</v>
      </c>
      <c r="BM240" s="8">
        <f>VLOOKUP($A240,'9.Sep'!$Y$8:$AA$1048576,3,0)</f>
        <v>5.0000000000000001E-4</v>
      </c>
      <c r="BN240" s="8">
        <f>VLOOKUP($A240,'10.Sep'!$Y$8:$AA$1048576,3,0)</f>
        <v>6.9999999999999999E-4</v>
      </c>
      <c r="BO240" s="8">
        <f>VLOOKUP($A240,'11.Sep'!$Y$8:$AA$1048576,3,0)</f>
        <v>5.0000000000000001E-4</v>
      </c>
      <c r="BP240" s="7">
        <f>VLOOKUP($A240,'12.Sep'!$Y$8:$AA$1048576,3,0)</f>
        <v>5.0000000000000001E-4</v>
      </c>
      <c r="BQ240" s="7">
        <f>VLOOKUP($A240,'13.Sep'!$Y$8:$AA$1048576,3,0)</f>
        <v>2.9999999999999997E-4</v>
      </c>
      <c r="BR240" s="7">
        <f>VLOOKUP($A240,'14.Sep'!$Y$8:$AA$1048576,3,0)</f>
        <v>2.0000000000000001E-4</v>
      </c>
      <c r="BS240" s="7">
        <f>VLOOKUP($A240,'15.Sep'!$Y$8:$AA$1048576,3,0)</f>
        <v>4.0000000000000002E-4</v>
      </c>
      <c r="BT240" s="7">
        <f>VLOOKUP($A240,'16.Sep'!$Y$8:$AA$1048576,3,0)</f>
        <v>2.9999999999999997E-4</v>
      </c>
      <c r="BU240" s="7">
        <f>VLOOKUP($A240,'17.Sep'!$Y$8:$AA$1048576,3,0)</f>
        <v>2.0000000000000001E-4</v>
      </c>
      <c r="BV240" s="7">
        <f>VLOOKUP($A240,'18.Sep'!$Y$8:$AA$1048576,3,0)</f>
        <v>2.0000000000000001E-4</v>
      </c>
      <c r="BW240" s="7">
        <f>VLOOKUP($A240,'19.Sep'!$Y$8:$AA$1048576,3,0)</f>
        <v>2.9999999999999997E-4</v>
      </c>
      <c r="BX240" s="7">
        <f>VLOOKUP($A240,'20.Sep'!$Y$8:$AA$1048576,3,0)</f>
        <v>4.0000000000000002E-4</v>
      </c>
      <c r="BY240" s="7">
        <f>VLOOKUP($A240,'21.Sep'!$Y$8:$AA$1048576,3,0)</f>
        <v>2.0000000000000001E-4</v>
      </c>
      <c r="BZ240" s="7">
        <f>VLOOKUP($A240,'22.Sep'!$Y$8:$AA$1048576,3,0)</f>
        <v>2.0000000000000001E-4</v>
      </c>
      <c r="CA240" s="7">
        <f>VLOOKUP($A240,'23.Sep'!$Y$8:$AA$1048576,3,0)</f>
        <v>1.1000000000000001E-3</v>
      </c>
      <c r="CB240" s="7">
        <f>VLOOKUP($A240,'24.Sep'!$Y$8:$AA$1048576,3,0)</f>
        <v>6.9999999999999999E-4</v>
      </c>
      <c r="CC240" s="7">
        <f>VLOOKUP($A240,'24.Sep'!$Y$8:$AA$1048576,3,0)</f>
        <v>6.9999999999999999E-4</v>
      </c>
    </row>
    <row r="241" spans="1:81" outlineLevel="1">
      <c r="A241" s="6" t="s">
        <v>13</v>
      </c>
      <c r="B241" s="7">
        <v>3.3333333333333335E-5</v>
      </c>
      <c r="C241" s="7">
        <v>5.7142857142857148E-5</v>
      </c>
      <c r="D241" s="7">
        <v>1.4285714285714287E-5</v>
      </c>
      <c r="E241" s="7">
        <v>1.4285714285714287E-5</v>
      </c>
      <c r="F241" s="7">
        <v>1.4285714285714287E-5</v>
      </c>
      <c r="G241" s="7">
        <v>0</v>
      </c>
      <c r="H241" s="7">
        <f t="shared" si="72"/>
        <v>0</v>
      </c>
      <c r="I241" s="7">
        <f t="shared" si="73"/>
        <v>0</v>
      </c>
      <c r="J241" s="7">
        <f t="shared" si="74"/>
        <v>2.8571428571428574E-5</v>
      </c>
      <c r="K241" s="7">
        <f t="shared" si="70"/>
        <v>0</v>
      </c>
      <c r="L241" s="7">
        <f t="shared" si="71"/>
        <v>0</v>
      </c>
      <c r="M241" s="8">
        <v>0</v>
      </c>
      <c r="N241" s="8">
        <v>0</v>
      </c>
      <c r="O241" s="8">
        <v>0</v>
      </c>
      <c r="P241" s="8">
        <v>0</v>
      </c>
      <c r="Q241" s="8">
        <v>1E-4</v>
      </c>
      <c r="R241" s="8">
        <v>1E-4</v>
      </c>
      <c r="S241" s="8">
        <v>0</v>
      </c>
      <c r="T241" s="8">
        <v>1E-4</v>
      </c>
      <c r="U241" s="8">
        <v>1E-4</v>
      </c>
      <c r="V241" s="8">
        <v>1E-4</v>
      </c>
      <c r="W241" s="8">
        <v>0</v>
      </c>
      <c r="X241" s="8">
        <v>0</v>
      </c>
      <c r="Y241" s="8">
        <v>1E-4</v>
      </c>
      <c r="Z241" s="8">
        <v>0</v>
      </c>
      <c r="AA241" s="8">
        <v>1E-4</v>
      </c>
      <c r="AB241" s="8">
        <v>0</v>
      </c>
      <c r="AC241" s="8">
        <v>0</v>
      </c>
      <c r="AD241" s="8">
        <v>0</v>
      </c>
      <c r="AE241" s="8">
        <v>0</v>
      </c>
      <c r="AF241" s="8">
        <v>0</v>
      </c>
      <c r="AG241" s="8">
        <v>0</v>
      </c>
      <c r="AH241" s="8">
        <v>0</v>
      </c>
      <c r="AI241" s="8">
        <v>0</v>
      </c>
      <c r="AJ241" s="8">
        <v>0</v>
      </c>
      <c r="AK241" s="8">
        <v>0</v>
      </c>
      <c r="AL241" s="8">
        <v>1E-4</v>
      </c>
      <c r="AM241" s="7">
        <v>0</v>
      </c>
      <c r="AN241" s="7">
        <v>1E-4</v>
      </c>
      <c r="AO241" s="7">
        <v>0</v>
      </c>
      <c r="AP241" s="7">
        <v>0</v>
      </c>
      <c r="AQ241" s="7">
        <v>0</v>
      </c>
      <c r="AR241" s="8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8">
        <v>0</v>
      </c>
      <c r="AY241" s="8">
        <v>0</v>
      </c>
      <c r="AZ241" s="8">
        <v>0</v>
      </c>
      <c r="BA241" s="7">
        <v>0</v>
      </c>
      <c r="BB241" s="7">
        <v>0</v>
      </c>
      <c r="BC241" s="7">
        <v>0</v>
      </c>
      <c r="BD241" s="7">
        <v>0</v>
      </c>
      <c r="BE241" s="7">
        <f>VLOOKUP($A241,'1.Sep'!$Y$8:$AA$1048576,3,0)</f>
        <v>0</v>
      </c>
      <c r="BF241" s="7">
        <f>VLOOKUP($A241,'2.Sep'!$Y$8:$AA$1048576,3,0)</f>
        <v>0</v>
      </c>
      <c r="BG241" s="7">
        <v>0</v>
      </c>
      <c r="BH241" s="8">
        <f>VLOOKUP($A241,'4.Sep'!$Y$8:$AA$1048576,3,0)</f>
        <v>0</v>
      </c>
      <c r="BI241" s="8">
        <f>VLOOKUP($A241,'5.Sep'!$Y$8:$AA$1048576,3,0)</f>
        <v>0</v>
      </c>
      <c r="BJ241" s="7">
        <v>0</v>
      </c>
      <c r="BK241" s="7">
        <v>0</v>
      </c>
      <c r="BL241" s="8">
        <f>VLOOKUP($A241,'8.Sep'!$Y$8:$AA$1048576,3,0)</f>
        <v>0</v>
      </c>
      <c r="BM241" s="7">
        <v>0</v>
      </c>
      <c r="BN241" s="7">
        <v>0</v>
      </c>
      <c r="BO241" s="8">
        <f>VLOOKUP($A241,'11.Sep'!$Y$8:$AA$1048576,3,0)</f>
        <v>0</v>
      </c>
      <c r="BP241" s="7">
        <v>0</v>
      </c>
      <c r="BQ241" s="7">
        <f>VLOOKUP($A241,'13.Sep'!$Y$8:$AA$1048576,3,0)</f>
        <v>0</v>
      </c>
      <c r="BR241" s="7">
        <f>VLOOKUP($A241,'14.Sep'!$Y$8:$AA$1048576,3,0)</f>
        <v>0</v>
      </c>
      <c r="BS241" s="7">
        <f>VLOOKUP($A241,'15.Sep'!$Y$8:$AA$1048576,3,0)</f>
        <v>0</v>
      </c>
      <c r="BT241" s="7">
        <f>VLOOKUP($A241,'16.Sep'!$Y$8:$AA$1048576,3,0)</f>
        <v>1E-4</v>
      </c>
      <c r="BU241" s="7">
        <f>VLOOKUP($A241,'17.Sep'!$Y$8:$AA$1048576,3,0)</f>
        <v>1E-4</v>
      </c>
      <c r="BV241" s="7">
        <f>VLOOKUP($A241,'18.Sep'!$Y$8:$AA$1048576,3,0)</f>
        <v>0</v>
      </c>
      <c r="BW241" s="7">
        <f>VLOOKUP($A241,'19.Sep'!$Y$8:$AA$1048576,3,0)</f>
        <v>0</v>
      </c>
      <c r="BX241" s="7">
        <f>VLOOKUP($A241,'20.Sep'!$Y$8:$AA$1048576,3,0)</f>
        <v>0</v>
      </c>
      <c r="BY241" s="7">
        <f>VLOOKUP($A241,'21.Sep'!$Y$8:$AA$1048576,3,0)</f>
        <v>0</v>
      </c>
      <c r="BZ241" s="7">
        <f>VLOOKUP($A241,'22.Sep'!$Y$8:$AA$1048576,3,0)</f>
        <v>0</v>
      </c>
      <c r="CA241" s="7">
        <f>VLOOKUP($A241,'23.Sep'!$Y$8:$AA$1048576,3,0)</f>
        <v>0</v>
      </c>
      <c r="CB241" s="7">
        <f>VLOOKUP($A241,'24.Sep'!$Y$8:$AA$1048576,3,0)</f>
        <v>0</v>
      </c>
      <c r="CC241" s="7">
        <f>VLOOKUP($A241,'24.Sep'!$Y$8:$AA$1048576,3,0)</f>
        <v>0</v>
      </c>
    </row>
    <row r="242" spans="1:81" outlineLevel="1">
      <c r="A242" s="6" t="s">
        <v>14</v>
      </c>
      <c r="B242" s="7">
        <v>2.5000000000000001E-4</v>
      </c>
      <c r="C242" s="7">
        <v>2.0000000000000001E-4</v>
      </c>
      <c r="D242" s="7">
        <v>4.428571428571429E-4</v>
      </c>
      <c r="E242" s="7">
        <v>4.4285714285714284E-4</v>
      </c>
      <c r="F242" s="7">
        <v>2.9999999999999997E-4</v>
      </c>
      <c r="G242" s="7">
        <v>2.2857142857142859E-4</v>
      </c>
      <c r="H242" s="7">
        <f t="shared" si="72"/>
        <v>2.5714285714285715E-4</v>
      </c>
      <c r="I242" s="7">
        <f t="shared" si="73"/>
        <v>1.8571428571428574E-4</v>
      </c>
      <c r="J242" s="7">
        <f t="shared" si="74"/>
        <v>2.2857142857142859E-4</v>
      </c>
      <c r="K242" s="7">
        <f t="shared" si="70"/>
        <v>2.6666666666666668E-4</v>
      </c>
      <c r="L242" s="7">
        <f t="shared" si="71"/>
        <v>2.4000000000000003E-4</v>
      </c>
      <c r="M242" s="8">
        <v>4.0000000000000002E-4</v>
      </c>
      <c r="N242" s="8">
        <v>4.0000000000000002E-4</v>
      </c>
      <c r="O242" s="8">
        <v>1E-4</v>
      </c>
      <c r="P242" s="8">
        <v>5.9999999999999995E-4</v>
      </c>
      <c r="Q242" s="8">
        <v>0</v>
      </c>
      <c r="R242" s="8">
        <v>0</v>
      </c>
      <c r="S242" s="8">
        <v>2.0000000000000001E-4</v>
      </c>
      <c r="T242" s="8">
        <v>2.0000000000000001E-4</v>
      </c>
      <c r="U242" s="8">
        <v>2.9999999999999997E-4</v>
      </c>
      <c r="V242" s="8">
        <v>2.0000000000000001E-4</v>
      </c>
      <c r="W242" s="8">
        <v>1E-4</v>
      </c>
      <c r="X242" s="8">
        <v>1E-4</v>
      </c>
      <c r="Y242" s="8">
        <v>2.9999999999999997E-4</v>
      </c>
      <c r="Z242" s="8">
        <v>4.0000000000000002E-4</v>
      </c>
      <c r="AA242" s="8">
        <v>4.0000000000000002E-4</v>
      </c>
      <c r="AB242" s="8">
        <v>4.0000000000000002E-4</v>
      </c>
      <c r="AC242" s="8">
        <v>5.0000000000000001E-4</v>
      </c>
      <c r="AD242" s="8">
        <v>6.9999999999999999E-4</v>
      </c>
      <c r="AE242" s="8">
        <v>4.0000000000000002E-4</v>
      </c>
      <c r="AF242" s="8">
        <v>2.9999999999999997E-4</v>
      </c>
      <c r="AG242" s="8">
        <v>4.0000000000000002E-4</v>
      </c>
      <c r="AH242" s="8">
        <v>5.0000000000000001E-4</v>
      </c>
      <c r="AI242" s="8">
        <v>2.9999999999999997E-4</v>
      </c>
      <c r="AJ242" s="8">
        <v>4.0000000000000002E-4</v>
      </c>
      <c r="AK242" s="8">
        <v>4.0000000000000002E-4</v>
      </c>
      <c r="AL242" s="8">
        <v>5.0000000000000001E-4</v>
      </c>
      <c r="AM242" s="7">
        <v>5.9999999999999995E-4</v>
      </c>
      <c r="AN242" s="7">
        <v>4.0000000000000002E-4</v>
      </c>
      <c r="AO242" s="7">
        <v>1E-4</v>
      </c>
      <c r="AP242" s="7">
        <v>2.0000000000000001E-4</v>
      </c>
      <c r="AQ242" s="7">
        <v>2.9999999999999997E-4</v>
      </c>
      <c r="AR242" s="7">
        <v>2.0000000000000001E-4</v>
      </c>
      <c r="AS242" s="7">
        <v>2.9999999999999997E-4</v>
      </c>
      <c r="AT242" s="7">
        <v>5.9999999999999995E-4</v>
      </c>
      <c r="AU242" s="7">
        <v>2.9999999999999997E-4</v>
      </c>
      <c r="AV242" s="7">
        <v>2.9999999999999997E-4</v>
      </c>
      <c r="AW242" s="7">
        <v>2.0000000000000001E-4</v>
      </c>
      <c r="AX242" s="7">
        <v>2.0000000000000001E-4</v>
      </c>
      <c r="AY242" s="7">
        <v>2.0000000000000001E-4</v>
      </c>
      <c r="AZ242" s="7">
        <v>1E-4</v>
      </c>
      <c r="BA242" s="7">
        <v>2.9999999999999997E-4</v>
      </c>
      <c r="BB242" s="7">
        <v>4.0000000000000002E-4</v>
      </c>
      <c r="BC242" s="7">
        <v>2.0000000000000001E-4</v>
      </c>
      <c r="BD242" s="7">
        <v>2.0000000000000001E-4</v>
      </c>
      <c r="BE242" s="7">
        <f>VLOOKUP($A242,'1.Sep'!$Y$8:$AA$1048576,3,0)</f>
        <v>2.0000000000000001E-4</v>
      </c>
      <c r="BF242" s="7">
        <f>VLOOKUP($A242,'2.Sep'!$Y$8:$AA$1048576,3,0)</f>
        <v>2.0000000000000001E-4</v>
      </c>
      <c r="BG242" s="7">
        <f>VLOOKUP($A242,'3.Sep'!$Y$8:$AA$1048576,3,0)</f>
        <v>2.0000000000000001E-4</v>
      </c>
      <c r="BH242" s="8">
        <f>VLOOKUP($A242,'4.Sep'!$Y$8:$AA$1048576,3,0)</f>
        <v>4.0000000000000002E-4</v>
      </c>
      <c r="BI242" s="8">
        <f>VLOOKUP($A242,'5.Sep'!$Y$8:$AA$1048576,3,0)</f>
        <v>2.0000000000000001E-4</v>
      </c>
      <c r="BJ242" s="8">
        <f>VLOOKUP($A242,'6.Sep'!$Y$8:$AA$1048576,3,0)</f>
        <v>4.0000000000000002E-4</v>
      </c>
      <c r="BK242" s="8">
        <f>VLOOKUP($A242,'7.Sep'!$Y$8:$AA$1048576,3,0)</f>
        <v>0</v>
      </c>
      <c r="BL242" s="8">
        <f>VLOOKUP($A242,'8.Sep'!$Y$8:$AA$1048576,3,0)</f>
        <v>1E-4</v>
      </c>
      <c r="BM242" s="8">
        <f>VLOOKUP($A242,'9.Sep'!$Y$8:$AA$1048576,3,0)</f>
        <v>2.0000000000000001E-4</v>
      </c>
      <c r="BN242" s="8">
        <f>VLOOKUP($A242,'10.Sep'!$Y$8:$AA$1048576,3,0)</f>
        <v>2.0000000000000001E-4</v>
      </c>
      <c r="BO242" s="8">
        <f>VLOOKUP($A242,'11.Sep'!$Y$8:$AA$1048576,3,0)</f>
        <v>2.0000000000000001E-4</v>
      </c>
      <c r="BP242" s="7">
        <f>VLOOKUP($A242,'12.Sep'!$Y$8:$AA$1048576,3,0)</f>
        <v>2.0000000000000001E-4</v>
      </c>
      <c r="BQ242" s="7">
        <f>VLOOKUP($A242,'13.Sep'!$Y$8:$AA$1048576,3,0)</f>
        <v>2.0000000000000001E-4</v>
      </c>
      <c r="BR242" s="7">
        <f>VLOOKUP($A242,'14.Sep'!$Y$8:$AA$1048576,3,0)</f>
        <v>2.9999999999999997E-4</v>
      </c>
      <c r="BS242" s="7">
        <f>VLOOKUP($A242,'15.Sep'!$Y$8:$AA$1048576,3,0)</f>
        <v>2.0000000000000001E-4</v>
      </c>
      <c r="BT242" s="7">
        <f>VLOOKUP($A242,'16.Sep'!$Y$8:$AA$1048576,3,0)</f>
        <v>2.9999999999999997E-4</v>
      </c>
      <c r="BU242" s="7">
        <f>VLOOKUP($A242,'17.Sep'!$Y$8:$AA$1048576,3,0)</f>
        <v>2.0000000000000001E-4</v>
      </c>
      <c r="BV242" s="7">
        <f>VLOOKUP($A242,'18.Sep'!$Y$8:$AA$1048576,3,0)</f>
        <v>2.0000000000000001E-4</v>
      </c>
      <c r="BW242" s="7">
        <f>VLOOKUP($A242,'19.Sep'!$Y$8:$AA$1048576,3,0)</f>
        <v>4.0000000000000002E-4</v>
      </c>
      <c r="BX242" s="7">
        <f>VLOOKUP($A242,'20.Sep'!$Y$8:$AA$1048576,3,0)</f>
        <v>2.0000000000000001E-4</v>
      </c>
      <c r="BY242" s="7">
        <f>VLOOKUP($A242,'21.Sep'!$Y$8:$AA$1048576,3,0)</f>
        <v>2.0000000000000001E-4</v>
      </c>
      <c r="BZ242" s="7">
        <f>VLOOKUP($A242,'22.Sep'!$Y$8:$AA$1048576,3,0)</f>
        <v>2.0000000000000001E-4</v>
      </c>
      <c r="CA242" s="7">
        <f>VLOOKUP($A242,'23.Sep'!$Y$8:$AA$1048576,3,0)</f>
        <v>4.0000000000000002E-4</v>
      </c>
      <c r="CB242" s="7">
        <f>VLOOKUP($A242,'24.Sep'!$Y$8:$AA$1048576,3,0)</f>
        <v>2.0000000000000001E-4</v>
      </c>
      <c r="CC242" s="7">
        <f>VLOOKUP($A242,'24.Sep'!$Y$8:$AA$1048576,3,0)</f>
        <v>2.0000000000000001E-4</v>
      </c>
    </row>
    <row r="243" spans="1:81" outlineLevel="1">
      <c r="A243" s="6" t="s">
        <v>15</v>
      </c>
      <c r="B243" s="7">
        <v>2.9999999999999997E-4</v>
      </c>
      <c r="C243" s="7">
        <v>3.1428571428571432E-4</v>
      </c>
      <c r="D243" s="7">
        <v>8.5714285714285726E-5</v>
      </c>
      <c r="E243" s="7">
        <v>2.8571428571428574E-5</v>
      </c>
      <c r="F243" s="7">
        <v>4.2857142857142863E-5</v>
      </c>
      <c r="G243" s="7">
        <v>5.7142857142857148E-5</v>
      </c>
      <c r="H243" s="7">
        <f t="shared" si="72"/>
        <v>0</v>
      </c>
      <c r="I243" s="7">
        <f t="shared" si="73"/>
        <v>8.5714285714285726E-5</v>
      </c>
      <c r="J243" s="7">
        <f t="shared" si="74"/>
        <v>5.7142857142857148E-5</v>
      </c>
      <c r="K243" s="7">
        <f t="shared" si="70"/>
        <v>1.5000000000000001E-4</v>
      </c>
      <c r="L243" s="7">
        <f t="shared" si="71"/>
        <v>1.6000000000000001E-4</v>
      </c>
      <c r="M243" s="8">
        <v>5.9999999999999995E-4</v>
      </c>
      <c r="N243" s="8">
        <v>0</v>
      </c>
      <c r="O243" s="8">
        <v>1E-4</v>
      </c>
      <c r="P243" s="8">
        <v>2.0000000000000001E-4</v>
      </c>
      <c r="Q243" s="8">
        <v>5.9999999999999995E-4</v>
      </c>
      <c r="R243" s="8">
        <v>2.9999999999999997E-4</v>
      </c>
      <c r="S243" s="8">
        <v>8.0000000000000004E-4</v>
      </c>
      <c r="T243" s="8">
        <v>4.0000000000000002E-4</v>
      </c>
      <c r="U243" s="8">
        <v>4.0000000000000002E-4</v>
      </c>
      <c r="V243" s="8">
        <v>2.0000000000000001E-4</v>
      </c>
      <c r="W243" s="8">
        <v>1E-4</v>
      </c>
      <c r="X243" s="8">
        <v>1E-4</v>
      </c>
      <c r="Y243" s="8">
        <v>2.0000000000000001E-4</v>
      </c>
      <c r="Z243" s="8">
        <v>2.0000000000000001E-4</v>
      </c>
      <c r="AA243" s="8">
        <v>1E-4</v>
      </c>
      <c r="AB243" s="8">
        <v>1E-4</v>
      </c>
      <c r="AC243" s="8">
        <v>1E-4</v>
      </c>
      <c r="AD243" s="8">
        <v>1E-4</v>
      </c>
      <c r="AE243" s="8">
        <v>0</v>
      </c>
      <c r="AF243" s="8">
        <v>0</v>
      </c>
      <c r="AG243" s="8">
        <v>0</v>
      </c>
      <c r="AH243" s="8">
        <v>0</v>
      </c>
      <c r="AI243" s="8">
        <v>0</v>
      </c>
      <c r="AJ243" s="8">
        <v>1E-4</v>
      </c>
      <c r="AK243" s="8">
        <v>0</v>
      </c>
      <c r="AL243" s="8">
        <v>1E-4</v>
      </c>
      <c r="AM243" s="7">
        <v>0</v>
      </c>
      <c r="AN243" s="7">
        <v>0</v>
      </c>
      <c r="AO243" s="7">
        <v>0</v>
      </c>
      <c r="AP243" s="7">
        <v>1E-4</v>
      </c>
      <c r="AQ243" s="7">
        <v>0</v>
      </c>
      <c r="AR243" s="7">
        <v>0</v>
      </c>
      <c r="AS243" s="7">
        <v>1E-4</v>
      </c>
      <c r="AT243" s="7">
        <v>1E-4</v>
      </c>
      <c r="AU243" s="7">
        <v>0</v>
      </c>
      <c r="AV243" s="7">
        <v>0</v>
      </c>
      <c r="AW243" s="7">
        <v>1E-4</v>
      </c>
      <c r="AX243" s="7">
        <v>1E-4</v>
      </c>
      <c r="AY243" s="7">
        <v>0</v>
      </c>
      <c r="AZ243" s="7">
        <v>1E-4</v>
      </c>
      <c r="BA243" s="7">
        <v>1E-4</v>
      </c>
      <c r="BB243" s="7">
        <v>0</v>
      </c>
      <c r="BC243" s="7">
        <v>0</v>
      </c>
      <c r="BD243" s="7">
        <v>0</v>
      </c>
      <c r="BE243" s="7">
        <f>VLOOKUP($A243,'1.Sep'!$Y$8:$AA$1048576,3,0)</f>
        <v>0</v>
      </c>
      <c r="BF243" s="7">
        <f>VLOOKUP($A243,'2.Sep'!$Y$8:$AA$1048576,3,0)</f>
        <v>0</v>
      </c>
      <c r="BG243" s="7">
        <f>VLOOKUP($A243,'3.Sep'!$Y$8:$AA$1048576,3,0)</f>
        <v>0</v>
      </c>
      <c r="BH243" s="8">
        <f>VLOOKUP($A243,'4.Sep'!$Y$8:$AA$1048576,3,0)</f>
        <v>0</v>
      </c>
      <c r="BI243" s="8">
        <f>VLOOKUP($A243,'5.Sep'!$Y$8:$AA$1048576,3,0)</f>
        <v>1E-4</v>
      </c>
      <c r="BJ243" s="8">
        <f>VLOOKUP($A243,'6.Sep'!$Y$8:$AA$1048576,3,0)</f>
        <v>1E-4</v>
      </c>
      <c r="BK243" s="8">
        <f>VLOOKUP($A243,'7.Sep'!$Y$8:$AA$1048576,3,0)</f>
        <v>1E-4</v>
      </c>
      <c r="BL243" s="8">
        <f>VLOOKUP($A243,'8.Sep'!$Y$8:$AA$1048576,3,0)</f>
        <v>0</v>
      </c>
      <c r="BM243" s="8">
        <f>VLOOKUP($A243,'9.Sep'!$Y$8:$AA$1048576,3,0)</f>
        <v>0</v>
      </c>
      <c r="BN243" s="8">
        <f>VLOOKUP($A243,'10.Sep'!$Y$8:$AA$1048576,3,0)</f>
        <v>1E-4</v>
      </c>
      <c r="BO243" s="8">
        <f>VLOOKUP($A243,'11.Sep'!$Y$8:$AA$1048576,3,0)</f>
        <v>2.0000000000000001E-4</v>
      </c>
      <c r="BP243" s="7">
        <f>VLOOKUP($A243,'12.Sep'!$Y$8:$AA$1048576,3,0)</f>
        <v>0</v>
      </c>
      <c r="BQ243" s="7">
        <f>VLOOKUP($A243,'13.Sep'!$Y$8:$AA$1048576,3,0)</f>
        <v>0</v>
      </c>
      <c r="BR243" s="7">
        <f>VLOOKUP($A243,'14.Sep'!$Y$8:$AA$1048576,3,0)</f>
        <v>1E-4</v>
      </c>
      <c r="BS243" s="7">
        <f>VLOOKUP($A243,'15.Sep'!$Y$8:$AA$1048576,3,0)</f>
        <v>1E-4</v>
      </c>
      <c r="BT243" s="7">
        <f>VLOOKUP($A243,'16.Sep'!$Y$8:$AA$1048576,3,0)</f>
        <v>1E-4</v>
      </c>
      <c r="BU243" s="7">
        <f>VLOOKUP($A243,'17.Sep'!$Y$8:$AA$1048576,3,0)</f>
        <v>0</v>
      </c>
      <c r="BV243" s="7">
        <f>VLOOKUP($A243,'18.Sep'!$Y$8:$AA$1048576,3,0)</f>
        <v>1E-4</v>
      </c>
      <c r="BW243" s="7">
        <f>VLOOKUP($A243,'19.Sep'!$Y$8:$AA$1048576,3,0)</f>
        <v>1E-4</v>
      </c>
      <c r="BX243" s="7">
        <f>VLOOKUP($A243,'20.Sep'!$Y$8:$AA$1048576,3,0)</f>
        <v>2.0000000000000001E-4</v>
      </c>
      <c r="BY243" s="7">
        <f>VLOOKUP($A243,'21.Sep'!$Y$8:$AA$1048576,3,0)</f>
        <v>2.0000000000000001E-4</v>
      </c>
      <c r="BZ243" s="7">
        <f>VLOOKUP($A243,'22.Sep'!$Y$8:$AA$1048576,3,0)</f>
        <v>1E-4</v>
      </c>
      <c r="CA243" s="7">
        <f>VLOOKUP($A243,'23.Sep'!$Y$8:$AA$1048576,3,0)</f>
        <v>2.0000000000000001E-4</v>
      </c>
      <c r="CB243" s="7">
        <f>VLOOKUP($A243,'24.Sep'!$Y$8:$AA$1048576,3,0)</f>
        <v>1E-4</v>
      </c>
      <c r="CC243" s="7">
        <f>VLOOKUP($A243,'24.Sep'!$Y$8:$AA$1048576,3,0)</f>
        <v>1E-4</v>
      </c>
    </row>
    <row r="244" spans="1:81" outlineLevel="1">
      <c r="A244" s="6" t="s">
        <v>16</v>
      </c>
      <c r="B244" s="7">
        <v>1.1666666666666668E-4</v>
      </c>
      <c r="C244" s="7">
        <v>2.0000000000000001E-4</v>
      </c>
      <c r="D244" s="7">
        <v>8.5714285714285726E-5</v>
      </c>
      <c r="E244" s="7">
        <v>1.1428571428571431E-4</v>
      </c>
      <c r="F244" s="7">
        <v>5.7142857142857148E-5</v>
      </c>
      <c r="G244" s="7">
        <v>1.1428571428571431E-4</v>
      </c>
      <c r="H244" s="7">
        <f t="shared" si="72"/>
        <v>7.1428571428571434E-5</v>
      </c>
      <c r="I244" s="7">
        <f t="shared" si="73"/>
        <v>1.4285714285714287E-5</v>
      </c>
      <c r="J244" s="7">
        <f t="shared" si="74"/>
        <v>2.8571428571428574E-5</v>
      </c>
      <c r="K244" s="7">
        <f t="shared" si="70"/>
        <v>0</v>
      </c>
      <c r="L244" s="7">
        <f t="shared" si="71"/>
        <v>0</v>
      </c>
      <c r="M244" s="8">
        <v>2.0000000000000001E-4</v>
      </c>
      <c r="N244" s="8">
        <v>0</v>
      </c>
      <c r="O244" s="8">
        <v>2.0000000000000001E-4</v>
      </c>
      <c r="P244" s="8">
        <v>0</v>
      </c>
      <c r="Q244" s="8">
        <v>2.0000000000000001E-4</v>
      </c>
      <c r="R244" s="8">
        <v>1E-4</v>
      </c>
      <c r="S244" s="8">
        <v>1E-4</v>
      </c>
      <c r="T244" s="8">
        <v>4.0000000000000002E-4</v>
      </c>
      <c r="U244" s="8">
        <v>1E-4</v>
      </c>
      <c r="V244" s="8">
        <v>1E-4</v>
      </c>
      <c r="W244" s="8">
        <v>2.9999999999999997E-4</v>
      </c>
      <c r="X244" s="8">
        <v>2.9999999999999997E-4</v>
      </c>
      <c r="Y244" s="8">
        <v>1E-4</v>
      </c>
      <c r="Z244" s="8">
        <v>1E-4</v>
      </c>
      <c r="AA244" s="8">
        <v>1E-4</v>
      </c>
      <c r="AB244" s="8">
        <v>0</v>
      </c>
      <c r="AC244" s="8">
        <v>1E-4</v>
      </c>
      <c r="AD244" s="8">
        <v>2.0000000000000001E-4</v>
      </c>
      <c r="AE244" s="8">
        <v>0</v>
      </c>
      <c r="AF244" s="8">
        <v>1E-4</v>
      </c>
      <c r="AG244" s="8">
        <v>2.0000000000000001E-4</v>
      </c>
      <c r="AH244" s="8">
        <v>1E-4</v>
      </c>
      <c r="AI244" s="8">
        <v>1E-4</v>
      </c>
      <c r="AJ244" s="8">
        <v>1E-4</v>
      </c>
      <c r="AK244" s="8">
        <v>1E-4</v>
      </c>
      <c r="AL244" s="8">
        <v>1E-4</v>
      </c>
      <c r="AM244" s="7">
        <v>1E-4</v>
      </c>
      <c r="AN244" s="7">
        <v>0</v>
      </c>
      <c r="AO244" s="7">
        <v>0</v>
      </c>
      <c r="AP244" s="7">
        <v>1E-4</v>
      </c>
      <c r="AQ244" s="7">
        <v>0</v>
      </c>
      <c r="AR244" s="7">
        <v>1E-4</v>
      </c>
      <c r="AS244" s="7">
        <v>1E-4</v>
      </c>
      <c r="AT244" s="7">
        <v>1E-4</v>
      </c>
      <c r="AU244" s="7">
        <v>1E-4</v>
      </c>
      <c r="AV244" s="7">
        <v>1E-4</v>
      </c>
      <c r="AW244" s="7">
        <v>2.0000000000000001E-4</v>
      </c>
      <c r="AX244" s="7">
        <v>2.0000000000000001E-4</v>
      </c>
      <c r="AY244" s="7">
        <v>0</v>
      </c>
      <c r="AZ244" s="7">
        <v>1E-4</v>
      </c>
      <c r="BA244" s="7">
        <v>1E-4</v>
      </c>
      <c r="BB244" s="7">
        <v>1E-4</v>
      </c>
      <c r="BC244" s="7">
        <v>1E-4</v>
      </c>
      <c r="BD244" s="7">
        <v>1E-4</v>
      </c>
      <c r="BE244" s="7">
        <f>VLOOKUP($A244,'1.Sep'!$Y$8:$AA$1048576,3,0)</f>
        <v>0</v>
      </c>
      <c r="BF244" s="7">
        <f>VLOOKUP($A244,'2.Sep'!$Y$8:$AA$1048576,3,0)</f>
        <v>1E-4</v>
      </c>
      <c r="BG244" s="7">
        <f>VLOOKUP($A244,'3.Sep'!$Y$8:$AA$1048576,3,0)</f>
        <v>1E-4</v>
      </c>
      <c r="BH244" s="8">
        <f>VLOOKUP($A244,'4.Sep'!$Y$8:$AA$1048576,3,0)</f>
        <v>0</v>
      </c>
      <c r="BI244" s="8">
        <f>VLOOKUP($A244,'5.Sep'!$Y$8:$AA$1048576,3,0)</f>
        <v>0</v>
      </c>
      <c r="BJ244" s="8">
        <f>VLOOKUP($A244,'6.Sep'!$Y$8:$AA$1048576,3,0)</f>
        <v>0</v>
      </c>
      <c r="BK244" s="8">
        <f>VLOOKUP($A244,'7.Sep'!$Y$8:$AA$1048576,3,0)</f>
        <v>0</v>
      </c>
      <c r="BL244" s="8">
        <f>VLOOKUP($A244,'8.Sep'!$Y$8:$AA$1048576,3,0)</f>
        <v>0</v>
      </c>
      <c r="BM244" s="8">
        <f>VLOOKUP($A244,'9.Sep'!$Y$8:$AA$1048576,3,0)</f>
        <v>1E-4</v>
      </c>
      <c r="BN244" s="8">
        <f>VLOOKUP($A244,'10.Sep'!$Y$8:$AA$1048576,3,0)</f>
        <v>0</v>
      </c>
      <c r="BO244" s="8">
        <f>VLOOKUP($A244,'11.Sep'!$Y$8:$AA$1048576,3,0)</f>
        <v>0</v>
      </c>
      <c r="BP244" s="7">
        <f>VLOOKUP($A244,'12.Sep'!$Y$8:$AA$1048576,3,0)</f>
        <v>0</v>
      </c>
      <c r="BQ244" s="7">
        <f>VLOOKUP($A244,'13.Sep'!$Y$8:$AA$1048576,3,0)</f>
        <v>0</v>
      </c>
      <c r="BR244" s="7">
        <f>VLOOKUP($A244,'14.Sep'!$Y$8:$AA$1048576,3,0)</f>
        <v>0</v>
      </c>
      <c r="BS244" s="7">
        <f>VLOOKUP($A244,'15.Sep'!$Y$8:$AA$1048576,3,0)</f>
        <v>1E-4</v>
      </c>
      <c r="BT244" s="7">
        <f>VLOOKUP($A244,'16.Sep'!$Y$8:$AA$1048576,3,0)</f>
        <v>1E-4</v>
      </c>
      <c r="BU244" s="7">
        <v>0</v>
      </c>
      <c r="BV244" s="7">
        <f>VLOOKUP($A244,'18.Sep'!$Y$8:$AA$1048576,3,0)</f>
        <v>0</v>
      </c>
      <c r="BW244" s="7">
        <f>VLOOKUP($A244,'19.Sep'!$Y$8:$AA$1048576,3,0)</f>
        <v>0</v>
      </c>
      <c r="BX244" s="7">
        <f>VLOOKUP($A244,'20.Sep'!$Y$8:$AA$1048576,3,0)</f>
        <v>0</v>
      </c>
      <c r="BY244" s="7">
        <f>VLOOKUP($A244,'21.Sep'!$Y$8:$AA$1048576,3,0)</f>
        <v>0</v>
      </c>
      <c r="BZ244" s="7">
        <f>VLOOKUP($A244,'22.Sep'!$Y$8:$AA$1048576,3,0)</f>
        <v>0</v>
      </c>
      <c r="CA244" s="7">
        <f>VLOOKUP($A244,'23.Sep'!$Y$8:$AA$1048576,3,0)</f>
        <v>0</v>
      </c>
      <c r="CB244" s="7">
        <f>VLOOKUP($A244,'24.Sep'!$Y$8:$AA$1048576,3,0)</f>
        <v>0</v>
      </c>
      <c r="CC244" s="7">
        <f>VLOOKUP($A244,'24.Sep'!$Y$8:$AA$1048576,3,0)</f>
        <v>0</v>
      </c>
    </row>
    <row r="245" spans="1:81" outlineLevel="1">
      <c r="A245" s="6" t="s">
        <v>17</v>
      </c>
      <c r="B245" s="7">
        <v>1E-4</v>
      </c>
      <c r="C245" s="7">
        <v>1.5714285714285716E-4</v>
      </c>
      <c r="D245" s="7">
        <v>4.142857142857142E-4</v>
      </c>
      <c r="E245" s="7">
        <v>3.5714285714285714E-4</v>
      </c>
      <c r="F245" s="7">
        <v>3.0000000000000003E-4</v>
      </c>
      <c r="G245" s="7">
        <v>2.5714285714285715E-4</v>
      </c>
      <c r="H245" s="7">
        <f t="shared" si="72"/>
        <v>2.7142857142857144E-4</v>
      </c>
      <c r="I245" s="7">
        <f t="shared" si="73"/>
        <v>1.4285714285714287E-4</v>
      </c>
      <c r="J245" s="7">
        <f t="shared" si="74"/>
        <v>1.4285714285714287E-4</v>
      </c>
      <c r="K245" s="7">
        <f t="shared" si="70"/>
        <v>1.1666666666666668E-4</v>
      </c>
      <c r="L245" s="7">
        <f t="shared" si="71"/>
        <v>1E-4</v>
      </c>
      <c r="M245" s="8">
        <v>4.0000000000000002E-4</v>
      </c>
      <c r="N245" s="8">
        <v>0</v>
      </c>
      <c r="O245" s="8">
        <v>1E-4</v>
      </c>
      <c r="P245" s="8">
        <v>0</v>
      </c>
      <c r="Q245" s="8">
        <v>1E-4</v>
      </c>
      <c r="R245" s="8">
        <v>0</v>
      </c>
      <c r="S245" s="8">
        <v>2.9999999999999997E-4</v>
      </c>
      <c r="T245" s="8">
        <v>2.0000000000000001E-4</v>
      </c>
      <c r="U245" s="8">
        <v>0</v>
      </c>
      <c r="V245" s="8">
        <v>2.0000000000000001E-4</v>
      </c>
      <c r="W245" s="8">
        <v>1E-4</v>
      </c>
      <c r="X245" s="8">
        <v>1E-4</v>
      </c>
      <c r="Y245" s="8">
        <v>2.0000000000000001E-4</v>
      </c>
      <c r="Z245" s="8">
        <v>1E-4</v>
      </c>
      <c r="AA245" s="8">
        <v>4.0000000000000002E-4</v>
      </c>
      <c r="AB245" s="8">
        <v>4.0000000000000002E-4</v>
      </c>
      <c r="AC245" s="8">
        <v>2.9999999999999997E-4</v>
      </c>
      <c r="AD245" s="8">
        <v>1.2999999999999999E-3</v>
      </c>
      <c r="AE245" s="8">
        <v>1E-4</v>
      </c>
      <c r="AF245" s="8">
        <v>2.9999999999999997E-4</v>
      </c>
      <c r="AG245" s="8">
        <v>2.9999999999999997E-4</v>
      </c>
      <c r="AH245" s="8">
        <v>2.0000000000000001E-4</v>
      </c>
      <c r="AI245" s="8">
        <v>5.9999999999999995E-4</v>
      </c>
      <c r="AJ245" s="8">
        <v>4.0000000000000002E-4</v>
      </c>
      <c r="AK245" s="8">
        <v>4.0000000000000002E-4</v>
      </c>
      <c r="AL245" s="8">
        <v>2.0000000000000001E-4</v>
      </c>
      <c r="AM245" s="7">
        <v>4.0000000000000002E-4</v>
      </c>
      <c r="AN245" s="7">
        <v>5.9999999999999995E-4</v>
      </c>
      <c r="AO245" s="7">
        <v>2.0000000000000001E-4</v>
      </c>
      <c r="AP245" s="7">
        <v>2.0000000000000001E-4</v>
      </c>
      <c r="AQ245" s="7">
        <v>2.0000000000000001E-4</v>
      </c>
      <c r="AR245" s="7">
        <v>4.0000000000000002E-4</v>
      </c>
      <c r="AS245" s="7">
        <v>2.0000000000000001E-4</v>
      </c>
      <c r="AT245" s="7">
        <v>2.9999999999999997E-4</v>
      </c>
      <c r="AU245" s="7">
        <v>2.9999999999999997E-4</v>
      </c>
      <c r="AV245" s="7">
        <v>4.0000000000000002E-4</v>
      </c>
      <c r="AW245" s="7">
        <v>2.9999999999999997E-4</v>
      </c>
      <c r="AX245" s="7">
        <v>1E-4</v>
      </c>
      <c r="AY245" s="7">
        <v>2.0000000000000001E-4</v>
      </c>
      <c r="AZ245" s="7">
        <v>2.9999999999999997E-4</v>
      </c>
      <c r="BA245" s="7">
        <v>2.0000000000000001E-4</v>
      </c>
      <c r="BB245" s="7">
        <v>2.0000000000000001E-4</v>
      </c>
      <c r="BC245" s="7">
        <v>2.0000000000000001E-4</v>
      </c>
      <c r="BD245" s="7">
        <v>5.9999999999999995E-4</v>
      </c>
      <c r="BE245" s="7">
        <f>VLOOKUP($A245,'1.Sep'!$Y$8:$AA$1048576,3,0)</f>
        <v>2.9999999999999997E-4</v>
      </c>
      <c r="BF245" s="7">
        <f>VLOOKUP($A245,'2.Sep'!$Y$8:$AA$1048576,3,0)</f>
        <v>2.0000000000000001E-4</v>
      </c>
      <c r="BG245" s="7">
        <f>VLOOKUP($A245,'3.Sep'!$Y$8:$AA$1048576,3,0)</f>
        <v>2.0000000000000001E-4</v>
      </c>
      <c r="BH245" s="8">
        <f>VLOOKUP($A245,'4.Sep'!$Y$8:$AA$1048576,3,0)</f>
        <v>2.0000000000000001E-4</v>
      </c>
      <c r="BI245" s="8">
        <f>VLOOKUP($A245,'5.Sep'!$Y$8:$AA$1048576,3,0)</f>
        <v>1E-4</v>
      </c>
      <c r="BJ245" s="8">
        <f>VLOOKUP($A245,'6.Sep'!$Y$8:$AA$1048576,3,0)</f>
        <v>2.0000000000000001E-4</v>
      </c>
      <c r="BK245" s="8">
        <f>VLOOKUP($A245,'7.Sep'!$Y$8:$AA$1048576,3,0)</f>
        <v>1E-4</v>
      </c>
      <c r="BL245" s="8">
        <f>VLOOKUP($A245,'8.Sep'!$Y$8:$AA$1048576,3,0)</f>
        <v>1E-4</v>
      </c>
      <c r="BM245" s="8">
        <f>VLOOKUP($A245,'9.Sep'!$Y$8:$AA$1048576,3,0)</f>
        <v>1E-4</v>
      </c>
      <c r="BN245" s="8">
        <f>VLOOKUP($A245,'10.Sep'!$Y$8:$AA$1048576,3,0)</f>
        <v>2.0000000000000001E-4</v>
      </c>
      <c r="BO245" s="8">
        <f>VLOOKUP($A245,'11.Sep'!$Y$8:$AA$1048576,3,0)</f>
        <v>2.0000000000000001E-4</v>
      </c>
      <c r="BP245" s="7">
        <f>VLOOKUP($A245,'12.Sep'!$Y$8:$AA$1048576,3,0)</f>
        <v>1E-4</v>
      </c>
      <c r="BQ245" s="7">
        <f>VLOOKUP($A245,'13.Sep'!$Y$8:$AA$1048576,3,0)</f>
        <v>1E-4</v>
      </c>
      <c r="BR245" s="7">
        <f>VLOOKUP($A245,'14.Sep'!$Y$8:$AA$1048576,3,0)</f>
        <v>2.9999999999999997E-4</v>
      </c>
      <c r="BS245" s="7">
        <f>VLOOKUP($A245,'15.Sep'!$Y$8:$AA$1048576,3,0)</f>
        <v>2.0000000000000001E-4</v>
      </c>
      <c r="BT245" s="7">
        <f>VLOOKUP($A245,'16.Sep'!$Y$8:$AA$1048576,3,0)</f>
        <v>1E-4</v>
      </c>
      <c r="BU245" s="7">
        <f>VLOOKUP($A245,'17.Sep'!$Y$8:$AA$1048576,3,0)</f>
        <v>1E-4</v>
      </c>
      <c r="BV245" s="7">
        <f>VLOOKUP($A245,'18.Sep'!$Y$8:$AA$1048576,3,0)</f>
        <v>1E-4</v>
      </c>
      <c r="BW245" s="7">
        <f>VLOOKUP($A245,'19.Sep'!$Y$8:$AA$1048576,3,0)</f>
        <v>2.0000000000000001E-4</v>
      </c>
      <c r="BX245" s="7">
        <f>VLOOKUP($A245,'20.Sep'!$Y$8:$AA$1048576,3,0)</f>
        <v>1E-4</v>
      </c>
      <c r="BY245" s="7">
        <f>VLOOKUP($A245,'21.Sep'!$Y$8:$AA$1048576,3,0)</f>
        <v>1E-4</v>
      </c>
      <c r="BZ245" s="7">
        <f>VLOOKUP($A245,'22.Sep'!$Y$8:$AA$1048576,3,0)</f>
        <v>1E-4</v>
      </c>
      <c r="CA245" s="7">
        <f>VLOOKUP($A245,'23.Sep'!$Y$8:$AA$1048576,3,0)</f>
        <v>1E-4</v>
      </c>
      <c r="CB245" s="7">
        <f>VLOOKUP($A245,'24.Sep'!$Y$8:$AA$1048576,3,0)</f>
        <v>1E-4</v>
      </c>
      <c r="CC245" s="7">
        <f>VLOOKUP($A245,'24.Sep'!$Y$8:$AA$1048576,3,0)</f>
        <v>1E-4</v>
      </c>
    </row>
    <row r="246" spans="1:81" outlineLevel="1">
      <c r="A246" s="6" t="s">
        <v>18</v>
      </c>
      <c r="B246" s="7">
        <v>2.333333333333333E-4</v>
      </c>
      <c r="C246" s="7">
        <v>1.4285714285714287E-4</v>
      </c>
      <c r="D246" s="7">
        <v>1.8571428571428574E-4</v>
      </c>
      <c r="E246" s="7">
        <v>1.7142857142857145E-4</v>
      </c>
      <c r="F246" s="7">
        <v>2.0000000000000004E-4</v>
      </c>
      <c r="G246" s="7">
        <v>2.5714285714285715E-4</v>
      </c>
      <c r="H246" s="7">
        <f t="shared" si="72"/>
        <v>2.5714285714285715E-4</v>
      </c>
      <c r="I246" s="7">
        <f t="shared" si="73"/>
        <v>2.0000000000000004E-4</v>
      </c>
      <c r="J246" s="7">
        <f t="shared" si="74"/>
        <v>2.4285714285714289E-4</v>
      </c>
      <c r="K246" s="7">
        <f t="shared" si="70"/>
        <v>2.6666666666666663E-4</v>
      </c>
      <c r="L246" s="7">
        <f t="shared" si="71"/>
        <v>2.7999999999999998E-4</v>
      </c>
      <c r="M246" s="8">
        <v>2.9999999999999997E-4</v>
      </c>
      <c r="N246" s="8">
        <v>2.9999999999999997E-4</v>
      </c>
      <c r="O246" s="8">
        <v>2.0000000000000001E-4</v>
      </c>
      <c r="P246" s="8">
        <v>2.9999999999999997E-4</v>
      </c>
      <c r="Q246" s="8">
        <v>0</v>
      </c>
      <c r="R246" s="8">
        <v>2.9999999999999997E-4</v>
      </c>
      <c r="S246" s="8">
        <v>2.0000000000000001E-4</v>
      </c>
      <c r="T246" s="8">
        <v>1E-4</v>
      </c>
      <c r="U246" s="8">
        <v>2.9999999999999997E-4</v>
      </c>
      <c r="V246" s="8">
        <v>2.0000000000000001E-4</v>
      </c>
      <c r="W246" s="8">
        <v>1E-4</v>
      </c>
      <c r="X246" s="8">
        <v>1E-4</v>
      </c>
      <c r="Y246" s="8">
        <v>0</v>
      </c>
      <c r="Z246" s="8">
        <v>2.0000000000000001E-4</v>
      </c>
      <c r="AA246" s="8">
        <v>2.0000000000000001E-4</v>
      </c>
      <c r="AB246" s="8">
        <v>2.0000000000000001E-4</v>
      </c>
      <c r="AC246" s="8">
        <v>1E-4</v>
      </c>
      <c r="AD246" s="8">
        <v>2.0000000000000001E-4</v>
      </c>
      <c r="AE246" s="8">
        <v>2.0000000000000001E-4</v>
      </c>
      <c r="AF246" s="8">
        <v>2.0000000000000001E-4</v>
      </c>
      <c r="AG246" s="8">
        <v>1E-4</v>
      </c>
      <c r="AH246" s="8">
        <v>1E-4</v>
      </c>
      <c r="AI246" s="8">
        <v>2.0000000000000001E-4</v>
      </c>
      <c r="AJ246" s="8">
        <v>2.9999999999999997E-4</v>
      </c>
      <c r="AK246" s="8">
        <v>2.0000000000000001E-4</v>
      </c>
      <c r="AL246" s="8">
        <v>2.0000000000000001E-4</v>
      </c>
      <c r="AM246" s="7">
        <v>1E-4</v>
      </c>
      <c r="AN246" s="7">
        <v>2.0000000000000001E-4</v>
      </c>
      <c r="AO246" s="7">
        <v>2.0000000000000001E-4</v>
      </c>
      <c r="AP246" s="7">
        <v>2.9999999999999997E-4</v>
      </c>
      <c r="AQ246" s="7">
        <v>2.0000000000000001E-4</v>
      </c>
      <c r="AR246" s="7">
        <v>2.0000000000000001E-4</v>
      </c>
      <c r="AS246" s="7">
        <v>2.0000000000000001E-4</v>
      </c>
      <c r="AT246" s="7">
        <v>1E-4</v>
      </c>
      <c r="AU246" s="7">
        <v>2.0000000000000001E-4</v>
      </c>
      <c r="AV246" s="7">
        <v>2.9999999999999997E-4</v>
      </c>
      <c r="AW246" s="7">
        <v>2.0000000000000001E-4</v>
      </c>
      <c r="AX246" s="7">
        <v>1E-4</v>
      </c>
      <c r="AY246" s="7">
        <v>2.0000000000000001E-4</v>
      </c>
      <c r="AZ246" s="7">
        <v>4.0000000000000002E-4</v>
      </c>
      <c r="BA246" s="7">
        <v>4.0000000000000002E-4</v>
      </c>
      <c r="BB246" s="7">
        <v>2.0000000000000001E-4</v>
      </c>
      <c r="BC246" s="7">
        <v>2.9999999999999997E-4</v>
      </c>
      <c r="BD246" s="7">
        <v>2.9999999999999997E-4</v>
      </c>
      <c r="BE246" s="7">
        <f>VLOOKUP($A246,'1.Sep'!$Y$8:$AA$1048576,3,0)</f>
        <v>2.0000000000000001E-4</v>
      </c>
      <c r="BF246" s="7">
        <f>VLOOKUP($A246,'2.Sep'!$Y$8:$AA$1048576,3,0)</f>
        <v>2.9999999999999997E-4</v>
      </c>
      <c r="BG246" s="7">
        <f>VLOOKUP($A246,'3.Sep'!$Y$8:$AA$1048576,3,0)</f>
        <v>2.9999999999999997E-4</v>
      </c>
      <c r="BH246" s="8">
        <f>VLOOKUP($A246,'4.Sep'!$Y$8:$AA$1048576,3,0)</f>
        <v>2.0000000000000001E-4</v>
      </c>
      <c r="BI246" s="8">
        <f>VLOOKUP($A246,'5.Sep'!$Y$8:$AA$1048576,3,0)</f>
        <v>2.0000000000000001E-4</v>
      </c>
      <c r="BJ246" s="8">
        <f>VLOOKUP($A246,'6.Sep'!$Y$8:$AA$1048576,3,0)</f>
        <v>2.9999999999999997E-4</v>
      </c>
      <c r="BK246" s="8">
        <f>VLOOKUP($A246,'7.Sep'!$Y$8:$AA$1048576,3,0)</f>
        <v>1E-4</v>
      </c>
      <c r="BL246" s="8">
        <f>VLOOKUP($A246,'8.Sep'!$Y$8:$AA$1048576,3,0)</f>
        <v>2.0000000000000001E-4</v>
      </c>
      <c r="BM246" s="8">
        <f>VLOOKUP($A246,'9.Sep'!$Y$8:$AA$1048576,3,0)</f>
        <v>2.0000000000000001E-4</v>
      </c>
      <c r="BN246" s="8">
        <f>VLOOKUP($A246,'10.Sep'!$Y$8:$AA$1048576,3,0)</f>
        <v>2.0000000000000001E-4</v>
      </c>
      <c r="BO246" s="8">
        <f>VLOOKUP($A246,'11.Sep'!$Y$8:$AA$1048576,3,0)</f>
        <v>2.0000000000000001E-4</v>
      </c>
      <c r="BP246" s="7">
        <f>VLOOKUP($A246,'12.Sep'!$Y$8:$AA$1048576,3,0)</f>
        <v>2.0000000000000001E-4</v>
      </c>
      <c r="BQ246" s="7">
        <f>VLOOKUP($A246,'13.Sep'!$Y$8:$AA$1048576,3,0)</f>
        <v>2.9999999999999997E-4</v>
      </c>
      <c r="BR246" s="7">
        <f>VLOOKUP($A246,'14.Sep'!$Y$8:$AA$1048576,3,0)</f>
        <v>2.0000000000000001E-4</v>
      </c>
      <c r="BS246" s="7">
        <f>VLOOKUP($A246,'15.Sep'!$Y$8:$AA$1048576,3,0)</f>
        <v>2.9999999999999997E-4</v>
      </c>
      <c r="BT246" s="7">
        <f>VLOOKUP($A246,'16.Sep'!$Y$8:$AA$1048576,3,0)</f>
        <v>2.0000000000000001E-4</v>
      </c>
      <c r="BU246" s="7">
        <f>VLOOKUP($A246,'17.Sep'!$Y$8:$AA$1048576,3,0)</f>
        <v>2.0000000000000001E-4</v>
      </c>
      <c r="BV246" s="7">
        <f>VLOOKUP($A246,'18.Sep'!$Y$8:$AA$1048576,3,0)</f>
        <v>2.9999999999999997E-4</v>
      </c>
      <c r="BW246" s="7">
        <f>VLOOKUP($A246,'19.Sep'!$Y$8:$AA$1048576,3,0)</f>
        <v>2.0000000000000001E-4</v>
      </c>
      <c r="BX246" s="7">
        <f>VLOOKUP($A246,'20.Sep'!$Y$8:$AA$1048576,3,0)</f>
        <v>2.9999999999999997E-4</v>
      </c>
      <c r="BY246" s="7">
        <f>VLOOKUP($A246,'21.Sep'!$Y$8:$AA$1048576,3,0)</f>
        <v>2.0000000000000001E-4</v>
      </c>
      <c r="BZ246" s="7">
        <f>VLOOKUP($A246,'22.Sep'!$Y$8:$AA$1048576,3,0)</f>
        <v>2.0000000000000001E-4</v>
      </c>
      <c r="CA246" s="7">
        <f>VLOOKUP($A246,'23.Sep'!$Y$8:$AA$1048576,3,0)</f>
        <v>4.0000000000000002E-4</v>
      </c>
      <c r="CB246" s="7">
        <f>VLOOKUP($A246,'24.Sep'!$Y$8:$AA$1048576,3,0)</f>
        <v>2.9999999999999997E-4</v>
      </c>
      <c r="CC246" s="7">
        <f>VLOOKUP($A246,'24.Sep'!$Y$8:$AA$1048576,3,0)</f>
        <v>2.9999999999999997E-4</v>
      </c>
    </row>
    <row r="247" spans="1:81" outlineLevel="1">
      <c r="A247" s="6" t="s">
        <v>19</v>
      </c>
      <c r="B247" s="7">
        <v>1.7666666666666664E-3</v>
      </c>
      <c r="C247" s="7">
        <v>3.428571428571429E-4</v>
      </c>
      <c r="D247" s="7">
        <v>4.7142857142857148E-4</v>
      </c>
      <c r="E247" s="7">
        <v>2.0000000000000004E-4</v>
      </c>
      <c r="F247" s="7">
        <v>1.1428571428571431E-4</v>
      </c>
      <c r="G247" s="7">
        <v>7.1428571428571434E-5</v>
      </c>
      <c r="H247" s="7">
        <f t="shared" si="72"/>
        <v>5.7142857142857148E-5</v>
      </c>
      <c r="I247" s="7">
        <f t="shared" si="73"/>
        <v>1.142857142857143E-4</v>
      </c>
      <c r="J247" s="7">
        <f t="shared" si="74"/>
        <v>7.1428571428571434E-5</v>
      </c>
      <c r="K247" s="7">
        <f t="shared" si="70"/>
        <v>1E-4</v>
      </c>
      <c r="L247" s="7">
        <f t="shared" si="71"/>
        <v>1E-4</v>
      </c>
      <c r="M247" s="8">
        <v>2.5999999999999999E-3</v>
      </c>
      <c r="N247" s="8">
        <v>3.8999999999999998E-3</v>
      </c>
      <c r="O247" s="8">
        <v>2.5000000000000001E-3</v>
      </c>
      <c r="P247" s="8">
        <v>4.0000000000000002E-4</v>
      </c>
      <c r="Q247" s="8">
        <v>8.0000000000000004E-4</v>
      </c>
      <c r="R247" s="8">
        <v>4.0000000000000002E-4</v>
      </c>
      <c r="S247" s="8">
        <v>5.0000000000000001E-4</v>
      </c>
      <c r="T247" s="8">
        <v>2.0000000000000001E-4</v>
      </c>
      <c r="U247" s="8">
        <v>6.9999999999999999E-4</v>
      </c>
      <c r="V247" s="8">
        <v>2.0000000000000001E-4</v>
      </c>
      <c r="W247" s="8">
        <v>2.0000000000000001E-4</v>
      </c>
      <c r="X247" s="8">
        <v>2.0000000000000001E-4</v>
      </c>
      <c r="Y247" s="8">
        <v>4.0000000000000002E-4</v>
      </c>
      <c r="Z247" s="8">
        <v>6.9999999999999999E-4</v>
      </c>
      <c r="AA247" s="8">
        <v>5.0000000000000001E-4</v>
      </c>
      <c r="AB247" s="8">
        <v>2.9999999999999997E-4</v>
      </c>
      <c r="AC247" s="8">
        <v>4.0000000000000002E-4</v>
      </c>
      <c r="AD247" s="8">
        <v>8.0000000000000004E-4</v>
      </c>
      <c r="AE247" s="8">
        <v>4.0000000000000002E-4</v>
      </c>
      <c r="AF247" s="8">
        <v>2.0000000000000001E-4</v>
      </c>
      <c r="AG247" s="8">
        <v>2.9999999999999997E-4</v>
      </c>
      <c r="AH247" s="8">
        <v>1E-4</v>
      </c>
      <c r="AI247" s="8">
        <v>1E-4</v>
      </c>
      <c r="AJ247" s="8">
        <v>1E-4</v>
      </c>
      <c r="AK247" s="8">
        <v>5.0000000000000001E-4</v>
      </c>
      <c r="AL247" s="8">
        <v>1E-4</v>
      </c>
      <c r="AM247" s="7">
        <v>2.0000000000000001E-4</v>
      </c>
      <c r="AN247" s="7">
        <v>4.0000000000000002E-4</v>
      </c>
      <c r="AO247" s="7">
        <v>1E-4</v>
      </c>
      <c r="AP247" s="7">
        <v>1E-4</v>
      </c>
      <c r="AQ247" s="7">
        <v>0</v>
      </c>
      <c r="AR247" s="7">
        <v>1E-4</v>
      </c>
      <c r="AS247" s="7">
        <v>1E-4</v>
      </c>
      <c r="AT247" s="7">
        <v>0</v>
      </c>
      <c r="AU247" s="7">
        <v>1E-4</v>
      </c>
      <c r="AV247" s="7">
        <v>1E-4</v>
      </c>
      <c r="AW247" s="7">
        <v>0</v>
      </c>
      <c r="AX247" s="7">
        <v>1E-4</v>
      </c>
      <c r="AY247" s="7">
        <v>1E-4</v>
      </c>
      <c r="AZ247" s="7">
        <v>0</v>
      </c>
      <c r="BA247" s="7">
        <v>1E-4</v>
      </c>
      <c r="BB247" s="7">
        <v>0</v>
      </c>
      <c r="BC247" s="7">
        <v>0</v>
      </c>
      <c r="BD247" s="7">
        <v>1E-4</v>
      </c>
      <c r="BE247" s="7">
        <f>VLOOKUP($A247,'1.Sep'!$Y$8:$AA$1048576,3,0)</f>
        <v>0</v>
      </c>
      <c r="BF247" s="7">
        <f>VLOOKUP($A247,'2.Sep'!$Y$8:$AA$1048576,3,0)</f>
        <v>0</v>
      </c>
      <c r="BG247" s="7">
        <f>VLOOKUP($A247,'3.Sep'!$Y$8:$AA$1048576,3,0)</f>
        <v>2.0000000000000001E-4</v>
      </c>
      <c r="BH247" s="8">
        <f>VLOOKUP($A247,'4.Sep'!$Y$8:$AA$1048576,3,0)</f>
        <v>1E-4</v>
      </c>
      <c r="BI247" s="8">
        <f>VLOOKUP($A247,'5.Sep'!$Y$8:$AA$1048576,3,0)</f>
        <v>1E-4</v>
      </c>
      <c r="BJ247" s="8">
        <f>VLOOKUP($A247,'6.Sep'!$Y$8:$AA$1048576,3,0)</f>
        <v>1E-4</v>
      </c>
      <c r="BK247" s="8">
        <f>VLOOKUP($A247,'7.Sep'!$Y$8:$AA$1048576,3,0)</f>
        <v>1E-4</v>
      </c>
      <c r="BL247" s="8">
        <f>VLOOKUP($A247,'8.Sep'!$Y$8:$AA$1048576,3,0)</f>
        <v>0</v>
      </c>
      <c r="BM247" s="8">
        <f>VLOOKUP($A247,'9.Sep'!$Y$8:$AA$1048576,3,0)</f>
        <v>1E-4</v>
      </c>
      <c r="BN247" s="8">
        <f>VLOOKUP($A247,'10.Sep'!$Y$8:$AA$1048576,3,0)</f>
        <v>2.0000000000000001E-4</v>
      </c>
      <c r="BO247" s="8">
        <f>VLOOKUP($A247,'11.Sep'!$Y$8:$AA$1048576,3,0)</f>
        <v>2.0000000000000001E-4</v>
      </c>
      <c r="BP247" s="7">
        <f>VLOOKUP($A247,'12.Sep'!$Y$8:$AA$1048576,3,0)</f>
        <v>1E-4</v>
      </c>
      <c r="BQ247" s="7">
        <f>VLOOKUP($A247,'13.Sep'!$Y$8:$AA$1048576,3,0)</f>
        <v>0</v>
      </c>
      <c r="BR247" s="7">
        <f>VLOOKUP($A247,'14.Sep'!$Y$8:$AA$1048576,3,0)</f>
        <v>1E-4</v>
      </c>
      <c r="BS247" s="7">
        <f>VLOOKUP($A247,'15.Sep'!$Y$8:$AA$1048576,3,0)</f>
        <v>1E-4</v>
      </c>
      <c r="BT247" s="7">
        <f>VLOOKUP($A247,'16.Sep'!$Y$8:$AA$1048576,3,0)</f>
        <v>0</v>
      </c>
      <c r="BU247" s="7">
        <f>VLOOKUP($A247,'17.Sep'!$Y$8:$AA$1048576,3,0)</f>
        <v>1E-4</v>
      </c>
      <c r="BV247" s="7">
        <f>VLOOKUP($A247,'18.Sep'!$Y$8:$AA$1048576,3,0)</f>
        <v>1E-4</v>
      </c>
      <c r="BW247" s="7">
        <f>VLOOKUP($A247,'19.Sep'!$Y$8:$AA$1048576,3,0)</f>
        <v>1E-4</v>
      </c>
      <c r="BX247" s="7">
        <f>VLOOKUP($A247,'20.Sep'!$Y$8:$AA$1048576,3,0)</f>
        <v>1E-4</v>
      </c>
      <c r="BY247" s="7">
        <f>VLOOKUP($A247,'21.Sep'!$Y$8:$AA$1048576,3,0)</f>
        <v>1E-4</v>
      </c>
      <c r="BZ247" s="7">
        <f>VLOOKUP($A247,'22.Sep'!$Y$8:$AA$1048576,3,0)</f>
        <v>1E-4</v>
      </c>
      <c r="CA247" s="7">
        <f>VLOOKUP($A247,'23.Sep'!$Y$8:$AA$1048576,3,0)</f>
        <v>1E-4</v>
      </c>
      <c r="CB247" s="7">
        <f>VLOOKUP($A247,'24.Sep'!$Y$8:$AA$1048576,3,0)</f>
        <v>1E-4</v>
      </c>
      <c r="CC247" s="7">
        <f>VLOOKUP($A247,'24.Sep'!$Y$8:$AA$1048576,3,0)</f>
        <v>1E-4</v>
      </c>
    </row>
    <row r="248" spans="1:81" outlineLevel="1">
      <c r="A248" s="6" t="s">
        <v>20</v>
      </c>
      <c r="B248" s="7">
        <v>1.25E-3</v>
      </c>
      <c r="C248" s="7">
        <v>2.5714285714285715E-4</v>
      </c>
      <c r="D248" s="7">
        <v>1.285714285714286E-4</v>
      </c>
      <c r="E248" s="7">
        <v>8.5714285714285726E-5</v>
      </c>
      <c r="F248" s="7">
        <v>1.285714285714286E-4</v>
      </c>
      <c r="G248" s="7">
        <v>4.2857142857142863E-5</v>
      </c>
      <c r="H248" s="7">
        <f t="shared" si="72"/>
        <v>5.7142857142857148E-5</v>
      </c>
      <c r="I248" s="7">
        <f t="shared" si="73"/>
        <v>5.7142857142857148E-5</v>
      </c>
      <c r="J248" s="7">
        <f t="shared" si="74"/>
        <v>8.5714285714285726E-5</v>
      </c>
      <c r="K248" s="7">
        <f t="shared" si="70"/>
        <v>1.1666666666666668E-4</v>
      </c>
      <c r="L248" s="7">
        <f t="shared" si="71"/>
        <v>1.2000000000000002E-4</v>
      </c>
      <c r="M248" s="8">
        <v>0</v>
      </c>
      <c r="N248" s="8">
        <v>0</v>
      </c>
      <c r="O248" s="8">
        <v>1E-4</v>
      </c>
      <c r="P248" s="8">
        <v>2.9999999999999997E-4</v>
      </c>
      <c r="Q248" s="8">
        <v>4.1999999999999997E-3</v>
      </c>
      <c r="R248" s="8">
        <v>2.8999999999999998E-3</v>
      </c>
      <c r="S248" s="8">
        <v>1E-4</v>
      </c>
      <c r="T248" s="8">
        <v>0</v>
      </c>
      <c r="U248" s="8">
        <v>1E-4</v>
      </c>
      <c r="V248" s="8">
        <v>1E-4</v>
      </c>
      <c r="W248" s="8">
        <v>6.9999999999999999E-4</v>
      </c>
      <c r="X248" s="8">
        <v>6.9999999999999999E-4</v>
      </c>
      <c r="Y248" s="8">
        <v>1E-4</v>
      </c>
      <c r="Z248" s="8">
        <v>1E-4</v>
      </c>
      <c r="AA248" s="8">
        <v>2.0000000000000001E-4</v>
      </c>
      <c r="AB248" s="8">
        <v>1E-4</v>
      </c>
      <c r="AC248" s="8">
        <v>2.0000000000000001E-4</v>
      </c>
      <c r="AD248" s="8">
        <v>1E-4</v>
      </c>
      <c r="AE248" s="8">
        <v>1E-4</v>
      </c>
      <c r="AF248" s="8">
        <v>1E-4</v>
      </c>
      <c r="AG248" s="8">
        <v>1E-4</v>
      </c>
      <c r="AH248" s="8">
        <v>0</v>
      </c>
      <c r="AI248" s="8">
        <v>0</v>
      </c>
      <c r="AJ248" s="8">
        <v>1E-4</v>
      </c>
      <c r="AK248" s="8">
        <v>1E-4</v>
      </c>
      <c r="AL248" s="8">
        <v>2.0000000000000001E-4</v>
      </c>
      <c r="AM248" s="7">
        <v>1E-4</v>
      </c>
      <c r="AN248" s="7">
        <v>2.0000000000000001E-4</v>
      </c>
      <c r="AO248" s="7">
        <v>1E-4</v>
      </c>
      <c r="AP248" s="7">
        <v>2.9999999999999997E-4</v>
      </c>
      <c r="AQ248" s="7">
        <v>1E-4</v>
      </c>
      <c r="AR248" s="7">
        <v>0</v>
      </c>
      <c r="AS248" s="7">
        <v>1E-4</v>
      </c>
      <c r="AT248" s="7">
        <v>1E-4</v>
      </c>
      <c r="AU248" s="7">
        <v>1E-4</v>
      </c>
      <c r="AV248" s="7">
        <v>1E-4</v>
      </c>
      <c r="AW248" s="7">
        <v>0</v>
      </c>
      <c r="AX248" s="7">
        <v>0</v>
      </c>
      <c r="AY248" s="7">
        <v>1E-4</v>
      </c>
      <c r="AZ248" s="7">
        <v>0</v>
      </c>
      <c r="BA248" s="7">
        <v>0</v>
      </c>
      <c r="BB248" s="7">
        <v>0</v>
      </c>
      <c r="BC248" s="7">
        <v>1E-4</v>
      </c>
      <c r="BD248" s="7">
        <v>1E-4</v>
      </c>
      <c r="BE248" s="7">
        <f>VLOOKUP($A248,'1.Sep'!$Y$8:$AA$1048576,3,0)</f>
        <v>0</v>
      </c>
      <c r="BF248" s="7">
        <f>VLOOKUP($A248,'2.Sep'!$Y$8:$AA$1048576,3,0)</f>
        <v>1E-4</v>
      </c>
      <c r="BG248" s="7">
        <f>VLOOKUP($A248,'3.Sep'!$Y$8:$AA$1048576,3,0)</f>
        <v>1E-4</v>
      </c>
      <c r="BH248" s="8">
        <f>VLOOKUP($A248,'4.Sep'!$Y$8:$AA$1048576,3,0)</f>
        <v>0</v>
      </c>
      <c r="BI248" s="8">
        <f>VLOOKUP($A248,'5.Sep'!$Y$8:$AA$1048576,3,0)</f>
        <v>1E-4</v>
      </c>
      <c r="BJ248" s="8">
        <f>VLOOKUP($A248,'6.Sep'!$Y$8:$AA$1048576,3,0)</f>
        <v>0</v>
      </c>
      <c r="BK248" s="8">
        <f>VLOOKUP($A248,'7.Sep'!$Y$8:$AA$1048576,3,0)</f>
        <v>1E-4</v>
      </c>
      <c r="BL248" s="8">
        <f>VLOOKUP($A248,'8.Sep'!$Y$8:$AA$1048576,3,0)</f>
        <v>0</v>
      </c>
      <c r="BM248" s="8">
        <f>VLOOKUP($A248,'9.Sep'!$Y$8:$AA$1048576,3,0)</f>
        <v>1E-4</v>
      </c>
      <c r="BN248" s="8">
        <f>VLOOKUP($A248,'10.Sep'!$Y$8:$AA$1048576,3,0)</f>
        <v>1E-4</v>
      </c>
      <c r="BO248" s="8">
        <f>VLOOKUP($A248,'11.Sep'!$Y$8:$AA$1048576,3,0)</f>
        <v>0</v>
      </c>
      <c r="BP248" s="7">
        <f>VLOOKUP($A248,'12.Sep'!$Y$8:$AA$1048576,3,0)</f>
        <v>0</v>
      </c>
      <c r="BQ248" s="7">
        <f>VLOOKUP($A248,'13.Sep'!$Y$8:$AA$1048576,3,0)</f>
        <v>1E-4</v>
      </c>
      <c r="BR248" s="7">
        <f>VLOOKUP($A248,'14.Sep'!$Y$8:$AA$1048576,3,0)</f>
        <v>1E-4</v>
      </c>
      <c r="BS248" s="7">
        <f>VLOOKUP($A248,'15.Sep'!$Y$8:$AA$1048576,3,0)</f>
        <v>0</v>
      </c>
      <c r="BT248" s="7">
        <f>VLOOKUP($A248,'16.Sep'!$Y$8:$AA$1048576,3,0)</f>
        <v>1E-4</v>
      </c>
      <c r="BU248" s="7">
        <f>VLOOKUP($A248,'17.Sep'!$Y$8:$AA$1048576,3,0)</f>
        <v>2.0000000000000001E-4</v>
      </c>
      <c r="BV248" s="7">
        <f>VLOOKUP($A248,'18.Sep'!$Y$8:$AA$1048576,3,0)</f>
        <v>1E-4</v>
      </c>
      <c r="BW248" s="7">
        <f>VLOOKUP($A248,'19.Sep'!$Y$8:$AA$1048576,3,0)</f>
        <v>1E-4</v>
      </c>
      <c r="BX248" s="7">
        <f>VLOOKUP($A248,'20.Sep'!$Y$8:$AA$1048576,3,0)</f>
        <v>2.0000000000000001E-4</v>
      </c>
      <c r="BY248" s="7">
        <f>VLOOKUP($A248,'21.Sep'!$Y$8:$AA$1048576,3,0)</f>
        <v>1E-4</v>
      </c>
      <c r="BZ248" s="7">
        <f>VLOOKUP($A248,'22.Sep'!$Y$8:$AA$1048576,3,0)</f>
        <v>1E-4</v>
      </c>
      <c r="CA248" s="7">
        <f>VLOOKUP($A248,'23.Sep'!$Y$8:$AA$1048576,3,0)</f>
        <v>1E-4</v>
      </c>
      <c r="CB248" s="7">
        <f>VLOOKUP($A248,'24.Sep'!$Y$8:$AA$1048576,3,0)</f>
        <v>1E-4</v>
      </c>
      <c r="CC248" s="7">
        <f>VLOOKUP($A248,'24.Sep'!$Y$8:$AA$1048576,3,0)</f>
        <v>1E-4</v>
      </c>
    </row>
    <row r="249" spans="1:81" outlineLevel="1">
      <c r="A249" s="6" t="s">
        <v>21</v>
      </c>
      <c r="B249" s="7">
        <v>1.1666666666666665E-4</v>
      </c>
      <c r="C249" s="7">
        <v>1.4285714285714287E-4</v>
      </c>
      <c r="D249" s="7">
        <v>1.5714285714285716E-4</v>
      </c>
      <c r="E249" s="7">
        <v>1.8571428571428572E-4</v>
      </c>
      <c r="F249" s="7">
        <v>1.8571428571428574E-4</v>
      </c>
      <c r="G249" s="7">
        <v>1.4285714285714287E-4</v>
      </c>
      <c r="H249" s="7">
        <f t="shared" si="72"/>
        <v>1.4285714285714287E-4</v>
      </c>
      <c r="I249" s="7">
        <f t="shared" si="73"/>
        <v>1.8571428571428574E-4</v>
      </c>
      <c r="J249" s="7">
        <f t="shared" si="74"/>
        <v>2.0000000000000004E-4</v>
      </c>
      <c r="K249" s="7">
        <f t="shared" si="70"/>
        <v>2.1666666666666666E-4</v>
      </c>
      <c r="L249" s="7">
        <f t="shared" si="71"/>
        <v>2.3999999999999998E-4</v>
      </c>
      <c r="M249" s="8">
        <v>2.9999999999999997E-4</v>
      </c>
      <c r="N249" s="8">
        <v>0</v>
      </c>
      <c r="O249" s="8">
        <v>0</v>
      </c>
      <c r="P249" s="8">
        <v>1E-4</v>
      </c>
      <c r="Q249" s="8">
        <v>0</v>
      </c>
      <c r="R249" s="8">
        <v>2.9999999999999997E-4</v>
      </c>
      <c r="S249" s="8">
        <v>1E-4</v>
      </c>
      <c r="T249" s="8">
        <v>1E-4</v>
      </c>
      <c r="U249" s="8">
        <v>1E-4</v>
      </c>
      <c r="V249" s="8">
        <v>2.0000000000000001E-4</v>
      </c>
      <c r="W249" s="8">
        <v>2.0000000000000001E-4</v>
      </c>
      <c r="X249" s="8">
        <v>2.0000000000000001E-4</v>
      </c>
      <c r="Y249" s="8">
        <v>1E-4</v>
      </c>
      <c r="Z249" s="8">
        <v>1E-4</v>
      </c>
      <c r="AA249" s="8">
        <v>1E-4</v>
      </c>
      <c r="AB249" s="8">
        <v>0</v>
      </c>
      <c r="AC249" s="8">
        <v>4.0000000000000002E-4</v>
      </c>
      <c r="AD249" s="8">
        <v>1E-4</v>
      </c>
      <c r="AE249" s="8">
        <v>2.0000000000000001E-4</v>
      </c>
      <c r="AF249" s="8">
        <v>2.0000000000000001E-4</v>
      </c>
      <c r="AG249" s="8">
        <v>1E-4</v>
      </c>
      <c r="AH249" s="8">
        <v>2.0000000000000001E-4</v>
      </c>
      <c r="AI249" s="8">
        <v>0</v>
      </c>
      <c r="AJ249" s="8">
        <v>2.0000000000000001E-4</v>
      </c>
      <c r="AK249" s="8">
        <v>2.0000000000000001E-4</v>
      </c>
      <c r="AL249" s="8">
        <v>2.9999999999999997E-4</v>
      </c>
      <c r="AM249" s="7">
        <v>2.9999999999999997E-4</v>
      </c>
      <c r="AN249" s="7">
        <v>4.0000000000000002E-4</v>
      </c>
      <c r="AO249" s="7">
        <v>2.9999999999999997E-4</v>
      </c>
      <c r="AP249" s="7">
        <v>2.0000000000000001E-4</v>
      </c>
      <c r="AQ249" s="7">
        <v>1E-4</v>
      </c>
      <c r="AR249" s="7">
        <v>1E-4</v>
      </c>
      <c r="AS249" s="7">
        <v>1E-4</v>
      </c>
      <c r="AT249" s="7">
        <v>1E-4</v>
      </c>
      <c r="AU249" s="7">
        <v>1E-4</v>
      </c>
      <c r="AV249" s="7">
        <v>2.0000000000000001E-4</v>
      </c>
      <c r="AW249" s="7">
        <v>1E-4</v>
      </c>
      <c r="AX249" s="7">
        <v>1E-4</v>
      </c>
      <c r="AY249" s="7">
        <v>1E-4</v>
      </c>
      <c r="AZ249" s="7">
        <v>2.0000000000000001E-4</v>
      </c>
      <c r="BA249" s="7">
        <v>2.0000000000000001E-4</v>
      </c>
      <c r="BB249" s="7">
        <v>1E-4</v>
      </c>
      <c r="BC249" s="7">
        <v>1E-4</v>
      </c>
      <c r="BD249" s="7">
        <v>2.0000000000000001E-4</v>
      </c>
      <c r="BE249" s="7">
        <f>VLOOKUP($A249,'1.Sep'!$Y$8:$AA$1048576,3,0)</f>
        <v>0</v>
      </c>
      <c r="BF249" s="7">
        <f>VLOOKUP($A249,'2.Sep'!$Y$8:$AA$1048576,3,0)</f>
        <v>1E-4</v>
      </c>
      <c r="BG249" s="7">
        <f>VLOOKUP($A249,'3.Sep'!$Y$8:$AA$1048576,3,0)</f>
        <v>2.9999999999999997E-4</v>
      </c>
      <c r="BH249" s="8">
        <f>VLOOKUP($A249,'4.Sep'!$Y$8:$AA$1048576,3,0)</f>
        <v>2.0000000000000001E-4</v>
      </c>
      <c r="BI249" s="8">
        <f>VLOOKUP($A249,'5.Sep'!$Y$8:$AA$1048576,3,0)</f>
        <v>4.0000000000000002E-4</v>
      </c>
      <c r="BJ249" s="8">
        <f>VLOOKUP($A249,'6.Sep'!$Y$8:$AA$1048576,3,0)</f>
        <v>2.0000000000000001E-4</v>
      </c>
      <c r="BK249" s="8">
        <f>VLOOKUP($A249,'7.Sep'!$Y$8:$AA$1048576,3,0)</f>
        <v>1E-4</v>
      </c>
      <c r="BL249" s="8">
        <f>VLOOKUP($A249,'8.Sep'!$Y$8:$AA$1048576,3,0)</f>
        <v>2.9999999999999997E-4</v>
      </c>
      <c r="BM249" s="8">
        <f>VLOOKUP($A249,'9.Sep'!$Y$8:$AA$1048576,3,0)</f>
        <v>1E-4</v>
      </c>
      <c r="BN249" s="8">
        <f>VLOOKUP($A249,'10.Sep'!$Y$8:$AA$1048576,3,0)</f>
        <v>1E-4</v>
      </c>
      <c r="BO249" s="8">
        <f>VLOOKUP($A249,'11.Sep'!$Y$8:$AA$1048576,3,0)</f>
        <v>1E-4</v>
      </c>
      <c r="BP249" s="7">
        <f>VLOOKUP($A249,'12.Sep'!$Y$8:$AA$1048576,3,0)</f>
        <v>2.0000000000000001E-4</v>
      </c>
      <c r="BQ249" s="7">
        <f>VLOOKUP($A249,'13.Sep'!$Y$8:$AA$1048576,3,0)</f>
        <v>2.9999999999999997E-4</v>
      </c>
      <c r="BR249" s="7">
        <f>VLOOKUP($A249,'14.Sep'!$Y$8:$AA$1048576,3,0)</f>
        <v>2.0000000000000001E-4</v>
      </c>
      <c r="BS249" s="7">
        <f>VLOOKUP($A249,'15.Sep'!$Y$8:$AA$1048576,3,0)</f>
        <v>1E-4</v>
      </c>
      <c r="BT249" s="7">
        <f>VLOOKUP($A249,'16.Sep'!$Y$8:$AA$1048576,3,0)</f>
        <v>2.0000000000000001E-4</v>
      </c>
      <c r="BU249" s="7">
        <f>VLOOKUP($A249,'17.Sep'!$Y$8:$AA$1048576,3,0)</f>
        <v>2.0000000000000001E-4</v>
      </c>
      <c r="BV249" s="7">
        <f>VLOOKUP($A249,'18.Sep'!$Y$8:$AA$1048576,3,0)</f>
        <v>2.0000000000000001E-4</v>
      </c>
      <c r="BW249" s="7">
        <f>VLOOKUP($A249,'19.Sep'!$Y$8:$AA$1048576,3,0)</f>
        <v>1E-4</v>
      </c>
      <c r="BX249" s="7">
        <f>VLOOKUP($A249,'20.Sep'!$Y$8:$AA$1048576,3,0)</f>
        <v>2.0000000000000001E-4</v>
      </c>
      <c r="BY249" s="7">
        <f>VLOOKUP($A249,'21.Sep'!$Y$8:$AA$1048576,3,0)</f>
        <v>2.0000000000000001E-4</v>
      </c>
      <c r="BZ249" s="7">
        <f>VLOOKUP($A249,'22.Sep'!$Y$8:$AA$1048576,3,0)</f>
        <v>2.0000000000000001E-4</v>
      </c>
      <c r="CA249" s="7">
        <f>VLOOKUP($A249,'23.Sep'!$Y$8:$AA$1048576,3,0)</f>
        <v>2.9999999999999997E-4</v>
      </c>
      <c r="CB249" s="7">
        <f>VLOOKUP($A249,'24.Sep'!$Y$8:$AA$1048576,3,0)</f>
        <v>2.9999999999999997E-4</v>
      </c>
      <c r="CC249" s="7">
        <f>VLOOKUP($A249,'24.Sep'!$Y$8:$AA$1048576,3,0)</f>
        <v>2.9999999999999997E-4</v>
      </c>
    </row>
    <row r="250" spans="1:81" outlineLevel="1">
      <c r="A250" s="6" t="s">
        <v>22</v>
      </c>
      <c r="B250" s="7">
        <v>1.6666666666666666E-4</v>
      </c>
      <c r="C250" s="7">
        <v>1E-4</v>
      </c>
      <c r="D250" s="7">
        <v>1.7142857142857145E-4</v>
      </c>
      <c r="E250" s="7">
        <v>2.8571428571428574E-5</v>
      </c>
      <c r="F250" s="7">
        <v>5.7142857142857148E-5</v>
      </c>
      <c r="G250" s="7">
        <v>5.7142857142857148E-5</v>
      </c>
      <c r="H250" s="7">
        <f t="shared" si="72"/>
        <v>7.1428571428571434E-5</v>
      </c>
      <c r="I250" s="7">
        <f t="shared" si="73"/>
        <v>8.5714285714285726E-5</v>
      </c>
      <c r="J250" s="7">
        <f t="shared" si="74"/>
        <v>5.7142857142857148E-5</v>
      </c>
      <c r="K250" s="7">
        <f t="shared" si="70"/>
        <v>1.1666666666666668E-4</v>
      </c>
      <c r="L250" s="7">
        <f t="shared" si="71"/>
        <v>1E-4</v>
      </c>
      <c r="M250" s="8">
        <v>2.0000000000000001E-4</v>
      </c>
      <c r="N250" s="8">
        <v>2.9999999999999997E-4</v>
      </c>
      <c r="O250" s="8">
        <v>2.0000000000000001E-4</v>
      </c>
      <c r="P250" s="8">
        <v>2.0000000000000001E-4</v>
      </c>
      <c r="Q250" s="8">
        <v>0</v>
      </c>
      <c r="R250" s="8">
        <v>1E-4</v>
      </c>
      <c r="S250" s="8">
        <v>1E-4</v>
      </c>
      <c r="T250" s="8">
        <v>2.0000000000000001E-4</v>
      </c>
      <c r="U250" s="8">
        <v>1E-4</v>
      </c>
      <c r="V250" s="8">
        <v>1E-4</v>
      </c>
      <c r="W250" s="8">
        <v>0</v>
      </c>
      <c r="X250" s="8">
        <v>0</v>
      </c>
      <c r="Y250" s="8">
        <v>2.0000000000000001E-4</v>
      </c>
      <c r="Z250" s="8">
        <v>2.0000000000000001E-4</v>
      </c>
      <c r="AA250" s="8">
        <v>2.9999999999999997E-4</v>
      </c>
      <c r="AB250" s="8">
        <v>2.0000000000000001E-4</v>
      </c>
      <c r="AC250" s="8">
        <v>2.0000000000000001E-4</v>
      </c>
      <c r="AD250" s="8">
        <v>1E-4</v>
      </c>
      <c r="AE250" s="8">
        <v>2.0000000000000001E-4</v>
      </c>
      <c r="AF250" s="8">
        <v>0</v>
      </c>
      <c r="AG250" s="8">
        <v>0</v>
      </c>
      <c r="AH250" s="8">
        <v>1E-4</v>
      </c>
      <c r="AI250" s="8">
        <v>0</v>
      </c>
      <c r="AJ250" s="8">
        <v>1E-4</v>
      </c>
      <c r="AK250" s="8">
        <v>0</v>
      </c>
      <c r="AL250" s="8">
        <v>0</v>
      </c>
      <c r="AM250" s="7">
        <v>0</v>
      </c>
      <c r="AN250" s="7">
        <v>1E-4</v>
      </c>
      <c r="AO250" s="7">
        <v>1E-4</v>
      </c>
      <c r="AP250" s="7">
        <v>1E-4</v>
      </c>
      <c r="AQ250" s="7">
        <v>0</v>
      </c>
      <c r="AR250" s="7">
        <v>0</v>
      </c>
      <c r="AS250" s="7">
        <v>0</v>
      </c>
      <c r="AT250" s="7">
        <v>1E-4</v>
      </c>
      <c r="AU250" s="7">
        <v>0</v>
      </c>
      <c r="AV250" s="7">
        <v>1E-4</v>
      </c>
      <c r="AW250" s="7">
        <v>1E-4</v>
      </c>
      <c r="AX250" s="7">
        <v>1E-4</v>
      </c>
      <c r="AY250" s="7">
        <v>1E-4</v>
      </c>
      <c r="AZ250" s="7">
        <v>0</v>
      </c>
      <c r="BA250" s="7">
        <v>0</v>
      </c>
      <c r="BB250" s="7">
        <v>1E-4</v>
      </c>
      <c r="BC250" s="7">
        <v>1E-4</v>
      </c>
      <c r="BD250" s="7">
        <v>0</v>
      </c>
      <c r="BE250" s="7">
        <f>VLOOKUP($A250,'1.Sep'!$Y$8:$AA$1048576,3,0)</f>
        <v>1E-4</v>
      </c>
      <c r="BF250" s="7">
        <f>VLOOKUP($A250,'2.Sep'!$Y$8:$AA$1048576,3,0)</f>
        <v>1E-4</v>
      </c>
      <c r="BG250" s="7">
        <f>VLOOKUP($A250,'3.Sep'!$Y$8:$AA$1048576,3,0)</f>
        <v>1E-4</v>
      </c>
      <c r="BH250" s="8">
        <f>VLOOKUP($A250,'4.Sep'!$Y$8:$AA$1048576,3,0)</f>
        <v>0</v>
      </c>
      <c r="BI250" s="8">
        <f>VLOOKUP($A250,'5.Sep'!$Y$8:$AA$1048576,3,0)</f>
        <v>2.0000000000000001E-4</v>
      </c>
      <c r="BJ250" s="8">
        <f>VLOOKUP($A250,'6.Sep'!$Y$8:$AA$1048576,3,0)</f>
        <v>0</v>
      </c>
      <c r="BK250" s="8">
        <f>VLOOKUP($A250,'7.Sep'!$Y$8:$AA$1048576,3,0)</f>
        <v>1E-4</v>
      </c>
      <c r="BL250" s="8">
        <f>VLOOKUP($A250,'8.Sep'!$Y$8:$AA$1048576,3,0)</f>
        <v>0</v>
      </c>
      <c r="BM250" s="8">
        <f>VLOOKUP($A250,'9.Sep'!$Y$8:$AA$1048576,3,0)</f>
        <v>1E-4</v>
      </c>
      <c r="BN250" s="8">
        <f>VLOOKUP($A250,'10.Sep'!$Y$8:$AA$1048576,3,0)</f>
        <v>1E-4</v>
      </c>
      <c r="BO250" s="8">
        <f>VLOOKUP($A250,'11.Sep'!$Y$8:$AA$1048576,3,0)</f>
        <v>1E-4</v>
      </c>
      <c r="BP250" s="7">
        <f>VLOOKUP($A250,'12.Sep'!$Y$8:$AA$1048576,3,0)</f>
        <v>1E-4</v>
      </c>
      <c r="BQ250" s="7">
        <f>VLOOKUP($A250,'13.Sep'!$Y$8:$AA$1048576,3,0)</f>
        <v>0</v>
      </c>
      <c r="BR250" s="7">
        <f>VLOOKUP($A250,'14.Sep'!$Y$8:$AA$1048576,3,0)</f>
        <v>1E-4</v>
      </c>
      <c r="BS250" s="7">
        <f>VLOOKUP($A250,'15.Sep'!$Y$8:$AA$1048576,3,0)</f>
        <v>0</v>
      </c>
      <c r="BT250" s="7">
        <f>VLOOKUP($A250,'16.Sep'!$Y$8:$AA$1048576,3,0)</f>
        <v>1E-4</v>
      </c>
      <c r="BU250" s="7">
        <f>VLOOKUP($A250,'17.Sep'!$Y$8:$AA$1048576,3,0)</f>
        <v>1E-4</v>
      </c>
      <c r="BV250" s="7">
        <f>VLOOKUP($A250,'18.Sep'!$Y$8:$AA$1048576,3,0)</f>
        <v>0</v>
      </c>
      <c r="BW250" s="7">
        <f>VLOOKUP($A250,'19.Sep'!$Y$8:$AA$1048576,3,0)</f>
        <v>2.0000000000000001E-4</v>
      </c>
      <c r="BX250" s="7">
        <f>VLOOKUP($A250,'20.Sep'!$Y$8:$AA$1048576,3,0)</f>
        <v>1E-4</v>
      </c>
      <c r="BY250" s="7">
        <f>VLOOKUP($A250,'21.Sep'!$Y$8:$AA$1048576,3,0)</f>
        <v>1E-4</v>
      </c>
      <c r="BZ250" s="7">
        <f>VLOOKUP($A250,'22.Sep'!$Y$8:$AA$1048576,3,0)</f>
        <v>1E-4</v>
      </c>
      <c r="CA250" s="7">
        <f>VLOOKUP($A250,'23.Sep'!$Y$8:$AA$1048576,3,0)</f>
        <v>1E-4</v>
      </c>
      <c r="CB250" s="7">
        <f>VLOOKUP($A250,'24.Sep'!$Y$8:$AA$1048576,3,0)</f>
        <v>1E-4</v>
      </c>
      <c r="CC250" s="7">
        <f>VLOOKUP($A250,'24.Sep'!$Y$8:$AA$1048576,3,0)</f>
        <v>1E-4</v>
      </c>
    </row>
    <row r="251" spans="1:81" outlineLevel="1">
      <c r="A251" s="6" t="s">
        <v>23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f t="shared" si="72"/>
        <v>0</v>
      </c>
      <c r="I251" s="7">
        <f t="shared" si="73"/>
        <v>0</v>
      </c>
      <c r="J251" s="7">
        <f t="shared" si="74"/>
        <v>0</v>
      </c>
      <c r="K251" s="7">
        <f t="shared" si="70"/>
        <v>0</v>
      </c>
      <c r="L251" s="7">
        <f t="shared" si="71"/>
        <v>0</v>
      </c>
      <c r="M251" s="8">
        <v>0</v>
      </c>
      <c r="N251" s="8">
        <v>0</v>
      </c>
      <c r="O251" s="8">
        <v>0</v>
      </c>
      <c r="P251" s="8">
        <v>0</v>
      </c>
      <c r="Q251" s="8">
        <v>0</v>
      </c>
      <c r="R251" s="8">
        <v>0</v>
      </c>
      <c r="S251" s="8">
        <v>0</v>
      </c>
      <c r="T251" s="8">
        <v>0</v>
      </c>
      <c r="U251" s="8">
        <v>0</v>
      </c>
      <c r="V251" s="8">
        <v>0</v>
      </c>
      <c r="W251" s="8">
        <v>0</v>
      </c>
      <c r="X251" s="8">
        <v>0</v>
      </c>
      <c r="Y251" s="8">
        <v>0</v>
      </c>
      <c r="Z251" s="8">
        <v>0</v>
      </c>
      <c r="AA251" s="8">
        <v>0</v>
      </c>
      <c r="AB251" s="8">
        <v>0</v>
      </c>
      <c r="AC251" s="8">
        <v>0</v>
      </c>
      <c r="AD251" s="8">
        <v>0</v>
      </c>
      <c r="AE251" s="8">
        <v>0</v>
      </c>
      <c r="AF251" s="8">
        <v>0</v>
      </c>
      <c r="AG251" s="8">
        <v>0</v>
      </c>
      <c r="AH251" s="8">
        <v>0</v>
      </c>
      <c r="AI251" s="8">
        <v>0</v>
      </c>
      <c r="AJ251" s="8">
        <v>0</v>
      </c>
      <c r="AK251" s="8">
        <v>0</v>
      </c>
      <c r="AL251" s="8">
        <v>0</v>
      </c>
      <c r="AM251" s="7">
        <v>0</v>
      </c>
      <c r="AN251" s="8">
        <v>0</v>
      </c>
      <c r="AO251" s="8">
        <v>0</v>
      </c>
      <c r="AP251" s="8">
        <v>0</v>
      </c>
      <c r="AQ251" s="8">
        <v>0</v>
      </c>
      <c r="AR251" s="8">
        <v>0</v>
      </c>
      <c r="AS251" s="8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8">
        <v>0</v>
      </c>
      <c r="AZ251" s="8">
        <v>0</v>
      </c>
      <c r="BA251" s="7">
        <v>0</v>
      </c>
      <c r="BB251" s="7">
        <v>0</v>
      </c>
      <c r="BC251" s="8">
        <v>0</v>
      </c>
      <c r="BD251" s="7">
        <v>0</v>
      </c>
      <c r="BE251" s="7">
        <v>0</v>
      </c>
      <c r="BF251" s="7">
        <v>0</v>
      </c>
      <c r="BG251" s="7">
        <v>0</v>
      </c>
      <c r="BH251" s="8">
        <v>0</v>
      </c>
      <c r="BI251" s="8">
        <v>0</v>
      </c>
      <c r="BJ251" s="7">
        <v>0</v>
      </c>
      <c r="BK251" s="7">
        <v>0</v>
      </c>
      <c r="BL251" s="7">
        <v>0</v>
      </c>
      <c r="BM251" s="7">
        <v>0</v>
      </c>
      <c r="BN251" s="8">
        <f>VLOOKUP($A251,'10.Sep'!$Y$8:$AA$1048576,3,0)</f>
        <v>0</v>
      </c>
      <c r="BO251" s="8">
        <v>0</v>
      </c>
      <c r="BP251" s="7">
        <f>VLOOKUP($A251,'12.Sep'!$Y$8:$AA$1048576,3,0)</f>
        <v>0</v>
      </c>
      <c r="BQ251" s="7">
        <v>0</v>
      </c>
      <c r="BR251" s="7">
        <v>0</v>
      </c>
      <c r="BS251" s="7">
        <v>0</v>
      </c>
      <c r="BT251" s="7">
        <v>0</v>
      </c>
      <c r="BU251" s="7">
        <v>0</v>
      </c>
      <c r="BV251" s="7">
        <f>VLOOKUP($A251,'18.Sep'!$Y$8:$AA$1048576,3,0)</f>
        <v>0</v>
      </c>
      <c r="BW251" s="7">
        <v>0</v>
      </c>
      <c r="BX251" s="7">
        <v>0</v>
      </c>
      <c r="BY251" s="7">
        <v>0</v>
      </c>
      <c r="BZ251" s="8">
        <v>0</v>
      </c>
      <c r="CA251" s="7">
        <f>VLOOKUP($A251,'23.Sep'!$Y$8:$AA$1048576,3,0)</f>
        <v>0</v>
      </c>
      <c r="CB251" s="7">
        <v>0</v>
      </c>
      <c r="CC251" s="7">
        <v>0</v>
      </c>
    </row>
    <row r="252" spans="1:81" outlineLevel="1">
      <c r="A252" s="6" t="s">
        <v>24</v>
      </c>
      <c r="B252" s="7">
        <v>9.9999999999999991E-5</v>
      </c>
      <c r="C252" s="7">
        <v>2.8571428571428574E-5</v>
      </c>
      <c r="D252" s="7">
        <v>8.5714285714285726E-5</v>
      </c>
      <c r="E252" s="7">
        <v>5.7142857142857148E-5</v>
      </c>
      <c r="F252" s="7">
        <v>4.2857142857142863E-5</v>
      </c>
      <c r="G252" s="7">
        <v>4.2857142857142863E-5</v>
      </c>
      <c r="H252" s="7">
        <f t="shared" si="72"/>
        <v>5.7142857142857148E-5</v>
      </c>
      <c r="I252" s="7">
        <f t="shared" si="73"/>
        <v>4.2857142857142863E-5</v>
      </c>
      <c r="J252" s="7">
        <f t="shared" si="74"/>
        <v>1.4285714285714287E-5</v>
      </c>
      <c r="K252" s="7">
        <f t="shared" si="70"/>
        <v>5.0000000000000002E-5</v>
      </c>
      <c r="L252" s="7">
        <f t="shared" si="71"/>
        <v>4.0000000000000003E-5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5.9999999999999995E-4</v>
      </c>
      <c r="S252" s="8">
        <v>2.0000000000000001E-4</v>
      </c>
      <c r="T252" s="8">
        <v>0</v>
      </c>
      <c r="U252" s="8">
        <v>0</v>
      </c>
      <c r="V252" s="8">
        <v>0</v>
      </c>
      <c r="W252" s="8">
        <v>0</v>
      </c>
      <c r="X252" s="8">
        <v>0</v>
      </c>
      <c r="Y252" s="8">
        <v>0</v>
      </c>
      <c r="Z252" s="8">
        <v>0</v>
      </c>
      <c r="AA252" s="8">
        <v>1E-4</v>
      </c>
      <c r="AB252" s="8">
        <v>1E-4</v>
      </c>
      <c r="AC252" s="8">
        <v>2.0000000000000001E-4</v>
      </c>
      <c r="AD252" s="8">
        <v>1E-4</v>
      </c>
      <c r="AE252" s="8">
        <v>1E-4</v>
      </c>
      <c r="AF252" s="8">
        <v>0</v>
      </c>
      <c r="AG252" s="8">
        <v>1E-4</v>
      </c>
      <c r="AH252" s="8">
        <v>0</v>
      </c>
      <c r="AI252" s="8">
        <v>0</v>
      </c>
      <c r="AJ252" s="8">
        <v>1E-4</v>
      </c>
      <c r="AK252" s="8">
        <v>0</v>
      </c>
      <c r="AL252" s="8">
        <v>1E-4</v>
      </c>
      <c r="AM252" s="7">
        <v>1E-4</v>
      </c>
      <c r="AN252" s="7">
        <v>0</v>
      </c>
      <c r="AO252" s="7">
        <v>1E-4</v>
      </c>
      <c r="AP252" s="7">
        <v>0</v>
      </c>
      <c r="AQ252" s="7">
        <v>0</v>
      </c>
      <c r="AR252" s="7">
        <v>0</v>
      </c>
      <c r="AS252" s="7">
        <v>1E-4</v>
      </c>
      <c r="AT252" s="7">
        <v>1E-4</v>
      </c>
      <c r="AU252" s="7">
        <v>1E-4</v>
      </c>
      <c r="AV252" s="7">
        <v>0</v>
      </c>
      <c r="AW252" s="7">
        <v>0</v>
      </c>
      <c r="AX252" s="7">
        <v>0</v>
      </c>
      <c r="AY252" s="7">
        <v>0</v>
      </c>
      <c r="AZ252" s="7">
        <v>1E-4</v>
      </c>
      <c r="BA252" s="7">
        <v>1E-4</v>
      </c>
      <c r="BB252" s="7">
        <v>1E-4</v>
      </c>
      <c r="BC252" s="7">
        <v>1E-4</v>
      </c>
      <c r="BD252" s="7">
        <v>0</v>
      </c>
      <c r="BE252" s="7">
        <f>VLOOKUP($A252,'1.Sep'!$Y$8:$AA$1048576,3,0)</f>
        <v>0</v>
      </c>
      <c r="BF252" s="7">
        <f>VLOOKUP($A252,'2.Sep'!$Y$8:$AA$1048576,3,0)</f>
        <v>1E-4</v>
      </c>
      <c r="BG252" s="7">
        <f>VLOOKUP($A252,'3.Sep'!$Y$8:$AA$1048576,3,0)</f>
        <v>1E-4</v>
      </c>
      <c r="BH252" s="8">
        <f>VLOOKUP($A252,'4.Sep'!$Y$8:$AA$1048576,3,0)</f>
        <v>0</v>
      </c>
      <c r="BI252" s="8">
        <f>VLOOKUP($A252,'5.Sep'!$Y$8:$AA$1048576,3,0)</f>
        <v>0</v>
      </c>
      <c r="BJ252" s="8">
        <f>VLOOKUP($A252,'6.Sep'!$Y$8:$AA$1048576,3,0)</f>
        <v>1E-4</v>
      </c>
      <c r="BK252" s="8">
        <f>VLOOKUP($A252,'7.Sep'!$Y$8:$AA$1048576,3,0)</f>
        <v>1E-4</v>
      </c>
      <c r="BL252" s="8">
        <f>VLOOKUP($A252,'8.Sep'!$Y$8:$AA$1048576,3,0)</f>
        <v>0</v>
      </c>
      <c r="BM252" s="8">
        <f>VLOOKUP($A252,'9.Sep'!$Y$8:$AA$1048576,3,0)</f>
        <v>0</v>
      </c>
      <c r="BN252" s="8">
        <f>VLOOKUP($A252,'10.Sep'!$Y$8:$AA$1048576,3,0)</f>
        <v>1E-4</v>
      </c>
      <c r="BO252" s="8">
        <v>0</v>
      </c>
      <c r="BP252" s="7">
        <f>VLOOKUP($A252,'12.Sep'!$Y$8:$AA$1048576,3,0)</f>
        <v>0</v>
      </c>
      <c r="BQ252" s="7">
        <f>VLOOKUP($A252,'13.Sep'!$Y$8:$AA$1048576,3,0)</f>
        <v>0</v>
      </c>
      <c r="BR252" s="7">
        <f>VLOOKUP($A252,'14.Sep'!$Y$8:$AA$1048576,3,0)</f>
        <v>0</v>
      </c>
      <c r="BS252" s="7">
        <f>VLOOKUP($A252,'15.Sep'!$Y$8:$AA$1048576,3,0)</f>
        <v>0</v>
      </c>
      <c r="BT252" s="7">
        <f>VLOOKUP($A252,'16.Sep'!$Y$8:$AA$1048576,3,0)</f>
        <v>0</v>
      </c>
      <c r="BU252" s="7">
        <f>VLOOKUP($A252,'17.Sep'!$Y$8:$AA$1048576,3,0)</f>
        <v>0</v>
      </c>
      <c r="BV252" s="7">
        <f>VLOOKUP($A252,'18.Sep'!$Y$8:$AA$1048576,3,0)</f>
        <v>1E-4</v>
      </c>
      <c r="BW252" s="7">
        <f>VLOOKUP($A252,'19.Sep'!$Y$8:$AA$1048576,3,0)</f>
        <v>1E-4</v>
      </c>
      <c r="BX252" s="7">
        <f>VLOOKUP($A252,'20.Sep'!$Y$8:$AA$1048576,3,0)</f>
        <v>0</v>
      </c>
      <c r="BY252" s="7">
        <v>0</v>
      </c>
      <c r="BZ252" s="7">
        <f>VLOOKUP($A252,'22.Sep'!$Y$8:$AA$1048576,3,0)</f>
        <v>0</v>
      </c>
      <c r="CA252" s="7">
        <f>VLOOKUP($A252,'23.Sep'!$Y$8:$AA$1048576,3,0)</f>
        <v>1E-4</v>
      </c>
      <c r="CB252" s="7">
        <f>VLOOKUP($A252,'24.Sep'!$Y$8:$AA$1048576,3,0)</f>
        <v>1E-4</v>
      </c>
      <c r="CC252" s="7">
        <f>VLOOKUP($A252,'24.Sep'!$Y$8:$AA$1048576,3,0)</f>
        <v>1E-4</v>
      </c>
    </row>
    <row r="253" spans="1:81" outlineLevel="1">
      <c r="A253" s="6" t="s">
        <v>25</v>
      </c>
      <c r="B253" s="7">
        <v>3.3333333333333335E-5</v>
      </c>
      <c r="C253" s="7">
        <v>7.1428571428571434E-5</v>
      </c>
      <c r="D253" s="7">
        <v>0</v>
      </c>
      <c r="E253" s="7">
        <v>4.2857142857142863E-5</v>
      </c>
      <c r="F253" s="7">
        <v>1.4285714285714287E-5</v>
      </c>
      <c r="G253" s="7">
        <v>4.2857142857142863E-5</v>
      </c>
      <c r="H253" s="7">
        <f t="shared" si="72"/>
        <v>7.1428571428571434E-5</v>
      </c>
      <c r="I253" s="7">
        <f t="shared" si="73"/>
        <v>0</v>
      </c>
      <c r="J253" s="7">
        <f t="shared" si="74"/>
        <v>5.7142857142857148E-5</v>
      </c>
      <c r="K253" s="7">
        <f t="shared" si="70"/>
        <v>1.6666666666666667E-5</v>
      </c>
      <c r="L253" s="7">
        <f t="shared" si="71"/>
        <v>2.0000000000000002E-5</v>
      </c>
      <c r="M253" s="8">
        <v>0</v>
      </c>
      <c r="N253" s="8">
        <v>0</v>
      </c>
      <c r="O253" s="8">
        <v>1E-4</v>
      </c>
      <c r="P253" s="8">
        <v>0</v>
      </c>
      <c r="Q253" s="8">
        <v>0</v>
      </c>
      <c r="R253" s="8">
        <v>1E-4</v>
      </c>
      <c r="S253" s="8">
        <v>2.0000000000000001E-4</v>
      </c>
      <c r="T253" s="8">
        <v>2.0000000000000001E-4</v>
      </c>
      <c r="U253" s="8">
        <v>0</v>
      </c>
      <c r="V253" s="8">
        <v>1E-4</v>
      </c>
      <c r="W253" s="8">
        <v>0</v>
      </c>
      <c r="X253" s="8">
        <v>0</v>
      </c>
      <c r="Y253" s="8">
        <v>0</v>
      </c>
      <c r="Z253" s="8">
        <v>0</v>
      </c>
      <c r="AA253" s="8">
        <v>0</v>
      </c>
      <c r="AB253" s="8">
        <v>0</v>
      </c>
      <c r="AC253" s="8">
        <v>0</v>
      </c>
      <c r="AD253" s="8">
        <v>0</v>
      </c>
      <c r="AE253" s="8">
        <v>0</v>
      </c>
      <c r="AF253" s="8">
        <v>0</v>
      </c>
      <c r="AG253" s="8">
        <v>1E-4</v>
      </c>
      <c r="AH253" s="8">
        <v>0</v>
      </c>
      <c r="AI253" s="8">
        <v>0</v>
      </c>
      <c r="AJ253" s="8">
        <v>1E-4</v>
      </c>
      <c r="AK253" s="8">
        <v>0</v>
      </c>
      <c r="AL253" s="8">
        <v>1E-4</v>
      </c>
      <c r="AM253" s="7">
        <v>0</v>
      </c>
      <c r="AN253" s="7">
        <v>0</v>
      </c>
      <c r="AO253" s="7">
        <v>1E-4</v>
      </c>
      <c r="AP253" s="7">
        <v>0</v>
      </c>
      <c r="AQ253" s="7">
        <v>0</v>
      </c>
      <c r="AR253" s="7">
        <v>0</v>
      </c>
      <c r="AS253" s="7">
        <v>0</v>
      </c>
      <c r="AT253" s="8">
        <v>0</v>
      </c>
      <c r="AU253" s="7">
        <v>0</v>
      </c>
      <c r="AV253" s="7">
        <v>1E-4</v>
      </c>
      <c r="AW253" s="7">
        <v>1E-4</v>
      </c>
      <c r="AX253" s="7">
        <v>0</v>
      </c>
      <c r="AY253" s="8">
        <v>0</v>
      </c>
      <c r="AZ253" s="7">
        <v>1E-4</v>
      </c>
      <c r="BA253" s="7">
        <v>0</v>
      </c>
      <c r="BB253" s="7">
        <v>1E-4</v>
      </c>
      <c r="BC253" s="7">
        <v>1E-4</v>
      </c>
      <c r="BD253" s="7">
        <v>0</v>
      </c>
      <c r="BE253" s="7">
        <f>VLOOKUP($A253,'1.Sep'!$Y$8:$AA$1048576,3,0)</f>
        <v>0</v>
      </c>
      <c r="BF253" s="7">
        <f>VLOOKUP($A253,'2.Sep'!$Y$8:$AA$1048576,3,0)</f>
        <v>1E-4</v>
      </c>
      <c r="BG253" s="7">
        <f>VLOOKUP($A253,'3.Sep'!$Y$8:$AA$1048576,3,0)</f>
        <v>1E-4</v>
      </c>
      <c r="BH253" s="8">
        <f>VLOOKUP($A253,'4.Sep'!$Y$8:$AA$1048576,3,0)</f>
        <v>1E-4</v>
      </c>
      <c r="BI253" s="8">
        <f>VLOOKUP($A253,'5.Sep'!$Y$8:$AA$1048576,3,0)</f>
        <v>0</v>
      </c>
      <c r="BJ253" s="8">
        <f>VLOOKUP($A253,'6.Sep'!$Y$8:$AA$1048576,3,0)</f>
        <v>0</v>
      </c>
      <c r="BK253" s="8">
        <f>VLOOKUP($A253,'7.Sep'!$Y$8:$AA$1048576,3,0)</f>
        <v>0</v>
      </c>
      <c r="BL253" s="8">
        <f>VLOOKUP($A253,'8.Sep'!$Y$8:$AA$1048576,3,0)</f>
        <v>0</v>
      </c>
      <c r="BM253" s="8">
        <f>VLOOKUP($A253,'9.Sep'!$Y$8:$AA$1048576,3,0)</f>
        <v>0</v>
      </c>
      <c r="BN253" s="8">
        <f>VLOOKUP($A253,'10.Sep'!$Y$8:$AA$1048576,3,0)</f>
        <v>0</v>
      </c>
      <c r="BO253" s="8">
        <f>VLOOKUP($A253,'11.Sep'!$Y$8:$AA$1048576,3,0)</f>
        <v>0</v>
      </c>
      <c r="BP253" s="7">
        <f>VLOOKUP($A253,'12.Sep'!$Y$8:$AA$1048576,3,0)</f>
        <v>1E-4</v>
      </c>
      <c r="BQ253" s="7">
        <f>VLOOKUP($A253,'13.Sep'!$Y$8:$AA$1048576,3,0)</f>
        <v>1E-4</v>
      </c>
      <c r="BR253" s="7">
        <f>VLOOKUP($A253,'14.Sep'!$Y$8:$AA$1048576,3,0)</f>
        <v>0</v>
      </c>
      <c r="BS253" s="7">
        <f>VLOOKUP($A253,'15.Sep'!$Y$8:$AA$1048576,3,0)</f>
        <v>1E-4</v>
      </c>
      <c r="BT253" s="7">
        <f>VLOOKUP($A253,'16.Sep'!$Y$8:$AA$1048576,3,0)</f>
        <v>0</v>
      </c>
      <c r="BU253" s="7">
        <f>VLOOKUP($A253,'17.Sep'!$Y$8:$AA$1048576,3,0)</f>
        <v>0</v>
      </c>
      <c r="BV253" s="7">
        <f>VLOOKUP($A253,'18.Sep'!$Y$8:$AA$1048576,3,0)</f>
        <v>1E-4</v>
      </c>
      <c r="BW253" s="7">
        <f>VLOOKUP($A253,'19.Sep'!$Y$8:$AA$1048576,3,0)</f>
        <v>0</v>
      </c>
      <c r="BX253" s="7">
        <f>VLOOKUP($A253,'20.Sep'!$Y$8:$AA$1048576,3,0)</f>
        <v>0</v>
      </c>
      <c r="BY253" s="7">
        <f>VLOOKUP($A253,'21.Sep'!$Y$8:$AA$1048576,3,0)</f>
        <v>0</v>
      </c>
      <c r="BZ253" s="7">
        <f>VLOOKUP($A253,'22.Sep'!$Y$8:$AA$1048576,3,0)</f>
        <v>1E-4</v>
      </c>
      <c r="CA253" s="7">
        <f>VLOOKUP($A253,'23.Sep'!$Y$8:$AA$1048576,3,0)</f>
        <v>0</v>
      </c>
      <c r="CB253" s="7">
        <f>VLOOKUP($A253,'24.Sep'!$Y$8:$AA$1048576,3,0)</f>
        <v>0</v>
      </c>
      <c r="CC253" s="7">
        <f>VLOOKUP($A253,'24.Sep'!$Y$8:$AA$1048576,3,0)</f>
        <v>0</v>
      </c>
    </row>
    <row r="254" spans="1:81" outlineLevel="1">
      <c r="A254" s="6" t="s">
        <v>26</v>
      </c>
      <c r="B254" s="7">
        <v>5.0000000000000002E-5</v>
      </c>
      <c r="C254" s="7">
        <v>5.7142857142857148E-5</v>
      </c>
      <c r="D254" s="7">
        <v>1.0000000000000002E-4</v>
      </c>
      <c r="E254" s="7">
        <v>1.0000000000000002E-4</v>
      </c>
      <c r="F254" s="7">
        <v>1.142857142857143E-4</v>
      </c>
      <c r="G254" s="7">
        <v>1.0000000000000002E-4</v>
      </c>
      <c r="H254" s="7">
        <f t="shared" si="72"/>
        <v>8.5714285714285726E-5</v>
      </c>
      <c r="I254" s="7">
        <f t="shared" si="73"/>
        <v>2.0000000000000004E-4</v>
      </c>
      <c r="J254" s="7">
        <f t="shared" si="74"/>
        <v>1.0000000000000002E-4</v>
      </c>
      <c r="K254" s="7">
        <f t="shared" si="70"/>
        <v>1.9999999999999998E-4</v>
      </c>
      <c r="L254" s="7">
        <f t="shared" si="71"/>
        <v>2.0000000000000001E-4</v>
      </c>
      <c r="M254" s="8">
        <v>1E-4</v>
      </c>
      <c r="N254" s="8">
        <v>0</v>
      </c>
      <c r="O254" s="8">
        <v>0</v>
      </c>
      <c r="P254" s="8">
        <v>1E-4</v>
      </c>
      <c r="Q254" s="8">
        <v>1E-4</v>
      </c>
      <c r="R254" s="8">
        <v>0</v>
      </c>
      <c r="S254" s="8">
        <v>0</v>
      </c>
      <c r="T254" s="8">
        <v>1E-4</v>
      </c>
      <c r="U254" s="8">
        <v>0</v>
      </c>
      <c r="V254" s="8">
        <v>0</v>
      </c>
      <c r="W254" s="8">
        <v>1E-4</v>
      </c>
      <c r="X254" s="8">
        <v>1E-4</v>
      </c>
      <c r="Y254" s="8">
        <v>1E-4</v>
      </c>
      <c r="Z254" s="8">
        <v>0</v>
      </c>
      <c r="AA254" s="8">
        <v>2.0000000000000001E-4</v>
      </c>
      <c r="AB254" s="8">
        <v>1E-4</v>
      </c>
      <c r="AC254" s="8">
        <v>0</v>
      </c>
      <c r="AD254" s="8">
        <v>2.0000000000000001E-4</v>
      </c>
      <c r="AE254" s="8">
        <v>1E-4</v>
      </c>
      <c r="AF254" s="8">
        <v>1E-4</v>
      </c>
      <c r="AG254" s="8">
        <v>1E-4</v>
      </c>
      <c r="AH254" s="8">
        <v>0</v>
      </c>
      <c r="AI254" s="8">
        <v>2.0000000000000001E-4</v>
      </c>
      <c r="AJ254" s="8">
        <v>1E-4</v>
      </c>
      <c r="AK254" s="8">
        <v>1E-4</v>
      </c>
      <c r="AL254" s="8">
        <v>1E-4</v>
      </c>
      <c r="AM254" s="7">
        <v>1E-4</v>
      </c>
      <c r="AN254" s="7">
        <v>1E-4</v>
      </c>
      <c r="AO254" s="7">
        <v>2.0000000000000001E-4</v>
      </c>
      <c r="AP254" s="7">
        <v>1E-4</v>
      </c>
      <c r="AQ254" s="7">
        <v>0</v>
      </c>
      <c r="AR254" s="7">
        <v>1E-4</v>
      </c>
      <c r="AS254" s="7">
        <v>2.0000000000000001E-4</v>
      </c>
      <c r="AT254" s="7">
        <v>1E-4</v>
      </c>
      <c r="AU254" s="7">
        <v>1E-4</v>
      </c>
      <c r="AV254" s="7">
        <v>1E-4</v>
      </c>
      <c r="AW254" s="7">
        <v>1E-4</v>
      </c>
      <c r="AX254" s="7">
        <v>1E-4</v>
      </c>
      <c r="AY254" s="7">
        <v>1E-4</v>
      </c>
      <c r="AZ254" s="7">
        <v>1E-4</v>
      </c>
      <c r="BA254" s="7">
        <v>1E-4</v>
      </c>
      <c r="BB254" s="7">
        <v>1E-4</v>
      </c>
      <c r="BC254" s="7">
        <v>1E-4</v>
      </c>
      <c r="BD254" s="7">
        <v>0</v>
      </c>
      <c r="BE254" s="7">
        <f>VLOOKUP($A254,'1.Sep'!$Y$8:$AA$1048576,3,0)</f>
        <v>0</v>
      </c>
      <c r="BF254" s="7">
        <f>VLOOKUP($A254,'2.Sep'!$Y$8:$AA$1048576,3,0)</f>
        <v>1E-4</v>
      </c>
      <c r="BG254" s="7">
        <f>VLOOKUP($A254,'3.Sep'!$Y$8:$AA$1048576,3,0)</f>
        <v>1E-4</v>
      </c>
      <c r="BH254" s="8">
        <f>VLOOKUP($A254,'4.Sep'!$Y$8:$AA$1048576,3,0)</f>
        <v>2.0000000000000001E-4</v>
      </c>
      <c r="BI254" s="8">
        <f>VLOOKUP($A254,'5.Sep'!$Y$8:$AA$1048576,3,0)</f>
        <v>2.9999999999999997E-4</v>
      </c>
      <c r="BJ254" s="8">
        <f>VLOOKUP($A254,'6.Sep'!$Y$8:$AA$1048576,3,0)</f>
        <v>2.9999999999999997E-4</v>
      </c>
      <c r="BK254" s="8">
        <f>VLOOKUP($A254,'7.Sep'!$Y$8:$AA$1048576,3,0)</f>
        <v>2.0000000000000001E-4</v>
      </c>
      <c r="BL254" s="8">
        <f>VLOOKUP($A254,'8.Sep'!$Y$8:$AA$1048576,3,0)</f>
        <v>2.0000000000000001E-4</v>
      </c>
      <c r="BM254" s="8">
        <f>VLOOKUP($A254,'9.Sep'!$Y$8:$AA$1048576,3,0)</f>
        <v>1E-4</v>
      </c>
      <c r="BN254" s="8">
        <f>VLOOKUP($A254,'10.Sep'!$Y$8:$AA$1048576,3,0)</f>
        <v>1E-4</v>
      </c>
      <c r="BO254" s="8">
        <f>VLOOKUP($A254,'11.Sep'!$Y$8:$AA$1048576,3,0)</f>
        <v>2.0000000000000001E-4</v>
      </c>
      <c r="BP254" s="7">
        <f>VLOOKUP($A254,'12.Sep'!$Y$8:$AA$1048576,3,0)</f>
        <v>2.9999999999999997E-4</v>
      </c>
      <c r="BQ254" s="7">
        <f>VLOOKUP($A254,'13.Sep'!$Y$8:$AA$1048576,3,0)</f>
        <v>1E-4</v>
      </c>
      <c r="BR254" s="7">
        <f>VLOOKUP($A254,'14.Sep'!$Y$8:$AA$1048576,3,0)</f>
        <v>1E-4</v>
      </c>
      <c r="BS254" s="7">
        <f>VLOOKUP($A254,'15.Sep'!$Y$8:$AA$1048576,3,0)</f>
        <v>1E-4</v>
      </c>
      <c r="BT254" s="7">
        <f>VLOOKUP($A254,'16.Sep'!$Y$8:$AA$1048576,3,0)</f>
        <v>0</v>
      </c>
      <c r="BU254" s="7">
        <f>VLOOKUP($A254,'17.Sep'!$Y$8:$AA$1048576,3,0)</f>
        <v>1E-4</v>
      </c>
      <c r="BV254" s="7">
        <f>VLOOKUP($A254,'18.Sep'!$Y$8:$AA$1048576,3,0)</f>
        <v>0</v>
      </c>
      <c r="BW254" s="7">
        <f>VLOOKUP($A254,'19.Sep'!$Y$8:$AA$1048576,3,0)</f>
        <v>2.0000000000000001E-4</v>
      </c>
      <c r="BX254" s="7">
        <f>VLOOKUP($A254,'20.Sep'!$Y$8:$AA$1048576,3,0)</f>
        <v>1E-4</v>
      </c>
      <c r="BY254" s="7">
        <f>VLOOKUP($A254,'21.Sep'!$Y$8:$AA$1048576,3,0)</f>
        <v>2.0000000000000001E-4</v>
      </c>
      <c r="BZ254" s="7">
        <f>VLOOKUP($A254,'22.Sep'!$Y$8:$AA$1048576,3,0)</f>
        <v>2.9999999999999997E-4</v>
      </c>
      <c r="CA254" s="7">
        <f>VLOOKUP($A254,'23.Sep'!$Y$8:$AA$1048576,3,0)</f>
        <v>1E-4</v>
      </c>
      <c r="CB254" s="7">
        <f>VLOOKUP($A254,'24.Sep'!$Y$8:$AA$1048576,3,0)</f>
        <v>2.9999999999999997E-4</v>
      </c>
      <c r="CC254" s="7">
        <f>VLOOKUP($A254,'24.Sep'!$Y$8:$AA$1048576,3,0)</f>
        <v>2.9999999999999997E-4</v>
      </c>
    </row>
    <row r="255" spans="1:81" outlineLevel="1">
      <c r="A255" s="6" t="s">
        <v>27</v>
      </c>
      <c r="B255" s="7">
        <v>0</v>
      </c>
      <c r="C255" s="7">
        <v>0</v>
      </c>
      <c r="D255" s="7">
        <v>2.8571428571428574E-5</v>
      </c>
      <c r="E255" s="7">
        <v>1.4285714285714287E-5</v>
      </c>
      <c r="F255" s="7">
        <v>2.8571428571428574E-5</v>
      </c>
      <c r="G255" s="7">
        <v>5.7142857142857148E-5</v>
      </c>
      <c r="H255" s="7">
        <f t="shared" si="72"/>
        <v>1.0000000000000002E-4</v>
      </c>
      <c r="I255" s="7">
        <f t="shared" si="73"/>
        <v>4.2857142857142863E-5</v>
      </c>
      <c r="J255" s="7">
        <f t="shared" si="74"/>
        <v>1.0000000000000002E-4</v>
      </c>
      <c r="K255" s="7">
        <f t="shared" si="70"/>
        <v>1.1666666666666668E-4</v>
      </c>
      <c r="L255" s="7">
        <f t="shared" si="71"/>
        <v>1.2000000000000002E-4</v>
      </c>
      <c r="M255" s="8">
        <v>0</v>
      </c>
      <c r="N255" s="8">
        <v>0</v>
      </c>
      <c r="O255" s="8">
        <v>0</v>
      </c>
      <c r="P255" s="8">
        <v>0</v>
      </c>
      <c r="Q255" s="8">
        <v>0</v>
      </c>
      <c r="R255" s="8">
        <v>0</v>
      </c>
      <c r="S255" s="8">
        <v>0</v>
      </c>
      <c r="T255" s="8">
        <v>0</v>
      </c>
      <c r="U255" s="8">
        <v>0</v>
      </c>
      <c r="V255" s="8">
        <v>0</v>
      </c>
      <c r="W255" s="8">
        <v>0</v>
      </c>
      <c r="X255" s="8">
        <v>0</v>
      </c>
      <c r="Y255" s="8">
        <v>0</v>
      </c>
      <c r="Z255" s="8">
        <v>0</v>
      </c>
      <c r="AA255" s="8">
        <v>1E-4</v>
      </c>
      <c r="AB255" s="8">
        <v>0</v>
      </c>
      <c r="AC255" s="8">
        <v>0</v>
      </c>
      <c r="AD255" s="8">
        <v>0</v>
      </c>
      <c r="AE255" s="8">
        <v>0</v>
      </c>
      <c r="AF255" s="8">
        <v>1E-4</v>
      </c>
      <c r="AG255" s="8">
        <v>0</v>
      </c>
      <c r="AH255" s="8">
        <v>0</v>
      </c>
      <c r="AI255" s="8">
        <v>0</v>
      </c>
      <c r="AJ255" s="8">
        <v>0</v>
      </c>
      <c r="AK255" s="8">
        <v>0</v>
      </c>
      <c r="AL255" s="8">
        <v>0</v>
      </c>
      <c r="AM255" s="7">
        <v>1E-4</v>
      </c>
      <c r="AN255" s="7">
        <v>0</v>
      </c>
      <c r="AO255" s="8">
        <v>0</v>
      </c>
      <c r="AP255" s="8">
        <v>0</v>
      </c>
      <c r="AQ255" s="7">
        <v>1E-4</v>
      </c>
      <c r="AR255" s="8">
        <v>0</v>
      </c>
      <c r="AS255" s="7">
        <v>1E-4</v>
      </c>
      <c r="AT255" s="7">
        <v>0</v>
      </c>
      <c r="AU255" s="7">
        <v>0</v>
      </c>
      <c r="AV255" s="7">
        <v>0</v>
      </c>
      <c r="AW255" s="7">
        <v>1E-4</v>
      </c>
      <c r="AX255" s="7">
        <v>1E-4</v>
      </c>
      <c r="AY255" s="7">
        <v>1E-4</v>
      </c>
      <c r="AZ255" s="7">
        <v>0</v>
      </c>
      <c r="BA255" s="7">
        <v>1E-4</v>
      </c>
      <c r="BB255" s="7">
        <v>1E-4</v>
      </c>
      <c r="BC255" s="7">
        <v>1E-4</v>
      </c>
      <c r="BD255" s="7">
        <v>1E-4</v>
      </c>
      <c r="BE255" s="7">
        <f>VLOOKUP($A255,'1.Sep'!$Y$8:$AA$1048576,3,0)</f>
        <v>1E-4</v>
      </c>
      <c r="BF255" s="7">
        <f>VLOOKUP($A255,'2.Sep'!$Y$8:$AA$1048576,3,0)</f>
        <v>1E-4</v>
      </c>
      <c r="BG255" s="7">
        <f>VLOOKUP($A255,'3.Sep'!$Y$8:$AA$1048576,3,0)</f>
        <v>1E-4</v>
      </c>
      <c r="BH255" s="8">
        <f>VLOOKUP($A255,'4.Sep'!$Y$8:$AA$1048576,3,0)</f>
        <v>1E-4</v>
      </c>
      <c r="BI255" s="8">
        <f>VLOOKUP($A255,'5.Sep'!$Y$8:$AA$1048576,3,0)</f>
        <v>0</v>
      </c>
      <c r="BJ255" s="8">
        <f>VLOOKUP($A255,'6.Sep'!$Y$8:$AA$1048576,3,0)</f>
        <v>0</v>
      </c>
      <c r="BK255" s="8">
        <f>VLOOKUP($A255,'7.Sep'!$Y$8:$AA$1048576,3,0)</f>
        <v>1E-4</v>
      </c>
      <c r="BL255" s="8">
        <f>VLOOKUP($A255,'8.Sep'!$Y$8:$AA$1048576,3,0)</f>
        <v>0</v>
      </c>
      <c r="BM255" s="8">
        <f>VLOOKUP($A255,'9.Sep'!$Y$8:$AA$1048576,3,0)</f>
        <v>1E-4</v>
      </c>
      <c r="BN255" s="8">
        <f>VLOOKUP($A255,'10.Sep'!$Y$8:$AA$1048576,3,0)</f>
        <v>0</v>
      </c>
      <c r="BO255" s="8">
        <f>VLOOKUP($A255,'11.Sep'!$Y$8:$AA$1048576,3,0)</f>
        <v>1E-4</v>
      </c>
      <c r="BP255" s="7">
        <f>VLOOKUP($A255,'12.Sep'!$Y$8:$AA$1048576,3,0)</f>
        <v>1E-4</v>
      </c>
      <c r="BQ255" s="7">
        <f>VLOOKUP($A255,'13.Sep'!$Y$8:$AA$1048576,3,0)</f>
        <v>1E-4</v>
      </c>
      <c r="BR255" s="7">
        <f>VLOOKUP($A255,'14.Sep'!$Y$8:$AA$1048576,3,0)</f>
        <v>1E-4</v>
      </c>
      <c r="BS255" s="7">
        <f>VLOOKUP($A255,'15.Sep'!$Y$8:$AA$1048576,3,0)</f>
        <v>1E-4</v>
      </c>
      <c r="BT255" s="7">
        <f>VLOOKUP($A255,'16.Sep'!$Y$8:$AA$1048576,3,0)</f>
        <v>1E-4</v>
      </c>
      <c r="BU255" s="7">
        <f>VLOOKUP($A255,'17.Sep'!$Y$8:$AA$1048576,3,0)</f>
        <v>1E-4</v>
      </c>
      <c r="BV255" s="7">
        <f>VLOOKUP($A255,'18.Sep'!$Y$8:$AA$1048576,3,0)</f>
        <v>1E-4</v>
      </c>
      <c r="BW255" s="7">
        <f>VLOOKUP($A255,'19.Sep'!$Y$8:$AA$1048576,3,0)</f>
        <v>1E-4</v>
      </c>
      <c r="BX255" s="7">
        <f>VLOOKUP($A255,'20.Sep'!$Y$8:$AA$1048576,3,0)</f>
        <v>1E-4</v>
      </c>
      <c r="BY255" s="7">
        <f>VLOOKUP($A255,'21.Sep'!$Y$8:$AA$1048576,3,0)</f>
        <v>2.0000000000000001E-4</v>
      </c>
      <c r="BZ255" s="7">
        <f>VLOOKUP($A255,'22.Sep'!$Y$8:$AA$1048576,3,0)</f>
        <v>1E-4</v>
      </c>
      <c r="CA255" s="7">
        <f>VLOOKUP($A255,'23.Sep'!$Y$8:$AA$1048576,3,0)</f>
        <v>1E-4</v>
      </c>
      <c r="CB255" s="7">
        <f>VLOOKUP($A255,'24.Sep'!$Y$8:$AA$1048576,3,0)</f>
        <v>1E-4</v>
      </c>
      <c r="CC255" s="7">
        <f>VLOOKUP($A255,'24.Sep'!$Y$8:$AA$1048576,3,0)</f>
        <v>1E-4</v>
      </c>
    </row>
    <row r="256" spans="1:81" outlineLevel="1">
      <c r="A256" s="6" t="s">
        <v>28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f t="shared" si="72"/>
        <v>0</v>
      </c>
      <c r="I256" s="7">
        <f t="shared" si="73"/>
        <v>0</v>
      </c>
      <c r="J256" s="7">
        <f t="shared" si="74"/>
        <v>0</v>
      </c>
      <c r="K256" s="7">
        <f t="shared" si="70"/>
        <v>0</v>
      </c>
      <c r="L256" s="7">
        <f t="shared" si="71"/>
        <v>0</v>
      </c>
      <c r="M256" s="8">
        <v>0</v>
      </c>
      <c r="N256" s="8">
        <v>0</v>
      </c>
      <c r="O256" s="8">
        <v>0</v>
      </c>
      <c r="P256" s="8">
        <v>0</v>
      </c>
      <c r="Q256" s="8">
        <v>0</v>
      </c>
      <c r="R256" s="8">
        <v>0</v>
      </c>
      <c r="S256" s="8">
        <v>0</v>
      </c>
      <c r="T256" s="8">
        <v>0</v>
      </c>
      <c r="U256" s="8">
        <v>0</v>
      </c>
      <c r="V256" s="8">
        <v>0</v>
      </c>
      <c r="W256" s="8">
        <v>0</v>
      </c>
      <c r="X256" s="8">
        <v>0</v>
      </c>
      <c r="Y256" s="8">
        <v>0</v>
      </c>
      <c r="Z256" s="8">
        <v>0</v>
      </c>
      <c r="AA256" s="8">
        <v>0</v>
      </c>
      <c r="AB256" s="8">
        <v>0</v>
      </c>
      <c r="AC256" s="8">
        <v>0</v>
      </c>
      <c r="AD256" s="8">
        <v>0</v>
      </c>
      <c r="AE256" s="8">
        <v>0</v>
      </c>
      <c r="AF256" s="8">
        <v>0</v>
      </c>
      <c r="AG256" s="8">
        <v>0</v>
      </c>
      <c r="AH256" s="8">
        <v>0</v>
      </c>
      <c r="AI256" s="8">
        <v>0</v>
      </c>
      <c r="AJ256" s="8">
        <v>0</v>
      </c>
      <c r="AK256" s="8">
        <v>0</v>
      </c>
      <c r="AL256" s="8">
        <v>0</v>
      </c>
      <c r="AM256" s="7">
        <v>0</v>
      </c>
      <c r="AN256" s="8">
        <v>0</v>
      </c>
      <c r="AO256" s="8">
        <v>0</v>
      </c>
      <c r="AP256" s="8">
        <v>0</v>
      </c>
      <c r="AQ256" s="8">
        <v>0</v>
      </c>
      <c r="AR256" s="7">
        <v>0</v>
      </c>
      <c r="AS256" s="8">
        <v>0</v>
      </c>
      <c r="AT256" s="7">
        <v>0</v>
      </c>
      <c r="AU256" s="7">
        <v>0</v>
      </c>
      <c r="AV256" s="8">
        <v>0</v>
      </c>
      <c r="AW256" s="7">
        <v>0</v>
      </c>
      <c r="AX256" s="8">
        <v>0</v>
      </c>
      <c r="AY256" s="7">
        <v>0</v>
      </c>
      <c r="AZ256" s="8">
        <v>0</v>
      </c>
      <c r="BA256" s="7">
        <v>0</v>
      </c>
      <c r="BB256" s="7">
        <v>0</v>
      </c>
      <c r="BC256" s="8">
        <v>0</v>
      </c>
      <c r="BD256" s="7">
        <v>0</v>
      </c>
      <c r="BE256" s="7">
        <v>0</v>
      </c>
      <c r="BF256" s="7">
        <v>0</v>
      </c>
      <c r="BG256" s="7">
        <v>0</v>
      </c>
      <c r="BH256" s="8">
        <v>0</v>
      </c>
      <c r="BI256" s="8">
        <v>0</v>
      </c>
      <c r="BJ256" s="7">
        <v>0</v>
      </c>
      <c r="BK256" s="8">
        <f>VLOOKUP($A256,'7.Sep'!$Y$8:$AA$1048576,3,0)</f>
        <v>0</v>
      </c>
      <c r="BL256" s="8">
        <f>VLOOKUP($A256,'8.Sep'!$Y$8:$AA$1048576,3,0)</f>
        <v>0</v>
      </c>
      <c r="BM256" s="7">
        <v>0</v>
      </c>
      <c r="BN256" s="8">
        <f>VLOOKUP($A256,'10.Sep'!$Y$8:$AA$1048576,3,0)</f>
        <v>0</v>
      </c>
      <c r="BO256" s="8">
        <v>0</v>
      </c>
      <c r="BP256" s="7">
        <v>0</v>
      </c>
      <c r="BQ256" s="7">
        <v>0</v>
      </c>
      <c r="BR256" s="7">
        <v>0</v>
      </c>
      <c r="BS256" s="7">
        <f>VLOOKUP($A256,'15.Sep'!$Y$8:$AA$1048576,3,0)</f>
        <v>0</v>
      </c>
      <c r="BT256" s="7">
        <f>VLOOKUP($A256,'16.Sep'!$Y$8:$AA$1048576,3,0)</f>
        <v>0</v>
      </c>
      <c r="BU256" s="7">
        <v>0</v>
      </c>
      <c r="BV256" s="7">
        <v>0</v>
      </c>
      <c r="BW256" s="7">
        <v>0</v>
      </c>
      <c r="BX256" s="7">
        <v>0</v>
      </c>
      <c r="BY256" s="7">
        <f>VLOOKUP($A256,'21.Sep'!$Y$8:$AA$1048576,3,0)</f>
        <v>0</v>
      </c>
      <c r="BZ256" s="8">
        <v>0</v>
      </c>
      <c r="CA256" s="7">
        <v>0</v>
      </c>
      <c r="CB256" s="7">
        <f>VLOOKUP($A256,'24.Sep'!$Y$8:$AA$1048576,3,0)</f>
        <v>0</v>
      </c>
      <c r="CC256" s="7">
        <f>VLOOKUP($A256,'24.Sep'!$Y$8:$AA$1048576,3,0)</f>
        <v>0</v>
      </c>
    </row>
    <row r="257" spans="1:81" outlineLevel="1">
      <c r="A257" s="6" t="s">
        <v>29</v>
      </c>
      <c r="B257" s="7">
        <v>2.5000000000000001E-4</v>
      </c>
      <c r="C257" s="7">
        <v>1.7142857142857145E-4</v>
      </c>
      <c r="D257" s="7">
        <v>2.9999999999999997E-4</v>
      </c>
      <c r="E257" s="7">
        <v>1.5714285714285716E-4</v>
      </c>
      <c r="F257" s="7">
        <v>1.4285714285714287E-4</v>
      </c>
      <c r="G257" s="7">
        <v>1.7142857142857145E-4</v>
      </c>
      <c r="H257" s="7">
        <f t="shared" si="72"/>
        <v>1.5714285714285716E-4</v>
      </c>
      <c r="I257" s="7">
        <f t="shared" si="73"/>
        <v>2.1428571428571433E-4</v>
      </c>
      <c r="J257" s="7">
        <f t="shared" si="74"/>
        <v>1.5714285714285716E-4</v>
      </c>
      <c r="K257" s="7">
        <f t="shared" si="70"/>
        <v>2.0000000000000001E-4</v>
      </c>
      <c r="L257" s="7">
        <f t="shared" si="71"/>
        <v>1.7999999999999998E-4</v>
      </c>
      <c r="M257" s="8">
        <v>4.0000000000000002E-4</v>
      </c>
      <c r="N257" s="8">
        <v>1E-4</v>
      </c>
      <c r="O257" s="8">
        <v>2.0000000000000001E-4</v>
      </c>
      <c r="P257" s="8">
        <v>2.0000000000000001E-4</v>
      </c>
      <c r="Q257" s="8">
        <v>4.0000000000000002E-4</v>
      </c>
      <c r="R257" s="8">
        <v>2.0000000000000001E-4</v>
      </c>
      <c r="S257" s="8">
        <v>2.0000000000000001E-4</v>
      </c>
      <c r="T257" s="8">
        <v>1E-4</v>
      </c>
      <c r="U257" s="8">
        <v>1E-4</v>
      </c>
      <c r="V257" s="8">
        <v>2.0000000000000001E-4</v>
      </c>
      <c r="W257" s="8">
        <v>1E-4</v>
      </c>
      <c r="X257" s="8">
        <v>1E-4</v>
      </c>
      <c r="Y257" s="8">
        <v>4.0000000000000002E-4</v>
      </c>
      <c r="Z257" s="8">
        <v>2.0000000000000001E-4</v>
      </c>
      <c r="AA257" s="8">
        <v>5.0000000000000001E-4</v>
      </c>
      <c r="AB257" s="8">
        <v>5.0000000000000001E-4</v>
      </c>
      <c r="AC257" s="8">
        <v>2.9999999999999997E-4</v>
      </c>
      <c r="AD257" s="8">
        <v>2.0000000000000001E-4</v>
      </c>
      <c r="AE257" s="8">
        <v>2.9999999999999997E-4</v>
      </c>
      <c r="AF257" s="8">
        <v>1E-4</v>
      </c>
      <c r="AG257" s="8">
        <v>1E-4</v>
      </c>
      <c r="AH257" s="8">
        <v>2.0000000000000001E-4</v>
      </c>
      <c r="AI257" s="8">
        <v>1E-4</v>
      </c>
      <c r="AJ257" s="8">
        <v>1E-4</v>
      </c>
      <c r="AK257" s="8">
        <v>2.9999999999999997E-4</v>
      </c>
      <c r="AL257" s="8">
        <v>1E-4</v>
      </c>
      <c r="AM257" s="7">
        <v>2.0000000000000001E-4</v>
      </c>
      <c r="AN257" s="7">
        <v>2.0000000000000001E-4</v>
      </c>
      <c r="AO257" s="7">
        <v>1E-4</v>
      </c>
      <c r="AP257" s="7">
        <v>2.0000000000000001E-4</v>
      </c>
      <c r="AQ257" s="7">
        <v>1E-4</v>
      </c>
      <c r="AR257" s="7">
        <v>1E-4</v>
      </c>
      <c r="AS257" s="7">
        <v>2.0000000000000001E-4</v>
      </c>
      <c r="AT257" s="7">
        <v>1E-4</v>
      </c>
      <c r="AU257" s="7">
        <v>2.0000000000000001E-4</v>
      </c>
      <c r="AV257" s="7">
        <v>2.0000000000000001E-4</v>
      </c>
      <c r="AW257" s="7">
        <v>2.0000000000000001E-4</v>
      </c>
      <c r="AX257" s="7">
        <v>1E-4</v>
      </c>
      <c r="AY257" s="7">
        <v>2.0000000000000001E-4</v>
      </c>
      <c r="AZ257" s="7">
        <v>1E-4</v>
      </c>
      <c r="BA257" s="7">
        <v>2.0000000000000001E-4</v>
      </c>
      <c r="BB257" s="7">
        <v>2.0000000000000001E-4</v>
      </c>
      <c r="BC257" s="7">
        <v>2.0000000000000001E-4</v>
      </c>
      <c r="BD257" s="7">
        <v>2.0000000000000001E-4</v>
      </c>
      <c r="BE257" s="7">
        <f>VLOOKUP($A257,'1.Sep'!$Y$8:$AA$1048576,3,0)</f>
        <v>1E-4</v>
      </c>
      <c r="BF257" s="7">
        <f>VLOOKUP($A257,'2.Sep'!$Y$8:$AA$1048576,3,0)</f>
        <v>2.0000000000000001E-4</v>
      </c>
      <c r="BG257" s="7">
        <f>VLOOKUP($A257,'3.Sep'!$Y$8:$AA$1048576,3,0)</f>
        <v>1E-4</v>
      </c>
      <c r="BH257" s="8">
        <f>VLOOKUP($A257,'4.Sep'!$Y$8:$AA$1048576,3,0)</f>
        <v>1E-4</v>
      </c>
      <c r="BI257" s="8">
        <f>VLOOKUP($A257,'5.Sep'!$Y$8:$AA$1048576,3,0)</f>
        <v>2.0000000000000001E-4</v>
      </c>
      <c r="BJ257" s="8">
        <f>VLOOKUP($A257,'6.Sep'!$Y$8:$AA$1048576,3,0)</f>
        <v>2.0000000000000001E-4</v>
      </c>
      <c r="BK257" s="8">
        <f>VLOOKUP($A257,'7.Sep'!$Y$8:$AA$1048576,3,0)</f>
        <v>2.0000000000000001E-4</v>
      </c>
      <c r="BL257" s="8">
        <f>VLOOKUP($A257,'8.Sep'!$Y$8:$AA$1048576,3,0)</f>
        <v>2.9999999999999997E-4</v>
      </c>
      <c r="BM257" s="8">
        <f>VLOOKUP($A257,'9.Sep'!$Y$8:$AA$1048576,3,0)</f>
        <v>2.0000000000000001E-4</v>
      </c>
      <c r="BN257" s="8">
        <f>VLOOKUP($A257,'10.Sep'!$Y$8:$AA$1048576,3,0)</f>
        <v>2.0000000000000001E-4</v>
      </c>
      <c r="BO257" s="8">
        <f>VLOOKUP($A257,'11.Sep'!$Y$8:$AA$1048576,3,0)</f>
        <v>2.0000000000000001E-4</v>
      </c>
      <c r="BP257" s="7">
        <f>VLOOKUP($A257,'12.Sep'!$Y$8:$AA$1048576,3,0)</f>
        <v>1E-4</v>
      </c>
      <c r="BQ257" s="7">
        <f>VLOOKUP($A257,'13.Sep'!$Y$8:$AA$1048576,3,0)</f>
        <v>2.0000000000000001E-4</v>
      </c>
      <c r="BR257" s="7">
        <f>VLOOKUP($A257,'14.Sep'!$Y$8:$AA$1048576,3,0)</f>
        <v>2.0000000000000001E-4</v>
      </c>
      <c r="BS257" s="7">
        <f>VLOOKUP($A257,'15.Sep'!$Y$8:$AA$1048576,3,0)</f>
        <v>2.0000000000000001E-4</v>
      </c>
      <c r="BT257" s="7">
        <f>VLOOKUP($A257,'16.Sep'!$Y$8:$AA$1048576,3,0)</f>
        <v>2.0000000000000001E-4</v>
      </c>
      <c r="BU257" s="7">
        <f>VLOOKUP($A257,'17.Sep'!$Y$8:$AA$1048576,3,0)</f>
        <v>1E-4</v>
      </c>
      <c r="BV257" s="7">
        <f>VLOOKUP($A257,'18.Sep'!$Y$8:$AA$1048576,3,0)</f>
        <v>1E-4</v>
      </c>
      <c r="BW257" s="7">
        <f>VLOOKUP($A257,'19.Sep'!$Y$8:$AA$1048576,3,0)</f>
        <v>2.9999999999999997E-4</v>
      </c>
      <c r="BX257" s="7">
        <f>VLOOKUP($A257,'20.Sep'!$Y$8:$AA$1048576,3,0)</f>
        <v>2.0000000000000001E-4</v>
      </c>
      <c r="BY257" s="7">
        <f>VLOOKUP($A257,'21.Sep'!$Y$8:$AA$1048576,3,0)</f>
        <v>2.0000000000000001E-4</v>
      </c>
      <c r="BZ257" s="7">
        <f>VLOOKUP($A257,'22.Sep'!$Y$8:$AA$1048576,3,0)</f>
        <v>1E-4</v>
      </c>
      <c r="CA257" s="7">
        <f>VLOOKUP($A257,'23.Sep'!$Y$8:$AA$1048576,3,0)</f>
        <v>2.0000000000000001E-4</v>
      </c>
      <c r="CB257" s="7">
        <f>VLOOKUP($A257,'24.Sep'!$Y$8:$AA$1048576,3,0)</f>
        <v>2.0000000000000001E-4</v>
      </c>
      <c r="CC257" s="7">
        <f>VLOOKUP($A257,'24.Sep'!$Y$8:$AA$1048576,3,0)</f>
        <v>2.0000000000000001E-4</v>
      </c>
    </row>
    <row r="258" spans="1:81" outlineLevel="1">
      <c r="A258" s="6" t="s">
        <v>30</v>
      </c>
      <c r="B258" s="7">
        <v>1.4999999999999999E-4</v>
      </c>
      <c r="C258" s="7">
        <v>4.2857142857142863E-5</v>
      </c>
      <c r="D258" s="7">
        <v>1.0000000000000002E-4</v>
      </c>
      <c r="E258" s="7">
        <v>1.8571428571428574E-4</v>
      </c>
      <c r="F258" s="7">
        <v>8.5714285714285726E-5</v>
      </c>
      <c r="G258" s="7">
        <v>1.285714285714286E-4</v>
      </c>
      <c r="H258" s="7">
        <f t="shared" si="72"/>
        <v>1.0000000000000002E-4</v>
      </c>
      <c r="I258" s="7">
        <f t="shared" si="73"/>
        <v>5.7142857142857148E-5</v>
      </c>
      <c r="J258" s="7">
        <f t="shared" si="74"/>
        <v>1.0000000000000002E-4</v>
      </c>
      <c r="K258" s="7">
        <f t="shared" si="70"/>
        <v>1.3333333333333331E-4</v>
      </c>
      <c r="L258" s="7">
        <f t="shared" si="71"/>
        <v>1.3999999999999999E-4</v>
      </c>
      <c r="M258" s="8">
        <v>0</v>
      </c>
      <c r="N258" s="8">
        <v>1E-4</v>
      </c>
      <c r="O258" s="8">
        <v>0</v>
      </c>
      <c r="P258" s="8">
        <v>2.9999999999999997E-4</v>
      </c>
      <c r="Q258" s="8">
        <v>2.9999999999999997E-4</v>
      </c>
      <c r="R258" s="8">
        <v>2.0000000000000001E-4</v>
      </c>
      <c r="S258" s="8">
        <v>1E-4</v>
      </c>
      <c r="T258" s="8">
        <v>0</v>
      </c>
      <c r="U258" s="8">
        <v>1E-4</v>
      </c>
      <c r="V258" s="8">
        <v>0</v>
      </c>
      <c r="W258" s="8">
        <v>0</v>
      </c>
      <c r="X258" s="8">
        <v>0</v>
      </c>
      <c r="Y258" s="8">
        <v>1E-4</v>
      </c>
      <c r="Z258" s="8">
        <v>1E-4</v>
      </c>
      <c r="AA258" s="8">
        <v>2.0000000000000001E-4</v>
      </c>
      <c r="AB258" s="8">
        <v>2.0000000000000001E-4</v>
      </c>
      <c r="AC258" s="8">
        <v>1E-4</v>
      </c>
      <c r="AD258" s="8">
        <v>1E-4</v>
      </c>
      <c r="AE258" s="8">
        <v>0</v>
      </c>
      <c r="AF258" s="8">
        <v>0</v>
      </c>
      <c r="AG258" s="8">
        <v>2.0000000000000001E-4</v>
      </c>
      <c r="AH258" s="8">
        <v>2.0000000000000001E-4</v>
      </c>
      <c r="AI258" s="8">
        <v>2.0000000000000001E-4</v>
      </c>
      <c r="AJ258" s="8">
        <v>2.9999999999999997E-4</v>
      </c>
      <c r="AK258" s="8">
        <v>2.0000000000000001E-4</v>
      </c>
      <c r="AL258" s="8">
        <v>1E-4</v>
      </c>
      <c r="AM258" s="7">
        <v>1E-4</v>
      </c>
      <c r="AN258" s="8">
        <v>0</v>
      </c>
      <c r="AO258" s="7">
        <v>1E-4</v>
      </c>
      <c r="AP258" s="7">
        <v>1E-4</v>
      </c>
      <c r="AQ258" s="7">
        <v>1E-4</v>
      </c>
      <c r="AR258" s="7">
        <v>1E-4</v>
      </c>
      <c r="AS258" s="7">
        <v>1E-4</v>
      </c>
      <c r="AT258" s="7">
        <v>1E-4</v>
      </c>
      <c r="AU258" s="7">
        <v>2.0000000000000001E-4</v>
      </c>
      <c r="AV258" s="7">
        <v>2.0000000000000001E-4</v>
      </c>
      <c r="AW258" s="7">
        <v>1E-4</v>
      </c>
      <c r="AX258" s="7">
        <v>1E-4</v>
      </c>
      <c r="AY258" s="7">
        <v>1E-4</v>
      </c>
      <c r="AZ258" s="7">
        <v>1E-4</v>
      </c>
      <c r="BA258" s="7">
        <v>1E-4</v>
      </c>
      <c r="BB258" s="7">
        <v>1E-4</v>
      </c>
      <c r="BC258" s="7">
        <v>1E-4</v>
      </c>
      <c r="BD258" s="7">
        <v>1E-4</v>
      </c>
      <c r="BE258" s="7">
        <f>VLOOKUP($A258,'1.Sep'!$Y$8:$AA$1048576,3,0)</f>
        <v>1E-4</v>
      </c>
      <c r="BF258" s="7">
        <f>VLOOKUP($A258,'2.Sep'!$Y$8:$AA$1048576,3,0)</f>
        <v>1E-4</v>
      </c>
      <c r="BG258" s="7">
        <f>VLOOKUP($A258,'3.Sep'!$Y$8:$AA$1048576,3,0)</f>
        <v>1E-4</v>
      </c>
      <c r="BH258" s="8">
        <f>VLOOKUP($A258,'4.Sep'!$Y$8:$AA$1048576,3,0)</f>
        <v>1E-4</v>
      </c>
      <c r="BI258" s="8">
        <f>VLOOKUP($A258,'5.Sep'!$Y$8:$AA$1048576,3,0)</f>
        <v>0</v>
      </c>
      <c r="BJ258" s="8">
        <f>VLOOKUP($A258,'6.Sep'!$Y$8:$AA$1048576,3,0)</f>
        <v>0</v>
      </c>
      <c r="BK258" s="8">
        <f>VLOOKUP($A258,'7.Sep'!$Y$8:$AA$1048576,3,0)</f>
        <v>0</v>
      </c>
      <c r="BL258" s="8">
        <f>VLOOKUP($A258,'8.Sep'!$Y$8:$AA$1048576,3,0)</f>
        <v>1E-4</v>
      </c>
      <c r="BM258" s="8">
        <f>VLOOKUP($A258,'9.Sep'!$Y$8:$AA$1048576,3,0)</f>
        <v>1E-4</v>
      </c>
      <c r="BN258" s="8">
        <f>VLOOKUP($A258,'10.Sep'!$Y$8:$AA$1048576,3,0)</f>
        <v>1E-4</v>
      </c>
      <c r="BO258" s="8">
        <f>VLOOKUP($A258,'11.Sep'!$Y$8:$AA$1048576,3,0)</f>
        <v>1E-4</v>
      </c>
      <c r="BP258" s="7">
        <f>VLOOKUP($A258,'12.Sep'!$Y$8:$AA$1048576,3,0)</f>
        <v>1E-4</v>
      </c>
      <c r="BQ258" s="7">
        <f>VLOOKUP($A258,'13.Sep'!$Y$8:$AA$1048576,3,0)</f>
        <v>1E-4</v>
      </c>
      <c r="BR258" s="7">
        <f>VLOOKUP($A258,'14.Sep'!$Y$8:$AA$1048576,3,0)</f>
        <v>1E-4</v>
      </c>
      <c r="BS258" s="7">
        <f>VLOOKUP($A258,'15.Sep'!$Y$8:$AA$1048576,3,0)</f>
        <v>1E-4</v>
      </c>
      <c r="BT258" s="7">
        <f>VLOOKUP($A258,'16.Sep'!$Y$8:$AA$1048576,3,0)</f>
        <v>1E-4</v>
      </c>
      <c r="BU258" s="7">
        <f>VLOOKUP($A258,'17.Sep'!$Y$8:$AA$1048576,3,0)</f>
        <v>1E-4</v>
      </c>
      <c r="BV258" s="7">
        <f>VLOOKUP($A258,'18.Sep'!$Y$8:$AA$1048576,3,0)</f>
        <v>1E-4</v>
      </c>
      <c r="BW258" s="7">
        <f>VLOOKUP($A258,'19.Sep'!$Y$8:$AA$1048576,3,0)</f>
        <v>1E-4</v>
      </c>
      <c r="BX258" s="7">
        <f>VLOOKUP($A258,'20.Sep'!$Y$8:$AA$1048576,3,0)</f>
        <v>1E-4</v>
      </c>
      <c r="BY258" s="7">
        <f>VLOOKUP($A258,'21.Sep'!$Y$8:$AA$1048576,3,0)</f>
        <v>1E-4</v>
      </c>
      <c r="BZ258" s="7">
        <f>VLOOKUP($A258,'22.Sep'!$Y$8:$AA$1048576,3,0)</f>
        <v>1E-4</v>
      </c>
      <c r="CA258" s="7">
        <f>VLOOKUP($A258,'23.Sep'!$Y$8:$AA$1048576,3,0)</f>
        <v>1E-4</v>
      </c>
      <c r="CB258" s="7">
        <f>VLOOKUP($A258,'24.Sep'!$Y$8:$AA$1048576,3,0)</f>
        <v>2.9999999999999997E-4</v>
      </c>
      <c r="CC258" s="7">
        <f>VLOOKUP($A258,'24.Sep'!$Y$8:$AA$1048576,3,0)</f>
        <v>2.9999999999999997E-4</v>
      </c>
    </row>
    <row r="259" spans="1:81" outlineLevel="1">
      <c r="A259" s="6" t="s">
        <v>31</v>
      </c>
      <c r="B259" s="7">
        <v>2.1666666666666668E-4</v>
      </c>
      <c r="C259" s="7">
        <v>2.2857142857142859E-4</v>
      </c>
      <c r="D259" s="7">
        <v>2.4285714285714291E-4</v>
      </c>
      <c r="E259" s="7">
        <v>2.142857142857143E-4</v>
      </c>
      <c r="F259" s="7">
        <v>1.8571428571428574E-4</v>
      </c>
      <c r="G259" s="7">
        <v>1.5714285714285716E-4</v>
      </c>
      <c r="H259" s="7">
        <f t="shared" si="72"/>
        <v>1.5714285714285716E-4</v>
      </c>
      <c r="I259" s="7">
        <f t="shared" si="73"/>
        <v>2.2857142857142859E-4</v>
      </c>
      <c r="J259" s="7">
        <f t="shared" si="74"/>
        <v>2.0000000000000001E-4</v>
      </c>
      <c r="K259" s="7">
        <f t="shared" si="70"/>
        <v>2.1666666666666668E-4</v>
      </c>
      <c r="L259" s="7">
        <f t="shared" si="71"/>
        <v>2.0000000000000001E-4</v>
      </c>
      <c r="M259" s="8">
        <v>2.0000000000000001E-4</v>
      </c>
      <c r="N259" s="8">
        <v>1E-4</v>
      </c>
      <c r="O259" s="8">
        <v>1E-4</v>
      </c>
      <c r="P259" s="8">
        <v>2.0000000000000001E-4</v>
      </c>
      <c r="Q259" s="8">
        <v>5.9999999999999995E-4</v>
      </c>
      <c r="R259" s="8">
        <v>1E-4</v>
      </c>
      <c r="S259" s="8">
        <v>2.0000000000000001E-4</v>
      </c>
      <c r="T259" s="8">
        <v>2.9999999999999997E-4</v>
      </c>
      <c r="U259" s="8">
        <v>1E-4</v>
      </c>
      <c r="V259" s="8">
        <v>2.0000000000000001E-4</v>
      </c>
      <c r="W259" s="8">
        <v>2.0000000000000001E-4</v>
      </c>
      <c r="X259" s="8">
        <v>2.0000000000000001E-4</v>
      </c>
      <c r="Y259" s="8">
        <v>4.0000000000000002E-4</v>
      </c>
      <c r="Z259" s="8">
        <v>2.9999999999999997E-4</v>
      </c>
      <c r="AA259" s="8">
        <v>4.0000000000000002E-4</v>
      </c>
      <c r="AB259" s="8">
        <v>2.0000000000000001E-4</v>
      </c>
      <c r="AC259" s="8">
        <v>2.0000000000000001E-4</v>
      </c>
      <c r="AD259" s="8">
        <v>2.0000000000000001E-4</v>
      </c>
      <c r="AE259" s="8">
        <v>2.0000000000000001E-4</v>
      </c>
      <c r="AF259" s="8">
        <v>2.0000000000000001E-4</v>
      </c>
      <c r="AG259" s="8">
        <v>2.0000000000000001E-4</v>
      </c>
      <c r="AH259" s="8">
        <v>2.9999999999999997E-4</v>
      </c>
      <c r="AI259" s="8">
        <v>1E-4</v>
      </c>
      <c r="AJ259" s="8">
        <v>2.0000000000000001E-4</v>
      </c>
      <c r="AK259" s="8">
        <v>2.0000000000000001E-4</v>
      </c>
      <c r="AL259" s="8">
        <v>2.0000000000000001E-4</v>
      </c>
      <c r="AM259" s="7">
        <v>2.9999999999999997E-4</v>
      </c>
      <c r="AN259" s="7">
        <v>1E-4</v>
      </c>
      <c r="AO259" s="7">
        <v>2.0000000000000001E-4</v>
      </c>
      <c r="AP259" s="7">
        <v>2.0000000000000001E-4</v>
      </c>
      <c r="AQ259" s="7">
        <v>1E-4</v>
      </c>
      <c r="AR259" s="7">
        <v>2.9999999999999997E-4</v>
      </c>
      <c r="AS259" s="7">
        <v>2.0000000000000001E-4</v>
      </c>
      <c r="AT259" s="7">
        <v>2.0000000000000001E-4</v>
      </c>
      <c r="AU259" s="7">
        <v>2.9999999999999997E-4</v>
      </c>
      <c r="AV259" s="7">
        <v>1E-4</v>
      </c>
      <c r="AW259" s="7">
        <v>2.0000000000000001E-4</v>
      </c>
      <c r="AX259" s="7">
        <v>1E-4</v>
      </c>
      <c r="AY259" s="7">
        <v>2.0000000000000001E-4</v>
      </c>
      <c r="AZ259" s="7">
        <v>1E-4</v>
      </c>
      <c r="BA259" s="7">
        <v>1E-4</v>
      </c>
      <c r="BB259" s="7">
        <v>1E-4</v>
      </c>
      <c r="BC259" s="7">
        <v>2.0000000000000001E-4</v>
      </c>
      <c r="BD259" s="7">
        <v>1E-4</v>
      </c>
      <c r="BE259" s="7">
        <f>VLOOKUP($A259,'1.Sep'!$Y$8:$AA$1048576,3,0)</f>
        <v>1E-4</v>
      </c>
      <c r="BF259" s="7">
        <f>VLOOKUP($A259,'2.Sep'!$Y$8:$AA$1048576,3,0)</f>
        <v>2.0000000000000001E-4</v>
      </c>
      <c r="BG259" s="7">
        <f>VLOOKUP($A259,'3.Sep'!$Y$8:$AA$1048576,3,0)</f>
        <v>2.0000000000000001E-4</v>
      </c>
      <c r="BH259" s="8">
        <f>VLOOKUP($A259,'4.Sep'!$Y$8:$AA$1048576,3,0)</f>
        <v>2.0000000000000001E-4</v>
      </c>
      <c r="BI259" s="8">
        <f>VLOOKUP($A259,'5.Sep'!$Y$8:$AA$1048576,3,0)</f>
        <v>2.0000000000000001E-4</v>
      </c>
      <c r="BJ259" s="8">
        <f>VLOOKUP($A259,'6.Sep'!$Y$8:$AA$1048576,3,0)</f>
        <v>1E-4</v>
      </c>
      <c r="BK259" s="8">
        <f>VLOOKUP($A259,'7.Sep'!$Y$8:$AA$1048576,3,0)</f>
        <v>2.9999999999999997E-4</v>
      </c>
      <c r="BL259" s="8">
        <f>VLOOKUP($A259,'8.Sep'!$Y$8:$AA$1048576,3,0)</f>
        <v>2.9999999999999997E-4</v>
      </c>
      <c r="BM259" s="8">
        <f>VLOOKUP($A259,'9.Sep'!$Y$8:$AA$1048576,3,0)</f>
        <v>2.9999999999999997E-4</v>
      </c>
      <c r="BN259" s="8">
        <f>VLOOKUP($A259,'10.Sep'!$Y$8:$AA$1048576,3,0)</f>
        <v>2.0000000000000001E-4</v>
      </c>
      <c r="BO259" s="8">
        <f>VLOOKUP($A259,'11.Sep'!$Y$8:$AA$1048576,3,0)</f>
        <v>2.0000000000000001E-4</v>
      </c>
      <c r="BP259" s="7">
        <f>VLOOKUP($A259,'12.Sep'!$Y$8:$AA$1048576,3,0)</f>
        <v>2.0000000000000001E-4</v>
      </c>
      <c r="BQ259" s="7">
        <f>VLOOKUP($A259,'13.Sep'!$Y$8:$AA$1048576,3,0)</f>
        <v>1E-4</v>
      </c>
      <c r="BR259" s="7">
        <f>VLOOKUP($A259,'14.Sep'!$Y$8:$AA$1048576,3,0)</f>
        <v>2.0000000000000001E-4</v>
      </c>
      <c r="BS259" s="7">
        <f>VLOOKUP($A259,'15.Sep'!$Y$8:$AA$1048576,3,0)</f>
        <v>1E-4</v>
      </c>
      <c r="BT259" s="7">
        <f>VLOOKUP($A259,'16.Sep'!$Y$8:$AA$1048576,3,0)</f>
        <v>2.9999999999999997E-4</v>
      </c>
      <c r="BU259" s="7">
        <f>VLOOKUP($A259,'17.Sep'!$Y$8:$AA$1048576,3,0)</f>
        <v>2.9999999999999997E-4</v>
      </c>
      <c r="BV259" s="7">
        <f>VLOOKUP($A259,'18.Sep'!$Y$8:$AA$1048576,3,0)</f>
        <v>2.0000000000000001E-4</v>
      </c>
      <c r="BW259" s="7">
        <f>VLOOKUP($A259,'19.Sep'!$Y$8:$AA$1048576,3,0)</f>
        <v>2.9999999999999997E-4</v>
      </c>
      <c r="BX259" s="7">
        <f>VLOOKUP($A259,'20.Sep'!$Y$8:$AA$1048576,3,0)</f>
        <v>2.9999999999999997E-4</v>
      </c>
      <c r="BY259" s="7">
        <f>VLOOKUP($A259,'21.Sep'!$Y$8:$AA$1048576,3,0)</f>
        <v>2.0000000000000001E-4</v>
      </c>
      <c r="BZ259" s="7">
        <f>VLOOKUP($A259,'22.Sep'!$Y$8:$AA$1048576,3,0)</f>
        <v>2.0000000000000001E-4</v>
      </c>
      <c r="CA259" s="7">
        <f>VLOOKUP($A259,'23.Sep'!$Y$8:$AA$1048576,3,0)</f>
        <v>2.0000000000000001E-4</v>
      </c>
      <c r="CB259" s="7">
        <f>VLOOKUP($A259,'24.Sep'!$Y$8:$AA$1048576,3,0)</f>
        <v>1E-4</v>
      </c>
      <c r="CC259" s="7">
        <f>VLOOKUP($A259,'24.Sep'!$Y$8:$AA$1048576,3,0)</f>
        <v>1E-4</v>
      </c>
    </row>
    <row r="260" spans="1:81" outlineLevel="1">
      <c r="A260" s="6" t="s">
        <v>32</v>
      </c>
      <c r="B260" s="7">
        <v>1.6666666666666667E-5</v>
      </c>
      <c r="C260" s="7">
        <v>0</v>
      </c>
      <c r="D260" s="7">
        <v>0</v>
      </c>
      <c r="E260" s="7">
        <v>1.4285714285714287E-5</v>
      </c>
      <c r="F260" s="7">
        <v>0</v>
      </c>
      <c r="G260" s="7">
        <v>0</v>
      </c>
      <c r="H260" s="7">
        <f t="shared" si="72"/>
        <v>0</v>
      </c>
      <c r="I260" s="7">
        <f t="shared" si="73"/>
        <v>1.0000000000000002E-4</v>
      </c>
      <c r="J260" s="7">
        <f t="shared" si="74"/>
        <v>1.4285714285714287E-5</v>
      </c>
      <c r="K260" s="7">
        <f t="shared" si="70"/>
        <v>1.6666666666666667E-5</v>
      </c>
      <c r="L260" s="7">
        <f t="shared" si="71"/>
        <v>0</v>
      </c>
      <c r="M260" s="8">
        <v>0</v>
      </c>
      <c r="N260" s="8">
        <v>0</v>
      </c>
      <c r="O260" s="8">
        <v>0</v>
      </c>
      <c r="P260" s="8">
        <v>0</v>
      </c>
      <c r="Q260" s="8">
        <v>1E-4</v>
      </c>
      <c r="R260" s="8">
        <v>0</v>
      </c>
      <c r="S260" s="8">
        <v>0</v>
      </c>
      <c r="T260" s="8">
        <v>0</v>
      </c>
      <c r="U260" s="8">
        <v>0</v>
      </c>
      <c r="V260" s="8">
        <v>0</v>
      </c>
      <c r="W260" s="8">
        <v>0</v>
      </c>
      <c r="X260" s="8">
        <v>0</v>
      </c>
      <c r="Y260" s="8">
        <v>0</v>
      </c>
      <c r="Z260" s="8">
        <v>0</v>
      </c>
      <c r="AA260" s="8">
        <v>0</v>
      </c>
      <c r="AB260" s="8">
        <v>0</v>
      </c>
      <c r="AC260" s="8">
        <v>0</v>
      </c>
      <c r="AD260" s="8">
        <v>0</v>
      </c>
      <c r="AE260" s="8">
        <v>0</v>
      </c>
      <c r="AF260" s="8">
        <v>0</v>
      </c>
      <c r="AG260" s="8">
        <v>1E-4</v>
      </c>
      <c r="AH260" s="8">
        <v>0</v>
      </c>
      <c r="AI260" s="8">
        <v>0</v>
      </c>
      <c r="AJ260" s="8">
        <v>0</v>
      </c>
      <c r="AK260" s="8">
        <v>0</v>
      </c>
      <c r="AL260" s="8">
        <v>0</v>
      </c>
      <c r="AM260" s="7">
        <v>0</v>
      </c>
      <c r="AN260" s="8">
        <v>0</v>
      </c>
      <c r="AO260" s="8">
        <v>0</v>
      </c>
      <c r="AP260" s="8">
        <v>0</v>
      </c>
      <c r="AQ260" s="7">
        <v>0</v>
      </c>
      <c r="AR260" s="8">
        <v>0</v>
      </c>
      <c r="AS260" s="7">
        <v>0</v>
      </c>
      <c r="AT260" s="7">
        <v>0</v>
      </c>
      <c r="AU260" s="7">
        <v>0</v>
      </c>
      <c r="AV260" s="8">
        <v>0</v>
      </c>
      <c r="AW260" s="8">
        <v>0</v>
      </c>
      <c r="AX260" s="7">
        <v>0</v>
      </c>
      <c r="AY260" s="8">
        <v>0</v>
      </c>
      <c r="AZ260" s="8">
        <v>0</v>
      </c>
      <c r="BA260" s="7">
        <v>0</v>
      </c>
      <c r="BB260" s="7">
        <v>0</v>
      </c>
      <c r="BC260" s="8">
        <v>0</v>
      </c>
      <c r="BD260" s="7">
        <v>0</v>
      </c>
      <c r="BE260" s="7">
        <f>VLOOKUP($A260,'1.Sep'!$Y$8:$AA$1048576,3,0)</f>
        <v>0</v>
      </c>
      <c r="BF260" s="7">
        <v>0</v>
      </c>
      <c r="BG260" s="7">
        <f>VLOOKUP($A260,'3.Sep'!$Y$8:$AA$1048576,3,0)</f>
        <v>0</v>
      </c>
      <c r="BH260" s="8">
        <f>VLOOKUP($A260,'4.Sep'!$Y$8:$AA$1048576,3,0)</f>
        <v>0</v>
      </c>
      <c r="BI260" s="8">
        <f>VLOOKUP($A260,'5.Sep'!$Y$8:$AA$1048576,3,0)</f>
        <v>1E-4</v>
      </c>
      <c r="BJ260" s="8">
        <f>VLOOKUP($A260,'6.Sep'!$Y$8:$AA$1048576,3,0)</f>
        <v>1E-4</v>
      </c>
      <c r="BK260" s="8">
        <f>VLOOKUP($A260,'7.Sep'!$Y$8:$AA$1048576,3,0)</f>
        <v>1E-4</v>
      </c>
      <c r="BL260" s="8">
        <f>VLOOKUP($A260,'8.Sep'!$Y$8:$AA$1048576,3,0)</f>
        <v>1E-4</v>
      </c>
      <c r="BM260" s="8">
        <f>VLOOKUP($A260,'9.Sep'!$Y$8:$AA$1048576,3,0)</f>
        <v>1E-4</v>
      </c>
      <c r="BN260" s="8">
        <f>VLOOKUP($A260,'10.Sep'!$Y$8:$AA$1048576,3,0)</f>
        <v>1E-4</v>
      </c>
      <c r="BO260" s="8">
        <f>VLOOKUP($A260,'11.Sep'!$Y$8:$AA$1048576,3,0)</f>
        <v>1E-4</v>
      </c>
      <c r="BP260" s="7">
        <f>VLOOKUP($A260,'12.Sep'!$Y$8:$AA$1048576,3,0)</f>
        <v>0</v>
      </c>
      <c r="BQ260" s="7">
        <f>VLOOKUP($A260,'13.Sep'!$Y$8:$AA$1048576,3,0)</f>
        <v>0</v>
      </c>
      <c r="BR260" s="7">
        <f>VLOOKUP($A260,'14.Sep'!$Y$8:$AA$1048576,3,0)</f>
        <v>0</v>
      </c>
      <c r="BS260" s="7">
        <v>0</v>
      </c>
      <c r="BT260" s="7">
        <f>VLOOKUP($A260,'16.Sep'!$Y$8:$AA$1048576,3,0)</f>
        <v>1E-4</v>
      </c>
      <c r="BU260" s="7">
        <f>VLOOKUP($A260,'17.Sep'!$Y$8:$AA$1048576,3,0)</f>
        <v>0</v>
      </c>
      <c r="BV260" s="7">
        <f>VLOOKUP($A260,'18.Sep'!$Y$8:$AA$1048576,3,0)</f>
        <v>0</v>
      </c>
      <c r="BW260" s="7">
        <f>VLOOKUP($A260,'19.Sep'!$Y$8:$AA$1048576,3,0)</f>
        <v>1E-4</v>
      </c>
      <c r="BX260" s="7">
        <f>VLOOKUP($A260,'20.Sep'!$Y$8:$AA$1048576,3,0)</f>
        <v>0</v>
      </c>
      <c r="BY260" s="7">
        <v>0</v>
      </c>
      <c r="BZ260" s="7">
        <f>VLOOKUP($A260,'22.Sep'!$Y$8:$AA$1048576,3,0)</f>
        <v>0</v>
      </c>
      <c r="CA260" s="7">
        <f>VLOOKUP($A260,'23.Sep'!$Y$8:$AA$1048576,3,0)</f>
        <v>0</v>
      </c>
      <c r="CB260" s="7">
        <f>VLOOKUP($A260,'24.Sep'!$Y$8:$AA$1048576,3,0)</f>
        <v>0</v>
      </c>
      <c r="CC260" s="7">
        <f>VLOOKUP($A260,'24.Sep'!$Y$8:$AA$1048576,3,0)</f>
        <v>0</v>
      </c>
    </row>
    <row r="261" spans="1:81" outlineLevel="1">
      <c r="A261" s="6" t="s">
        <v>33</v>
      </c>
      <c r="B261" s="7">
        <v>3.3333333333333335E-5</v>
      </c>
      <c r="C261" s="7">
        <v>2.8571428571428574E-5</v>
      </c>
      <c r="D261" s="7">
        <v>2.8571428571428574E-5</v>
      </c>
      <c r="E261" s="7">
        <v>5.7142857142857135E-5</v>
      </c>
      <c r="F261" s="7">
        <v>0</v>
      </c>
      <c r="G261" s="7">
        <v>1.4285714285714287E-5</v>
      </c>
      <c r="H261" s="7">
        <f t="shared" si="72"/>
        <v>1.4285714285714287E-5</v>
      </c>
      <c r="I261" s="7">
        <f t="shared" si="73"/>
        <v>1.4285714285714287E-5</v>
      </c>
      <c r="J261" s="7">
        <f t="shared" si="74"/>
        <v>5.7142857142857148E-5</v>
      </c>
      <c r="K261" s="7">
        <f t="shared" si="70"/>
        <v>0</v>
      </c>
      <c r="L261" s="7">
        <f t="shared" si="71"/>
        <v>0</v>
      </c>
      <c r="M261" s="8">
        <v>0</v>
      </c>
      <c r="N261" s="8">
        <v>0</v>
      </c>
      <c r="O261" s="8">
        <v>0</v>
      </c>
      <c r="P261" s="8">
        <v>0</v>
      </c>
      <c r="Q261" s="8">
        <v>2.0000000000000001E-4</v>
      </c>
      <c r="R261" s="8">
        <v>0</v>
      </c>
      <c r="S261" s="8">
        <v>1E-4</v>
      </c>
      <c r="T261" s="8">
        <v>1E-4</v>
      </c>
      <c r="U261" s="8">
        <v>0</v>
      </c>
      <c r="V261" s="8">
        <v>0</v>
      </c>
      <c r="W261" s="8">
        <v>0</v>
      </c>
      <c r="X261" s="8">
        <v>0</v>
      </c>
      <c r="Y261" s="8">
        <v>0</v>
      </c>
      <c r="Z261" s="8">
        <v>1E-4</v>
      </c>
      <c r="AA261" s="8">
        <v>0</v>
      </c>
      <c r="AB261" s="8">
        <v>0</v>
      </c>
      <c r="AC261" s="8">
        <v>0</v>
      </c>
      <c r="AD261" s="8">
        <v>0</v>
      </c>
      <c r="AE261" s="8">
        <v>0</v>
      </c>
      <c r="AF261" s="8">
        <v>1E-4</v>
      </c>
      <c r="AG261" s="8">
        <v>0</v>
      </c>
      <c r="AH261" s="8">
        <v>0</v>
      </c>
      <c r="AI261" s="8">
        <v>0</v>
      </c>
      <c r="AJ261" s="8">
        <v>2.9999999999999997E-4</v>
      </c>
      <c r="AK261" s="8">
        <v>1E-4</v>
      </c>
      <c r="AL261" s="8">
        <v>0</v>
      </c>
      <c r="AM261" s="7">
        <v>0</v>
      </c>
      <c r="AN261" s="8">
        <v>0</v>
      </c>
      <c r="AO261" s="7">
        <v>0</v>
      </c>
      <c r="AP261" s="8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8">
        <v>0</v>
      </c>
      <c r="AX261" s="7">
        <v>0</v>
      </c>
      <c r="AY261" s="7">
        <v>0</v>
      </c>
      <c r="AZ261" s="7">
        <v>1E-4</v>
      </c>
      <c r="BA261" s="7">
        <v>0</v>
      </c>
      <c r="BB261" s="7">
        <v>0</v>
      </c>
      <c r="BC261" s="8">
        <v>0</v>
      </c>
      <c r="BD261" s="7">
        <v>0</v>
      </c>
      <c r="BE261" s="7">
        <f>VLOOKUP($A261,'1.Sep'!$Y$8:$AA$1048576,3,0)</f>
        <v>0</v>
      </c>
      <c r="BF261" s="7">
        <v>0</v>
      </c>
      <c r="BG261" s="7">
        <f>VLOOKUP($A261,'3.Sep'!$Y$8:$AA$1048576,3,0)</f>
        <v>1E-4</v>
      </c>
      <c r="BH261" s="8">
        <f>VLOOKUP($A261,'4.Sep'!$Y$8:$AA$1048576,3,0)</f>
        <v>0</v>
      </c>
      <c r="BI261" s="8">
        <f>VLOOKUP($A261,'5.Sep'!$Y$8:$AA$1048576,3,0)</f>
        <v>0</v>
      </c>
      <c r="BJ261" s="8">
        <f>VLOOKUP($A261,'6.Sep'!$Y$8:$AA$1048576,3,0)</f>
        <v>0</v>
      </c>
      <c r="BK261" s="7">
        <v>0</v>
      </c>
      <c r="BL261" s="8">
        <f>VLOOKUP($A261,'8.Sep'!$Y$8:$AA$1048576,3,0)</f>
        <v>0</v>
      </c>
      <c r="BM261" s="8">
        <f>VLOOKUP($A261,'9.Sep'!$Y$8:$AA$1048576,3,0)</f>
        <v>0</v>
      </c>
      <c r="BN261" s="8">
        <f>VLOOKUP($A261,'10.Sep'!$Y$8:$AA$1048576,3,0)</f>
        <v>1E-4</v>
      </c>
      <c r="BO261" s="8">
        <f>VLOOKUP($A261,'11.Sep'!$Y$8:$AA$1048576,3,0)</f>
        <v>0</v>
      </c>
      <c r="BP261" s="7">
        <f>VLOOKUP($A261,'12.Sep'!$Y$8:$AA$1048576,3,0)</f>
        <v>1E-4</v>
      </c>
      <c r="BQ261" s="7">
        <f>VLOOKUP($A261,'13.Sep'!$Y$8:$AA$1048576,3,0)</f>
        <v>1E-4</v>
      </c>
      <c r="BR261" s="7">
        <f>VLOOKUP($A261,'14.Sep'!$Y$8:$AA$1048576,3,0)</f>
        <v>1E-4</v>
      </c>
      <c r="BS261" s="7">
        <f>VLOOKUP($A261,'15.Sep'!$Y$8:$AA$1048576,3,0)</f>
        <v>0</v>
      </c>
      <c r="BT261" s="7">
        <f>VLOOKUP($A261,'16.Sep'!$Y$8:$AA$1048576,3,0)</f>
        <v>0</v>
      </c>
      <c r="BU261" s="7">
        <f>VLOOKUP($A261,'17.Sep'!$Y$8:$AA$1048576,3,0)</f>
        <v>0</v>
      </c>
      <c r="BV261" s="7">
        <f>VLOOKUP($A261,'18.Sep'!$Y$8:$AA$1048576,3,0)</f>
        <v>1E-4</v>
      </c>
      <c r="BW261" s="7">
        <f>VLOOKUP($A261,'19.Sep'!$Y$8:$AA$1048576,3,0)</f>
        <v>0</v>
      </c>
      <c r="BX261" s="7">
        <f>VLOOKUP($A261,'20.Sep'!$Y$8:$AA$1048576,3,0)</f>
        <v>0</v>
      </c>
      <c r="BY261" s="7">
        <f>VLOOKUP($A261,'21.Sep'!$Y$8:$AA$1048576,3,0)</f>
        <v>0</v>
      </c>
      <c r="BZ261" s="7">
        <f>VLOOKUP($A261,'22.Sep'!$Y$8:$AA$1048576,3,0)</f>
        <v>0</v>
      </c>
      <c r="CA261" s="7">
        <f>VLOOKUP($A261,'23.Sep'!$Y$8:$AA$1048576,3,0)</f>
        <v>0</v>
      </c>
      <c r="CB261" s="7">
        <f>VLOOKUP($A261,'24.Sep'!$Y$8:$AA$1048576,3,0)</f>
        <v>0</v>
      </c>
      <c r="CC261" s="7">
        <f>VLOOKUP($A261,'24.Sep'!$Y$8:$AA$1048576,3,0)</f>
        <v>0</v>
      </c>
    </row>
    <row r="262" spans="1:81" outlineLevel="1">
      <c r="A262" s="6" t="s">
        <v>34</v>
      </c>
      <c r="B262" s="7">
        <v>1.6666666666666667E-5</v>
      </c>
      <c r="C262" s="7">
        <v>1.4285714285714287E-5</v>
      </c>
      <c r="D262" s="7">
        <v>5.7142857142857148E-5</v>
      </c>
      <c r="E262" s="7">
        <v>0</v>
      </c>
      <c r="F262" s="7">
        <v>2.8571428571428574E-5</v>
      </c>
      <c r="G262" s="7">
        <v>0</v>
      </c>
      <c r="H262" s="7">
        <f t="shared" si="72"/>
        <v>2.8571428571428574E-5</v>
      </c>
      <c r="I262" s="7">
        <f t="shared" si="73"/>
        <v>0</v>
      </c>
      <c r="J262" s="7">
        <f t="shared" si="74"/>
        <v>1.4285714285714287E-5</v>
      </c>
      <c r="K262" s="7">
        <f t="shared" si="70"/>
        <v>1.6666666666666667E-5</v>
      </c>
      <c r="L262" s="7">
        <f t="shared" si="71"/>
        <v>2.0000000000000002E-5</v>
      </c>
      <c r="M262" s="8">
        <v>0</v>
      </c>
      <c r="N262" s="8">
        <v>0</v>
      </c>
      <c r="O262" s="8">
        <v>0</v>
      </c>
      <c r="P262" s="8">
        <v>1E-4</v>
      </c>
      <c r="Q262" s="8">
        <v>0</v>
      </c>
      <c r="R262" s="8">
        <v>0</v>
      </c>
      <c r="S262" s="8">
        <v>0</v>
      </c>
      <c r="T262" s="8">
        <v>0</v>
      </c>
      <c r="U262" s="8">
        <v>0</v>
      </c>
      <c r="V262" s="8">
        <v>0</v>
      </c>
      <c r="W262" s="8">
        <v>0</v>
      </c>
      <c r="X262" s="8">
        <v>0</v>
      </c>
      <c r="Y262" s="8">
        <v>1E-4</v>
      </c>
      <c r="Z262" s="8">
        <v>0</v>
      </c>
      <c r="AA262" s="8">
        <v>1E-4</v>
      </c>
      <c r="AB262" s="8">
        <v>1E-4</v>
      </c>
      <c r="AC262" s="8">
        <v>0</v>
      </c>
      <c r="AD262" s="8">
        <v>1E-4</v>
      </c>
      <c r="AE262" s="8">
        <v>1E-4</v>
      </c>
      <c r="AF262" s="8">
        <v>0</v>
      </c>
      <c r="AG262" s="8">
        <v>0</v>
      </c>
      <c r="AH262" s="8">
        <v>0</v>
      </c>
      <c r="AI262" s="8">
        <v>0</v>
      </c>
      <c r="AJ262" s="8">
        <v>0</v>
      </c>
      <c r="AK262" s="8">
        <v>0</v>
      </c>
      <c r="AL262" s="8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1E-4</v>
      </c>
      <c r="AR262" s="7">
        <v>1E-4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8">
        <v>0</v>
      </c>
      <c r="AZ262" s="8">
        <v>0</v>
      </c>
      <c r="BA262" s="7">
        <v>0</v>
      </c>
      <c r="BB262" s="7">
        <v>0</v>
      </c>
      <c r="BC262" s="7">
        <v>1E-4</v>
      </c>
      <c r="BD262" s="7">
        <v>0</v>
      </c>
      <c r="BE262" s="7">
        <f>VLOOKUP($A262,'1.Sep'!$Y$8:$AA$1048576,3,0)</f>
        <v>0</v>
      </c>
      <c r="BF262" s="7">
        <f>VLOOKUP($A262,'2.Sep'!$Y$8:$AA$1048576,3,0)</f>
        <v>1E-4</v>
      </c>
      <c r="BG262" s="7">
        <v>0</v>
      </c>
      <c r="BH262" s="8">
        <f>VLOOKUP($A262,'4.Sep'!$Y$8:$AA$1048576,3,0)</f>
        <v>0</v>
      </c>
      <c r="BI262" s="8">
        <v>0</v>
      </c>
      <c r="BJ262" s="8">
        <f>VLOOKUP($A262,'6.Sep'!$Y$8:$AA$1048576,3,0)</f>
        <v>0</v>
      </c>
      <c r="BK262" s="7">
        <v>0</v>
      </c>
      <c r="BL262" s="8">
        <f>VLOOKUP($A262,'8.Sep'!$Y$8:$AA$1048576,3,0)</f>
        <v>0</v>
      </c>
      <c r="BM262" s="8">
        <f>VLOOKUP($A262,'9.Sep'!$Y$8:$AA$1048576,3,0)</f>
        <v>0</v>
      </c>
      <c r="BN262" s="8">
        <f>VLOOKUP($A262,'10.Sep'!$Y$8:$AA$1048576,3,0)</f>
        <v>0</v>
      </c>
      <c r="BO262" s="8">
        <f>VLOOKUP($A262,'11.Sep'!$Y$8:$AA$1048576,3,0)</f>
        <v>0</v>
      </c>
      <c r="BP262" s="7">
        <f>VLOOKUP($A262,'12.Sep'!$Y$8:$AA$1048576,3,0)</f>
        <v>0</v>
      </c>
      <c r="BQ262" s="7">
        <f>VLOOKUP($A262,'13.Sep'!$Y$8:$AA$1048576,3,0)</f>
        <v>0</v>
      </c>
      <c r="BR262" s="7">
        <f>VLOOKUP($A262,'14.Sep'!$Y$8:$AA$1048576,3,0)</f>
        <v>0</v>
      </c>
      <c r="BS262" s="7">
        <f>VLOOKUP($A262,'15.Sep'!$Y$8:$AA$1048576,3,0)</f>
        <v>0</v>
      </c>
      <c r="BT262" s="7">
        <v>0</v>
      </c>
      <c r="BU262" s="7">
        <f>VLOOKUP($A262,'17.Sep'!$Y$8:$AA$1048576,3,0)</f>
        <v>1E-4</v>
      </c>
      <c r="BV262" s="7">
        <f>VLOOKUP($A262,'18.Sep'!$Y$8:$AA$1048576,3,0)</f>
        <v>0</v>
      </c>
      <c r="BW262" s="7">
        <f>VLOOKUP($A262,'19.Sep'!$Y$8:$AA$1048576,3,0)</f>
        <v>0</v>
      </c>
      <c r="BX262" s="7">
        <f>VLOOKUP($A262,'20.Sep'!$Y$8:$AA$1048576,3,0)</f>
        <v>0</v>
      </c>
      <c r="BY262" s="7">
        <f>VLOOKUP($A262,'21.Sep'!$Y$8:$AA$1048576,3,0)</f>
        <v>1E-4</v>
      </c>
      <c r="BZ262" s="7">
        <f>VLOOKUP($A262,'22.Sep'!$Y$8:$AA$1048576,3,0)</f>
        <v>0</v>
      </c>
      <c r="CA262" s="7">
        <f>VLOOKUP($A262,'23.Sep'!$Y$8:$AA$1048576,3,0)</f>
        <v>0</v>
      </c>
      <c r="CB262" s="7">
        <f>VLOOKUP($A262,'24.Sep'!$Y$8:$AA$1048576,3,0)</f>
        <v>0</v>
      </c>
      <c r="CC262" s="7">
        <f>VLOOKUP($A262,'24.Sep'!$Y$8:$AA$1048576,3,0)</f>
        <v>0</v>
      </c>
    </row>
    <row r="263" spans="1:81" outlineLevel="1">
      <c r="A263" s="6" t="s">
        <v>35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f t="shared" si="72"/>
        <v>0</v>
      </c>
      <c r="I263" s="7">
        <f t="shared" si="73"/>
        <v>0</v>
      </c>
      <c r="J263" s="7">
        <f t="shared" si="74"/>
        <v>0</v>
      </c>
      <c r="K263" s="7">
        <f t="shared" si="70"/>
        <v>0</v>
      </c>
      <c r="L263" s="7">
        <f t="shared" si="71"/>
        <v>0</v>
      </c>
      <c r="M263" s="8">
        <v>0</v>
      </c>
      <c r="N263" s="8">
        <v>0</v>
      </c>
      <c r="O263" s="8">
        <v>0</v>
      </c>
      <c r="P263" s="8">
        <v>0</v>
      </c>
      <c r="Q263" s="8">
        <v>0</v>
      </c>
      <c r="R263" s="8">
        <v>0</v>
      </c>
      <c r="S263" s="8">
        <v>0</v>
      </c>
      <c r="T263" s="8">
        <v>0</v>
      </c>
      <c r="U263" s="8">
        <v>0</v>
      </c>
      <c r="V263" s="8">
        <v>0</v>
      </c>
      <c r="W263" s="8">
        <v>0</v>
      </c>
      <c r="X263" s="8">
        <v>0</v>
      </c>
      <c r="Y263" s="8">
        <v>0</v>
      </c>
      <c r="Z263" s="8">
        <v>0</v>
      </c>
      <c r="AA263" s="8">
        <v>0</v>
      </c>
      <c r="AB263" s="8">
        <v>0</v>
      </c>
      <c r="AC263" s="8">
        <v>0</v>
      </c>
      <c r="AD263" s="8">
        <v>0</v>
      </c>
      <c r="AE263" s="8">
        <v>0</v>
      </c>
      <c r="AF263" s="8">
        <v>0</v>
      </c>
      <c r="AG263" s="8">
        <v>0</v>
      </c>
      <c r="AH263" s="8">
        <v>0</v>
      </c>
      <c r="AI263" s="8">
        <v>0</v>
      </c>
      <c r="AJ263" s="8">
        <v>0</v>
      </c>
      <c r="AK263" s="8">
        <v>0</v>
      </c>
      <c r="AL263" s="8">
        <v>0</v>
      </c>
      <c r="AM263" s="7">
        <v>0</v>
      </c>
      <c r="AN263" s="8">
        <v>0</v>
      </c>
      <c r="AO263" s="8">
        <v>0</v>
      </c>
      <c r="AP263" s="8">
        <v>0</v>
      </c>
      <c r="AQ263" s="8">
        <v>0</v>
      </c>
      <c r="AR263" s="8">
        <v>0</v>
      </c>
      <c r="AS263" s="8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8">
        <v>0</v>
      </c>
      <c r="AZ263" s="8">
        <v>0</v>
      </c>
      <c r="BA263" s="7">
        <v>0</v>
      </c>
      <c r="BB263" s="7">
        <v>0</v>
      </c>
      <c r="BC263" s="8">
        <v>0</v>
      </c>
      <c r="BD263" s="7">
        <v>0</v>
      </c>
      <c r="BE263" s="7">
        <v>0</v>
      </c>
      <c r="BF263" s="7">
        <v>0</v>
      </c>
      <c r="BG263" s="7">
        <v>0</v>
      </c>
      <c r="BH263" s="8">
        <v>0</v>
      </c>
      <c r="BI263" s="8">
        <v>0</v>
      </c>
      <c r="BJ263" s="7">
        <v>0</v>
      </c>
      <c r="BK263" s="7">
        <v>0</v>
      </c>
      <c r="BL263" s="7">
        <v>0</v>
      </c>
      <c r="BM263" s="7">
        <v>0</v>
      </c>
      <c r="BN263" s="7">
        <v>0</v>
      </c>
      <c r="BO263" s="8">
        <v>0</v>
      </c>
      <c r="BP263" s="7">
        <v>0</v>
      </c>
      <c r="BQ263" s="7">
        <v>0</v>
      </c>
      <c r="BR263" s="7">
        <v>0</v>
      </c>
      <c r="BS263" s="7">
        <v>0</v>
      </c>
      <c r="BT263" s="7">
        <v>0</v>
      </c>
      <c r="BU263" s="7">
        <v>0</v>
      </c>
      <c r="BV263" s="7">
        <v>0</v>
      </c>
      <c r="BW263" s="7">
        <v>0</v>
      </c>
      <c r="BX263" s="7">
        <v>0</v>
      </c>
      <c r="BY263" s="7">
        <v>0</v>
      </c>
      <c r="BZ263" s="8">
        <v>0</v>
      </c>
      <c r="CA263" s="7">
        <v>0</v>
      </c>
      <c r="CB263" s="7">
        <v>0</v>
      </c>
      <c r="CC263" s="7">
        <v>0</v>
      </c>
    </row>
    <row r="264" spans="1:81" outlineLevel="1">
      <c r="A264" s="6" t="s">
        <v>36</v>
      </c>
      <c r="B264" s="7">
        <v>5.0000000000000002E-5</v>
      </c>
      <c r="C264" s="7">
        <v>2.8571428571428574E-5</v>
      </c>
      <c r="D264" s="7">
        <v>2.8571428571428574E-5</v>
      </c>
      <c r="E264" s="7">
        <v>1.4285714285714287E-5</v>
      </c>
      <c r="F264" s="7">
        <v>2.8571428571428574E-5</v>
      </c>
      <c r="G264" s="7">
        <v>2.8571428571428574E-5</v>
      </c>
      <c r="H264" s="7">
        <f t="shared" si="72"/>
        <v>1.4285714285714287E-5</v>
      </c>
      <c r="I264" s="7">
        <f t="shared" si="73"/>
        <v>2.8571428571428574E-5</v>
      </c>
      <c r="J264" s="7">
        <f t="shared" si="74"/>
        <v>0</v>
      </c>
      <c r="K264" s="7">
        <f t="shared" ref="K264:K297" si="75">AVERAGE(BW264:CB264)</f>
        <v>0</v>
      </c>
      <c r="L264" s="7">
        <f t="shared" ref="L264:L297" si="76">AVERAGE(BX264:CB264)</f>
        <v>0</v>
      </c>
      <c r="M264" s="8">
        <v>1E-4</v>
      </c>
      <c r="N264" s="8">
        <v>0</v>
      </c>
      <c r="O264" s="8">
        <v>0</v>
      </c>
      <c r="P264" s="8">
        <v>1E-4</v>
      </c>
      <c r="Q264" s="8">
        <v>1E-4</v>
      </c>
      <c r="R264" s="8">
        <v>0</v>
      </c>
      <c r="S264" s="8">
        <v>1E-4</v>
      </c>
      <c r="T264" s="8">
        <v>0</v>
      </c>
      <c r="U264" s="8">
        <v>0</v>
      </c>
      <c r="V264" s="8">
        <v>1E-4</v>
      </c>
      <c r="W264" s="8">
        <v>0</v>
      </c>
      <c r="X264" s="8">
        <v>0</v>
      </c>
      <c r="Y264" s="8">
        <v>0</v>
      </c>
      <c r="Z264" s="8">
        <v>0</v>
      </c>
      <c r="AA264" s="8">
        <v>0</v>
      </c>
      <c r="AB264" s="8">
        <v>0</v>
      </c>
      <c r="AC264" s="8">
        <v>1E-4</v>
      </c>
      <c r="AD264" s="8">
        <v>1E-4</v>
      </c>
      <c r="AE264" s="8">
        <v>0</v>
      </c>
      <c r="AF264" s="8">
        <v>0</v>
      </c>
      <c r="AG264" s="8">
        <v>1E-4</v>
      </c>
      <c r="AH264" s="8">
        <v>0</v>
      </c>
      <c r="AI264" s="8">
        <v>0</v>
      </c>
      <c r="AJ264" s="8">
        <v>0</v>
      </c>
      <c r="AK264" s="8">
        <v>0</v>
      </c>
      <c r="AL264" s="8">
        <v>0</v>
      </c>
      <c r="AM264" s="7">
        <v>0</v>
      </c>
      <c r="AN264" s="7">
        <v>1E-4</v>
      </c>
      <c r="AO264" s="7">
        <v>0</v>
      </c>
      <c r="AP264" s="8">
        <v>0</v>
      </c>
      <c r="AQ264" s="7">
        <v>0</v>
      </c>
      <c r="AR264" s="7">
        <v>1E-4</v>
      </c>
      <c r="AS264" s="7">
        <v>0</v>
      </c>
      <c r="AT264" s="7">
        <v>0</v>
      </c>
      <c r="AU264" s="7">
        <v>0</v>
      </c>
      <c r="AV264" s="7">
        <v>0</v>
      </c>
      <c r="AW264" s="7">
        <v>1E-4</v>
      </c>
      <c r="AX264" s="7">
        <v>1E-4</v>
      </c>
      <c r="AY264" s="7">
        <v>0</v>
      </c>
      <c r="AZ264" s="8">
        <v>0</v>
      </c>
      <c r="BA264" s="7">
        <v>0</v>
      </c>
      <c r="BB264" s="7">
        <v>0</v>
      </c>
      <c r="BC264" s="7">
        <v>0</v>
      </c>
      <c r="BD264" s="7">
        <v>0</v>
      </c>
      <c r="BE264" s="7">
        <f>VLOOKUP($A264,'1.Sep'!$Y$8:$AA$1048576,3,0)</f>
        <v>0</v>
      </c>
      <c r="BF264" s="7">
        <f>VLOOKUP($A264,'2.Sep'!$Y$8:$AA$1048576,3,0)</f>
        <v>0</v>
      </c>
      <c r="BG264" s="7">
        <f>VLOOKUP($A264,'3.Sep'!$Y$8:$AA$1048576,3,0)</f>
        <v>0</v>
      </c>
      <c r="BH264" s="8">
        <f>VLOOKUP($A264,'4.Sep'!$Y$8:$AA$1048576,3,0)</f>
        <v>1E-4</v>
      </c>
      <c r="BI264" s="8">
        <f>VLOOKUP($A264,'5.Sep'!$Y$8:$AA$1048576,3,0)</f>
        <v>1E-4</v>
      </c>
      <c r="BJ264" s="8">
        <f>VLOOKUP($A264,'6.Sep'!$Y$8:$AA$1048576,3,0)</f>
        <v>0</v>
      </c>
      <c r="BK264" s="8">
        <f>VLOOKUP($A264,'7.Sep'!$Y$8:$AA$1048576,3,0)</f>
        <v>0</v>
      </c>
      <c r="BL264" s="7">
        <v>0</v>
      </c>
      <c r="BM264" s="8">
        <f>VLOOKUP($A264,'9.Sep'!$Y$8:$AA$1048576,3,0)</f>
        <v>0</v>
      </c>
      <c r="BN264" s="8">
        <f>VLOOKUP($A264,'10.Sep'!$Y$8:$AA$1048576,3,0)</f>
        <v>0</v>
      </c>
      <c r="BO264" s="8">
        <f>VLOOKUP($A264,'11.Sep'!$Y$8:$AA$1048576,3,0)</f>
        <v>1E-4</v>
      </c>
      <c r="BP264" s="7">
        <f>VLOOKUP($A264,'12.Sep'!$Y$8:$AA$1048576,3,0)</f>
        <v>0</v>
      </c>
      <c r="BQ264" s="7">
        <f>VLOOKUP($A264,'13.Sep'!$Y$8:$AA$1048576,3,0)</f>
        <v>0</v>
      </c>
      <c r="BR264" s="7">
        <v>0</v>
      </c>
      <c r="BS264" s="7">
        <f>VLOOKUP($A264,'15.Sep'!$Y$8:$AA$1048576,3,0)</f>
        <v>0</v>
      </c>
      <c r="BT264" s="7">
        <v>0</v>
      </c>
      <c r="BU264" s="7">
        <f>VLOOKUP($A264,'17.Sep'!$Y$8:$AA$1048576,3,0)</f>
        <v>0</v>
      </c>
      <c r="BV264" s="7">
        <f>VLOOKUP($A264,'18.Sep'!$Y$8:$AA$1048576,3,0)</f>
        <v>0</v>
      </c>
      <c r="BW264" s="7">
        <f>VLOOKUP($A264,'19.Sep'!$Y$8:$AA$1048576,3,0)</f>
        <v>0</v>
      </c>
      <c r="BX264" s="7">
        <f>VLOOKUP($A264,'20.Sep'!$Y$8:$AA$1048576,3,0)</f>
        <v>0</v>
      </c>
      <c r="BY264" s="7">
        <f>VLOOKUP($A264,'21.Sep'!$Y$8:$AA$1048576,3,0)</f>
        <v>0</v>
      </c>
      <c r="BZ264" s="7">
        <f>VLOOKUP($A264,'22.Sep'!$Y$8:$AA$1048576,3,0)</f>
        <v>0</v>
      </c>
      <c r="CA264" s="7">
        <f>VLOOKUP($A264,'23.Sep'!$Y$8:$AA$1048576,3,0)</f>
        <v>0</v>
      </c>
      <c r="CB264" s="7">
        <f>VLOOKUP($A264,'24.Sep'!$Y$8:$AA$1048576,3,0)</f>
        <v>0</v>
      </c>
      <c r="CC264" s="7">
        <f>VLOOKUP($A264,'24.Sep'!$Y$8:$AA$1048576,3,0)</f>
        <v>0</v>
      </c>
    </row>
    <row r="265" spans="1:81" outlineLevel="1">
      <c r="A265" s="6" t="s">
        <v>37</v>
      </c>
      <c r="B265" s="7">
        <v>1.6500000000000002E-3</v>
      </c>
      <c r="C265" s="7">
        <v>2.2857142857142859E-3</v>
      </c>
      <c r="D265" s="7">
        <v>8.9999999999999987E-4</v>
      </c>
      <c r="E265" s="7">
        <v>4.285714285714286E-4</v>
      </c>
      <c r="F265" s="7">
        <v>2.8571428571428574E-4</v>
      </c>
      <c r="G265" s="7">
        <v>5.7142857142857147E-4</v>
      </c>
      <c r="H265" s="7">
        <f t="shared" si="72"/>
        <v>2.9999999999999997E-4</v>
      </c>
      <c r="I265" s="7">
        <f t="shared" si="73"/>
        <v>2.5714285714285715E-4</v>
      </c>
      <c r="J265" s="7">
        <f t="shared" si="74"/>
        <v>1.7142857142857145E-4</v>
      </c>
      <c r="K265" s="7">
        <f t="shared" si="75"/>
        <v>2.1666666666666666E-4</v>
      </c>
      <c r="L265" s="7">
        <f t="shared" si="76"/>
        <v>2.2000000000000001E-4</v>
      </c>
      <c r="M265" s="8">
        <v>1.2999999999999999E-3</v>
      </c>
      <c r="N265" s="8">
        <v>1.8E-3</v>
      </c>
      <c r="O265" s="8">
        <v>1.4E-3</v>
      </c>
      <c r="P265" s="8">
        <v>1.1000000000000001E-3</v>
      </c>
      <c r="Q265" s="8">
        <v>2.3999999999999998E-3</v>
      </c>
      <c r="R265" s="8">
        <v>1.9E-3</v>
      </c>
      <c r="S265" s="8">
        <v>1.1000000000000001E-3</v>
      </c>
      <c r="T265" s="8">
        <v>2.3999999999999998E-3</v>
      </c>
      <c r="U265" s="8">
        <v>2.8E-3</v>
      </c>
      <c r="V265" s="8">
        <v>1.6999999999999999E-3</v>
      </c>
      <c r="W265" s="8">
        <v>2.5999999999999999E-3</v>
      </c>
      <c r="X265" s="8">
        <v>2.5999999999999999E-3</v>
      </c>
      <c r="Y265" s="8">
        <v>2.8E-3</v>
      </c>
      <c r="Z265" s="8">
        <v>2E-3</v>
      </c>
      <c r="AA265" s="8">
        <v>1.5E-3</v>
      </c>
      <c r="AB265" s="8">
        <v>1.1000000000000001E-3</v>
      </c>
      <c r="AC265" s="8">
        <v>8.9999999999999998E-4</v>
      </c>
      <c r="AD265" s="8">
        <v>4.0000000000000002E-4</v>
      </c>
      <c r="AE265" s="8">
        <v>2.0000000000000001E-4</v>
      </c>
      <c r="AF265" s="8">
        <v>2.0000000000000001E-4</v>
      </c>
      <c r="AG265" s="8">
        <v>1E-4</v>
      </c>
      <c r="AH265" s="8">
        <v>1E-4</v>
      </c>
      <c r="AI265" s="8">
        <v>1E-4</v>
      </c>
      <c r="AJ265" s="8">
        <v>5.9999999999999995E-4</v>
      </c>
      <c r="AK265" s="8">
        <v>8.0000000000000004E-4</v>
      </c>
      <c r="AL265" s="8">
        <v>6.9999999999999999E-4</v>
      </c>
      <c r="AM265" s="7">
        <v>5.9999999999999995E-4</v>
      </c>
      <c r="AN265" s="7">
        <v>5.0000000000000001E-4</v>
      </c>
      <c r="AO265" s="7">
        <v>4.0000000000000002E-4</v>
      </c>
      <c r="AP265" s="7">
        <v>2.9999999999999997E-4</v>
      </c>
      <c r="AQ265" s="7">
        <v>2.0000000000000001E-4</v>
      </c>
      <c r="AR265" s="7">
        <v>2.0000000000000001E-4</v>
      </c>
      <c r="AS265" s="7">
        <v>2.0000000000000001E-4</v>
      </c>
      <c r="AT265" s="7">
        <v>2.0000000000000001E-4</v>
      </c>
      <c r="AU265" s="7">
        <v>5.0000000000000001E-4</v>
      </c>
      <c r="AV265" s="7">
        <v>6.9999999999999999E-4</v>
      </c>
      <c r="AW265" s="7">
        <v>6.9999999999999999E-4</v>
      </c>
      <c r="AX265" s="7">
        <v>5.0000000000000001E-4</v>
      </c>
      <c r="AY265" s="7">
        <v>4.0000000000000002E-4</v>
      </c>
      <c r="AZ265" s="7">
        <v>5.9999999999999995E-4</v>
      </c>
      <c r="BA265" s="7">
        <v>5.9999999999999995E-4</v>
      </c>
      <c r="BB265" s="7">
        <v>6.9999999999999999E-4</v>
      </c>
      <c r="BC265" s="7">
        <v>2.9999999999999997E-4</v>
      </c>
      <c r="BD265" s="7">
        <v>2.9999999999999997E-4</v>
      </c>
      <c r="BE265" s="7">
        <f>VLOOKUP($A265,'1.Sep'!$Y$8:$AA$1048576,3,0)</f>
        <v>2.0000000000000001E-4</v>
      </c>
      <c r="BF265" s="7">
        <f>VLOOKUP($A265,'2.Sep'!$Y$8:$AA$1048576,3,0)</f>
        <v>2.9999999999999997E-4</v>
      </c>
      <c r="BG265" s="7">
        <f>VLOOKUP($A265,'3.Sep'!$Y$8:$AA$1048576,3,0)</f>
        <v>1E-4</v>
      </c>
      <c r="BH265" s="8">
        <f>VLOOKUP($A265,'4.Sep'!$Y$8:$AA$1048576,3,0)</f>
        <v>2.0000000000000001E-4</v>
      </c>
      <c r="BI265" s="8">
        <f>VLOOKUP($A265,'5.Sep'!$Y$8:$AA$1048576,3,0)</f>
        <v>2.0000000000000001E-4</v>
      </c>
      <c r="BJ265" s="8">
        <f>VLOOKUP($A265,'6.Sep'!$Y$8:$AA$1048576,3,0)</f>
        <v>2.0000000000000001E-4</v>
      </c>
      <c r="BK265" s="8">
        <f>VLOOKUP($A265,'7.Sep'!$Y$8:$AA$1048576,3,0)</f>
        <v>2.9999999999999997E-4</v>
      </c>
      <c r="BL265" s="8">
        <f>VLOOKUP($A265,'8.Sep'!$Y$8:$AA$1048576,3,0)</f>
        <v>2.9999999999999997E-4</v>
      </c>
      <c r="BM265" s="8">
        <f>VLOOKUP($A265,'9.Sep'!$Y$8:$AA$1048576,3,0)</f>
        <v>1E-4</v>
      </c>
      <c r="BN265" s="8">
        <f>VLOOKUP($A265,'10.Sep'!$Y$8:$AA$1048576,3,0)</f>
        <v>2.9999999999999997E-4</v>
      </c>
      <c r="BO265" s="8">
        <f>VLOOKUP($A265,'11.Sep'!$Y$8:$AA$1048576,3,0)</f>
        <v>4.0000000000000002E-4</v>
      </c>
      <c r="BP265" s="7">
        <f>VLOOKUP($A265,'12.Sep'!$Y$8:$AA$1048576,3,0)</f>
        <v>2.0000000000000001E-4</v>
      </c>
      <c r="BQ265" s="7">
        <f>VLOOKUP($A265,'13.Sep'!$Y$8:$AA$1048576,3,0)</f>
        <v>1E-4</v>
      </c>
      <c r="BR265" s="7">
        <f>VLOOKUP($A265,'14.Sep'!$Y$8:$AA$1048576,3,0)</f>
        <v>1E-4</v>
      </c>
      <c r="BS265" s="7">
        <f>VLOOKUP($A265,'15.Sep'!$Y$8:$AA$1048576,3,0)</f>
        <v>2.9999999999999997E-4</v>
      </c>
      <c r="BT265" s="7">
        <f>VLOOKUP($A265,'16.Sep'!$Y$8:$AA$1048576,3,0)</f>
        <v>1E-4</v>
      </c>
      <c r="BU265" s="7">
        <f>VLOOKUP($A265,'17.Sep'!$Y$8:$AA$1048576,3,0)</f>
        <v>2.0000000000000001E-4</v>
      </c>
      <c r="BV265" s="7">
        <f>VLOOKUP($A265,'18.Sep'!$Y$8:$AA$1048576,3,0)</f>
        <v>2.0000000000000001E-4</v>
      </c>
      <c r="BW265" s="7">
        <f>VLOOKUP($A265,'19.Sep'!$Y$8:$AA$1048576,3,0)</f>
        <v>2.0000000000000001E-4</v>
      </c>
      <c r="BX265" s="7">
        <f>VLOOKUP($A265,'20.Sep'!$Y$8:$AA$1048576,3,0)</f>
        <v>2.0000000000000001E-4</v>
      </c>
      <c r="BY265" s="7">
        <f>VLOOKUP($A265,'21.Sep'!$Y$8:$AA$1048576,3,0)</f>
        <v>2.0000000000000001E-4</v>
      </c>
      <c r="BZ265" s="7">
        <f>VLOOKUP($A265,'22.Sep'!$Y$8:$AA$1048576,3,0)</f>
        <v>2.0000000000000001E-4</v>
      </c>
      <c r="CA265" s="7">
        <f>VLOOKUP($A265,'23.Sep'!$Y$8:$AA$1048576,3,0)</f>
        <v>2.0000000000000001E-4</v>
      </c>
      <c r="CB265" s="7">
        <f>VLOOKUP($A265,'24.Sep'!$Y$8:$AA$1048576,3,0)</f>
        <v>2.9999999999999997E-4</v>
      </c>
      <c r="CC265" s="7">
        <f>VLOOKUP($A265,'24.Sep'!$Y$8:$AA$1048576,3,0)</f>
        <v>2.9999999999999997E-4</v>
      </c>
    </row>
    <row r="266" spans="1:81" outlineLevel="1">
      <c r="A266" s="6" t="s">
        <v>38</v>
      </c>
      <c r="B266" s="7">
        <v>3.3333333333333335E-5</v>
      </c>
      <c r="C266" s="7">
        <v>1.4285714285714287E-5</v>
      </c>
      <c r="D266" s="7">
        <v>4.2857142857142863E-5</v>
      </c>
      <c r="E266" s="7">
        <v>7.1428571428571434E-5</v>
      </c>
      <c r="F266" s="7">
        <v>0</v>
      </c>
      <c r="G266" s="7">
        <v>5.7142857142857148E-5</v>
      </c>
      <c r="H266" s="7">
        <f t="shared" si="72"/>
        <v>7.1428571428571434E-5</v>
      </c>
      <c r="I266" s="7">
        <f t="shared" si="73"/>
        <v>1.4285714285714287E-5</v>
      </c>
      <c r="J266" s="7">
        <f t="shared" si="74"/>
        <v>2.8571428571428574E-5</v>
      </c>
      <c r="K266" s="7">
        <f t="shared" si="75"/>
        <v>5.0000000000000002E-5</v>
      </c>
      <c r="L266" s="7">
        <f t="shared" si="76"/>
        <v>6.0000000000000008E-5</v>
      </c>
      <c r="M266" s="8">
        <v>0</v>
      </c>
      <c r="N266" s="8">
        <v>0</v>
      </c>
      <c r="O266" s="8">
        <v>0</v>
      </c>
      <c r="P266" s="8">
        <v>0</v>
      </c>
      <c r="Q266" s="8">
        <v>2.0000000000000001E-4</v>
      </c>
      <c r="R266" s="8">
        <v>0</v>
      </c>
      <c r="S266" s="8">
        <v>0</v>
      </c>
      <c r="T266" s="8">
        <v>1E-4</v>
      </c>
      <c r="U266" s="8">
        <v>0</v>
      </c>
      <c r="V266" s="8">
        <v>0</v>
      </c>
      <c r="W266" s="8">
        <v>0</v>
      </c>
      <c r="X266" s="8">
        <v>0</v>
      </c>
      <c r="Y266" s="8">
        <v>0</v>
      </c>
      <c r="Z266" s="8">
        <v>1E-4</v>
      </c>
      <c r="AA266" s="8">
        <v>1E-4</v>
      </c>
      <c r="AB266" s="8">
        <v>1E-4</v>
      </c>
      <c r="AC266" s="8">
        <v>0</v>
      </c>
      <c r="AD266" s="8">
        <v>0</v>
      </c>
      <c r="AE266" s="8">
        <v>0</v>
      </c>
      <c r="AF266" s="8">
        <v>0</v>
      </c>
      <c r="AG266" s="8">
        <v>1E-4</v>
      </c>
      <c r="AH266" s="8">
        <v>1E-4</v>
      </c>
      <c r="AI266" s="8">
        <v>1E-4</v>
      </c>
      <c r="AJ266" s="8">
        <v>1E-4</v>
      </c>
      <c r="AK266" s="8">
        <v>1E-4</v>
      </c>
      <c r="AL266" s="8">
        <v>0</v>
      </c>
      <c r="AM266" s="7">
        <v>0</v>
      </c>
      <c r="AN266" s="7">
        <v>0</v>
      </c>
      <c r="AO266" s="8">
        <v>0</v>
      </c>
      <c r="AP266" s="8">
        <v>0</v>
      </c>
      <c r="AQ266" s="7">
        <v>0</v>
      </c>
      <c r="AR266" s="8">
        <v>0</v>
      </c>
      <c r="AS266" s="7">
        <v>0</v>
      </c>
      <c r="AT266" s="7">
        <v>0</v>
      </c>
      <c r="AU266" s="7">
        <v>1E-4</v>
      </c>
      <c r="AV266" s="7">
        <v>1E-4</v>
      </c>
      <c r="AW266" s="7">
        <v>1E-4</v>
      </c>
      <c r="AX266" s="7">
        <v>0</v>
      </c>
      <c r="AY266" s="7">
        <v>0</v>
      </c>
      <c r="AZ266" s="7">
        <v>0</v>
      </c>
      <c r="BA266" s="7">
        <v>1E-4</v>
      </c>
      <c r="BB266" s="7">
        <v>1E-4</v>
      </c>
      <c r="BC266" s="7">
        <v>1E-4</v>
      </c>
      <c r="BD266" s="7">
        <v>1E-4</v>
      </c>
      <c r="BE266" s="7">
        <f>VLOOKUP($A266,'1.Sep'!$Y$8:$AA$1048576,3,0)</f>
        <v>0</v>
      </c>
      <c r="BF266" s="7">
        <f>VLOOKUP($A266,'2.Sep'!$Y$8:$AA$1048576,3,0)</f>
        <v>1E-4</v>
      </c>
      <c r="BG266" s="7">
        <f>VLOOKUP($A266,'3.Sep'!$Y$8:$AA$1048576,3,0)</f>
        <v>0</v>
      </c>
      <c r="BH266" s="8">
        <f>VLOOKUP($A266,'4.Sep'!$Y$8:$AA$1048576,3,0)</f>
        <v>1E-4</v>
      </c>
      <c r="BI266" s="8">
        <f>VLOOKUP($A266,'5.Sep'!$Y$8:$AA$1048576,3,0)</f>
        <v>0</v>
      </c>
      <c r="BJ266" s="7">
        <v>0</v>
      </c>
      <c r="BK266" s="8">
        <f>VLOOKUP($A266,'7.Sep'!$Y$8:$AA$1048576,3,0)</f>
        <v>0</v>
      </c>
      <c r="BL266" s="8">
        <f>VLOOKUP($A266,'8.Sep'!$Y$8:$AA$1048576,3,0)</f>
        <v>0</v>
      </c>
      <c r="BM266" s="8">
        <f>VLOOKUP($A266,'9.Sep'!$Y$8:$AA$1048576,3,0)</f>
        <v>0</v>
      </c>
      <c r="BN266" s="8">
        <f>VLOOKUP($A266,'10.Sep'!$Y$8:$AA$1048576,3,0)</f>
        <v>0</v>
      </c>
      <c r="BO266" s="8">
        <f>VLOOKUP($A266,'11.Sep'!$Y$8:$AA$1048576,3,0)</f>
        <v>1E-4</v>
      </c>
      <c r="BP266" s="7">
        <f>VLOOKUP($A266,'12.Sep'!$Y$8:$AA$1048576,3,0)</f>
        <v>0</v>
      </c>
      <c r="BQ266" s="7">
        <f>VLOOKUP($A266,'13.Sep'!$Y$8:$AA$1048576,3,0)</f>
        <v>1E-4</v>
      </c>
      <c r="BR266" s="7">
        <f>VLOOKUP($A266,'14.Sep'!$Y$8:$AA$1048576,3,0)</f>
        <v>0</v>
      </c>
      <c r="BS266" s="7">
        <f>VLOOKUP($A266,'15.Sep'!$Y$8:$AA$1048576,3,0)</f>
        <v>0</v>
      </c>
      <c r="BT266" s="7">
        <f>VLOOKUP($A266,'16.Sep'!$Y$8:$AA$1048576,3,0)</f>
        <v>0</v>
      </c>
      <c r="BU266" s="7">
        <f>VLOOKUP($A266,'17.Sep'!$Y$8:$AA$1048576,3,0)</f>
        <v>1E-4</v>
      </c>
      <c r="BV266" s="7">
        <f>VLOOKUP($A266,'18.Sep'!$Y$8:$AA$1048576,3,0)</f>
        <v>0</v>
      </c>
      <c r="BW266" s="7">
        <f>VLOOKUP($A266,'19.Sep'!$Y$8:$AA$1048576,3,0)</f>
        <v>0</v>
      </c>
      <c r="BX266" s="7">
        <f>VLOOKUP($A266,'20.Sep'!$Y$8:$AA$1048576,3,0)</f>
        <v>0</v>
      </c>
      <c r="BY266" s="7">
        <f>VLOOKUP($A266,'21.Sep'!$Y$8:$AA$1048576,3,0)</f>
        <v>0</v>
      </c>
      <c r="BZ266" s="7">
        <f>VLOOKUP($A266,'22.Sep'!$Y$8:$AA$1048576,3,0)</f>
        <v>1E-4</v>
      </c>
      <c r="CA266" s="7">
        <f>VLOOKUP($A266,'23.Sep'!$Y$8:$AA$1048576,3,0)</f>
        <v>1E-4</v>
      </c>
      <c r="CB266" s="7">
        <f>VLOOKUP($A266,'24.Sep'!$Y$8:$AA$1048576,3,0)</f>
        <v>1E-4</v>
      </c>
      <c r="CC266" s="7">
        <f>VLOOKUP($A266,'24.Sep'!$Y$8:$AA$1048576,3,0)</f>
        <v>1E-4</v>
      </c>
    </row>
    <row r="267" spans="1:81" outlineLevel="1">
      <c r="A267" s="6" t="s">
        <v>39</v>
      </c>
      <c r="B267" s="7">
        <v>6.666666666666667E-5</v>
      </c>
      <c r="C267" s="7">
        <v>1.4285714285714287E-5</v>
      </c>
      <c r="D267" s="7">
        <v>1.4285714285714287E-5</v>
      </c>
      <c r="E267" s="7">
        <v>1.4285714285714287E-5</v>
      </c>
      <c r="F267" s="7">
        <v>4.2857142857142863E-5</v>
      </c>
      <c r="G267" s="7">
        <v>0</v>
      </c>
      <c r="H267" s="7">
        <f t="shared" si="72"/>
        <v>2.8571428571428574E-5</v>
      </c>
      <c r="I267" s="7">
        <f t="shared" si="73"/>
        <v>5.7142857142857148E-5</v>
      </c>
      <c r="J267" s="7">
        <f t="shared" si="74"/>
        <v>4.2857142857142863E-5</v>
      </c>
      <c r="K267" s="7">
        <f t="shared" si="75"/>
        <v>0</v>
      </c>
      <c r="L267" s="7">
        <f t="shared" si="76"/>
        <v>0</v>
      </c>
      <c r="M267" s="8">
        <v>0</v>
      </c>
      <c r="N267" s="8">
        <v>0</v>
      </c>
      <c r="O267" s="8">
        <v>1E-4</v>
      </c>
      <c r="P267" s="8">
        <v>1E-4</v>
      </c>
      <c r="Q267" s="8">
        <v>2.0000000000000001E-4</v>
      </c>
      <c r="R267" s="8">
        <v>0</v>
      </c>
      <c r="S267" s="8">
        <v>0</v>
      </c>
      <c r="T267" s="8">
        <v>0</v>
      </c>
      <c r="U267" s="8">
        <v>0</v>
      </c>
      <c r="V267" s="8">
        <v>0</v>
      </c>
      <c r="W267" s="8">
        <v>0</v>
      </c>
      <c r="X267" s="8">
        <v>0</v>
      </c>
      <c r="Y267" s="8">
        <v>1E-4</v>
      </c>
      <c r="Z267" s="8">
        <v>0</v>
      </c>
      <c r="AA267" s="8">
        <v>1E-4</v>
      </c>
      <c r="AB267" s="8">
        <v>0</v>
      </c>
      <c r="AC267" s="8">
        <v>0</v>
      </c>
      <c r="AD267" s="8">
        <v>0</v>
      </c>
      <c r="AE267" s="8">
        <v>0</v>
      </c>
      <c r="AF267" s="8">
        <v>0</v>
      </c>
      <c r="AG267" s="8">
        <v>0</v>
      </c>
      <c r="AH267" s="8">
        <v>0</v>
      </c>
      <c r="AI267" s="8">
        <v>0</v>
      </c>
      <c r="AJ267" s="8">
        <v>0</v>
      </c>
      <c r="AK267" s="8">
        <v>0</v>
      </c>
      <c r="AL267" s="8">
        <v>1E-4</v>
      </c>
      <c r="AM267" s="7">
        <v>0</v>
      </c>
      <c r="AN267" s="7">
        <v>1E-4</v>
      </c>
      <c r="AO267" s="7">
        <v>0</v>
      </c>
      <c r="AP267" s="7">
        <v>0</v>
      </c>
      <c r="AQ267" s="7">
        <v>0</v>
      </c>
      <c r="AR267" s="7">
        <v>1E-4</v>
      </c>
      <c r="AS267" s="7">
        <v>0</v>
      </c>
      <c r="AT267" s="7">
        <v>1E-4</v>
      </c>
      <c r="AU267" s="7">
        <v>0</v>
      </c>
      <c r="AV267" s="7">
        <v>0</v>
      </c>
      <c r="AW267" s="7">
        <v>0</v>
      </c>
      <c r="AX267" s="8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 s="7">
        <v>1E-4</v>
      </c>
      <c r="BE267" s="7">
        <v>0</v>
      </c>
      <c r="BF267" s="7">
        <f>VLOOKUP($A267,'2.Sep'!$Y$8:$AA$1048576,3,0)</f>
        <v>0</v>
      </c>
      <c r="BG267" s="7">
        <f>VLOOKUP($A267,'3.Sep'!$Y$8:$AA$1048576,3,0)</f>
        <v>1E-4</v>
      </c>
      <c r="BH267" s="8">
        <f>VLOOKUP($A267,'4.Sep'!$Y$8:$AA$1048576,3,0)</f>
        <v>0</v>
      </c>
      <c r="BI267" s="8">
        <f>VLOOKUP($A267,'5.Sep'!$Y$8:$AA$1048576,3,0)</f>
        <v>1E-4</v>
      </c>
      <c r="BJ267" s="8">
        <f>VLOOKUP($A267,'6.Sep'!$Y$8:$AA$1048576,3,0)</f>
        <v>1E-4</v>
      </c>
      <c r="BK267" s="8">
        <f>VLOOKUP($A267,'7.Sep'!$Y$8:$AA$1048576,3,0)</f>
        <v>0</v>
      </c>
      <c r="BL267" s="8">
        <f>VLOOKUP($A267,'8.Sep'!$Y$8:$AA$1048576,3,0)</f>
        <v>0</v>
      </c>
      <c r="BM267" s="8">
        <f>VLOOKUP($A267,'9.Sep'!$Y$8:$AA$1048576,3,0)</f>
        <v>1E-4</v>
      </c>
      <c r="BN267" s="8">
        <f>VLOOKUP($A267,'10.Sep'!$Y$8:$AA$1048576,3,0)</f>
        <v>1E-4</v>
      </c>
      <c r="BO267" s="8">
        <f>VLOOKUP($A267,'11.Sep'!$Y$8:$AA$1048576,3,0)</f>
        <v>0</v>
      </c>
      <c r="BP267" s="7">
        <f>VLOOKUP($A267,'12.Sep'!$Y$8:$AA$1048576,3,0)</f>
        <v>0</v>
      </c>
      <c r="BQ267" s="7">
        <v>0</v>
      </c>
      <c r="BR267" s="7">
        <f>VLOOKUP($A267,'14.Sep'!$Y$8:$AA$1048576,3,0)</f>
        <v>0</v>
      </c>
      <c r="BS267" s="7">
        <f>VLOOKUP($A267,'15.Sep'!$Y$8:$AA$1048576,3,0)</f>
        <v>1E-4</v>
      </c>
      <c r="BT267" s="7">
        <f>VLOOKUP($A267,'16.Sep'!$Y$8:$AA$1048576,3,0)</f>
        <v>0</v>
      </c>
      <c r="BU267" s="7">
        <f>VLOOKUP($A267,'17.Sep'!$Y$8:$AA$1048576,3,0)</f>
        <v>1E-4</v>
      </c>
      <c r="BV267" s="7">
        <f>VLOOKUP($A267,'18.Sep'!$Y$8:$AA$1048576,3,0)</f>
        <v>1E-4</v>
      </c>
      <c r="BW267" s="7">
        <f>VLOOKUP($A267,'19.Sep'!$Y$8:$AA$1048576,3,0)</f>
        <v>0</v>
      </c>
      <c r="BX267" s="7">
        <f>VLOOKUP($A267,'20.Sep'!$Y$8:$AA$1048576,3,0)</f>
        <v>0</v>
      </c>
      <c r="BY267" s="7">
        <f>VLOOKUP($A267,'21.Sep'!$Y$8:$AA$1048576,3,0)</f>
        <v>0</v>
      </c>
      <c r="BZ267" s="7">
        <f>VLOOKUP($A267,'22.Sep'!$Y$8:$AA$1048576,3,0)</f>
        <v>0</v>
      </c>
      <c r="CA267" s="7">
        <f>VLOOKUP($A267,'23.Sep'!$Y$8:$AA$1048576,3,0)</f>
        <v>0</v>
      </c>
      <c r="CB267" s="7">
        <f>VLOOKUP($A267,'24.Sep'!$Y$8:$AA$1048576,3,0)</f>
        <v>0</v>
      </c>
      <c r="CC267" s="7">
        <f>VLOOKUP($A267,'24.Sep'!$Y$8:$AA$1048576,3,0)</f>
        <v>0</v>
      </c>
    </row>
    <row r="268" spans="1:81" outlineLevel="1">
      <c r="A268" s="6" t="s">
        <v>40</v>
      </c>
      <c r="B268" s="7">
        <v>3.3333333333333335E-5</v>
      </c>
      <c r="C268" s="7">
        <v>2.8571428571428574E-5</v>
      </c>
      <c r="D268" s="7">
        <v>8.5714285714285726E-5</v>
      </c>
      <c r="E268" s="7">
        <v>5.7142857142857148E-5</v>
      </c>
      <c r="F268" s="7">
        <v>5.7142857142857148E-5</v>
      </c>
      <c r="G268" s="7">
        <v>1.1428571428571431E-4</v>
      </c>
      <c r="H268" s="7">
        <f t="shared" si="72"/>
        <v>2.8571428571428574E-5</v>
      </c>
      <c r="I268" s="7">
        <f t="shared" si="73"/>
        <v>1E-4</v>
      </c>
      <c r="J268" s="7">
        <f t="shared" si="74"/>
        <v>1.1428571428571431E-4</v>
      </c>
      <c r="K268" s="7">
        <f t="shared" si="75"/>
        <v>1.3333333333333334E-4</v>
      </c>
      <c r="L268" s="7">
        <f t="shared" si="76"/>
        <v>1.3999999999999999E-4</v>
      </c>
      <c r="M268" s="8">
        <v>1E-4</v>
      </c>
      <c r="N268" s="8">
        <v>0</v>
      </c>
      <c r="O268" s="8">
        <v>0</v>
      </c>
      <c r="P268" s="8">
        <v>0</v>
      </c>
      <c r="Q268" s="8">
        <v>0</v>
      </c>
      <c r="R268" s="8">
        <v>1E-4</v>
      </c>
      <c r="S268" s="8">
        <v>0</v>
      </c>
      <c r="T268" s="8">
        <v>0</v>
      </c>
      <c r="U268" s="8">
        <v>1E-4</v>
      </c>
      <c r="V268" s="8">
        <v>0</v>
      </c>
      <c r="W268" s="8">
        <v>0</v>
      </c>
      <c r="X268" s="8">
        <v>0</v>
      </c>
      <c r="Y268" s="8">
        <v>1E-4</v>
      </c>
      <c r="Z268" s="8">
        <v>0</v>
      </c>
      <c r="AA268" s="8">
        <v>1E-4</v>
      </c>
      <c r="AB268" s="8">
        <v>1E-4</v>
      </c>
      <c r="AC268" s="8">
        <v>1E-4</v>
      </c>
      <c r="AD268" s="8">
        <v>1E-4</v>
      </c>
      <c r="AE268" s="8">
        <v>2.0000000000000001E-4</v>
      </c>
      <c r="AF268" s="8">
        <v>0</v>
      </c>
      <c r="AG268" s="8">
        <v>0</v>
      </c>
      <c r="AH268" s="8">
        <v>0</v>
      </c>
      <c r="AI268" s="8">
        <v>0</v>
      </c>
      <c r="AJ268" s="8">
        <v>1E-4</v>
      </c>
      <c r="AK268" s="8">
        <v>1E-4</v>
      </c>
      <c r="AL268" s="8">
        <v>1E-4</v>
      </c>
      <c r="AM268" s="7">
        <v>1E-4</v>
      </c>
      <c r="AN268" s="8">
        <v>0</v>
      </c>
      <c r="AO268" s="7">
        <v>0</v>
      </c>
      <c r="AP268" s="8">
        <v>0</v>
      </c>
      <c r="AQ268" s="7">
        <v>1E-4</v>
      </c>
      <c r="AR268" s="7">
        <v>1E-4</v>
      </c>
      <c r="AS268" s="7">
        <v>1E-4</v>
      </c>
      <c r="AT268" s="7">
        <v>1E-4</v>
      </c>
      <c r="AU268" s="7">
        <v>2.0000000000000001E-4</v>
      </c>
      <c r="AV268" s="7">
        <v>2.0000000000000001E-4</v>
      </c>
      <c r="AW268" s="7">
        <v>1E-4</v>
      </c>
      <c r="AX268" s="7">
        <v>1E-4</v>
      </c>
      <c r="AY268" s="7">
        <v>0</v>
      </c>
      <c r="AZ268" s="7">
        <v>1E-4</v>
      </c>
      <c r="BA268" s="7">
        <v>1E-4</v>
      </c>
      <c r="BB268" s="7">
        <v>0</v>
      </c>
      <c r="BC268" s="7">
        <v>0</v>
      </c>
      <c r="BD268" s="7">
        <v>0</v>
      </c>
      <c r="BE268" s="7">
        <f>VLOOKUP($A268,'1.Sep'!$Y$8:$AA$1048576,3,0)</f>
        <v>0</v>
      </c>
      <c r="BF268" s="7">
        <f>VLOOKUP($A268,'2.Sep'!$Y$8:$AA$1048576,3,0)</f>
        <v>0</v>
      </c>
      <c r="BG268" s="7">
        <f>VLOOKUP($A268,'3.Sep'!$Y$8:$AA$1048576,3,0)</f>
        <v>1E-4</v>
      </c>
      <c r="BH268" s="8">
        <f>VLOOKUP($A268,'4.Sep'!$Y$8:$AA$1048576,3,0)</f>
        <v>1E-4</v>
      </c>
      <c r="BI268" s="8">
        <f>VLOOKUP($A268,'5.Sep'!$Y$8:$AA$1048576,3,0)</f>
        <v>1E-4</v>
      </c>
      <c r="BJ268" s="8">
        <f>VLOOKUP($A268,'6.Sep'!$Y$8:$AA$1048576,3,0)</f>
        <v>1E-4</v>
      </c>
      <c r="BK268" s="8">
        <f>VLOOKUP($A268,'7.Sep'!$Y$8:$AA$1048576,3,0)</f>
        <v>1E-4</v>
      </c>
      <c r="BL268" s="8">
        <f>VLOOKUP($A268,'8.Sep'!$Y$8:$AA$1048576,3,0)</f>
        <v>1E-4</v>
      </c>
      <c r="BM268" s="8">
        <f>VLOOKUP($A268,'9.Sep'!$Y$8:$AA$1048576,3,0)</f>
        <v>0</v>
      </c>
      <c r="BN268" s="8">
        <f>VLOOKUP($A268,'10.Sep'!$Y$8:$AA$1048576,3,0)</f>
        <v>1E-4</v>
      </c>
      <c r="BO268" s="8">
        <f>VLOOKUP($A268,'11.Sep'!$Y$8:$AA$1048576,3,0)</f>
        <v>2.0000000000000001E-4</v>
      </c>
      <c r="BP268" s="7">
        <f>VLOOKUP($A268,'12.Sep'!$Y$8:$AA$1048576,3,0)</f>
        <v>1E-4</v>
      </c>
      <c r="BQ268" s="7">
        <f>VLOOKUP($A268,'13.Sep'!$Y$8:$AA$1048576,3,0)</f>
        <v>1E-4</v>
      </c>
      <c r="BR268" s="7">
        <f>VLOOKUP($A268,'14.Sep'!$Y$8:$AA$1048576,3,0)</f>
        <v>1E-4</v>
      </c>
      <c r="BS268" s="7">
        <f>VLOOKUP($A268,'15.Sep'!$Y$8:$AA$1048576,3,0)</f>
        <v>2.0000000000000001E-4</v>
      </c>
      <c r="BT268" s="7">
        <f>VLOOKUP($A268,'16.Sep'!$Y$8:$AA$1048576,3,0)</f>
        <v>1E-4</v>
      </c>
      <c r="BU268" s="7">
        <f>VLOOKUP($A268,'17.Sep'!$Y$8:$AA$1048576,3,0)</f>
        <v>1E-4</v>
      </c>
      <c r="BV268" s="7">
        <f>VLOOKUP($A268,'18.Sep'!$Y$8:$AA$1048576,3,0)</f>
        <v>1E-4</v>
      </c>
      <c r="BW268" s="7">
        <f>VLOOKUP($A268,'19.Sep'!$Y$8:$AA$1048576,3,0)</f>
        <v>1E-4</v>
      </c>
      <c r="BX268" s="7">
        <f>VLOOKUP($A268,'20.Sep'!$Y$8:$AA$1048576,3,0)</f>
        <v>1E-4</v>
      </c>
      <c r="BY268" s="7">
        <f>VLOOKUP($A268,'21.Sep'!$Y$8:$AA$1048576,3,0)</f>
        <v>1E-4</v>
      </c>
      <c r="BZ268" s="7">
        <f>VLOOKUP($A268,'22.Sep'!$Y$8:$AA$1048576,3,0)</f>
        <v>1E-4</v>
      </c>
      <c r="CA268" s="7">
        <f>VLOOKUP($A268,'23.Sep'!$Y$8:$AA$1048576,3,0)</f>
        <v>2.0000000000000001E-4</v>
      </c>
      <c r="CB268" s="7">
        <f>VLOOKUP($A268,'24.Sep'!$Y$8:$AA$1048576,3,0)</f>
        <v>2.0000000000000001E-4</v>
      </c>
      <c r="CC268" s="7">
        <f>VLOOKUP($A268,'24.Sep'!$Y$8:$AA$1048576,3,0)</f>
        <v>2.0000000000000001E-4</v>
      </c>
    </row>
    <row r="269" spans="1:81" outlineLevel="1">
      <c r="A269" s="6" t="s">
        <v>41</v>
      </c>
      <c r="B269" s="7">
        <v>2.1666666666666668E-4</v>
      </c>
      <c r="C269" s="7">
        <v>2.5714285714285715E-4</v>
      </c>
      <c r="D269" s="7">
        <v>2.9999999999999997E-4</v>
      </c>
      <c r="E269" s="7">
        <v>4.8571428571428566E-4</v>
      </c>
      <c r="F269" s="7">
        <v>5.5714285714285718E-4</v>
      </c>
      <c r="G269" s="7">
        <v>4.999999999999999E-4</v>
      </c>
      <c r="H269" s="7">
        <f t="shared" si="72"/>
        <v>4.7142857142857143E-4</v>
      </c>
      <c r="I269" s="7">
        <f t="shared" si="73"/>
        <v>5.5714285714285718E-4</v>
      </c>
      <c r="J269" s="7">
        <f t="shared" si="74"/>
        <v>5.2857142857142859E-4</v>
      </c>
      <c r="K269" s="7">
        <f t="shared" si="75"/>
        <v>4.0000000000000002E-4</v>
      </c>
      <c r="L269" s="7">
        <f t="shared" si="76"/>
        <v>4.0000000000000002E-4</v>
      </c>
      <c r="M269" s="8">
        <v>4.0000000000000002E-4</v>
      </c>
      <c r="N269" s="8">
        <v>1E-4</v>
      </c>
      <c r="O269" s="8">
        <v>1E-4</v>
      </c>
      <c r="P269" s="8">
        <v>4.0000000000000002E-4</v>
      </c>
      <c r="Q269" s="8">
        <v>2.0000000000000001E-4</v>
      </c>
      <c r="R269" s="8">
        <v>1E-4</v>
      </c>
      <c r="S269" s="8">
        <v>2.9999999999999997E-4</v>
      </c>
      <c r="T269" s="8">
        <v>0</v>
      </c>
      <c r="U269" s="8">
        <v>5.0000000000000001E-4</v>
      </c>
      <c r="V269" s="8">
        <v>2.0000000000000001E-4</v>
      </c>
      <c r="W269" s="8">
        <v>2.0000000000000001E-4</v>
      </c>
      <c r="X269" s="8">
        <v>2.0000000000000001E-4</v>
      </c>
      <c r="Y269" s="8">
        <v>4.0000000000000002E-4</v>
      </c>
      <c r="Z269" s="8">
        <v>2.0000000000000001E-4</v>
      </c>
      <c r="AA269" s="8">
        <v>2.9999999999999997E-4</v>
      </c>
      <c r="AB269" s="8">
        <v>2.0000000000000001E-4</v>
      </c>
      <c r="AC269" s="8">
        <v>4.0000000000000002E-4</v>
      </c>
      <c r="AD269" s="8">
        <v>4.0000000000000002E-4</v>
      </c>
      <c r="AE269" s="8">
        <v>2.9999999999999997E-4</v>
      </c>
      <c r="AF269" s="8">
        <v>2.9999999999999997E-4</v>
      </c>
      <c r="AG269" s="8">
        <v>4.0000000000000002E-4</v>
      </c>
      <c r="AH269" s="8">
        <v>5.0000000000000001E-4</v>
      </c>
      <c r="AI269" s="8">
        <v>5.0000000000000001E-4</v>
      </c>
      <c r="AJ269" s="8">
        <v>4.0000000000000002E-4</v>
      </c>
      <c r="AK269" s="8">
        <v>4.0000000000000002E-4</v>
      </c>
      <c r="AL269" s="8">
        <v>5.9999999999999995E-4</v>
      </c>
      <c r="AM269" s="7">
        <v>5.9999999999999995E-4</v>
      </c>
      <c r="AN269" s="7">
        <v>5.9999999999999995E-4</v>
      </c>
      <c r="AO269" s="7">
        <v>8.0000000000000004E-4</v>
      </c>
      <c r="AP269" s="7">
        <v>5.9999999999999995E-4</v>
      </c>
      <c r="AQ269" s="7">
        <v>5.9999999999999995E-4</v>
      </c>
      <c r="AR269" s="7">
        <v>5.0000000000000001E-4</v>
      </c>
      <c r="AS269" s="7">
        <v>4.0000000000000002E-4</v>
      </c>
      <c r="AT269" s="7">
        <v>4.0000000000000002E-4</v>
      </c>
      <c r="AU269" s="7">
        <v>5.0000000000000001E-4</v>
      </c>
      <c r="AV269" s="7">
        <v>4.0000000000000002E-4</v>
      </c>
      <c r="AW269" s="7">
        <v>4.0000000000000002E-4</v>
      </c>
      <c r="AX269" s="7">
        <v>5.0000000000000001E-4</v>
      </c>
      <c r="AY269" s="7">
        <v>5.9999999999999995E-4</v>
      </c>
      <c r="AZ269" s="7">
        <v>5.9999999999999995E-4</v>
      </c>
      <c r="BA269" s="7">
        <v>5.0000000000000001E-4</v>
      </c>
      <c r="BB269" s="7">
        <v>4.0000000000000002E-4</v>
      </c>
      <c r="BC269" s="7">
        <v>4.0000000000000002E-4</v>
      </c>
      <c r="BD269" s="7">
        <v>5.9999999999999995E-4</v>
      </c>
      <c r="BE269" s="7">
        <f>VLOOKUP($A269,'1.Sep'!$Y$8:$AA$1048576,3,0)</f>
        <v>5.0000000000000001E-4</v>
      </c>
      <c r="BF269" s="7">
        <f>VLOOKUP($A269,'2.Sep'!$Y$8:$AA$1048576,3,0)</f>
        <v>4.0000000000000002E-4</v>
      </c>
      <c r="BG269" s="7">
        <f>VLOOKUP($A269,'3.Sep'!$Y$8:$AA$1048576,3,0)</f>
        <v>5.0000000000000001E-4</v>
      </c>
      <c r="BH269" s="8">
        <f>VLOOKUP($A269,'4.Sep'!$Y$8:$AA$1048576,3,0)</f>
        <v>5.0000000000000001E-4</v>
      </c>
      <c r="BI269" s="8">
        <f>VLOOKUP($A269,'5.Sep'!$Y$8:$AA$1048576,3,0)</f>
        <v>5.0000000000000001E-4</v>
      </c>
      <c r="BJ269" s="8">
        <f>VLOOKUP($A269,'6.Sep'!$Y$8:$AA$1048576,3,0)</f>
        <v>5.0000000000000001E-4</v>
      </c>
      <c r="BK269" s="8">
        <f>VLOOKUP($A269,'7.Sep'!$Y$8:$AA$1048576,3,0)</f>
        <v>4.0000000000000002E-4</v>
      </c>
      <c r="BL269" s="8">
        <f>VLOOKUP($A269,'8.Sep'!$Y$8:$AA$1048576,3,0)</f>
        <v>5.0000000000000001E-4</v>
      </c>
      <c r="BM269" s="8">
        <f>VLOOKUP($A269,'9.Sep'!$Y$8:$AA$1048576,3,0)</f>
        <v>5.0000000000000001E-4</v>
      </c>
      <c r="BN269" s="8">
        <f>VLOOKUP($A269,'10.Sep'!$Y$8:$AA$1048576,3,0)</f>
        <v>8.0000000000000004E-4</v>
      </c>
      <c r="BO269" s="8">
        <f>VLOOKUP($A269,'11.Sep'!$Y$8:$AA$1048576,3,0)</f>
        <v>6.9999999999999999E-4</v>
      </c>
      <c r="BP269" s="7">
        <f>VLOOKUP($A269,'12.Sep'!$Y$8:$AA$1048576,3,0)</f>
        <v>8.0000000000000004E-4</v>
      </c>
      <c r="BQ269" s="7">
        <f>VLOOKUP($A269,'13.Sep'!$Y$8:$AA$1048576,3,0)</f>
        <v>5.9999999999999995E-4</v>
      </c>
      <c r="BR269" s="7">
        <f>VLOOKUP($A269,'14.Sep'!$Y$8:$AA$1048576,3,0)</f>
        <v>5.9999999999999995E-4</v>
      </c>
      <c r="BS269" s="7">
        <f>VLOOKUP($A269,'15.Sep'!$Y$8:$AA$1048576,3,0)</f>
        <v>5.9999999999999995E-4</v>
      </c>
      <c r="BT269" s="7">
        <f>VLOOKUP($A269,'16.Sep'!$Y$8:$AA$1048576,3,0)</f>
        <v>4.0000000000000002E-4</v>
      </c>
      <c r="BU269" s="7">
        <f>VLOOKUP($A269,'17.Sep'!$Y$8:$AA$1048576,3,0)</f>
        <v>4.0000000000000002E-4</v>
      </c>
      <c r="BV269" s="7">
        <f>VLOOKUP($A269,'18.Sep'!$Y$8:$AA$1048576,3,0)</f>
        <v>2.9999999999999997E-4</v>
      </c>
      <c r="BW269" s="7">
        <f>VLOOKUP($A269,'19.Sep'!$Y$8:$AA$1048576,3,0)</f>
        <v>4.0000000000000002E-4</v>
      </c>
      <c r="BX269" s="7">
        <f>VLOOKUP($A269,'20.Sep'!$Y$8:$AA$1048576,3,0)</f>
        <v>2.9999999999999997E-4</v>
      </c>
      <c r="BY269" s="7">
        <f>VLOOKUP($A269,'21.Sep'!$Y$8:$AA$1048576,3,0)</f>
        <v>4.0000000000000002E-4</v>
      </c>
      <c r="BZ269" s="7">
        <f>VLOOKUP($A269,'22.Sep'!$Y$8:$AA$1048576,3,0)</f>
        <v>4.0000000000000002E-4</v>
      </c>
      <c r="CA269" s="7">
        <f>VLOOKUP($A269,'23.Sep'!$Y$8:$AA$1048576,3,0)</f>
        <v>4.0000000000000002E-4</v>
      </c>
      <c r="CB269" s="7">
        <f>VLOOKUP($A269,'24.Sep'!$Y$8:$AA$1048576,3,0)</f>
        <v>5.0000000000000001E-4</v>
      </c>
      <c r="CC269" s="7">
        <f>VLOOKUP($A269,'24.Sep'!$Y$8:$AA$1048576,3,0)</f>
        <v>5.0000000000000001E-4</v>
      </c>
    </row>
    <row r="270" spans="1:81" outlineLevel="1">
      <c r="A270" s="6" t="s">
        <v>42</v>
      </c>
      <c r="B270" s="7">
        <v>0</v>
      </c>
      <c r="C270" s="7">
        <v>1.4285714285714287E-5</v>
      </c>
      <c r="D270" s="7">
        <v>0</v>
      </c>
      <c r="E270" s="7">
        <v>0</v>
      </c>
      <c r="F270" s="7">
        <v>0</v>
      </c>
      <c r="G270" s="7">
        <v>0</v>
      </c>
      <c r="H270" s="7">
        <f t="shared" si="72"/>
        <v>0</v>
      </c>
      <c r="I270" s="7">
        <f t="shared" si="73"/>
        <v>0</v>
      </c>
      <c r="J270" s="7">
        <f t="shared" si="74"/>
        <v>0</v>
      </c>
      <c r="K270" s="7">
        <f t="shared" si="75"/>
        <v>0</v>
      </c>
      <c r="L270" s="7">
        <f t="shared" si="76"/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  <c r="T270" s="8">
        <v>0</v>
      </c>
      <c r="U270" s="8">
        <v>0</v>
      </c>
      <c r="V270" s="8">
        <v>1E-4</v>
      </c>
      <c r="W270" s="8">
        <v>0</v>
      </c>
      <c r="X270" s="8">
        <v>0</v>
      </c>
      <c r="Y270" s="8">
        <v>0</v>
      </c>
      <c r="Z270" s="8">
        <v>0</v>
      </c>
      <c r="AA270" s="8">
        <v>0</v>
      </c>
      <c r="AB270" s="8">
        <v>0</v>
      </c>
      <c r="AC270" s="8">
        <v>0</v>
      </c>
      <c r="AD270" s="8">
        <v>0</v>
      </c>
      <c r="AE270" s="8">
        <v>0</v>
      </c>
      <c r="AF270" s="8">
        <v>0</v>
      </c>
      <c r="AG270" s="8">
        <v>0</v>
      </c>
      <c r="AH270" s="8">
        <v>0</v>
      </c>
      <c r="AI270" s="8">
        <v>0</v>
      </c>
      <c r="AJ270" s="8">
        <v>0</v>
      </c>
      <c r="AK270" s="8">
        <v>0</v>
      </c>
      <c r="AL270" s="8">
        <v>0</v>
      </c>
      <c r="AM270" s="7">
        <v>0</v>
      </c>
      <c r="AN270" s="7">
        <v>0</v>
      </c>
      <c r="AO270" s="7">
        <v>0</v>
      </c>
      <c r="AP270" s="8">
        <v>0</v>
      </c>
      <c r="AQ270" s="7">
        <v>0</v>
      </c>
      <c r="AR270" s="8">
        <v>0</v>
      </c>
      <c r="AS270" s="7">
        <v>0</v>
      </c>
      <c r="AT270" s="8">
        <v>0</v>
      </c>
      <c r="AU270" s="7">
        <v>0</v>
      </c>
      <c r="AV270" s="8">
        <v>0</v>
      </c>
      <c r="AW270" s="8">
        <v>0</v>
      </c>
      <c r="AX270" s="8">
        <v>0</v>
      </c>
      <c r="AY270" s="8">
        <v>0</v>
      </c>
      <c r="AZ270" s="7">
        <v>0</v>
      </c>
      <c r="BA270" s="7">
        <v>0</v>
      </c>
      <c r="BB270" s="7">
        <v>0</v>
      </c>
      <c r="BC270" s="8">
        <v>0</v>
      </c>
      <c r="BD270" s="7">
        <v>0</v>
      </c>
      <c r="BE270" s="7">
        <f>VLOOKUP($A270,'1.Sep'!$Y$8:$AA$1048576,3,0)</f>
        <v>0</v>
      </c>
      <c r="BF270" s="7">
        <v>0</v>
      </c>
      <c r="BG270" s="7">
        <f>VLOOKUP($A270,'3.Sep'!$Y$8:$AA$1048576,3,0)</f>
        <v>0</v>
      </c>
      <c r="BH270" s="8">
        <f>VLOOKUP($A270,'4.Sep'!$Y$8:$AA$1048576,3,0)</f>
        <v>0</v>
      </c>
      <c r="BI270" s="8">
        <v>0</v>
      </c>
      <c r="BJ270" s="8">
        <f>VLOOKUP($A270,'6.Sep'!$Y$8:$AA$1048576,3,0)</f>
        <v>0</v>
      </c>
      <c r="BK270" s="8">
        <f>VLOOKUP($A270,'7.Sep'!$Y$8:$AA$1048576,3,0)</f>
        <v>0</v>
      </c>
      <c r="BL270" s="8">
        <f>VLOOKUP($A270,'8.Sep'!$Y$8:$AA$1048576,3,0)</f>
        <v>0</v>
      </c>
      <c r="BM270" s="8">
        <f>VLOOKUP($A270,'9.Sep'!$Y$8:$AA$1048576,3,0)</f>
        <v>0</v>
      </c>
      <c r="BN270" s="8">
        <f>VLOOKUP($A270,'10.Sep'!$Y$8:$AA$1048576,3,0)</f>
        <v>0</v>
      </c>
      <c r="BO270" s="8">
        <f>VLOOKUP($A270,'11.Sep'!$Y$8:$AA$1048576,3,0)</f>
        <v>0</v>
      </c>
      <c r="BP270" s="7">
        <f>VLOOKUP($A270,'12.Sep'!$Y$8:$AA$1048576,3,0)</f>
        <v>0</v>
      </c>
      <c r="BQ270" s="7">
        <v>0</v>
      </c>
      <c r="BR270" s="7">
        <v>0</v>
      </c>
      <c r="BS270" s="7">
        <f>VLOOKUP($A270,'15.Sep'!$Y$8:$AA$1048576,3,0)</f>
        <v>0</v>
      </c>
      <c r="BT270" s="7">
        <f>VLOOKUP($A270,'16.Sep'!$Y$8:$AA$1048576,3,0)</f>
        <v>0</v>
      </c>
      <c r="BU270" s="7">
        <v>0</v>
      </c>
      <c r="BV270" s="7">
        <v>0</v>
      </c>
      <c r="BW270" s="7">
        <v>0</v>
      </c>
      <c r="BX270" s="7">
        <f>VLOOKUP($A270,'20.Sep'!$Y$8:$AA$1048576,3,0)</f>
        <v>0</v>
      </c>
      <c r="BY270" s="7">
        <f>VLOOKUP($A270,'21.Sep'!$Y$8:$AA$1048576,3,0)</f>
        <v>0</v>
      </c>
      <c r="BZ270" s="7">
        <f>VLOOKUP($A270,'22.Sep'!$Y$8:$AA$1048576,3,0)</f>
        <v>0</v>
      </c>
      <c r="CA270" s="7">
        <f>VLOOKUP($A270,'23.Sep'!$Y$8:$AA$1048576,3,0)</f>
        <v>0</v>
      </c>
      <c r="CB270" s="7">
        <v>0</v>
      </c>
      <c r="CC270" s="7">
        <v>0</v>
      </c>
    </row>
    <row r="271" spans="1:81" outlineLevel="1">
      <c r="A271" s="6" t="s">
        <v>43</v>
      </c>
      <c r="B271" s="7">
        <v>0</v>
      </c>
      <c r="C271" s="7">
        <v>1.4285714285714287E-5</v>
      </c>
      <c r="D271" s="7">
        <v>0</v>
      </c>
      <c r="E271" s="7">
        <v>0</v>
      </c>
      <c r="F271" s="7">
        <v>0</v>
      </c>
      <c r="G271" s="7">
        <v>0</v>
      </c>
      <c r="H271" s="7">
        <f t="shared" si="72"/>
        <v>0</v>
      </c>
      <c r="I271" s="7">
        <f t="shared" si="73"/>
        <v>0</v>
      </c>
      <c r="J271" s="7">
        <f t="shared" si="74"/>
        <v>0</v>
      </c>
      <c r="K271" s="7">
        <f t="shared" si="75"/>
        <v>0</v>
      </c>
      <c r="L271" s="7">
        <f t="shared" si="76"/>
        <v>0</v>
      </c>
      <c r="M271" s="8">
        <v>0</v>
      </c>
      <c r="N271" s="8">
        <v>0</v>
      </c>
      <c r="O271" s="8">
        <v>0</v>
      </c>
      <c r="P271" s="8">
        <v>0</v>
      </c>
      <c r="Q271" s="8">
        <v>0</v>
      </c>
      <c r="R271" s="8">
        <v>0</v>
      </c>
      <c r="S271" s="8">
        <v>0</v>
      </c>
      <c r="T271" s="8">
        <v>0</v>
      </c>
      <c r="U271" s="8">
        <v>0</v>
      </c>
      <c r="V271" s="8">
        <v>1E-4</v>
      </c>
      <c r="W271" s="8">
        <v>0</v>
      </c>
      <c r="X271" s="8">
        <v>0</v>
      </c>
      <c r="Y271" s="8">
        <v>0</v>
      </c>
      <c r="Z271" s="8">
        <v>0</v>
      </c>
      <c r="AA271" s="8">
        <v>0</v>
      </c>
      <c r="AB271" s="8">
        <v>0</v>
      </c>
      <c r="AC271" s="8">
        <v>0</v>
      </c>
      <c r="AD271" s="8">
        <v>0</v>
      </c>
      <c r="AE271" s="8">
        <v>0</v>
      </c>
      <c r="AF271" s="8">
        <v>0</v>
      </c>
      <c r="AG271" s="8">
        <v>0</v>
      </c>
      <c r="AH271" s="8">
        <v>0</v>
      </c>
      <c r="AI271" s="8">
        <v>0</v>
      </c>
      <c r="AJ271" s="8">
        <v>0</v>
      </c>
      <c r="AK271" s="8">
        <v>0</v>
      </c>
      <c r="AL271" s="8">
        <v>0</v>
      </c>
      <c r="AM271" s="7">
        <v>0</v>
      </c>
      <c r="AN271" s="7">
        <v>0</v>
      </c>
      <c r="AO271" s="8">
        <v>0</v>
      </c>
      <c r="AP271" s="8">
        <v>0</v>
      </c>
      <c r="AQ271" s="8">
        <v>0</v>
      </c>
      <c r="AR271" s="8">
        <v>0</v>
      </c>
      <c r="AS271" s="7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8">
        <v>0</v>
      </c>
      <c r="AZ271" s="8">
        <v>0</v>
      </c>
      <c r="BA271" s="7">
        <v>0</v>
      </c>
      <c r="BB271" s="7">
        <v>0</v>
      </c>
      <c r="BC271" s="8">
        <v>0</v>
      </c>
      <c r="BD271" s="7">
        <v>0</v>
      </c>
      <c r="BE271" s="7">
        <f>VLOOKUP($A271,'1.Sep'!$Y$8:$AA$1048576,3,0)</f>
        <v>0</v>
      </c>
      <c r="BF271" s="7">
        <v>0</v>
      </c>
      <c r="BG271" s="7">
        <v>0</v>
      </c>
      <c r="BH271" s="8">
        <v>0</v>
      </c>
      <c r="BI271" s="8">
        <v>0</v>
      </c>
      <c r="BJ271" s="7">
        <v>0</v>
      </c>
      <c r="BK271" s="7">
        <v>0</v>
      </c>
      <c r="BL271" s="7">
        <v>0</v>
      </c>
      <c r="BM271" s="7">
        <v>0</v>
      </c>
      <c r="BN271" s="7">
        <v>0</v>
      </c>
      <c r="BO271" s="8">
        <v>0</v>
      </c>
      <c r="BP271" s="7">
        <v>0</v>
      </c>
      <c r="BQ271" s="7">
        <v>0</v>
      </c>
      <c r="BR271" s="7">
        <f>VLOOKUP($A271,'14.Sep'!$Y$8:$AA$1048576,3,0)</f>
        <v>0</v>
      </c>
      <c r="BS271" s="7">
        <f>VLOOKUP($A271,'15.Sep'!$Y$8:$AA$1048576,3,0)</f>
        <v>0</v>
      </c>
      <c r="BT271" s="7">
        <v>0</v>
      </c>
      <c r="BU271" s="7">
        <v>0</v>
      </c>
      <c r="BV271" s="7">
        <v>0</v>
      </c>
      <c r="BW271" s="7">
        <v>0</v>
      </c>
      <c r="BX271" s="7">
        <v>0</v>
      </c>
      <c r="BY271" s="7">
        <v>0</v>
      </c>
      <c r="BZ271" s="8">
        <v>0</v>
      </c>
      <c r="CA271" s="7">
        <f>VLOOKUP($A271,'23.Sep'!$Y$8:$AA$1048576,3,0)</f>
        <v>0</v>
      </c>
      <c r="CB271" s="7">
        <v>0</v>
      </c>
      <c r="CC271" s="7">
        <v>0</v>
      </c>
    </row>
    <row r="272" spans="1:81" outlineLevel="1">
      <c r="A272" s="6" t="s">
        <v>44</v>
      </c>
      <c r="B272" s="7">
        <v>0</v>
      </c>
      <c r="C272" s="7">
        <v>0</v>
      </c>
      <c r="D272" s="7">
        <v>1.4285714285714287E-5</v>
      </c>
      <c r="E272" s="7">
        <v>0</v>
      </c>
      <c r="F272" s="7">
        <v>0</v>
      </c>
      <c r="G272" s="7">
        <v>0</v>
      </c>
      <c r="H272" s="7">
        <f t="shared" si="72"/>
        <v>5.7142857142857148E-5</v>
      </c>
      <c r="I272" s="7">
        <f t="shared" si="73"/>
        <v>0</v>
      </c>
      <c r="J272" s="7">
        <f t="shared" si="74"/>
        <v>0</v>
      </c>
      <c r="K272" s="7">
        <f t="shared" si="75"/>
        <v>0</v>
      </c>
      <c r="L272" s="7">
        <f t="shared" si="76"/>
        <v>0</v>
      </c>
      <c r="M272" s="8">
        <v>0</v>
      </c>
      <c r="N272" s="8">
        <v>0</v>
      </c>
      <c r="O272" s="8">
        <v>0</v>
      </c>
      <c r="P272" s="8">
        <v>0</v>
      </c>
      <c r="Q272" s="8">
        <v>0</v>
      </c>
      <c r="R272" s="8">
        <v>0</v>
      </c>
      <c r="S272" s="8">
        <v>0</v>
      </c>
      <c r="T272" s="8">
        <v>0</v>
      </c>
      <c r="U272" s="8">
        <v>0</v>
      </c>
      <c r="V272" s="8">
        <v>0</v>
      </c>
      <c r="W272" s="8">
        <v>0</v>
      </c>
      <c r="X272" s="8">
        <v>0</v>
      </c>
      <c r="Y272" s="8">
        <v>0</v>
      </c>
      <c r="Z272" s="8">
        <v>0</v>
      </c>
      <c r="AA272" s="8">
        <v>0</v>
      </c>
      <c r="AB272" s="8">
        <v>1E-4</v>
      </c>
      <c r="AC272" s="8">
        <v>0</v>
      </c>
      <c r="AD272" s="8">
        <v>0</v>
      </c>
      <c r="AE272" s="8">
        <v>0</v>
      </c>
      <c r="AF272" s="8">
        <v>0</v>
      </c>
      <c r="AG272" s="8">
        <v>0</v>
      </c>
      <c r="AH272" s="8">
        <v>0</v>
      </c>
      <c r="AI272" s="8">
        <v>0</v>
      </c>
      <c r="AJ272" s="8">
        <v>0</v>
      </c>
      <c r="AK272" s="8">
        <v>0</v>
      </c>
      <c r="AL272" s="8">
        <v>0</v>
      </c>
      <c r="AM272" s="7">
        <v>0</v>
      </c>
      <c r="AN272" s="8">
        <v>0</v>
      </c>
      <c r="AO272" s="8">
        <v>0</v>
      </c>
      <c r="AP272" s="8">
        <v>0</v>
      </c>
      <c r="AQ272" s="8">
        <v>0</v>
      </c>
      <c r="AR272" s="8">
        <v>0</v>
      </c>
      <c r="AS272" s="8">
        <v>0</v>
      </c>
      <c r="AT272" s="8">
        <v>0</v>
      </c>
      <c r="AU272" s="8">
        <v>0</v>
      </c>
      <c r="AV272" s="8">
        <v>0</v>
      </c>
      <c r="AW272" s="8">
        <v>0</v>
      </c>
      <c r="AX272" s="8">
        <v>0</v>
      </c>
      <c r="AY272" s="8">
        <v>0</v>
      </c>
      <c r="AZ272" s="8">
        <v>0</v>
      </c>
      <c r="BA272" s="7">
        <v>0</v>
      </c>
      <c r="BB272" s="7">
        <v>0</v>
      </c>
      <c r="BC272" s="8">
        <v>0</v>
      </c>
      <c r="BD272" s="7">
        <v>0</v>
      </c>
      <c r="BE272" s="7">
        <v>0</v>
      </c>
      <c r="BF272" s="7">
        <v>0</v>
      </c>
      <c r="BG272" s="7">
        <f>VLOOKUP($A272,'3.Sep'!$Y$8:$AA$1048576,3,0)</f>
        <v>4.0000000000000002E-4</v>
      </c>
      <c r="BH272" s="8">
        <v>0</v>
      </c>
      <c r="BI272" s="8">
        <f>VLOOKUP($A272,'5.Sep'!$Y$8:$AA$1048576,3,0)</f>
        <v>0</v>
      </c>
      <c r="BJ272" s="7">
        <v>0</v>
      </c>
      <c r="BK272" s="7">
        <v>0</v>
      </c>
      <c r="BL272" s="7">
        <v>0</v>
      </c>
      <c r="BM272" s="7">
        <v>0</v>
      </c>
      <c r="BN272" s="7">
        <v>0</v>
      </c>
      <c r="BO272" s="8">
        <v>0</v>
      </c>
      <c r="BP272" s="7">
        <v>0</v>
      </c>
      <c r="BQ272" s="7">
        <v>0</v>
      </c>
      <c r="BR272" s="7">
        <v>0</v>
      </c>
      <c r="BS272" s="7">
        <v>0</v>
      </c>
      <c r="BT272" s="7">
        <v>0</v>
      </c>
      <c r="BU272" s="7">
        <v>0</v>
      </c>
      <c r="BV272" s="7">
        <v>0</v>
      </c>
      <c r="BW272" s="7">
        <v>0</v>
      </c>
      <c r="BX272" s="7">
        <f>VLOOKUP($A272,'20.Sep'!$Y$8:$AA$1048576,3,0)</f>
        <v>0</v>
      </c>
      <c r="BY272" s="7">
        <v>0</v>
      </c>
      <c r="BZ272" s="8">
        <v>0</v>
      </c>
      <c r="CA272" s="7">
        <f>VLOOKUP($A272,'23.Sep'!$Y$8:$AA$1048576,3,0)</f>
        <v>0</v>
      </c>
      <c r="CB272" s="7">
        <v>0</v>
      </c>
      <c r="CC272" s="7">
        <v>0</v>
      </c>
    </row>
    <row r="273" spans="1:81" outlineLevel="1">
      <c r="A273" s="6" t="s">
        <v>45</v>
      </c>
      <c r="B273" s="7">
        <v>6.666666666666667E-5</v>
      </c>
      <c r="C273" s="7">
        <v>1.4285714285714287E-5</v>
      </c>
      <c r="D273" s="7">
        <v>0</v>
      </c>
      <c r="E273" s="7">
        <v>4.2857142857142863E-5</v>
      </c>
      <c r="F273" s="7">
        <v>2.8571428571428574E-5</v>
      </c>
      <c r="G273" s="7">
        <v>2.8571428571428574E-5</v>
      </c>
      <c r="H273" s="7">
        <f t="shared" si="72"/>
        <v>1.4285714285714287E-5</v>
      </c>
      <c r="I273" s="7">
        <f t="shared" si="73"/>
        <v>1.4285714285714287E-5</v>
      </c>
      <c r="J273" s="7">
        <f t="shared" si="74"/>
        <v>5.7142857142857148E-5</v>
      </c>
      <c r="K273" s="7">
        <f t="shared" si="75"/>
        <v>1.6666666666666667E-5</v>
      </c>
      <c r="L273" s="7">
        <f t="shared" si="76"/>
        <v>2.0000000000000002E-5</v>
      </c>
      <c r="M273" s="8">
        <v>0</v>
      </c>
      <c r="N273" s="8">
        <v>0</v>
      </c>
      <c r="O273" s="8">
        <v>1E-4</v>
      </c>
      <c r="P273" s="8">
        <v>1E-4</v>
      </c>
      <c r="Q273" s="8">
        <v>0</v>
      </c>
      <c r="R273" s="8">
        <v>2.0000000000000001E-4</v>
      </c>
      <c r="S273" s="8">
        <v>0</v>
      </c>
      <c r="T273" s="8">
        <v>0</v>
      </c>
      <c r="U273" s="8">
        <v>1E-4</v>
      </c>
      <c r="V273" s="8">
        <v>0</v>
      </c>
      <c r="W273" s="8">
        <v>0</v>
      </c>
      <c r="X273" s="8">
        <v>0</v>
      </c>
      <c r="Y273" s="8">
        <v>0</v>
      </c>
      <c r="Z273" s="8">
        <v>0</v>
      </c>
      <c r="AA273" s="8">
        <v>0</v>
      </c>
      <c r="AB273" s="8">
        <v>0</v>
      </c>
      <c r="AC273" s="8">
        <v>0</v>
      </c>
      <c r="AD273" s="8">
        <v>0</v>
      </c>
      <c r="AE273" s="8">
        <v>0</v>
      </c>
      <c r="AF273" s="8">
        <v>0</v>
      </c>
      <c r="AG273" s="8">
        <v>0</v>
      </c>
      <c r="AH273" s="8">
        <v>0</v>
      </c>
      <c r="AI273" s="8">
        <v>1E-4</v>
      </c>
      <c r="AJ273" s="8">
        <v>0</v>
      </c>
      <c r="AK273" s="8">
        <v>0</v>
      </c>
      <c r="AL273" s="8">
        <v>1E-4</v>
      </c>
      <c r="AM273" s="7">
        <v>1E-4</v>
      </c>
      <c r="AN273" s="7">
        <v>0</v>
      </c>
      <c r="AO273" s="7">
        <v>1E-4</v>
      </c>
      <c r="AP273" s="8">
        <v>0</v>
      </c>
      <c r="AQ273" s="7">
        <v>0</v>
      </c>
      <c r="AR273" s="7">
        <v>1E-4</v>
      </c>
      <c r="AS273" s="7">
        <v>0</v>
      </c>
      <c r="AT273" s="8">
        <v>0</v>
      </c>
      <c r="AU273" s="7">
        <v>1E-4</v>
      </c>
      <c r="AV273" s="7">
        <v>0</v>
      </c>
      <c r="AW273" s="7">
        <v>0</v>
      </c>
      <c r="AX273" s="7">
        <v>1E-4</v>
      </c>
      <c r="AY273" s="8">
        <v>0</v>
      </c>
      <c r="AZ273" s="7">
        <v>0</v>
      </c>
      <c r="BA273" s="7">
        <v>0</v>
      </c>
      <c r="BB273" s="7">
        <v>0</v>
      </c>
      <c r="BC273" s="7">
        <v>0</v>
      </c>
      <c r="BD273" s="7">
        <v>0</v>
      </c>
      <c r="BE273" s="7">
        <f>VLOOKUP($A273,'1.Sep'!$Y$8:$AA$1048576,3,0)</f>
        <v>0</v>
      </c>
      <c r="BF273" s="7">
        <f>VLOOKUP($A273,'2.Sep'!$Y$8:$AA$1048576,3,0)</f>
        <v>0</v>
      </c>
      <c r="BG273" s="7">
        <v>0</v>
      </c>
      <c r="BH273" s="8">
        <f>VLOOKUP($A273,'4.Sep'!$Y$8:$AA$1048576,3,0)</f>
        <v>1E-4</v>
      </c>
      <c r="BI273" s="8">
        <f>VLOOKUP($A273,'5.Sep'!$Y$8:$AA$1048576,3,0)</f>
        <v>1E-4</v>
      </c>
      <c r="BJ273" s="8">
        <f>VLOOKUP($A273,'6.Sep'!$Y$8:$AA$1048576,3,0)</f>
        <v>0</v>
      </c>
      <c r="BK273" s="8">
        <f>VLOOKUP($A273,'7.Sep'!$Y$8:$AA$1048576,3,0)</f>
        <v>0</v>
      </c>
      <c r="BL273" s="8">
        <f>VLOOKUP($A273,'8.Sep'!$Y$8:$AA$1048576,3,0)</f>
        <v>0</v>
      </c>
      <c r="BM273" s="7">
        <v>0</v>
      </c>
      <c r="BN273" s="8">
        <f>VLOOKUP($A273,'10.Sep'!$Y$8:$AA$1048576,3,0)</f>
        <v>0</v>
      </c>
      <c r="BO273" s="8">
        <v>0</v>
      </c>
      <c r="BP273" s="7">
        <f>VLOOKUP($A273,'12.Sep'!$Y$8:$AA$1048576,3,0)</f>
        <v>1E-4</v>
      </c>
      <c r="BQ273" s="7">
        <f>VLOOKUP($A273,'13.Sep'!$Y$8:$AA$1048576,3,0)</f>
        <v>2.0000000000000001E-4</v>
      </c>
      <c r="BR273" s="7">
        <f>VLOOKUP($A273,'14.Sep'!$Y$8:$AA$1048576,3,0)</f>
        <v>0</v>
      </c>
      <c r="BS273" s="7">
        <f>VLOOKUP($A273,'15.Sep'!$Y$8:$AA$1048576,3,0)</f>
        <v>0</v>
      </c>
      <c r="BT273" s="7">
        <f>VLOOKUP($A273,'16.Sep'!$Y$8:$AA$1048576,3,0)</f>
        <v>0</v>
      </c>
      <c r="BU273" s="7">
        <f>VLOOKUP($A273,'17.Sep'!$Y$8:$AA$1048576,3,0)</f>
        <v>0</v>
      </c>
      <c r="BV273" s="7">
        <f>VLOOKUP($A273,'18.Sep'!$Y$8:$AA$1048576,3,0)</f>
        <v>1E-4</v>
      </c>
      <c r="BW273" s="7">
        <f>VLOOKUP($A273,'19.Sep'!$Y$8:$AA$1048576,3,0)</f>
        <v>0</v>
      </c>
      <c r="BX273" s="7">
        <f>VLOOKUP($A273,'20.Sep'!$Y$8:$AA$1048576,3,0)</f>
        <v>0</v>
      </c>
      <c r="BY273" s="7">
        <f>VLOOKUP($A273,'21.Sep'!$Y$8:$AA$1048576,3,0)</f>
        <v>0</v>
      </c>
      <c r="BZ273" s="7">
        <f>VLOOKUP($A273,'22.Sep'!$Y$8:$AA$1048576,3,0)</f>
        <v>1E-4</v>
      </c>
      <c r="CA273" s="7">
        <f>VLOOKUP($A273,'23.Sep'!$Y$8:$AA$1048576,3,0)</f>
        <v>0</v>
      </c>
      <c r="CB273" s="7">
        <f>VLOOKUP($A273,'24.Sep'!$Y$8:$AA$1048576,3,0)</f>
        <v>0</v>
      </c>
      <c r="CC273" s="7">
        <f>VLOOKUP($A273,'24.Sep'!$Y$8:$AA$1048576,3,0)</f>
        <v>0</v>
      </c>
    </row>
    <row r="274" spans="1:81" outlineLevel="1">
      <c r="A274" s="6" t="s">
        <v>46</v>
      </c>
      <c r="B274" s="7">
        <v>0</v>
      </c>
      <c r="C274" s="7">
        <v>0</v>
      </c>
      <c r="D274" s="7">
        <v>5.7142857142857148E-5</v>
      </c>
      <c r="E274" s="7">
        <v>7.1428571428571434E-5</v>
      </c>
      <c r="F274" s="7">
        <v>1.4285714285714287E-5</v>
      </c>
      <c r="G274" s="7">
        <v>2.8571428571428574E-5</v>
      </c>
      <c r="H274" s="7">
        <f t="shared" si="72"/>
        <v>0</v>
      </c>
      <c r="I274" s="7">
        <f t="shared" si="73"/>
        <v>0</v>
      </c>
      <c r="J274" s="7">
        <f t="shared" si="74"/>
        <v>7.1428571428571434E-5</v>
      </c>
      <c r="K274" s="7">
        <f t="shared" si="75"/>
        <v>0</v>
      </c>
      <c r="L274" s="7">
        <f t="shared" si="76"/>
        <v>0</v>
      </c>
      <c r="M274" s="8">
        <v>0</v>
      </c>
      <c r="N274" s="8">
        <v>0</v>
      </c>
      <c r="O274" s="8">
        <v>0</v>
      </c>
      <c r="P274" s="8">
        <v>0</v>
      </c>
      <c r="Q274" s="8">
        <v>0</v>
      </c>
      <c r="R274" s="8">
        <v>0</v>
      </c>
      <c r="S274" s="8">
        <v>0</v>
      </c>
      <c r="T274" s="8">
        <v>0</v>
      </c>
      <c r="U274" s="8">
        <v>0</v>
      </c>
      <c r="V274" s="8">
        <v>0</v>
      </c>
      <c r="W274" s="8">
        <v>0</v>
      </c>
      <c r="X274" s="8">
        <v>0</v>
      </c>
      <c r="Y274" s="8">
        <v>0</v>
      </c>
      <c r="Z274" s="8">
        <v>0</v>
      </c>
      <c r="AA274" s="8">
        <v>4.0000000000000002E-4</v>
      </c>
      <c r="AB274" s="8">
        <v>0</v>
      </c>
      <c r="AC274" s="8">
        <v>0</v>
      </c>
      <c r="AD274" s="8">
        <v>0</v>
      </c>
      <c r="AE274" s="8">
        <v>0</v>
      </c>
      <c r="AF274" s="8">
        <v>0</v>
      </c>
      <c r="AG274" s="8">
        <v>0</v>
      </c>
      <c r="AH274" s="8">
        <v>0</v>
      </c>
      <c r="AI274" s="8">
        <v>0</v>
      </c>
      <c r="AJ274" s="8">
        <v>0</v>
      </c>
      <c r="AK274" s="8">
        <v>2.0000000000000001E-4</v>
      </c>
      <c r="AL274" s="8">
        <v>2.9999999999999997E-4</v>
      </c>
      <c r="AM274" s="7">
        <v>0</v>
      </c>
      <c r="AN274" s="8">
        <v>0</v>
      </c>
      <c r="AO274" s="8">
        <v>0</v>
      </c>
      <c r="AP274" s="8">
        <v>0</v>
      </c>
      <c r="AQ274" s="7">
        <v>1E-4</v>
      </c>
      <c r="AR274" s="8">
        <v>0</v>
      </c>
      <c r="AS274" s="8">
        <v>0</v>
      </c>
      <c r="AT274" s="8">
        <v>0</v>
      </c>
      <c r="AU274" s="8">
        <v>0</v>
      </c>
      <c r="AV274" s="7">
        <v>2.0000000000000001E-4</v>
      </c>
      <c r="AW274" s="8">
        <v>0</v>
      </c>
      <c r="AX274" s="8">
        <v>0</v>
      </c>
      <c r="AY274" s="8">
        <v>0</v>
      </c>
      <c r="AZ274" s="8">
        <v>0</v>
      </c>
      <c r="BA274" s="7">
        <v>0</v>
      </c>
      <c r="BB274" s="7">
        <v>0</v>
      </c>
      <c r="BC274" s="8">
        <v>0</v>
      </c>
      <c r="BD274" s="7">
        <v>0</v>
      </c>
      <c r="BE274" s="7">
        <v>0</v>
      </c>
      <c r="BF274" s="7">
        <v>0</v>
      </c>
      <c r="BG274" s="7">
        <v>0</v>
      </c>
      <c r="BH274" s="8">
        <v>0</v>
      </c>
      <c r="BI274" s="8">
        <v>0</v>
      </c>
      <c r="BJ274" s="7">
        <v>0</v>
      </c>
      <c r="BK274" s="7">
        <v>0</v>
      </c>
      <c r="BL274" s="7">
        <v>0</v>
      </c>
      <c r="BM274" s="7">
        <v>0</v>
      </c>
      <c r="BN274" s="7">
        <v>0</v>
      </c>
      <c r="BO274" s="8">
        <v>0</v>
      </c>
      <c r="BP274" s="7">
        <v>0</v>
      </c>
      <c r="BQ274" s="7">
        <f>VLOOKUP($A274,'13.Sep'!$Y$8:$AA$1048576,3,0)</f>
        <v>2.0000000000000001E-4</v>
      </c>
      <c r="BR274" s="7">
        <v>0</v>
      </c>
      <c r="BS274" s="7">
        <v>0</v>
      </c>
      <c r="BT274" s="7">
        <f>VLOOKUP($A274,'16.Sep'!$Y$8:$AA$1048576,3,0)</f>
        <v>2.0000000000000001E-4</v>
      </c>
      <c r="BU274" s="7">
        <f>VLOOKUP($A274,'17.Sep'!$Y$8:$AA$1048576,3,0)</f>
        <v>1E-4</v>
      </c>
      <c r="BV274" s="7">
        <v>0</v>
      </c>
      <c r="BW274" s="7">
        <v>0</v>
      </c>
      <c r="BX274" s="7">
        <v>0</v>
      </c>
      <c r="BY274" s="7">
        <v>0</v>
      </c>
      <c r="BZ274" s="7">
        <f>VLOOKUP($A274,'22.Sep'!$Y$8:$AA$1048576,3,0)</f>
        <v>0</v>
      </c>
      <c r="CA274" s="7">
        <v>0</v>
      </c>
      <c r="CB274" s="7">
        <f>VLOOKUP($A274,'24.Sep'!$Y$8:$AA$1048576,3,0)</f>
        <v>0</v>
      </c>
      <c r="CC274" s="7">
        <f>VLOOKUP($A274,'24.Sep'!$Y$8:$AA$1048576,3,0)</f>
        <v>0</v>
      </c>
    </row>
    <row r="275" spans="1:81" outlineLevel="1">
      <c r="A275" s="6" t="s">
        <v>47</v>
      </c>
      <c r="B275" s="7">
        <v>1.6666666666666667E-5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f t="shared" si="72"/>
        <v>0</v>
      </c>
      <c r="I275" s="7">
        <f t="shared" si="73"/>
        <v>0</v>
      </c>
      <c r="J275" s="7">
        <f t="shared" si="74"/>
        <v>0</v>
      </c>
      <c r="K275" s="7">
        <f t="shared" si="75"/>
        <v>0</v>
      </c>
      <c r="L275" s="7">
        <f t="shared" si="76"/>
        <v>0</v>
      </c>
      <c r="M275" s="8">
        <v>0</v>
      </c>
      <c r="N275" s="8">
        <v>0</v>
      </c>
      <c r="O275" s="8">
        <v>1E-4</v>
      </c>
      <c r="P275" s="8">
        <v>0</v>
      </c>
      <c r="Q275" s="8">
        <v>0</v>
      </c>
      <c r="R275" s="8">
        <v>0</v>
      </c>
      <c r="S275" s="8">
        <v>0</v>
      </c>
      <c r="T275" s="8">
        <v>0</v>
      </c>
      <c r="U275" s="8">
        <v>0</v>
      </c>
      <c r="V275" s="8">
        <v>0</v>
      </c>
      <c r="W275" s="8">
        <v>0</v>
      </c>
      <c r="X275" s="8">
        <v>0</v>
      </c>
      <c r="Y275" s="8">
        <v>0</v>
      </c>
      <c r="Z275" s="8">
        <v>0</v>
      </c>
      <c r="AA275" s="8">
        <v>0</v>
      </c>
      <c r="AB275" s="8">
        <v>0</v>
      </c>
      <c r="AC275" s="8">
        <v>0</v>
      </c>
      <c r="AD275" s="8">
        <v>0</v>
      </c>
      <c r="AE275" s="8">
        <v>0</v>
      </c>
      <c r="AF275" s="8">
        <v>0</v>
      </c>
      <c r="AG275" s="8">
        <v>0</v>
      </c>
      <c r="AH275" s="8">
        <v>0</v>
      </c>
      <c r="AI275" s="8">
        <v>0</v>
      </c>
      <c r="AJ275" s="8">
        <v>0</v>
      </c>
      <c r="AK275" s="8">
        <v>0</v>
      </c>
      <c r="AL275" s="8">
        <v>0</v>
      </c>
      <c r="AM275" s="7">
        <v>0</v>
      </c>
      <c r="AN275" s="7">
        <v>0</v>
      </c>
      <c r="AO275" s="8">
        <v>0</v>
      </c>
      <c r="AP275" s="8">
        <v>0</v>
      </c>
      <c r="AQ275" s="8">
        <v>0</v>
      </c>
      <c r="AR275" s="8">
        <v>0</v>
      </c>
      <c r="AS275" s="8">
        <v>0</v>
      </c>
      <c r="AT275" s="8">
        <v>0</v>
      </c>
      <c r="AU275" s="7">
        <v>0</v>
      </c>
      <c r="AV275" s="7">
        <v>0</v>
      </c>
      <c r="AW275" s="8">
        <v>0</v>
      </c>
      <c r="AX275" s="8">
        <v>0</v>
      </c>
      <c r="AY275" s="8">
        <v>0</v>
      </c>
      <c r="AZ275" s="8">
        <v>0</v>
      </c>
      <c r="BA275" s="7">
        <v>0</v>
      </c>
      <c r="BB275" s="7">
        <v>0</v>
      </c>
      <c r="BC275" s="8">
        <v>0</v>
      </c>
      <c r="BD275" s="7">
        <v>0</v>
      </c>
      <c r="BE275" s="7">
        <f>VLOOKUP($A275,'1.Sep'!$Y$8:$AA$1048576,3,0)</f>
        <v>0</v>
      </c>
      <c r="BF275" s="7">
        <v>0</v>
      </c>
      <c r="BG275" s="7">
        <v>0</v>
      </c>
      <c r="BH275" s="8">
        <v>0</v>
      </c>
      <c r="BI275" s="8">
        <v>0</v>
      </c>
      <c r="BJ275" s="7">
        <v>0</v>
      </c>
      <c r="BK275" s="7">
        <v>0</v>
      </c>
      <c r="BL275" s="8">
        <f>VLOOKUP($A275,'8.Sep'!$Y$8:$AA$1048576,3,0)</f>
        <v>0</v>
      </c>
      <c r="BM275" s="7">
        <v>0</v>
      </c>
      <c r="BN275" s="7">
        <v>0</v>
      </c>
      <c r="BO275" s="8">
        <v>0</v>
      </c>
      <c r="BP275" s="7">
        <v>0</v>
      </c>
      <c r="BQ275" s="7">
        <v>0</v>
      </c>
      <c r="BR275" s="7">
        <v>0</v>
      </c>
      <c r="BS275" s="7">
        <v>0</v>
      </c>
      <c r="BT275" s="7">
        <v>0</v>
      </c>
      <c r="BU275" s="7">
        <v>0</v>
      </c>
      <c r="BV275" s="7">
        <f>VLOOKUP($A275,'18.Sep'!$Y$8:$AA$1048576,3,0)</f>
        <v>0</v>
      </c>
      <c r="BW275" s="7">
        <f>VLOOKUP($A275,'19.Sep'!$Y$8:$AA$1048576,3,0)</f>
        <v>0</v>
      </c>
      <c r="BX275" s="7">
        <v>0</v>
      </c>
      <c r="BY275" s="7">
        <f>VLOOKUP($A275,'21.Sep'!$Y$8:$AA$1048576,3,0)</f>
        <v>0</v>
      </c>
      <c r="BZ275" s="8">
        <v>0</v>
      </c>
      <c r="CA275" s="7">
        <f>VLOOKUP($A275,'23.Sep'!$Y$8:$AA$1048576,3,0)</f>
        <v>0</v>
      </c>
      <c r="CB275" s="7">
        <f>VLOOKUP($A275,'24.Sep'!$Y$8:$AA$1048576,3,0)</f>
        <v>0</v>
      </c>
      <c r="CC275" s="7">
        <f>VLOOKUP($A275,'24.Sep'!$Y$8:$AA$1048576,3,0)</f>
        <v>0</v>
      </c>
    </row>
    <row r="276" spans="1:81" outlineLevel="1">
      <c r="A276" s="6" t="s">
        <v>48</v>
      </c>
      <c r="B276" s="7">
        <v>1.6666666666666667E-5</v>
      </c>
      <c r="C276" s="7">
        <v>1.4285714285714287E-5</v>
      </c>
      <c r="D276" s="7">
        <v>0</v>
      </c>
      <c r="E276" s="7">
        <v>2.8571428571428574E-5</v>
      </c>
      <c r="F276" s="7">
        <v>0</v>
      </c>
      <c r="G276" s="7">
        <v>0</v>
      </c>
      <c r="H276" s="7">
        <f t="shared" si="72"/>
        <v>0</v>
      </c>
      <c r="I276" s="7">
        <f t="shared" si="73"/>
        <v>0</v>
      </c>
      <c r="J276" s="7">
        <f t="shared" si="74"/>
        <v>0</v>
      </c>
      <c r="K276" s="7">
        <f t="shared" si="75"/>
        <v>0</v>
      </c>
      <c r="L276" s="7">
        <f t="shared" si="76"/>
        <v>0</v>
      </c>
      <c r="M276" s="8">
        <v>0</v>
      </c>
      <c r="N276" s="8">
        <v>0</v>
      </c>
      <c r="O276" s="8">
        <v>0</v>
      </c>
      <c r="P276" s="8">
        <v>1E-4</v>
      </c>
      <c r="Q276" s="8">
        <v>0</v>
      </c>
      <c r="R276" s="8">
        <v>0</v>
      </c>
      <c r="S276" s="8">
        <v>0</v>
      </c>
      <c r="T276" s="8">
        <v>0</v>
      </c>
      <c r="U276" s="8">
        <v>0</v>
      </c>
      <c r="V276" s="8">
        <v>0</v>
      </c>
      <c r="W276" s="8">
        <v>0</v>
      </c>
      <c r="X276" s="8">
        <v>0</v>
      </c>
      <c r="Y276" s="8">
        <v>1E-4</v>
      </c>
      <c r="Z276" s="8">
        <v>0</v>
      </c>
      <c r="AA276" s="8">
        <v>0</v>
      </c>
      <c r="AB276" s="8">
        <v>0</v>
      </c>
      <c r="AC276" s="8">
        <v>0</v>
      </c>
      <c r="AD276" s="8">
        <v>0</v>
      </c>
      <c r="AE276" s="8">
        <v>0</v>
      </c>
      <c r="AF276" s="8">
        <v>0</v>
      </c>
      <c r="AG276" s="8">
        <v>0</v>
      </c>
      <c r="AH276" s="8">
        <v>0</v>
      </c>
      <c r="AI276" s="8">
        <v>0</v>
      </c>
      <c r="AJ276" s="8">
        <v>0</v>
      </c>
      <c r="AK276" s="8">
        <v>0</v>
      </c>
      <c r="AL276" s="8">
        <v>2.0000000000000001E-4</v>
      </c>
      <c r="AM276" s="7">
        <v>0</v>
      </c>
      <c r="AN276" s="7">
        <v>0</v>
      </c>
      <c r="AO276" s="7">
        <v>0</v>
      </c>
      <c r="AP276" s="8">
        <v>0</v>
      </c>
      <c r="AQ276" s="8">
        <v>0</v>
      </c>
      <c r="AR276" s="7">
        <v>0</v>
      </c>
      <c r="AS276" s="7">
        <v>0</v>
      </c>
      <c r="AT276" s="7">
        <v>0</v>
      </c>
      <c r="AU276" s="8">
        <v>0</v>
      </c>
      <c r="AV276" s="7">
        <v>0</v>
      </c>
      <c r="AW276" s="7">
        <v>0</v>
      </c>
      <c r="AX276" s="8">
        <v>0</v>
      </c>
      <c r="AY276" s="8">
        <v>0</v>
      </c>
      <c r="AZ276" s="7">
        <v>0</v>
      </c>
      <c r="BA276" s="7">
        <v>0</v>
      </c>
      <c r="BB276" s="7">
        <v>0</v>
      </c>
      <c r="BC276" s="7">
        <v>0</v>
      </c>
      <c r="BD276" s="7">
        <v>0</v>
      </c>
      <c r="BE276" s="7">
        <v>0</v>
      </c>
      <c r="BF276" s="7">
        <f>VLOOKUP($A276,'2.Sep'!$Y$8:$AA$1048576,3,0)</f>
        <v>0</v>
      </c>
      <c r="BG276" s="7">
        <f>VLOOKUP($A276,'3.Sep'!$Y$8:$AA$1048576,3,0)</f>
        <v>0</v>
      </c>
      <c r="BH276" s="8">
        <f>VLOOKUP($A276,'4.Sep'!$Y$8:$AA$1048576,3,0)</f>
        <v>0</v>
      </c>
      <c r="BI276" s="8">
        <v>0</v>
      </c>
      <c r="BJ276" s="7">
        <v>0</v>
      </c>
      <c r="BK276" s="8">
        <f>VLOOKUP($A276,'7.Sep'!$Y$8:$AA$1048576,3,0)</f>
        <v>0</v>
      </c>
      <c r="BL276" s="8">
        <f>VLOOKUP($A276,'8.Sep'!$Y$8:$AA$1048576,3,0)</f>
        <v>0</v>
      </c>
      <c r="BM276" s="8">
        <f>VLOOKUP($A276,'9.Sep'!$Y$8:$AA$1048576,3,0)</f>
        <v>0</v>
      </c>
      <c r="BN276" s="7">
        <v>0</v>
      </c>
      <c r="BO276" s="8">
        <f>VLOOKUP($A276,'11.Sep'!$Y$8:$AA$1048576,3,0)</f>
        <v>0</v>
      </c>
      <c r="BP276" s="7">
        <f>VLOOKUP($A276,'12.Sep'!$Y$8:$AA$1048576,3,0)</f>
        <v>0</v>
      </c>
      <c r="BQ276" s="7">
        <f>VLOOKUP($A276,'13.Sep'!$Y$8:$AA$1048576,3,0)</f>
        <v>0</v>
      </c>
      <c r="BR276" s="7">
        <v>0</v>
      </c>
      <c r="BS276" s="7">
        <f>VLOOKUP($A276,'15.Sep'!$Y$8:$AA$1048576,3,0)</f>
        <v>0</v>
      </c>
      <c r="BT276" s="7">
        <f>VLOOKUP($A276,'16.Sep'!$Y$8:$AA$1048576,3,0)</f>
        <v>0</v>
      </c>
      <c r="BU276" s="7">
        <f>VLOOKUP($A276,'17.Sep'!$Y$8:$AA$1048576,3,0)</f>
        <v>0</v>
      </c>
      <c r="BV276" s="7">
        <f>VLOOKUP($A276,'18.Sep'!$Y$8:$AA$1048576,3,0)</f>
        <v>0</v>
      </c>
      <c r="BW276" s="7">
        <f>VLOOKUP($A276,'19.Sep'!$Y$8:$AA$1048576,3,0)</f>
        <v>0</v>
      </c>
      <c r="BX276" s="7">
        <f>VLOOKUP($A276,'20.Sep'!$Y$8:$AA$1048576,3,0)</f>
        <v>0</v>
      </c>
      <c r="BY276" s="7">
        <v>0</v>
      </c>
      <c r="BZ276" s="8">
        <v>0</v>
      </c>
      <c r="CA276" s="7">
        <f>VLOOKUP($A276,'23.Sep'!$Y$8:$AA$1048576,3,0)</f>
        <v>0</v>
      </c>
      <c r="CB276" s="7">
        <f>VLOOKUP($A276,'24.Sep'!$Y$8:$AA$1048576,3,0)</f>
        <v>0</v>
      </c>
      <c r="CC276" s="7">
        <f>VLOOKUP($A276,'24.Sep'!$Y$8:$AA$1048576,3,0)</f>
        <v>0</v>
      </c>
    </row>
    <row r="277" spans="1:81" outlineLevel="1">
      <c r="A277" s="6" t="s">
        <v>49</v>
      </c>
      <c r="B277" s="7">
        <v>0</v>
      </c>
      <c r="C277" s="7">
        <v>0</v>
      </c>
      <c r="D277" s="7">
        <v>1.4285714285714287E-5</v>
      </c>
      <c r="E277" s="7">
        <v>0</v>
      </c>
      <c r="F277" s="7">
        <v>0</v>
      </c>
      <c r="G277" s="7">
        <v>0</v>
      </c>
      <c r="H277" s="7">
        <f t="shared" si="72"/>
        <v>0</v>
      </c>
      <c r="I277" s="7">
        <f t="shared" si="73"/>
        <v>0</v>
      </c>
      <c r="J277" s="7">
        <f t="shared" si="74"/>
        <v>0</v>
      </c>
      <c r="K277" s="7">
        <f t="shared" si="75"/>
        <v>0</v>
      </c>
      <c r="L277" s="7">
        <f t="shared" si="76"/>
        <v>0</v>
      </c>
      <c r="M277" s="8">
        <v>0</v>
      </c>
      <c r="N277" s="8">
        <v>0</v>
      </c>
      <c r="O277" s="8">
        <v>0</v>
      </c>
      <c r="P277" s="8">
        <v>0</v>
      </c>
      <c r="Q277" s="8">
        <v>0</v>
      </c>
      <c r="R277" s="8">
        <v>0</v>
      </c>
      <c r="S277" s="8">
        <v>0</v>
      </c>
      <c r="T277" s="8">
        <v>0</v>
      </c>
      <c r="U277" s="8">
        <v>0</v>
      </c>
      <c r="V277" s="8">
        <v>0</v>
      </c>
      <c r="W277" s="8">
        <v>0</v>
      </c>
      <c r="X277" s="8">
        <v>0</v>
      </c>
      <c r="Y277" s="8">
        <v>0</v>
      </c>
      <c r="Z277" s="8">
        <v>0</v>
      </c>
      <c r="AA277" s="8">
        <v>1E-4</v>
      </c>
      <c r="AB277" s="8">
        <v>0</v>
      </c>
      <c r="AC277" s="8">
        <v>0</v>
      </c>
      <c r="AD277" s="8">
        <v>0</v>
      </c>
      <c r="AE277" s="8">
        <v>0</v>
      </c>
      <c r="AF277" s="8">
        <v>0</v>
      </c>
      <c r="AG277" s="8">
        <v>0</v>
      </c>
      <c r="AH277" s="8">
        <v>0</v>
      </c>
      <c r="AI277" s="8">
        <v>0</v>
      </c>
      <c r="AJ277" s="8">
        <v>0</v>
      </c>
      <c r="AK277" s="8">
        <v>0</v>
      </c>
      <c r="AL277" s="8">
        <v>0</v>
      </c>
      <c r="AM277" s="7">
        <v>0</v>
      </c>
      <c r="AN277" s="8">
        <v>0</v>
      </c>
      <c r="AO277" s="8">
        <v>0</v>
      </c>
      <c r="AP277" s="8">
        <v>0</v>
      </c>
      <c r="AQ277" s="8">
        <v>0</v>
      </c>
      <c r="AR277" s="8">
        <v>0</v>
      </c>
      <c r="AS277" s="8">
        <v>0</v>
      </c>
      <c r="AT277" s="8">
        <v>0</v>
      </c>
      <c r="AU277" s="8">
        <v>0</v>
      </c>
      <c r="AV277" s="8">
        <v>0</v>
      </c>
      <c r="AW277" s="8">
        <v>0</v>
      </c>
      <c r="AX277" s="8">
        <v>0</v>
      </c>
      <c r="AY277" s="8">
        <v>0</v>
      </c>
      <c r="AZ277" s="8">
        <v>0</v>
      </c>
      <c r="BA277" s="7">
        <v>0</v>
      </c>
      <c r="BB277" s="7">
        <v>0</v>
      </c>
      <c r="BC277" s="8">
        <v>0</v>
      </c>
      <c r="BD277" s="7">
        <v>0</v>
      </c>
      <c r="BE277" s="7">
        <v>0</v>
      </c>
      <c r="BF277" s="7">
        <v>0</v>
      </c>
      <c r="BG277" s="7">
        <v>0</v>
      </c>
      <c r="BH277" s="8">
        <v>0</v>
      </c>
      <c r="BI277" s="8">
        <v>0</v>
      </c>
      <c r="BJ277" s="7">
        <v>0</v>
      </c>
      <c r="BK277" s="7">
        <v>0</v>
      </c>
      <c r="BL277" s="7">
        <v>0</v>
      </c>
      <c r="BM277" s="7">
        <v>0</v>
      </c>
      <c r="BN277" s="7">
        <v>0</v>
      </c>
      <c r="BO277" s="8">
        <v>0</v>
      </c>
      <c r="BP277" s="7">
        <f>VLOOKUP($A277,'12.Sep'!$Y$8:$AA$1048576,3,0)</f>
        <v>0</v>
      </c>
      <c r="BQ277" s="7">
        <v>0</v>
      </c>
      <c r="BR277" s="7">
        <v>0</v>
      </c>
      <c r="BS277" s="7">
        <v>0</v>
      </c>
      <c r="BT277" s="7">
        <v>0</v>
      </c>
      <c r="BU277" s="7">
        <v>0</v>
      </c>
      <c r="BV277" s="7">
        <v>0</v>
      </c>
      <c r="BW277" s="7">
        <v>0</v>
      </c>
      <c r="BX277" s="7">
        <v>0</v>
      </c>
      <c r="BY277" s="7">
        <v>0</v>
      </c>
      <c r="BZ277" s="8">
        <v>0</v>
      </c>
      <c r="CA277" s="7">
        <v>0</v>
      </c>
      <c r="CB277" s="7">
        <v>0</v>
      </c>
      <c r="CC277" s="7">
        <v>0</v>
      </c>
    </row>
    <row r="278" spans="1:81" outlineLevel="1">
      <c r="A278" s="6" t="s">
        <v>50</v>
      </c>
      <c r="B278" s="7">
        <v>0</v>
      </c>
      <c r="C278" s="7">
        <v>4.2857142857142863E-5</v>
      </c>
      <c r="D278" s="7">
        <v>2.8571428571428574E-5</v>
      </c>
      <c r="E278" s="7">
        <v>0</v>
      </c>
      <c r="F278" s="7">
        <v>0</v>
      </c>
      <c r="G278" s="7">
        <v>0</v>
      </c>
      <c r="H278" s="7">
        <f t="shared" si="72"/>
        <v>0</v>
      </c>
      <c r="I278" s="7">
        <f t="shared" si="73"/>
        <v>0</v>
      </c>
      <c r="J278" s="7">
        <f t="shared" si="74"/>
        <v>0</v>
      </c>
      <c r="K278" s="7">
        <f t="shared" si="75"/>
        <v>0</v>
      </c>
      <c r="L278" s="7">
        <f t="shared" si="76"/>
        <v>0</v>
      </c>
      <c r="M278" s="8">
        <v>0</v>
      </c>
      <c r="N278" s="8">
        <v>0</v>
      </c>
      <c r="O278" s="8">
        <v>0</v>
      </c>
      <c r="P278" s="8">
        <v>0</v>
      </c>
      <c r="Q278" s="8">
        <v>0</v>
      </c>
      <c r="R278" s="8">
        <v>0</v>
      </c>
      <c r="S278" s="8">
        <v>0</v>
      </c>
      <c r="T278" s="8">
        <v>1E-4</v>
      </c>
      <c r="U278" s="8">
        <v>1E-4</v>
      </c>
      <c r="V278" s="8">
        <v>1E-4</v>
      </c>
      <c r="W278" s="8">
        <v>0</v>
      </c>
      <c r="X278" s="8">
        <v>0</v>
      </c>
      <c r="Y278" s="8">
        <v>0</v>
      </c>
      <c r="Z278" s="8">
        <v>2.0000000000000001E-4</v>
      </c>
      <c r="AA278" s="8">
        <v>0</v>
      </c>
      <c r="AB278" s="8">
        <v>0</v>
      </c>
      <c r="AC278" s="8">
        <v>0</v>
      </c>
      <c r="AD278" s="8">
        <v>0</v>
      </c>
      <c r="AE278" s="8">
        <v>0</v>
      </c>
      <c r="AF278" s="8">
        <v>0</v>
      </c>
      <c r="AG278" s="8">
        <v>0</v>
      </c>
      <c r="AH278" s="8">
        <v>0</v>
      </c>
      <c r="AI278" s="8">
        <v>0</v>
      </c>
      <c r="AJ278" s="8">
        <v>0</v>
      </c>
      <c r="AK278" s="8">
        <v>0</v>
      </c>
      <c r="AL278" s="8">
        <v>0</v>
      </c>
      <c r="AM278" s="7">
        <v>0</v>
      </c>
      <c r="AN278" s="8">
        <v>0</v>
      </c>
      <c r="AO278" s="8">
        <v>0</v>
      </c>
      <c r="AP278" s="8">
        <v>0</v>
      </c>
      <c r="AQ278" s="8">
        <v>0</v>
      </c>
      <c r="AR278" s="8">
        <v>0</v>
      </c>
      <c r="AS278" s="7">
        <v>0</v>
      </c>
      <c r="AT278" s="8">
        <v>0</v>
      </c>
      <c r="AU278" s="8">
        <v>0</v>
      </c>
      <c r="AV278" s="8">
        <v>0</v>
      </c>
      <c r="AW278" s="8">
        <v>0</v>
      </c>
      <c r="AX278" s="8">
        <v>0</v>
      </c>
      <c r="AY278" s="8">
        <v>0</v>
      </c>
      <c r="AZ278" s="8">
        <v>0</v>
      </c>
      <c r="BA278" s="7">
        <v>0</v>
      </c>
      <c r="BB278" s="7">
        <v>0</v>
      </c>
      <c r="BC278" s="8">
        <v>0</v>
      </c>
      <c r="BD278" s="7">
        <v>0</v>
      </c>
      <c r="BE278" s="7">
        <v>0</v>
      </c>
      <c r="BF278" s="7">
        <v>0</v>
      </c>
      <c r="BG278" s="7">
        <v>0</v>
      </c>
      <c r="BH278" s="8">
        <v>0</v>
      </c>
      <c r="BI278" s="8">
        <v>0</v>
      </c>
      <c r="BJ278" s="7">
        <v>0</v>
      </c>
      <c r="BK278" s="7">
        <v>0</v>
      </c>
      <c r="BL278" s="7">
        <v>0</v>
      </c>
      <c r="BM278" s="7">
        <v>0</v>
      </c>
      <c r="BN278" s="7">
        <v>0</v>
      </c>
      <c r="BO278" s="8">
        <v>0</v>
      </c>
      <c r="BP278" s="7">
        <v>0</v>
      </c>
      <c r="BQ278" s="7">
        <v>0</v>
      </c>
      <c r="BR278" s="7">
        <v>0</v>
      </c>
      <c r="BS278" s="7">
        <v>0</v>
      </c>
      <c r="BT278" s="7">
        <v>0</v>
      </c>
      <c r="BU278" s="7">
        <v>0</v>
      </c>
      <c r="BV278" s="7">
        <v>0</v>
      </c>
      <c r="BW278" s="7">
        <v>0</v>
      </c>
      <c r="BX278" s="7">
        <v>0</v>
      </c>
      <c r="BY278" s="7">
        <v>0</v>
      </c>
      <c r="BZ278" s="8">
        <v>0</v>
      </c>
      <c r="CA278" s="7">
        <v>0</v>
      </c>
      <c r="CB278" s="7">
        <v>0</v>
      </c>
      <c r="CC278" s="7">
        <v>0</v>
      </c>
    </row>
    <row r="279" spans="1:81" outlineLevel="1">
      <c r="A279" s="6" t="s">
        <v>51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f t="shared" si="72"/>
        <v>0</v>
      </c>
      <c r="I279" s="7">
        <f t="shared" si="73"/>
        <v>0</v>
      </c>
      <c r="J279" s="7">
        <f t="shared" si="74"/>
        <v>0</v>
      </c>
      <c r="K279" s="7">
        <f t="shared" si="75"/>
        <v>0</v>
      </c>
      <c r="L279" s="7">
        <f t="shared" si="76"/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  <c r="T279" s="8">
        <v>0</v>
      </c>
      <c r="U279" s="8">
        <v>0</v>
      </c>
      <c r="V279" s="8">
        <v>0</v>
      </c>
      <c r="W279" s="8">
        <v>0</v>
      </c>
      <c r="X279" s="8">
        <v>0</v>
      </c>
      <c r="Y279" s="8">
        <v>0</v>
      </c>
      <c r="Z279" s="8">
        <v>0</v>
      </c>
      <c r="AA279" s="8">
        <v>0</v>
      </c>
      <c r="AB279" s="8">
        <v>0</v>
      </c>
      <c r="AC279" s="8">
        <v>0</v>
      </c>
      <c r="AD279" s="8">
        <v>0</v>
      </c>
      <c r="AE279" s="8">
        <v>0</v>
      </c>
      <c r="AF279" s="8">
        <v>0</v>
      </c>
      <c r="AG279" s="8">
        <v>0</v>
      </c>
      <c r="AH279" s="8">
        <v>0</v>
      </c>
      <c r="AI279" s="8">
        <v>0</v>
      </c>
      <c r="AJ279" s="8">
        <v>0</v>
      </c>
      <c r="AK279" s="8">
        <v>0</v>
      </c>
      <c r="AL279" s="8">
        <v>0</v>
      </c>
      <c r="AM279" s="7">
        <v>0</v>
      </c>
      <c r="AN279" s="7">
        <v>0</v>
      </c>
      <c r="AO279" s="8">
        <v>0</v>
      </c>
      <c r="AP279" s="8">
        <v>0</v>
      </c>
      <c r="AQ279" s="8">
        <v>0</v>
      </c>
      <c r="AR279" s="7">
        <v>0</v>
      </c>
      <c r="AS279" s="8">
        <v>0</v>
      </c>
      <c r="AT279" s="7">
        <v>0</v>
      </c>
      <c r="AU279" s="8">
        <v>0</v>
      </c>
      <c r="AV279" s="8">
        <v>0</v>
      </c>
      <c r="AW279" s="8">
        <v>0</v>
      </c>
      <c r="AX279" s="7">
        <v>0</v>
      </c>
      <c r="AY279" s="8">
        <v>0</v>
      </c>
      <c r="AZ279" s="8">
        <v>0</v>
      </c>
      <c r="BA279" s="7">
        <v>0</v>
      </c>
      <c r="BB279" s="7">
        <v>0</v>
      </c>
      <c r="BC279" s="8">
        <v>0</v>
      </c>
      <c r="BD279" s="7">
        <v>0</v>
      </c>
      <c r="BE279" s="7">
        <f>VLOOKUP($A279,'1.Sep'!$Y$8:$AA$1048576,3,0)</f>
        <v>0</v>
      </c>
      <c r="BF279" s="7">
        <v>0</v>
      </c>
      <c r="BG279" s="7">
        <v>0</v>
      </c>
      <c r="BH279" s="8">
        <v>0</v>
      </c>
      <c r="BI279" s="8">
        <f>VLOOKUP($A279,'5.Sep'!$Y$8:$AA$1048576,3,0)</f>
        <v>0</v>
      </c>
      <c r="BJ279" s="7">
        <v>0</v>
      </c>
      <c r="BK279" s="7">
        <v>0</v>
      </c>
      <c r="BL279" s="7">
        <v>0</v>
      </c>
      <c r="BM279" s="7">
        <v>0</v>
      </c>
      <c r="BN279" s="7">
        <v>0</v>
      </c>
      <c r="BO279" s="8">
        <f>VLOOKUP($A279,'11.Sep'!$Y$8:$AA$1048576,3,0)</f>
        <v>0</v>
      </c>
      <c r="BP279" s="7">
        <v>0</v>
      </c>
      <c r="BQ279" s="7">
        <v>0</v>
      </c>
      <c r="BR279" s="7">
        <v>0</v>
      </c>
      <c r="BS279" s="7">
        <v>0</v>
      </c>
      <c r="BT279" s="7">
        <v>0</v>
      </c>
      <c r="BU279" s="7">
        <v>0</v>
      </c>
      <c r="BV279" s="7">
        <v>0</v>
      </c>
      <c r="BW279" s="7">
        <v>0</v>
      </c>
      <c r="BX279" s="7">
        <f>VLOOKUP($A279,'20.Sep'!$Y$8:$AA$1048576,3,0)</f>
        <v>0</v>
      </c>
      <c r="BY279" s="7">
        <v>0</v>
      </c>
      <c r="BZ279" s="8">
        <v>0</v>
      </c>
      <c r="CA279" s="7">
        <v>0</v>
      </c>
      <c r="CB279" s="7">
        <f>VLOOKUP($A279,'24.Sep'!$Y$8:$AA$1048576,3,0)</f>
        <v>0</v>
      </c>
      <c r="CC279" s="7">
        <f>VLOOKUP($A279,'24.Sep'!$Y$8:$AA$1048576,3,0)</f>
        <v>0</v>
      </c>
    </row>
    <row r="280" spans="1:81" outlineLevel="1">
      <c r="A280" s="6" t="s">
        <v>52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f t="shared" si="72"/>
        <v>0</v>
      </c>
      <c r="I280" s="7">
        <f t="shared" si="73"/>
        <v>0</v>
      </c>
      <c r="J280" s="7">
        <f t="shared" si="74"/>
        <v>0</v>
      </c>
      <c r="K280" s="7">
        <f t="shared" si="75"/>
        <v>0</v>
      </c>
      <c r="L280" s="7">
        <f t="shared" si="76"/>
        <v>0</v>
      </c>
      <c r="M280" s="8">
        <v>0</v>
      </c>
      <c r="N280" s="8">
        <v>0</v>
      </c>
      <c r="O280" s="8">
        <v>0</v>
      </c>
      <c r="P280" s="8">
        <v>0</v>
      </c>
      <c r="Q280" s="8">
        <v>0</v>
      </c>
      <c r="R280" s="8">
        <v>0</v>
      </c>
      <c r="S280" s="8">
        <v>0</v>
      </c>
      <c r="T280" s="8">
        <v>0</v>
      </c>
      <c r="U280" s="8">
        <v>0</v>
      </c>
      <c r="V280" s="8">
        <v>0</v>
      </c>
      <c r="W280" s="8">
        <v>0</v>
      </c>
      <c r="X280" s="8">
        <v>0</v>
      </c>
      <c r="Y280" s="8">
        <v>0</v>
      </c>
      <c r="Z280" s="8">
        <v>0</v>
      </c>
      <c r="AA280" s="8">
        <v>0</v>
      </c>
      <c r="AB280" s="8">
        <v>0</v>
      </c>
      <c r="AC280" s="8">
        <v>0</v>
      </c>
      <c r="AD280" s="8">
        <v>0</v>
      </c>
      <c r="AE280" s="8">
        <v>0</v>
      </c>
      <c r="AF280" s="8">
        <v>0</v>
      </c>
      <c r="AG280" s="8">
        <v>0</v>
      </c>
      <c r="AH280" s="8">
        <v>0</v>
      </c>
      <c r="AI280" s="8">
        <v>0</v>
      </c>
      <c r="AJ280" s="8">
        <v>0</v>
      </c>
      <c r="AK280" s="8">
        <v>0</v>
      </c>
      <c r="AL280" s="8">
        <v>0</v>
      </c>
      <c r="AM280" s="7">
        <v>0</v>
      </c>
      <c r="AN280" s="8">
        <v>0</v>
      </c>
      <c r="AO280" s="8">
        <v>0</v>
      </c>
      <c r="AP280" s="8">
        <v>0</v>
      </c>
      <c r="AQ280" s="8">
        <v>0</v>
      </c>
      <c r="AR280" s="8">
        <v>0</v>
      </c>
      <c r="AS280" s="8">
        <v>0</v>
      </c>
      <c r="AT280" s="8">
        <v>0</v>
      </c>
      <c r="AU280" s="8">
        <v>0</v>
      </c>
      <c r="AV280" s="8">
        <v>0</v>
      </c>
      <c r="AW280" s="8">
        <v>0</v>
      </c>
      <c r="AX280" s="8">
        <v>0</v>
      </c>
      <c r="AY280" s="8">
        <v>0</v>
      </c>
      <c r="AZ280" s="8">
        <v>0</v>
      </c>
      <c r="BA280" s="7">
        <v>0</v>
      </c>
      <c r="BB280" s="7">
        <v>0</v>
      </c>
      <c r="BC280" s="8">
        <v>0</v>
      </c>
      <c r="BD280" s="7">
        <v>0</v>
      </c>
      <c r="BE280" s="7">
        <v>0</v>
      </c>
      <c r="BF280" s="7">
        <v>0</v>
      </c>
      <c r="BG280" s="7">
        <v>0</v>
      </c>
      <c r="BH280" s="8">
        <v>0</v>
      </c>
      <c r="BI280" s="8">
        <v>0</v>
      </c>
      <c r="BJ280" s="7">
        <v>0</v>
      </c>
      <c r="BK280" s="7">
        <v>0</v>
      </c>
      <c r="BL280" s="7">
        <v>0</v>
      </c>
      <c r="BM280" s="7">
        <v>0</v>
      </c>
      <c r="BN280" s="7">
        <v>0</v>
      </c>
      <c r="BO280" s="8">
        <v>0</v>
      </c>
      <c r="BP280" s="7">
        <v>0</v>
      </c>
      <c r="BQ280" s="7">
        <v>0</v>
      </c>
      <c r="BR280" s="7">
        <v>0</v>
      </c>
      <c r="BS280" s="7">
        <v>0</v>
      </c>
      <c r="BT280" s="7">
        <v>0</v>
      </c>
      <c r="BU280" s="7">
        <v>0</v>
      </c>
      <c r="BV280" s="7">
        <v>0</v>
      </c>
      <c r="BW280" s="7">
        <v>0</v>
      </c>
      <c r="BX280" s="7">
        <v>0</v>
      </c>
      <c r="BY280" s="7">
        <v>0</v>
      </c>
      <c r="BZ280" s="8">
        <v>0</v>
      </c>
      <c r="CA280" s="7">
        <v>0</v>
      </c>
      <c r="CB280" s="7">
        <v>0</v>
      </c>
      <c r="CC280" s="7">
        <v>0</v>
      </c>
    </row>
    <row r="281" spans="1:81" outlineLevel="1">
      <c r="A281" s="6" t="s">
        <v>53</v>
      </c>
      <c r="B281" s="7">
        <v>1.6666666666666667E-5</v>
      </c>
      <c r="C281" s="7">
        <v>1.4285714285714287E-5</v>
      </c>
      <c r="D281" s="7">
        <v>0</v>
      </c>
      <c r="E281" s="7">
        <v>0</v>
      </c>
      <c r="F281" s="7">
        <v>1.4285714285714287E-5</v>
      </c>
      <c r="G281" s="7">
        <v>0</v>
      </c>
      <c r="H281" s="7">
        <f t="shared" si="72"/>
        <v>0</v>
      </c>
      <c r="I281" s="7">
        <f t="shared" si="73"/>
        <v>0</v>
      </c>
      <c r="J281" s="7">
        <f t="shared" si="74"/>
        <v>0</v>
      </c>
      <c r="K281" s="7">
        <f t="shared" si="75"/>
        <v>0</v>
      </c>
      <c r="L281" s="7">
        <f t="shared" si="76"/>
        <v>0</v>
      </c>
      <c r="M281" s="8">
        <v>0</v>
      </c>
      <c r="N281" s="8">
        <v>0</v>
      </c>
      <c r="O281" s="8">
        <v>0</v>
      </c>
      <c r="P281" s="8">
        <v>1E-4</v>
      </c>
      <c r="Q281" s="8">
        <v>0</v>
      </c>
      <c r="R281" s="8">
        <v>0</v>
      </c>
      <c r="S281" s="8">
        <v>0</v>
      </c>
      <c r="T281" s="8">
        <v>0</v>
      </c>
      <c r="U281" s="8">
        <v>1E-4</v>
      </c>
      <c r="V281" s="8">
        <v>0</v>
      </c>
      <c r="W281" s="8">
        <v>0</v>
      </c>
      <c r="X281" s="8">
        <v>0</v>
      </c>
      <c r="Y281" s="8">
        <v>0</v>
      </c>
      <c r="Z281" s="8">
        <v>0</v>
      </c>
      <c r="AA281" s="8">
        <v>0</v>
      </c>
      <c r="AB281" s="8">
        <v>0</v>
      </c>
      <c r="AC281" s="8">
        <v>0</v>
      </c>
      <c r="AD281" s="8">
        <v>0</v>
      </c>
      <c r="AE281" s="8">
        <v>0</v>
      </c>
      <c r="AF281" s="8">
        <v>0</v>
      </c>
      <c r="AG281" s="8">
        <v>0</v>
      </c>
      <c r="AH281" s="8">
        <v>0</v>
      </c>
      <c r="AI281" s="8">
        <v>0</v>
      </c>
      <c r="AJ281" s="8">
        <v>0</v>
      </c>
      <c r="AK281" s="8">
        <v>0</v>
      </c>
      <c r="AL281" s="8">
        <v>0</v>
      </c>
      <c r="AM281" s="7">
        <v>0</v>
      </c>
      <c r="AN281" s="8">
        <v>0</v>
      </c>
      <c r="AO281" s="7">
        <v>0</v>
      </c>
      <c r="AP281" s="7">
        <v>1E-4</v>
      </c>
      <c r="AQ281" s="7">
        <v>0</v>
      </c>
      <c r="AR281" s="8">
        <v>0</v>
      </c>
      <c r="AS281" s="8">
        <v>0</v>
      </c>
      <c r="AT281" s="8">
        <v>0</v>
      </c>
      <c r="AU281" s="7">
        <v>0</v>
      </c>
      <c r="AV281" s="7">
        <v>0</v>
      </c>
      <c r="AW281" s="8">
        <v>0</v>
      </c>
      <c r="AX281" s="8">
        <v>0</v>
      </c>
      <c r="AY281" s="7">
        <v>0</v>
      </c>
      <c r="AZ281" s="8">
        <v>0</v>
      </c>
      <c r="BA281" s="7">
        <v>0</v>
      </c>
      <c r="BB281" s="7">
        <v>0</v>
      </c>
      <c r="BC281" s="8">
        <v>0</v>
      </c>
      <c r="BD281" s="7">
        <v>0</v>
      </c>
      <c r="BE281" s="7">
        <v>0</v>
      </c>
      <c r="BF281" s="7">
        <v>0</v>
      </c>
      <c r="BG281" s="7">
        <f>VLOOKUP($A281,'3.Sep'!$Y$8:$AA$1048576,3,0)</f>
        <v>0</v>
      </c>
      <c r="BH281" s="8">
        <f>VLOOKUP($A281,'4.Sep'!$Y$8:$AA$1048576,3,0)</f>
        <v>0</v>
      </c>
      <c r="BI281" s="8">
        <v>0</v>
      </c>
      <c r="BJ281" s="8">
        <f>VLOOKUP($A281,'6.Sep'!$Y$8:$AA$1048576,3,0)</f>
        <v>0</v>
      </c>
      <c r="BK281" s="7">
        <v>0</v>
      </c>
      <c r="BL281" s="7">
        <v>0</v>
      </c>
      <c r="BM281" s="7">
        <v>0</v>
      </c>
      <c r="BN281" s="8">
        <f>VLOOKUP($A281,'10.Sep'!$Y$8:$AA$1048576,3,0)</f>
        <v>0</v>
      </c>
      <c r="BO281" s="8">
        <f>VLOOKUP($A281,'11.Sep'!$Y$8:$AA$1048576,3,0)</f>
        <v>0</v>
      </c>
      <c r="BP281" s="7">
        <v>0</v>
      </c>
      <c r="BQ281" s="7">
        <v>0</v>
      </c>
      <c r="BR281" s="7">
        <v>0</v>
      </c>
      <c r="BS281" s="7">
        <v>0</v>
      </c>
      <c r="BT281" s="7">
        <f>VLOOKUP($A281,'16.Sep'!$Y$8:$AA$1048576,3,0)</f>
        <v>0</v>
      </c>
      <c r="BU281" s="7">
        <f>VLOOKUP($A281,'17.Sep'!$Y$8:$AA$1048576,3,0)</f>
        <v>0</v>
      </c>
      <c r="BV281" s="7">
        <v>0</v>
      </c>
      <c r="BW281" s="7">
        <v>0</v>
      </c>
      <c r="BX281" s="7">
        <v>0</v>
      </c>
      <c r="BY281" s="7">
        <f>VLOOKUP($A281,'21.Sep'!$Y$8:$AA$1048576,3,0)</f>
        <v>0</v>
      </c>
      <c r="BZ281" s="8">
        <v>0</v>
      </c>
      <c r="CA281" s="7">
        <f>VLOOKUP($A281,'23.Sep'!$Y$8:$AA$1048576,3,0)</f>
        <v>0</v>
      </c>
      <c r="CB281" s="7">
        <f>VLOOKUP($A281,'24.Sep'!$Y$8:$AA$1048576,3,0)</f>
        <v>0</v>
      </c>
      <c r="CC281" s="7">
        <f>VLOOKUP($A281,'24.Sep'!$Y$8:$AA$1048576,3,0)</f>
        <v>0</v>
      </c>
    </row>
    <row r="282" spans="1:81" outlineLevel="1">
      <c r="A282" s="6" t="s">
        <v>54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f t="shared" si="72"/>
        <v>0</v>
      </c>
      <c r="I282" s="7">
        <f t="shared" si="73"/>
        <v>0</v>
      </c>
      <c r="J282" s="7">
        <f t="shared" si="74"/>
        <v>0</v>
      </c>
      <c r="K282" s="7">
        <f t="shared" si="75"/>
        <v>0</v>
      </c>
      <c r="L282" s="7">
        <f t="shared" si="76"/>
        <v>0</v>
      </c>
      <c r="M282" s="8">
        <v>0</v>
      </c>
      <c r="N282" s="8">
        <v>0</v>
      </c>
      <c r="O282" s="8">
        <v>0</v>
      </c>
      <c r="P282" s="8">
        <v>0</v>
      </c>
      <c r="Q282" s="8">
        <v>0</v>
      </c>
      <c r="R282" s="8">
        <v>0</v>
      </c>
      <c r="S282" s="8">
        <v>0</v>
      </c>
      <c r="T282" s="8">
        <v>0</v>
      </c>
      <c r="U282" s="8">
        <v>0</v>
      </c>
      <c r="V282" s="8">
        <v>0</v>
      </c>
      <c r="W282" s="8">
        <v>0</v>
      </c>
      <c r="X282" s="8">
        <v>0</v>
      </c>
      <c r="Y282" s="8">
        <v>0</v>
      </c>
      <c r="Z282" s="8">
        <v>0</v>
      </c>
      <c r="AA282" s="8">
        <v>0</v>
      </c>
      <c r="AB282" s="8">
        <v>0</v>
      </c>
      <c r="AC282" s="8">
        <v>0</v>
      </c>
      <c r="AD282" s="8">
        <v>0</v>
      </c>
      <c r="AE282" s="8">
        <v>0</v>
      </c>
      <c r="AF282" s="8">
        <v>0</v>
      </c>
      <c r="AG282" s="8">
        <v>0</v>
      </c>
      <c r="AH282" s="8">
        <v>0</v>
      </c>
      <c r="AI282" s="8">
        <v>0</v>
      </c>
      <c r="AJ282" s="8">
        <v>0</v>
      </c>
      <c r="AK282" s="8">
        <v>0</v>
      </c>
      <c r="AL282" s="8">
        <v>0</v>
      </c>
      <c r="AM282" s="7">
        <v>0</v>
      </c>
      <c r="AN282" s="8">
        <v>0</v>
      </c>
      <c r="AO282" s="8">
        <v>0</v>
      </c>
      <c r="AP282" s="8">
        <v>0</v>
      </c>
      <c r="AQ282" s="8">
        <v>0</v>
      </c>
      <c r="AR282" s="8">
        <v>0</v>
      </c>
      <c r="AS282" s="8">
        <v>0</v>
      </c>
      <c r="AT282" s="8">
        <v>0</v>
      </c>
      <c r="AU282" s="8">
        <v>0</v>
      </c>
      <c r="AV282" s="8">
        <v>0</v>
      </c>
      <c r="AW282" s="8">
        <v>0</v>
      </c>
      <c r="AX282" s="8">
        <v>0</v>
      </c>
      <c r="AY282" s="8">
        <v>0</v>
      </c>
      <c r="AZ282" s="8">
        <v>0</v>
      </c>
      <c r="BA282" s="7">
        <v>0</v>
      </c>
      <c r="BB282" s="7">
        <v>0</v>
      </c>
      <c r="BC282" s="8">
        <v>0</v>
      </c>
      <c r="BD282" s="7">
        <v>0</v>
      </c>
      <c r="BE282" s="7">
        <v>0</v>
      </c>
      <c r="BF282" s="7">
        <v>0</v>
      </c>
      <c r="BG282" s="7">
        <v>0</v>
      </c>
      <c r="BH282" s="8">
        <v>0</v>
      </c>
      <c r="BI282" s="8">
        <v>0</v>
      </c>
      <c r="BJ282" s="7">
        <v>0</v>
      </c>
      <c r="BK282" s="7">
        <v>0</v>
      </c>
      <c r="BL282" s="7">
        <v>0</v>
      </c>
      <c r="BM282" s="7">
        <v>0</v>
      </c>
      <c r="BN282" s="7">
        <v>0</v>
      </c>
      <c r="BO282" s="8">
        <v>0</v>
      </c>
      <c r="BP282" s="7">
        <v>0</v>
      </c>
      <c r="BQ282" s="7">
        <v>0</v>
      </c>
      <c r="BR282" s="7">
        <v>0</v>
      </c>
      <c r="BS282" s="7">
        <v>0</v>
      </c>
      <c r="BT282" s="7">
        <v>0</v>
      </c>
      <c r="BU282" s="7">
        <v>0</v>
      </c>
      <c r="BV282" s="7">
        <v>0</v>
      </c>
      <c r="BW282" s="7">
        <v>0</v>
      </c>
      <c r="BX282" s="7">
        <v>0</v>
      </c>
      <c r="BY282" s="7">
        <v>0</v>
      </c>
      <c r="BZ282" s="8">
        <v>0</v>
      </c>
      <c r="CA282" s="7">
        <v>0</v>
      </c>
      <c r="CB282" s="7">
        <v>0</v>
      </c>
      <c r="CC282" s="7">
        <v>0</v>
      </c>
    </row>
    <row r="283" spans="1:81" outlineLevel="1">
      <c r="A283" s="6" t="s">
        <v>55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f t="shared" si="72"/>
        <v>0</v>
      </c>
      <c r="I283" s="7">
        <f t="shared" si="73"/>
        <v>0</v>
      </c>
      <c r="J283" s="7">
        <f t="shared" si="74"/>
        <v>0</v>
      </c>
      <c r="K283" s="7">
        <f t="shared" si="75"/>
        <v>0</v>
      </c>
      <c r="L283" s="7">
        <f t="shared" si="76"/>
        <v>0</v>
      </c>
      <c r="M283" s="8">
        <v>0</v>
      </c>
      <c r="N283" s="8">
        <v>0</v>
      </c>
      <c r="O283" s="8">
        <v>0</v>
      </c>
      <c r="P283" s="8">
        <v>0</v>
      </c>
      <c r="Q283" s="8">
        <v>0</v>
      </c>
      <c r="R283" s="8">
        <v>0</v>
      </c>
      <c r="S283" s="8">
        <v>0</v>
      </c>
      <c r="T283" s="8">
        <v>0</v>
      </c>
      <c r="U283" s="8">
        <v>0</v>
      </c>
      <c r="V283" s="8">
        <v>0</v>
      </c>
      <c r="W283" s="8">
        <v>0</v>
      </c>
      <c r="X283" s="8">
        <v>0</v>
      </c>
      <c r="Y283" s="8">
        <v>0</v>
      </c>
      <c r="Z283" s="8">
        <v>0</v>
      </c>
      <c r="AA283" s="8">
        <v>0</v>
      </c>
      <c r="AB283" s="8">
        <v>0</v>
      </c>
      <c r="AC283" s="8">
        <v>0</v>
      </c>
      <c r="AD283" s="8">
        <v>0</v>
      </c>
      <c r="AE283" s="8">
        <v>0</v>
      </c>
      <c r="AF283" s="8">
        <v>0</v>
      </c>
      <c r="AG283" s="8">
        <v>0</v>
      </c>
      <c r="AH283" s="8">
        <v>0</v>
      </c>
      <c r="AI283" s="8">
        <v>0</v>
      </c>
      <c r="AJ283" s="8">
        <v>0</v>
      </c>
      <c r="AK283" s="8">
        <v>0</v>
      </c>
      <c r="AL283" s="8">
        <v>0</v>
      </c>
      <c r="AM283" s="7">
        <v>0</v>
      </c>
      <c r="AN283" s="8">
        <v>0</v>
      </c>
      <c r="AO283" s="7">
        <v>0</v>
      </c>
      <c r="AP283" s="8">
        <v>0</v>
      </c>
      <c r="AQ283" s="8">
        <v>0</v>
      </c>
      <c r="AR283" s="8">
        <v>0</v>
      </c>
      <c r="AS283" s="8">
        <v>0</v>
      </c>
      <c r="AT283" s="8">
        <v>0</v>
      </c>
      <c r="AU283" s="8">
        <v>0</v>
      </c>
      <c r="AV283" s="8">
        <v>0</v>
      </c>
      <c r="AW283" s="8">
        <v>0</v>
      </c>
      <c r="AX283" s="8">
        <v>0</v>
      </c>
      <c r="AY283" s="8">
        <v>0</v>
      </c>
      <c r="AZ283" s="8">
        <v>0</v>
      </c>
      <c r="BA283" s="7">
        <v>0</v>
      </c>
      <c r="BB283" s="7">
        <v>0</v>
      </c>
      <c r="BC283" s="8">
        <v>0</v>
      </c>
      <c r="BD283" s="7">
        <v>0</v>
      </c>
      <c r="BE283" s="7">
        <v>0</v>
      </c>
      <c r="BF283" s="7">
        <v>0</v>
      </c>
      <c r="BG283" s="7">
        <v>0</v>
      </c>
      <c r="BH283" s="8">
        <v>0</v>
      </c>
      <c r="BI283" s="8">
        <v>0</v>
      </c>
      <c r="BJ283" s="7">
        <v>0</v>
      </c>
      <c r="BK283" s="7">
        <v>0</v>
      </c>
      <c r="BL283" s="7">
        <v>0</v>
      </c>
      <c r="BM283" s="7">
        <v>0</v>
      </c>
      <c r="BN283" s="7">
        <v>0</v>
      </c>
      <c r="BO283" s="8">
        <v>0</v>
      </c>
      <c r="BP283" s="7">
        <f>VLOOKUP($A283,'12.Sep'!$Y$8:$AA$1048576,3,0)</f>
        <v>0</v>
      </c>
      <c r="BQ283" s="7">
        <v>0</v>
      </c>
      <c r="BR283" s="7">
        <f>VLOOKUP($A283,'14.Sep'!$Y$8:$AA$1048576,3,0)</f>
        <v>0</v>
      </c>
      <c r="BS283" s="7">
        <v>0</v>
      </c>
      <c r="BT283" s="7">
        <v>0</v>
      </c>
      <c r="BU283" s="7">
        <v>0</v>
      </c>
      <c r="BV283" s="7">
        <f>VLOOKUP($A283,'18.Sep'!$Y$8:$AA$1048576,3,0)</f>
        <v>0</v>
      </c>
      <c r="BW283" s="7">
        <v>0</v>
      </c>
      <c r="BX283" s="7">
        <v>0</v>
      </c>
      <c r="BY283" s="7">
        <v>0</v>
      </c>
      <c r="BZ283" s="8">
        <v>0</v>
      </c>
      <c r="CA283" s="7">
        <f>VLOOKUP($A283,'23.Sep'!$Y$8:$AA$1048576,3,0)</f>
        <v>0</v>
      </c>
      <c r="CB283" s="7">
        <v>0</v>
      </c>
      <c r="CC283" s="7">
        <v>0</v>
      </c>
    </row>
    <row r="284" spans="1:81" outlineLevel="1">
      <c r="A284" s="6" t="s">
        <v>56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f t="shared" si="72"/>
        <v>0</v>
      </c>
      <c r="I284" s="7">
        <f t="shared" si="73"/>
        <v>0</v>
      </c>
      <c r="J284" s="7">
        <f t="shared" si="74"/>
        <v>0</v>
      </c>
      <c r="K284" s="7">
        <f t="shared" si="75"/>
        <v>0</v>
      </c>
      <c r="L284" s="7">
        <f t="shared" si="76"/>
        <v>0</v>
      </c>
      <c r="M284" s="8">
        <v>0</v>
      </c>
      <c r="N284" s="8">
        <v>0</v>
      </c>
      <c r="O284" s="8">
        <v>0</v>
      </c>
      <c r="P284" s="8">
        <v>0</v>
      </c>
      <c r="Q284" s="8">
        <v>0</v>
      </c>
      <c r="R284" s="8">
        <v>0</v>
      </c>
      <c r="S284" s="8">
        <v>0</v>
      </c>
      <c r="T284" s="8">
        <v>0</v>
      </c>
      <c r="U284" s="8">
        <v>0</v>
      </c>
      <c r="V284" s="8">
        <v>0</v>
      </c>
      <c r="W284" s="8">
        <v>0</v>
      </c>
      <c r="X284" s="8">
        <v>0</v>
      </c>
      <c r="Y284" s="8">
        <v>0</v>
      </c>
      <c r="Z284" s="8">
        <v>0</v>
      </c>
      <c r="AA284" s="8">
        <v>0</v>
      </c>
      <c r="AB284" s="8">
        <v>0</v>
      </c>
      <c r="AC284" s="8">
        <v>0</v>
      </c>
      <c r="AD284" s="8">
        <v>0</v>
      </c>
      <c r="AE284" s="8">
        <v>0</v>
      </c>
      <c r="AF284" s="8">
        <v>0</v>
      </c>
      <c r="AG284" s="8">
        <v>0</v>
      </c>
      <c r="AH284" s="8">
        <v>0</v>
      </c>
      <c r="AI284" s="8">
        <v>0</v>
      </c>
      <c r="AJ284" s="8">
        <v>0</v>
      </c>
      <c r="AK284" s="8">
        <v>0</v>
      </c>
      <c r="AL284" s="8">
        <v>0</v>
      </c>
      <c r="AM284" s="7">
        <v>0</v>
      </c>
      <c r="AN284" s="8">
        <v>0</v>
      </c>
      <c r="AO284" s="8">
        <v>0</v>
      </c>
      <c r="AP284" s="8">
        <v>0</v>
      </c>
      <c r="AQ284" s="8">
        <v>0</v>
      </c>
      <c r="AR284" s="8">
        <v>0</v>
      </c>
      <c r="AS284" s="8">
        <v>0</v>
      </c>
      <c r="AT284" s="8">
        <v>0</v>
      </c>
      <c r="AU284" s="8">
        <v>0</v>
      </c>
      <c r="AV284" s="8">
        <v>0</v>
      </c>
      <c r="AW284" s="8">
        <v>0</v>
      </c>
      <c r="AX284" s="8">
        <v>0</v>
      </c>
      <c r="AY284" s="8">
        <v>0</v>
      </c>
      <c r="AZ284" s="8">
        <v>0</v>
      </c>
      <c r="BA284" s="7">
        <v>0</v>
      </c>
      <c r="BB284" s="7">
        <v>0</v>
      </c>
      <c r="BC284" s="8">
        <v>0</v>
      </c>
      <c r="BD284" s="7">
        <v>0</v>
      </c>
      <c r="BE284" s="7">
        <v>0</v>
      </c>
      <c r="BF284" s="7">
        <v>0</v>
      </c>
      <c r="BG284" s="7">
        <v>0</v>
      </c>
      <c r="BH284" s="8">
        <v>0</v>
      </c>
      <c r="BI284" s="8">
        <v>0</v>
      </c>
      <c r="BJ284" s="7">
        <v>0</v>
      </c>
      <c r="BK284" s="7">
        <v>0</v>
      </c>
      <c r="BL284" s="7">
        <v>0</v>
      </c>
      <c r="BM284" s="7">
        <v>0</v>
      </c>
      <c r="BN284" s="7">
        <v>0</v>
      </c>
      <c r="BO284" s="8">
        <v>0</v>
      </c>
      <c r="BP284" s="7">
        <v>0</v>
      </c>
      <c r="BQ284" s="7">
        <v>0</v>
      </c>
      <c r="BR284" s="7">
        <v>0</v>
      </c>
      <c r="BS284" s="7">
        <v>0</v>
      </c>
      <c r="BT284" s="7">
        <v>0</v>
      </c>
      <c r="BU284" s="7">
        <v>0</v>
      </c>
      <c r="BV284" s="7">
        <v>0</v>
      </c>
      <c r="BW284" s="7">
        <v>0</v>
      </c>
      <c r="BX284" s="7">
        <v>0</v>
      </c>
      <c r="BY284" s="7">
        <v>0</v>
      </c>
      <c r="BZ284" s="8">
        <v>0</v>
      </c>
      <c r="CA284" s="7">
        <v>0</v>
      </c>
      <c r="CB284" s="7">
        <v>0</v>
      </c>
      <c r="CC284" s="7">
        <v>0</v>
      </c>
    </row>
    <row r="285" spans="1:81" outlineLevel="1">
      <c r="A285" s="6" t="s">
        <v>57</v>
      </c>
      <c r="B285" s="7">
        <v>0</v>
      </c>
      <c r="C285" s="7">
        <v>1.4285714285714287E-5</v>
      </c>
      <c r="D285" s="7">
        <v>0</v>
      </c>
      <c r="E285" s="7">
        <v>0</v>
      </c>
      <c r="F285" s="7">
        <v>0</v>
      </c>
      <c r="G285" s="7">
        <v>0</v>
      </c>
      <c r="H285" s="7">
        <f t="shared" si="72"/>
        <v>0</v>
      </c>
      <c r="I285" s="7">
        <f t="shared" si="73"/>
        <v>0</v>
      </c>
      <c r="J285" s="7">
        <f t="shared" si="74"/>
        <v>1.4285714285714287E-5</v>
      </c>
      <c r="K285" s="7">
        <f t="shared" si="75"/>
        <v>0</v>
      </c>
      <c r="L285" s="7">
        <f t="shared" si="76"/>
        <v>0</v>
      </c>
      <c r="M285" s="8">
        <v>0</v>
      </c>
      <c r="N285" s="8">
        <v>0</v>
      </c>
      <c r="O285" s="8">
        <v>0</v>
      </c>
      <c r="P285" s="8">
        <v>0</v>
      </c>
      <c r="Q285" s="8">
        <v>0</v>
      </c>
      <c r="R285" s="8">
        <v>0</v>
      </c>
      <c r="S285" s="8">
        <v>0</v>
      </c>
      <c r="T285" s="8">
        <v>0</v>
      </c>
      <c r="U285" s="8">
        <v>0</v>
      </c>
      <c r="V285" s="8">
        <v>1E-4</v>
      </c>
      <c r="W285" s="8">
        <v>0</v>
      </c>
      <c r="X285" s="8">
        <v>0</v>
      </c>
      <c r="Y285" s="8">
        <v>0</v>
      </c>
      <c r="Z285" s="8">
        <v>0</v>
      </c>
      <c r="AA285" s="8">
        <v>0</v>
      </c>
      <c r="AB285" s="8">
        <v>0</v>
      </c>
      <c r="AC285" s="8">
        <v>0</v>
      </c>
      <c r="AD285" s="8">
        <v>0</v>
      </c>
      <c r="AE285" s="8">
        <v>0</v>
      </c>
      <c r="AF285" s="8">
        <v>0</v>
      </c>
      <c r="AG285" s="8">
        <v>0</v>
      </c>
      <c r="AH285" s="8">
        <v>0</v>
      </c>
      <c r="AI285" s="8">
        <v>0</v>
      </c>
      <c r="AJ285" s="8">
        <v>0</v>
      </c>
      <c r="AK285" s="8">
        <v>0</v>
      </c>
      <c r="AL285" s="8">
        <v>0</v>
      </c>
      <c r="AM285" s="7">
        <v>0</v>
      </c>
      <c r="AN285" s="8">
        <v>0</v>
      </c>
      <c r="AO285" s="8">
        <v>0</v>
      </c>
      <c r="AP285" s="8">
        <v>0</v>
      </c>
      <c r="AQ285" s="7">
        <v>0</v>
      </c>
      <c r="AR285" s="8">
        <v>0</v>
      </c>
      <c r="AS285" s="8">
        <v>0</v>
      </c>
      <c r="AT285" s="8">
        <v>0</v>
      </c>
      <c r="AU285" s="7">
        <v>0</v>
      </c>
      <c r="AV285" s="8">
        <v>0</v>
      </c>
      <c r="AW285" s="7">
        <v>0</v>
      </c>
      <c r="AX285" s="8">
        <v>0</v>
      </c>
      <c r="AY285" s="8">
        <v>0</v>
      </c>
      <c r="AZ285" s="8">
        <v>0</v>
      </c>
      <c r="BA285" s="7">
        <v>0</v>
      </c>
      <c r="BB285" s="7">
        <v>0</v>
      </c>
      <c r="BC285" s="8">
        <v>0</v>
      </c>
      <c r="BD285" s="7">
        <v>0</v>
      </c>
      <c r="BE285" s="7">
        <v>0</v>
      </c>
      <c r="BF285" s="7">
        <v>0</v>
      </c>
      <c r="BG285" s="7">
        <f>VLOOKUP($A285,'3.Sep'!$Y$8:$AA$1048576,3,0)</f>
        <v>0</v>
      </c>
      <c r="BH285" s="8">
        <f>VLOOKUP($A285,'4.Sep'!$Y$8:$AA$1048576,3,0)</f>
        <v>0</v>
      </c>
      <c r="BI285" s="8">
        <v>0</v>
      </c>
      <c r="BJ285" s="7">
        <v>0</v>
      </c>
      <c r="BK285" s="8">
        <f>VLOOKUP($A285,'7.Sep'!$Y$8:$AA$1048576,3,0)</f>
        <v>0</v>
      </c>
      <c r="BL285" s="7">
        <v>0</v>
      </c>
      <c r="BM285" s="7">
        <v>0</v>
      </c>
      <c r="BN285" s="8">
        <f>VLOOKUP($A285,'10.Sep'!$Y$8:$AA$1048576,3,0)</f>
        <v>0</v>
      </c>
      <c r="BO285" s="8">
        <v>0</v>
      </c>
      <c r="BP285" s="7">
        <f>VLOOKUP($A285,'12.Sep'!$Y$8:$AA$1048576,3,0)</f>
        <v>0</v>
      </c>
      <c r="BQ285" s="7">
        <f>VLOOKUP($A285,'13.Sep'!$Y$8:$AA$1048576,3,0)</f>
        <v>1E-4</v>
      </c>
      <c r="BR285" s="7">
        <v>0</v>
      </c>
      <c r="BS285" s="7">
        <v>0</v>
      </c>
      <c r="BT285" s="7">
        <v>0</v>
      </c>
      <c r="BU285" s="7">
        <v>0</v>
      </c>
      <c r="BV285" s="7">
        <f>VLOOKUP($A285,'18.Sep'!$Y$8:$AA$1048576,3,0)</f>
        <v>0</v>
      </c>
      <c r="BW285" s="7">
        <f>VLOOKUP($A285,'19.Sep'!$Y$8:$AA$1048576,3,0)</f>
        <v>0</v>
      </c>
      <c r="BX285" s="7">
        <v>0</v>
      </c>
      <c r="BY285" s="7">
        <f>VLOOKUP($A285,'21.Sep'!$Y$8:$AA$1048576,3,0)</f>
        <v>0</v>
      </c>
      <c r="BZ285" s="7">
        <f>VLOOKUP($A285,'22.Sep'!$Y$8:$AA$1048576,3,0)</f>
        <v>0</v>
      </c>
      <c r="CA285" s="7">
        <f>VLOOKUP($A285,'23.Sep'!$Y$8:$AA$1048576,3,0)</f>
        <v>0</v>
      </c>
      <c r="CB285" s="7">
        <f>VLOOKUP($A285,'24.Sep'!$Y$8:$AA$1048576,3,0)</f>
        <v>0</v>
      </c>
      <c r="CC285" s="7">
        <f>VLOOKUP($A285,'24.Sep'!$Y$8:$AA$1048576,3,0)</f>
        <v>0</v>
      </c>
    </row>
    <row r="286" spans="1:81" outlineLevel="1">
      <c r="A286" s="6" t="s">
        <v>58</v>
      </c>
      <c r="B286" s="7">
        <v>5.0000000000000002E-5</v>
      </c>
      <c r="C286" s="7">
        <v>2.8571428571428574E-5</v>
      </c>
      <c r="D286" s="7">
        <v>2.8571428571428574E-5</v>
      </c>
      <c r="E286" s="7">
        <v>4.2857142857142863E-5</v>
      </c>
      <c r="F286" s="7">
        <v>7.1428571428571434E-5</v>
      </c>
      <c r="G286" s="7">
        <v>0</v>
      </c>
      <c r="H286" s="7">
        <f t="shared" si="72"/>
        <v>5.7142857142857148E-5</v>
      </c>
      <c r="I286" s="7">
        <f t="shared" si="73"/>
        <v>5.7142857142857148E-5</v>
      </c>
      <c r="J286" s="7">
        <f t="shared" si="74"/>
        <v>2.8571428571428574E-5</v>
      </c>
      <c r="K286" s="7">
        <f t="shared" si="75"/>
        <v>3.3333333333333335E-5</v>
      </c>
      <c r="L286" s="7">
        <f t="shared" si="76"/>
        <v>4.0000000000000003E-5</v>
      </c>
      <c r="M286" s="8">
        <v>2.0000000000000001E-4</v>
      </c>
      <c r="N286" s="8">
        <v>1E-4</v>
      </c>
      <c r="O286" s="8">
        <v>0</v>
      </c>
      <c r="P286" s="8">
        <v>0</v>
      </c>
      <c r="Q286" s="8">
        <v>0</v>
      </c>
      <c r="R286" s="8">
        <v>0</v>
      </c>
      <c r="S286" s="8">
        <v>2.0000000000000001E-4</v>
      </c>
      <c r="T286" s="8">
        <v>0</v>
      </c>
      <c r="U286" s="8">
        <v>0</v>
      </c>
      <c r="V286" s="8">
        <v>0</v>
      </c>
      <c r="W286" s="8">
        <v>0</v>
      </c>
      <c r="X286" s="8">
        <v>0</v>
      </c>
      <c r="Y286" s="8">
        <v>0</v>
      </c>
      <c r="Z286" s="8">
        <v>0</v>
      </c>
      <c r="AA286" s="8">
        <v>0</v>
      </c>
      <c r="AB286" s="8">
        <v>0</v>
      </c>
      <c r="AC286" s="8">
        <v>1E-4</v>
      </c>
      <c r="AD286" s="8">
        <v>0</v>
      </c>
      <c r="AE286" s="8">
        <v>1E-4</v>
      </c>
      <c r="AF286" s="8">
        <v>0</v>
      </c>
      <c r="AG286" s="8">
        <v>1E-4</v>
      </c>
      <c r="AH286" s="8">
        <v>1E-4</v>
      </c>
      <c r="AI286" s="8">
        <v>0</v>
      </c>
      <c r="AJ286" s="8">
        <v>0</v>
      </c>
      <c r="AK286" s="8">
        <v>0</v>
      </c>
      <c r="AL286" s="8">
        <v>0</v>
      </c>
      <c r="AM286" s="7">
        <v>1E-4</v>
      </c>
      <c r="AN286" s="7">
        <v>1E-4</v>
      </c>
      <c r="AO286" s="7">
        <v>1E-4</v>
      </c>
      <c r="AP286" s="7">
        <v>1E-4</v>
      </c>
      <c r="AQ286" s="7">
        <v>0</v>
      </c>
      <c r="AR286" s="7">
        <v>1E-4</v>
      </c>
      <c r="AS286" s="7">
        <v>1E-4</v>
      </c>
      <c r="AT286" s="7">
        <v>0</v>
      </c>
      <c r="AU286" s="7">
        <v>0</v>
      </c>
      <c r="AV286" s="7">
        <v>0</v>
      </c>
      <c r="AW286" s="7">
        <v>0</v>
      </c>
      <c r="AX286" s="8">
        <v>0</v>
      </c>
      <c r="AY286" s="8">
        <v>0</v>
      </c>
      <c r="AZ286" s="7">
        <v>0</v>
      </c>
      <c r="BA286" s="7">
        <v>0</v>
      </c>
      <c r="BB286" s="7">
        <v>0</v>
      </c>
      <c r="BC286" s="7">
        <v>1E-4</v>
      </c>
      <c r="BD286" s="7">
        <v>1E-4</v>
      </c>
      <c r="BE286" s="7">
        <f>VLOOKUP($A286,'1.Sep'!$Y$8:$AA$1048576,3,0)</f>
        <v>0</v>
      </c>
      <c r="BF286" s="7">
        <f>VLOOKUP($A286,'2.Sep'!$Y$8:$AA$1048576,3,0)</f>
        <v>1E-4</v>
      </c>
      <c r="BG286" s="7">
        <f>VLOOKUP($A286,'3.Sep'!$Y$8:$AA$1048576,3,0)</f>
        <v>0</v>
      </c>
      <c r="BH286" s="8">
        <f>VLOOKUP($A286,'4.Sep'!$Y$8:$AA$1048576,3,0)</f>
        <v>1E-4</v>
      </c>
      <c r="BI286" s="8">
        <f>VLOOKUP($A286,'5.Sep'!$Y$8:$AA$1048576,3,0)</f>
        <v>1E-4</v>
      </c>
      <c r="BJ286" s="8">
        <f>VLOOKUP($A286,'6.Sep'!$Y$8:$AA$1048576,3,0)</f>
        <v>1E-4</v>
      </c>
      <c r="BK286" s="8">
        <f>VLOOKUP($A286,'7.Sep'!$Y$8:$AA$1048576,3,0)</f>
        <v>1E-4</v>
      </c>
      <c r="BL286" s="8">
        <f>VLOOKUP($A286,'8.Sep'!$Y$8:$AA$1048576,3,0)</f>
        <v>1E-4</v>
      </c>
      <c r="BM286" s="8">
        <f>VLOOKUP($A286,'9.Sep'!$Y$8:$AA$1048576,3,0)</f>
        <v>0</v>
      </c>
      <c r="BN286" s="8">
        <f>VLOOKUP($A286,'10.Sep'!$Y$8:$AA$1048576,3,0)</f>
        <v>0</v>
      </c>
      <c r="BO286" s="8">
        <f>VLOOKUP($A286,'11.Sep'!$Y$8:$AA$1048576,3,0)</f>
        <v>0</v>
      </c>
      <c r="BP286" s="7">
        <f>VLOOKUP($A286,'12.Sep'!$Y$8:$AA$1048576,3,0)</f>
        <v>1E-4</v>
      </c>
      <c r="BQ286" s="7">
        <f>VLOOKUP($A286,'13.Sep'!$Y$8:$AA$1048576,3,0)</f>
        <v>0</v>
      </c>
      <c r="BR286" s="7">
        <f>VLOOKUP($A286,'14.Sep'!$Y$8:$AA$1048576,3,0)</f>
        <v>0</v>
      </c>
      <c r="BS286" s="7">
        <f>VLOOKUP($A286,'15.Sep'!$Y$8:$AA$1048576,3,0)</f>
        <v>0</v>
      </c>
      <c r="BT286" s="7">
        <f>VLOOKUP($A286,'16.Sep'!$Y$8:$AA$1048576,3,0)</f>
        <v>0</v>
      </c>
      <c r="BU286" s="7">
        <f>VLOOKUP($A286,'17.Sep'!$Y$8:$AA$1048576,3,0)</f>
        <v>0</v>
      </c>
      <c r="BV286" s="7">
        <f>VLOOKUP($A286,'18.Sep'!$Y$8:$AA$1048576,3,0)</f>
        <v>1E-4</v>
      </c>
      <c r="BW286" s="7">
        <f>VLOOKUP($A286,'19.Sep'!$Y$8:$AA$1048576,3,0)</f>
        <v>0</v>
      </c>
      <c r="BX286" s="7">
        <f>VLOOKUP($A286,'20.Sep'!$Y$8:$AA$1048576,3,0)</f>
        <v>0</v>
      </c>
      <c r="BY286" s="7">
        <f>VLOOKUP($A286,'21.Sep'!$Y$8:$AA$1048576,3,0)</f>
        <v>0</v>
      </c>
      <c r="BZ286" s="7">
        <f>VLOOKUP($A286,'22.Sep'!$Y$8:$AA$1048576,3,0)</f>
        <v>1E-4</v>
      </c>
      <c r="CA286" s="7">
        <f>VLOOKUP($A286,'23.Sep'!$Y$8:$AA$1048576,3,0)</f>
        <v>1E-4</v>
      </c>
      <c r="CB286" s="7">
        <f>VLOOKUP($A286,'24.Sep'!$Y$8:$AA$1048576,3,0)</f>
        <v>0</v>
      </c>
      <c r="CC286" s="7">
        <f>VLOOKUP($A286,'24.Sep'!$Y$8:$AA$1048576,3,0)</f>
        <v>0</v>
      </c>
    </row>
    <row r="287" spans="1:81" outlineLevel="1">
      <c r="A287" s="6" t="s">
        <v>59</v>
      </c>
      <c r="B287" s="7">
        <v>0</v>
      </c>
      <c r="C287" s="7">
        <v>0</v>
      </c>
      <c r="D287" s="7">
        <v>2.8571428571428574E-5</v>
      </c>
      <c r="E287" s="7">
        <v>1.4285714285714287E-5</v>
      </c>
      <c r="F287" s="7">
        <v>0</v>
      </c>
      <c r="G287" s="7">
        <v>0</v>
      </c>
      <c r="H287" s="7">
        <f t="shared" si="72"/>
        <v>0</v>
      </c>
      <c r="I287" s="7">
        <f t="shared" si="73"/>
        <v>0</v>
      </c>
      <c r="J287" s="7">
        <f t="shared" si="74"/>
        <v>0</v>
      </c>
      <c r="K287" s="7">
        <f t="shared" si="75"/>
        <v>0</v>
      </c>
      <c r="L287" s="7">
        <f t="shared" si="76"/>
        <v>0</v>
      </c>
      <c r="M287" s="8">
        <v>0</v>
      </c>
      <c r="N287" s="8">
        <v>0</v>
      </c>
      <c r="O287" s="8">
        <v>0</v>
      </c>
      <c r="P287" s="8">
        <v>0</v>
      </c>
      <c r="Q287" s="8">
        <v>0</v>
      </c>
      <c r="R287" s="8">
        <v>0</v>
      </c>
      <c r="S287" s="8">
        <v>0</v>
      </c>
      <c r="T287" s="8">
        <v>0</v>
      </c>
      <c r="U287" s="8">
        <v>0</v>
      </c>
      <c r="V287" s="8">
        <v>0</v>
      </c>
      <c r="W287" s="8">
        <v>0</v>
      </c>
      <c r="X287" s="8">
        <v>0</v>
      </c>
      <c r="Y287" s="8">
        <v>0</v>
      </c>
      <c r="Z287" s="8">
        <v>0</v>
      </c>
      <c r="AA287" s="8">
        <v>0</v>
      </c>
      <c r="AB287" s="8">
        <v>0</v>
      </c>
      <c r="AC287" s="8">
        <v>1E-4</v>
      </c>
      <c r="AD287" s="8">
        <v>1E-4</v>
      </c>
      <c r="AE287" s="8">
        <v>0</v>
      </c>
      <c r="AF287" s="8">
        <v>0</v>
      </c>
      <c r="AG287" s="8">
        <v>0</v>
      </c>
      <c r="AH287" s="8">
        <v>0</v>
      </c>
      <c r="AI287" s="8">
        <v>0</v>
      </c>
      <c r="AJ287" s="8">
        <v>0</v>
      </c>
      <c r="AK287" s="8">
        <v>0</v>
      </c>
      <c r="AL287" s="8">
        <v>0</v>
      </c>
      <c r="AM287" s="7">
        <v>1E-4</v>
      </c>
      <c r="AN287" s="7">
        <v>0</v>
      </c>
      <c r="AO287" s="7">
        <v>0</v>
      </c>
      <c r="AP287" s="8">
        <v>0</v>
      </c>
      <c r="AQ287" s="8">
        <v>0</v>
      </c>
      <c r="AR287" s="8">
        <v>0</v>
      </c>
      <c r="AS287" s="8">
        <v>0</v>
      </c>
      <c r="AT287" s="8">
        <v>0</v>
      </c>
      <c r="AU287" s="7">
        <v>0</v>
      </c>
      <c r="AV287" s="7">
        <v>0</v>
      </c>
      <c r="AW287" s="8">
        <v>0</v>
      </c>
      <c r="AX287" s="8">
        <v>0</v>
      </c>
      <c r="AY287" s="8">
        <v>0</v>
      </c>
      <c r="AZ287" s="8">
        <v>0</v>
      </c>
      <c r="BA287" s="7">
        <v>0</v>
      </c>
      <c r="BB287" s="7">
        <v>0</v>
      </c>
      <c r="BC287" s="8">
        <v>0</v>
      </c>
      <c r="BD287" s="7">
        <v>0</v>
      </c>
      <c r="BE287" s="7">
        <v>0</v>
      </c>
      <c r="BF287" s="7">
        <v>0</v>
      </c>
      <c r="BG287" s="7">
        <f>VLOOKUP($A287,'3.Sep'!$Y$8:$AA$1048576,3,0)</f>
        <v>0</v>
      </c>
      <c r="BH287" s="8">
        <v>0</v>
      </c>
      <c r="BI287" s="8">
        <v>0</v>
      </c>
      <c r="BJ287" s="8">
        <f>VLOOKUP($A287,'6.Sep'!$Y$8:$AA$1048576,3,0)</f>
        <v>0</v>
      </c>
      <c r="BK287" s="8">
        <f>VLOOKUP($A287,'7.Sep'!$Y$8:$AA$1048576,3,0)</f>
        <v>0</v>
      </c>
      <c r="BL287" s="7">
        <v>0</v>
      </c>
      <c r="BM287" s="7">
        <v>0</v>
      </c>
      <c r="BN287" s="8">
        <f>VLOOKUP($A287,'10.Sep'!$Y$8:$AA$1048576,3,0)</f>
        <v>0</v>
      </c>
      <c r="BO287" s="8">
        <v>0</v>
      </c>
      <c r="BP287" s="7">
        <v>0</v>
      </c>
      <c r="BQ287" s="7">
        <v>0</v>
      </c>
      <c r="BR287" s="7">
        <v>0</v>
      </c>
      <c r="BS287" s="7">
        <f>VLOOKUP($A287,'15.Sep'!$Y$8:$AA$1048576,3,0)</f>
        <v>0</v>
      </c>
      <c r="BT287" s="7">
        <v>0</v>
      </c>
      <c r="BU287" s="7">
        <v>0</v>
      </c>
      <c r="BV287" s="7">
        <v>0</v>
      </c>
      <c r="BW287" s="7">
        <v>0</v>
      </c>
      <c r="BX287" s="7">
        <f>VLOOKUP($A287,'20.Sep'!$Y$8:$AA$1048576,3,0)</f>
        <v>0</v>
      </c>
      <c r="BY287" s="7">
        <v>0</v>
      </c>
      <c r="BZ287" s="8">
        <v>0</v>
      </c>
      <c r="CA287" s="7">
        <v>0</v>
      </c>
      <c r="CB287" s="7">
        <f>VLOOKUP($A287,'24.Sep'!$Y$8:$AA$1048576,3,0)</f>
        <v>0</v>
      </c>
      <c r="CC287" s="7">
        <f>VLOOKUP($A287,'24.Sep'!$Y$8:$AA$1048576,3,0)</f>
        <v>0</v>
      </c>
    </row>
    <row r="288" spans="1:81" outlineLevel="1">
      <c r="A288" s="6" t="s">
        <v>60</v>
      </c>
      <c r="B288" s="7">
        <v>5.0000000000000002E-5</v>
      </c>
      <c r="C288" s="7">
        <v>0</v>
      </c>
      <c r="D288" s="7">
        <v>0</v>
      </c>
      <c r="E288" s="7">
        <v>1.4285714285714287E-5</v>
      </c>
      <c r="F288" s="7">
        <v>0</v>
      </c>
      <c r="G288" s="7">
        <v>1.4285714285714287E-5</v>
      </c>
      <c r="H288" s="7">
        <f t="shared" si="72"/>
        <v>1.4285714285714287E-5</v>
      </c>
      <c r="I288" s="7">
        <f t="shared" si="73"/>
        <v>0</v>
      </c>
      <c r="J288" s="7">
        <f t="shared" si="74"/>
        <v>2.8571428571428574E-5</v>
      </c>
      <c r="K288" s="7">
        <f t="shared" si="75"/>
        <v>1.6666666666666667E-5</v>
      </c>
      <c r="L288" s="7">
        <f t="shared" si="76"/>
        <v>0</v>
      </c>
      <c r="M288" s="8">
        <v>0</v>
      </c>
      <c r="N288" s="8">
        <v>0</v>
      </c>
      <c r="O288" s="8">
        <v>1E-4</v>
      </c>
      <c r="P288" s="8">
        <v>1E-4</v>
      </c>
      <c r="Q288" s="8">
        <v>1E-4</v>
      </c>
      <c r="R288" s="8">
        <v>0</v>
      </c>
      <c r="S288" s="8">
        <v>0</v>
      </c>
      <c r="T288" s="8">
        <v>0</v>
      </c>
      <c r="U288" s="8">
        <v>0</v>
      </c>
      <c r="V288" s="8">
        <v>0</v>
      </c>
      <c r="W288" s="8">
        <v>0</v>
      </c>
      <c r="X288" s="8">
        <v>0</v>
      </c>
      <c r="Y288" s="8">
        <v>0</v>
      </c>
      <c r="Z288" s="8">
        <v>0</v>
      </c>
      <c r="AA288" s="8">
        <v>0</v>
      </c>
      <c r="AB288" s="8">
        <v>0</v>
      </c>
      <c r="AC288" s="8">
        <v>0</v>
      </c>
      <c r="AD288" s="8">
        <v>0</v>
      </c>
      <c r="AE288" s="8">
        <v>0</v>
      </c>
      <c r="AF288" s="8">
        <v>0</v>
      </c>
      <c r="AG288" s="8">
        <v>0</v>
      </c>
      <c r="AH288" s="8">
        <v>0</v>
      </c>
      <c r="AI288" s="8">
        <v>1E-4</v>
      </c>
      <c r="AJ288" s="8">
        <v>0</v>
      </c>
      <c r="AK288" s="8">
        <v>0</v>
      </c>
      <c r="AL288" s="8">
        <v>0</v>
      </c>
      <c r="AM288" s="7">
        <v>0</v>
      </c>
      <c r="AN288" s="8">
        <v>0</v>
      </c>
      <c r="AO288" s="8">
        <v>0</v>
      </c>
      <c r="AP288" s="7">
        <v>0</v>
      </c>
      <c r="AQ288" s="7">
        <v>0</v>
      </c>
      <c r="AR288" s="7">
        <v>0</v>
      </c>
      <c r="AS288" s="8">
        <v>0</v>
      </c>
      <c r="AT288" s="7">
        <v>0</v>
      </c>
      <c r="AU288" s="7">
        <v>0</v>
      </c>
      <c r="AV288" s="7">
        <v>1E-4</v>
      </c>
      <c r="AW288" s="7">
        <v>0</v>
      </c>
      <c r="AX288" s="7">
        <v>0</v>
      </c>
      <c r="AY288" s="7">
        <v>0</v>
      </c>
      <c r="AZ288" s="8">
        <v>0</v>
      </c>
      <c r="BA288" s="7">
        <v>0</v>
      </c>
      <c r="BB288" s="7">
        <v>1E-4</v>
      </c>
      <c r="BC288" s="7">
        <v>0</v>
      </c>
      <c r="BD288" s="7">
        <v>0</v>
      </c>
      <c r="BE288" s="7">
        <f>VLOOKUP($A288,'1.Sep'!$Y$8:$AA$1048576,3,0)</f>
        <v>0</v>
      </c>
      <c r="BF288" s="7">
        <f>VLOOKUP($A288,'2.Sep'!$Y$8:$AA$1048576,3,0)</f>
        <v>0</v>
      </c>
      <c r="BG288" s="7">
        <f>VLOOKUP($A288,'3.Sep'!$Y$8:$AA$1048576,3,0)</f>
        <v>0</v>
      </c>
      <c r="BH288" s="8">
        <f>VLOOKUP($A288,'4.Sep'!$Y$8:$AA$1048576,3,0)</f>
        <v>0</v>
      </c>
      <c r="BI288" s="8">
        <f>VLOOKUP($A288,'5.Sep'!$Y$8:$AA$1048576,3,0)</f>
        <v>0</v>
      </c>
      <c r="BJ288" s="8">
        <f>VLOOKUP($A288,'6.Sep'!$Y$8:$AA$1048576,3,0)</f>
        <v>0</v>
      </c>
      <c r="BK288" s="8">
        <f>VLOOKUP($A288,'7.Sep'!$Y$8:$AA$1048576,3,0)</f>
        <v>0</v>
      </c>
      <c r="BL288" s="8">
        <f>VLOOKUP($A288,'8.Sep'!$Y$8:$AA$1048576,3,0)</f>
        <v>0</v>
      </c>
      <c r="BM288" s="7">
        <v>0</v>
      </c>
      <c r="BN288" s="8">
        <f>VLOOKUP($A288,'10.Sep'!$Y$8:$AA$1048576,3,0)</f>
        <v>0</v>
      </c>
      <c r="BO288" s="8">
        <v>0</v>
      </c>
      <c r="BP288" s="7">
        <f>VLOOKUP($A288,'12.Sep'!$Y$8:$AA$1048576,3,0)</f>
        <v>0</v>
      </c>
      <c r="BQ288" s="7">
        <f>VLOOKUP($A288,'13.Sep'!$Y$8:$AA$1048576,3,0)</f>
        <v>0</v>
      </c>
      <c r="BR288" s="7">
        <f>VLOOKUP($A288,'14.Sep'!$Y$8:$AA$1048576,3,0)</f>
        <v>1E-4</v>
      </c>
      <c r="BS288" s="7">
        <f>VLOOKUP($A288,'15.Sep'!$Y$8:$AA$1048576,3,0)</f>
        <v>0</v>
      </c>
      <c r="BT288" s="7">
        <f>VLOOKUP($A288,'16.Sep'!$Y$8:$AA$1048576,3,0)</f>
        <v>0</v>
      </c>
      <c r="BU288" s="7">
        <v>0</v>
      </c>
      <c r="BV288" s="7">
        <f>VLOOKUP($A288,'18.Sep'!$Y$8:$AA$1048576,3,0)</f>
        <v>1E-4</v>
      </c>
      <c r="BW288" s="7">
        <f>VLOOKUP($A288,'19.Sep'!$Y$8:$AA$1048576,3,0)</f>
        <v>1E-4</v>
      </c>
      <c r="BX288" s="7">
        <f>VLOOKUP($A288,'20.Sep'!$Y$8:$AA$1048576,3,0)</f>
        <v>0</v>
      </c>
      <c r="BY288" s="7">
        <f>VLOOKUP($A288,'21.Sep'!$Y$8:$AA$1048576,3,0)</f>
        <v>0</v>
      </c>
      <c r="BZ288" s="7">
        <f>VLOOKUP($A288,'22.Sep'!$Y$8:$AA$1048576,3,0)</f>
        <v>0</v>
      </c>
      <c r="CA288" s="7">
        <f>VLOOKUP($A288,'23.Sep'!$Y$8:$AA$1048576,3,0)</f>
        <v>0</v>
      </c>
      <c r="CB288" s="7">
        <f>VLOOKUP($A288,'24.Sep'!$Y$8:$AA$1048576,3,0)</f>
        <v>0</v>
      </c>
      <c r="CC288" s="7">
        <f>VLOOKUP($A288,'24.Sep'!$Y$8:$AA$1048576,3,0)</f>
        <v>0</v>
      </c>
    </row>
    <row r="289" spans="1:81" outlineLevel="1">
      <c r="A289" s="6" t="s">
        <v>61</v>
      </c>
      <c r="B289" s="7">
        <v>0</v>
      </c>
      <c r="C289" s="7">
        <v>0</v>
      </c>
      <c r="D289" s="7">
        <v>0</v>
      </c>
      <c r="E289" s="7">
        <v>1.4285714285714287E-5</v>
      </c>
      <c r="F289" s="7">
        <v>0</v>
      </c>
      <c r="G289" s="7">
        <v>0</v>
      </c>
      <c r="H289" s="7">
        <f t="shared" si="72"/>
        <v>0</v>
      </c>
      <c r="I289" s="7">
        <f t="shared" si="73"/>
        <v>0</v>
      </c>
      <c r="J289" s="7">
        <f t="shared" si="74"/>
        <v>0</v>
      </c>
      <c r="K289" s="7">
        <f t="shared" si="75"/>
        <v>0</v>
      </c>
      <c r="L289" s="7">
        <f t="shared" si="76"/>
        <v>0</v>
      </c>
      <c r="M289" s="8">
        <v>0</v>
      </c>
      <c r="N289" s="8">
        <v>0</v>
      </c>
      <c r="O289" s="8">
        <v>0</v>
      </c>
      <c r="P289" s="8">
        <v>0</v>
      </c>
      <c r="Q289" s="8">
        <v>0</v>
      </c>
      <c r="R289" s="8">
        <v>0</v>
      </c>
      <c r="S289" s="8">
        <v>0</v>
      </c>
      <c r="T289" s="8">
        <v>0</v>
      </c>
      <c r="U289" s="8">
        <v>0</v>
      </c>
      <c r="V289" s="8">
        <v>0</v>
      </c>
      <c r="W289" s="8">
        <v>0</v>
      </c>
      <c r="X289" s="8">
        <v>0</v>
      </c>
      <c r="Y289" s="8">
        <v>0</v>
      </c>
      <c r="Z289" s="8">
        <v>0</v>
      </c>
      <c r="AA289" s="8">
        <v>0</v>
      </c>
      <c r="AB289" s="8">
        <v>0</v>
      </c>
      <c r="AC289" s="8">
        <v>0</v>
      </c>
      <c r="AD289" s="8">
        <v>0</v>
      </c>
      <c r="AE289" s="8">
        <v>0</v>
      </c>
      <c r="AF289" s="8">
        <v>0</v>
      </c>
      <c r="AG289" s="8">
        <v>1E-4</v>
      </c>
      <c r="AH289" s="8">
        <v>0</v>
      </c>
      <c r="AI289" s="8">
        <v>0</v>
      </c>
      <c r="AJ289" s="8">
        <v>0</v>
      </c>
      <c r="AK289" s="8">
        <v>0</v>
      </c>
      <c r="AL289" s="8">
        <v>0</v>
      </c>
      <c r="AM289" s="7">
        <v>0</v>
      </c>
      <c r="AN289" s="8">
        <v>0</v>
      </c>
      <c r="AO289" s="8">
        <v>0</v>
      </c>
      <c r="AP289" s="7">
        <v>0</v>
      </c>
      <c r="AQ289" s="8">
        <v>0</v>
      </c>
      <c r="AR289" s="8">
        <v>0</v>
      </c>
      <c r="AS289" s="8">
        <v>0</v>
      </c>
      <c r="AT289" s="8">
        <v>0</v>
      </c>
      <c r="AU289" s="8">
        <v>0</v>
      </c>
      <c r="AV289" s="8">
        <v>0</v>
      </c>
      <c r="AW289" s="8">
        <v>0</v>
      </c>
      <c r="AX289" s="7">
        <v>0</v>
      </c>
      <c r="AY289" s="8">
        <v>0</v>
      </c>
      <c r="AZ289" s="8">
        <v>0</v>
      </c>
      <c r="BA289" s="7">
        <v>0</v>
      </c>
      <c r="BB289" s="7">
        <v>0</v>
      </c>
      <c r="BC289" s="8">
        <v>0</v>
      </c>
      <c r="BD289" s="7">
        <v>0</v>
      </c>
      <c r="BE289" s="7">
        <v>0</v>
      </c>
      <c r="BF289" s="7">
        <v>0</v>
      </c>
      <c r="BG289" s="7">
        <v>0</v>
      </c>
      <c r="BH289" s="8">
        <v>0</v>
      </c>
      <c r="BI289" s="7">
        <v>0</v>
      </c>
      <c r="BJ289" s="7">
        <v>0</v>
      </c>
      <c r="BK289" s="7">
        <v>0</v>
      </c>
      <c r="BL289" s="7">
        <v>0</v>
      </c>
      <c r="BM289" s="7">
        <v>0</v>
      </c>
      <c r="BN289" s="7">
        <v>0</v>
      </c>
      <c r="BO289" s="8">
        <v>0</v>
      </c>
      <c r="BP289" s="7">
        <v>0</v>
      </c>
      <c r="BQ289" s="7">
        <f>VLOOKUP($A289,'13.Sep'!$Y$8:$AA$1048576,3,0)</f>
        <v>0</v>
      </c>
      <c r="BR289" s="7">
        <v>0</v>
      </c>
      <c r="BS289" s="7">
        <v>0</v>
      </c>
      <c r="BT289" s="7">
        <v>0</v>
      </c>
      <c r="BU289" s="7">
        <v>0</v>
      </c>
      <c r="BV289" s="7">
        <v>0</v>
      </c>
      <c r="BW289" s="7">
        <v>0</v>
      </c>
      <c r="BX289" s="7">
        <f>VLOOKUP($A289,'20.Sep'!$Y$8:$AA$1048576,3,0)</f>
        <v>0</v>
      </c>
      <c r="BY289" s="7">
        <v>0</v>
      </c>
      <c r="BZ289" s="7">
        <f>VLOOKUP($A289,'22.Sep'!$Y$8:$AA$1048576,3,0)</f>
        <v>0</v>
      </c>
      <c r="CA289" s="7">
        <v>0</v>
      </c>
      <c r="CB289" s="7">
        <v>0</v>
      </c>
      <c r="CC289" s="7">
        <v>0</v>
      </c>
    </row>
    <row r="290" spans="1:81" outlineLevel="1">
      <c r="A290" s="6" t="s">
        <v>62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f t="shared" si="72"/>
        <v>0</v>
      </c>
      <c r="I290" s="7">
        <f t="shared" si="73"/>
        <v>0</v>
      </c>
      <c r="J290" s="7">
        <f t="shared" si="74"/>
        <v>0</v>
      </c>
      <c r="K290" s="7">
        <f t="shared" si="75"/>
        <v>0</v>
      </c>
      <c r="L290" s="7">
        <f t="shared" si="76"/>
        <v>0</v>
      </c>
      <c r="M290" s="8">
        <v>0</v>
      </c>
      <c r="N290" s="8">
        <v>0</v>
      </c>
      <c r="O290" s="8">
        <v>0</v>
      </c>
      <c r="P290" s="8">
        <v>0</v>
      </c>
      <c r="Q290" s="8">
        <v>0</v>
      </c>
      <c r="R290" s="8">
        <v>0</v>
      </c>
      <c r="S290" s="8">
        <v>0</v>
      </c>
      <c r="T290" s="8">
        <v>0</v>
      </c>
      <c r="U290" s="8">
        <v>0</v>
      </c>
      <c r="V290" s="8">
        <v>0</v>
      </c>
      <c r="W290" s="8">
        <v>0</v>
      </c>
      <c r="X290" s="8">
        <v>0</v>
      </c>
      <c r="Y290" s="8">
        <v>0</v>
      </c>
      <c r="Z290" s="8">
        <v>0</v>
      </c>
      <c r="AA290" s="8">
        <v>0</v>
      </c>
      <c r="AB290" s="8">
        <v>0</v>
      </c>
      <c r="AC290" s="8">
        <v>0</v>
      </c>
      <c r="AD290" s="8">
        <v>0</v>
      </c>
      <c r="AE290" s="8">
        <v>0</v>
      </c>
      <c r="AF290" s="8">
        <v>0</v>
      </c>
      <c r="AG290" s="8">
        <v>0</v>
      </c>
      <c r="AH290" s="8">
        <v>0</v>
      </c>
      <c r="AI290" s="8">
        <v>0</v>
      </c>
      <c r="AJ290" s="8">
        <v>0</v>
      </c>
      <c r="AK290" s="8">
        <v>0</v>
      </c>
      <c r="AL290" s="8">
        <v>0</v>
      </c>
      <c r="AM290" s="7">
        <v>0</v>
      </c>
      <c r="AN290" s="8">
        <v>0</v>
      </c>
      <c r="AO290" s="8">
        <v>0</v>
      </c>
      <c r="AP290" s="8">
        <v>0</v>
      </c>
      <c r="AQ290" s="7">
        <v>0</v>
      </c>
      <c r="AR290" s="8">
        <v>0</v>
      </c>
      <c r="AS290" s="8">
        <v>0</v>
      </c>
      <c r="AT290" s="8">
        <v>0</v>
      </c>
      <c r="AU290" s="7">
        <v>0</v>
      </c>
      <c r="AV290" s="8">
        <v>0</v>
      </c>
      <c r="AW290" s="8">
        <v>0</v>
      </c>
      <c r="AX290" s="8">
        <v>0</v>
      </c>
      <c r="AY290" s="8">
        <v>0</v>
      </c>
      <c r="AZ290" s="8">
        <v>0</v>
      </c>
      <c r="BA290" s="7">
        <v>0</v>
      </c>
      <c r="BB290" s="7">
        <v>0</v>
      </c>
      <c r="BC290" s="8">
        <v>0</v>
      </c>
      <c r="BD290" s="7">
        <v>0</v>
      </c>
      <c r="BE290" s="7">
        <v>0</v>
      </c>
      <c r="BF290" s="7">
        <v>0</v>
      </c>
      <c r="BG290" s="7">
        <v>0</v>
      </c>
      <c r="BH290" s="8">
        <v>0</v>
      </c>
      <c r="BI290" s="7">
        <v>0</v>
      </c>
      <c r="BJ290" s="7">
        <v>0</v>
      </c>
      <c r="BK290" s="7">
        <v>0</v>
      </c>
      <c r="BL290" s="7">
        <v>0</v>
      </c>
      <c r="BM290" s="7">
        <v>0</v>
      </c>
      <c r="BN290" s="7">
        <v>0</v>
      </c>
      <c r="BO290" s="8">
        <v>0</v>
      </c>
      <c r="BP290" s="7">
        <v>0</v>
      </c>
      <c r="BQ290" s="7">
        <v>0</v>
      </c>
      <c r="BR290" s="7">
        <v>0</v>
      </c>
      <c r="BS290" s="7">
        <f>VLOOKUP($A290,'15.Sep'!$Y$8:$AA$1048576,3,0)</f>
        <v>0</v>
      </c>
      <c r="BT290" s="7">
        <v>0</v>
      </c>
      <c r="BU290" s="7">
        <v>0</v>
      </c>
      <c r="BV290" s="7">
        <v>0</v>
      </c>
      <c r="BW290" s="7">
        <v>0</v>
      </c>
      <c r="BX290" s="7">
        <v>0</v>
      </c>
      <c r="BY290" s="7">
        <v>0</v>
      </c>
      <c r="BZ290" s="8">
        <v>0</v>
      </c>
      <c r="CA290" s="7">
        <f>VLOOKUP($A290,'23.Sep'!$Y$8:$AA$1048576,3,0)</f>
        <v>0</v>
      </c>
      <c r="CB290" s="7">
        <v>0</v>
      </c>
      <c r="CC290" s="7">
        <v>0</v>
      </c>
    </row>
    <row r="291" spans="1:81" outlineLevel="1">
      <c r="A291" s="6" t="s">
        <v>63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f t="shared" si="72"/>
        <v>0</v>
      </c>
      <c r="I291" s="7">
        <f t="shared" si="73"/>
        <v>0</v>
      </c>
      <c r="J291" s="7">
        <f t="shared" si="74"/>
        <v>0</v>
      </c>
      <c r="K291" s="7">
        <f t="shared" si="75"/>
        <v>0</v>
      </c>
      <c r="L291" s="7">
        <f t="shared" si="76"/>
        <v>0</v>
      </c>
      <c r="M291" s="8">
        <v>0</v>
      </c>
      <c r="N291" s="8">
        <v>0</v>
      </c>
      <c r="O291" s="8">
        <v>0</v>
      </c>
      <c r="P291" s="8">
        <v>0</v>
      </c>
      <c r="Q291" s="8">
        <v>0</v>
      </c>
      <c r="R291" s="8">
        <v>0</v>
      </c>
      <c r="S291" s="8">
        <v>0</v>
      </c>
      <c r="T291" s="8">
        <v>0</v>
      </c>
      <c r="U291" s="8">
        <v>0</v>
      </c>
      <c r="V291" s="8">
        <v>0</v>
      </c>
      <c r="W291" s="8">
        <v>0</v>
      </c>
      <c r="X291" s="8">
        <v>0</v>
      </c>
      <c r="Y291" s="8">
        <v>0</v>
      </c>
      <c r="Z291" s="8">
        <v>0</v>
      </c>
      <c r="AA291" s="8">
        <v>0</v>
      </c>
      <c r="AB291" s="8">
        <v>0</v>
      </c>
      <c r="AC291" s="8">
        <v>0</v>
      </c>
      <c r="AD291" s="8">
        <v>0</v>
      </c>
      <c r="AE291" s="8">
        <v>0</v>
      </c>
      <c r="AF291" s="8">
        <v>0</v>
      </c>
      <c r="AG291" s="8">
        <v>0</v>
      </c>
      <c r="AH291" s="8">
        <v>0</v>
      </c>
      <c r="AI291" s="8">
        <v>0</v>
      </c>
      <c r="AJ291" s="8">
        <v>0</v>
      </c>
      <c r="AK291" s="8">
        <v>0</v>
      </c>
      <c r="AL291" s="8">
        <v>0</v>
      </c>
      <c r="AM291" s="7">
        <v>0</v>
      </c>
      <c r="AN291" s="8">
        <v>0</v>
      </c>
      <c r="AO291" s="8">
        <v>0</v>
      </c>
      <c r="AP291" s="8">
        <v>0</v>
      </c>
      <c r="AQ291" s="8">
        <v>0</v>
      </c>
      <c r="AR291" s="8">
        <v>0</v>
      </c>
      <c r="AS291" s="8">
        <v>0</v>
      </c>
      <c r="AT291" s="8">
        <v>0</v>
      </c>
      <c r="AU291" s="8">
        <v>0</v>
      </c>
      <c r="AV291" s="8">
        <v>0</v>
      </c>
      <c r="AW291" s="8">
        <v>0</v>
      </c>
      <c r="AX291" s="8">
        <v>0</v>
      </c>
      <c r="AY291" s="8">
        <v>0</v>
      </c>
      <c r="AZ291" s="8">
        <v>0</v>
      </c>
      <c r="BA291" s="7">
        <v>0</v>
      </c>
      <c r="BB291" s="7">
        <v>0</v>
      </c>
      <c r="BC291" s="8">
        <v>0</v>
      </c>
      <c r="BD291" s="7">
        <v>0</v>
      </c>
      <c r="BE291" s="7">
        <v>0</v>
      </c>
      <c r="BF291" s="7">
        <v>0</v>
      </c>
      <c r="BG291" s="7">
        <v>0</v>
      </c>
      <c r="BH291" s="8">
        <v>0</v>
      </c>
      <c r="BI291" s="7">
        <v>0</v>
      </c>
      <c r="BJ291" s="7">
        <v>0</v>
      </c>
      <c r="BK291" s="7">
        <v>0</v>
      </c>
      <c r="BL291" s="7">
        <v>0</v>
      </c>
      <c r="BM291" s="7">
        <v>0</v>
      </c>
      <c r="BN291" s="7">
        <v>0</v>
      </c>
      <c r="BO291" s="8">
        <v>0</v>
      </c>
      <c r="BP291" s="7">
        <v>0</v>
      </c>
      <c r="BQ291" s="7">
        <v>0</v>
      </c>
      <c r="BR291" s="7">
        <v>0</v>
      </c>
      <c r="BS291" s="7">
        <v>0</v>
      </c>
      <c r="BT291" s="7">
        <v>0</v>
      </c>
      <c r="BU291" s="7">
        <v>0</v>
      </c>
      <c r="BV291" s="7">
        <v>0</v>
      </c>
      <c r="BW291" s="7">
        <v>0</v>
      </c>
      <c r="BX291" s="7">
        <v>0</v>
      </c>
      <c r="BY291" s="7">
        <v>0</v>
      </c>
      <c r="BZ291" s="8">
        <v>0</v>
      </c>
      <c r="CA291" s="7">
        <v>0</v>
      </c>
      <c r="CB291" s="7">
        <v>0</v>
      </c>
      <c r="CC291" s="7">
        <v>0</v>
      </c>
    </row>
    <row r="292" spans="1:81" outlineLevel="1">
      <c r="A292" s="6" t="s">
        <v>64</v>
      </c>
      <c r="B292" s="7">
        <v>0</v>
      </c>
      <c r="C292" s="7">
        <v>1.4285714285714287E-5</v>
      </c>
      <c r="D292" s="7">
        <v>0</v>
      </c>
      <c r="E292" s="7">
        <v>0</v>
      </c>
      <c r="F292" s="7">
        <v>0</v>
      </c>
      <c r="G292" s="7">
        <v>0</v>
      </c>
      <c r="H292" s="7">
        <f t="shared" si="72"/>
        <v>1.4285714285714287E-5</v>
      </c>
      <c r="I292" s="7">
        <f t="shared" si="73"/>
        <v>0</v>
      </c>
      <c r="J292" s="7">
        <f t="shared" si="74"/>
        <v>1.4285714285714287E-5</v>
      </c>
      <c r="K292" s="7">
        <f t="shared" si="75"/>
        <v>0</v>
      </c>
      <c r="L292" s="7">
        <f t="shared" si="76"/>
        <v>0</v>
      </c>
      <c r="M292" s="8">
        <v>0</v>
      </c>
      <c r="N292" s="8">
        <v>0</v>
      </c>
      <c r="O292" s="8">
        <v>0</v>
      </c>
      <c r="P292" s="8">
        <v>0</v>
      </c>
      <c r="Q292" s="8">
        <v>0</v>
      </c>
      <c r="R292" s="8">
        <v>0</v>
      </c>
      <c r="S292" s="8">
        <v>0</v>
      </c>
      <c r="T292" s="8">
        <v>0</v>
      </c>
      <c r="U292" s="8">
        <v>1E-4</v>
      </c>
      <c r="V292" s="8">
        <v>0</v>
      </c>
      <c r="W292" s="8">
        <v>0</v>
      </c>
      <c r="X292" s="8">
        <v>0</v>
      </c>
      <c r="Y292" s="8">
        <v>0</v>
      </c>
      <c r="Z292" s="8">
        <v>0</v>
      </c>
      <c r="AA292" s="8">
        <v>0</v>
      </c>
      <c r="AB292" s="8">
        <v>0</v>
      </c>
      <c r="AC292" s="8">
        <v>0</v>
      </c>
      <c r="AD292" s="8">
        <v>0</v>
      </c>
      <c r="AE292" s="8">
        <v>0</v>
      </c>
      <c r="AF292" s="8">
        <v>0</v>
      </c>
      <c r="AG292" s="8">
        <v>0</v>
      </c>
      <c r="AH292" s="8">
        <v>0</v>
      </c>
      <c r="AI292" s="8">
        <v>0</v>
      </c>
      <c r="AJ292" s="8">
        <v>0</v>
      </c>
      <c r="AK292" s="8">
        <v>0</v>
      </c>
      <c r="AL292" s="8">
        <v>0</v>
      </c>
      <c r="AM292" s="7">
        <v>0</v>
      </c>
      <c r="AN292" s="8">
        <v>0</v>
      </c>
      <c r="AO292" s="7">
        <v>0</v>
      </c>
      <c r="AP292" s="8">
        <v>0</v>
      </c>
      <c r="AQ292" s="7">
        <v>0</v>
      </c>
      <c r="AR292" s="7">
        <v>0</v>
      </c>
      <c r="AS292" s="8">
        <v>0</v>
      </c>
      <c r="AT292" s="8">
        <v>0</v>
      </c>
      <c r="AU292" s="8">
        <v>0</v>
      </c>
      <c r="AV292" s="8">
        <v>0</v>
      </c>
      <c r="AW292" s="7">
        <v>0</v>
      </c>
      <c r="AX292" s="7">
        <v>0</v>
      </c>
      <c r="AY292" s="8">
        <v>0</v>
      </c>
      <c r="AZ292" s="7">
        <v>0</v>
      </c>
      <c r="BA292" s="7">
        <v>0</v>
      </c>
      <c r="BB292" s="7">
        <v>0</v>
      </c>
      <c r="BC292" s="8">
        <v>0</v>
      </c>
      <c r="BD292" s="7">
        <v>0</v>
      </c>
      <c r="BE292" s="7">
        <v>0</v>
      </c>
      <c r="BF292" s="7">
        <v>0</v>
      </c>
      <c r="BG292" s="7">
        <v>0</v>
      </c>
      <c r="BH292" s="8">
        <f>VLOOKUP($A292,'4.Sep'!$Y$8:$AA$1048576,3,0)</f>
        <v>1E-4</v>
      </c>
      <c r="BI292" s="7">
        <v>0</v>
      </c>
      <c r="BJ292" s="8">
        <f>VLOOKUP($A292,'6.Sep'!$Y$8:$AA$1048576,3,0)</f>
        <v>0</v>
      </c>
      <c r="BK292" s="8">
        <f>VLOOKUP($A292,'7.Sep'!$Y$8:$AA$1048576,3,0)</f>
        <v>0</v>
      </c>
      <c r="BL292" s="8">
        <f>VLOOKUP($A292,'8.Sep'!$Y$8:$AA$1048576,3,0)</f>
        <v>0</v>
      </c>
      <c r="BM292" s="8">
        <f>VLOOKUP($A292,'9.Sep'!$Y$8:$AA$1048576,3,0)</f>
        <v>0</v>
      </c>
      <c r="BN292" s="8">
        <f>VLOOKUP($A292,'10.Sep'!$Y$8:$AA$1048576,3,0)</f>
        <v>0</v>
      </c>
      <c r="BO292" s="8">
        <f>VLOOKUP($A292,'11.Sep'!$Y$8:$AA$1048576,3,0)</f>
        <v>0</v>
      </c>
      <c r="BP292" s="7">
        <f>VLOOKUP($A292,'12.Sep'!$Y$8:$AA$1048576,3,0)</f>
        <v>0</v>
      </c>
      <c r="BQ292" s="7">
        <f>VLOOKUP($A292,'13.Sep'!$Y$8:$AA$1048576,3,0)</f>
        <v>0</v>
      </c>
      <c r="BR292" s="7">
        <f>VLOOKUP($A292,'14.Sep'!$Y$8:$AA$1048576,3,0)</f>
        <v>0</v>
      </c>
      <c r="BS292" s="7">
        <f>VLOOKUP($A292,'15.Sep'!$Y$8:$AA$1048576,3,0)</f>
        <v>0</v>
      </c>
      <c r="BT292" s="7">
        <f>VLOOKUP($A292,'16.Sep'!$Y$8:$AA$1048576,3,0)</f>
        <v>0</v>
      </c>
      <c r="BU292" s="7">
        <f>VLOOKUP($A292,'17.Sep'!$Y$8:$AA$1048576,3,0)</f>
        <v>0</v>
      </c>
      <c r="BV292" s="7">
        <f>VLOOKUP($A292,'18.Sep'!$Y$8:$AA$1048576,3,0)</f>
        <v>1E-4</v>
      </c>
      <c r="BW292" s="7">
        <f>VLOOKUP($A292,'19.Sep'!$Y$8:$AA$1048576,3,0)</f>
        <v>0</v>
      </c>
      <c r="BX292" s="7">
        <f>VLOOKUP($A292,'20.Sep'!$Y$8:$AA$1048576,3,0)</f>
        <v>0</v>
      </c>
      <c r="BY292" s="7">
        <f>VLOOKUP($A292,'21.Sep'!$Y$8:$AA$1048576,3,0)</f>
        <v>0</v>
      </c>
      <c r="BZ292" s="7">
        <f>VLOOKUP($A292,'22.Sep'!$Y$8:$AA$1048576,3,0)</f>
        <v>0</v>
      </c>
      <c r="CA292" s="7">
        <f>VLOOKUP($A292,'23.Sep'!$Y$8:$AA$1048576,3,0)</f>
        <v>0</v>
      </c>
      <c r="CB292" s="7">
        <f>VLOOKUP($A292,'24.Sep'!$Y$8:$AA$1048576,3,0)</f>
        <v>0</v>
      </c>
      <c r="CC292" s="7">
        <f>VLOOKUP($A292,'24.Sep'!$Y$8:$AA$1048576,3,0)</f>
        <v>0</v>
      </c>
    </row>
    <row r="293" spans="1:81" outlineLevel="1">
      <c r="A293" s="6" t="s">
        <v>65</v>
      </c>
      <c r="B293" s="7">
        <v>0</v>
      </c>
      <c r="C293" s="7">
        <v>2.8571428571428574E-5</v>
      </c>
      <c r="D293" s="7">
        <v>0</v>
      </c>
      <c r="E293" s="7">
        <v>1.4285714285714287E-5</v>
      </c>
      <c r="F293" s="7">
        <v>0</v>
      </c>
      <c r="G293" s="7">
        <v>0</v>
      </c>
      <c r="H293" s="7">
        <f t="shared" si="72"/>
        <v>0</v>
      </c>
      <c r="I293" s="7">
        <f t="shared" si="73"/>
        <v>4.2857142857142863E-5</v>
      </c>
      <c r="J293" s="7">
        <f t="shared" si="74"/>
        <v>0</v>
      </c>
      <c r="K293" s="7">
        <f t="shared" si="75"/>
        <v>0</v>
      </c>
      <c r="L293" s="7">
        <f t="shared" si="76"/>
        <v>0</v>
      </c>
      <c r="M293" s="8">
        <v>0</v>
      </c>
      <c r="N293" s="8">
        <v>0</v>
      </c>
      <c r="O293" s="8">
        <v>0</v>
      </c>
      <c r="P293" s="8">
        <v>0</v>
      </c>
      <c r="Q293" s="8">
        <v>0</v>
      </c>
      <c r="R293" s="8">
        <v>0</v>
      </c>
      <c r="S293" s="8">
        <v>0</v>
      </c>
      <c r="T293" s="8">
        <v>0</v>
      </c>
      <c r="U293" s="8">
        <v>2.0000000000000001E-4</v>
      </c>
      <c r="V293" s="8">
        <v>0</v>
      </c>
      <c r="W293" s="8">
        <v>0</v>
      </c>
      <c r="X293" s="8">
        <v>0</v>
      </c>
      <c r="Y293" s="8">
        <v>0</v>
      </c>
      <c r="Z293" s="8">
        <v>0</v>
      </c>
      <c r="AA293" s="8">
        <v>0</v>
      </c>
      <c r="AB293" s="8">
        <v>0</v>
      </c>
      <c r="AC293" s="8">
        <v>0</v>
      </c>
      <c r="AD293" s="8">
        <v>0</v>
      </c>
      <c r="AE293" s="8">
        <v>0</v>
      </c>
      <c r="AF293" s="8">
        <v>0</v>
      </c>
      <c r="AG293" s="8">
        <v>0</v>
      </c>
      <c r="AH293" s="8">
        <v>0</v>
      </c>
      <c r="AI293" s="8">
        <v>0</v>
      </c>
      <c r="AJ293" s="8">
        <v>0</v>
      </c>
      <c r="AK293" s="8">
        <v>0</v>
      </c>
      <c r="AL293" s="8">
        <v>1E-4</v>
      </c>
      <c r="AM293" s="7">
        <v>0</v>
      </c>
      <c r="AN293" s="8">
        <v>0</v>
      </c>
      <c r="AO293" s="8">
        <v>0</v>
      </c>
      <c r="AP293" s="8">
        <v>0</v>
      </c>
      <c r="AQ293" s="7">
        <v>0</v>
      </c>
      <c r="AR293" s="8">
        <v>0</v>
      </c>
      <c r="AS293" s="8">
        <v>0</v>
      </c>
      <c r="AT293" s="8">
        <v>0</v>
      </c>
      <c r="AU293" s="7">
        <v>0</v>
      </c>
      <c r="AV293" s="7">
        <v>0</v>
      </c>
      <c r="AW293" s="8">
        <v>0</v>
      </c>
      <c r="AX293" s="8">
        <v>0</v>
      </c>
      <c r="AY293" s="8">
        <v>0</v>
      </c>
      <c r="AZ293" s="8">
        <v>0</v>
      </c>
      <c r="BA293" s="7">
        <v>0</v>
      </c>
      <c r="BB293" s="7">
        <v>0</v>
      </c>
      <c r="BC293" s="8">
        <v>0</v>
      </c>
      <c r="BD293" s="7">
        <v>0</v>
      </c>
      <c r="BE293" s="7">
        <v>0</v>
      </c>
      <c r="BF293" s="7">
        <v>0</v>
      </c>
      <c r="BG293" s="7">
        <v>0</v>
      </c>
      <c r="BH293" s="8">
        <v>0</v>
      </c>
      <c r="BI293" s="8">
        <f>VLOOKUP($A293,'5.Sep'!$Y$8:$AA$1048576,3,0)</f>
        <v>2.0000000000000001E-4</v>
      </c>
      <c r="BJ293" s="8">
        <f>VLOOKUP($A293,'6.Sep'!$Y$8:$AA$1048576,3,0)</f>
        <v>0</v>
      </c>
      <c r="BK293" s="7">
        <v>0</v>
      </c>
      <c r="BL293" s="8">
        <f>VLOOKUP($A293,'8.Sep'!$Y$8:$AA$1048576,3,0)</f>
        <v>1E-4</v>
      </c>
      <c r="BM293" s="7">
        <v>0</v>
      </c>
      <c r="BN293" s="7">
        <v>0</v>
      </c>
      <c r="BO293" s="8">
        <v>0</v>
      </c>
      <c r="BP293" s="7">
        <v>0</v>
      </c>
      <c r="BQ293" s="7">
        <f>VLOOKUP($A293,'13.Sep'!$Y$8:$AA$1048576,3,0)</f>
        <v>0</v>
      </c>
      <c r="BR293" s="7">
        <v>0</v>
      </c>
      <c r="BS293" s="7">
        <f>VLOOKUP($A293,'15.Sep'!$Y$8:$AA$1048576,3,0)</f>
        <v>0</v>
      </c>
      <c r="BT293" s="7">
        <v>0</v>
      </c>
      <c r="BU293" s="7">
        <v>0</v>
      </c>
      <c r="BV293" s="7">
        <v>0</v>
      </c>
      <c r="BW293" s="7">
        <v>0</v>
      </c>
      <c r="BX293" s="7">
        <f>VLOOKUP($A293,'20.Sep'!$Y$8:$AA$1048576,3,0)</f>
        <v>0</v>
      </c>
      <c r="BY293" s="7">
        <v>0</v>
      </c>
      <c r="BZ293" s="7">
        <f>VLOOKUP($A293,'22.Sep'!$Y$8:$AA$1048576,3,0)</f>
        <v>0</v>
      </c>
      <c r="CA293" s="7">
        <f>VLOOKUP($A293,'23.Sep'!$Y$8:$AA$1048576,3,0)</f>
        <v>0</v>
      </c>
      <c r="CB293" s="7">
        <f>VLOOKUP($A293,'24.Sep'!$Y$8:$AA$1048576,3,0)</f>
        <v>0</v>
      </c>
      <c r="CC293" s="7">
        <f>VLOOKUP($A293,'24.Sep'!$Y$8:$AA$1048576,3,0)</f>
        <v>0</v>
      </c>
    </row>
    <row r="294" spans="1:81" outlineLevel="1">
      <c r="A294" s="6" t="s">
        <v>66</v>
      </c>
      <c r="B294" s="7">
        <v>0</v>
      </c>
      <c r="C294" s="7">
        <v>1.4285714285714287E-5</v>
      </c>
      <c r="D294" s="7">
        <v>0</v>
      </c>
      <c r="E294" s="7">
        <v>0</v>
      </c>
      <c r="F294" s="7">
        <v>0</v>
      </c>
      <c r="G294" s="7">
        <v>0</v>
      </c>
      <c r="H294" s="7">
        <f t="shared" si="72"/>
        <v>0</v>
      </c>
      <c r="I294" s="7">
        <f t="shared" si="73"/>
        <v>0</v>
      </c>
      <c r="J294" s="7">
        <f t="shared" si="74"/>
        <v>1.4285714285714287E-5</v>
      </c>
      <c r="K294" s="7">
        <f t="shared" si="75"/>
        <v>0</v>
      </c>
      <c r="L294" s="7">
        <f t="shared" si="76"/>
        <v>0</v>
      </c>
      <c r="M294" s="8">
        <v>0</v>
      </c>
      <c r="N294" s="8">
        <v>0</v>
      </c>
      <c r="O294" s="8">
        <v>0</v>
      </c>
      <c r="P294" s="8">
        <v>0</v>
      </c>
      <c r="Q294" s="8">
        <v>0</v>
      </c>
      <c r="R294" s="8">
        <v>0</v>
      </c>
      <c r="S294" s="8">
        <v>0</v>
      </c>
      <c r="T294" s="8">
        <v>0</v>
      </c>
      <c r="U294" s="8">
        <v>0</v>
      </c>
      <c r="V294" s="8">
        <v>0</v>
      </c>
      <c r="W294" s="8">
        <v>0</v>
      </c>
      <c r="X294" s="8">
        <v>0</v>
      </c>
      <c r="Y294" s="8">
        <v>1E-4</v>
      </c>
      <c r="Z294" s="8">
        <v>0</v>
      </c>
      <c r="AA294" s="8">
        <v>0</v>
      </c>
      <c r="AB294" s="8">
        <v>0</v>
      </c>
      <c r="AC294" s="8">
        <v>0</v>
      </c>
      <c r="AD294" s="8">
        <v>0</v>
      </c>
      <c r="AE294" s="8">
        <v>0</v>
      </c>
      <c r="AF294" s="8">
        <v>0</v>
      </c>
      <c r="AG294" s="8">
        <v>0</v>
      </c>
      <c r="AH294" s="8">
        <v>0</v>
      </c>
      <c r="AI294" s="8">
        <v>0</v>
      </c>
      <c r="AJ294" s="8">
        <v>0</v>
      </c>
      <c r="AK294" s="8">
        <v>0</v>
      </c>
      <c r="AL294" s="8">
        <v>0</v>
      </c>
      <c r="AM294" s="7">
        <v>0</v>
      </c>
      <c r="AN294" s="7">
        <v>0</v>
      </c>
      <c r="AO294" s="7">
        <v>0</v>
      </c>
      <c r="AP294" s="8">
        <v>0</v>
      </c>
      <c r="AQ294" s="8">
        <v>0</v>
      </c>
      <c r="AR294" s="8">
        <v>0</v>
      </c>
      <c r="AS294" s="7">
        <v>0</v>
      </c>
      <c r="AT294" s="8">
        <v>0</v>
      </c>
      <c r="AU294" s="8">
        <v>0</v>
      </c>
      <c r="AV294" s="8">
        <v>0</v>
      </c>
      <c r="AW294" s="7">
        <v>0</v>
      </c>
      <c r="AX294" s="8">
        <v>0</v>
      </c>
      <c r="AY294" s="8">
        <v>0</v>
      </c>
      <c r="AZ294" s="8">
        <v>0</v>
      </c>
      <c r="BA294" s="7">
        <v>0</v>
      </c>
      <c r="BB294" s="7">
        <v>0</v>
      </c>
      <c r="BC294" s="8">
        <v>0</v>
      </c>
      <c r="BD294" s="7">
        <v>0</v>
      </c>
      <c r="BE294" s="7">
        <v>0</v>
      </c>
      <c r="BF294" s="7">
        <v>0</v>
      </c>
      <c r="BG294" s="7">
        <f>VLOOKUP($A294,'3.Sep'!$Y$8:$AA$1048576,3,0)</f>
        <v>0</v>
      </c>
      <c r="BH294" s="8">
        <v>0</v>
      </c>
      <c r="BI294" s="7">
        <v>0</v>
      </c>
      <c r="BJ294" s="7">
        <v>0</v>
      </c>
      <c r="BK294" s="8">
        <f>VLOOKUP($A294,'7.Sep'!$Y$8:$AA$1048576,3,0)</f>
        <v>0</v>
      </c>
      <c r="BL294" s="7">
        <v>0</v>
      </c>
      <c r="BM294" s="7">
        <v>0</v>
      </c>
      <c r="BN294" s="7">
        <v>0</v>
      </c>
      <c r="BO294" s="8">
        <v>0</v>
      </c>
      <c r="BP294" s="7">
        <v>0</v>
      </c>
      <c r="BQ294" s="7">
        <f>VLOOKUP($A294,'13.Sep'!$Y$8:$AA$1048576,3,0)</f>
        <v>0</v>
      </c>
      <c r="BR294" s="7">
        <f>VLOOKUP($A294,'14.Sep'!$Y$8:$AA$1048576,3,0)</f>
        <v>0</v>
      </c>
      <c r="BS294" s="7">
        <v>0</v>
      </c>
      <c r="BT294" s="7">
        <f>VLOOKUP($A294,'16.Sep'!$Y$8:$AA$1048576,3,0)</f>
        <v>1E-4</v>
      </c>
      <c r="BU294" s="7">
        <v>0</v>
      </c>
      <c r="BV294" s="7">
        <v>0</v>
      </c>
      <c r="BW294" s="7">
        <v>0</v>
      </c>
      <c r="BX294" s="7">
        <v>0</v>
      </c>
      <c r="BY294" s="7">
        <v>0</v>
      </c>
      <c r="BZ294" s="7">
        <f>VLOOKUP($A294,'22.Sep'!$Y$8:$AA$1048576,3,0)</f>
        <v>0</v>
      </c>
      <c r="CA294" s="7">
        <v>0</v>
      </c>
      <c r="CB294" s="7">
        <v>0</v>
      </c>
      <c r="CC294" s="7">
        <v>0</v>
      </c>
    </row>
    <row r="295" spans="1:81" outlineLevel="1">
      <c r="A295" s="6" t="s">
        <v>67</v>
      </c>
      <c r="B295" s="7">
        <v>0</v>
      </c>
      <c r="C295" s="7">
        <v>1.4285714285714287E-5</v>
      </c>
      <c r="D295" s="7">
        <v>0</v>
      </c>
      <c r="E295" s="7">
        <v>0</v>
      </c>
      <c r="F295" s="7">
        <v>0</v>
      </c>
      <c r="G295" s="7">
        <v>0</v>
      </c>
      <c r="H295" s="7">
        <f t="shared" si="72"/>
        <v>0</v>
      </c>
      <c r="I295" s="7">
        <f t="shared" si="73"/>
        <v>0</v>
      </c>
      <c r="J295" s="7">
        <f t="shared" si="74"/>
        <v>1.4285714285714287E-5</v>
      </c>
      <c r="K295" s="7">
        <f t="shared" si="75"/>
        <v>0</v>
      </c>
      <c r="L295" s="7">
        <f t="shared" si="76"/>
        <v>0</v>
      </c>
      <c r="M295" s="8">
        <v>0</v>
      </c>
      <c r="N295" s="8">
        <v>0</v>
      </c>
      <c r="O295" s="8">
        <v>0</v>
      </c>
      <c r="P295" s="8">
        <v>0</v>
      </c>
      <c r="Q295" s="8">
        <v>0</v>
      </c>
      <c r="R295" s="8">
        <v>0</v>
      </c>
      <c r="S295" s="8">
        <v>0</v>
      </c>
      <c r="T295" s="8">
        <v>0</v>
      </c>
      <c r="U295" s="8">
        <v>0</v>
      </c>
      <c r="V295" s="8">
        <v>0</v>
      </c>
      <c r="W295" s="8">
        <v>0</v>
      </c>
      <c r="X295" s="8">
        <v>0</v>
      </c>
      <c r="Y295" s="8">
        <v>1E-4</v>
      </c>
      <c r="Z295" s="8">
        <v>0</v>
      </c>
      <c r="AA295" s="8">
        <v>0</v>
      </c>
      <c r="AB295" s="8">
        <v>0</v>
      </c>
      <c r="AC295" s="8">
        <v>0</v>
      </c>
      <c r="AD295" s="8">
        <v>0</v>
      </c>
      <c r="AE295" s="8">
        <v>0</v>
      </c>
      <c r="AF295" s="8">
        <v>0</v>
      </c>
      <c r="AG295" s="8">
        <v>0</v>
      </c>
      <c r="AH295" s="8">
        <v>0</v>
      </c>
      <c r="AI295" s="8">
        <v>0</v>
      </c>
      <c r="AJ295" s="8">
        <v>0</v>
      </c>
      <c r="AK295" s="8">
        <v>0</v>
      </c>
      <c r="AL295" s="8">
        <v>0</v>
      </c>
      <c r="AM295" s="7">
        <v>0</v>
      </c>
      <c r="AN295" s="8">
        <v>0</v>
      </c>
      <c r="AO295" s="8">
        <v>0</v>
      </c>
      <c r="AP295" s="8">
        <v>0</v>
      </c>
      <c r="AQ295" s="8">
        <v>0</v>
      </c>
      <c r="AR295" s="8">
        <v>0</v>
      </c>
      <c r="AS295" s="8">
        <v>0</v>
      </c>
      <c r="AT295" s="8">
        <v>0</v>
      </c>
      <c r="AU295" s="7">
        <v>0</v>
      </c>
      <c r="AV295" s="8">
        <v>0</v>
      </c>
      <c r="AW295" s="7">
        <v>0</v>
      </c>
      <c r="AX295" s="8">
        <v>0</v>
      </c>
      <c r="AY295" s="8">
        <v>0</v>
      </c>
      <c r="AZ295" s="8">
        <v>0</v>
      </c>
      <c r="BA295" s="7">
        <v>0</v>
      </c>
      <c r="BB295" s="7">
        <v>0</v>
      </c>
      <c r="BC295" s="8">
        <v>0</v>
      </c>
      <c r="BD295" s="7">
        <v>0</v>
      </c>
      <c r="BE295" s="7">
        <v>0</v>
      </c>
      <c r="BF295" s="7">
        <v>0</v>
      </c>
      <c r="BG295" s="7">
        <v>0</v>
      </c>
      <c r="BH295" s="8">
        <f>VLOOKUP($A295,'4.Sep'!$Y$8:$AA$1048576,3,0)</f>
        <v>0</v>
      </c>
      <c r="BI295" s="8">
        <f>VLOOKUP($A295,'5.Sep'!$Y$8:$AA$1048576,3,0)</f>
        <v>0</v>
      </c>
      <c r="BJ295" s="8">
        <f>VLOOKUP($A295,'6.Sep'!$Y$8:$AA$1048576,3,0)</f>
        <v>0</v>
      </c>
      <c r="BK295" s="7">
        <v>0</v>
      </c>
      <c r="BL295" s="7">
        <v>0</v>
      </c>
      <c r="BM295" s="8">
        <f>VLOOKUP($A295,'9.Sep'!$Y$8:$AA$1048576,3,0)</f>
        <v>0</v>
      </c>
      <c r="BN295" s="7">
        <v>0</v>
      </c>
      <c r="BO295" s="8">
        <f>VLOOKUP($A295,'11.Sep'!$Y$8:$AA$1048576,3,0)</f>
        <v>0</v>
      </c>
      <c r="BP295" s="7">
        <v>0</v>
      </c>
      <c r="BQ295" s="7">
        <v>0</v>
      </c>
      <c r="BR295" s="7">
        <v>0</v>
      </c>
      <c r="BS295" s="7">
        <f>VLOOKUP($A295,'15.Sep'!$Y$8:$AA$1048576,3,0)</f>
        <v>0</v>
      </c>
      <c r="BT295" s="7">
        <v>0</v>
      </c>
      <c r="BU295" s="7">
        <f>VLOOKUP($A295,'17.Sep'!$Y$8:$AA$1048576,3,0)</f>
        <v>0</v>
      </c>
      <c r="BV295" s="7">
        <f>VLOOKUP($A295,'18.Sep'!$Y$8:$AA$1048576,3,0)</f>
        <v>1E-4</v>
      </c>
      <c r="BW295" s="7">
        <f>VLOOKUP($A295,'19.Sep'!$Y$8:$AA$1048576,3,0)</f>
        <v>0</v>
      </c>
      <c r="BX295" s="7">
        <v>0</v>
      </c>
      <c r="BY295" s="7">
        <v>0</v>
      </c>
      <c r="BZ295" s="7">
        <f>VLOOKUP($A295,'22.Sep'!$Y$8:$AA$1048576,3,0)</f>
        <v>0</v>
      </c>
      <c r="CA295" s="7">
        <f>VLOOKUP($A295,'23.Sep'!$Y$8:$AA$1048576,3,0)</f>
        <v>0</v>
      </c>
      <c r="CB295" s="7">
        <v>0</v>
      </c>
      <c r="CC295" s="7">
        <v>0</v>
      </c>
    </row>
    <row r="296" spans="1:81">
      <c r="A296" s="6" t="s">
        <v>68</v>
      </c>
      <c r="B296" s="7">
        <v>1.6666666666666667E-5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f t="shared" si="72"/>
        <v>0</v>
      </c>
      <c r="I296" s="7">
        <f t="shared" si="73"/>
        <v>0</v>
      </c>
      <c r="J296" s="7">
        <f t="shared" si="74"/>
        <v>0</v>
      </c>
      <c r="K296" s="7">
        <f t="shared" si="75"/>
        <v>0</v>
      </c>
      <c r="L296" s="7">
        <f t="shared" si="76"/>
        <v>0</v>
      </c>
      <c r="M296" s="8">
        <v>0</v>
      </c>
      <c r="N296" s="8">
        <v>0</v>
      </c>
      <c r="O296" s="8">
        <v>0</v>
      </c>
      <c r="P296" s="8">
        <v>0</v>
      </c>
      <c r="Q296" s="8">
        <v>1E-4</v>
      </c>
      <c r="R296" s="8">
        <v>0</v>
      </c>
      <c r="S296" s="8">
        <v>0</v>
      </c>
      <c r="T296" s="8">
        <v>0</v>
      </c>
      <c r="U296" s="8">
        <v>0</v>
      </c>
      <c r="V296" s="8">
        <v>0</v>
      </c>
      <c r="W296" s="8">
        <v>0</v>
      </c>
      <c r="X296" s="8">
        <v>0</v>
      </c>
      <c r="Y296" s="8">
        <v>0</v>
      </c>
      <c r="Z296" s="8">
        <v>0</v>
      </c>
      <c r="AA296" s="8">
        <v>0</v>
      </c>
      <c r="AB296" s="8">
        <v>0</v>
      </c>
      <c r="AC296" s="8">
        <v>0</v>
      </c>
      <c r="AD296" s="8">
        <v>0</v>
      </c>
      <c r="AE296" s="8">
        <v>0</v>
      </c>
      <c r="AF296" s="8">
        <v>0</v>
      </c>
      <c r="AG296" s="8">
        <v>0</v>
      </c>
      <c r="AH296" s="8">
        <v>0</v>
      </c>
      <c r="AI296" s="8">
        <v>0</v>
      </c>
      <c r="AJ296" s="8">
        <v>0</v>
      </c>
      <c r="AK296" s="8">
        <v>0</v>
      </c>
      <c r="AL296" s="8">
        <v>0</v>
      </c>
      <c r="AM296" s="7">
        <v>0</v>
      </c>
      <c r="AN296" s="7">
        <v>0</v>
      </c>
      <c r="AO296" s="8">
        <v>0</v>
      </c>
      <c r="AP296" s="7">
        <v>0</v>
      </c>
      <c r="AQ296" s="8">
        <v>0</v>
      </c>
      <c r="AR296" s="8">
        <v>0</v>
      </c>
      <c r="AS296" s="8">
        <v>0</v>
      </c>
      <c r="AT296" s="7">
        <v>0</v>
      </c>
      <c r="AU296" s="8">
        <v>0</v>
      </c>
      <c r="AV296" s="8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 s="7">
        <v>0</v>
      </c>
      <c r="BE296" s="7">
        <v>0</v>
      </c>
      <c r="BF296" s="7">
        <f>VLOOKUP($A296,'2.Sep'!$Y$8:$AA$1048576,3,0)</f>
        <v>0</v>
      </c>
      <c r="BG296" s="7">
        <v>0</v>
      </c>
      <c r="BH296" s="8">
        <f>VLOOKUP($A296,'4.Sep'!$Y$8:$AA$1048576,3,0)</f>
        <v>0</v>
      </c>
      <c r="BI296" s="8">
        <f>VLOOKUP($A296,'5.Sep'!$Y$8:$AA$1048576,3,0)</f>
        <v>0</v>
      </c>
      <c r="BJ296" s="8">
        <f>VLOOKUP($A296,'6.Sep'!$Y$8:$AA$1048576,3,0)</f>
        <v>0</v>
      </c>
      <c r="BK296" s="8">
        <f>VLOOKUP($A296,'7.Sep'!$Y$8:$AA$1048576,3,0)</f>
        <v>0</v>
      </c>
      <c r="BL296" s="8">
        <f>VLOOKUP($A296,'8.Sep'!$Y$8:$AA$1048576,3,0)</f>
        <v>0</v>
      </c>
      <c r="BM296" s="8">
        <f>VLOOKUP($A296,'9.Sep'!$Y$8:$AA$1048576,3,0)</f>
        <v>0</v>
      </c>
      <c r="BN296" s="8">
        <f>VLOOKUP($A296,'10.Sep'!$Y$8:$AA$1048576,3,0)</f>
        <v>0</v>
      </c>
      <c r="BO296" s="8">
        <f>VLOOKUP($A296,'11.Sep'!$Y$8:$AA$1048576,3,0)</f>
        <v>0</v>
      </c>
      <c r="BP296" s="7">
        <v>0</v>
      </c>
      <c r="BQ296" s="7">
        <f>VLOOKUP($A296,'13.Sep'!$Y$8:$AA$1048576,3,0)</f>
        <v>0</v>
      </c>
      <c r="BR296" s="7">
        <v>0</v>
      </c>
      <c r="BS296" s="7">
        <f>VLOOKUP($A296,'15.Sep'!$Y$8:$AA$1048576,3,0)</f>
        <v>0</v>
      </c>
      <c r="BT296" s="7">
        <f>VLOOKUP($A296,'16.Sep'!$Y$8:$AA$1048576,3,0)</f>
        <v>0</v>
      </c>
      <c r="BU296" s="7">
        <v>0</v>
      </c>
      <c r="BV296" s="7">
        <v>0</v>
      </c>
      <c r="BW296" s="7">
        <v>0</v>
      </c>
      <c r="BX296" s="7">
        <v>0</v>
      </c>
      <c r="BY296" s="7">
        <f>VLOOKUP($A296,'21.Sep'!$Y$8:$AA$1048576,3,0)</f>
        <v>0</v>
      </c>
      <c r="BZ296" s="7">
        <f>VLOOKUP($A296,'22.Sep'!$Y$8:$AA$1048576,3,0)</f>
        <v>0</v>
      </c>
      <c r="CA296" s="7">
        <f>VLOOKUP($A296,'23.Sep'!$Y$8:$AA$1048576,3,0)</f>
        <v>0</v>
      </c>
      <c r="CB296" s="7">
        <f>VLOOKUP($A296,'24.Sep'!$Y$8:$AA$1048576,3,0)</f>
        <v>0</v>
      </c>
      <c r="CC296" s="7">
        <f>VLOOKUP($A296,'24.Sep'!$Y$8:$AA$1048576,3,0)</f>
        <v>0</v>
      </c>
    </row>
    <row r="297" spans="1:81">
      <c r="A297" s="6" t="s">
        <v>69</v>
      </c>
      <c r="B297" s="7">
        <v>0</v>
      </c>
      <c r="C297" s="7">
        <v>0</v>
      </c>
      <c r="D297" s="7">
        <v>1.4285714285714287E-5</v>
      </c>
      <c r="E297" s="7">
        <v>0</v>
      </c>
      <c r="F297" s="7">
        <v>0</v>
      </c>
      <c r="G297" s="7">
        <v>0</v>
      </c>
      <c r="H297" s="7">
        <f t="shared" ref="H297" si="77">AVERAGE(BB297:BH297)</f>
        <v>0</v>
      </c>
      <c r="I297" s="7">
        <f t="shared" ref="I297" si="78">AVERAGE(BI297:BO297)</f>
        <v>0</v>
      </c>
      <c r="J297" s="7">
        <f t="shared" ref="J297" si="79">AVERAGE(BP297:BV297)</f>
        <v>0</v>
      </c>
      <c r="K297" s="7">
        <f t="shared" si="75"/>
        <v>0</v>
      </c>
      <c r="L297" s="7">
        <f t="shared" si="76"/>
        <v>0</v>
      </c>
      <c r="M297" s="8">
        <v>0</v>
      </c>
      <c r="N297" s="8">
        <v>0</v>
      </c>
      <c r="O297" s="8">
        <v>0</v>
      </c>
      <c r="P297" s="8">
        <v>0</v>
      </c>
      <c r="Q297" s="8">
        <v>0</v>
      </c>
      <c r="R297" s="8">
        <v>0</v>
      </c>
      <c r="S297" s="8">
        <v>0</v>
      </c>
      <c r="T297" s="8">
        <v>0</v>
      </c>
      <c r="U297" s="8">
        <v>0</v>
      </c>
      <c r="V297" s="8">
        <v>0</v>
      </c>
      <c r="W297" s="8">
        <v>0</v>
      </c>
      <c r="X297" s="8">
        <v>0</v>
      </c>
      <c r="Y297" s="8">
        <v>0</v>
      </c>
      <c r="Z297" s="8">
        <v>0</v>
      </c>
      <c r="AA297" s="8">
        <v>0</v>
      </c>
      <c r="AB297" s="8">
        <v>0</v>
      </c>
      <c r="AC297" s="8">
        <v>0</v>
      </c>
      <c r="AD297" s="8">
        <v>1E-4</v>
      </c>
      <c r="AE297" s="8">
        <v>0</v>
      </c>
      <c r="AF297" s="8">
        <v>0</v>
      </c>
      <c r="AG297" s="8">
        <v>0</v>
      </c>
      <c r="AH297" s="8">
        <v>0</v>
      </c>
      <c r="AI297" s="8">
        <v>0</v>
      </c>
      <c r="AJ297" s="8">
        <v>0</v>
      </c>
      <c r="AK297" s="8">
        <v>0</v>
      </c>
      <c r="AL297" s="8">
        <v>0</v>
      </c>
      <c r="AM297" s="7">
        <v>0</v>
      </c>
      <c r="AN297" s="8">
        <v>0</v>
      </c>
      <c r="AO297" s="8">
        <v>0</v>
      </c>
      <c r="AP297" s="8">
        <v>0</v>
      </c>
      <c r="AQ297" s="8">
        <v>0</v>
      </c>
      <c r="AR297" s="7">
        <v>0</v>
      </c>
      <c r="AS297" s="7">
        <v>0</v>
      </c>
      <c r="AT297" s="7">
        <v>0</v>
      </c>
      <c r="AU297" s="7">
        <v>0</v>
      </c>
      <c r="AV297" s="8">
        <v>0</v>
      </c>
      <c r="AW297" s="8">
        <v>0</v>
      </c>
      <c r="AX297" s="7">
        <v>0</v>
      </c>
      <c r="AY297" s="7">
        <v>0</v>
      </c>
      <c r="AZ297" s="8">
        <v>0</v>
      </c>
      <c r="BA297" s="7">
        <v>0</v>
      </c>
      <c r="BB297" s="7">
        <v>0</v>
      </c>
      <c r="BC297" s="7">
        <v>0</v>
      </c>
      <c r="BD297" s="7">
        <v>0</v>
      </c>
      <c r="BE297" s="7">
        <v>0</v>
      </c>
      <c r="BF297" s="7">
        <f>VLOOKUP($A297,'2.Sep'!$Y$8:$AA$1048576,3,0)</f>
        <v>0</v>
      </c>
      <c r="BG297" s="7">
        <v>0</v>
      </c>
      <c r="BH297" s="8">
        <v>0</v>
      </c>
      <c r="BI297" s="8">
        <f>VLOOKUP($A297,'5.Sep'!$Y$8:$AA$1048576,3,0)</f>
        <v>0</v>
      </c>
      <c r="BJ297" s="7">
        <v>0</v>
      </c>
      <c r="BK297" s="8">
        <f>VLOOKUP($A297,'7.Sep'!$Y$8:$AA$1048576,3,0)</f>
        <v>0</v>
      </c>
      <c r="BL297" s="8">
        <f>VLOOKUP($A297,'8.Sep'!$Y$8:$AA$1048576,3,0)</f>
        <v>0</v>
      </c>
      <c r="BM297" s="7">
        <v>0</v>
      </c>
      <c r="BN297" s="7">
        <v>0</v>
      </c>
      <c r="BO297" s="8">
        <v>0</v>
      </c>
      <c r="BP297" s="7">
        <f>VLOOKUP($A297,'12.Sep'!$Y$8:$AA$1048576,3,0)</f>
        <v>0</v>
      </c>
      <c r="BQ297" s="7">
        <v>0</v>
      </c>
      <c r="BR297" s="7">
        <f>VLOOKUP($A297,'14.Sep'!$Y$8:$AA$1048576,3,0)</f>
        <v>0</v>
      </c>
      <c r="BS297" s="7">
        <v>0</v>
      </c>
      <c r="BT297" s="7">
        <v>0</v>
      </c>
      <c r="BU297" s="7">
        <v>0</v>
      </c>
      <c r="BV297" s="7">
        <v>0</v>
      </c>
      <c r="BW297" s="7">
        <v>0</v>
      </c>
      <c r="BX297" s="7">
        <f>VLOOKUP($A297,'20.Sep'!$Y$8:$AA$1048576,3,0)</f>
        <v>0</v>
      </c>
      <c r="BY297" s="7">
        <f>VLOOKUP($A297,'21.Sep'!$Y$8:$AA$1048576,3,0)</f>
        <v>0</v>
      </c>
      <c r="BZ297" s="8">
        <v>0</v>
      </c>
      <c r="CA297" s="7">
        <f>VLOOKUP($A297,'23.Sep'!$Y$8:$AA$1048576,3,0)</f>
        <v>0</v>
      </c>
      <c r="CB297" s="7">
        <f>VLOOKUP($A297,'24.Sep'!$Y$8:$AA$1048576,3,0)</f>
        <v>0</v>
      </c>
      <c r="CC297" s="7">
        <f>VLOOKUP($A297,'24.Sep'!$Y$8:$AA$1048576,3,0)</f>
        <v>0</v>
      </c>
    </row>
    <row r="298" spans="1:81">
      <c r="A298" s="12" t="s">
        <v>70</v>
      </c>
      <c r="B298" s="10">
        <v>2.5766666666666681E-2</v>
      </c>
      <c r="C298" s="10">
        <v>1.9500000000000003E-2</v>
      </c>
      <c r="D298" s="10">
        <v>2.3057142857142863E-2</v>
      </c>
      <c r="E298" s="10">
        <v>2.1585714285714278E-2</v>
      </c>
      <c r="F298" s="10">
        <v>1.8928571428571427E-2</v>
      </c>
      <c r="G298" s="10">
        <v>1.6828571428571425E-2</v>
      </c>
      <c r="H298" s="10">
        <f t="shared" ref="H298" si="80">SUM(H232:H297)</f>
        <v>1.524285714285714E-2</v>
      </c>
      <c r="I298" s="10">
        <f t="shared" ref="I298:J298" si="81">SUM(I232:I297)</f>
        <v>1.7185714285714283E-2</v>
      </c>
      <c r="J298" s="10">
        <f t="shared" si="81"/>
        <v>1.6685714285714283E-2</v>
      </c>
      <c r="K298" s="10">
        <f t="shared" ref="K298:L298" si="82">SUM(K232:K297)</f>
        <v>1.8783333333333346E-2</v>
      </c>
      <c r="L298" s="10">
        <f t="shared" si="82"/>
        <v>1.8419999999999992E-2</v>
      </c>
      <c r="M298" s="11">
        <v>2.7999999999999997E-2</v>
      </c>
      <c r="N298" s="11">
        <v>2.9400000000000003E-2</v>
      </c>
      <c r="O298" s="11">
        <v>2.1999999999999985E-2</v>
      </c>
      <c r="P298" s="11">
        <v>2.8999999999999995E-2</v>
      </c>
      <c r="Q298" s="11">
        <v>2.4899999999999988E-2</v>
      </c>
      <c r="R298" s="11">
        <v>2.1299999999999989E-2</v>
      </c>
      <c r="S298" s="11">
        <v>1.9099999999999992E-2</v>
      </c>
      <c r="T298" s="11">
        <v>1.8199999999999997E-2</v>
      </c>
      <c r="U298" s="11">
        <v>1.8399999999999989E-2</v>
      </c>
      <c r="V298" s="11">
        <v>1.8199999999999997E-2</v>
      </c>
      <c r="W298" s="11">
        <v>1.9399999999999994E-2</v>
      </c>
      <c r="X298" s="11">
        <v>1.9399999999999994E-2</v>
      </c>
      <c r="Y298" s="11">
        <v>2.3799999999999998E-2</v>
      </c>
      <c r="Z298" s="11">
        <v>2.0499999999999994E-2</v>
      </c>
      <c r="AA298" s="11">
        <v>2.3799999999999998E-2</v>
      </c>
      <c r="AB298" s="11">
        <v>2.2199999999999991E-2</v>
      </c>
      <c r="AC298" s="11">
        <v>2.6099999999999998E-2</v>
      </c>
      <c r="AD298" s="11">
        <v>2.6399999999999983E-2</v>
      </c>
      <c r="AE298" s="11">
        <v>2.3599999999999993E-2</v>
      </c>
      <c r="AF298" s="11">
        <v>1.8799999999999994E-2</v>
      </c>
      <c r="AG298" s="11">
        <v>1.9599999999999992E-2</v>
      </c>
      <c r="AH298" s="11">
        <v>2.0699999999999989E-2</v>
      </c>
      <c r="AI298" s="11">
        <v>1.9199999999999995E-2</v>
      </c>
      <c r="AJ298" s="11">
        <v>2.07E-2</v>
      </c>
      <c r="AK298" s="11">
        <v>2.1799999999999996E-2</v>
      </c>
      <c r="AL298" s="11">
        <v>2.3299999999999987E-2</v>
      </c>
      <c r="AM298" s="10">
        <v>2.5799999999999997E-2</v>
      </c>
      <c r="AN298" s="10">
        <v>2.2599999999999995E-2</v>
      </c>
      <c r="AO298" s="10">
        <v>1.5299999999999992E-2</v>
      </c>
      <c r="AP298" s="10">
        <v>1.9499999999999997E-2</v>
      </c>
      <c r="AQ298" s="10">
        <v>1.8099999999999991E-2</v>
      </c>
      <c r="AR298" s="10">
        <v>2.059999999999999E-2</v>
      </c>
      <c r="AS298" s="10">
        <v>1.7799999999999989E-2</v>
      </c>
      <c r="AT298" s="10">
        <v>1.8599999999999995E-2</v>
      </c>
      <c r="AU298" s="10">
        <v>1.8299999999999993E-2</v>
      </c>
      <c r="AV298" s="10">
        <v>1.6699999999999996E-2</v>
      </c>
      <c r="AW298" s="10">
        <v>1.5099999999999995E-2</v>
      </c>
      <c r="AX298" s="10">
        <v>1.6399999999999991E-2</v>
      </c>
      <c r="AY298" s="10">
        <v>1.5099999999999999E-2</v>
      </c>
      <c r="AZ298" s="10">
        <v>1.5799999999999995E-2</v>
      </c>
      <c r="BA298" s="10">
        <v>2.0399999999999991E-2</v>
      </c>
      <c r="BB298" s="10">
        <v>1.6999999999999994E-2</v>
      </c>
      <c r="BC298" s="10">
        <v>1.5599999999999992E-2</v>
      </c>
      <c r="BD298" s="10">
        <v>1.5499999999999995E-2</v>
      </c>
      <c r="BE298" s="10">
        <f t="shared" ref="BE298:CB298" si="83">SUM(BE232:BE297)</f>
        <v>1.3399999999999997E-2</v>
      </c>
      <c r="BF298" s="10">
        <f t="shared" si="83"/>
        <v>1.5599999999999992E-2</v>
      </c>
      <c r="BG298" s="10">
        <f t="shared" si="83"/>
        <v>1.4299999999999993E-2</v>
      </c>
      <c r="BH298" s="11">
        <f t="shared" si="83"/>
        <v>1.5299999999999996E-2</v>
      </c>
      <c r="BI298" s="11">
        <f t="shared" si="83"/>
        <v>1.5899999999999997E-2</v>
      </c>
      <c r="BJ298" s="11">
        <f t="shared" si="83"/>
        <v>1.8099999999999998E-2</v>
      </c>
      <c r="BK298" s="11">
        <f t="shared" si="83"/>
        <v>1.5399999999999994E-2</v>
      </c>
      <c r="BL298" s="11">
        <f t="shared" si="83"/>
        <v>1.8000000000000002E-2</v>
      </c>
      <c r="BM298" s="11">
        <f t="shared" si="83"/>
        <v>1.6599999999999997E-2</v>
      </c>
      <c r="BN298" s="11">
        <f t="shared" si="83"/>
        <v>1.6599999999999993E-2</v>
      </c>
      <c r="BO298" s="11">
        <f t="shared" si="83"/>
        <v>1.9699999999999985E-2</v>
      </c>
      <c r="BP298" s="10">
        <f t="shared" si="83"/>
        <v>1.6399999999999998E-2</v>
      </c>
      <c r="BQ298" s="10">
        <f t="shared" si="83"/>
        <v>1.709999999999999E-2</v>
      </c>
      <c r="BR298" s="10">
        <f t="shared" si="83"/>
        <v>1.7399999999999992E-2</v>
      </c>
      <c r="BS298" s="10">
        <f t="shared" si="83"/>
        <v>1.6699999999999993E-2</v>
      </c>
      <c r="BT298" s="10">
        <f t="shared" si="83"/>
        <v>1.5899999999999994E-2</v>
      </c>
      <c r="BU298" s="10">
        <f t="shared" si="83"/>
        <v>1.7199999999999997E-2</v>
      </c>
      <c r="BV298" s="10">
        <f t="shared" si="83"/>
        <v>1.6099999999999993E-2</v>
      </c>
      <c r="BW298" s="10">
        <f t="shared" si="83"/>
        <v>2.0599999999999993E-2</v>
      </c>
      <c r="BX298" s="10">
        <f t="shared" si="83"/>
        <v>1.8199999999999994E-2</v>
      </c>
      <c r="BY298" s="10">
        <f t="shared" si="83"/>
        <v>1.819999999999999E-2</v>
      </c>
      <c r="BZ298" s="10">
        <f t="shared" si="83"/>
        <v>1.6999999999999994E-2</v>
      </c>
      <c r="CA298" s="10">
        <f t="shared" si="83"/>
        <v>2.2699999999999991E-2</v>
      </c>
      <c r="CB298" s="10">
        <f t="shared" si="83"/>
        <v>1.5999999999999993E-2</v>
      </c>
      <c r="CC298" s="10">
        <f t="shared" ref="CC298" si="84">SUM(CC232:CC297)</f>
        <v>1.5999999999999993E-2</v>
      </c>
    </row>
    <row r="299" spans="1:81">
      <c r="A299" s="13" t="s">
        <v>71</v>
      </c>
      <c r="B299" s="14">
        <v>61744</v>
      </c>
      <c r="C299" s="14">
        <v>119339</v>
      </c>
      <c r="D299" s="14">
        <v>282594</v>
      </c>
      <c r="E299" s="14">
        <v>325829</v>
      </c>
      <c r="F299" s="14">
        <v>383214</v>
      </c>
      <c r="G299" s="14">
        <v>460407</v>
      </c>
      <c r="H299" s="14">
        <f>SUM(BB299:BH299)</f>
        <v>421082</v>
      </c>
      <c r="I299" s="14">
        <f>SUM(BI299:BO299)</f>
        <v>495536</v>
      </c>
      <c r="J299" s="14">
        <f>SUM(BP299:BV299)</f>
        <v>508328</v>
      </c>
      <c r="K299" s="14">
        <f>SUM(BW299:CB299)</f>
        <v>664694</v>
      </c>
      <c r="L299" s="14">
        <f>SUM(BX299:CB299)</f>
        <v>576225</v>
      </c>
      <c r="M299" s="15">
        <v>8999</v>
      </c>
      <c r="N299" s="15">
        <v>7167</v>
      </c>
      <c r="O299" s="15">
        <v>10052</v>
      </c>
      <c r="P299" s="15">
        <v>11243</v>
      </c>
      <c r="Q299" s="15">
        <v>12410</v>
      </c>
      <c r="R299" s="15">
        <v>11873</v>
      </c>
      <c r="S299" s="15">
        <v>13200</v>
      </c>
      <c r="T299" s="15">
        <v>10380</v>
      </c>
      <c r="U299" s="15">
        <v>14737</v>
      </c>
      <c r="V299" s="15">
        <v>18130</v>
      </c>
      <c r="W299" s="15">
        <v>22513</v>
      </c>
      <c r="X299" s="15">
        <v>22513</v>
      </c>
      <c r="Y299" s="15">
        <v>17866</v>
      </c>
      <c r="Z299" s="15">
        <v>41757</v>
      </c>
      <c r="AA299" s="15">
        <v>38551</v>
      </c>
      <c r="AB299" s="15">
        <v>41374</v>
      </c>
      <c r="AC299" s="15">
        <v>43211</v>
      </c>
      <c r="AD299" s="15">
        <v>39480</v>
      </c>
      <c r="AE299" s="15">
        <v>32738</v>
      </c>
      <c r="AF299" s="15">
        <v>45483</v>
      </c>
      <c r="AG299" s="15">
        <v>38785</v>
      </c>
      <c r="AH299" s="15">
        <v>41610</v>
      </c>
      <c r="AI299" s="15">
        <v>40759</v>
      </c>
      <c r="AJ299" s="15">
        <v>47139</v>
      </c>
      <c r="AK299" s="15">
        <v>49921</v>
      </c>
      <c r="AL299" s="15">
        <v>52663</v>
      </c>
      <c r="AM299" s="14">
        <v>54952</v>
      </c>
      <c r="AN299" s="14">
        <v>44758</v>
      </c>
      <c r="AO299" s="14">
        <v>47926</v>
      </c>
      <c r="AP299" s="14">
        <v>39648</v>
      </c>
      <c r="AQ299" s="14">
        <v>62104</v>
      </c>
      <c r="AR299" s="14">
        <v>64659</v>
      </c>
      <c r="AS299" s="14">
        <v>64000</v>
      </c>
      <c r="AT299" s="14">
        <v>60119</v>
      </c>
      <c r="AU299" s="14">
        <v>73109</v>
      </c>
      <c r="AV299" s="14">
        <v>59076</v>
      </c>
      <c r="AW299" s="14">
        <v>75851</v>
      </c>
      <c r="AX299" s="14">
        <v>68333</v>
      </c>
      <c r="AY299" s="14">
        <v>64485</v>
      </c>
      <c r="AZ299" s="14">
        <v>56442</v>
      </c>
      <c r="BA299" s="14">
        <v>63111</v>
      </c>
      <c r="BB299" s="14">
        <v>60407</v>
      </c>
      <c r="BC299" s="14">
        <v>58616</v>
      </c>
      <c r="BD299" s="14">
        <v>44511</v>
      </c>
      <c r="BE299" s="14">
        <f>'1.Sep'!$AA$2</f>
        <v>60942</v>
      </c>
      <c r="BF299" s="14">
        <f>'2.Sep'!$AA$2</f>
        <v>58616</v>
      </c>
      <c r="BG299" s="14">
        <f>'3.Sep'!$AA$2</f>
        <v>66707</v>
      </c>
      <c r="BH299" s="15">
        <f>'4.Sep'!$AA$2</f>
        <v>71283</v>
      </c>
      <c r="BI299" s="15">
        <f>'5.Sep'!$AA$2</f>
        <v>70326</v>
      </c>
      <c r="BJ299" s="15">
        <f>'6.Sep'!$AA$2</f>
        <v>67270</v>
      </c>
      <c r="BK299" s="15">
        <f>'7.Sep'!$AA$2</f>
        <v>63766</v>
      </c>
      <c r="BL299" s="15">
        <f>'8.Sep'!$AA$2</f>
        <v>74656</v>
      </c>
      <c r="BM299" s="15">
        <f>'9.Sep'!$AA$2</f>
        <v>66917</v>
      </c>
      <c r="BN299" s="15">
        <f>'10.Sep'!$AA$2</f>
        <v>76920</v>
      </c>
      <c r="BO299" s="15">
        <f>'11.Sep'!$AA$2</f>
        <v>75681</v>
      </c>
      <c r="BP299" s="14">
        <f>'12.Sep'!$AA$2</f>
        <v>77360</v>
      </c>
      <c r="BQ299" s="14">
        <f>'13.Sep'!$AA$2</f>
        <v>75467</v>
      </c>
      <c r="BR299" s="14">
        <f>'14.Sep'!$AA$2</f>
        <v>74901</v>
      </c>
      <c r="BS299" s="14">
        <f>'15.Sep'!$AA$2</f>
        <v>64437</v>
      </c>
      <c r="BT299" s="14">
        <f>'16.Sep'!$AA$2</f>
        <v>75027</v>
      </c>
      <c r="BU299" s="14">
        <f>'17.Sep'!$AA$2</f>
        <v>62116</v>
      </c>
      <c r="BV299" s="14">
        <f>'18.Sep'!$AA$2</f>
        <v>79020</v>
      </c>
      <c r="BW299" s="14">
        <f>'19.Sep'!$AA$2</f>
        <v>88469</v>
      </c>
      <c r="BX299" s="14">
        <f>'20.Sep'!$AA$2</f>
        <v>106411</v>
      </c>
      <c r="BY299" s="14">
        <f>'21.Sep'!$AA$2</f>
        <v>112154</v>
      </c>
      <c r="BZ299" s="14">
        <f>'22.Sep'!$AA$2</f>
        <v>119220</v>
      </c>
      <c r="CA299" s="14">
        <f>'22.Sep'!$AA$2</f>
        <v>119220</v>
      </c>
      <c r="CB299" s="14">
        <f>'22.Sep'!$AA$2</f>
        <v>119220</v>
      </c>
      <c r="CC299" s="14">
        <f>'22.Sep'!$AA$2</f>
        <v>119220</v>
      </c>
    </row>
    <row r="300" spans="1:81">
      <c r="A300" s="13" t="s">
        <v>72</v>
      </c>
      <c r="B300" s="14">
        <v>60179</v>
      </c>
      <c r="C300" s="14">
        <v>116987</v>
      </c>
      <c r="D300" s="14">
        <v>276039</v>
      </c>
      <c r="E300" s="14">
        <v>318661</v>
      </c>
      <c r="F300" s="14">
        <v>375259</v>
      </c>
      <c r="G300" s="14">
        <v>452644</v>
      </c>
      <c r="H300" s="14">
        <f>SUM(BB300:BH300)</f>
        <v>414582</v>
      </c>
      <c r="I300" s="14">
        <f>SUM(BI300:BO300)</f>
        <v>486891</v>
      </c>
      <c r="J300" s="14">
        <f>SUM(BP300:BV300)</f>
        <v>499852</v>
      </c>
      <c r="K300" s="14">
        <f>SUM(BW300:CB300)</f>
        <v>652721</v>
      </c>
      <c r="L300" s="14">
        <f>SUM(BX300:CB300)</f>
        <v>566109</v>
      </c>
      <c r="M300" s="15">
        <v>8744</v>
      </c>
      <c r="N300" s="15">
        <v>6955</v>
      </c>
      <c r="O300" s="15">
        <v>9831</v>
      </c>
      <c r="P300" s="15">
        <v>10920</v>
      </c>
      <c r="Q300" s="15">
        <v>12106</v>
      </c>
      <c r="R300" s="15">
        <v>11623</v>
      </c>
      <c r="S300" s="15">
        <v>12953</v>
      </c>
      <c r="T300" s="15">
        <v>10193</v>
      </c>
      <c r="U300" s="15">
        <v>14465</v>
      </c>
      <c r="V300" s="15">
        <v>17803</v>
      </c>
      <c r="W300" s="15">
        <v>22063</v>
      </c>
      <c r="X300" s="15">
        <v>22063</v>
      </c>
      <c r="Y300" s="15">
        <v>17447</v>
      </c>
      <c r="Z300" s="15">
        <v>40880</v>
      </c>
      <c r="AA300" s="15">
        <v>37634</v>
      </c>
      <c r="AB300" s="15">
        <v>40442</v>
      </c>
      <c r="AC300" s="15">
        <v>42073</v>
      </c>
      <c r="AD300" s="15">
        <v>38439</v>
      </c>
      <c r="AE300" s="15">
        <v>31962</v>
      </c>
      <c r="AF300" s="15">
        <v>44609</v>
      </c>
      <c r="AG300" s="15">
        <v>38023</v>
      </c>
      <c r="AH300" s="15">
        <v>40731</v>
      </c>
      <c r="AI300" s="15">
        <v>39950</v>
      </c>
      <c r="AJ300" s="15">
        <v>46144</v>
      </c>
      <c r="AK300" s="15">
        <v>48823</v>
      </c>
      <c r="AL300" s="15">
        <v>51445</v>
      </c>
      <c r="AM300" s="14">
        <v>53545</v>
      </c>
      <c r="AN300" s="14">
        <v>43724</v>
      </c>
      <c r="AO300" s="14">
        <v>47176</v>
      </c>
      <c r="AP300" s="14">
        <v>38871</v>
      </c>
      <c r="AQ300" s="14">
        <v>60948</v>
      </c>
      <c r="AR300" s="14">
        <v>63109</v>
      </c>
      <c r="AS300" s="14">
        <v>62445</v>
      </c>
      <c r="AT300" s="14">
        <v>58986</v>
      </c>
      <c r="AU300" s="14">
        <v>71754</v>
      </c>
      <c r="AV300" s="14">
        <v>58102</v>
      </c>
      <c r="AW300" s="14">
        <v>74720</v>
      </c>
      <c r="AX300" s="14">
        <v>67213</v>
      </c>
      <c r="AY300" s="14">
        <v>63494</v>
      </c>
      <c r="AZ300" s="14">
        <v>55537</v>
      </c>
      <c r="BA300" s="14">
        <v>61824</v>
      </c>
      <c r="BB300" s="14">
        <v>59354</v>
      </c>
      <c r="BC300" s="14">
        <v>57701</v>
      </c>
      <c r="BD300" s="14">
        <v>43807</v>
      </c>
      <c r="BE300" s="14">
        <f>'1.Sep'!$AA$3</f>
        <v>60078</v>
      </c>
      <c r="BF300" s="14">
        <f>'2.Sep'!$AA$3</f>
        <v>57701</v>
      </c>
      <c r="BG300" s="14">
        <f>'3.Sep'!$AA$3</f>
        <v>65741</v>
      </c>
      <c r="BH300" s="15">
        <f>'4.Sep'!$AA$3</f>
        <v>70200</v>
      </c>
      <c r="BI300" s="15">
        <f>'5.Sep'!$AA$3</f>
        <v>69187</v>
      </c>
      <c r="BJ300" s="15">
        <f>'6.Sep'!$AA$3</f>
        <v>66039</v>
      </c>
      <c r="BK300" s="15">
        <f>'7.Sep'!$AA$3</f>
        <v>62763</v>
      </c>
      <c r="BL300" s="15">
        <f>'8.Sep'!$AA$3</f>
        <v>73290</v>
      </c>
      <c r="BM300" s="15">
        <f>'9.Sep'!$AA$3</f>
        <v>65803</v>
      </c>
      <c r="BN300" s="15">
        <f>'10.Sep'!$AA$3</f>
        <v>75634</v>
      </c>
      <c r="BO300" s="15">
        <f>'11.Sep'!$AA$3</f>
        <v>74175</v>
      </c>
      <c r="BP300" s="14">
        <f>'12.Sep'!$AA$3</f>
        <v>76089</v>
      </c>
      <c r="BQ300" s="14">
        <f>'13.Sep'!$AA$3</f>
        <v>74173</v>
      </c>
      <c r="BR300" s="14">
        <f>'14.Sep'!$AA$3</f>
        <v>73590</v>
      </c>
      <c r="BS300" s="14">
        <f>'15.Sep'!$AA$3</f>
        <v>63342</v>
      </c>
      <c r="BT300" s="14">
        <f>'16.Sep'!$AA$3</f>
        <v>73836</v>
      </c>
      <c r="BU300" s="14">
        <f>'17.Sep'!$AA$3</f>
        <v>61041</v>
      </c>
      <c r="BV300" s="14">
        <f>'18.Sep'!$AA$3</f>
        <v>77781</v>
      </c>
      <c r="BW300" s="14">
        <f>'19.Sep'!$AA$3</f>
        <v>86612</v>
      </c>
      <c r="BX300" s="14">
        <f>'20.Sep'!$AA$3</f>
        <v>104471</v>
      </c>
      <c r="BY300" s="14">
        <f>'21.Sep'!$AA$3</f>
        <v>110083</v>
      </c>
      <c r="BZ300" s="14">
        <f>'22.Sep'!$AA$3</f>
        <v>117185</v>
      </c>
      <c r="CA300" s="14">
        <f>'22.Sep'!$AA$3</f>
        <v>117185</v>
      </c>
      <c r="CB300" s="14">
        <f>'22.Sep'!$AA$3</f>
        <v>117185</v>
      </c>
      <c r="CC300" s="14">
        <f>'22.Sep'!$AA$3</f>
        <v>117185</v>
      </c>
    </row>
    <row r="301" spans="1:81" ht="19.5">
      <c r="A301" s="1" t="s">
        <v>140</v>
      </c>
      <c r="B301" s="16" t="s">
        <v>1</v>
      </c>
      <c r="C301" s="16" t="s">
        <v>118</v>
      </c>
      <c r="D301" s="16" t="s">
        <v>128</v>
      </c>
      <c r="E301" s="16" t="s">
        <v>144</v>
      </c>
      <c r="F301" s="16" t="s">
        <v>151</v>
      </c>
      <c r="G301" s="16" t="s">
        <v>162</v>
      </c>
      <c r="H301" s="16" t="s">
        <v>163</v>
      </c>
      <c r="I301" s="16" t="s">
        <v>168</v>
      </c>
      <c r="J301" s="16" t="s">
        <v>173</v>
      </c>
      <c r="K301" s="16" t="s">
        <v>178</v>
      </c>
      <c r="L301" s="16" t="s">
        <v>178</v>
      </c>
      <c r="M301" s="18">
        <v>44761</v>
      </c>
      <c r="N301" s="18">
        <v>44762</v>
      </c>
      <c r="O301" s="18">
        <v>44763</v>
      </c>
      <c r="P301" s="18">
        <v>44764</v>
      </c>
      <c r="Q301" s="17">
        <v>44765</v>
      </c>
      <c r="R301" s="17">
        <v>44766</v>
      </c>
      <c r="S301" s="17">
        <v>44767</v>
      </c>
      <c r="T301" s="17">
        <v>44768</v>
      </c>
      <c r="U301" s="17">
        <v>44769</v>
      </c>
      <c r="V301" s="17">
        <v>44770</v>
      </c>
      <c r="W301" s="17">
        <v>44771</v>
      </c>
      <c r="X301" s="17">
        <v>44772</v>
      </c>
      <c r="Y301" s="17">
        <v>44773</v>
      </c>
      <c r="Z301" s="17">
        <v>44774</v>
      </c>
      <c r="AA301" s="17">
        <v>44775</v>
      </c>
      <c r="AB301" s="17">
        <v>44776</v>
      </c>
      <c r="AC301" s="17">
        <v>44777</v>
      </c>
      <c r="AD301" s="17">
        <v>44778</v>
      </c>
      <c r="AE301" s="17">
        <v>44779</v>
      </c>
      <c r="AF301" s="18">
        <v>44780</v>
      </c>
      <c r="AG301" s="18">
        <v>44781</v>
      </c>
      <c r="AH301" s="18">
        <v>44782</v>
      </c>
      <c r="AI301" s="18">
        <v>44783</v>
      </c>
      <c r="AJ301" s="18">
        <v>44784</v>
      </c>
      <c r="AK301" s="18">
        <v>44785</v>
      </c>
      <c r="AL301" s="18">
        <v>44786</v>
      </c>
      <c r="AM301" s="17">
        <v>44787</v>
      </c>
      <c r="AN301" s="17">
        <v>44788</v>
      </c>
      <c r="AO301" s="17">
        <v>44789</v>
      </c>
      <c r="AP301" s="17">
        <v>44790</v>
      </c>
      <c r="AQ301" s="17">
        <v>44791</v>
      </c>
      <c r="AR301" s="17">
        <v>44792</v>
      </c>
      <c r="AS301" s="17">
        <v>44793</v>
      </c>
      <c r="AT301" s="17">
        <v>44794</v>
      </c>
      <c r="AU301" s="17">
        <v>44795</v>
      </c>
      <c r="AV301" s="17">
        <v>44796</v>
      </c>
      <c r="AW301" s="17">
        <v>44797</v>
      </c>
      <c r="AX301" s="17">
        <v>44798</v>
      </c>
      <c r="AY301" s="17">
        <v>44799</v>
      </c>
      <c r="AZ301" s="17">
        <v>44800</v>
      </c>
      <c r="BA301" s="17">
        <v>44801</v>
      </c>
      <c r="BB301" s="17">
        <v>44802</v>
      </c>
      <c r="BC301" s="17">
        <v>44803</v>
      </c>
      <c r="BD301" s="17">
        <v>44804</v>
      </c>
      <c r="BE301" s="17">
        <v>44805</v>
      </c>
      <c r="BF301" s="17">
        <v>44806</v>
      </c>
      <c r="BG301" s="17">
        <v>44807</v>
      </c>
      <c r="BH301" s="18">
        <v>44808</v>
      </c>
      <c r="BI301" s="18">
        <v>44809</v>
      </c>
      <c r="BJ301" s="18">
        <v>44810</v>
      </c>
      <c r="BK301" s="18">
        <v>44811</v>
      </c>
      <c r="BL301" s="18">
        <v>44812</v>
      </c>
      <c r="BM301" s="18">
        <v>44813</v>
      </c>
      <c r="BN301" s="18">
        <v>44814</v>
      </c>
      <c r="BO301" s="18">
        <v>44815</v>
      </c>
      <c r="BP301" s="17">
        <v>44816</v>
      </c>
      <c r="BQ301" s="17">
        <v>44817</v>
      </c>
      <c r="BR301" s="17">
        <v>44818</v>
      </c>
      <c r="BS301" s="17">
        <v>44819</v>
      </c>
      <c r="BT301" s="17">
        <v>44820</v>
      </c>
      <c r="BU301" s="17">
        <v>44821</v>
      </c>
      <c r="BV301" s="17">
        <v>44822</v>
      </c>
      <c r="BW301" s="17">
        <v>44823</v>
      </c>
      <c r="BX301" s="17">
        <v>44824</v>
      </c>
      <c r="BY301" s="17">
        <v>44825</v>
      </c>
      <c r="BZ301" s="17">
        <v>44826</v>
      </c>
      <c r="CA301" s="17">
        <v>44827</v>
      </c>
      <c r="CB301" s="17">
        <v>44828</v>
      </c>
      <c r="CC301" s="17">
        <v>44828</v>
      </c>
    </row>
    <row r="302" spans="1:81">
      <c r="A302" s="6" t="s">
        <v>74</v>
      </c>
      <c r="B302" s="7">
        <v>1.3333333333333337E-4</v>
      </c>
      <c r="C302" s="7">
        <v>4.2857142857142863E-5</v>
      </c>
      <c r="D302" s="7">
        <v>1.0000000000000002E-4</v>
      </c>
      <c r="E302" s="7">
        <v>7.1428571428571434E-5</v>
      </c>
      <c r="F302" s="7">
        <v>1.1428571428571431E-4</v>
      </c>
      <c r="G302" s="7">
        <v>1.285714285714286E-4</v>
      </c>
      <c r="H302" s="7">
        <f>AVERAGE(BB302:BH302)</f>
        <v>1.142857142857143E-4</v>
      </c>
      <c r="I302" s="7">
        <f>AVERAGE(BI302:BO302)</f>
        <v>1.8571428571428572E-4</v>
      </c>
      <c r="J302" s="7">
        <f>AVERAGE(BP302:BV302)</f>
        <v>1.8571428571428574E-4</v>
      </c>
      <c r="K302" s="7">
        <f t="shared" ref="K302:K326" si="85">AVERAGE(BW302:CB302)</f>
        <v>2.0000000000000001E-4</v>
      </c>
      <c r="L302" s="7">
        <f t="shared" ref="L302:L326" si="86">AVERAGE(BX302:CB302)</f>
        <v>2.0000000000000001E-4</v>
      </c>
      <c r="M302" s="7">
        <v>1E-4</v>
      </c>
      <c r="N302" s="7">
        <v>2.0000000000000001E-4</v>
      </c>
      <c r="O302" s="7">
        <v>1E-4</v>
      </c>
      <c r="P302" s="7">
        <v>2.0000000000000001E-4</v>
      </c>
      <c r="Q302" s="7">
        <v>1E-4</v>
      </c>
      <c r="R302" s="7">
        <v>1E-4</v>
      </c>
      <c r="S302" s="7">
        <v>1E-4</v>
      </c>
      <c r="T302" s="7">
        <v>1E-4</v>
      </c>
      <c r="U302" s="8">
        <v>0</v>
      </c>
      <c r="V302" s="8">
        <v>0</v>
      </c>
      <c r="W302" s="7">
        <v>1E-4</v>
      </c>
      <c r="X302" s="7">
        <v>0</v>
      </c>
      <c r="Y302" s="7">
        <v>0</v>
      </c>
      <c r="Z302" s="7">
        <v>1E-4</v>
      </c>
      <c r="AA302" s="7">
        <v>1E-4</v>
      </c>
      <c r="AB302" s="7">
        <v>0</v>
      </c>
      <c r="AC302" s="7">
        <v>1E-4</v>
      </c>
      <c r="AD302" s="7">
        <v>2.0000000000000001E-4</v>
      </c>
      <c r="AE302" s="7">
        <v>1E-4</v>
      </c>
      <c r="AF302" s="8">
        <v>1E-4</v>
      </c>
      <c r="AG302" s="8">
        <v>1E-4</v>
      </c>
      <c r="AH302" s="8">
        <v>1E-4</v>
      </c>
      <c r="AI302" s="8">
        <v>0</v>
      </c>
      <c r="AJ302" s="8">
        <v>1E-4</v>
      </c>
      <c r="AK302" s="8">
        <v>0</v>
      </c>
      <c r="AL302" s="8">
        <v>2.0000000000000001E-4</v>
      </c>
      <c r="AM302" s="7">
        <v>0</v>
      </c>
      <c r="AN302" s="7">
        <v>1E-4</v>
      </c>
      <c r="AO302" s="7">
        <v>2.0000000000000001E-4</v>
      </c>
      <c r="AP302" s="7">
        <v>1E-4</v>
      </c>
      <c r="AQ302" s="7">
        <v>1E-4</v>
      </c>
      <c r="AR302" s="7">
        <v>1E-4</v>
      </c>
      <c r="AS302" s="7">
        <v>1E-4</v>
      </c>
      <c r="AT302" s="7">
        <v>1E-4</v>
      </c>
      <c r="AU302" s="7">
        <v>2.0000000000000001E-4</v>
      </c>
      <c r="AV302" s="7">
        <v>1E-4</v>
      </c>
      <c r="AW302" s="7">
        <v>1E-4</v>
      </c>
      <c r="AX302" s="7">
        <v>2.0000000000000001E-4</v>
      </c>
      <c r="AY302" s="7">
        <v>1E-4</v>
      </c>
      <c r="AZ302" s="7">
        <v>1E-4</v>
      </c>
      <c r="BA302" s="7">
        <v>1E-4</v>
      </c>
      <c r="BB302" s="7">
        <v>1E-4</v>
      </c>
      <c r="BC302" s="7">
        <v>1E-4</v>
      </c>
      <c r="BD302" s="7">
        <v>0</v>
      </c>
      <c r="BE302" s="7">
        <f>VLOOKUP($A302,'1.Sep'!$AC$8:$AE$1048576,3,0)</f>
        <v>2.0000000000000001E-4</v>
      </c>
      <c r="BF302" s="7">
        <f>VLOOKUP($A302,'2.Sep'!$AC$8:$AE$1048576,3,0)</f>
        <v>1E-4</v>
      </c>
      <c r="BG302" s="7">
        <f>VLOOKUP($A302,'3.Sep'!$AC$8:$AE$1048576,3,0)</f>
        <v>1E-4</v>
      </c>
      <c r="BH302" s="8">
        <f>VLOOKUP($A302,'4.Sep'!$AC$8:$AE$1048576,3,0)</f>
        <v>2.0000000000000001E-4</v>
      </c>
      <c r="BI302" s="8">
        <f>VLOOKUP($A302,'5.Sep'!$AC$8:$AE$1048576,3,0)</f>
        <v>1E-4</v>
      </c>
      <c r="BJ302" s="8">
        <f>VLOOKUP($A302,'6.Sep'!$AC$8:$AE$1048576,3,0)</f>
        <v>1E-4</v>
      </c>
      <c r="BK302" s="8">
        <f>VLOOKUP($A302,'7.Sep'!$AC$8:$AE$1048576,3,0)</f>
        <v>2.0000000000000001E-4</v>
      </c>
      <c r="BL302" s="8">
        <f>VLOOKUP($A302,'8.Sep'!$AC$8:$AE$1048576,3,0)</f>
        <v>2.0000000000000001E-4</v>
      </c>
      <c r="BM302" s="8">
        <f>VLOOKUP($A302,'9.Sep'!$AC$8:$AE$1048576,3,0)</f>
        <v>2.0000000000000001E-4</v>
      </c>
      <c r="BN302" s="8">
        <f>VLOOKUP($A302,'10.Sep'!$AC$8:$AE$1048576,3,0)</f>
        <v>2.0000000000000001E-4</v>
      </c>
      <c r="BO302" s="8">
        <f>VLOOKUP($A302,'11.Sep'!$AC$8:$AE$1048576,3,0)</f>
        <v>2.9999999999999997E-4</v>
      </c>
      <c r="BP302" s="7">
        <f>VLOOKUP($A302,'12.Sep'!$AC$8:$AE$1048576,3,0)</f>
        <v>2.9999999999999997E-4</v>
      </c>
      <c r="BQ302" s="7">
        <f>VLOOKUP($A302,'13.Sep'!$AC$8:$AE$1048576,3,0)</f>
        <v>2.0000000000000001E-4</v>
      </c>
      <c r="BR302" s="7">
        <f>VLOOKUP($A302,'14.Sep'!$AC$8:$AE$1048576,3,0)</f>
        <v>2.0000000000000001E-4</v>
      </c>
      <c r="BS302" s="7">
        <f>VLOOKUP($A302,'15.Sep'!$AC$8:$AE$1048576,3,0)</f>
        <v>2.0000000000000001E-4</v>
      </c>
      <c r="BT302" s="7">
        <f>VLOOKUP($A302,'16.Sep'!$AC$8:$AE$1048576,3,0)</f>
        <v>1E-4</v>
      </c>
      <c r="BU302" s="7">
        <f>VLOOKUP($A302,'17.Sep'!$AC$8:$AE$1048576,3,0)</f>
        <v>1E-4</v>
      </c>
      <c r="BV302" s="7">
        <f>VLOOKUP($A302,'18.Sep'!$AC$8:$AE$1048576,3,0)</f>
        <v>2.0000000000000001E-4</v>
      </c>
      <c r="BW302" s="7">
        <f>VLOOKUP($A302,'19.Sep'!$AC$8:$AE$1048576,3,0)</f>
        <v>2.0000000000000001E-4</v>
      </c>
      <c r="BX302" s="7">
        <f>VLOOKUP($A302,'20.Sep'!$AC$8:$AE$1048576,3,0)</f>
        <v>2.0000000000000001E-4</v>
      </c>
      <c r="BY302" s="7">
        <f>VLOOKUP($A302,'21.Sep'!$AC$8:$AE$1048576,3,0)</f>
        <v>1E-4</v>
      </c>
      <c r="BZ302" s="7">
        <f>VLOOKUP($A302,'22.Sep'!$AC$8:$AE$1048576,3,0)</f>
        <v>2.0000000000000001E-4</v>
      </c>
      <c r="CA302" s="7">
        <f>VLOOKUP($A302,'23.Sep'!$AC$8:$AE$1048576,3,0)</f>
        <v>2.9999999999999997E-4</v>
      </c>
      <c r="CB302" s="7">
        <f>VLOOKUP($A302,'24.Sep'!$AC$8:$AE$1048576,3,0)</f>
        <v>2.0000000000000001E-4</v>
      </c>
      <c r="CC302" s="7">
        <f>VLOOKUP($A302,'24.Sep'!$AC$8:$AE$1048576,3,0)</f>
        <v>2.0000000000000001E-4</v>
      </c>
    </row>
    <row r="303" spans="1:81">
      <c r="A303" s="6" t="s">
        <v>122</v>
      </c>
      <c r="B303" s="7">
        <v>0</v>
      </c>
      <c r="C303" s="7">
        <v>1.6428571428571427E-3</v>
      </c>
      <c r="D303" s="7">
        <v>1.8142857142857142E-3</v>
      </c>
      <c r="E303" s="7">
        <v>1.7000000000000001E-3</v>
      </c>
      <c r="F303" s="7">
        <v>1.8E-3</v>
      </c>
      <c r="G303" s="7">
        <v>2.0571428571428572E-3</v>
      </c>
      <c r="H303" s="7">
        <f t="shared" ref="H303:H326" si="87">AVERAGE(BB303:BH303)</f>
        <v>2.157142857142857E-3</v>
      </c>
      <c r="I303" s="7">
        <f t="shared" ref="I303:I325" si="88">AVERAGE(BI303:BO303)</f>
        <v>2.2714285714285714E-3</v>
      </c>
      <c r="J303" s="7">
        <f t="shared" ref="J303:J326" si="89">AVERAGE(BP303:BV303)</f>
        <v>1.7857142857142859E-3</v>
      </c>
      <c r="K303" s="7">
        <f t="shared" si="85"/>
        <v>9.0000000000000008E-4</v>
      </c>
      <c r="L303" s="7">
        <f t="shared" si="86"/>
        <v>8.8000000000000003E-4</v>
      </c>
      <c r="M303" s="8">
        <v>0</v>
      </c>
      <c r="N303" s="8">
        <v>0</v>
      </c>
      <c r="O303" s="8">
        <v>0</v>
      </c>
      <c r="P303" s="8">
        <v>0</v>
      </c>
      <c r="Q303" s="8">
        <v>0</v>
      </c>
      <c r="R303" s="8">
        <v>0</v>
      </c>
      <c r="S303" s="8">
        <v>0</v>
      </c>
      <c r="T303" s="8">
        <v>0</v>
      </c>
      <c r="U303" s="8">
        <v>0</v>
      </c>
      <c r="V303" s="8">
        <v>0</v>
      </c>
      <c r="W303" s="7">
        <v>2.8999999999999998E-3</v>
      </c>
      <c r="X303" s="7">
        <v>4.1999999999999997E-3</v>
      </c>
      <c r="Y303" s="7">
        <v>4.4000000000000003E-3</v>
      </c>
      <c r="Z303" s="7">
        <v>1.9E-3</v>
      </c>
      <c r="AA303" s="7">
        <v>1.2999999999999999E-3</v>
      </c>
      <c r="AB303" s="7">
        <v>1.6000000000000001E-3</v>
      </c>
      <c r="AC303" s="7">
        <v>1.6000000000000001E-3</v>
      </c>
      <c r="AD303" s="7">
        <v>2.5999999999999999E-3</v>
      </c>
      <c r="AE303" s="7">
        <v>2.0999999999999999E-3</v>
      </c>
      <c r="AF303" s="8">
        <v>1.6000000000000001E-3</v>
      </c>
      <c r="AG303" s="8">
        <v>1.9E-3</v>
      </c>
      <c r="AH303" s="8">
        <v>2.2000000000000001E-3</v>
      </c>
      <c r="AI303" s="8">
        <v>1.6000000000000001E-3</v>
      </c>
      <c r="AJ303" s="8">
        <v>1.9E-3</v>
      </c>
      <c r="AK303" s="8">
        <v>1.2999999999999999E-3</v>
      </c>
      <c r="AL303" s="8">
        <v>1.6000000000000001E-3</v>
      </c>
      <c r="AM303" s="7">
        <v>1.4E-3</v>
      </c>
      <c r="AN303" s="7">
        <v>1.5E-3</v>
      </c>
      <c r="AO303" s="7">
        <v>1.9E-3</v>
      </c>
      <c r="AP303" s="7">
        <v>1.6999999999999999E-3</v>
      </c>
      <c r="AQ303" s="7">
        <v>1.6999999999999999E-3</v>
      </c>
      <c r="AR303" s="7">
        <v>1.8E-3</v>
      </c>
      <c r="AS303" s="7">
        <v>2.2000000000000001E-3</v>
      </c>
      <c r="AT303" s="7">
        <v>1.8E-3</v>
      </c>
      <c r="AU303" s="7">
        <v>1.9E-3</v>
      </c>
      <c r="AV303" s="7">
        <v>2.0999999999999999E-3</v>
      </c>
      <c r="AW303" s="7">
        <v>2.2000000000000001E-3</v>
      </c>
      <c r="AX303" s="7">
        <v>1.6000000000000001E-3</v>
      </c>
      <c r="AY303" s="7">
        <v>1.9E-3</v>
      </c>
      <c r="AZ303" s="7">
        <v>1.9E-3</v>
      </c>
      <c r="BA303" s="7">
        <v>2.8E-3</v>
      </c>
      <c r="BB303" s="7">
        <v>1.9E-3</v>
      </c>
      <c r="BC303" s="7">
        <v>1.9E-3</v>
      </c>
      <c r="BD303" s="7">
        <v>1.9E-3</v>
      </c>
      <c r="BE303" s="7">
        <f>VLOOKUP($A303,'1.Sep'!$AC$8:$AE$1048576,3,0)</f>
        <v>2.2000000000000001E-3</v>
      </c>
      <c r="BF303" s="7">
        <f>VLOOKUP($A303,'2.Sep'!$AC$8:$AE$1048576,3,0)</f>
        <v>2.3999999999999998E-3</v>
      </c>
      <c r="BG303" s="7">
        <f>VLOOKUP($A303,'3.Sep'!$AC$8:$AE$1048576,3,0)</f>
        <v>2.5000000000000001E-3</v>
      </c>
      <c r="BH303" s="8">
        <f>VLOOKUP($A303,'4.Sep'!$AC$8:$AE$1048576,3,0)</f>
        <v>2.3E-3</v>
      </c>
      <c r="BI303" s="8">
        <f>VLOOKUP($A303,'5.Sep'!$AC$8:$AE$1048576,3,0)</f>
        <v>2.8E-3</v>
      </c>
      <c r="BJ303" s="8">
        <f>VLOOKUP($A303,'6.Sep'!$AC$8:$AE$1048576,3,0)</f>
        <v>2.5999999999999999E-3</v>
      </c>
      <c r="BK303" s="8">
        <f>VLOOKUP($A303,'7.Sep'!$AC$8:$AE$1048576,3,0)</f>
        <v>1.4E-3</v>
      </c>
      <c r="BL303" s="8">
        <f>VLOOKUP($A303,'8.Sep'!$AC$8:$AE$1048576,3,0)</f>
        <v>2.0999999999999999E-3</v>
      </c>
      <c r="BM303" s="8">
        <f>VLOOKUP($A303,'9.Sep'!$AC$8:$AE$1048576,3,0)</f>
        <v>1.9E-3</v>
      </c>
      <c r="BN303" s="8">
        <f>VLOOKUP($A303,'10.Sep'!$AC$8:$AE$1048576,3,0)</f>
        <v>2.2000000000000001E-3</v>
      </c>
      <c r="BO303" s="8">
        <f>VLOOKUP($A303,'11.Sep'!$AC$8:$AE$1048576,3,0)</f>
        <v>2.8999999999999998E-3</v>
      </c>
      <c r="BP303" s="7">
        <f>VLOOKUP($A303,'12.Sep'!$AC$8:$AE$1048576,3,0)</f>
        <v>1.8E-3</v>
      </c>
      <c r="BQ303" s="7">
        <f>VLOOKUP($A303,'13.Sep'!$AC$8:$AE$1048576,3,0)</f>
        <v>1.6999999999999999E-3</v>
      </c>
      <c r="BR303" s="7">
        <f>VLOOKUP($A303,'14.Sep'!$AC$8:$AE$1048576,3,0)</f>
        <v>2.3E-3</v>
      </c>
      <c r="BS303" s="7">
        <f>VLOOKUP($A303,'15.Sep'!$AC$8:$AE$1048576,3,0)</f>
        <v>2.2000000000000001E-3</v>
      </c>
      <c r="BT303" s="7">
        <f>VLOOKUP($A303,'16.Sep'!$AC$8:$AE$1048576,3,0)</f>
        <v>1.8E-3</v>
      </c>
      <c r="BU303" s="7">
        <f>VLOOKUP($A303,'17.Sep'!$AC$8:$AE$1048576,3,0)</f>
        <v>1.4E-3</v>
      </c>
      <c r="BV303" s="7">
        <f>VLOOKUP($A303,'18.Sep'!$AC$8:$AE$1048576,3,0)</f>
        <v>1.2999999999999999E-3</v>
      </c>
      <c r="BW303" s="7">
        <f>VLOOKUP($A303,'19.Sep'!$AC$8:$AE$1048576,3,0)</f>
        <v>1E-3</v>
      </c>
      <c r="BX303" s="7">
        <f>VLOOKUP($A303,'20.Sep'!$AC$8:$AE$1048576,3,0)</f>
        <v>8.0000000000000004E-4</v>
      </c>
      <c r="BY303" s="7">
        <f>VLOOKUP($A303,'21.Sep'!$AC$8:$AE$1048576,3,0)</f>
        <v>8.9999999999999998E-4</v>
      </c>
      <c r="BZ303" s="7">
        <f>VLOOKUP($A303,'22.Sep'!$AC$8:$AE$1048576,3,0)</f>
        <v>1.2999999999999999E-3</v>
      </c>
      <c r="CA303" s="7">
        <f>VLOOKUP($A303,'23.Sep'!$AC$8:$AE$1048576,3,0)</f>
        <v>6.9999999999999999E-4</v>
      </c>
      <c r="CB303" s="7">
        <f>VLOOKUP($A303,'24.Sep'!$AC$8:$AE$1048576,3,0)</f>
        <v>6.9999999999999999E-4</v>
      </c>
      <c r="CC303" s="7">
        <f>VLOOKUP($A303,'24.Sep'!$AC$8:$AE$1048576,3,0)</f>
        <v>6.9999999999999999E-4</v>
      </c>
    </row>
    <row r="304" spans="1:81">
      <c r="A304" s="6" t="s">
        <v>75</v>
      </c>
      <c r="B304" s="7">
        <v>1.6666666666666667E-5</v>
      </c>
      <c r="C304" s="7">
        <v>4.2857142857142863E-5</v>
      </c>
      <c r="D304" s="7">
        <v>2.8571428571428574E-5</v>
      </c>
      <c r="E304" s="7">
        <v>1.1428571428571431E-4</v>
      </c>
      <c r="F304" s="7">
        <v>1.285714285714286E-4</v>
      </c>
      <c r="G304" s="7">
        <v>1.142857142857143E-4</v>
      </c>
      <c r="H304" s="7">
        <f t="shared" si="87"/>
        <v>1.0000000000000002E-4</v>
      </c>
      <c r="I304" s="7">
        <f t="shared" si="88"/>
        <v>1.1428571428571431E-4</v>
      </c>
      <c r="J304" s="7">
        <f t="shared" si="89"/>
        <v>1.0000000000000002E-4</v>
      </c>
      <c r="K304" s="7">
        <f t="shared" si="85"/>
        <v>1E-4</v>
      </c>
      <c r="L304" s="7">
        <f t="shared" si="86"/>
        <v>1E-4</v>
      </c>
      <c r="M304" s="8">
        <v>0</v>
      </c>
      <c r="N304" s="8">
        <v>0</v>
      </c>
      <c r="O304" s="8">
        <v>0</v>
      </c>
      <c r="P304" s="7">
        <v>1E-4</v>
      </c>
      <c r="Q304" s="8">
        <v>0</v>
      </c>
      <c r="R304" s="8">
        <v>0</v>
      </c>
      <c r="S304" s="8">
        <v>0</v>
      </c>
      <c r="T304" s="8">
        <v>0</v>
      </c>
      <c r="U304" s="7">
        <v>1E-4</v>
      </c>
      <c r="V304" s="8">
        <v>0</v>
      </c>
      <c r="W304" s="8">
        <v>0</v>
      </c>
      <c r="X304" s="7">
        <v>2.0000000000000001E-4</v>
      </c>
      <c r="Y304" s="8">
        <v>0</v>
      </c>
      <c r="Z304" s="8">
        <v>0</v>
      </c>
      <c r="AA304" s="7">
        <v>1E-4</v>
      </c>
      <c r="AB304" s="8">
        <v>0</v>
      </c>
      <c r="AC304" s="8">
        <v>0</v>
      </c>
      <c r="AD304" s="8">
        <v>0</v>
      </c>
      <c r="AE304" s="7">
        <v>0</v>
      </c>
      <c r="AF304" s="8">
        <v>1E-4</v>
      </c>
      <c r="AG304" s="8">
        <v>1E-4</v>
      </c>
      <c r="AH304" s="8">
        <v>2.0000000000000001E-4</v>
      </c>
      <c r="AI304" s="8">
        <v>1E-4</v>
      </c>
      <c r="AJ304" s="8">
        <v>1E-4</v>
      </c>
      <c r="AK304" s="8">
        <v>1E-4</v>
      </c>
      <c r="AL304" s="8">
        <v>1E-4</v>
      </c>
      <c r="AM304" s="7">
        <v>1E-4</v>
      </c>
      <c r="AN304" s="7">
        <v>2.0000000000000001E-4</v>
      </c>
      <c r="AO304" s="7">
        <v>2.0000000000000001E-4</v>
      </c>
      <c r="AP304" s="7">
        <v>1E-4</v>
      </c>
      <c r="AQ304" s="7">
        <v>1E-4</v>
      </c>
      <c r="AR304" s="7">
        <v>1E-4</v>
      </c>
      <c r="AS304" s="7">
        <v>1E-4</v>
      </c>
      <c r="AT304" s="7">
        <v>1E-4</v>
      </c>
      <c r="AU304" s="7">
        <v>1E-4</v>
      </c>
      <c r="AV304" s="7">
        <v>0</v>
      </c>
      <c r="AW304" s="7">
        <v>1E-4</v>
      </c>
      <c r="AX304" s="7">
        <v>1E-4</v>
      </c>
      <c r="AY304" s="7">
        <v>2.0000000000000001E-4</v>
      </c>
      <c r="AZ304" s="7">
        <v>1E-4</v>
      </c>
      <c r="BA304" s="7">
        <v>2.0000000000000001E-4</v>
      </c>
      <c r="BB304" s="7">
        <v>1E-4</v>
      </c>
      <c r="BC304" s="7">
        <v>1E-4</v>
      </c>
      <c r="BD304" s="7">
        <v>0</v>
      </c>
      <c r="BE304" s="7">
        <f>VLOOKUP($A304,'1.Sep'!$AC$8:$AE$1048576,3,0)</f>
        <v>1E-4</v>
      </c>
      <c r="BF304" s="7">
        <f>VLOOKUP($A304,'2.Sep'!$AC$8:$AE$1048576,3,0)</f>
        <v>1E-4</v>
      </c>
      <c r="BG304" s="7">
        <f>VLOOKUP($A304,'3.Sep'!$AC$8:$AE$1048576,3,0)</f>
        <v>2.0000000000000001E-4</v>
      </c>
      <c r="BH304" s="8">
        <f>VLOOKUP($A304,'4.Sep'!$AC$8:$AE$1048576,3,0)</f>
        <v>1E-4</v>
      </c>
      <c r="BI304" s="8">
        <f>VLOOKUP($A304,'5.Sep'!$AC$8:$AE$1048576,3,0)</f>
        <v>1E-4</v>
      </c>
      <c r="BJ304" s="8">
        <f>VLOOKUP($A304,'6.Sep'!$AC$8:$AE$1048576,3,0)</f>
        <v>2.0000000000000001E-4</v>
      </c>
      <c r="BK304" s="8">
        <f>VLOOKUP($A304,'7.Sep'!$AC$8:$AE$1048576,3,0)</f>
        <v>1E-4</v>
      </c>
      <c r="BL304" s="8">
        <f>VLOOKUP($A304,'8.Sep'!$AC$8:$AE$1048576,3,0)</f>
        <v>1E-4</v>
      </c>
      <c r="BM304" s="8">
        <f>VLOOKUP($A304,'9.Sep'!$AC$8:$AE$1048576,3,0)</f>
        <v>1E-4</v>
      </c>
      <c r="BN304" s="8">
        <f>VLOOKUP($A304,'10.Sep'!$AC$8:$AE$1048576,3,0)</f>
        <v>1E-4</v>
      </c>
      <c r="BO304" s="8">
        <f>VLOOKUP($A304,'11.Sep'!$AC$8:$AE$1048576,3,0)</f>
        <v>1E-4</v>
      </c>
      <c r="BP304" s="7">
        <f>VLOOKUP($A304,'12.Sep'!$AC$8:$AE$1048576,3,0)</f>
        <v>1E-4</v>
      </c>
      <c r="BQ304" s="7">
        <f>VLOOKUP($A304,'13.Sep'!$AC$8:$AE$1048576,3,0)</f>
        <v>2.0000000000000001E-4</v>
      </c>
      <c r="BR304" s="7">
        <f>VLOOKUP($A304,'14.Sep'!$AC$8:$AE$1048576,3,0)</f>
        <v>1E-4</v>
      </c>
      <c r="BS304" s="7">
        <f>VLOOKUP($A304,'15.Sep'!$AC$8:$AE$1048576,3,0)</f>
        <v>1E-4</v>
      </c>
      <c r="BT304" s="7">
        <f>VLOOKUP($A304,'16.Sep'!$AC$8:$AE$1048576,3,0)</f>
        <v>1E-4</v>
      </c>
      <c r="BU304" s="7">
        <f>VLOOKUP($A304,'17.Sep'!$AC$8:$AE$1048576,3,0)</f>
        <v>1E-4</v>
      </c>
      <c r="BV304" s="7">
        <f>VLOOKUP($A304,'18.Sep'!$AC$8:$AE$1048576,3,0)</f>
        <v>0</v>
      </c>
      <c r="BW304" s="7">
        <f>VLOOKUP($A304,'19.Sep'!$AC$8:$AE$1048576,3,0)</f>
        <v>1E-4</v>
      </c>
      <c r="BX304" s="7">
        <f>VLOOKUP($A304,'20.Sep'!$AC$8:$AE$1048576,3,0)</f>
        <v>0</v>
      </c>
      <c r="BY304" s="7">
        <f>VLOOKUP($A304,'21.Sep'!$AC$8:$AE$1048576,3,0)</f>
        <v>1E-4</v>
      </c>
      <c r="BZ304" s="7">
        <f>VLOOKUP($A304,'22.Sep'!$AC$8:$AE$1048576,3,0)</f>
        <v>1E-4</v>
      </c>
      <c r="CA304" s="7">
        <f>VLOOKUP($A304,'23.Sep'!$AC$8:$AE$1048576,3,0)</f>
        <v>2.0000000000000001E-4</v>
      </c>
      <c r="CB304" s="7">
        <f>VLOOKUP($A304,'24.Sep'!$AC$8:$AE$1048576,3,0)</f>
        <v>1E-4</v>
      </c>
      <c r="CC304" s="7">
        <f>VLOOKUP($A304,'24.Sep'!$AC$8:$AE$1048576,3,0)</f>
        <v>1E-4</v>
      </c>
    </row>
    <row r="305" spans="1:81">
      <c r="A305" s="6" t="s">
        <v>76</v>
      </c>
      <c r="B305" s="7">
        <v>5.0000000000000001E-4</v>
      </c>
      <c r="C305" s="7">
        <v>3.4285714285714285E-4</v>
      </c>
      <c r="D305" s="7">
        <v>7.1428571428571434E-5</v>
      </c>
      <c r="E305" s="7">
        <v>1.0000000000000002E-4</v>
      </c>
      <c r="F305" s="7">
        <v>8.5714285714285726E-5</v>
      </c>
      <c r="G305" s="7">
        <v>1.1428571428571431E-4</v>
      </c>
      <c r="H305" s="7">
        <f t="shared" si="87"/>
        <v>8.5714285714285726E-5</v>
      </c>
      <c r="I305" s="7">
        <f t="shared" si="88"/>
        <v>1.1428571428571431E-4</v>
      </c>
      <c r="J305" s="7">
        <f t="shared" si="89"/>
        <v>1.0000000000000002E-4</v>
      </c>
      <c r="K305" s="7">
        <f t="shared" si="85"/>
        <v>1E-4</v>
      </c>
      <c r="L305" s="7">
        <f t="shared" si="86"/>
        <v>1E-4</v>
      </c>
      <c r="M305" s="7">
        <v>2.0000000000000001E-4</v>
      </c>
      <c r="N305" s="7">
        <v>8.0000000000000004E-4</v>
      </c>
      <c r="O305" s="7">
        <v>5.0000000000000001E-4</v>
      </c>
      <c r="P305" s="7">
        <v>8.0000000000000004E-4</v>
      </c>
      <c r="Q305" s="7">
        <v>2.9999999999999997E-4</v>
      </c>
      <c r="R305" s="7">
        <v>4.0000000000000002E-4</v>
      </c>
      <c r="S305" s="7">
        <v>2.9999999999999997E-4</v>
      </c>
      <c r="T305" s="7">
        <v>2.9999999999999997E-4</v>
      </c>
      <c r="U305" s="7">
        <v>5.9999999999999995E-4</v>
      </c>
      <c r="V305" s="7">
        <v>6.9999999999999999E-4</v>
      </c>
      <c r="W305" s="7">
        <v>1E-4</v>
      </c>
      <c r="X305" s="7">
        <v>2.0000000000000001E-4</v>
      </c>
      <c r="Y305" s="7">
        <v>2.0000000000000001E-4</v>
      </c>
      <c r="Z305" s="7">
        <v>1E-4</v>
      </c>
      <c r="AA305" s="7">
        <v>0</v>
      </c>
      <c r="AB305" s="7">
        <v>1E-4</v>
      </c>
      <c r="AC305" s="7">
        <v>2.0000000000000001E-4</v>
      </c>
      <c r="AD305" s="7">
        <v>1E-4</v>
      </c>
      <c r="AE305" s="8">
        <v>0</v>
      </c>
      <c r="AF305" s="8">
        <v>0</v>
      </c>
      <c r="AG305" s="8">
        <v>0</v>
      </c>
      <c r="AH305" s="8">
        <v>1E-4</v>
      </c>
      <c r="AI305" s="8">
        <v>1E-4</v>
      </c>
      <c r="AJ305" s="8">
        <v>1E-4</v>
      </c>
      <c r="AK305" s="8">
        <v>2.0000000000000001E-4</v>
      </c>
      <c r="AL305" s="8">
        <v>1E-4</v>
      </c>
      <c r="AM305" s="7">
        <v>1E-4</v>
      </c>
      <c r="AN305" s="7">
        <v>1E-4</v>
      </c>
      <c r="AO305" s="7">
        <v>1E-4</v>
      </c>
      <c r="AP305" s="7">
        <v>0</v>
      </c>
      <c r="AQ305" s="7">
        <v>1E-4</v>
      </c>
      <c r="AR305" s="7">
        <v>1E-4</v>
      </c>
      <c r="AS305" s="7">
        <v>1E-4</v>
      </c>
      <c r="AT305" s="7">
        <v>1E-4</v>
      </c>
      <c r="AU305" s="7">
        <v>1E-4</v>
      </c>
      <c r="AV305" s="7">
        <v>1E-4</v>
      </c>
      <c r="AW305" s="7">
        <v>2.0000000000000001E-4</v>
      </c>
      <c r="AX305" s="7">
        <v>1E-4</v>
      </c>
      <c r="AY305" s="7">
        <v>1E-4</v>
      </c>
      <c r="AZ305" s="7">
        <v>1E-4</v>
      </c>
      <c r="BA305" s="7">
        <v>1E-4</v>
      </c>
      <c r="BB305" s="7">
        <v>1E-4</v>
      </c>
      <c r="BC305" s="7">
        <v>1E-4</v>
      </c>
      <c r="BD305" s="7">
        <v>1E-4</v>
      </c>
      <c r="BE305" s="7">
        <f>VLOOKUP($A305,'1.Sep'!$AC$8:$AE$1048576,3,0)</f>
        <v>1E-4</v>
      </c>
      <c r="BF305" s="7">
        <f>VLOOKUP($A305,'2.Sep'!$AC$8:$AE$1048576,3,0)</f>
        <v>1E-4</v>
      </c>
      <c r="BG305" s="7">
        <f>VLOOKUP($A305,'3.Sep'!$AC$8:$AE$1048576,3,0)</f>
        <v>0</v>
      </c>
      <c r="BH305" s="8">
        <f>VLOOKUP($A305,'4.Sep'!$AC$8:$AE$1048576,3,0)</f>
        <v>1E-4</v>
      </c>
      <c r="BI305" s="8">
        <f>VLOOKUP($A305,'5.Sep'!$AC$8:$AE$1048576,3,0)</f>
        <v>1E-4</v>
      </c>
      <c r="BJ305" s="8">
        <f>VLOOKUP($A305,'6.Sep'!$AC$8:$AE$1048576,3,0)</f>
        <v>2.0000000000000001E-4</v>
      </c>
      <c r="BK305" s="8">
        <f>VLOOKUP($A305,'7.Sep'!$AC$8:$AE$1048576,3,0)</f>
        <v>1E-4</v>
      </c>
      <c r="BL305" s="8">
        <f>VLOOKUP($A305,'8.Sep'!$AC$8:$AE$1048576,3,0)</f>
        <v>1E-4</v>
      </c>
      <c r="BM305" s="8">
        <f>VLOOKUP($A305,'9.Sep'!$AC$8:$AE$1048576,3,0)</f>
        <v>1E-4</v>
      </c>
      <c r="BN305" s="8">
        <f>VLOOKUP($A305,'10.Sep'!$AC$8:$AE$1048576,3,0)</f>
        <v>1E-4</v>
      </c>
      <c r="BO305" s="8">
        <f>VLOOKUP($A305,'11.Sep'!$AC$8:$AE$1048576,3,0)</f>
        <v>1E-4</v>
      </c>
      <c r="BP305" s="7">
        <f>VLOOKUP($A305,'12.Sep'!$AC$8:$AE$1048576,3,0)</f>
        <v>1E-4</v>
      </c>
      <c r="BQ305" s="7">
        <f>VLOOKUP($A305,'13.Sep'!$AC$8:$AE$1048576,3,0)</f>
        <v>1E-4</v>
      </c>
      <c r="BR305" s="7">
        <f>VLOOKUP($A305,'14.Sep'!$AC$8:$AE$1048576,3,0)</f>
        <v>1E-4</v>
      </c>
      <c r="BS305" s="7">
        <f>VLOOKUP($A305,'15.Sep'!$AC$8:$AE$1048576,3,0)</f>
        <v>1E-4</v>
      </c>
      <c r="BT305" s="7">
        <f>VLOOKUP($A305,'16.Sep'!$AC$8:$AE$1048576,3,0)</f>
        <v>1E-4</v>
      </c>
      <c r="BU305" s="7">
        <f>VLOOKUP($A305,'17.Sep'!$AC$8:$AE$1048576,3,0)</f>
        <v>1E-4</v>
      </c>
      <c r="BV305" s="7">
        <f>VLOOKUP($A305,'18.Sep'!$AC$8:$AE$1048576,3,0)</f>
        <v>1E-4</v>
      </c>
      <c r="BW305" s="7">
        <f>VLOOKUP($A305,'19.Sep'!$AC$8:$AE$1048576,3,0)</f>
        <v>1E-4</v>
      </c>
      <c r="BX305" s="7">
        <f>VLOOKUP($A305,'20.Sep'!$AC$8:$AE$1048576,3,0)</f>
        <v>1E-4</v>
      </c>
      <c r="BY305" s="7">
        <f>VLOOKUP($A305,'21.Sep'!$AC$8:$AE$1048576,3,0)</f>
        <v>1E-4</v>
      </c>
      <c r="BZ305" s="7">
        <f>VLOOKUP($A305,'22.Sep'!$AC$8:$AE$1048576,3,0)</f>
        <v>1E-4</v>
      </c>
      <c r="CA305" s="7">
        <f>VLOOKUP($A305,'23.Sep'!$AC$8:$AE$1048576,3,0)</f>
        <v>1E-4</v>
      </c>
      <c r="CB305" s="7">
        <f>VLOOKUP($A305,'24.Sep'!$AC$8:$AE$1048576,3,0)</f>
        <v>1E-4</v>
      </c>
      <c r="CC305" s="7">
        <f>VLOOKUP($A305,'24.Sep'!$AC$8:$AE$1048576,3,0)</f>
        <v>1E-4</v>
      </c>
    </row>
    <row r="306" spans="1:81">
      <c r="A306" s="6" t="s">
        <v>77</v>
      </c>
      <c r="B306" s="7">
        <v>2.5000000000000001E-4</v>
      </c>
      <c r="C306" s="7">
        <v>7.1428571428571434E-5</v>
      </c>
      <c r="D306" s="7">
        <v>1.2857142857142858E-4</v>
      </c>
      <c r="E306" s="7">
        <v>1.1428571428571431E-4</v>
      </c>
      <c r="F306" s="7">
        <v>1.2857142857142858E-4</v>
      </c>
      <c r="G306" s="7">
        <v>1.2857142857142858E-4</v>
      </c>
      <c r="H306" s="7">
        <f t="shared" si="87"/>
        <v>1.7142857142857145E-4</v>
      </c>
      <c r="I306" s="7">
        <f t="shared" si="88"/>
        <v>1.8571428571428574E-4</v>
      </c>
      <c r="J306" s="7">
        <f t="shared" si="89"/>
        <v>7.7142857142857145E-4</v>
      </c>
      <c r="K306" s="7">
        <f t="shared" si="85"/>
        <v>2.3333333333333336E-4</v>
      </c>
      <c r="L306" s="7">
        <f t="shared" si="86"/>
        <v>1.7999999999999998E-4</v>
      </c>
      <c r="M306" s="7">
        <v>5.9999999999999995E-4</v>
      </c>
      <c r="N306" s="7">
        <v>2.0000000000000001E-4</v>
      </c>
      <c r="O306" s="7">
        <v>1E-4</v>
      </c>
      <c r="P306" s="7">
        <v>2.0000000000000001E-4</v>
      </c>
      <c r="Q306" s="7">
        <v>1E-4</v>
      </c>
      <c r="R306" s="7">
        <v>2.9999999999999997E-4</v>
      </c>
      <c r="S306" s="7">
        <v>1E-4</v>
      </c>
      <c r="T306" s="7">
        <v>1E-4</v>
      </c>
      <c r="U306" s="7">
        <v>2.0000000000000001E-4</v>
      </c>
      <c r="V306" s="8">
        <v>0</v>
      </c>
      <c r="W306" s="8">
        <v>0</v>
      </c>
      <c r="X306" s="7">
        <v>0</v>
      </c>
      <c r="Y306" s="7">
        <v>1E-4</v>
      </c>
      <c r="Z306" s="7">
        <v>0</v>
      </c>
      <c r="AA306" s="7">
        <v>2.0000000000000001E-4</v>
      </c>
      <c r="AB306" s="7">
        <v>1E-4</v>
      </c>
      <c r="AC306" s="7">
        <v>2.0000000000000001E-4</v>
      </c>
      <c r="AD306" s="7">
        <v>2.0000000000000001E-4</v>
      </c>
      <c r="AE306" s="7">
        <v>1E-4</v>
      </c>
      <c r="AF306" s="8">
        <v>1E-4</v>
      </c>
      <c r="AG306" s="8">
        <v>1E-4</v>
      </c>
      <c r="AH306" s="8">
        <v>1E-4</v>
      </c>
      <c r="AI306" s="8">
        <v>1E-4</v>
      </c>
      <c r="AJ306" s="8">
        <v>1E-4</v>
      </c>
      <c r="AK306" s="8">
        <v>2.0000000000000001E-4</v>
      </c>
      <c r="AL306" s="8">
        <v>1E-4</v>
      </c>
      <c r="AM306" s="7">
        <v>1E-4</v>
      </c>
      <c r="AN306" s="7">
        <v>0</v>
      </c>
      <c r="AO306" s="7">
        <v>1E-4</v>
      </c>
      <c r="AP306" s="7">
        <v>2.0000000000000001E-4</v>
      </c>
      <c r="AQ306" s="7">
        <v>1E-4</v>
      </c>
      <c r="AR306" s="7">
        <v>2.0000000000000001E-4</v>
      </c>
      <c r="AS306" s="7">
        <v>1E-4</v>
      </c>
      <c r="AT306" s="7">
        <v>2.0000000000000001E-4</v>
      </c>
      <c r="AU306" s="7">
        <v>1E-4</v>
      </c>
      <c r="AV306" s="7">
        <v>1E-4</v>
      </c>
      <c r="AW306" s="7">
        <v>1E-4</v>
      </c>
      <c r="AX306" s="7">
        <v>1E-4</v>
      </c>
      <c r="AY306" s="7">
        <v>2.0000000000000001E-4</v>
      </c>
      <c r="AZ306" s="7">
        <v>2.0000000000000001E-4</v>
      </c>
      <c r="BA306" s="7">
        <v>1E-4</v>
      </c>
      <c r="BB306" s="7">
        <v>2.0000000000000001E-4</v>
      </c>
      <c r="BC306" s="7">
        <v>1E-4</v>
      </c>
      <c r="BD306" s="7">
        <v>2.0000000000000001E-4</v>
      </c>
      <c r="BE306" s="7">
        <f>VLOOKUP($A306,'1.Sep'!$AC$8:$AE$1048576,3,0)</f>
        <v>2.9999999999999997E-4</v>
      </c>
      <c r="BF306" s="7">
        <f>VLOOKUP($A306,'2.Sep'!$AC$8:$AE$1048576,3,0)</f>
        <v>1E-4</v>
      </c>
      <c r="BG306" s="7">
        <f>VLOOKUP($A306,'3.Sep'!$AC$8:$AE$1048576,3,0)</f>
        <v>2.0000000000000001E-4</v>
      </c>
      <c r="BH306" s="8">
        <f>VLOOKUP($A306,'4.Sep'!$AC$8:$AE$1048576,3,0)</f>
        <v>1E-4</v>
      </c>
      <c r="BI306" s="8">
        <f>VLOOKUP($A306,'5.Sep'!$AC$8:$AE$1048576,3,0)</f>
        <v>2.0000000000000001E-4</v>
      </c>
      <c r="BJ306" s="8">
        <f>VLOOKUP($A306,'6.Sep'!$AC$8:$AE$1048576,3,0)</f>
        <v>2.0000000000000001E-4</v>
      </c>
      <c r="BK306" s="8">
        <f>VLOOKUP($A306,'7.Sep'!$AC$8:$AE$1048576,3,0)</f>
        <v>2.0000000000000001E-4</v>
      </c>
      <c r="BL306" s="8">
        <f>VLOOKUP($A306,'8.Sep'!$AC$8:$AE$1048576,3,0)</f>
        <v>1E-4</v>
      </c>
      <c r="BM306" s="8">
        <f>VLOOKUP($A306,'9.Sep'!$AC$8:$AE$1048576,3,0)</f>
        <v>2.0000000000000001E-4</v>
      </c>
      <c r="BN306" s="8">
        <f>VLOOKUP($A306,'10.Sep'!$AC$8:$AE$1048576,3,0)</f>
        <v>2.0000000000000001E-4</v>
      </c>
      <c r="BO306" s="8">
        <f>VLOOKUP($A306,'11.Sep'!$AC$8:$AE$1048576,3,0)</f>
        <v>2.0000000000000001E-4</v>
      </c>
      <c r="BP306" s="7">
        <f>VLOOKUP($A306,'12.Sep'!$AC$8:$AE$1048576,3,0)</f>
        <v>1E-4</v>
      </c>
      <c r="BQ306" s="7">
        <f>VLOOKUP($A306,'13.Sep'!$AC$8:$AE$1048576,3,0)</f>
        <v>4.0000000000000002E-4</v>
      </c>
      <c r="BR306" s="7">
        <f>VLOOKUP($A306,'14.Sep'!$AC$8:$AE$1048576,3,0)</f>
        <v>8.9999999999999998E-4</v>
      </c>
      <c r="BS306" s="7">
        <f>VLOOKUP($A306,'15.Sep'!$AC$8:$AE$1048576,3,0)</f>
        <v>1.2999999999999999E-3</v>
      </c>
      <c r="BT306" s="7">
        <f>VLOOKUP($A306,'16.Sep'!$AC$8:$AE$1048576,3,0)</f>
        <v>1E-3</v>
      </c>
      <c r="BU306" s="7">
        <f>VLOOKUP($A306,'17.Sep'!$AC$8:$AE$1048576,3,0)</f>
        <v>8.0000000000000004E-4</v>
      </c>
      <c r="BV306" s="7">
        <f>VLOOKUP($A306,'18.Sep'!$AC$8:$AE$1048576,3,0)</f>
        <v>8.9999999999999998E-4</v>
      </c>
      <c r="BW306" s="7">
        <f>VLOOKUP($A306,'19.Sep'!$AC$8:$AE$1048576,3,0)</f>
        <v>5.0000000000000001E-4</v>
      </c>
      <c r="BX306" s="7">
        <f>VLOOKUP($A306,'20.Sep'!$AC$8:$AE$1048576,3,0)</f>
        <v>1E-4</v>
      </c>
      <c r="BY306" s="7">
        <f>VLOOKUP($A306,'21.Sep'!$AC$8:$AE$1048576,3,0)</f>
        <v>2.0000000000000001E-4</v>
      </c>
      <c r="BZ306" s="7">
        <f>VLOOKUP($A306,'22.Sep'!$AC$8:$AE$1048576,3,0)</f>
        <v>2.0000000000000001E-4</v>
      </c>
      <c r="CA306" s="7">
        <f>VLOOKUP($A306,'23.Sep'!$AC$8:$AE$1048576,3,0)</f>
        <v>2.0000000000000001E-4</v>
      </c>
      <c r="CB306" s="7">
        <f>VLOOKUP($A306,'24.Sep'!$AC$8:$AE$1048576,3,0)</f>
        <v>2.0000000000000001E-4</v>
      </c>
      <c r="CC306" s="7">
        <f>VLOOKUP($A306,'24.Sep'!$AC$8:$AE$1048576,3,0)</f>
        <v>2.0000000000000001E-4</v>
      </c>
    </row>
    <row r="307" spans="1:81">
      <c r="A307" s="6" t="s">
        <v>78</v>
      </c>
      <c r="B307" s="7">
        <v>3.3333333333333335E-5</v>
      </c>
      <c r="C307" s="7">
        <v>4.2857142857142863E-5</v>
      </c>
      <c r="D307" s="7">
        <v>0</v>
      </c>
      <c r="E307" s="7">
        <v>4.2857142857142863E-5</v>
      </c>
      <c r="F307" s="7">
        <v>4.2857142857142863E-5</v>
      </c>
      <c r="G307" s="7">
        <v>4.2857142857142863E-5</v>
      </c>
      <c r="H307" s="7">
        <f t="shared" si="87"/>
        <v>5.7142857142857148E-5</v>
      </c>
      <c r="I307" s="7">
        <f t="shared" si="88"/>
        <v>1.0000000000000002E-4</v>
      </c>
      <c r="J307" s="7">
        <f t="shared" si="89"/>
        <v>2.8571428571428574E-5</v>
      </c>
      <c r="K307" s="7">
        <f t="shared" si="85"/>
        <v>5.0000000000000002E-5</v>
      </c>
      <c r="L307" s="7">
        <f t="shared" si="86"/>
        <v>6.0000000000000008E-5</v>
      </c>
      <c r="M307" s="8">
        <v>0</v>
      </c>
      <c r="N307" s="7">
        <v>2.0000000000000001E-4</v>
      </c>
      <c r="O307" s="8">
        <v>0</v>
      </c>
      <c r="P307" s="8">
        <v>0</v>
      </c>
      <c r="Q307" s="8">
        <v>0</v>
      </c>
      <c r="R307" s="8">
        <v>0</v>
      </c>
      <c r="S307" s="8">
        <v>0</v>
      </c>
      <c r="T307" s="8">
        <v>0</v>
      </c>
      <c r="U307" s="8">
        <v>0</v>
      </c>
      <c r="V307" s="8">
        <v>0</v>
      </c>
      <c r="W307" s="7">
        <v>2.0000000000000001E-4</v>
      </c>
      <c r="X307" s="7">
        <v>0</v>
      </c>
      <c r="Y307" s="7">
        <v>1E-4</v>
      </c>
      <c r="Z307" s="7">
        <v>0</v>
      </c>
      <c r="AA307" s="8">
        <v>0</v>
      </c>
      <c r="AB307" s="8">
        <v>0</v>
      </c>
      <c r="AC307" s="8">
        <v>0</v>
      </c>
      <c r="AD307" s="7">
        <v>0</v>
      </c>
      <c r="AE307" s="8">
        <v>0</v>
      </c>
      <c r="AF307" s="8">
        <v>0</v>
      </c>
      <c r="AG307" s="8">
        <v>1E-4</v>
      </c>
      <c r="AH307" s="8">
        <v>0</v>
      </c>
      <c r="AI307" s="8">
        <v>0</v>
      </c>
      <c r="AJ307" s="8">
        <v>1E-4</v>
      </c>
      <c r="AK307" s="8">
        <v>1E-4</v>
      </c>
      <c r="AL307" s="8">
        <v>0</v>
      </c>
      <c r="AM307" s="7">
        <v>0</v>
      </c>
      <c r="AN307" s="7">
        <v>1E-4</v>
      </c>
      <c r="AO307" s="7">
        <v>0</v>
      </c>
      <c r="AP307" s="8">
        <v>0</v>
      </c>
      <c r="AQ307" s="8">
        <v>0</v>
      </c>
      <c r="AR307" s="7">
        <v>1E-4</v>
      </c>
      <c r="AS307" s="7">
        <v>1E-4</v>
      </c>
      <c r="AT307" s="7">
        <v>0</v>
      </c>
      <c r="AU307" s="7">
        <v>1E-4</v>
      </c>
      <c r="AV307" s="7">
        <v>1E-4</v>
      </c>
      <c r="AW307" s="8">
        <v>0</v>
      </c>
      <c r="AX307" s="7">
        <v>0</v>
      </c>
      <c r="AY307" s="7">
        <v>0</v>
      </c>
      <c r="AZ307" s="7">
        <v>0</v>
      </c>
      <c r="BA307" s="7">
        <v>1E-4</v>
      </c>
      <c r="BB307" s="7">
        <v>0</v>
      </c>
      <c r="BC307" s="7">
        <v>0</v>
      </c>
      <c r="BD307" s="7">
        <v>1E-4</v>
      </c>
      <c r="BE307" s="8">
        <v>0</v>
      </c>
      <c r="BF307" s="7">
        <f>VLOOKUP($A307,'2.Sep'!$AC$8:$AE$1048576,3,0)</f>
        <v>1E-4</v>
      </c>
      <c r="BG307" s="7">
        <f>VLOOKUP($A307,'3.Sep'!$AC$8:$AE$1048576,3,0)</f>
        <v>1E-4</v>
      </c>
      <c r="BH307" s="8">
        <f>VLOOKUP($A307,'4.Sep'!$AC$8:$AE$1048576,3,0)</f>
        <v>1E-4</v>
      </c>
      <c r="BI307" s="8">
        <f>VLOOKUP($A307,'5.Sep'!$AC$8:$AE$1048576,3,0)</f>
        <v>1E-4</v>
      </c>
      <c r="BJ307" s="8">
        <f>VLOOKUP($A307,'6.Sep'!$AC$8:$AE$1048576,3,0)</f>
        <v>1E-4</v>
      </c>
      <c r="BK307" s="8">
        <f>VLOOKUP($A307,'7.Sep'!$AC$8:$AE$1048576,3,0)</f>
        <v>1E-4</v>
      </c>
      <c r="BL307" s="8">
        <f>VLOOKUP($A307,'8.Sep'!$AC$8:$AE$1048576,3,0)</f>
        <v>1E-4</v>
      </c>
      <c r="BM307" s="8">
        <f>VLOOKUP($A307,'9.Sep'!$AC$8:$AE$1048576,3,0)</f>
        <v>1E-4</v>
      </c>
      <c r="BN307" s="8">
        <f>VLOOKUP($A307,'10.Sep'!$AC$8:$AE$1048576,3,0)</f>
        <v>1E-4</v>
      </c>
      <c r="BO307" s="8">
        <f>VLOOKUP($A307,'11.Sep'!$AC$8:$AE$1048576,3,0)</f>
        <v>1E-4</v>
      </c>
      <c r="BP307" s="7">
        <f>VLOOKUP($A307,'12.Sep'!$AC$8:$AE$1048576,3,0)</f>
        <v>1E-4</v>
      </c>
      <c r="BQ307" s="7">
        <f>VLOOKUP($A307,'13.Sep'!$AC$8:$AE$1048576,3,0)</f>
        <v>0</v>
      </c>
      <c r="BR307" s="7">
        <f>VLOOKUP($A307,'14.Sep'!$AC$8:$AE$1048576,3,0)</f>
        <v>0</v>
      </c>
      <c r="BS307" s="7">
        <f>VLOOKUP($A307,'15.Sep'!$AC$8:$AE$1048576,3,0)</f>
        <v>0</v>
      </c>
      <c r="BT307" s="7">
        <f>VLOOKUP($A307,'16.Sep'!$AC$8:$AE$1048576,3,0)</f>
        <v>1E-4</v>
      </c>
      <c r="BU307" s="7">
        <f>VLOOKUP($A307,'17.Sep'!$AC$8:$AE$1048576,3,0)</f>
        <v>0</v>
      </c>
      <c r="BV307" s="7">
        <f>VLOOKUP($A307,'18.Sep'!$AC$8:$AE$1048576,3,0)</f>
        <v>0</v>
      </c>
      <c r="BW307" s="7">
        <f>VLOOKUP($A307,'19.Sep'!$AC$8:$AE$1048576,3,0)</f>
        <v>0</v>
      </c>
      <c r="BX307" s="7">
        <f>VLOOKUP($A307,'20.Sep'!$AC$8:$AE$1048576,3,0)</f>
        <v>0</v>
      </c>
      <c r="BY307" s="7">
        <f>VLOOKUP($A307,'21.Sep'!$AC$8:$AE$1048576,3,0)</f>
        <v>1E-4</v>
      </c>
      <c r="BZ307" s="7">
        <f>VLOOKUP($A307,'22.Sep'!$AC$8:$AE$1048576,3,0)</f>
        <v>1E-4</v>
      </c>
      <c r="CA307" s="7">
        <f>VLOOKUP($A307,'23.Sep'!$AC$8:$AE$1048576,3,0)</f>
        <v>1E-4</v>
      </c>
      <c r="CB307" s="7">
        <f>VLOOKUP($A307,'24.Sep'!$AC$8:$AE$1048576,3,0)</f>
        <v>0</v>
      </c>
      <c r="CC307" s="7">
        <f>VLOOKUP($A307,'24.Sep'!$AC$8:$AE$1048576,3,0)</f>
        <v>0</v>
      </c>
    </row>
    <row r="308" spans="1:81">
      <c r="A308" s="6" t="s">
        <v>79</v>
      </c>
      <c r="B308" s="7">
        <v>5.0000000000000002E-5</v>
      </c>
      <c r="C308" s="7">
        <v>4.2857142857142863E-5</v>
      </c>
      <c r="D308" s="7">
        <v>2.8571428571428574E-5</v>
      </c>
      <c r="E308" s="7">
        <v>1.1428571428571431E-4</v>
      </c>
      <c r="F308" s="7">
        <v>1.4285714285714287E-4</v>
      </c>
      <c r="G308" s="7">
        <v>1.4285714285714287E-4</v>
      </c>
      <c r="H308" s="7">
        <f t="shared" si="87"/>
        <v>1.142857142857143E-4</v>
      </c>
      <c r="I308" s="7">
        <f t="shared" si="88"/>
        <v>2.5714285714285715E-4</v>
      </c>
      <c r="J308" s="7">
        <f t="shared" si="89"/>
        <v>1.2857142857142858E-4</v>
      </c>
      <c r="K308" s="7">
        <f t="shared" si="85"/>
        <v>2.3333333333333333E-4</v>
      </c>
      <c r="L308" s="7">
        <f t="shared" si="86"/>
        <v>2.7999999999999998E-4</v>
      </c>
      <c r="M308" s="7">
        <v>1E-4</v>
      </c>
      <c r="N308" s="8">
        <v>0</v>
      </c>
      <c r="O308" s="8">
        <v>0</v>
      </c>
      <c r="P308" s="7">
        <v>2.0000000000000001E-4</v>
      </c>
      <c r="Q308" s="8">
        <v>0</v>
      </c>
      <c r="R308" s="8">
        <v>0</v>
      </c>
      <c r="S308" s="8">
        <v>0</v>
      </c>
      <c r="T308" s="7">
        <v>1E-4</v>
      </c>
      <c r="U308" s="7">
        <v>1E-4</v>
      </c>
      <c r="V308" s="8">
        <v>0</v>
      </c>
      <c r="W308" s="8">
        <v>0</v>
      </c>
      <c r="X308" s="7">
        <v>0</v>
      </c>
      <c r="Y308" s="7">
        <v>1E-4</v>
      </c>
      <c r="Z308" s="8">
        <v>0</v>
      </c>
      <c r="AA308" s="7">
        <v>1E-4</v>
      </c>
      <c r="AB308" s="7">
        <v>0</v>
      </c>
      <c r="AC308" s="8">
        <v>0</v>
      </c>
      <c r="AD308" s="8">
        <v>0</v>
      </c>
      <c r="AE308" s="8">
        <v>0</v>
      </c>
      <c r="AF308" s="8">
        <v>1E-4</v>
      </c>
      <c r="AG308" s="8">
        <v>0</v>
      </c>
      <c r="AH308" s="8">
        <v>2.0000000000000001E-4</v>
      </c>
      <c r="AI308" s="8">
        <v>1E-4</v>
      </c>
      <c r="AJ308" s="8">
        <v>2.0000000000000001E-4</v>
      </c>
      <c r="AK308" s="8">
        <v>1E-4</v>
      </c>
      <c r="AL308" s="8">
        <v>1E-4</v>
      </c>
      <c r="AM308" s="7">
        <v>1E-4</v>
      </c>
      <c r="AN308" s="7">
        <v>1E-4</v>
      </c>
      <c r="AO308" s="7">
        <v>2.9999999999999997E-4</v>
      </c>
      <c r="AP308" s="7">
        <v>1E-4</v>
      </c>
      <c r="AQ308" s="7">
        <v>1E-4</v>
      </c>
      <c r="AR308" s="7">
        <v>2.0000000000000001E-4</v>
      </c>
      <c r="AS308" s="7">
        <v>1E-4</v>
      </c>
      <c r="AT308" s="7">
        <v>1E-4</v>
      </c>
      <c r="AU308" s="7">
        <v>1E-4</v>
      </c>
      <c r="AV308" s="7">
        <v>1E-4</v>
      </c>
      <c r="AW308" s="7">
        <v>1E-4</v>
      </c>
      <c r="AX308" s="7">
        <v>2.0000000000000001E-4</v>
      </c>
      <c r="AY308" s="7">
        <v>2.0000000000000001E-4</v>
      </c>
      <c r="AZ308" s="7">
        <v>2.0000000000000001E-4</v>
      </c>
      <c r="BA308" s="7">
        <v>1E-4</v>
      </c>
      <c r="BB308" s="7">
        <v>1E-4</v>
      </c>
      <c r="BC308" s="7">
        <v>0</v>
      </c>
      <c r="BD308" s="7">
        <v>1E-4</v>
      </c>
      <c r="BE308" s="7">
        <f>VLOOKUP($A308,'1.Sep'!$AC$8:$AE$1048576,3,0)</f>
        <v>1E-4</v>
      </c>
      <c r="BF308" s="7">
        <f>VLOOKUP($A308,'2.Sep'!$AC$8:$AE$1048576,3,0)</f>
        <v>2.0000000000000001E-4</v>
      </c>
      <c r="BG308" s="7">
        <f>VLOOKUP($A308,'3.Sep'!$AC$8:$AE$1048576,3,0)</f>
        <v>2.0000000000000001E-4</v>
      </c>
      <c r="BH308" s="8">
        <f>VLOOKUP($A308,'4.Sep'!$AC$8:$AE$1048576,3,0)</f>
        <v>1E-4</v>
      </c>
      <c r="BI308" s="8">
        <f>VLOOKUP($A308,'5.Sep'!$AC$8:$AE$1048576,3,0)</f>
        <v>2.0000000000000001E-4</v>
      </c>
      <c r="BJ308" s="8">
        <f>VLOOKUP($A308,'6.Sep'!$AC$8:$AE$1048576,3,0)</f>
        <v>4.0000000000000002E-4</v>
      </c>
      <c r="BK308" s="8">
        <f>VLOOKUP($A308,'7.Sep'!$AC$8:$AE$1048576,3,0)</f>
        <v>2.9999999999999997E-4</v>
      </c>
      <c r="BL308" s="8">
        <f>VLOOKUP($A308,'8.Sep'!$AC$8:$AE$1048576,3,0)</f>
        <v>2.9999999999999997E-4</v>
      </c>
      <c r="BM308" s="8">
        <f>VLOOKUP($A308,'9.Sep'!$AC$8:$AE$1048576,3,0)</f>
        <v>2.0000000000000001E-4</v>
      </c>
      <c r="BN308" s="8">
        <f>VLOOKUP($A308,'10.Sep'!$AC$8:$AE$1048576,3,0)</f>
        <v>2.0000000000000001E-4</v>
      </c>
      <c r="BO308" s="8">
        <f>VLOOKUP($A308,'11.Sep'!$AC$8:$AE$1048576,3,0)</f>
        <v>2.0000000000000001E-4</v>
      </c>
      <c r="BP308" s="7">
        <f>VLOOKUP($A308,'12.Sep'!$AC$8:$AE$1048576,3,0)</f>
        <v>2.0000000000000001E-4</v>
      </c>
      <c r="BQ308" s="7">
        <f>VLOOKUP($A308,'13.Sep'!$AC$8:$AE$1048576,3,0)</f>
        <v>2.9999999999999997E-4</v>
      </c>
      <c r="BR308" s="7">
        <f>VLOOKUP($A308,'14.Sep'!$AC$8:$AE$1048576,3,0)</f>
        <v>2.0000000000000001E-4</v>
      </c>
      <c r="BS308" s="7">
        <f>VLOOKUP($A308,'15.Sep'!$AC$8:$AE$1048576,3,0)</f>
        <v>1E-4</v>
      </c>
      <c r="BT308" s="7">
        <f>VLOOKUP($A308,'16.Sep'!$AC$8:$AE$1048576,3,0)</f>
        <v>0</v>
      </c>
      <c r="BU308" s="7">
        <f>VLOOKUP($A308,'17.Sep'!$AC$8:$AE$1048576,3,0)</f>
        <v>1E-4</v>
      </c>
      <c r="BV308" s="7">
        <f>VLOOKUP($A308,'18.Sep'!$AC$8:$AE$1048576,3,0)</f>
        <v>0</v>
      </c>
      <c r="BW308" s="7">
        <f>VLOOKUP($A308,'19.Sep'!$AC$8:$AE$1048576,3,0)</f>
        <v>0</v>
      </c>
      <c r="BX308" s="7">
        <f>VLOOKUP($A308,'20.Sep'!$AC$8:$AE$1048576,3,0)</f>
        <v>1E-4</v>
      </c>
      <c r="BY308" s="7">
        <f>VLOOKUP($A308,'21.Sep'!$AC$8:$AE$1048576,3,0)</f>
        <v>2.9999999999999997E-4</v>
      </c>
      <c r="BZ308" s="7">
        <f>VLOOKUP($A308,'22.Sep'!$AC$8:$AE$1048576,3,0)</f>
        <v>4.0000000000000002E-4</v>
      </c>
      <c r="CA308" s="7">
        <f>VLOOKUP($A308,'23.Sep'!$AC$8:$AE$1048576,3,0)</f>
        <v>4.0000000000000002E-4</v>
      </c>
      <c r="CB308" s="7">
        <f>VLOOKUP($A308,'24.Sep'!$AC$8:$AE$1048576,3,0)</f>
        <v>2.0000000000000001E-4</v>
      </c>
      <c r="CC308" s="7">
        <f>VLOOKUP($A308,'24.Sep'!$AC$8:$AE$1048576,3,0)</f>
        <v>2.0000000000000001E-4</v>
      </c>
    </row>
    <row r="309" spans="1:81" outlineLevel="1">
      <c r="A309" s="6" t="s">
        <v>80</v>
      </c>
      <c r="B309" s="7">
        <v>2.1666666666666668E-4</v>
      </c>
      <c r="C309" s="7">
        <v>1.4285714285714287E-4</v>
      </c>
      <c r="D309" s="7">
        <v>1.4285714285714287E-5</v>
      </c>
      <c r="E309" s="7">
        <v>0</v>
      </c>
      <c r="F309" s="7">
        <v>0</v>
      </c>
      <c r="G309" s="7">
        <v>0</v>
      </c>
      <c r="H309" s="7">
        <f t="shared" si="87"/>
        <v>0</v>
      </c>
      <c r="I309" s="7">
        <f t="shared" si="88"/>
        <v>0</v>
      </c>
      <c r="J309" s="7">
        <f t="shared" si="89"/>
        <v>0</v>
      </c>
      <c r="K309" s="7">
        <f t="shared" si="85"/>
        <v>0</v>
      </c>
      <c r="L309" s="7">
        <f t="shared" si="86"/>
        <v>0</v>
      </c>
      <c r="M309" s="7">
        <v>2.0000000000000001E-4</v>
      </c>
      <c r="N309" s="7">
        <v>2.0000000000000001E-4</v>
      </c>
      <c r="O309" s="7">
        <v>2.9999999999999997E-4</v>
      </c>
      <c r="P309" s="7">
        <v>2.0000000000000001E-4</v>
      </c>
      <c r="Q309" s="7">
        <v>2.0000000000000001E-4</v>
      </c>
      <c r="R309" s="7">
        <v>2.0000000000000001E-4</v>
      </c>
      <c r="S309" s="7">
        <v>1E-4</v>
      </c>
      <c r="T309" s="7">
        <v>1E-4</v>
      </c>
      <c r="U309" s="7">
        <v>1E-4</v>
      </c>
      <c r="V309" s="7">
        <v>4.0000000000000002E-4</v>
      </c>
      <c r="W309" s="7">
        <v>2.0000000000000001E-4</v>
      </c>
      <c r="X309" s="7">
        <v>1E-4</v>
      </c>
      <c r="Y309" s="7">
        <v>0</v>
      </c>
      <c r="Z309" s="7">
        <v>1E-4</v>
      </c>
      <c r="AA309" s="7">
        <v>0</v>
      </c>
      <c r="AB309" s="8">
        <v>0</v>
      </c>
      <c r="AC309" s="7">
        <v>0</v>
      </c>
      <c r="AD309" s="7">
        <v>0</v>
      </c>
      <c r="AE309" s="7">
        <v>0</v>
      </c>
      <c r="AF309" s="8">
        <v>0</v>
      </c>
      <c r="AG309" s="8">
        <v>0</v>
      </c>
      <c r="AH309" s="8">
        <v>0</v>
      </c>
      <c r="AI309" s="8">
        <v>0</v>
      </c>
      <c r="AJ309" s="8">
        <v>0</v>
      </c>
      <c r="AK309" s="8">
        <v>0</v>
      </c>
      <c r="AL309" s="8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8">
        <v>0</v>
      </c>
      <c r="AZ309" s="7">
        <v>0</v>
      </c>
      <c r="BA309" s="7">
        <v>0</v>
      </c>
      <c r="BB309" s="7">
        <v>0</v>
      </c>
      <c r="BC309" s="7">
        <v>0</v>
      </c>
      <c r="BD309" s="7">
        <v>0</v>
      </c>
      <c r="BE309" s="7">
        <f>VLOOKUP($A309,'1.Sep'!$AC$8:$AE$1048576,3,0)</f>
        <v>0</v>
      </c>
      <c r="BF309" s="8">
        <v>0</v>
      </c>
      <c r="BG309" s="7">
        <f>VLOOKUP($A309,'3.Sep'!$AC$8:$AE$1048576,3,0)</f>
        <v>0</v>
      </c>
      <c r="BH309" s="8">
        <f>VLOOKUP($A309,'4.Sep'!$AC$8:$AE$1048576,3,0)</f>
        <v>0</v>
      </c>
      <c r="BI309" s="8">
        <f>VLOOKUP($A309,'5.Sep'!$AC$8:$AE$1048576,3,0)</f>
        <v>0</v>
      </c>
      <c r="BJ309" s="8">
        <f>VLOOKUP($A309,'6.Sep'!$AC$8:$AE$1048576,3,0)</f>
        <v>0</v>
      </c>
      <c r="BK309" s="8">
        <f>VLOOKUP($A309,'7.Sep'!$AC$8:$AE$1048576,3,0)</f>
        <v>0</v>
      </c>
      <c r="BL309" s="8">
        <f>VLOOKUP($A309,'8.Sep'!$AC$8:$AE$1048576,3,0)</f>
        <v>0</v>
      </c>
      <c r="BM309" s="8">
        <f>VLOOKUP($A309,'9.Sep'!$AC$8:$AE$1048576,3,0)</f>
        <v>0</v>
      </c>
      <c r="BN309" s="8">
        <f>VLOOKUP($A309,'10.Sep'!$AC$8:$AE$1048576,3,0)</f>
        <v>0</v>
      </c>
      <c r="BO309" s="8">
        <f>VLOOKUP($A309,'11.Sep'!$AC$8:$AE$1048576,3,0)</f>
        <v>0</v>
      </c>
      <c r="BP309" s="7">
        <f>VLOOKUP($A309,'12.Sep'!$AC$8:$AE$1048576,3,0)</f>
        <v>0</v>
      </c>
      <c r="BQ309" s="7">
        <f>VLOOKUP($A309,'13.Sep'!$AC$8:$AE$1048576,3,0)</f>
        <v>0</v>
      </c>
      <c r="BR309" s="7">
        <f>VLOOKUP($A309,'14.Sep'!$AC$8:$AE$1048576,3,0)</f>
        <v>0</v>
      </c>
      <c r="BS309" s="7">
        <f>VLOOKUP($A309,'15.Sep'!$AC$8:$AE$1048576,3,0)</f>
        <v>0</v>
      </c>
      <c r="BT309" s="7">
        <f>VLOOKUP($A309,'16.Sep'!$AC$8:$AE$1048576,3,0)</f>
        <v>0</v>
      </c>
      <c r="BU309" s="7">
        <f>VLOOKUP($A309,'17.Sep'!$AC$8:$AE$1048576,3,0)</f>
        <v>0</v>
      </c>
      <c r="BV309" s="7">
        <f>VLOOKUP($A309,'18.Sep'!$AC$8:$AE$1048576,3,0)</f>
        <v>0</v>
      </c>
      <c r="BW309" s="7">
        <f>VLOOKUP($A309,'19.Sep'!$AC$8:$AE$1048576,3,0)</f>
        <v>0</v>
      </c>
      <c r="BX309" s="7">
        <f>VLOOKUP($A309,'20.Sep'!$AC$8:$AE$1048576,3,0)</f>
        <v>0</v>
      </c>
      <c r="BY309" s="7">
        <f>VLOOKUP($A309,'21.Sep'!$AC$8:$AE$1048576,3,0)</f>
        <v>0</v>
      </c>
      <c r="BZ309" s="7">
        <f>VLOOKUP($A309,'22.Sep'!$AC$8:$AE$1048576,3,0)</f>
        <v>0</v>
      </c>
      <c r="CA309" s="7">
        <f>VLOOKUP($A309,'23.Sep'!$AC$8:$AE$1048576,3,0)</f>
        <v>0</v>
      </c>
      <c r="CB309" s="7">
        <f>VLOOKUP($A309,'24.Sep'!$AC$8:$AE$1048576,3,0)</f>
        <v>0</v>
      </c>
      <c r="CC309" s="7">
        <f>VLOOKUP($A309,'24.Sep'!$AC$8:$AE$1048576,3,0)</f>
        <v>0</v>
      </c>
    </row>
    <row r="310" spans="1:81" outlineLevel="1">
      <c r="A310" s="6" t="s">
        <v>81</v>
      </c>
      <c r="B310" s="7">
        <v>5.0000000000000002E-5</v>
      </c>
      <c r="C310" s="7">
        <v>1.4285714285714287E-5</v>
      </c>
      <c r="D310" s="7">
        <v>0</v>
      </c>
      <c r="E310" s="7">
        <v>0</v>
      </c>
      <c r="F310" s="7">
        <v>0</v>
      </c>
      <c r="G310" s="7">
        <v>0</v>
      </c>
      <c r="H310" s="7">
        <f t="shared" si="87"/>
        <v>0</v>
      </c>
      <c r="I310" s="7">
        <f t="shared" si="88"/>
        <v>0</v>
      </c>
      <c r="J310" s="7">
        <f t="shared" si="89"/>
        <v>0</v>
      </c>
      <c r="K310" s="7">
        <f t="shared" si="85"/>
        <v>0</v>
      </c>
      <c r="L310" s="7">
        <f t="shared" si="86"/>
        <v>0</v>
      </c>
      <c r="M310" s="7">
        <v>1E-4</v>
      </c>
      <c r="N310" s="8">
        <v>0</v>
      </c>
      <c r="O310" s="8">
        <v>0</v>
      </c>
      <c r="P310" s="7">
        <v>1E-4</v>
      </c>
      <c r="Q310" s="7">
        <v>1E-4</v>
      </c>
      <c r="R310" s="8">
        <v>0</v>
      </c>
      <c r="S310" s="7">
        <v>1E-4</v>
      </c>
      <c r="T310" s="8">
        <v>0</v>
      </c>
      <c r="U310" s="8">
        <v>0</v>
      </c>
      <c r="V310" s="8">
        <v>0</v>
      </c>
      <c r="W310" s="8">
        <v>0</v>
      </c>
      <c r="X310" s="8">
        <v>0</v>
      </c>
      <c r="Y310" s="8">
        <v>0</v>
      </c>
      <c r="Z310" s="8">
        <v>0</v>
      </c>
      <c r="AA310" s="8">
        <v>0</v>
      </c>
      <c r="AB310" s="7">
        <v>0</v>
      </c>
      <c r="AC310" s="7">
        <v>0</v>
      </c>
      <c r="AD310" s="8">
        <v>0</v>
      </c>
      <c r="AE310" s="7">
        <v>0</v>
      </c>
      <c r="AF310" s="8">
        <v>0</v>
      </c>
      <c r="AG310" s="8">
        <v>0</v>
      </c>
      <c r="AH310" s="8">
        <v>0</v>
      </c>
      <c r="AI310" s="8">
        <v>0</v>
      </c>
      <c r="AJ310" s="8">
        <v>0</v>
      </c>
      <c r="AK310" s="8">
        <v>0</v>
      </c>
      <c r="AL310" s="8">
        <v>0</v>
      </c>
      <c r="AM310" s="7">
        <v>0</v>
      </c>
      <c r="AN310" s="8">
        <v>0</v>
      </c>
      <c r="AO310" s="7">
        <v>0</v>
      </c>
      <c r="AP310" s="8">
        <v>0</v>
      </c>
      <c r="AQ310" s="7">
        <v>0</v>
      </c>
      <c r="AR310" s="7">
        <v>0</v>
      </c>
      <c r="AS310" s="7">
        <v>0</v>
      </c>
      <c r="AT310" s="8">
        <v>0</v>
      </c>
      <c r="AU310" s="8">
        <v>0</v>
      </c>
      <c r="AV310" s="8">
        <v>0</v>
      </c>
      <c r="AW310" s="8">
        <v>0</v>
      </c>
      <c r="AX310" s="7">
        <v>0</v>
      </c>
      <c r="AY310" s="8">
        <v>0</v>
      </c>
      <c r="AZ310" s="8">
        <v>0</v>
      </c>
      <c r="BA310" s="7">
        <v>0</v>
      </c>
      <c r="BB310" s="8">
        <v>0</v>
      </c>
      <c r="BC310" s="8">
        <v>0</v>
      </c>
      <c r="BD310" s="8">
        <v>0</v>
      </c>
      <c r="BE310" s="8">
        <v>0</v>
      </c>
      <c r="BF310" s="7">
        <f>VLOOKUP($A310,'2.Sep'!$AC$8:$AE$1048576,3,0)</f>
        <v>0</v>
      </c>
      <c r="BG310" s="7">
        <f>VLOOKUP($A310,'3.Sep'!$AC$8:$AE$1048576,3,0)</f>
        <v>0</v>
      </c>
      <c r="BH310" s="8">
        <v>0</v>
      </c>
      <c r="BI310" s="8">
        <f>VLOOKUP($A310,'5.Sep'!$AC$8:$AE$1048576,3,0)</f>
        <v>0</v>
      </c>
      <c r="BJ310" s="8">
        <f>VLOOKUP($A310,'6.Sep'!$AC$8:$AE$1048576,3,0)</f>
        <v>0</v>
      </c>
      <c r="BK310" s="8">
        <f>VLOOKUP($A310,'7.Sep'!$AC$8:$AE$1048576,3,0)</f>
        <v>0</v>
      </c>
      <c r="BL310" s="8">
        <v>0</v>
      </c>
      <c r="BM310" s="8">
        <f>VLOOKUP($A310,'9.Sep'!$AC$8:$AE$1048576,3,0)</f>
        <v>0</v>
      </c>
      <c r="BN310" s="8">
        <f>VLOOKUP($A310,'10.Sep'!$AC$8:$AE$1048576,3,0)</f>
        <v>0</v>
      </c>
      <c r="BO310" s="8">
        <v>0</v>
      </c>
      <c r="BP310" s="8">
        <v>0</v>
      </c>
      <c r="BQ310" s="7">
        <f>VLOOKUP($A310,'13.Sep'!$AC$8:$AE$1048576,3,0)</f>
        <v>0</v>
      </c>
      <c r="BR310" s="8">
        <v>0</v>
      </c>
      <c r="BS310" s="7">
        <f>VLOOKUP($A310,'15.Sep'!$AC$8:$AE$1048576,3,0)</f>
        <v>0</v>
      </c>
      <c r="BT310" s="8">
        <v>0</v>
      </c>
      <c r="BU310" s="7">
        <f>VLOOKUP($A310,'17.Sep'!$AC$8:$AE$1048576,3,0)</f>
        <v>0</v>
      </c>
      <c r="BV310" s="8">
        <v>0</v>
      </c>
      <c r="BW310" s="7">
        <f>VLOOKUP($A310,'19.Sep'!$AC$8:$AE$1048576,3,0)</f>
        <v>0</v>
      </c>
      <c r="BX310" s="8">
        <v>0</v>
      </c>
      <c r="BY310" s="8">
        <v>0</v>
      </c>
      <c r="BZ310" s="7">
        <f>VLOOKUP($A310,'22.Sep'!$AC$8:$AE$1048576,3,0)</f>
        <v>0</v>
      </c>
      <c r="CA310" s="8">
        <v>0</v>
      </c>
      <c r="CB310" s="8">
        <v>0</v>
      </c>
      <c r="CC310" s="8">
        <v>0</v>
      </c>
    </row>
    <row r="311" spans="1:81" outlineLevel="1">
      <c r="A311" s="6" t="s">
        <v>82</v>
      </c>
      <c r="B311" s="7">
        <v>1.6666666666666667E-5</v>
      </c>
      <c r="C311" s="7">
        <v>1.4285714285714287E-5</v>
      </c>
      <c r="D311" s="7">
        <v>2.8571428571428574E-5</v>
      </c>
      <c r="E311" s="7">
        <v>7.1428571428571434E-5</v>
      </c>
      <c r="F311" s="7">
        <v>0</v>
      </c>
      <c r="G311" s="7">
        <v>0</v>
      </c>
      <c r="H311" s="7">
        <f t="shared" si="87"/>
        <v>0</v>
      </c>
      <c r="I311" s="7">
        <f t="shared" si="88"/>
        <v>0</v>
      </c>
      <c r="J311" s="7">
        <f t="shared" si="89"/>
        <v>0</v>
      </c>
      <c r="K311" s="7">
        <f t="shared" si="85"/>
        <v>0</v>
      </c>
      <c r="L311" s="7">
        <f t="shared" si="86"/>
        <v>0</v>
      </c>
      <c r="M311" s="7">
        <v>1E-4</v>
      </c>
      <c r="N311" s="8">
        <v>0</v>
      </c>
      <c r="O311" s="8">
        <v>0</v>
      </c>
      <c r="P311" s="8">
        <v>0</v>
      </c>
      <c r="Q311" s="8">
        <v>0</v>
      </c>
      <c r="R311" s="8">
        <v>0</v>
      </c>
      <c r="S311" s="8">
        <v>0</v>
      </c>
      <c r="T311" s="8">
        <v>0</v>
      </c>
      <c r="U311" s="7">
        <v>1E-4</v>
      </c>
      <c r="V311" s="8">
        <v>0</v>
      </c>
      <c r="W311" s="8">
        <v>0</v>
      </c>
      <c r="X311" s="8">
        <v>0</v>
      </c>
      <c r="Y311" s="8">
        <v>0</v>
      </c>
      <c r="Z311" s="7">
        <v>1E-4</v>
      </c>
      <c r="AA311" s="7">
        <v>1E-4</v>
      </c>
      <c r="AB311" s="8">
        <v>0</v>
      </c>
      <c r="AC311" s="8">
        <v>0</v>
      </c>
      <c r="AD311" s="8">
        <v>0</v>
      </c>
      <c r="AE311" s="8">
        <v>0</v>
      </c>
      <c r="AF311" s="8">
        <v>0</v>
      </c>
      <c r="AG311" s="8">
        <v>2.0000000000000001E-4</v>
      </c>
      <c r="AH311" s="8">
        <v>2.0000000000000001E-4</v>
      </c>
      <c r="AI311" s="8">
        <v>0</v>
      </c>
      <c r="AJ311" s="8">
        <v>0</v>
      </c>
      <c r="AK311" s="8">
        <v>1E-4</v>
      </c>
      <c r="AL311" s="8">
        <v>0</v>
      </c>
      <c r="AM311" s="7">
        <v>0</v>
      </c>
      <c r="AN311" s="8">
        <v>0</v>
      </c>
      <c r="AO311" s="8">
        <v>0</v>
      </c>
      <c r="AP311" s="8">
        <v>0</v>
      </c>
      <c r="AQ311" s="7">
        <v>0</v>
      </c>
      <c r="AR311" s="7">
        <v>0</v>
      </c>
      <c r="AS311" s="8">
        <v>0</v>
      </c>
      <c r="AT311" s="8">
        <v>0</v>
      </c>
      <c r="AU311" s="8">
        <v>0</v>
      </c>
      <c r="AV311" s="8">
        <v>0</v>
      </c>
      <c r="AW311" s="8">
        <v>0</v>
      </c>
      <c r="AX311" s="8">
        <v>0</v>
      </c>
      <c r="AY311" s="7">
        <v>0</v>
      </c>
      <c r="AZ311" s="7">
        <v>0</v>
      </c>
      <c r="BA311" s="7">
        <v>0</v>
      </c>
      <c r="BB311" s="7">
        <v>0</v>
      </c>
      <c r="BC311" s="8">
        <v>0</v>
      </c>
      <c r="BD311" s="8">
        <v>0</v>
      </c>
      <c r="BE311" s="8">
        <v>0</v>
      </c>
      <c r="BF311" s="7">
        <f>VLOOKUP($A311,'2.Sep'!$AC$8:$AE$1048576,3,0)</f>
        <v>0</v>
      </c>
      <c r="BG311" s="7">
        <f>VLOOKUP($A311,'3.Sep'!$AC$8:$AE$1048576,3,0)</f>
        <v>0</v>
      </c>
      <c r="BH311" s="8">
        <f>VLOOKUP($A311,'4.Sep'!$AC$8:$AE$1048576,3,0)</f>
        <v>0</v>
      </c>
      <c r="BI311" s="8">
        <v>0</v>
      </c>
      <c r="BJ311" s="8">
        <v>0</v>
      </c>
      <c r="BK311" s="8">
        <f>VLOOKUP($A311,'7.Sep'!$AC$8:$AE$1048576,3,0)</f>
        <v>0</v>
      </c>
      <c r="BL311" s="8">
        <f>VLOOKUP($A311,'8.Sep'!$AC$8:$AE$1048576,3,0)</f>
        <v>0</v>
      </c>
      <c r="BM311" s="8">
        <f>VLOOKUP($A311,'9.Sep'!$AC$8:$AE$1048576,3,0)</f>
        <v>0</v>
      </c>
      <c r="BN311" s="8">
        <f>VLOOKUP($A311,'10.Sep'!$AC$8:$AE$1048576,3,0)</f>
        <v>0</v>
      </c>
      <c r="BO311" s="8">
        <f>VLOOKUP($A311,'11.Sep'!$AC$8:$AE$1048576,3,0)</f>
        <v>0</v>
      </c>
      <c r="BP311" s="8">
        <v>0</v>
      </c>
      <c r="BQ311" s="8">
        <v>0</v>
      </c>
      <c r="BR311" s="8">
        <v>0</v>
      </c>
      <c r="BS311" s="7">
        <f>VLOOKUP($A311,'15.Sep'!$AC$8:$AE$1048576,3,0)</f>
        <v>0</v>
      </c>
      <c r="BT311" s="8">
        <v>0</v>
      </c>
      <c r="BU311" s="7">
        <f>VLOOKUP($A311,'17.Sep'!$AC$8:$AE$1048576,3,0)</f>
        <v>0</v>
      </c>
      <c r="BV311" s="8">
        <v>0</v>
      </c>
      <c r="BW311" s="7">
        <f>VLOOKUP($A311,'19.Sep'!$AC$8:$AE$1048576,3,0)</f>
        <v>0</v>
      </c>
      <c r="BX311" s="7">
        <f>VLOOKUP($A311,'20.Sep'!$AC$8:$AE$1048576,3,0)</f>
        <v>0</v>
      </c>
      <c r="BY311" s="7">
        <f>VLOOKUP($A311,'21.Sep'!$AC$8:$AE$1048576,3,0)</f>
        <v>0</v>
      </c>
      <c r="BZ311" s="7">
        <f>VLOOKUP($A311,'22.Sep'!$AC$8:$AE$1048576,3,0)</f>
        <v>0</v>
      </c>
      <c r="CA311" s="7">
        <f>VLOOKUP($A311,'23.Sep'!$AC$8:$AE$1048576,3,0)</f>
        <v>0</v>
      </c>
      <c r="CB311" s="8">
        <v>0</v>
      </c>
      <c r="CC311" s="8">
        <v>0</v>
      </c>
    </row>
    <row r="312" spans="1:81" outlineLevel="1">
      <c r="A312" s="6" t="s">
        <v>83</v>
      </c>
      <c r="B312" s="7">
        <v>5.0000000000000002E-5</v>
      </c>
      <c r="C312" s="7">
        <v>1.7142857142857143E-4</v>
      </c>
      <c r="D312" s="7">
        <v>7.2857142857142847E-4</v>
      </c>
      <c r="E312" s="7">
        <v>8.2857142857142862E-4</v>
      </c>
      <c r="F312" s="7">
        <v>5.2857142857142859E-4</v>
      </c>
      <c r="G312" s="7">
        <v>5.7142857142857147E-4</v>
      </c>
      <c r="H312" s="7">
        <f t="shared" si="87"/>
        <v>5.7142857142857147E-4</v>
      </c>
      <c r="I312" s="7">
        <f t="shared" si="88"/>
        <v>8.0000000000000004E-4</v>
      </c>
      <c r="J312" s="7">
        <f t="shared" si="89"/>
        <v>9.2857142857142856E-4</v>
      </c>
      <c r="K312" s="7">
        <f t="shared" si="85"/>
        <v>9.3333333333333332E-4</v>
      </c>
      <c r="L312" s="7">
        <f t="shared" si="86"/>
        <v>9.4000000000000008E-4</v>
      </c>
      <c r="M312" s="8">
        <v>0</v>
      </c>
      <c r="N312" s="7">
        <v>2.0000000000000001E-4</v>
      </c>
      <c r="O312" s="8">
        <v>0</v>
      </c>
      <c r="P312" s="7">
        <v>1E-4</v>
      </c>
      <c r="Q312" s="8">
        <v>0</v>
      </c>
      <c r="R312" s="8">
        <v>0</v>
      </c>
      <c r="S312" s="8">
        <v>0</v>
      </c>
      <c r="T312" s="8">
        <v>0</v>
      </c>
      <c r="U312" s="8">
        <v>0</v>
      </c>
      <c r="V312" s="8">
        <v>0</v>
      </c>
      <c r="W312" s="7">
        <v>2.0000000000000001E-4</v>
      </c>
      <c r="X312" s="7">
        <v>5.9999999999999995E-4</v>
      </c>
      <c r="Y312" s="7">
        <v>4.0000000000000002E-4</v>
      </c>
      <c r="Z312" s="7">
        <v>5.0000000000000001E-4</v>
      </c>
      <c r="AA312" s="7">
        <v>8.9999999999999998E-4</v>
      </c>
      <c r="AB312" s="7">
        <v>6.9999999999999999E-4</v>
      </c>
      <c r="AC312" s="7">
        <v>5.9999999999999995E-4</v>
      </c>
      <c r="AD312" s="7">
        <v>1E-3</v>
      </c>
      <c r="AE312" s="7">
        <v>6.9999999999999999E-4</v>
      </c>
      <c r="AF312" s="8">
        <v>6.9999999999999999E-4</v>
      </c>
      <c r="AG312" s="8">
        <v>6.9999999999999999E-4</v>
      </c>
      <c r="AH312" s="8">
        <v>1E-3</v>
      </c>
      <c r="AI312" s="8">
        <v>1E-3</v>
      </c>
      <c r="AJ312" s="8">
        <v>8.0000000000000004E-4</v>
      </c>
      <c r="AK312" s="8">
        <v>8.9999999999999998E-4</v>
      </c>
      <c r="AL312" s="8">
        <v>5.9999999999999995E-4</v>
      </c>
      <c r="AM312" s="7">
        <v>8.0000000000000004E-4</v>
      </c>
      <c r="AN312" s="7">
        <v>5.0000000000000001E-4</v>
      </c>
      <c r="AO312" s="7">
        <v>6.9999999999999999E-4</v>
      </c>
      <c r="AP312" s="7">
        <v>2.9999999999999997E-4</v>
      </c>
      <c r="AQ312" s="7">
        <v>5.9999999999999995E-4</v>
      </c>
      <c r="AR312" s="7">
        <v>4.0000000000000002E-4</v>
      </c>
      <c r="AS312" s="7">
        <v>6.9999999999999999E-4</v>
      </c>
      <c r="AT312" s="7">
        <v>5.0000000000000001E-4</v>
      </c>
      <c r="AU312" s="7">
        <v>5.9999999999999995E-4</v>
      </c>
      <c r="AV312" s="7">
        <v>5.9999999999999995E-4</v>
      </c>
      <c r="AW312" s="7">
        <v>5.0000000000000001E-4</v>
      </c>
      <c r="AX312" s="7">
        <v>8.0000000000000004E-4</v>
      </c>
      <c r="AY312" s="7">
        <v>5.0000000000000001E-4</v>
      </c>
      <c r="AZ312" s="7">
        <v>5.0000000000000001E-4</v>
      </c>
      <c r="BA312" s="7">
        <v>5.0000000000000001E-4</v>
      </c>
      <c r="BB312" s="7">
        <v>8.9999999999999998E-4</v>
      </c>
      <c r="BC312" s="7">
        <v>6.9999999999999999E-4</v>
      </c>
      <c r="BD312" s="7">
        <v>5.9999999999999995E-4</v>
      </c>
      <c r="BE312" s="7">
        <f>VLOOKUP($A312,'1.Sep'!$AC$8:$AE$1048576,3,0)</f>
        <v>4.0000000000000002E-4</v>
      </c>
      <c r="BF312" s="7">
        <f>VLOOKUP($A312,'2.Sep'!$AC$8:$AE$1048576,3,0)</f>
        <v>4.0000000000000002E-4</v>
      </c>
      <c r="BG312" s="7">
        <f>VLOOKUP($A312,'3.Sep'!$AC$8:$AE$1048576,3,0)</f>
        <v>4.0000000000000002E-4</v>
      </c>
      <c r="BH312" s="8">
        <f>VLOOKUP($A312,'4.Sep'!$AC$8:$AE$1048576,3,0)</f>
        <v>5.9999999999999995E-4</v>
      </c>
      <c r="BI312" s="8">
        <f>VLOOKUP($A312,'5.Sep'!$AC$8:$AE$1048576,3,0)</f>
        <v>4.0000000000000002E-4</v>
      </c>
      <c r="BJ312" s="8">
        <f>VLOOKUP($A312,'6.Sep'!$AC$8:$AE$1048576,3,0)</f>
        <v>1.1000000000000001E-3</v>
      </c>
      <c r="BK312" s="8">
        <f>VLOOKUP($A312,'7.Sep'!$AC$8:$AE$1048576,3,0)</f>
        <v>8.9999999999999998E-4</v>
      </c>
      <c r="BL312" s="8">
        <f>VLOOKUP($A312,'8.Sep'!$AC$8:$AE$1048576,3,0)</f>
        <v>5.9999999999999995E-4</v>
      </c>
      <c r="BM312" s="8">
        <f>VLOOKUP($A312,'9.Sep'!$AC$8:$AE$1048576,3,0)</f>
        <v>6.9999999999999999E-4</v>
      </c>
      <c r="BN312" s="8">
        <f>VLOOKUP($A312,'10.Sep'!$AC$8:$AE$1048576,3,0)</f>
        <v>1E-3</v>
      </c>
      <c r="BO312" s="8">
        <f>VLOOKUP($A312,'11.Sep'!$AC$8:$AE$1048576,3,0)</f>
        <v>8.9999999999999998E-4</v>
      </c>
      <c r="BP312" s="7">
        <f>VLOOKUP($A312,'12.Sep'!$AC$8:$AE$1048576,3,0)</f>
        <v>1E-3</v>
      </c>
      <c r="BQ312" s="7">
        <f>VLOOKUP($A312,'13.Sep'!$AC$8:$AE$1048576,3,0)</f>
        <v>8.0000000000000004E-4</v>
      </c>
      <c r="BR312" s="7">
        <f>VLOOKUP($A312,'14.Sep'!$AC$8:$AE$1048576,3,0)</f>
        <v>1E-3</v>
      </c>
      <c r="BS312" s="7">
        <f>VLOOKUP($A312,'15.Sep'!$AC$8:$AE$1048576,3,0)</f>
        <v>1.1000000000000001E-3</v>
      </c>
      <c r="BT312" s="7">
        <f>VLOOKUP($A312,'16.Sep'!$AC$8:$AE$1048576,3,0)</f>
        <v>1.1999999999999999E-3</v>
      </c>
      <c r="BU312" s="7">
        <f>VLOOKUP($A312,'17.Sep'!$AC$8:$AE$1048576,3,0)</f>
        <v>6.9999999999999999E-4</v>
      </c>
      <c r="BV312" s="7">
        <f>VLOOKUP($A312,'18.Sep'!$AC$8:$AE$1048576,3,0)</f>
        <v>6.9999999999999999E-4</v>
      </c>
      <c r="BW312" s="7">
        <f>VLOOKUP($A312,'19.Sep'!$AC$8:$AE$1048576,3,0)</f>
        <v>8.9999999999999998E-4</v>
      </c>
      <c r="BX312" s="7">
        <f>VLOOKUP($A312,'20.Sep'!$AC$8:$AE$1048576,3,0)</f>
        <v>6.9999999999999999E-4</v>
      </c>
      <c r="BY312" s="7">
        <f>VLOOKUP($A312,'21.Sep'!$AC$8:$AE$1048576,3,0)</f>
        <v>1E-3</v>
      </c>
      <c r="BZ312" s="7">
        <f>VLOOKUP($A312,'22.Sep'!$AC$8:$AE$1048576,3,0)</f>
        <v>1E-3</v>
      </c>
      <c r="CA312" s="7">
        <f>VLOOKUP($A312,'23.Sep'!$AC$8:$AE$1048576,3,0)</f>
        <v>1E-3</v>
      </c>
      <c r="CB312" s="7">
        <f>VLOOKUP($A312,'24.Sep'!$AC$8:$AE$1048576,3,0)</f>
        <v>1E-3</v>
      </c>
      <c r="CC312" s="7">
        <f>VLOOKUP($A312,'24.Sep'!$AC$8:$AE$1048576,3,0)</f>
        <v>1E-3</v>
      </c>
    </row>
    <row r="313" spans="1:81" outlineLevel="1">
      <c r="A313" s="6" t="s">
        <v>84</v>
      </c>
      <c r="B313" s="7">
        <v>1.6666666666666667E-5</v>
      </c>
      <c r="C313" s="7">
        <v>4.2857142857142863E-5</v>
      </c>
      <c r="D313" s="7">
        <v>1.4285714285714287E-5</v>
      </c>
      <c r="E313" s="7">
        <v>1.4285714285714287E-5</v>
      </c>
      <c r="F313" s="7">
        <v>1.4285714285714287E-5</v>
      </c>
      <c r="G313" s="7">
        <v>0</v>
      </c>
      <c r="H313" s="7">
        <f t="shared" si="87"/>
        <v>0</v>
      </c>
      <c r="I313" s="7">
        <f t="shared" si="88"/>
        <v>1.4285714285714287E-5</v>
      </c>
      <c r="J313" s="7">
        <f t="shared" si="89"/>
        <v>0</v>
      </c>
      <c r="K313" s="7">
        <f t="shared" si="85"/>
        <v>0</v>
      </c>
      <c r="L313" s="7">
        <f t="shared" si="86"/>
        <v>0</v>
      </c>
      <c r="M313" s="8">
        <v>0</v>
      </c>
      <c r="N313" s="8">
        <v>0</v>
      </c>
      <c r="O313" s="8">
        <v>0</v>
      </c>
      <c r="P313" s="8">
        <v>0</v>
      </c>
      <c r="Q313" s="7">
        <v>1E-4</v>
      </c>
      <c r="R313" s="8">
        <v>0</v>
      </c>
      <c r="S313" s="7">
        <v>1E-4</v>
      </c>
      <c r="T313" s="8">
        <v>0</v>
      </c>
      <c r="U313" s="8">
        <v>0</v>
      </c>
      <c r="V313" s="8">
        <v>0</v>
      </c>
      <c r="W313" s="7">
        <v>2.0000000000000001E-4</v>
      </c>
      <c r="X313" s="7">
        <v>0</v>
      </c>
      <c r="Y313" s="8">
        <v>0</v>
      </c>
      <c r="Z313" s="8">
        <v>0</v>
      </c>
      <c r="AA313" s="7">
        <v>0</v>
      </c>
      <c r="AB313" s="7">
        <v>1E-4</v>
      </c>
      <c r="AC313" s="8">
        <v>0</v>
      </c>
      <c r="AD313" s="7">
        <v>0</v>
      </c>
      <c r="AE313" s="8">
        <v>0</v>
      </c>
      <c r="AF313" s="8">
        <v>0</v>
      </c>
      <c r="AG313" s="8">
        <v>1E-4</v>
      </c>
      <c r="AH313" s="8">
        <v>0</v>
      </c>
      <c r="AI313" s="8">
        <v>0</v>
      </c>
      <c r="AJ313" s="8">
        <v>0</v>
      </c>
      <c r="AK313" s="8">
        <v>0</v>
      </c>
      <c r="AL313" s="8">
        <v>0</v>
      </c>
      <c r="AM313" s="7">
        <v>0</v>
      </c>
      <c r="AN313" s="7">
        <v>0</v>
      </c>
      <c r="AO313" s="7">
        <v>1E-4</v>
      </c>
      <c r="AP313" s="8">
        <v>0</v>
      </c>
      <c r="AQ313" s="8">
        <v>0</v>
      </c>
      <c r="AR313" s="7">
        <v>0</v>
      </c>
      <c r="AS313" s="7">
        <v>0</v>
      </c>
      <c r="AT313" s="8">
        <v>0</v>
      </c>
      <c r="AU313" s="8">
        <v>0</v>
      </c>
      <c r="AV313" s="8">
        <v>0</v>
      </c>
      <c r="AW313" s="7">
        <v>0</v>
      </c>
      <c r="AX313" s="7">
        <v>0</v>
      </c>
      <c r="AY313" s="7">
        <v>0</v>
      </c>
      <c r="AZ313" s="8">
        <v>0</v>
      </c>
      <c r="BA313" s="8">
        <v>0</v>
      </c>
      <c r="BB313" s="8">
        <v>0</v>
      </c>
      <c r="BC313" s="8">
        <v>0</v>
      </c>
      <c r="BD313" s="8">
        <v>0</v>
      </c>
      <c r="BE313" s="8">
        <v>0</v>
      </c>
      <c r="BF313" s="7">
        <f>VLOOKUP($A313,'2.Sep'!$AC$8:$AE$1048576,3,0)</f>
        <v>0</v>
      </c>
      <c r="BG313" s="7">
        <f>VLOOKUP($A313,'3.Sep'!$AC$8:$AE$1048576,3,0)</f>
        <v>0</v>
      </c>
      <c r="BH313" s="8">
        <v>0</v>
      </c>
      <c r="BI313" s="8">
        <f>VLOOKUP($A313,'5.Sep'!$AC$8:$AE$1048576,3,0)</f>
        <v>0</v>
      </c>
      <c r="BJ313" s="8">
        <f>VLOOKUP($A313,'6.Sep'!$AC$8:$AE$1048576,3,0)</f>
        <v>1E-4</v>
      </c>
      <c r="BK313" s="8">
        <f>VLOOKUP($A313,'7.Sep'!$AC$8:$AE$1048576,3,0)</f>
        <v>0</v>
      </c>
      <c r="BL313" s="8">
        <f>VLOOKUP($A313,'8.Sep'!$AC$8:$AE$1048576,3,0)</f>
        <v>0</v>
      </c>
      <c r="BM313" s="8">
        <f>VLOOKUP($A313,'9.Sep'!$AC$8:$AE$1048576,3,0)</f>
        <v>0</v>
      </c>
      <c r="BN313" s="8">
        <v>0</v>
      </c>
      <c r="BO313" s="8">
        <v>0</v>
      </c>
      <c r="BP313" s="7">
        <f>VLOOKUP($A313,'12.Sep'!$AC$8:$AE$1048576,3,0)</f>
        <v>0</v>
      </c>
      <c r="BQ313" s="7">
        <f>VLOOKUP($A313,'13.Sep'!$AC$8:$AE$1048576,3,0)</f>
        <v>0</v>
      </c>
      <c r="BR313" s="8">
        <v>0</v>
      </c>
      <c r="BS313" s="8">
        <v>0</v>
      </c>
      <c r="BT313" s="8">
        <v>0</v>
      </c>
      <c r="BU313" s="7">
        <f>VLOOKUP($A313,'17.Sep'!$AC$8:$AE$1048576,3,0)</f>
        <v>0</v>
      </c>
      <c r="BV313" s="8">
        <v>0</v>
      </c>
      <c r="BW313" s="7">
        <f>VLOOKUP($A313,'19.Sep'!$AC$8:$AE$1048576,3,0)</f>
        <v>0</v>
      </c>
      <c r="BX313" s="8">
        <v>0</v>
      </c>
      <c r="BY313" s="8">
        <v>0</v>
      </c>
      <c r="BZ313" s="7">
        <f>VLOOKUP($A313,'22.Sep'!$AC$8:$AE$1048576,3,0)</f>
        <v>0</v>
      </c>
      <c r="CA313" s="7">
        <f>VLOOKUP($A313,'23.Sep'!$AC$8:$AE$1048576,3,0)</f>
        <v>0</v>
      </c>
      <c r="CB313" s="8">
        <v>0</v>
      </c>
      <c r="CC313" s="8">
        <v>0</v>
      </c>
    </row>
    <row r="314" spans="1:81" outlineLevel="1">
      <c r="A314" s="6" t="s">
        <v>85</v>
      </c>
      <c r="B314" s="7">
        <v>8.3333333333333331E-5</v>
      </c>
      <c r="C314" s="7">
        <v>1.4285714285714287E-5</v>
      </c>
      <c r="D314" s="7">
        <v>0</v>
      </c>
      <c r="E314" s="7">
        <v>0</v>
      </c>
      <c r="F314" s="7">
        <v>0</v>
      </c>
      <c r="G314" s="7">
        <v>0</v>
      </c>
      <c r="H314" s="7">
        <f t="shared" si="87"/>
        <v>0</v>
      </c>
      <c r="I314" s="7">
        <f t="shared" si="88"/>
        <v>0</v>
      </c>
      <c r="J314" s="7">
        <f t="shared" si="89"/>
        <v>0</v>
      </c>
      <c r="K314" s="7">
        <f t="shared" si="85"/>
        <v>0</v>
      </c>
      <c r="L314" s="7">
        <f t="shared" si="86"/>
        <v>0</v>
      </c>
      <c r="M314" s="7">
        <v>1E-4</v>
      </c>
      <c r="N314" s="8">
        <v>0</v>
      </c>
      <c r="O314" s="7">
        <v>1E-4</v>
      </c>
      <c r="P314" s="7">
        <v>1E-4</v>
      </c>
      <c r="Q314" s="8">
        <v>0</v>
      </c>
      <c r="R314" s="7">
        <v>2.0000000000000001E-4</v>
      </c>
      <c r="S314" s="7">
        <v>1E-4</v>
      </c>
      <c r="T314" s="8">
        <v>0</v>
      </c>
      <c r="U314" s="8">
        <v>0</v>
      </c>
      <c r="V314" s="8">
        <v>0</v>
      </c>
      <c r="W314" s="8">
        <v>0</v>
      </c>
      <c r="X314" s="8">
        <v>0</v>
      </c>
      <c r="Y314" s="7">
        <v>0</v>
      </c>
      <c r="Z314" s="8">
        <v>0</v>
      </c>
      <c r="AA314" s="8">
        <v>0</v>
      </c>
      <c r="AB314" s="8">
        <v>0</v>
      </c>
      <c r="AC314" s="8">
        <v>0</v>
      </c>
      <c r="AD314" s="8">
        <v>0</v>
      </c>
      <c r="AE314" s="8">
        <v>0</v>
      </c>
      <c r="AF314" s="8">
        <v>0</v>
      </c>
      <c r="AG314" s="8">
        <v>0</v>
      </c>
      <c r="AH314" s="8">
        <v>0</v>
      </c>
      <c r="AI314" s="8">
        <v>0</v>
      </c>
      <c r="AJ314" s="8">
        <v>0</v>
      </c>
      <c r="AK314" s="8">
        <v>0</v>
      </c>
      <c r="AL314" s="8">
        <v>0</v>
      </c>
      <c r="AM314" s="7">
        <v>0</v>
      </c>
      <c r="AN314" s="8">
        <v>0</v>
      </c>
      <c r="AO314" s="7">
        <v>0</v>
      </c>
      <c r="AP314" s="8">
        <v>0</v>
      </c>
      <c r="AQ314" s="8">
        <v>0</v>
      </c>
      <c r="AR314" s="8">
        <v>0</v>
      </c>
      <c r="AS314" s="8">
        <v>0</v>
      </c>
      <c r="AT314" s="8">
        <v>0</v>
      </c>
      <c r="AU314" s="8">
        <v>0</v>
      </c>
      <c r="AV314" s="7">
        <v>0</v>
      </c>
      <c r="AW314" s="7">
        <v>0</v>
      </c>
      <c r="AX314" s="8">
        <v>0</v>
      </c>
      <c r="AY314" s="8">
        <v>0</v>
      </c>
      <c r="AZ314" s="8">
        <v>0</v>
      </c>
      <c r="BA314" s="8">
        <v>0</v>
      </c>
      <c r="BB314" s="8">
        <v>0</v>
      </c>
      <c r="BC314" s="8">
        <v>0</v>
      </c>
      <c r="BD314" s="8">
        <v>0</v>
      </c>
      <c r="BE314" s="8">
        <v>0</v>
      </c>
      <c r="BF314" s="7">
        <f>VLOOKUP($A314,'2.Sep'!$AC$8:$AE$1048576,3,0)</f>
        <v>0</v>
      </c>
      <c r="BG314" s="8">
        <v>0</v>
      </c>
      <c r="BH314" s="8">
        <v>0</v>
      </c>
      <c r="BI314" s="8">
        <f>VLOOKUP($A314,'5.Sep'!$AC$8:$AE$1048576,3,0)</f>
        <v>0</v>
      </c>
      <c r="BJ314" s="8">
        <v>0</v>
      </c>
      <c r="BK314" s="8">
        <f>VLOOKUP($A314,'7.Sep'!$AC$8:$AE$1048576,3,0)</f>
        <v>0</v>
      </c>
      <c r="BL314" s="8">
        <v>0</v>
      </c>
      <c r="BM314" s="8">
        <v>0</v>
      </c>
      <c r="BN314" s="8">
        <v>0</v>
      </c>
      <c r="BO314" s="8">
        <f>VLOOKUP($A314,'11.Sep'!$AC$8:$AE$1048576,3,0)</f>
        <v>0</v>
      </c>
      <c r="BP314" s="8">
        <v>0</v>
      </c>
      <c r="BQ314" s="8">
        <v>0</v>
      </c>
      <c r="BR314" s="8">
        <v>0</v>
      </c>
      <c r="BS314" s="7">
        <f>VLOOKUP($A314,'15.Sep'!$AC$8:$AE$1048576,3,0)</f>
        <v>0</v>
      </c>
      <c r="BT314" s="8">
        <v>0</v>
      </c>
      <c r="BU314" s="8">
        <v>0</v>
      </c>
      <c r="BV314" s="8">
        <v>0</v>
      </c>
      <c r="BW314" s="8">
        <v>0</v>
      </c>
      <c r="BX314" s="8">
        <v>0</v>
      </c>
      <c r="BY314" s="8">
        <v>0</v>
      </c>
      <c r="BZ314" s="8">
        <v>0</v>
      </c>
      <c r="CA314" s="8">
        <v>0</v>
      </c>
      <c r="CB314" s="8">
        <v>0</v>
      </c>
      <c r="CC314" s="8">
        <v>0</v>
      </c>
    </row>
    <row r="315" spans="1:81" outlineLevel="1">
      <c r="A315" s="6" t="s">
        <v>86</v>
      </c>
      <c r="B315" s="7">
        <v>3.3333333333333335E-5</v>
      </c>
      <c r="C315" s="7">
        <v>1.1428571428571427E-4</v>
      </c>
      <c r="D315" s="7">
        <v>7.1428571428571434E-5</v>
      </c>
      <c r="E315" s="7">
        <v>1.4285714285714287E-5</v>
      </c>
      <c r="F315" s="7">
        <v>2.8571428571428574E-5</v>
      </c>
      <c r="G315" s="7">
        <v>0</v>
      </c>
      <c r="H315" s="7">
        <f t="shared" si="87"/>
        <v>5.7142857142857148E-5</v>
      </c>
      <c r="I315" s="7">
        <f t="shared" si="88"/>
        <v>0</v>
      </c>
      <c r="J315" s="7">
        <f t="shared" si="89"/>
        <v>0</v>
      </c>
      <c r="K315" s="7">
        <f t="shared" si="85"/>
        <v>1.1666666666666668E-4</v>
      </c>
      <c r="L315" s="7">
        <f t="shared" si="86"/>
        <v>1E-4</v>
      </c>
      <c r="M315" s="8">
        <v>0</v>
      </c>
      <c r="N315" s="8">
        <v>0</v>
      </c>
      <c r="O315" s="8">
        <v>0</v>
      </c>
      <c r="P315" s="7">
        <v>1E-4</v>
      </c>
      <c r="Q315" s="8">
        <v>0</v>
      </c>
      <c r="R315" s="7">
        <v>1E-4</v>
      </c>
      <c r="S315" s="8">
        <v>0</v>
      </c>
      <c r="T315" s="7">
        <v>2.0000000000000001E-4</v>
      </c>
      <c r="U315" s="7">
        <v>5.9999999999999995E-4</v>
      </c>
      <c r="V315" s="8">
        <v>0</v>
      </c>
      <c r="W315" s="8">
        <v>0</v>
      </c>
      <c r="X315" s="7">
        <v>0</v>
      </c>
      <c r="Y315" s="8">
        <v>0</v>
      </c>
      <c r="Z315" s="7">
        <v>2.0000000000000001E-4</v>
      </c>
      <c r="AA315" s="7">
        <v>1E-4</v>
      </c>
      <c r="AB315" s="7">
        <v>0</v>
      </c>
      <c r="AC315" s="7">
        <v>2.0000000000000001E-4</v>
      </c>
      <c r="AD315" s="8">
        <v>0</v>
      </c>
      <c r="AE315" s="8">
        <v>0</v>
      </c>
      <c r="AF315" s="8">
        <v>0</v>
      </c>
      <c r="AG315" s="8">
        <v>0</v>
      </c>
      <c r="AH315" s="8">
        <v>0</v>
      </c>
      <c r="AI315" s="8">
        <v>0</v>
      </c>
      <c r="AJ315" s="8">
        <v>0</v>
      </c>
      <c r="AK315" s="8">
        <v>0</v>
      </c>
      <c r="AL315" s="8">
        <v>1E-4</v>
      </c>
      <c r="AM315" s="7">
        <v>0</v>
      </c>
      <c r="AN315" s="8">
        <v>0</v>
      </c>
      <c r="AO315" s="8">
        <v>0</v>
      </c>
      <c r="AP315" s="8">
        <v>0</v>
      </c>
      <c r="AQ315" s="7">
        <v>0</v>
      </c>
      <c r="AR315" s="7">
        <v>2.0000000000000001E-4</v>
      </c>
      <c r="AS315" s="7">
        <v>0</v>
      </c>
      <c r="AT315" s="8">
        <v>0</v>
      </c>
      <c r="AU315" s="8">
        <v>0</v>
      </c>
      <c r="AV315" s="7">
        <v>0</v>
      </c>
      <c r="AW315" s="8">
        <v>0</v>
      </c>
      <c r="AX315" s="7">
        <v>0</v>
      </c>
      <c r="AY315" s="8">
        <v>0</v>
      </c>
      <c r="AZ315" s="8">
        <v>0</v>
      </c>
      <c r="BA315" s="8">
        <v>0</v>
      </c>
      <c r="BB315" s="8">
        <v>0</v>
      </c>
      <c r="BC315" s="8">
        <v>0</v>
      </c>
      <c r="BD315" s="7">
        <v>1E-4</v>
      </c>
      <c r="BE315" s="7">
        <f>VLOOKUP($A315,'1.Sep'!$AC$8:$AE$1048576,3,0)</f>
        <v>2.0000000000000001E-4</v>
      </c>
      <c r="BF315" s="8">
        <v>0</v>
      </c>
      <c r="BG315" s="7">
        <f>VLOOKUP($A315,'3.Sep'!$AC$8:$AE$1048576,3,0)</f>
        <v>1E-4</v>
      </c>
      <c r="BH315" s="8">
        <v>0</v>
      </c>
      <c r="BI315" s="8">
        <f>VLOOKUP($A315,'5.Sep'!$AC$8:$AE$1048576,3,0)</f>
        <v>0</v>
      </c>
      <c r="BJ315" s="8">
        <f>VLOOKUP($A315,'6.Sep'!$AC$8:$AE$1048576,3,0)</f>
        <v>0</v>
      </c>
      <c r="BK315" s="8">
        <f>VLOOKUP($A315,'7.Sep'!$AC$8:$AE$1048576,3,0)</f>
        <v>0</v>
      </c>
      <c r="BL315" s="8">
        <f>VLOOKUP($A315,'8.Sep'!$AC$8:$AE$1048576,3,0)</f>
        <v>0</v>
      </c>
      <c r="BM315" s="8">
        <f>VLOOKUP($A315,'9.Sep'!$AC$8:$AE$1048576,3,0)</f>
        <v>0</v>
      </c>
      <c r="BN315" s="8">
        <f>VLOOKUP($A315,'10.Sep'!$AC$8:$AE$1048576,3,0)</f>
        <v>0</v>
      </c>
      <c r="BO315" s="8">
        <v>0</v>
      </c>
      <c r="BP315" s="8">
        <v>0</v>
      </c>
      <c r="BQ315" s="7">
        <f>VLOOKUP($A315,'13.Sep'!$AC$8:$AE$1048576,3,0)</f>
        <v>0</v>
      </c>
      <c r="BR315" s="7">
        <f>VLOOKUP($A315,'14.Sep'!$AC$8:$AE$1048576,3,0)</f>
        <v>0</v>
      </c>
      <c r="BS315" s="7">
        <f>VLOOKUP($A315,'15.Sep'!$AC$8:$AE$1048576,3,0)</f>
        <v>0</v>
      </c>
      <c r="BT315" s="8">
        <v>0</v>
      </c>
      <c r="BU315" s="7">
        <f>VLOOKUP($A315,'17.Sep'!$AC$8:$AE$1048576,3,0)</f>
        <v>0</v>
      </c>
      <c r="BV315" s="7">
        <f>VLOOKUP($A315,'18.Sep'!$AC$8:$AE$1048576,3,0)</f>
        <v>0</v>
      </c>
      <c r="BW315" s="7">
        <f>VLOOKUP($A315,'19.Sep'!$AC$8:$AE$1048576,3,0)</f>
        <v>2.0000000000000001E-4</v>
      </c>
      <c r="BX315" s="7">
        <f>VLOOKUP($A315,'20.Sep'!$AC$8:$AE$1048576,3,0)</f>
        <v>0</v>
      </c>
      <c r="BY315" s="7">
        <f>VLOOKUP($A315,'21.Sep'!$AC$8:$AE$1048576,3,0)</f>
        <v>2.9999999999999997E-4</v>
      </c>
      <c r="BZ315" s="7">
        <f>VLOOKUP($A315,'22.Sep'!$AC$8:$AE$1048576,3,0)</f>
        <v>1E-4</v>
      </c>
      <c r="CA315" s="8">
        <v>0</v>
      </c>
      <c r="CB315" s="7">
        <f>VLOOKUP($A315,'24.Sep'!$AC$8:$AE$1048576,3,0)</f>
        <v>1E-4</v>
      </c>
      <c r="CC315" s="7">
        <f>VLOOKUP($A315,'24.Sep'!$AC$8:$AE$1048576,3,0)</f>
        <v>1E-4</v>
      </c>
    </row>
    <row r="316" spans="1:81" outlineLevel="1">
      <c r="A316" s="6" t="s">
        <v>87</v>
      </c>
      <c r="B316" s="7">
        <v>0</v>
      </c>
      <c r="C316" s="7">
        <v>1.4285714285714287E-5</v>
      </c>
      <c r="D316" s="7">
        <v>0</v>
      </c>
      <c r="E316" s="7">
        <v>0</v>
      </c>
      <c r="F316" s="7">
        <v>0</v>
      </c>
      <c r="G316" s="7">
        <v>0</v>
      </c>
      <c r="H316" s="7">
        <f t="shared" si="87"/>
        <v>0</v>
      </c>
      <c r="I316" s="7">
        <f t="shared" si="88"/>
        <v>0</v>
      </c>
      <c r="J316" s="7">
        <f t="shared" si="89"/>
        <v>0</v>
      </c>
      <c r="K316" s="7">
        <f t="shared" si="85"/>
        <v>0</v>
      </c>
      <c r="L316" s="7">
        <f t="shared" si="86"/>
        <v>0</v>
      </c>
      <c r="M316" s="8">
        <v>0</v>
      </c>
      <c r="N316" s="8">
        <v>0</v>
      </c>
      <c r="O316" s="8">
        <v>0</v>
      </c>
      <c r="P316" s="8">
        <v>0</v>
      </c>
      <c r="Q316" s="8">
        <v>0</v>
      </c>
      <c r="R316" s="8">
        <v>0</v>
      </c>
      <c r="S316" s="7">
        <v>1E-4</v>
      </c>
      <c r="T316" s="8">
        <v>0</v>
      </c>
      <c r="U316" s="8">
        <v>0</v>
      </c>
      <c r="V316" s="8">
        <v>0</v>
      </c>
      <c r="W316" s="8">
        <v>0</v>
      </c>
      <c r="X316" s="8">
        <v>0</v>
      </c>
      <c r="Y316" s="8">
        <v>0</v>
      </c>
      <c r="Z316" s="8">
        <v>0</v>
      </c>
      <c r="AA316" s="8">
        <v>0</v>
      </c>
      <c r="AB316" s="8">
        <v>0</v>
      </c>
      <c r="AC316" s="8">
        <v>0</v>
      </c>
      <c r="AD316" s="8">
        <v>0</v>
      </c>
      <c r="AE316" s="8">
        <v>0</v>
      </c>
      <c r="AF316" s="8">
        <v>0</v>
      </c>
      <c r="AG316" s="8">
        <v>0</v>
      </c>
      <c r="AH316" s="8">
        <v>0</v>
      </c>
      <c r="AI316" s="8">
        <v>0</v>
      </c>
      <c r="AJ316" s="8">
        <v>0</v>
      </c>
      <c r="AK316" s="8">
        <v>0</v>
      </c>
      <c r="AL316" s="8">
        <v>0</v>
      </c>
      <c r="AM316" s="7">
        <v>0</v>
      </c>
      <c r="AN316" s="8">
        <v>0</v>
      </c>
      <c r="AO316" s="8">
        <v>0</v>
      </c>
      <c r="AP316" s="8">
        <v>0</v>
      </c>
      <c r="AQ316" s="8">
        <v>0</v>
      </c>
      <c r="AR316" s="8">
        <v>0</v>
      </c>
      <c r="AS316" s="7">
        <v>0</v>
      </c>
      <c r="AT316" s="8">
        <v>0</v>
      </c>
      <c r="AU316" s="8">
        <v>0</v>
      </c>
      <c r="AV316" s="8">
        <v>0</v>
      </c>
      <c r="AW316" s="8">
        <v>0</v>
      </c>
      <c r="AX316" s="8">
        <v>0</v>
      </c>
      <c r="AY316" s="8">
        <v>0</v>
      </c>
      <c r="AZ316" s="8">
        <v>0</v>
      </c>
      <c r="BA316" s="8">
        <v>0</v>
      </c>
      <c r="BB316" s="7">
        <v>0</v>
      </c>
      <c r="BC316" s="8">
        <v>0</v>
      </c>
      <c r="BD316" s="8">
        <v>0</v>
      </c>
      <c r="BE316" s="8">
        <v>0</v>
      </c>
      <c r="BF316" s="8">
        <v>0</v>
      </c>
      <c r="BG316" s="7">
        <f>VLOOKUP($A316,'3.Sep'!$AC$8:$AE$1048576,3,0)</f>
        <v>0</v>
      </c>
      <c r="BH316" s="8">
        <v>0</v>
      </c>
      <c r="BI316" s="8">
        <f>VLOOKUP($A316,'5.Sep'!$AC$8:$AE$1048576,3,0)</f>
        <v>0</v>
      </c>
      <c r="BJ316" s="8">
        <v>0</v>
      </c>
      <c r="BK316" s="8">
        <f>VLOOKUP($A316,'7.Sep'!$AC$8:$AE$1048576,3,0)</f>
        <v>0</v>
      </c>
      <c r="BL316" s="8">
        <v>0</v>
      </c>
      <c r="BM316" s="8">
        <v>0</v>
      </c>
      <c r="BN316" s="8">
        <v>0</v>
      </c>
      <c r="BO316" s="8">
        <v>0</v>
      </c>
      <c r="BP316" s="7">
        <f>VLOOKUP($A316,'12.Sep'!$AC$8:$AE$1048576,3,0)</f>
        <v>0</v>
      </c>
      <c r="BQ316" s="7">
        <f>VLOOKUP($A316,'13.Sep'!$AC$8:$AE$1048576,3,0)</f>
        <v>0</v>
      </c>
      <c r="BR316" s="7">
        <f>VLOOKUP($A316,'14.Sep'!$AC$8:$AE$1048576,3,0)</f>
        <v>0</v>
      </c>
      <c r="BS316" s="7">
        <f>VLOOKUP($A316,'15.Sep'!$AC$8:$AE$1048576,3,0)</f>
        <v>0</v>
      </c>
      <c r="BT316" s="7">
        <f>VLOOKUP($A316,'16.Sep'!$AC$8:$AE$1048576,3,0)</f>
        <v>0</v>
      </c>
      <c r="BU316" s="8">
        <v>0</v>
      </c>
      <c r="BV316" s="7">
        <f>VLOOKUP($A316,'18.Sep'!$AC$8:$AE$1048576,3,0)</f>
        <v>0</v>
      </c>
      <c r="BW316" s="8">
        <v>0</v>
      </c>
      <c r="BX316" s="8">
        <v>0</v>
      </c>
      <c r="BY316" s="8">
        <v>0</v>
      </c>
      <c r="BZ316" s="7">
        <f>VLOOKUP($A316,'22.Sep'!$AC$8:$AE$1048576,3,0)</f>
        <v>0</v>
      </c>
      <c r="CA316" s="8">
        <v>0</v>
      </c>
      <c r="CB316" s="7">
        <f>VLOOKUP($A316,'24.Sep'!$AC$8:$AE$1048576,3,0)</f>
        <v>0</v>
      </c>
      <c r="CC316" s="7">
        <f>VLOOKUP($A316,'24.Sep'!$AC$8:$AE$1048576,3,0)</f>
        <v>0</v>
      </c>
    </row>
    <row r="317" spans="1:81" outlineLevel="1">
      <c r="A317" s="6" t="s">
        <v>88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f t="shared" si="87"/>
        <v>0</v>
      </c>
      <c r="I317" s="7">
        <f t="shared" si="88"/>
        <v>0</v>
      </c>
      <c r="J317" s="7">
        <f t="shared" si="89"/>
        <v>0</v>
      </c>
      <c r="K317" s="7">
        <f t="shared" si="85"/>
        <v>0</v>
      </c>
      <c r="L317" s="7">
        <f t="shared" si="86"/>
        <v>0</v>
      </c>
      <c r="M317" s="8">
        <v>0</v>
      </c>
      <c r="N317" s="8">
        <v>0</v>
      </c>
      <c r="O317" s="8">
        <v>0</v>
      </c>
      <c r="P317" s="8">
        <v>0</v>
      </c>
      <c r="Q317" s="8">
        <v>0</v>
      </c>
      <c r="R317" s="8">
        <v>0</v>
      </c>
      <c r="S317" s="8">
        <v>0</v>
      </c>
      <c r="T317" s="8">
        <v>0</v>
      </c>
      <c r="U317" s="8">
        <v>0</v>
      </c>
      <c r="V317" s="8">
        <v>0</v>
      </c>
      <c r="W317" s="8">
        <v>0</v>
      </c>
      <c r="X317" s="8">
        <v>0</v>
      </c>
      <c r="Y317" s="8">
        <v>0</v>
      </c>
      <c r="Z317" s="8">
        <v>0</v>
      </c>
      <c r="AA317" s="8">
        <v>0</v>
      </c>
      <c r="AB317" s="8">
        <v>0</v>
      </c>
      <c r="AC317" s="8">
        <v>0</v>
      </c>
      <c r="AD317" s="8">
        <v>0</v>
      </c>
      <c r="AE317" s="8">
        <v>0</v>
      </c>
      <c r="AF317" s="8">
        <v>0</v>
      </c>
      <c r="AG317" s="8">
        <v>0</v>
      </c>
      <c r="AH317" s="8">
        <v>0</v>
      </c>
      <c r="AI317" s="8">
        <v>0</v>
      </c>
      <c r="AJ317" s="8">
        <v>0</v>
      </c>
      <c r="AK317" s="8">
        <v>0</v>
      </c>
      <c r="AL317" s="8">
        <v>0</v>
      </c>
      <c r="AM317" s="7">
        <v>0</v>
      </c>
      <c r="AN317" s="8">
        <v>0</v>
      </c>
      <c r="AO317" s="8">
        <v>0</v>
      </c>
      <c r="AP317" s="8">
        <v>0</v>
      </c>
      <c r="AQ317" s="8">
        <v>0</v>
      </c>
      <c r="AR317" s="8">
        <v>0</v>
      </c>
      <c r="AS317" s="8">
        <v>0</v>
      </c>
      <c r="AT317" s="8">
        <v>0</v>
      </c>
      <c r="AU317" s="8">
        <v>0</v>
      </c>
      <c r="AV317" s="8">
        <v>0</v>
      </c>
      <c r="AW317" s="8">
        <v>0</v>
      </c>
      <c r="AX317" s="8">
        <v>0</v>
      </c>
      <c r="AY317" s="8">
        <v>0</v>
      </c>
      <c r="AZ317" s="8">
        <v>0</v>
      </c>
      <c r="BA317" s="8">
        <v>0</v>
      </c>
      <c r="BB317" s="8">
        <v>0</v>
      </c>
      <c r="BC317" s="8">
        <v>0</v>
      </c>
      <c r="BD317" s="8">
        <v>0</v>
      </c>
      <c r="BE317" s="8">
        <v>0</v>
      </c>
      <c r="BF317" s="8">
        <v>0</v>
      </c>
      <c r="BG317" s="8">
        <v>0</v>
      </c>
      <c r="BH317" s="8">
        <v>0</v>
      </c>
      <c r="BI317" s="8">
        <v>0</v>
      </c>
      <c r="BJ317" s="8">
        <v>0</v>
      </c>
      <c r="BK317" s="8">
        <v>0</v>
      </c>
      <c r="BL317" s="8">
        <v>0</v>
      </c>
      <c r="BM317" s="8">
        <v>0</v>
      </c>
      <c r="BN317" s="8">
        <v>0</v>
      </c>
      <c r="BO317" s="8">
        <v>0</v>
      </c>
      <c r="BP317" s="8">
        <v>0</v>
      </c>
      <c r="BQ317" s="8">
        <v>0</v>
      </c>
      <c r="BR317" s="8">
        <v>0</v>
      </c>
      <c r="BS317" s="8">
        <v>0</v>
      </c>
      <c r="BT317" s="8">
        <v>0</v>
      </c>
      <c r="BU317" s="8">
        <v>0</v>
      </c>
      <c r="BV317" s="8">
        <v>0</v>
      </c>
      <c r="BW317" s="8">
        <v>0</v>
      </c>
      <c r="BX317" s="8">
        <v>0</v>
      </c>
      <c r="BY317" s="8">
        <v>0</v>
      </c>
      <c r="BZ317" s="8">
        <v>0</v>
      </c>
      <c r="CA317" s="8">
        <v>0</v>
      </c>
      <c r="CB317" s="8">
        <v>0</v>
      </c>
      <c r="CC317" s="8">
        <v>0</v>
      </c>
    </row>
    <row r="318" spans="1:81" outlineLevel="1">
      <c r="A318" s="6" t="s">
        <v>89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f t="shared" si="87"/>
        <v>1.4285714285714287E-5</v>
      </c>
      <c r="I318" s="7">
        <f t="shared" si="88"/>
        <v>0</v>
      </c>
      <c r="J318" s="7">
        <f t="shared" si="89"/>
        <v>0</v>
      </c>
      <c r="K318" s="7">
        <f t="shared" si="85"/>
        <v>0</v>
      </c>
      <c r="L318" s="7">
        <f t="shared" si="86"/>
        <v>0</v>
      </c>
      <c r="M318" s="8">
        <v>0</v>
      </c>
      <c r="N318" s="8">
        <v>0</v>
      </c>
      <c r="O318" s="8">
        <v>0</v>
      </c>
      <c r="P318" s="8">
        <v>0</v>
      </c>
      <c r="Q318" s="8">
        <v>0</v>
      </c>
      <c r="R318" s="8">
        <v>0</v>
      </c>
      <c r="S318" s="8">
        <v>0</v>
      </c>
      <c r="T318" s="8">
        <v>0</v>
      </c>
      <c r="U318" s="8">
        <v>0</v>
      </c>
      <c r="V318" s="8">
        <v>0</v>
      </c>
      <c r="W318" s="8">
        <v>0</v>
      </c>
      <c r="X318" s="8">
        <v>0</v>
      </c>
      <c r="Y318" s="8">
        <v>0</v>
      </c>
      <c r="Z318" s="8">
        <v>0</v>
      </c>
      <c r="AA318" s="8">
        <v>0</v>
      </c>
      <c r="AB318" s="8">
        <v>0</v>
      </c>
      <c r="AC318" s="8">
        <v>0</v>
      </c>
      <c r="AD318" s="8">
        <v>0</v>
      </c>
      <c r="AE318" s="8">
        <v>0</v>
      </c>
      <c r="AF318" s="8">
        <v>0</v>
      </c>
      <c r="AG318" s="8">
        <v>0</v>
      </c>
      <c r="AH318" s="8">
        <v>0</v>
      </c>
      <c r="AI318" s="8">
        <v>0</v>
      </c>
      <c r="AJ318" s="8">
        <v>0</v>
      </c>
      <c r="AK318" s="8">
        <v>0</v>
      </c>
      <c r="AL318" s="8">
        <v>0</v>
      </c>
      <c r="AM318" s="7">
        <v>0</v>
      </c>
      <c r="AN318" s="7">
        <v>0</v>
      </c>
      <c r="AO318" s="7">
        <v>0</v>
      </c>
      <c r="AP318" s="8">
        <v>0</v>
      </c>
      <c r="AQ318" s="8">
        <v>0</v>
      </c>
      <c r="AR318" s="8">
        <v>0</v>
      </c>
      <c r="AS318" s="8">
        <v>0</v>
      </c>
      <c r="AT318" s="8">
        <v>0</v>
      </c>
      <c r="AU318" s="7">
        <v>0</v>
      </c>
      <c r="AV318" s="8">
        <v>0</v>
      </c>
      <c r="AW318" s="8">
        <v>0</v>
      </c>
      <c r="AX318" s="8">
        <v>0</v>
      </c>
      <c r="AY318" s="8">
        <v>0</v>
      </c>
      <c r="AZ318" s="7">
        <v>0</v>
      </c>
      <c r="BA318" s="8">
        <v>0</v>
      </c>
      <c r="BB318" s="7">
        <v>0</v>
      </c>
      <c r="BC318" s="7">
        <v>0</v>
      </c>
      <c r="BD318" s="7">
        <v>1E-4</v>
      </c>
      <c r="BE318" s="8">
        <v>0</v>
      </c>
      <c r="BF318" s="8">
        <v>0</v>
      </c>
      <c r="BG318" s="8">
        <v>0</v>
      </c>
      <c r="BH318" s="8">
        <v>0</v>
      </c>
      <c r="BI318" s="8">
        <f>VLOOKUP($A318,'5.Sep'!$AC$8:$AE$1048576,3,0)</f>
        <v>0</v>
      </c>
      <c r="BJ318" s="8">
        <f>VLOOKUP($A318,'6.Sep'!$AC$8:$AE$1048576,3,0)</f>
        <v>0</v>
      </c>
      <c r="BK318" s="8">
        <f>VLOOKUP($A318,'7.Sep'!$AC$8:$AE$1048576,3,0)</f>
        <v>0</v>
      </c>
      <c r="BL318" s="8">
        <f>VLOOKUP($A318,'8.Sep'!$AC$8:$AE$1048576,3,0)</f>
        <v>0</v>
      </c>
      <c r="BM318" s="8">
        <v>0</v>
      </c>
      <c r="BN318" s="8">
        <f>VLOOKUP($A318,'10.Sep'!$AC$8:$AE$1048576,3,0)</f>
        <v>0</v>
      </c>
      <c r="BO318" s="8">
        <f>VLOOKUP($A318,'11.Sep'!$AC$8:$AE$1048576,3,0)</f>
        <v>0</v>
      </c>
      <c r="BP318" s="7">
        <f>VLOOKUP($A318,'12.Sep'!$AC$8:$AE$1048576,3,0)</f>
        <v>0</v>
      </c>
      <c r="BQ318" s="7">
        <f>VLOOKUP($A318,'13.Sep'!$AC$8:$AE$1048576,3,0)</f>
        <v>0</v>
      </c>
      <c r="BR318" s="8">
        <v>0</v>
      </c>
      <c r="BS318" s="7">
        <f>VLOOKUP($A318,'15.Sep'!$AC$8:$AE$1048576,3,0)</f>
        <v>0</v>
      </c>
      <c r="BT318" s="7">
        <f>VLOOKUP($A318,'16.Sep'!$AC$8:$AE$1048576,3,0)</f>
        <v>0</v>
      </c>
      <c r="BU318" s="8">
        <v>0</v>
      </c>
      <c r="BV318" s="8">
        <v>0</v>
      </c>
      <c r="BW318" s="8">
        <v>0</v>
      </c>
      <c r="BX318" s="7">
        <f>VLOOKUP($A318,'20.Sep'!$AC$8:$AE$1048576,3,0)</f>
        <v>0</v>
      </c>
      <c r="BY318" s="8">
        <v>0</v>
      </c>
      <c r="BZ318" s="8">
        <v>0</v>
      </c>
      <c r="CA318" s="7">
        <f>VLOOKUP($A318,'23.Sep'!$AC$8:$AE$1048576,3,0)</f>
        <v>0</v>
      </c>
      <c r="CB318" s="7">
        <f>VLOOKUP($A318,'24.Sep'!$AC$8:$AE$1048576,3,0)</f>
        <v>0</v>
      </c>
      <c r="CC318" s="7">
        <f>VLOOKUP($A318,'24.Sep'!$AC$8:$AE$1048576,3,0)</f>
        <v>0</v>
      </c>
    </row>
    <row r="319" spans="1:81" outlineLevel="1">
      <c r="A319" s="6" t="s">
        <v>90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f t="shared" si="87"/>
        <v>0</v>
      </c>
      <c r="I319" s="7">
        <f t="shared" si="88"/>
        <v>0</v>
      </c>
      <c r="J319" s="7">
        <f t="shared" si="89"/>
        <v>0</v>
      </c>
      <c r="K319" s="7">
        <f t="shared" si="85"/>
        <v>0</v>
      </c>
      <c r="L319" s="7">
        <f t="shared" si="86"/>
        <v>0</v>
      </c>
      <c r="M319" s="8">
        <v>0</v>
      </c>
      <c r="N319" s="8">
        <v>0</v>
      </c>
      <c r="O319" s="8">
        <v>0</v>
      </c>
      <c r="P319" s="8">
        <v>0</v>
      </c>
      <c r="Q319" s="8">
        <v>0</v>
      </c>
      <c r="R319" s="8">
        <v>0</v>
      </c>
      <c r="S319" s="8">
        <v>0</v>
      </c>
      <c r="T319" s="8">
        <v>0</v>
      </c>
      <c r="U319" s="8">
        <v>0</v>
      </c>
      <c r="V319" s="8">
        <v>0</v>
      </c>
      <c r="W319" s="8">
        <v>0</v>
      </c>
      <c r="X319" s="8">
        <v>0</v>
      </c>
      <c r="Y319" s="8">
        <v>0</v>
      </c>
      <c r="Z319" s="8">
        <v>0</v>
      </c>
      <c r="AA319" s="8">
        <v>0</v>
      </c>
      <c r="AB319" s="8">
        <v>0</v>
      </c>
      <c r="AC319" s="8">
        <v>0</v>
      </c>
      <c r="AD319" s="8">
        <v>0</v>
      </c>
      <c r="AE319" s="8">
        <v>0</v>
      </c>
      <c r="AF319" s="8">
        <v>0</v>
      </c>
      <c r="AG319" s="8">
        <v>0</v>
      </c>
      <c r="AH319" s="8">
        <v>0</v>
      </c>
      <c r="AI319" s="8">
        <v>0</v>
      </c>
      <c r="AJ319" s="8">
        <v>0</v>
      </c>
      <c r="AK319" s="8">
        <v>0</v>
      </c>
      <c r="AL319" s="8">
        <v>0</v>
      </c>
      <c r="AM319" s="7">
        <v>0</v>
      </c>
      <c r="AN319" s="8">
        <v>0</v>
      </c>
      <c r="AO319" s="8">
        <v>0</v>
      </c>
      <c r="AP319" s="8">
        <v>0</v>
      </c>
      <c r="AQ319" s="8">
        <v>0</v>
      </c>
      <c r="AR319" s="8">
        <v>0</v>
      </c>
      <c r="AS319" s="8">
        <v>0</v>
      </c>
      <c r="AT319" s="8">
        <v>0</v>
      </c>
      <c r="AU319" s="8">
        <v>0</v>
      </c>
      <c r="AV319" s="8">
        <v>0</v>
      </c>
      <c r="AW319" s="8">
        <v>0</v>
      </c>
      <c r="AX319" s="8">
        <v>0</v>
      </c>
      <c r="AY319" s="8">
        <v>0</v>
      </c>
      <c r="AZ319" s="8">
        <v>0</v>
      </c>
      <c r="BA319" s="8">
        <v>0</v>
      </c>
      <c r="BB319" s="8">
        <v>0</v>
      </c>
      <c r="BC319" s="8">
        <v>0</v>
      </c>
      <c r="BD319" s="8">
        <v>0</v>
      </c>
      <c r="BE319" s="8">
        <v>0</v>
      </c>
      <c r="BF319" s="8">
        <v>0</v>
      </c>
      <c r="BG319" s="8">
        <v>0</v>
      </c>
      <c r="BH319" s="8">
        <v>0</v>
      </c>
      <c r="BI319" s="8">
        <v>0</v>
      </c>
      <c r="BJ319" s="8">
        <v>0</v>
      </c>
      <c r="BK319" s="8">
        <v>0</v>
      </c>
      <c r="BL319" s="8">
        <v>0</v>
      </c>
      <c r="BM319" s="8">
        <v>0</v>
      </c>
      <c r="BN319" s="8">
        <v>0</v>
      </c>
      <c r="BO319" s="8">
        <v>0</v>
      </c>
      <c r="BP319" s="8">
        <v>0</v>
      </c>
      <c r="BQ319" s="8">
        <v>0</v>
      </c>
      <c r="BR319" s="8">
        <v>0</v>
      </c>
      <c r="BS319" s="8">
        <v>0</v>
      </c>
      <c r="BT319" s="8">
        <v>0</v>
      </c>
      <c r="BU319" s="8">
        <v>0</v>
      </c>
      <c r="BV319" s="7">
        <f>VLOOKUP($A319,'18.Sep'!$AC$8:$AE$1048576,3,0)</f>
        <v>0</v>
      </c>
      <c r="BW319" s="8">
        <v>0</v>
      </c>
      <c r="BX319" s="8">
        <v>0</v>
      </c>
      <c r="BY319" s="8">
        <v>0</v>
      </c>
      <c r="BZ319" s="7">
        <f>VLOOKUP($A319,'22.Sep'!$AC$8:$AE$1048576,3,0)</f>
        <v>0</v>
      </c>
      <c r="CA319" s="8">
        <v>0</v>
      </c>
      <c r="CB319" s="8">
        <v>0</v>
      </c>
      <c r="CC319" s="8">
        <v>0</v>
      </c>
    </row>
    <row r="320" spans="1:81" outlineLevel="1">
      <c r="A320" s="6" t="s">
        <v>91</v>
      </c>
      <c r="B320" s="7">
        <v>0</v>
      </c>
      <c r="C320" s="7">
        <v>1.4285714285714287E-5</v>
      </c>
      <c r="D320" s="7">
        <v>0</v>
      </c>
      <c r="E320" s="7">
        <v>0</v>
      </c>
      <c r="F320" s="7">
        <v>0</v>
      </c>
      <c r="G320" s="7">
        <v>0</v>
      </c>
      <c r="H320" s="7">
        <f t="shared" si="87"/>
        <v>0</v>
      </c>
      <c r="I320" s="7">
        <f t="shared" si="88"/>
        <v>0</v>
      </c>
      <c r="J320" s="7">
        <f t="shared" si="89"/>
        <v>0</v>
      </c>
      <c r="K320" s="7">
        <f t="shared" si="85"/>
        <v>0</v>
      </c>
      <c r="L320" s="7">
        <f t="shared" si="86"/>
        <v>0</v>
      </c>
      <c r="M320" s="8">
        <v>0</v>
      </c>
      <c r="N320" s="8">
        <v>0</v>
      </c>
      <c r="O320" s="8">
        <v>0</v>
      </c>
      <c r="P320" s="8">
        <v>0</v>
      </c>
      <c r="Q320" s="8">
        <v>0</v>
      </c>
      <c r="R320" s="8">
        <v>0</v>
      </c>
      <c r="S320" s="8">
        <v>0</v>
      </c>
      <c r="T320" s="8">
        <v>0</v>
      </c>
      <c r="U320" s="8">
        <v>0</v>
      </c>
      <c r="V320" s="8">
        <v>0</v>
      </c>
      <c r="W320" s="8">
        <v>0</v>
      </c>
      <c r="X320" s="8">
        <v>0</v>
      </c>
      <c r="Y320" s="7">
        <v>1E-4</v>
      </c>
      <c r="Z320" s="7">
        <v>0</v>
      </c>
      <c r="AA320" s="8">
        <v>0</v>
      </c>
      <c r="AB320" s="7">
        <v>0</v>
      </c>
      <c r="AC320" s="8">
        <v>0</v>
      </c>
      <c r="AD320" s="7">
        <v>0</v>
      </c>
      <c r="AE320" s="7">
        <v>0</v>
      </c>
      <c r="AF320" s="8">
        <v>0</v>
      </c>
      <c r="AG320" s="8">
        <v>0</v>
      </c>
      <c r="AH320" s="8">
        <v>0</v>
      </c>
      <c r="AI320" s="8">
        <v>0</v>
      </c>
      <c r="AJ320" s="8">
        <v>0</v>
      </c>
      <c r="AK320" s="8">
        <v>0</v>
      </c>
      <c r="AL320" s="8">
        <v>0</v>
      </c>
      <c r="AM320" s="7">
        <v>0</v>
      </c>
      <c r="AN320" s="7">
        <v>0</v>
      </c>
      <c r="AO320" s="8">
        <v>0</v>
      </c>
      <c r="AP320" s="8">
        <v>0</v>
      </c>
      <c r="AQ320" s="8">
        <v>0</v>
      </c>
      <c r="AR320" s="8">
        <v>0</v>
      </c>
      <c r="AS320" s="7">
        <v>0</v>
      </c>
      <c r="AT320" s="8">
        <v>0</v>
      </c>
      <c r="AU320" s="8">
        <v>0</v>
      </c>
      <c r="AV320" s="7">
        <v>0</v>
      </c>
      <c r="AW320" s="8">
        <v>0</v>
      </c>
      <c r="AX320" s="8">
        <v>0</v>
      </c>
      <c r="AY320" s="8">
        <v>0</v>
      </c>
      <c r="AZ320" s="7">
        <v>0</v>
      </c>
      <c r="BA320" s="8">
        <v>0</v>
      </c>
      <c r="BB320" s="8">
        <v>0</v>
      </c>
      <c r="BC320" s="7">
        <v>0</v>
      </c>
      <c r="BD320" s="8">
        <v>0</v>
      </c>
      <c r="BE320" s="8">
        <v>0</v>
      </c>
      <c r="BF320" s="8">
        <v>0</v>
      </c>
      <c r="BG320" s="8">
        <v>0</v>
      </c>
      <c r="BH320" s="8">
        <v>0</v>
      </c>
      <c r="BI320" s="8">
        <v>0</v>
      </c>
      <c r="BJ320" s="8">
        <v>0</v>
      </c>
      <c r="BK320" s="8">
        <v>0</v>
      </c>
      <c r="BL320" s="8">
        <v>0</v>
      </c>
      <c r="BM320" s="8">
        <v>0</v>
      </c>
      <c r="BN320" s="8">
        <f>VLOOKUP($A320,'10.Sep'!$AC$8:$AE$1048576,3,0)</f>
        <v>0</v>
      </c>
      <c r="BO320" s="8">
        <v>0</v>
      </c>
      <c r="BP320" s="8">
        <v>0</v>
      </c>
      <c r="BQ320" s="8">
        <v>0</v>
      </c>
      <c r="BR320" s="8">
        <v>0</v>
      </c>
      <c r="BS320" s="7">
        <f>VLOOKUP($A320,'15.Sep'!$AC$8:$AE$1048576,3,0)</f>
        <v>0</v>
      </c>
      <c r="BT320" s="7">
        <f>VLOOKUP($A320,'16.Sep'!$AC$8:$AE$1048576,3,0)</f>
        <v>0</v>
      </c>
      <c r="BU320" s="8">
        <v>0</v>
      </c>
      <c r="BV320" s="7">
        <f>VLOOKUP($A320,'18.Sep'!$AC$8:$AE$1048576,3,0)</f>
        <v>0</v>
      </c>
      <c r="BW320" s="8">
        <v>0</v>
      </c>
      <c r="BX320" s="8">
        <v>0</v>
      </c>
      <c r="BY320" s="8">
        <v>0</v>
      </c>
      <c r="BZ320" s="8">
        <v>0</v>
      </c>
      <c r="CA320" s="7">
        <f>VLOOKUP($A320,'23.Sep'!$AC$8:$AE$1048576,3,0)</f>
        <v>0</v>
      </c>
      <c r="CB320" s="7">
        <f>VLOOKUP($A320,'24.Sep'!$AC$8:$AE$1048576,3,0)</f>
        <v>0</v>
      </c>
      <c r="CC320" s="7">
        <f>VLOOKUP($A320,'24.Sep'!$AC$8:$AE$1048576,3,0)</f>
        <v>0</v>
      </c>
    </row>
    <row r="321" spans="1:81" outlineLevel="1">
      <c r="A321" s="6" t="s">
        <v>92</v>
      </c>
      <c r="B321" s="7">
        <v>1.3333333333333334E-4</v>
      </c>
      <c r="C321" s="7">
        <v>7.1428571428571434E-5</v>
      </c>
      <c r="D321" s="7">
        <v>0</v>
      </c>
      <c r="E321" s="7">
        <v>1.4285714285714287E-5</v>
      </c>
      <c r="F321" s="7">
        <v>0</v>
      </c>
      <c r="G321" s="7">
        <v>0</v>
      </c>
      <c r="H321" s="7">
        <f t="shared" si="87"/>
        <v>0</v>
      </c>
      <c r="I321" s="7">
        <f t="shared" si="88"/>
        <v>0</v>
      </c>
      <c r="J321" s="7">
        <f t="shared" si="89"/>
        <v>0</v>
      </c>
      <c r="K321" s="7">
        <f t="shared" si="85"/>
        <v>0</v>
      </c>
      <c r="L321" s="7">
        <f t="shared" si="86"/>
        <v>0</v>
      </c>
      <c r="M321" s="8">
        <v>0</v>
      </c>
      <c r="N321" s="7">
        <v>2.0000000000000001E-4</v>
      </c>
      <c r="O321" s="8">
        <v>0</v>
      </c>
      <c r="P321" s="7">
        <v>2.9999999999999997E-4</v>
      </c>
      <c r="Q321" s="7">
        <v>1E-4</v>
      </c>
      <c r="R321" s="7">
        <v>2.0000000000000001E-4</v>
      </c>
      <c r="S321" s="7">
        <v>2.9999999999999997E-4</v>
      </c>
      <c r="T321" s="7">
        <v>2.0000000000000001E-4</v>
      </c>
      <c r="U321" s="8">
        <v>0</v>
      </c>
      <c r="V321" s="8">
        <v>0</v>
      </c>
      <c r="W321" s="8">
        <v>0</v>
      </c>
      <c r="X321" s="7">
        <v>0</v>
      </c>
      <c r="Y321" s="8">
        <v>0</v>
      </c>
      <c r="Z321" s="8">
        <v>0</v>
      </c>
      <c r="AA321" s="8">
        <v>0</v>
      </c>
      <c r="AB321" s="7">
        <v>0</v>
      </c>
      <c r="AC321" s="7">
        <v>0</v>
      </c>
      <c r="AD321" s="8">
        <v>0</v>
      </c>
      <c r="AE321" s="8">
        <v>0</v>
      </c>
      <c r="AF321" s="8">
        <v>0</v>
      </c>
      <c r="AG321" s="8">
        <v>0</v>
      </c>
      <c r="AH321" s="8">
        <v>0</v>
      </c>
      <c r="AI321" s="8">
        <v>0</v>
      </c>
      <c r="AJ321" s="8">
        <v>0</v>
      </c>
      <c r="AK321" s="8">
        <v>0</v>
      </c>
      <c r="AL321" s="8">
        <v>1E-4</v>
      </c>
      <c r="AM321" s="7">
        <v>0</v>
      </c>
      <c r="AN321" s="7">
        <v>0</v>
      </c>
      <c r="AO321" s="7">
        <v>0</v>
      </c>
      <c r="AP321" s="8">
        <v>0</v>
      </c>
      <c r="AQ321" s="8">
        <v>0</v>
      </c>
      <c r="AR321" s="8">
        <v>0</v>
      </c>
      <c r="AS321" s="7">
        <v>0</v>
      </c>
      <c r="AT321" s="8">
        <v>0</v>
      </c>
      <c r="AU321" s="8">
        <v>0</v>
      </c>
      <c r="AV321" s="7">
        <v>0</v>
      </c>
      <c r="AW321" s="7">
        <v>0</v>
      </c>
      <c r="AX321" s="8">
        <v>0</v>
      </c>
      <c r="AY321" s="8">
        <v>0</v>
      </c>
      <c r="AZ321" s="7">
        <v>0</v>
      </c>
      <c r="BA321" s="8">
        <v>0</v>
      </c>
      <c r="BB321" s="7">
        <v>0</v>
      </c>
      <c r="BC321" s="8">
        <v>0</v>
      </c>
      <c r="BD321" s="8">
        <v>0</v>
      </c>
      <c r="BE321" s="7">
        <f>VLOOKUP($A321,'1.Sep'!$AC$8:$AE$1048576,3,0)</f>
        <v>0</v>
      </c>
      <c r="BF321" s="8">
        <v>0</v>
      </c>
      <c r="BG321" s="8">
        <v>0</v>
      </c>
      <c r="BH321" s="8">
        <f>VLOOKUP($A321,'4.Sep'!$AC$8:$AE$1048576,3,0)</f>
        <v>0</v>
      </c>
      <c r="BI321" s="8">
        <v>0</v>
      </c>
      <c r="BJ321" s="8">
        <f>VLOOKUP($A321,'6.Sep'!$AC$8:$AE$1048576,3,0)</f>
        <v>0</v>
      </c>
      <c r="BK321" s="8">
        <f>VLOOKUP($A321,'7.Sep'!$AC$8:$AE$1048576,3,0)</f>
        <v>0</v>
      </c>
      <c r="BL321" s="8">
        <v>0</v>
      </c>
      <c r="BM321" s="8">
        <f>VLOOKUP($A321,'9.Sep'!$AC$8:$AE$1048576,3,0)</f>
        <v>0</v>
      </c>
      <c r="BN321" s="8">
        <v>0</v>
      </c>
      <c r="BO321" s="8">
        <v>0</v>
      </c>
      <c r="BP321" s="8">
        <v>0</v>
      </c>
      <c r="BQ321" s="8">
        <v>0</v>
      </c>
      <c r="BR321" s="8">
        <v>0</v>
      </c>
      <c r="BS321" s="8">
        <v>0</v>
      </c>
      <c r="BT321" s="8">
        <v>0</v>
      </c>
      <c r="BU321" s="8">
        <v>0</v>
      </c>
      <c r="BV321" s="8">
        <v>0</v>
      </c>
      <c r="BW321" s="8">
        <v>0</v>
      </c>
      <c r="BX321" s="8">
        <v>0</v>
      </c>
      <c r="BY321" s="7">
        <f>VLOOKUP($A321,'21.Sep'!$AC$8:$AE$1048576,3,0)</f>
        <v>0</v>
      </c>
      <c r="BZ321" s="8">
        <v>0</v>
      </c>
      <c r="CA321" s="7">
        <f>VLOOKUP($A321,'23.Sep'!$AC$8:$AE$1048576,3,0)</f>
        <v>0</v>
      </c>
      <c r="CB321" s="7">
        <f>VLOOKUP($A321,'24.Sep'!$AC$8:$AE$1048576,3,0)</f>
        <v>0</v>
      </c>
      <c r="CC321" s="7">
        <f>VLOOKUP($A321,'24.Sep'!$AC$8:$AE$1048576,3,0)</f>
        <v>0</v>
      </c>
    </row>
    <row r="322" spans="1:81" outlineLevel="1">
      <c r="A322" s="6" t="s">
        <v>93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f t="shared" si="87"/>
        <v>0</v>
      </c>
      <c r="I322" s="7">
        <f t="shared" si="88"/>
        <v>0</v>
      </c>
      <c r="J322" s="7">
        <f t="shared" si="89"/>
        <v>0</v>
      </c>
      <c r="K322" s="7">
        <f t="shared" si="85"/>
        <v>0</v>
      </c>
      <c r="L322" s="7">
        <f t="shared" si="86"/>
        <v>0</v>
      </c>
      <c r="M322" s="8">
        <v>0</v>
      </c>
      <c r="N322" s="8">
        <v>0</v>
      </c>
      <c r="O322" s="8">
        <v>0</v>
      </c>
      <c r="P322" s="8">
        <v>0</v>
      </c>
      <c r="Q322" s="8">
        <v>0</v>
      </c>
      <c r="R322" s="8">
        <v>0</v>
      </c>
      <c r="S322" s="8">
        <v>0</v>
      </c>
      <c r="T322" s="8">
        <v>0</v>
      </c>
      <c r="U322" s="8">
        <v>0</v>
      </c>
      <c r="V322" s="8">
        <v>0</v>
      </c>
      <c r="W322" s="8">
        <v>0</v>
      </c>
      <c r="X322" s="8">
        <v>0</v>
      </c>
      <c r="Y322" s="8">
        <v>0</v>
      </c>
      <c r="Z322" s="8">
        <v>0</v>
      </c>
      <c r="AA322" s="8">
        <v>0</v>
      </c>
      <c r="AB322" s="8">
        <v>0</v>
      </c>
      <c r="AC322" s="8">
        <v>0</v>
      </c>
      <c r="AD322" s="8">
        <v>0</v>
      </c>
      <c r="AE322" s="8">
        <v>0</v>
      </c>
      <c r="AF322" s="8">
        <v>0</v>
      </c>
      <c r="AG322" s="8">
        <v>0</v>
      </c>
      <c r="AH322" s="8">
        <v>0</v>
      </c>
      <c r="AI322" s="8">
        <v>0</v>
      </c>
      <c r="AJ322" s="8">
        <v>0</v>
      </c>
      <c r="AK322" s="8">
        <v>0</v>
      </c>
      <c r="AL322" s="8">
        <v>0</v>
      </c>
      <c r="AM322" s="7">
        <v>0</v>
      </c>
      <c r="AN322" s="8">
        <v>0</v>
      </c>
      <c r="AO322" s="8">
        <v>0</v>
      </c>
      <c r="AP322" s="8">
        <v>0</v>
      </c>
      <c r="AQ322" s="8">
        <v>0</v>
      </c>
      <c r="AR322" s="8">
        <v>0</v>
      </c>
      <c r="AS322" s="8">
        <v>0</v>
      </c>
      <c r="AT322" s="8">
        <v>0</v>
      </c>
      <c r="AU322" s="8">
        <v>0</v>
      </c>
      <c r="AV322" s="8">
        <v>0</v>
      </c>
      <c r="AW322" s="8">
        <v>0</v>
      </c>
      <c r="AX322" s="8">
        <v>0</v>
      </c>
      <c r="AY322" s="7">
        <v>0</v>
      </c>
      <c r="AZ322" s="8">
        <v>0</v>
      </c>
      <c r="BA322" s="8">
        <v>0</v>
      </c>
      <c r="BB322" s="8">
        <v>0</v>
      </c>
      <c r="BC322" s="7">
        <v>0</v>
      </c>
      <c r="BD322" s="8">
        <v>0</v>
      </c>
      <c r="BE322" s="8">
        <v>0</v>
      </c>
      <c r="BF322" s="7">
        <f>VLOOKUP($A322,'2.Sep'!$AC$8:$AE$1048576,3,0)</f>
        <v>0</v>
      </c>
      <c r="BG322" s="8">
        <v>0</v>
      </c>
      <c r="BH322" s="8">
        <f>VLOOKUP($A322,'4.Sep'!$AC$8:$AE$1048576,3,0)</f>
        <v>0</v>
      </c>
      <c r="BI322" s="8">
        <v>0</v>
      </c>
      <c r="BJ322" s="8">
        <f>VLOOKUP($A322,'6.Sep'!$AC$8:$AE$1048576,3,0)</f>
        <v>0</v>
      </c>
      <c r="BK322" s="8">
        <v>0</v>
      </c>
      <c r="BL322" s="8">
        <v>0</v>
      </c>
      <c r="BM322" s="8">
        <v>0</v>
      </c>
      <c r="BN322" s="8">
        <v>0</v>
      </c>
      <c r="BO322" s="8">
        <v>0</v>
      </c>
      <c r="BP322" s="8">
        <v>0</v>
      </c>
      <c r="BQ322" s="8">
        <v>0</v>
      </c>
      <c r="BR322" s="8">
        <v>0</v>
      </c>
      <c r="BS322" s="8">
        <v>0</v>
      </c>
      <c r="BT322" s="8">
        <v>0</v>
      </c>
      <c r="BU322" s="8">
        <v>0</v>
      </c>
      <c r="BV322" s="8">
        <v>0</v>
      </c>
      <c r="BW322" s="8">
        <v>0</v>
      </c>
      <c r="BX322" s="8">
        <v>0</v>
      </c>
      <c r="BY322" s="8">
        <v>0</v>
      </c>
      <c r="BZ322" s="8">
        <v>0</v>
      </c>
      <c r="CA322" s="8">
        <v>0</v>
      </c>
      <c r="CB322" s="8">
        <v>0</v>
      </c>
      <c r="CC322" s="8">
        <v>0</v>
      </c>
    </row>
    <row r="323" spans="1:81" outlineLevel="1">
      <c r="A323" s="6" t="s">
        <v>84</v>
      </c>
      <c r="B323" s="7">
        <v>1.6666666666666667E-5</v>
      </c>
      <c r="C323" s="7">
        <v>4.2857142857142863E-5</v>
      </c>
      <c r="D323" s="7">
        <v>1.4285714285714287E-5</v>
      </c>
      <c r="E323" s="7">
        <v>1.4285714285714287E-5</v>
      </c>
      <c r="F323" s="7">
        <v>1.4285714285714287E-5</v>
      </c>
      <c r="G323" s="7">
        <v>0</v>
      </c>
      <c r="H323" s="7">
        <f t="shared" si="87"/>
        <v>0</v>
      </c>
      <c r="I323" s="7">
        <f t="shared" si="88"/>
        <v>1.4285714285714287E-5</v>
      </c>
      <c r="J323" s="7">
        <f t="shared" si="89"/>
        <v>0</v>
      </c>
      <c r="K323" s="7">
        <f t="shared" si="85"/>
        <v>0</v>
      </c>
      <c r="L323" s="7">
        <f t="shared" si="86"/>
        <v>0</v>
      </c>
      <c r="M323" s="8">
        <v>0</v>
      </c>
      <c r="N323" s="8">
        <v>0</v>
      </c>
      <c r="O323" s="8">
        <v>0</v>
      </c>
      <c r="P323" s="8">
        <v>0</v>
      </c>
      <c r="Q323" s="7">
        <v>1E-4</v>
      </c>
      <c r="R323" s="8">
        <v>0</v>
      </c>
      <c r="S323" s="7">
        <v>1E-4</v>
      </c>
      <c r="T323" s="8">
        <v>0</v>
      </c>
      <c r="U323" s="8">
        <v>0</v>
      </c>
      <c r="V323" s="8">
        <v>0</v>
      </c>
      <c r="W323" s="7">
        <v>2.0000000000000001E-4</v>
      </c>
      <c r="X323" s="7">
        <v>0</v>
      </c>
      <c r="Y323" s="8">
        <v>0</v>
      </c>
      <c r="Z323" s="8">
        <v>0</v>
      </c>
      <c r="AA323" s="7">
        <v>0</v>
      </c>
      <c r="AB323" s="7">
        <v>1E-4</v>
      </c>
      <c r="AC323" s="8">
        <v>0</v>
      </c>
      <c r="AD323" s="7">
        <v>0</v>
      </c>
      <c r="AE323" s="8">
        <v>0</v>
      </c>
      <c r="AF323" s="8">
        <v>0</v>
      </c>
      <c r="AG323" s="8">
        <v>1E-4</v>
      </c>
      <c r="AH323" s="8">
        <v>0</v>
      </c>
      <c r="AI323" s="8">
        <v>0</v>
      </c>
      <c r="AJ323" s="8">
        <v>0</v>
      </c>
      <c r="AK323" s="8">
        <v>0</v>
      </c>
      <c r="AL323" s="8">
        <v>0</v>
      </c>
      <c r="AM323" s="7">
        <v>0</v>
      </c>
      <c r="AN323" s="7">
        <v>0</v>
      </c>
      <c r="AO323" s="7">
        <v>1E-4</v>
      </c>
      <c r="AP323" s="8">
        <v>0</v>
      </c>
      <c r="AQ323" s="8">
        <v>0</v>
      </c>
      <c r="AR323" s="7">
        <v>0</v>
      </c>
      <c r="AS323" s="7">
        <v>0</v>
      </c>
      <c r="AT323" s="8">
        <v>0</v>
      </c>
      <c r="AU323" s="8">
        <v>0</v>
      </c>
      <c r="AV323" s="8">
        <v>0</v>
      </c>
      <c r="AW323" s="7">
        <v>0</v>
      </c>
      <c r="AX323" s="7">
        <v>0</v>
      </c>
      <c r="AY323" s="7">
        <v>0</v>
      </c>
      <c r="AZ323" s="8">
        <v>0</v>
      </c>
      <c r="BA323" s="8">
        <v>0</v>
      </c>
      <c r="BB323" s="8">
        <v>0</v>
      </c>
      <c r="BC323" s="8">
        <v>0</v>
      </c>
      <c r="BD323" s="8">
        <v>0</v>
      </c>
      <c r="BE323" s="8">
        <v>0</v>
      </c>
      <c r="BF323" s="7">
        <f>VLOOKUP($A323,'2.Sep'!$AC$8:$AE$1048576,3,0)</f>
        <v>0</v>
      </c>
      <c r="BG323" s="7">
        <f>VLOOKUP($A323,'3.Sep'!$AC$8:$AE$1048576,3,0)</f>
        <v>0</v>
      </c>
      <c r="BH323" s="8">
        <v>0</v>
      </c>
      <c r="BI323" s="8">
        <f>VLOOKUP($A323,'5.Sep'!$AC$8:$AE$1048576,3,0)</f>
        <v>0</v>
      </c>
      <c r="BJ323" s="8">
        <f>VLOOKUP($A323,'6.Sep'!$AC$8:$AE$1048576,3,0)</f>
        <v>1E-4</v>
      </c>
      <c r="BK323" s="8">
        <f>VLOOKUP($A323,'7.Sep'!$AC$8:$AE$1048576,3,0)</f>
        <v>0</v>
      </c>
      <c r="BL323" s="8">
        <f>VLOOKUP($A323,'8.Sep'!$AC$8:$AE$1048576,3,0)</f>
        <v>0</v>
      </c>
      <c r="BM323" s="8">
        <f>VLOOKUP($A323,'9.Sep'!$AC$8:$AE$1048576,3,0)</f>
        <v>0</v>
      </c>
      <c r="BN323" s="8">
        <v>0</v>
      </c>
      <c r="BO323" s="8">
        <v>0</v>
      </c>
      <c r="BP323" s="7">
        <f>VLOOKUP($A323,'12.Sep'!$AC$8:$AE$1048576,3,0)</f>
        <v>0</v>
      </c>
      <c r="BQ323" s="7">
        <f>VLOOKUP($A323,'13.Sep'!$AC$8:$AE$1048576,3,0)</f>
        <v>0</v>
      </c>
      <c r="BR323" s="8">
        <v>0</v>
      </c>
      <c r="BS323" s="8">
        <v>0</v>
      </c>
      <c r="BT323" s="8">
        <v>0</v>
      </c>
      <c r="BU323" s="7">
        <f>VLOOKUP($A323,'17.Sep'!$AC$8:$AE$1048576,3,0)</f>
        <v>0</v>
      </c>
      <c r="BV323" s="8">
        <v>0</v>
      </c>
      <c r="BW323" s="7">
        <f>VLOOKUP($A323,'19.Sep'!$AC$8:$AE$1048576,3,0)</f>
        <v>0</v>
      </c>
      <c r="BX323" s="8">
        <v>0</v>
      </c>
      <c r="BY323" s="8">
        <v>0</v>
      </c>
      <c r="BZ323" s="7">
        <f>VLOOKUP($A323,'22.Sep'!$AC$8:$AE$1048576,3,0)</f>
        <v>0</v>
      </c>
      <c r="CA323" s="7">
        <f>VLOOKUP($A323,'23.Sep'!$AC$8:$AE$1048576,3,0)</f>
        <v>0</v>
      </c>
      <c r="CB323" s="8">
        <v>0</v>
      </c>
      <c r="CC323" s="8">
        <v>0</v>
      </c>
    </row>
    <row r="324" spans="1:81">
      <c r="A324" s="6" t="s">
        <v>94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f t="shared" si="87"/>
        <v>0</v>
      </c>
      <c r="I324" s="7">
        <f t="shared" si="88"/>
        <v>0</v>
      </c>
      <c r="J324" s="7">
        <f t="shared" si="89"/>
        <v>0</v>
      </c>
      <c r="K324" s="7">
        <f t="shared" si="85"/>
        <v>0</v>
      </c>
      <c r="L324" s="7">
        <f t="shared" si="86"/>
        <v>0</v>
      </c>
      <c r="M324" s="8">
        <v>0</v>
      </c>
      <c r="N324" s="8">
        <v>0</v>
      </c>
      <c r="O324" s="8">
        <v>0</v>
      </c>
      <c r="P324" s="8">
        <v>0</v>
      </c>
      <c r="Q324" s="8">
        <v>0</v>
      </c>
      <c r="R324" s="8">
        <v>0</v>
      </c>
      <c r="S324" s="8">
        <v>0</v>
      </c>
      <c r="T324" s="8">
        <v>0</v>
      </c>
      <c r="U324" s="8">
        <v>0</v>
      </c>
      <c r="V324" s="8">
        <v>0</v>
      </c>
      <c r="W324" s="8">
        <v>0</v>
      </c>
      <c r="X324" s="8">
        <v>0</v>
      </c>
      <c r="Y324" s="8">
        <v>0</v>
      </c>
      <c r="Z324" s="8">
        <v>0</v>
      </c>
      <c r="AA324" s="8">
        <v>0</v>
      </c>
      <c r="AB324" s="8">
        <v>0</v>
      </c>
      <c r="AC324" s="8">
        <v>0</v>
      </c>
      <c r="AD324" s="8">
        <v>0</v>
      </c>
      <c r="AE324" s="8">
        <v>0</v>
      </c>
      <c r="AF324" s="8">
        <v>0</v>
      </c>
      <c r="AG324" s="8">
        <v>0</v>
      </c>
      <c r="AH324" s="8">
        <v>0</v>
      </c>
      <c r="AI324" s="8">
        <v>0</v>
      </c>
      <c r="AJ324" s="8">
        <v>0</v>
      </c>
      <c r="AK324" s="8">
        <v>0</v>
      </c>
      <c r="AL324" s="8">
        <v>0</v>
      </c>
      <c r="AM324" s="7">
        <v>0</v>
      </c>
      <c r="AN324" s="8">
        <v>0</v>
      </c>
      <c r="AO324" s="8">
        <v>0</v>
      </c>
      <c r="AP324" s="8">
        <v>0</v>
      </c>
      <c r="AQ324" s="8">
        <v>0</v>
      </c>
      <c r="AR324" s="8">
        <v>0</v>
      </c>
      <c r="AS324" s="8">
        <v>0</v>
      </c>
      <c r="AT324" s="8">
        <v>0</v>
      </c>
      <c r="AU324" s="8">
        <v>0</v>
      </c>
      <c r="AV324" s="8">
        <v>0</v>
      </c>
      <c r="AW324" s="8">
        <v>0</v>
      </c>
      <c r="AX324" s="8">
        <v>0</v>
      </c>
      <c r="AY324" s="8">
        <v>0</v>
      </c>
      <c r="AZ324" s="8">
        <v>0</v>
      </c>
      <c r="BA324" s="8">
        <v>0</v>
      </c>
      <c r="BB324" s="8">
        <v>0</v>
      </c>
      <c r="BC324" s="8">
        <v>0</v>
      </c>
      <c r="BD324" s="8">
        <v>0</v>
      </c>
      <c r="BE324" s="8">
        <v>0</v>
      </c>
      <c r="BF324" s="8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  <c r="BL324" s="8">
        <v>0</v>
      </c>
      <c r="BM324" s="8">
        <v>0</v>
      </c>
      <c r="BN324" s="8">
        <v>0</v>
      </c>
      <c r="BO324" s="8">
        <v>0</v>
      </c>
      <c r="BP324" s="8">
        <v>0</v>
      </c>
      <c r="BQ324" s="8">
        <v>0</v>
      </c>
      <c r="BR324" s="8">
        <v>0</v>
      </c>
      <c r="BS324" s="8">
        <v>0</v>
      </c>
      <c r="BT324" s="8">
        <v>0</v>
      </c>
      <c r="BU324" s="8">
        <v>0</v>
      </c>
      <c r="BV324" s="8">
        <v>0</v>
      </c>
      <c r="BW324" s="8">
        <v>0</v>
      </c>
      <c r="BX324" s="8">
        <v>0</v>
      </c>
      <c r="BY324" s="8">
        <v>0</v>
      </c>
      <c r="BZ324" s="8">
        <v>0</v>
      </c>
      <c r="CA324" s="8">
        <v>0</v>
      </c>
      <c r="CB324" s="8">
        <v>0</v>
      </c>
      <c r="CC324" s="8">
        <v>0</v>
      </c>
    </row>
    <row r="325" spans="1:81">
      <c r="A325" s="6" t="s">
        <v>95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f t="shared" si="87"/>
        <v>0</v>
      </c>
      <c r="I325" s="7">
        <f t="shared" si="88"/>
        <v>0</v>
      </c>
      <c r="J325" s="7">
        <f t="shared" si="89"/>
        <v>0</v>
      </c>
      <c r="K325" s="7">
        <f t="shared" si="85"/>
        <v>0</v>
      </c>
      <c r="L325" s="7">
        <f t="shared" si="86"/>
        <v>0</v>
      </c>
      <c r="M325" s="8">
        <v>0</v>
      </c>
      <c r="N325" s="8">
        <v>0</v>
      </c>
      <c r="O325" s="8">
        <v>0</v>
      </c>
      <c r="P325" s="8">
        <v>0</v>
      </c>
      <c r="Q325" s="8">
        <v>0</v>
      </c>
      <c r="R325" s="8">
        <v>0</v>
      </c>
      <c r="S325" s="8">
        <v>0</v>
      </c>
      <c r="T325" s="8">
        <v>0</v>
      </c>
      <c r="U325" s="8">
        <v>0</v>
      </c>
      <c r="V325" s="8">
        <v>0</v>
      </c>
      <c r="W325" s="8">
        <v>0</v>
      </c>
      <c r="X325" s="8">
        <v>0</v>
      </c>
      <c r="Y325" s="8">
        <v>0</v>
      </c>
      <c r="Z325" s="8">
        <v>0</v>
      </c>
      <c r="AA325" s="8">
        <v>0</v>
      </c>
      <c r="AB325" s="8">
        <v>0</v>
      </c>
      <c r="AC325" s="7">
        <v>0</v>
      </c>
      <c r="AD325" s="8">
        <v>0</v>
      </c>
      <c r="AE325" s="8">
        <v>0</v>
      </c>
      <c r="AF325" s="8">
        <v>0</v>
      </c>
      <c r="AG325" s="8">
        <v>0</v>
      </c>
      <c r="AH325" s="8">
        <v>0</v>
      </c>
      <c r="AI325" s="8">
        <v>0</v>
      </c>
      <c r="AJ325" s="8">
        <v>0</v>
      </c>
      <c r="AK325" s="8">
        <v>0</v>
      </c>
      <c r="AL325" s="8">
        <v>0</v>
      </c>
      <c r="AM325" s="7">
        <v>0</v>
      </c>
      <c r="AN325" s="8">
        <v>0</v>
      </c>
      <c r="AO325" s="8">
        <v>0</v>
      </c>
      <c r="AP325" s="8">
        <v>0</v>
      </c>
      <c r="AQ325" s="8">
        <v>0</v>
      </c>
      <c r="AR325" s="8">
        <v>0</v>
      </c>
      <c r="AS325" s="8">
        <v>0</v>
      </c>
      <c r="AT325" s="8">
        <v>0</v>
      </c>
      <c r="AU325" s="8">
        <v>0</v>
      </c>
      <c r="AV325" s="7">
        <v>0</v>
      </c>
      <c r="AW325" s="8">
        <v>0</v>
      </c>
      <c r="AX325" s="8">
        <v>0</v>
      </c>
      <c r="AY325" s="8">
        <v>0</v>
      </c>
      <c r="AZ325" s="8">
        <v>0</v>
      </c>
      <c r="BA325" s="8">
        <v>0</v>
      </c>
      <c r="BB325" s="8">
        <v>0</v>
      </c>
      <c r="BC325" s="8">
        <v>0</v>
      </c>
      <c r="BD325" s="8">
        <v>0</v>
      </c>
      <c r="BE325" s="7">
        <f>VLOOKUP($A325,'1.Sep'!$AC$8:$AE$1048576,3,0)</f>
        <v>0</v>
      </c>
      <c r="BF325" s="8">
        <v>0</v>
      </c>
      <c r="BG325" s="8">
        <v>0</v>
      </c>
      <c r="BH325" s="8">
        <v>0</v>
      </c>
      <c r="BI325" s="8">
        <v>0</v>
      </c>
      <c r="BJ325" s="8">
        <v>0</v>
      </c>
      <c r="BK325" s="8">
        <v>0</v>
      </c>
      <c r="BL325" s="8">
        <f>VLOOKUP($A325,'8.Sep'!$AC$8:$AE$1048576,3,0)</f>
        <v>0</v>
      </c>
      <c r="BM325" s="8">
        <v>0</v>
      </c>
      <c r="BN325" s="8">
        <v>0</v>
      </c>
      <c r="BO325" s="8">
        <v>0</v>
      </c>
      <c r="BP325" s="8">
        <v>0</v>
      </c>
      <c r="BQ325" s="8">
        <v>0</v>
      </c>
      <c r="BR325" s="8">
        <v>0</v>
      </c>
      <c r="BS325" s="8">
        <v>0</v>
      </c>
      <c r="BT325" s="8">
        <v>0</v>
      </c>
      <c r="BU325" s="7">
        <f>VLOOKUP($A325,'17.Sep'!$AC$8:$AE$1048576,3,0)</f>
        <v>0</v>
      </c>
      <c r="BV325" s="8">
        <v>0</v>
      </c>
      <c r="BW325" s="8">
        <v>0</v>
      </c>
      <c r="BX325" s="8">
        <v>0</v>
      </c>
      <c r="BY325" s="8">
        <v>0</v>
      </c>
      <c r="BZ325" s="8">
        <v>0</v>
      </c>
      <c r="CA325" s="8">
        <v>0</v>
      </c>
      <c r="CB325" s="7">
        <f>VLOOKUP($A325,'24.Sep'!$AC$8:$AE$1048576,3,0)</f>
        <v>0</v>
      </c>
      <c r="CC325" s="7">
        <f>VLOOKUP($A325,'24.Sep'!$AC$8:$AE$1048576,3,0)</f>
        <v>0</v>
      </c>
    </row>
    <row r="326" spans="1:81">
      <c r="A326" s="6" t="s">
        <v>96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f t="shared" si="87"/>
        <v>0</v>
      </c>
      <c r="I326" s="7">
        <f>AVERAGE(BI326:BO326)</f>
        <v>0</v>
      </c>
      <c r="J326" s="7">
        <f t="shared" si="89"/>
        <v>0</v>
      </c>
      <c r="K326" s="7">
        <f t="shared" si="85"/>
        <v>0</v>
      </c>
      <c r="L326" s="7">
        <f t="shared" si="86"/>
        <v>0</v>
      </c>
      <c r="M326" s="8">
        <v>0</v>
      </c>
      <c r="N326" s="8">
        <v>0</v>
      </c>
      <c r="O326" s="8">
        <v>0</v>
      </c>
      <c r="P326" s="8">
        <v>0</v>
      </c>
      <c r="Q326" s="8">
        <v>0</v>
      </c>
      <c r="R326" s="8">
        <v>0</v>
      </c>
      <c r="S326" s="8">
        <v>0</v>
      </c>
      <c r="T326" s="8">
        <v>0</v>
      </c>
      <c r="U326" s="8">
        <v>0</v>
      </c>
      <c r="V326" s="8">
        <v>0</v>
      </c>
      <c r="W326" s="8">
        <v>0</v>
      </c>
      <c r="X326" s="8">
        <v>0</v>
      </c>
      <c r="Y326" s="8">
        <v>0</v>
      </c>
      <c r="Z326" s="8">
        <v>0</v>
      </c>
      <c r="AA326" s="8">
        <v>0</v>
      </c>
      <c r="AB326" s="8">
        <v>0</v>
      </c>
      <c r="AC326" s="8">
        <v>0</v>
      </c>
      <c r="AD326" s="8">
        <v>0</v>
      </c>
      <c r="AE326" s="8">
        <v>0</v>
      </c>
      <c r="AF326" s="8">
        <v>0</v>
      </c>
      <c r="AG326" s="8">
        <v>0</v>
      </c>
      <c r="AH326" s="8">
        <v>0</v>
      </c>
      <c r="AI326" s="8">
        <v>0</v>
      </c>
      <c r="AJ326" s="8">
        <v>0</v>
      </c>
      <c r="AK326" s="8">
        <v>0</v>
      </c>
      <c r="AL326" s="8">
        <v>0</v>
      </c>
      <c r="AM326" s="7">
        <v>0</v>
      </c>
      <c r="AN326" s="8">
        <v>0</v>
      </c>
      <c r="AO326" s="8">
        <v>0</v>
      </c>
      <c r="AP326" s="8">
        <v>0</v>
      </c>
      <c r="AQ326" s="8">
        <v>0</v>
      </c>
      <c r="AR326" s="8">
        <v>0</v>
      </c>
      <c r="AS326" s="8">
        <v>0</v>
      </c>
      <c r="AT326" s="8">
        <v>0</v>
      </c>
      <c r="AU326" s="8">
        <v>0</v>
      </c>
      <c r="AV326" s="8">
        <v>0</v>
      </c>
      <c r="AW326" s="8">
        <v>0</v>
      </c>
      <c r="AX326" s="8">
        <v>0</v>
      </c>
      <c r="AY326" s="8">
        <v>0</v>
      </c>
      <c r="AZ326" s="8">
        <v>0</v>
      </c>
      <c r="BA326" s="8">
        <v>0</v>
      </c>
      <c r="BB326" s="8">
        <v>0</v>
      </c>
      <c r="BC326" s="8">
        <v>0</v>
      </c>
      <c r="BD326" s="8">
        <v>0</v>
      </c>
      <c r="BE326" s="8">
        <v>0</v>
      </c>
      <c r="BF326" s="8">
        <v>0</v>
      </c>
      <c r="BG326" s="8">
        <v>0</v>
      </c>
      <c r="BH326" s="8">
        <v>0</v>
      </c>
      <c r="BI326" s="8">
        <v>0</v>
      </c>
      <c r="BJ326" s="8">
        <v>0</v>
      </c>
      <c r="BK326" s="8">
        <v>0</v>
      </c>
      <c r="BL326" s="8">
        <v>0</v>
      </c>
      <c r="BM326" s="8">
        <v>0</v>
      </c>
      <c r="BN326" s="8">
        <v>0</v>
      </c>
      <c r="BO326" s="8">
        <v>0</v>
      </c>
      <c r="BP326" s="8">
        <v>0</v>
      </c>
      <c r="BQ326" s="8">
        <v>0</v>
      </c>
      <c r="BR326" s="8">
        <v>0</v>
      </c>
      <c r="BS326" s="8">
        <v>0</v>
      </c>
      <c r="BT326" s="8">
        <v>0</v>
      </c>
      <c r="BU326" s="8">
        <v>0</v>
      </c>
      <c r="BV326" s="8">
        <v>0</v>
      </c>
      <c r="BW326" s="8">
        <v>0</v>
      </c>
      <c r="BX326" s="8">
        <v>0</v>
      </c>
      <c r="BY326" s="8">
        <v>0</v>
      </c>
      <c r="BZ326" s="8">
        <v>0</v>
      </c>
      <c r="CA326" s="8">
        <v>0</v>
      </c>
      <c r="CB326" s="8">
        <v>0</v>
      </c>
      <c r="CC326" s="8">
        <v>0</v>
      </c>
    </row>
    <row r="327" spans="1:81">
      <c r="A327" s="12" t="s">
        <v>70</v>
      </c>
      <c r="B327" s="10">
        <v>1.5999999999999996E-3</v>
      </c>
      <c r="C327" s="10">
        <v>2.8857142857142836E-3</v>
      </c>
      <c r="D327" s="10">
        <v>3.0428571428571414E-3</v>
      </c>
      <c r="E327" s="10">
        <v>3.2142857142857134E-3</v>
      </c>
      <c r="F327" s="10">
        <v>3.0285714285714278E-3</v>
      </c>
      <c r="G327" s="10">
        <v>3.3E-3</v>
      </c>
      <c r="H327" s="10">
        <f t="shared" ref="H327" si="90">SUM(H302:H326)</f>
        <v>3.4428571428571425E-3</v>
      </c>
      <c r="I327" s="10">
        <f t="shared" ref="I327:J327" si="91">SUM(I302:I326)</f>
        <v>4.0571428571428564E-3</v>
      </c>
      <c r="J327" s="10">
        <f t="shared" si="91"/>
        <v>4.0285714285714282E-3</v>
      </c>
      <c r="K327" s="10">
        <f t="shared" ref="K327:L327" si="92">SUM(K302:K326)</f>
        <v>2.8666666666666671E-3</v>
      </c>
      <c r="L327" s="10">
        <f t="shared" si="92"/>
        <v>2.8400000000000001E-3</v>
      </c>
      <c r="M327" s="11">
        <v>1.5000000000000002E-3</v>
      </c>
      <c r="N327" s="11">
        <v>2.0000000000000005E-3</v>
      </c>
      <c r="O327" s="11">
        <v>1.1000000000000001E-3</v>
      </c>
      <c r="P327" s="11">
        <v>2.4000000000000002E-3</v>
      </c>
      <c r="Q327" s="11">
        <v>1.1000000000000001E-3</v>
      </c>
      <c r="R327" s="11">
        <v>1.5000000000000002E-3</v>
      </c>
      <c r="S327" s="11">
        <v>1.4000000000000002E-3</v>
      </c>
      <c r="T327" s="11">
        <v>1.1000000000000001E-3</v>
      </c>
      <c r="U327" s="11">
        <v>1.8E-3</v>
      </c>
      <c r="V327" s="11">
        <v>1.1000000000000001E-3</v>
      </c>
      <c r="W327" s="11">
        <v>4.0999999999999995E-3</v>
      </c>
      <c r="X327" s="11">
        <v>5.2999999999999992E-3</v>
      </c>
      <c r="Y327" s="11">
        <v>5.4000000000000012E-3</v>
      </c>
      <c r="Z327" s="11">
        <v>2.9999999999999996E-3</v>
      </c>
      <c r="AA327" s="11">
        <v>2.9000000000000002E-3</v>
      </c>
      <c r="AB327" s="11">
        <v>2.6999999999999997E-3</v>
      </c>
      <c r="AC327" s="11">
        <v>2.9000000000000002E-3</v>
      </c>
      <c r="AD327" s="11">
        <v>4.0999999999999995E-3</v>
      </c>
      <c r="AE327" s="11">
        <v>2.9999999999999996E-3</v>
      </c>
      <c r="AF327" s="11">
        <v>2.7000000000000001E-3</v>
      </c>
      <c r="AG327" s="11">
        <v>3.3999999999999994E-3</v>
      </c>
      <c r="AH327" s="11">
        <v>4.0999999999999995E-3</v>
      </c>
      <c r="AI327" s="11">
        <v>3.0000000000000001E-3</v>
      </c>
      <c r="AJ327" s="11">
        <v>3.3999999999999994E-3</v>
      </c>
      <c r="AK327" s="11">
        <v>3.0000000000000001E-3</v>
      </c>
      <c r="AL327" s="11">
        <v>2.9999999999999992E-3</v>
      </c>
      <c r="AM327" s="10">
        <v>2.6000000000000003E-3</v>
      </c>
      <c r="AN327" s="10">
        <v>2.5999999999999999E-3</v>
      </c>
      <c r="AO327" s="10">
        <v>3.6999999999999993E-3</v>
      </c>
      <c r="AP327" s="10">
        <v>2.4999999999999996E-3</v>
      </c>
      <c r="AQ327" s="10">
        <v>2.7999999999999995E-3</v>
      </c>
      <c r="AR327" s="10">
        <v>3.2000000000000002E-3</v>
      </c>
      <c r="AS327" s="10">
        <v>3.4999999999999992E-3</v>
      </c>
      <c r="AT327" s="10">
        <v>2.8999999999999998E-3</v>
      </c>
      <c r="AU327" s="10">
        <v>3.1999999999999989E-3</v>
      </c>
      <c r="AV327" s="10">
        <v>3.1999999999999989E-3</v>
      </c>
      <c r="AW327" s="10">
        <v>3.2999999999999995E-3</v>
      </c>
      <c r="AX327" s="10">
        <v>3.0999999999999999E-3</v>
      </c>
      <c r="AY327" s="10">
        <v>3.2000000000000002E-3</v>
      </c>
      <c r="AZ327" s="10">
        <v>3.0999999999999999E-3</v>
      </c>
      <c r="BA327" s="10">
        <v>3.9999999999999992E-3</v>
      </c>
      <c r="BB327" s="10">
        <v>3.3999999999999994E-3</v>
      </c>
      <c r="BC327" s="10">
        <v>2.9999999999999996E-3</v>
      </c>
      <c r="BD327" s="10">
        <v>3.1999999999999993E-3</v>
      </c>
      <c r="BE327" s="10">
        <f t="shared" ref="BE327:CB327" si="93">SUM(BE302:BE326)</f>
        <v>3.5999999999999999E-3</v>
      </c>
      <c r="BF327" s="10">
        <f t="shared" si="93"/>
        <v>3.4999999999999992E-3</v>
      </c>
      <c r="BG327" s="10">
        <f t="shared" si="93"/>
        <v>3.8E-3</v>
      </c>
      <c r="BH327" s="11">
        <f t="shared" si="93"/>
        <v>3.599999999999999E-3</v>
      </c>
      <c r="BI327" s="11">
        <f t="shared" si="93"/>
        <v>3.9999999999999992E-3</v>
      </c>
      <c r="BJ327" s="11">
        <f t="shared" si="93"/>
        <v>5.1000000000000004E-3</v>
      </c>
      <c r="BK327" s="11">
        <f t="shared" si="93"/>
        <v>3.3E-3</v>
      </c>
      <c r="BL327" s="11">
        <f t="shared" si="93"/>
        <v>3.599999999999999E-3</v>
      </c>
      <c r="BM327" s="11">
        <f t="shared" si="93"/>
        <v>3.4999999999999996E-3</v>
      </c>
      <c r="BN327" s="11">
        <f t="shared" si="93"/>
        <v>4.0999999999999995E-3</v>
      </c>
      <c r="BO327" s="11">
        <f t="shared" si="93"/>
        <v>4.7999999999999996E-3</v>
      </c>
      <c r="BP327" s="10">
        <f t="shared" si="93"/>
        <v>3.6999999999999993E-3</v>
      </c>
      <c r="BQ327" s="10">
        <f t="shared" si="93"/>
        <v>3.6999999999999997E-3</v>
      </c>
      <c r="BR327" s="10">
        <f t="shared" si="93"/>
        <v>4.8000000000000004E-3</v>
      </c>
      <c r="BS327" s="10">
        <f t="shared" si="93"/>
        <v>5.1000000000000004E-3</v>
      </c>
      <c r="BT327" s="10">
        <f t="shared" si="93"/>
        <v>4.3999999999999994E-3</v>
      </c>
      <c r="BU327" s="10">
        <f t="shared" si="93"/>
        <v>3.3E-3</v>
      </c>
      <c r="BV327" s="10">
        <f t="shared" si="93"/>
        <v>3.2000000000000002E-3</v>
      </c>
      <c r="BW327" s="10">
        <f t="shared" si="93"/>
        <v>3.0000000000000005E-3</v>
      </c>
      <c r="BX327" s="10">
        <f t="shared" si="93"/>
        <v>2E-3</v>
      </c>
      <c r="BY327" s="10">
        <f t="shared" si="93"/>
        <v>3.1000000000000003E-3</v>
      </c>
      <c r="BZ327" s="10">
        <f t="shared" si="93"/>
        <v>3.5000000000000001E-3</v>
      </c>
      <c r="CA327" s="10">
        <f t="shared" si="93"/>
        <v>3.0000000000000005E-3</v>
      </c>
      <c r="CB327" s="10">
        <f t="shared" si="93"/>
        <v>2.6000000000000003E-3</v>
      </c>
      <c r="CC327" s="10">
        <f t="shared" ref="CC327" si="94">SUM(CC302:CC326)</f>
        <v>2.6000000000000003E-3</v>
      </c>
    </row>
    <row r="328" spans="1:81">
      <c r="A328" s="13" t="s">
        <v>71</v>
      </c>
      <c r="B328" s="14">
        <v>54357</v>
      </c>
      <c r="C328" s="14">
        <v>115037</v>
      </c>
      <c r="D328" s="14">
        <v>262544</v>
      </c>
      <c r="E328" s="14">
        <v>314919</v>
      </c>
      <c r="F328" s="14">
        <v>371871</v>
      </c>
      <c r="G328" s="14">
        <v>447075</v>
      </c>
      <c r="H328" s="14">
        <f>SUM(BB328:BH328)</f>
        <v>414759</v>
      </c>
      <c r="I328" s="14">
        <f>SUM(BI328:BO328)</f>
        <v>495301</v>
      </c>
      <c r="J328" s="14">
        <f>SUM(BP328:BV328)</f>
        <v>490744</v>
      </c>
      <c r="K328" s="14">
        <f>SUM(BW328:CB328)</f>
        <v>584233</v>
      </c>
      <c r="L328" s="14">
        <f>SUM(BX328:CB328)</f>
        <v>496685</v>
      </c>
      <c r="M328" s="15">
        <v>8046</v>
      </c>
      <c r="N328" s="15">
        <v>5922</v>
      </c>
      <c r="O328" s="15">
        <v>7494</v>
      </c>
      <c r="P328" s="15">
        <v>9978</v>
      </c>
      <c r="Q328" s="15">
        <v>11828</v>
      </c>
      <c r="R328" s="15">
        <v>11089</v>
      </c>
      <c r="S328" s="15">
        <v>14372</v>
      </c>
      <c r="T328" s="15">
        <v>9956</v>
      </c>
      <c r="U328" s="15">
        <v>14389</v>
      </c>
      <c r="V328" s="15">
        <v>2707</v>
      </c>
      <c r="W328" s="15">
        <v>8254</v>
      </c>
      <c r="X328" s="15">
        <v>38146</v>
      </c>
      <c r="Y328" s="15">
        <v>27213</v>
      </c>
      <c r="Z328" s="15">
        <v>39250</v>
      </c>
      <c r="AA328" s="15">
        <v>36620</v>
      </c>
      <c r="AB328" s="15">
        <v>34414</v>
      </c>
      <c r="AC328" s="15">
        <v>39546</v>
      </c>
      <c r="AD328" s="15">
        <v>39716</v>
      </c>
      <c r="AE328" s="15">
        <v>34513</v>
      </c>
      <c r="AF328" s="15">
        <v>38485</v>
      </c>
      <c r="AG328" s="15">
        <v>38443</v>
      </c>
      <c r="AH328" s="15">
        <v>41824</v>
      </c>
      <c r="AI328" s="15">
        <v>40597</v>
      </c>
      <c r="AJ328" s="15">
        <v>46816</v>
      </c>
      <c r="AK328" s="15">
        <v>43768</v>
      </c>
      <c r="AL328" s="15">
        <v>52359</v>
      </c>
      <c r="AM328" s="14">
        <v>51112</v>
      </c>
      <c r="AN328" s="14">
        <v>42398</v>
      </c>
      <c r="AO328" s="14">
        <v>51188</v>
      </c>
      <c r="AP328" s="14">
        <v>37344</v>
      </c>
      <c r="AQ328" s="14">
        <v>59498</v>
      </c>
      <c r="AR328" s="14">
        <v>60570</v>
      </c>
      <c r="AS328" s="14">
        <v>61245</v>
      </c>
      <c r="AT328" s="14">
        <v>59628</v>
      </c>
      <c r="AU328" s="14">
        <v>75875</v>
      </c>
      <c r="AV328" s="14">
        <v>54316</v>
      </c>
      <c r="AW328" s="14">
        <v>72661</v>
      </c>
      <c r="AX328" s="14">
        <v>60624</v>
      </c>
      <c r="AY328" s="14">
        <v>64554</v>
      </c>
      <c r="AZ328" s="14">
        <v>60632</v>
      </c>
      <c r="BA328" s="14">
        <v>58413</v>
      </c>
      <c r="BB328" s="14">
        <v>64632</v>
      </c>
      <c r="BC328" s="14">
        <v>56360</v>
      </c>
      <c r="BD328" s="14">
        <v>41043</v>
      </c>
      <c r="BE328" s="14">
        <f>'1.Sep'!$AE$2</f>
        <v>55337</v>
      </c>
      <c r="BF328" s="14">
        <f>'2.Sep'!$AE$2</f>
        <v>68320</v>
      </c>
      <c r="BG328" s="14">
        <f>'3.Sep'!$AE$2</f>
        <v>67265</v>
      </c>
      <c r="BH328" s="15">
        <f>'4.Sep'!$AE$2</f>
        <v>61802</v>
      </c>
      <c r="BI328" s="15">
        <f>'5.Sep'!$AE$2</f>
        <v>72804</v>
      </c>
      <c r="BJ328" s="15">
        <f>'6.Sep'!$AE$2</f>
        <v>70283</v>
      </c>
      <c r="BK328" s="15">
        <f>'7.Sep'!$AE$2</f>
        <v>64522</v>
      </c>
      <c r="BL328" s="15">
        <f>'8.Sep'!$AE$2</f>
        <v>73018</v>
      </c>
      <c r="BM328" s="15">
        <f>'9.Sep'!$AE$2</f>
        <v>68065</v>
      </c>
      <c r="BN328" s="15">
        <f>'10.Sep'!$AE$2</f>
        <v>75677</v>
      </c>
      <c r="BO328" s="15">
        <f>'11.Sep'!$AE$2</f>
        <v>70932</v>
      </c>
      <c r="BP328" s="14">
        <f>'12.Sep'!$AE$2</f>
        <v>72589</v>
      </c>
      <c r="BQ328" s="14">
        <f>'13.Sep'!$AE$2</f>
        <v>69482</v>
      </c>
      <c r="BR328" s="14">
        <f>'14.Sep'!$AE$2</f>
        <v>74951</v>
      </c>
      <c r="BS328" s="14">
        <f>'15.Sep'!$AE$2</f>
        <v>65273</v>
      </c>
      <c r="BT328" s="14">
        <f>'16.Sep'!$AE$2</f>
        <v>68403</v>
      </c>
      <c r="BU328" s="14">
        <f>'17.Sep'!$AE$2</f>
        <v>65873</v>
      </c>
      <c r="BV328" s="14">
        <f>'18.Sep'!$AE$2</f>
        <v>74173</v>
      </c>
      <c r="BW328" s="14">
        <f>'19.Sep'!$AE$2</f>
        <v>87548</v>
      </c>
      <c r="BX328" s="14">
        <f>'20.Sep'!$AE$2</f>
        <v>100806</v>
      </c>
      <c r="BY328" s="14">
        <f>'21.Sep'!$AE$2</f>
        <v>109938</v>
      </c>
      <c r="BZ328" s="14">
        <f>'22.Sep'!$AE$2</f>
        <v>115388</v>
      </c>
      <c r="CA328" s="14">
        <f>'23.Sep'!$AE$2</f>
        <v>78563</v>
      </c>
      <c r="CB328" s="14">
        <f>'24.Sep'!$AE$2</f>
        <v>91990</v>
      </c>
      <c r="CC328" s="14">
        <f>'24.Sep'!$AE$2</f>
        <v>91990</v>
      </c>
    </row>
    <row r="329" spans="1:81">
      <c r="A329" s="13" t="s">
        <v>72</v>
      </c>
      <c r="B329" s="14">
        <v>54269</v>
      </c>
      <c r="C329" s="14">
        <v>114582</v>
      </c>
      <c r="D329" s="14">
        <v>261727</v>
      </c>
      <c r="E329" s="14">
        <v>313887</v>
      </c>
      <c r="F329" s="14">
        <v>370709</v>
      </c>
      <c r="G329" s="14">
        <v>445580</v>
      </c>
      <c r="H329" s="14">
        <f>SUM(BB329:BH329)</f>
        <v>413289</v>
      </c>
      <c r="I329" s="14">
        <f>SUM(BI329:BO329)</f>
        <v>493275</v>
      </c>
      <c r="J329" s="14">
        <f>SUM(BP329:BV329)</f>
        <v>488699</v>
      </c>
      <c r="K329" s="14">
        <f>SUM(BW329:CB329)</f>
        <v>582491</v>
      </c>
      <c r="L329" s="14">
        <f>SUM(BX329:CB329)</f>
        <v>495209</v>
      </c>
      <c r="M329" s="15">
        <v>8032</v>
      </c>
      <c r="N329" s="15">
        <v>5910</v>
      </c>
      <c r="O329" s="15">
        <v>7484</v>
      </c>
      <c r="P329" s="15">
        <v>9953</v>
      </c>
      <c r="Q329" s="15">
        <v>11817</v>
      </c>
      <c r="R329" s="15">
        <v>11073</v>
      </c>
      <c r="S329" s="15">
        <v>14351</v>
      </c>
      <c r="T329" s="15">
        <v>9943</v>
      </c>
      <c r="U329" s="15">
        <v>14363</v>
      </c>
      <c r="V329" s="15">
        <v>2703</v>
      </c>
      <c r="W329" s="15">
        <v>8219</v>
      </c>
      <c r="X329" s="15">
        <v>37941</v>
      </c>
      <c r="Y329" s="15">
        <v>27062</v>
      </c>
      <c r="Z329" s="15">
        <v>39132</v>
      </c>
      <c r="AA329" s="15">
        <v>36514</v>
      </c>
      <c r="AB329" s="15">
        <v>34321</v>
      </c>
      <c r="AC329" s="15">
        <v>39432</v>
      </c>
      <c r="AD329" s="15">
        <v>39549</v>
      </c>
      <c r="AE329" s="15">
        <v>34405</v>
      </c>
      <c r="AF329" s="15">
        <v>38374</v>
      </c>
      <c r="AG329" s="15">
        <v>38317</v>
      </c>
      <c r="AH329" s="15">
        <v>41646</v>
      </c>
      <c r="AI329" s="15">
        <v>40467</v>
      </c>
      <c r="AJ329" s="15">
        <v>46653</v>
      </c>
      <c r="AK329" s="15">
        <v>43633</v>
      </c>
      <c r="AL329" s="15">
        <v>52198</v>
      </c>
      <c r="AM329" s="14">
        <v>50973</v>
      </c>
      <c r="AN329" s="14">
        <v>42277</v>
      </c>
      <c r="AO329" s="14">
        <v>50997</v>
      </c>
      <c r="AP329" s="14">
        <v>37248</v>
      </c>
      <c r="AQ329" s="14">
        <v>59333</v>
      </c>
      <c r="AR329" s="14">
        <v>60374</v>
      </c>
      <c r="AS329" s="14">
        <v>61024</v>
      </c>
      <c r="AT329" s="14">
        <v>59456</v>
      </c>
      <c r="AU329" s="14">
        <v>75630</v>
      </c>
      <c r="AV329" s="14">
        <v>54142</v>
      </c>
      <c r="AW329" s="14">
        <v>72425</v>
      </c>
      <c r="AX329" s="14">
        <v>60425</v>
      </c>
      <c r="AY329" s="14">
        <v>64342</v>
      </c>
      <c r="AZ329" s="14">
        <v>60443</v>
      </c>
      <c r="BA329" s="14">
        <v>58173</v>
      </c>
      <c r="BB329" s="14">
        <v>64410</v>
      </c>
      <c r="BC329" s="14">
        <v>56181</v>
      </c>
      <c r="BD329" s="14">
        <v>40912</v>
      </c>
      <c r="BE329" s="14">
        <f>'1.Sep'!$AE$3</f>
        <v>55137</v>
      </c>
      <c r="BF329" s="14">
        <f>'2.Sep'!$AE$3</f>
        <v>68074</v>
      </c>
      <c r="BG329" s="14">
        <f>'3.Sep'!$AE$3</f>
        <v>67000</v>
      </c>
      <c r="BH329" s="15">
        <f>'4.Sep'!$AE$3</f>
        <v>61575</v>
      </c>
      <c r="BI329" s="15">
        <f>'5.Sep'!$AE$3</f>
        <v>72512</v>
      </c>
      <c r="BJ329" s="15">
        <f>'6.Sep'!$AE$3</f>
        <v>69929</v>
      </c>
      <c r="BK329" s="15">
        <f>'7.Sep'!$AE$3</f>
        <v>64298</v>
      </c>
      <c r="BL329" s="15">
        <f>'8.Sep'!$AE$3</f>
        <v>72760</v>
      </c>
      <c r="BM329" s="15">
        <f>'9.Sep'!$AE$3</f>
        <v>67822</v>
      </c>
      <c r="BN329" s="15">
        <f>'10.Sep'!$AE$3</f>
        <v>75366</v>
      </c>
      <c r="BO329" s="15">
        <f>'11.Sep'!$AE$3</f>
        <v>70588</v>
      </c>
      <c r="BP329" s="14">
        <f>'12.Sep'!$AE$3</f>
        <v>72318</v>
      </c>
      <c r="BQ329" s="14">
        <f>'13.Sep'!$AE$3</f>
        <v>69211</v>
      </c>
      <c r="BR329" s="14">
        <f>'14.Sep'!$AE$3</f>
        <v>74586</v>
      </c>
      <c r="BS329" s="14">
        <f>'15.Sep'!$AE$3</f>
        <v>64931</v>
      </c>
      <c r="BT329" s="14">
        <f>'16.Sep'!$AE$3</f>
        <v>68084</v>
      </c>
      <c r="BU329" s="14">
        <f>'17.Sep'!$AE$3</f>
        <v>65647</v>
      </c>
      <c r="BV329" s="14">
        <f>'18.Sep'!$AE$3</f>
        <v>73922</v>
      </c>
      <c r="BW329" s="14">
        <f>'19.Sep'!$AE$3</f>
        <v>87282</v>
      </c>
      <c r="BX329" s="14">
        <f>'20.Sep'!$AE$3</f>
        <v>100582</v>
      </c>
      <c r="BY329" s="14">
        <f>'21.Sep'!$AE$3</f>
        <v>109599</v>
      </c>
      <c r="BZ329" s="14">
        <f>'22.Sep'!$AE$3</f>
        <v>114976</v>
      </c>
      <c r="CA329" s="14">
        <f>'23.Sep'!$AE$3</f>
        <v>78321</v>
      </c>
      <c r="CB329" s="14">
        <f>'24.Sep'!$AE$3</f>
        <v>91731</v>
      </c>
      <c r="CC329" s="14">
        <f>'24.Sep'!$AE$3</f>
        <v>91731</v>
      </c>
    </row>
    <row r="330" spans="1:81" ht="19.5">
      <c r="A330" s="1" t="s">
        <v>141</v>
      </c>
      <c r="B330" s="16" t="s">
        <v>1</v>
      </c>
      <c r="C330" s="16" t="s">
        <v>118</v>
      </c>
      <c r="D330" s="16" t="s">
        <v>128</v>
      </c>
      <c r="E330" s="16" t="s">
        <v>144</v>
      </c>
      <c r="F330" s="16" t="s">
        <v>151</v>
      </c>
      <c r="G330" s="16" t="s">
        <v>162</v>
      </c>
      <c r="H330" s="16" t="s">
        <v>163</v>
      </c>
      <c r="I330" s="16" t="s">
        <v>168</v>
      </c>
      <c r="J330" s="16" t="s">
        <v>173</v>
      </c>
      <c r="K330" s="16" t="s">
        <v>178</v>
      </c>
      <c r="L330" s="16" t="s">
        <v>178</v>
      </c>
      <c r="M330" s="18">
        <v>44761</v>
      </c>
      <c r="N330" s="18">
        <v>44762</v>
      </c>
      <c r="O330" s="18">
        <v>44763</v>
      </c>
      <c r="P330" s="18">
        <v>44764</v>
      </c>
      <c r="Q330" s="17">
        <v>44765</v>
      </c>
      <c r="R330" s="17">
        <v>44766</v>
      </c>
      <c r="S330" s="17">
        <v>44767</v>
      </c>
      <c r="T330" s="17">
        <v>44768</v>
      </c>
      <c r="U330" s="17">
        <v>44769</v>
      </c>
      <c r="V330" s="17">
        <v>44770</v>
      </c>
      <c r="W330" s="17">
        <v>44771</v>
      </c>
      <c r="X330" s="17">
        <v>44772</v>
      </c>
      <c r="Y330" s="17">
        <v>44773</v>
      </c>
      <c r="Z330" s="17">
        <v>44774</v>
      </c>
      <c r="AA330" s="17">
        <v>44775</v>
      </c>
      <c r="AB330" s="17">
        <v>44776</v>
      </c>
      <c r="AC330" s="17">
        <v>44777</v>
      </c>
      <c r="AD330" s="17">
        <v>44778</v>
      </c>
      <c r="AE330" s="17">
        <v>44779</v>
      </c>
      <c r="AF330" s="18">
        <v>44780</v>
      </c>
      <c r="AG330" s="18">
        <v>44781</v>
      </c>
      <c r="AH330" s="18">
        <v>44782</v>
      </c>
      <c r="AI330" s="18">
        <v>44783</v>
      </c>
      <c r="AJ330" s="18">
        <v>44784</v>
      </c>
      <c r="AK330" s="18">
        <v>44785</v>
      </c>
      <c r="AL330" s="18">
        <v>44786</v>
      </c>
      <c r="AM330" s="17">
        <v>44787</v>
      </c>
      <c r="AN330" s="17">
        <v>44788</v>
      </c>
      <c r="AO330" s="17">
        <v>44789</v>
      </c>
      <c r="AP330" s="17">
        <v>44790</v>
      </c>
      <c r="AQ330" s="17">
        <v>44791</v>
      </c>
      <c r="AR330" s="17">
        <v>44792</v>
      </c>
      <c r="AS330" s="17">
        <v>44793</v>
      </c>
      <c r="AT330" s="17">
        <v>44794</v>
      </c>
      <c r="AU330" s="17">
        <v>44795</v>
      </c>
      <c r="AV330" s="17">
        <v>44796</v>
      </c>
      <c r="AW330" s="17">
        <v>44797</v>
      </c>
      <c r="AX330" s="17">
        <v>44798</v>
      </c>
      <c r="AY330" s="17">
        <v>44799</v>
      </c>
      <c r="AZ330" s="17">
        <v>44800</v>
      </c>
      <c r="BA330" s="17">
        <v>44801</v>
      </c>
      <c r="BB330" s="17">
        <v>44802</v>
      </c>
      <c r="BC330" s="17">
        <v>44803</v>
      </c>
      <c r="BD330" s="17">
        <v>44804</v>
      </c>
      <c r="BE330" s="17">
        <v>44805</v>
      </c>
      <c r="BF330" s="17">
        <v>44806</v>
      </c>
      <c r="BG330" s="17">
        <v>44807</v>
      </c>
      <c r="BH330" s="18">
        <v>44808</v>
      </c>
      <c r="BI330" s="18">
        <v>44809</v>
      </c>
      <c r="BJ330" s="18">
        <v>44810</v>
      </c>
      <c r="BK330" s="18">
        <v>44811</v>
      </c>
      <c r="BL330" s="18">
        <v>44812</v>
      </c>
      <c r="BM330" s="18">
        <v>44813</v>
      </c>
      <c r="BN330" s="18">
        <v>44814</v>
      </c>
      <c r="BO330" s="18">
        <v>44815</v>
      </c>
      <c r="BP330" s="17">
        <v>44816</v>
      </c>
      <c r="BQ330" s="17">
        <v>44817</v>
      </c>
      <c r="BR330" s="17">
        <v>44818</v>
      </c>
      <c r="BS330" s="17">
        <v>44819</v>
      </c>
      <c r="BT330" s="17">
        <v>44820</v>
      </c>
      <c r="BU330" s="17">
        <v>44821</v>
      </c>
      <c r="BV330" s="17">
        <v>44822</v>
      </c>
      <c r="BW330" s="17">
        <v>44823</v>
      </c>
      <c r="BX330" s="17">
        <v>44824</v>
      </c>
      <c r="BY330" s="17">
        <v>44825</v>
      </c>
      <c r="BZ330" s="17">
        <v>44826</v>
      </c>
      <c r="CA330" s="17">
        <v>44827</v>
      </c>
      <c r="CB330" s="17">
        <v>44828</v>
      </c>
      <c r="CC330" s="17">
        <v>44828</v>
      </c>
    </row>
    <row r="331" spans="1:81">
      <c r="A331" s="6" t="s">
        <v>2</v>
      </c>
      <c r="B331" s="7">
        <v>1.6666666666666666E-4</v>
      </c>
      <c r="C331" s="7">
        <v>2.7142857142857144E-4</v>
      </c>
      <c r="D331" s="7">
        <v>4.0000000000000007E-4</v>
      </c>
      <c r="E331" s="7">
        <v>3.4285714285714285E-4</v>
      </c>
      <c r="F331" s="7">
        <v>4.285714285714286E-4</v>
      </c>
      <c r="G331" s="7">
        <v>3.1428571428571427E-4</v>
      </c>
      <c r="H331" s="7">
        <f>AVERAGE(BB331:BH331)</f>
        <v>4.4285714285714284E-4</v>
      </c>
      <c r="I331" s="7">
        <f>AVERAGE(BI331:BO331)</f>
        <v>3.2857142857142856E-4</v>
      </c>
      <c r="J331" s="7">
        <f>AVERAGE(BP331:BV331)</f>
        <v>3.2857142857142856E-4</v>
      </c>
      <c r="K331" s="7">
        <f t="shared" ref="K331:K337" si="95">AVERAGE(BW331:CB331)</f>
        <v>3.3333333333333332E-4</v>
      </c>
      <c r="L331" s="7">
        <f t="shared" ref="L331:L337" si="96">AVERAGE(BX331:CB331)</f>
        <v>3.4000000000000002E-4</v>
      </c>
      <c r="M331" s="8">
        <v>0</v>
      </c>
      <c r="N331" s="8">
        <v>2.0000000000000001E-4</v>
      </c>
      <c r="O331" s="8">
        <v>0</v>
      </c>
      <c r="P331" s="8">
        <v>2.0000000000000001E-4</v>
      </c>
      <c r="Q331" s="8">
        <v>2.9999999999999997E-4</v>
      </c>
      <c r="R331" s="8">
        <v>2.9999999999999997E-4</v>
      </c>
      <c r="S331" s="8">
        <v>2.0000000000000001E-4</v>
      </c>
      <c r="T331" s="8">
        <v>4.0000000000000002E-4</v>
      </c>
      <c r="U331" s="8">
        <v>1E-4</v>
      </c>
      <c r="V331" s="8">
        <v>0</v>
      </c>
      <c r="W331" s="8">
        <v>5.0000000000000001E-4</v>
      </c>
      <c r="X331" s="8">
        <v>4.0000000000000002E-4</v>
      </c>
      <c r="Y331" s="8">
        <v>2.9999999999999997E-4</v>
      </c>
      <c r="Z331" s="8">
        <v>4.0000000000000002E-4</v>
      </c>
      <c r="AA331" s="8">
        <v>4.0000000000000002E-4</v>
      </c>
      <c r="AB331" s="8">
        <v>4.0000000000000002E-4</v>
      </c>
      <c r="AC331" s="8">
        <v>5.0000000000000001E-4</v>
      </c>
      <c r="AD331" s="8">
        <v>4.0000000000000002E-4</v>
      </c>
      <c r="AE331" s="8">
        <v>2.9999999999999997E-4</v>
      </c>
      <c r="AF331" s="8">
        <v>4.0000000000000002E-4</v>
      </c>
      <c r="AG331" s="8">
        <v>5.0000000000000001E-4</v>
      </c>
      <c r="AH331" s="8">
        <v>4.0000000000000002E-4</v>
      </c>
      <c r="AI331" s="8">
        <v>2.0000000000000001E-4</v>
      </c>
      <c r="AJ331" s="8">
        <v>2.9999999999999997E-4</v>
      </c>
      <c r="AK331" s="8">
        <v>4.0000000000000002E-4</v>
      </c>
      <c r="AL331" s="8">
        <v>2.9999999999999997E-4</v>
      </c>
      <c r="AM331" s="7">
        <v>2.9999999999999997E-4</v>
      </c>
      <c r="AN331" s="7">
        <v>2.9999999999999997E-4</v>
      </c>
      <c r="AO331" s="7">
        <v>4.0000000000000002E-4</v>
      </c>
      <c r="AP331" s="7">
        <v>4.0000000000000002E-4</v>
      </c>
      <c r="AQ331" s="7">
        <v>4.0000000000000002E-4</v>
      </c>
      <c r="AR331" s="7">
        <v>5.0000000000000001E-4</v>
      </c>
      <c r="AS331" s="7">
        <v>5.0000000000000001E-4</v>
      </c>
      <c r="AT331" s="7">
        <v>5.0000000000000001E-4</v>
      </c>
      <c r="AU331" s="7">
        <v>4.0000000000000002E-4</v>
      </c>
      <c r="AV331" s="7">
        <v>4.0000000000000002E-4</v>
      </c>
      <c r="AW331" s="7">
        <v>2.0000000000000001E-4</v>
      </c>
      <c r="AX331" s="7">
        <v>2.9999999999999997E-4</v>
      </c>
      <c r="AY331" s="7">
        <v>2.9999999999999997E-4</v>
      </c>
      <c r="AZ331" s="7">
        <v>2.9999999999999997E-4</v>
      </c>
      <c r="BA331" s="7">
        <v>2.9999999999999997E-4</v>
      </c>
      <c r="BB331" s="7">
        <v>5.0000000000000001E-4</v>
      </c>
      <c r="BC331" s="7">
        <v>5.0000000000000001E-4</v>
      </c>
      <c r="BD331" s="7">
        <v>4.0000000000000002E-4</v>
      </c>
      <c r="BE331" s="7">
        <f>VLOOKUP($A331,'1.Sep'!$AG$8:$AI$1048576,3,0)</f>
        <v>4.0000000000000002E-4</v>
      </c>
      <c r="BF331" s="7">
        <f>VLOOKUP($A331,'2.Sep'!$AG$8:$AI$1048576,3,0)</f>
        <v>2.9999999999999997E-4</v>
      </c>
      <c r="BG331" s="7">
        <f>VLOOKUP($A331,'3.Sep'!$AG$8:$AI$1048576,3,0)</f>
        <v>5.0000000000000001E-4</v>
      </c>
      <c r="BH331" s="8">
        <f>VLOOKUP($A331,'4.Sep'!$AG$8:$AI$1048576,3,0)</f>
        <v>5.0000000000000001E-4</v>
      </c>
      <c r="BI331" s="8">
        <f>VLOOKUP($A331,'5.Sep'!$AG$8:$AI$1048576,3,0)</f>
        <v>4.0000000000000002E-4</v>
      </c>
      <c r="BJ331" s="8">
        <f>VLOOKUP($A331,'6.Sep'!$AG$8:$AI$1048576,3,0)</f>
        <v>2.9999999999999997E-4</v>
      </c>
      <c r="BK331" s="8">
        <f>VLOOKUP($A331,'7.Sep'!$AG$8:$AI$1048576,3,0)</f>
        <v>2.9999999999999997E-4</v>
      </c>
      <c r="BL331" s="8">
        <f>VLOOKUP($A331,'8.Sep'!$AG$8:$AI$1048576,3,0)</f>
        <v>2.9999999999999997E-4</v>
      </c>
      <c r="BM331" s="8">
        <f>VLOOKUP($A331,'9.Sep'!$AG$8:$AI$1048576,3,0)</f>
        <v>4.0000000000000002E-4</v>
      </c>
      <c r="BN331" s="8">
        <f>VLOOKUP($A331,'10.Sep'!$AG$8:$AI$1048576,3,0)</f>
        <v>2.0000000000000001E-4</v>
      </c>
      <c r="BO331" s="8">
        <f>VLOOKUP($A331,'11.Sep'!$AG$8:$AI$1048576,3,0)</f>
        <v>4.0000000000000002E-4</v>
      </c>
      <c r="BP331" s="8">
        <f>VLOOKUP($A331,'12.Sep'!$AG$8:$AI$1048576,3,0)</f>
        <v>4.0000000000000002E-4</v>
      </c>
      <c r="BQ331" s="8">
        <f>VLOOKUP($A331,'13.Sep'!$AG$8:$AI$1048576,3,0)</f>
        <v>4.0000000000000002E-4</v>
      </c>
      <c r="BR331" s="8">
        <f>VLOOKUP($A331,'14.Sep'!$AG$8:$AI$1048576,3,0)</f>
        <v>2.9999999999999997E-4</v>
      </c>
      <c r="BS331" s="8">
        <f>VLOOKUP($A331,'15.Sep'!$AG$8:$AI$1048576,3,0)</f>
        <v>2.0000000000000001E-4</v>
      </c>
      <c r="BT331" s="8">
        <f>VLOOKUP($A331,'16.Sep'!$AG$8:$AI$1048576,3,0)</f>
        <v>2.9999999999999997E-4</v>
      </c>
      <c r="BU331" s="8">
        <f>VLOOKUP($A331,'17.Sep'!$AG$8:$AI$1048576,3,0)</f>
        <v>2.9999999999999997E-4</v>
      </c>
      <c r="BV331" s="7">
        <f>VLOOKUP($A331,'18.Sep'!$AG$8:$AI$1048576,3,0)</f>
        <v>4.0000000000000002E-4</v>
      </c>
      <c r="BW331" s="7">
        <f>VLOOKUP($A331,'19.Sep'!$AG$8:$AI$1048576,3,0)</f>
        <v>2.9999999999999997E-4</v>
      </c>
      <c r="BX331" s="7">
        <f>VLOOKUP($A331,'20.Sep'!$AG$8:$AI$1048576,3,0)</f>
        <v>2.9999999999999997E-4</v>
      </c>
      <c r="BY331" s="7">
        <f>VLOOKUP($A331,'21.Sep'!$AG$8:$AI$1048576,3,0)</f>
        <v>4.0000000000000002E-4</v>
      </c>
      <c r="BZ331" s="7">
        <f>VLOOKUP($A331,'22.Sep'!$AG$8:$AI$1048576,3,0)</f>
        <v>4.0000000000000002E-4</v>
      </c>
      <c r="CA331" s="7">
        <f>VLOOKUP($A331,'23.Sep'!$AG$8:$AI$1048576,3,0)</f>
        <v>4.0000000000000002E-4</v>
      </c>
      <c r="CB331" s="7">
        <f>VLOOKUP($A331,'24.Sep'!$AG$8:$AI$1048576,3,0)</f>
        <v>2.0000000000000001E-4</v>
      </c>
      <c r="CC331" s="7">
        <f>VLOOKUP($A331,'24.Sep'!$AG$8:$AI$1048576,3,0)</f>
        <v>2.0000000000000001E-4</v>
      </c>
    </row>
    <row r="332" spans="1:81">
      <c r="A332" s="6" t="s">
        <v>98</v>
      </c>
      <c r="B332" s="7">
        <v>6.666666666666667E-5</v>
      </c>
      <c r="C332" s="7">
        <v>1.142857142857143E-4</v>
      </c>
      <c r="D332" s="7">
        <v>8.5714285714285726E-5</v>
      </c>
      <c r="E332" s="7">
        <v>1.285714285714286E-4</v>
      </c>
      <c r="F332" s="7">
        <v>2.0000000000000001E-4</v>
      </c>
      <c r="G332" s="7">
        <v>1.8571428571428574E-4</v>
      </c>
      <c r="H332" s="7">
        <f t="shared" ref="H332:H337" si="97">AVERAGE(BB332:BH332)</f>
        <v>1.7142857142857145E-4</v>
      </c>
      <c r="I332" s="7">
        <f t="shared" ref="I332:I337" si="98">AVERAGE(BI332:BO332)</f>
        <v>1.1428571428571431E-4</v>
      </c>
      <c r="J332" s="7">
        <f t="shared" ref="J332:J337" si="99">AVERAGE(BP332:BV332)</f>
        <v>1.0000000000000002E-4</v>
      </c>
      <c r="K332" s="7">
        <f t="shared" si="95"/>
        <v>1.6666666666666666E-4</v>
      </c>
      <c r="L332" s="7">
        <f t="shared" si="96"/>
        <v>1.8000000000000001E-4</v>
      </c>
      <c r="M332" s="8">
        <v>0</v>
      </c>
      <c r="N332" s="8">
        <v>2.0000000000000001E-4</v>
      </c>
      <c r="O332" s="8">
        <v>0</v>
      </c>
      <c r="P332" s="8">
        <v>0</v>
      </c>
      <c r="Q332" s="8">
        <v>1E-4</v>
      </c>
      <c r="R332" s="8">
        <v>1E-4</v>
      </c>
      <c r="S332" s="8">
        <v>0</v>
      </c>
      <c r="T332" s="8">
        <v>2.9999999999999997E-4</v>
      </c>
      <c r="U332" s="8">
        <v>2.0000000000000001E-4</v>
      </c>
      <c r="V332" s="8">
        <v>0</v>
      </c>
      <c r="W332" s="8">
        <v>0</v>
      </c>
      <c r="X332" s="8">
        <v>1E-4</v>
      </c>
      <c r="Y332" s="8">
        <v>2.0000000000000001E-4</v>
      </c>
      <c r="Z332" s="8">
        <v>2.0000000000000001E-4</v>
      </c>
      <c r="AA332" s="8">
        <v>2.0000000000000001E-4</v>
      </c>
      <c r="AB332" s="8">
        <v>1E-4</v>
      </c>
      <c r="AC332" s="8">
        <v>0</v>
      </c>
      <c r="AD332" s="8">
        <v>0</v>
      </c>
      <c r="AE332" s="8">
        <v>0</v>
      </c>
      <c r="AF332" s="8">
        <v>1E-4</v>
      </c>
      <c r="AG332" s="8">
        <v>2.0000000000000001E-4</v>
      </c>
      <c r="AH332" s="8">
        <v>1E-4</v>
      </c>
      <c r="AI332" s="8">
        <v>2.0000000000000001E-4</v>
      </c>
      <c r="AJ332" s="8">
        <v>1E-4</v>
      </c>
      <c r="AK332" s="8">
        <v>1E-4</v>
      </c>
      <c r="AL332" s="8">
        <v>1E-4</v>
      </c>
      <c r="AM332" s="7">
        <v>1E-4</v>
      </c>
      <c r="AN332" s="7">
        <v>1E-4</v>
      </c>
      <c r="AO332" s="7">
        <v>1E-4</v>
      </c>
      <c r="AP332" s="7">
        <v>2.9999999999999997E-4</v>
      </c>
      <c r="AQ332" s="7">
        <v>2.9999999999999997E-4</v>
      </c>
      <c r="AR332" s="7">
        <v>2.9999999999999997E-4</v>
      </c>
      <c r="AS332" s="7">
        <v>2.0000000000000001E-4</v>
      </c>
      <c r="AT332" s="7">
        <v>1E-4</v>
      </c>
      <c r="AU332" s="7">
        <v>2.9999999999999997E-4</v>
      </c>
      <c r="AV332" s="7">
        <v>2.0000000000000001E-4</v>
      </c>
      <c r="AW332" s="7">
        <v>2.0000000000000001E-4</v>
      </c>
      <c r="AX332" s="7">
        <v>2.0000000000000001E-4</v>
      </c>
      <c r="AY332" s="7">
        <v>1E-4</v>
      </c>
      <c r="AZ332" s="7">
        <v>1E-4</v>
      </c>
      <c r="BA332" s="7">
        <v>2.0000000000000001E-4</v>
      </c>
      <c r="BB332" s="7">
        <v>2.0000000000000001E-4</v>
      </c>
      <c r="BC332" s="7">
        <v>2.0000000000000001E-4</v>
      </c>
      <c r="BD332" s="7">
        <v>2.9999999999999997E-4</v>
      </c>
      <c r="BE332" s="7">
        <f>VLOOKUP($A332,'1.Sep'!$AG$8:$AI$1048576,3,0)</f>
        <v>1E-4</v>
      </c>
      <c r="BF332" s="7">
        <f>VLOOKUP($A332,'2.Sep'!$AG$8:$AI$1048576,3,0)</f>
        <v>1E-4</v>
      </c>
      <c r="BG332" s="7">
        <f>VLOOKUP($A332,'3.Sep'!$AG$8:$AI$1048576,3,0)</f>
        <v>2.0000000000000001E-4</v>
      </c>
      <c r="BH332" s="8">
        <f>VLOOKUP($A332,'4.Sep'!$AG$8:$AI$1048576,3,0)</f>
        <v>1E-4</v>
      </c>
      <c r="BI332" s="8">
        <f>VLOOKUP($A332,'5.Sep'!$AG$8:$AI$1048576,3,0)</f>
        <v>1E-4</v>
      </c>
      <c r="BJ332" s="8">
        <f>VLOOKUP($A332,'6.Sep'!$AG$8:$AI$1048576,3,0)</f>
        <v>2.0000000000000001E-4</v>
      </c>
      <c r="BK332" s="8">
        <f>VLOOKUP($A332,'7.Sep'!$AG$8:$AI$1048576,3,0)</f>
        <v>1E-4</v>
      </c>
      <c r="BL332" s="8">
        <f>VLOOKUP($A332,'8.Sep'!$AG$8:$AI$1048576,3,0)</f>
        <v>1E-4</v>
      </c>
      <c r="BM332" s="8">
        <f>VLOOKUP($A332,'9.Sep'!$AG$8:$AI$1048576,3,0)</f>
        <v>1E-4</v>
      </c>
      <c r="BN332" s="8">
        <f>VLOOKUP($A332,'10.Sep'!$AG$8:$AI$1048576,3,0)</f>
        <v>1E-4</v>
      </c>
      <c r="BO332" s="8">
        <f>VLOOKUP($A332,'11.Sep'!$AG$8:$AI$1048576,3,0)</f>
        <v>1E-4</v>
      </c>
      <c r="BP332" s="8">
        <f>VLOOKUP($A332,'12.Sep'!$AG$8:$AI$1048576,3,0)</f>
        <v>1E-4</v>
      </c>
      <c r="BQ332" s="8">
        <f>VLOOKUP($A332,'13.Sep'!$AG$8:$AI$1048576,3,0)</f>
        <v>1E-4</v>
      </c>
      <c r="BR332" s="8">
        <f>VLOOKUP($A332,'14.Sep'!$AG$8:$AI$1048576,3,0)</f>
        <v>0</v>
      </c>
      <c r="BS332" s="8">
        <f>VLOOKUP($A332,'15.Sep'!$AG$8:$AI$1048576,3,0)</f>
        <v>1E-4</v>
      </c>
      <c r="BT332" s="8">
        <f>VLOOKUP($A332,'16.Sep'!$AG$8:$AI$1048576,3,0)</f>
        <v>2.0000000000000001E-4</v>
      </c>
      <c r="BU332" s="8">
        <f>VLOOKUP($A332,'17.Sep'!$AG$8:$AI$1048576,3,0)</f>
        <v>1E-4</v>
      </c>
      <c r="BV332" s="7">
        <f>VLOOKUP($A332,'18.Sep'!$AG$8:$AI$1048576,3,0)</f>
        <v>1E-4</v>
      </c>
      <c r="BW332" s="7">
        <f>VLOOKUP($A332,'19.Sep'!$AG$8:$AI$1048576,3,0)</f>
        <v>1E-4</v>
      </c>
      <c r="BX332" s="7">
        <f>VLOOKUP($A332,'20.Sep'!$AG$8:$AI$1048576,3,0)</f>
        <v>2.0000000000000001E-4</v>
      </c>
      <c r="BY332" s="7">
        <f>VLOOKUP($A332,'21.Sep'!$AG$8:$AI$1048576,3,0)</f>
        <v>2.0000000000000001E-4</v>
      </c>
      <c r="BZ332" s="7">
        <f>VLOOKUP($A332,'22.Sep'!$AG$8:$AI$1048576,3,0)</f>
        <v>2.0000000000000001E-4</v>
      </c>
      <c r="CA332" s="7">
        <f>VLOOKUP($A332,'23.Sep'!$AG$8:$AI$1048576,3,0)</f>
        <v>2.0000000000000001E-4</v>
      </c>
      <c r="CB332" s="7">
        <f>VLOOKUP($A332,'24.Sep'!$AG$8:$AI$1048576,3,0)</f>
        <v>1E-4</v>
      </c>
      <c r="CC332" s="7">
        <f>VLOOKUP($A332,'24.Sep'!$AG$8:$AI$1048576,3,0)</f>
        <v>1E-4</v>
      </c>
    </row>
    <row r="333" spans="1:81">
      <c r="A333" s="6" t="s">
        <v>99</v>
      </c>
      <c r="B333" s="7">
        <v>1.4999999999999999E-4</v>
      </c>
      <c r="C333" s="7">
        <v>2.0000000000000001E-4</v>
      </c>
      <c r="D333" s="7">
        <v>2.2857142857142862E-4</v>
      </c>
      <c r="E333" s="7">
        <v>1.7142857142857145E-4</v>
      </c>
      <c r="F333" s="7">
        <v>1.1428571428571431E-4</v>
      </c>
      <c r="G333" s="7">
        <v>1.5714285714285719E-4</v>
      </c>
      <c r="H333" s="7">
        <f t="shared" si="97"/>
        <v>1.2857142857142858E-4</v>
      </c>
      <c r="I333" s="7">
        <f t="shared" si="98"/>
        <v>1.4285714285714287E-4</v>
      </c>
      <c r="J333" s="7">
        <f t="shared" si="99"/>
        <v>1.8571428571428574E-4</v>
      </c>
      <c r="K333" s="7">
        <f t="shared" si="95"/>
        <v>1.1666666666666668E-4</v>
      </c>
      <c r="L333" s="7">
        <f t="shared" si="96"/>
        <v>1.2000000000000002E-4</v>
      </c>
      <c r="M333" s="8">
        <v>0</v>
      </c>
      <c r="N333" s="8">
        <v>2.0000000000000001E-4</v>
      </c>
      <c r="O333" s="8">
        <v>1E-4</v>
      </c>
      <c r="P333" s="8">
        <v>2.0000000000000001E-4</v>
      </c>
      <c r="Q333" s="8">
        <v>2.0000000000000001E-4</v>
      </c>
      <c r="R333" s="8">
        <v>2.0000000000000001E-4</v>
      </c>
      <c r="S333" s="8">
        <v>2.0000000000000001E-4</v>
      </c>
      <c r="T333" s="8">
        <v>2.9999999999999997E-4</v>
      </c>
      <c r="U333" s="8">
        <v>4.0000000000000002E-4</v>
      </c>
      <c r="V333" s="8">
        <v>0</v>
      </c>
      <c r="W333" s="8">
        <v>0</v>
      </c>
      <c r="X333" s="8">
        <v>2.9999999999999997E-4</v>
      </c>
      <c r="Y333" s="8">
        <v>2.0000000000000001E-4</v>
      </c>
      <c r="Z333" s="8">
        <v>2.0000000000000001E-4</v>
      </c>
      <c r="AA333" s="8">
        <v>1E-4</v>
      </c>
      <c r="AB333" s="8">
        <v>2.9999999999999997E-4</v>
      </c>
      <c r="AC333" s="8">
        <v>2.0000000000000001E-4</v>
      </c>
      <c r="AD333" s="8">
        <v>4.0000000000000002E-4</v>
      </c>
      <c r="AE333" s="8">
        <v>2.0000000000000001E-4</v>
      </c>
      <c r="AF333" s="8">
        <v>2.0000000000000001E-4</v>
      </c>
      <c r="AG333" s="8">
        <v>2.9999999999999997E-4</v>
      </c>
      <c r="AH333" s="8">
        <v>1E-4</v>
      </c>
      <c r="AI333" s="8">
        <v>2.0000000000000001E-4</v>
      </c>
      <c r="AJ333" s="8">
        <v>2.0000000000000001E-4</v>
      </c>
      <c r="AK333" s="8">
        <v>1E-4</v>
      </c>
      <c r="AL333" s="8">
        <v>1E-4</v>
      </c>
      <c r="AM333" s="7">
        <v>2.0000000000000001E-4</v>
      </c>
      <c r="AN333" s="7">
        <v>1E-4</v>
      </c>
      <c r="AO333" s="7">
        <v>1E-4</v>
      </c>
      <c r="AP333" s="7">
        <v>1E-4</v>
      </c>
      <c r="AQ333" s="7">
        <v>1E-4</v>
      </c>
      <c r="AR333" s="7">
        <v>2.0000000000000001E-4</v>
      </c>
      <c r="AS333" s="7">
        <v>1E-4</v>
      </c>
      <c r="AT333" s="7">
        <v>1E-4</v>
      </c>
      <c r="AU333" s="7">
        <v>2.0000000000000001E-4</v>
      </c>
      <c r="AV333" s="7">
        <v>2.0000000000000001E-4</v>
      </c>
      <c r="AW333" s="7">
        <v>2.0000000000000001E-4</v>
      </c>
      <c r="AX333" s="7">
        <v>1E-4</v>
      </c>
      <c r="AY333" s="7">
        <v>1E-4</v>
      </c>
      <c r="AZ333" s="7">
        <v>1E-4</v>
      </c>
      <c r="BA333" s="7">
        <v>2.0000000000000001E-4</v>
      </c>
      <c r="BB333" s="7">
        <v>1E-4</v>
      </c>
      <c r="BC333" s="7">
        <v>1E-4</v>
      </c>
      <c r="BD333" s="7">
        <v>1E-4</v>
      </c>
      <c r="BE333" s="7">
        <f>VLOOKUP($A333,'1.Sep'!$AG$8:$AI$1048576,3,0)</f>
        <v>2.0000000000000001E-4</v>
      </c>
      <c r="BF333" s="7">
        <f>VLOOKUP($A333,'2.Sep'!$AG$8:$AI$1048576,3,0)</f>
        <v>1E-4</v>
      </c>
      <c r="BG333" s="7">
        <f>VLOOKUP($A333,'3.Sep'!$AG$8:$AI$1048576,3,0)</f>
        <v>2.0000000000000001E-4</v>
      </c>
      <c r="BH333" s="8">
        <f>VLOOKUP($A333,'4.Sep'!$AG$8:$AI$1048576,3,0)</f>
        <v>1E-4</v>
      </c>
      <c r="BI333" s="8">
        <f>VLOOKUP($A333,'5.Sep'!$AG$8:$AI$1048576,3,0)</f>
        <v>1E-4</v>
      </c>
      <c r="BJ333" s="8">
        <f>VLOOKUP($A333,'6.Sep'!$AG$8:$AI$1048576,3,0)</f>
        <v>1E-4</v>
      </c>
      <c r="BK333" s="8">
        <f>VLOOKUP($A333,'7.Sep'!$AG$8:$AI$1048576,3,0)</f>
        <v>2.0000000000000001E-4</v>
      </c>
      <c r="BL333" s="8">
        <f>VLOOKUP($A333,'8.Sep'!$AG$8:$AI$1048576,3,0)</f>
        <v>1E-4</v>
      </c>
      <c r="BM333" s="8">
        <f>VLOOKUP($A333,'9.Sep'!$AG$8:$AI$1048576,3,0)</f>
        <v>2.0000000000000001E-4</v>
      </c>
      <c r="BN333" s="8">
        <f>VLOOKUP($A333,'10.Sep'!$AG$8:$AI$1048576,3,0)</f>
        <v>1E-4</v>
      </c>
      <c r="BO333" s="8">
        <f>VLOOKUP($A333,'11.Sep'!$AG$8:$AI$1048576,3,0)</f>
        <v>2.0000000000000001E-4</v>
      </c>
      <c r="BP333" s="8">
        <f>VLOOKUP($A333,'12.Sep'!$AG$8:$AI$1048576,3,0)</f>
        <v>1E-4</v>
      </c>
      <c r="BQ333" s="8">
        <f>VLOOKUP($A333,'13.Sep'!$AG$8:$AI$1048576,3,0)</f>
        <v>2.0000000000000001E-4</v>
      </c>
      <c r="BR333" s="8">
        <f>VLOOKUP($A333,'14.Sep'!$AG$8:$AI$1048576,3,0)</f>
        <v>2.0000000000000001E-4</v>
      </c>
      <c r="BS333" s="8">
        <f>VLOOKUP($A333,'15.Sep'!$AG$8:$AI$1048576,3,0)</f>
        <v>2.0000000000000001E-4</v>
      </c>
      <c r="BT333" s="8">
        <f>VLOOKUP($A333,'16.Sep'!$AG$8:$AI$1048576,3,0)</f>
        <v>2.0000000000000001E-4</v>
      </c>
      <c r="BU333" s="8">
        <f>VLOOKUP($A333,'17.Sep'!$AG$8:$AI$1048576,3,0)</f>
        <v>2.0000000000000001E-4</v>
      </c>
      <c r="BV333" s="7">
        <f>VLOOKUP($A333,'18.Sep'!$AG$8:$AI$1048576,3,0)</f>
        <v>2.0000000000000001E-4</v>
      </c>
      <c r="BW333" s="7">
        <f>VLOOKUP($A333,'19.Sep'!$AG$8:$AI$1048576,3,0)</f>
        <v>1E-4</v>
      </c>
      <c r="BX333" s="7">
        <f>VLOOKUP($A333,'20.Sep'!$AG$8:$AI$1048576,3,0)</f>
        <v>1E-4</v>
      </c>
      <c r="BY333" s="7">
        <f>VLOOKUP($A333,'21.Sep'!$AG$8:$AI$1048576,3,0)</f>
        <v>1E-4</v>
      </c>
      <c r="BZ333" s="7">
        <f>VLOOKUP($A333,'22.Sep'!$AG$8:$AI$1048576,3,0)</f>
        <v>2.0000000000000001E-4</v>
      </c>
      <c r="CA333" s="7">
        <f>VLOOKUP($A333,'23.Sep'!$AG$8:$AI$1048576,3,0)</f>
        <v>1E-4</v>
      </c>
      <c r="CB333" s="7">
        <f>VLOOKUP($A333,'24.Sep'!$AG$8:$AI$1048576,3,0)</f>
        <v>1E-4</v>
      </c>
      <c r="CC333" s="7">
        <f>VLOOKUP($A333,'24.Sep'!$AG$8:$AI$1048576,3,0)</f>
        <v>1E-4</v>
      </c>
    </row>
    <row r="334" spans="1:81">
      <c r="A334" s="6" t="s">
        <v>100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f t="shared" si="97"/>
        <v>0</v>
      </c>
      <c r="I334" s="7">
        <f t="shared" si="98"/>
        <v>0</v>
      </c>
      <c r="J334" s="7">
        <f t="shared" si="99"/>
        <v>0</v>
      </c>
      <c r="K334" s="7">
        <f t="shared" si="95"/>
        <v>0</v>
      </c>
      <c r="L334" s="7">
        <f t="shared" si="96"/>
        <v>0</v>
      </c>
      <c r="M334" s="8">
        <v>0</v>
      </c>
      <c r="N334" s="8">
        <v>0</v>
      </c>
      <c r="O334" s="8">
        <v>0</v>
      </c>
      <c r="P334" s="8">
        <v>0</v>
      </c>
      <c r="Q334" s="8">
        <v>0</v>
      </c>
      <c r="R334" s="8">
        <v>0</v>
      </c>
      <c r="S334" s="8">
        <v>0</v>
      </c>
      <c r="T334" s="8">
        <v>0</v>
      </c>
      <c r="U334" s="8">
        <v>0</v>
      </c>
      <c r="V334" s="8">
        <v>0</v>
      </c>
      <c r="W334" s="8">
        <v>0</v>
      </c>
      <c r="X334" s="8">
        <v>0</v>
      </c>
      <c r="Y334" s="8">
        <v>0</v>
      </c>
      <c r="Z334" s="8">
        <v>0</v>
      </c>
      <c r="AA334" s="8">
        <v>0</v>
      </c>
      <c r="AB334" s="8">
        <v>0</v>
      </c>
      <c r="AC334" s="8">
        <v>0</v>
      </c>
      <c r="AD334" s="8">
        <v>0</v>
      </c>
      <c r="AE334" s="8">
        <v>0</v>
      </c>
      <c r="AF334" s="8">
        <v>0</v>
      </c>
      <c r="AG334" s="8">
        <v>0</v>
      </c>
      <c r="AH334" s="8">
        <v>0</v>
      </c>
      <c r="AI334" s="8">
        <v>0</v>
      </c>
      <c r="AJ334" s="8">
        <v>0</v>
      </c>
      <c r="AK334" s="8">
        <v>0</v>
      </c>
      <c r="AL334" s="8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 s="7">
        <v>0</v>
      </c>
      <c r="BE334" s="7">
        <f>VLOOKUP($A334,'1.Sep'!$AG$8:$AI$1048576,3,0)</f>
        <v>0</v>
      </c>
      <c r="BF334" s="7">
        <f>VLOOKUP($A334,'2.Sep'!$AG$8:$AI$1048576,3,0)</f>
        <v>0</v>
      </c>
      <c r="BG334" s="7">
        <f>VLOOKUP($A334,'3.Sep'!$AG$8:$AI$1048576,3,0)</f>
        <v>0</v>
      </c>
      <c r="BH334" s="8">
        <f>VLOOKUP($A334,'4.Sep'!$AG$8:$AI$1048576,3,0)</f>
        <v>0</v>
      </c>
      <c r="BI334" s="8">
        <f>VLOOKUP($A334,'5.Sep'!$AG$8:$AI$1048576,3,0)</f>
        <v>0</v>
      </c>
      <c r="BJ334" s="8">
        <f>VLOOKUP($A334,'6.Sep'!$AG$8:$AI$1048576,3,0)</f>
        <v>0</v>
      </c>
      <c r="BK334" s="8">
        <f>VLOOKUP($A334,'7.Sep'!$AG$8:$AI$1048576,3,0)</f>
        <v>0</v>
      </c>
      <c r="BL334" s="8">
        <f>VLOOKUP($A334,'8.Sep'!$AG$8:$AI$1048576,3,0)</f>
        <v>0</v>
      </c>
      <c r="BM334" s="8">
        <f>VLOOKUP($A334,'9.Sep'!$AG$8:$AI$1048576,3,0)</f>
        <v>0</v>
      </c>
      <c r="BN334" s="8">
        <f>VLOOKUP($A334,'10.Sep'!$AG$8:$AI$1048576,3,0)</f>
        <v>0</v>
      </c>
      <c r="BO334" s="8">
        <f>VLOOKUP($A334,'11.Sep'!$AG$8:$AI$1048576,3,0)</f>
        <v>0</v>
      </c>
      <c r="BP334" s="8">
        <f>VLOOKUP($A334,'12.Sep'!$AG$8:$AI$1048576,3,0)</f>
        <v>0</v>
      </c>
      <c r="BQ334" s="8">
        <f>VLOOKUP($A334,'13.Sep'!$AG$8:$AI$1048576,3,0)</f>
        <v>0</v>
      </c>
      <c r="BR334" s="8">
        <f>VLOOKUP($A334,'14.Sep'!$AG$8:$AI$1048576,3,0)</f>
        <v>0</v>
      </c>
      <c r="BS334" s="8">
        <f>VLOOKUP($A334,'15.Sep'!$AG$8:$AI$1048576,3,0)</f>
        <v>0</v>
      </c>
      <c r="BT334" s="8">
        <f>VLOOKUP($A334,'16.Sep'!$AG$8:$AI$1048576,3,0)</f>
        <v>0</v>
      </c>
      <c r="BU334" s="8">
        <f>VLOOKUP($A334,'17.Sep'!$AG$8:$AI$1048576,3,0)</f>
        <v>0</v>
      </c>
      <c r="BV334" s="7">
        <f>VLOOKUP($A334,'18.Sep'!$AG$8:$AI$1048576,3,0)</f>
        <v>0</v>
      </c>
      <c r="BW334" s="7">
        <f>VLOOKUP($A334,'19.Sep'!$AG$8:$AI$1048576,3,0)</f>
        <v>0</v>
      </c>
      <c r="BX334" s="7">
        <f>VLOOKUP($A334,'20.Sep'!$AG$8:$AI$1048576,3,0)</f>
        <v>0</v>
      </c>
      <c r="BY334" s="7">
        <f>VLOOKUP($A334,'21.Sep'!$AG$8:$AI$1048576,3,0)</f>
        <v>0</v>
      </c>
      <c r="BZ334" s="7">
        <f>VLOOKUP($A334,'22.Sep'!$AG$8:$AI$1048576,3,0)</f>
        <v>0</v>
      </c>
      <c r="CA334" s="7">
        <f>VLOOKUP($A334,'23.Sep'!$AG$8:$AI$1048576,3,0)</f>
        <v>0</v>
      </c>
      <c r="CB334" s="7">
        <f>VLOOKUP($A334,'24.Sep'!$AG$8:$AI$1048576,3,0)</f>
        <v>0</v>
      </c>
      <c r="CC334" s="7">
        <f>VLOOKUP($A334,'24.Sep'!$AG$8:$AI$1048576,3,0)</f>
        <v>0</v>
      </c>
    </row>
    <row r="335" spans="1:81">
      <c r="A335" s="6" t="s">
        <v>101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f t="shared" si="97"/>
        <v>0</v>
      </c>
      <c r="I335" s="7">
        <f t="shared" si="98"/>
        <v>0</v>
      </c>
      <c r="J335" s="7">
        <f t="shared" si="99"/>
        <v>0</v>
      </c>
      <c r="K335" s="7">
        <f t="shared" si="95"/>
        <v>0</v>
      </c>
      <c r="L335" s="7">
        <f t="shared" si="96"/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8">
        <v>0</v>
      </c>
      <c r="S335" s="8">
        <v>0</v>
      </c>
      <c r="T335" s="8">
        <v>0</v>
      </c>
      <c r="U335" s="8">
        <v>0</v>
      </c>
      <c r="V335" s="8">
        <v>0</v>
      </c>
      <c r="W335" s="8">
        <v>0</v>
      </c>
      <c r="X335" s="8">
        <v>0</v>
      </c>
      <c r="Y335" s="8">
        <v>0</v>
      </c>
      <c r="Z335" s="8">
        <v>0</v>
      </c>
      <c r="AA335" s="8">
        <v>0</v>
      </c>
      <c r="AB335" s="8">
        <v>0</v>
      </c>
      <c r="AC335" s="8">
        <v>0</v>
      </c>
      <c r="AD335" s="8">
        <v>0</v>
      </c>
      <c r="AE335" s="8">
        <v>0</v>
      </c>
      <c r="AF335" s="8">
        <v>0</v>
      </c>
      <c r="AG335" s="8">
        <v>0</v>
      </c>
      <c r="AH335" s="8">
        <v>0</v>
      </c>
      <c r="AI335" s="8">
        <v>0</v>
      </c>
      <c r="AJ335" s="8">
        <v>0</v>
      </c>
      <c r="AK335" s="8">
        <v>0</v>
      </c>
      <c r="AL335" s="8">
        <v>0</v>
      </c>
      <c r="AM335" s="7">
        <v>0</v>
      </c>
      <c r="AN335" s="7">
        <v>0</v>
      </c>
      <c r="AO335" s="7">
        <v>0</v>
      </c>
      <c r="AP335" s="8">
        <v>0</v>
      </c>
      <c r="AQ335" s="8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8">
        <v>0</v>
      </c>
      <c r="AZ335" s="8">
        <v>0</v>
      </c>
      <c r="BA335" s="7">
        <v>0</v>
      </c>
      <c r="BB335" s="7">
        <v>0</v>
      </c>
      <c r="BC335" s="7">
        <v>0</v>
      </c>
      <c r="BD335" s="7">
        <v>0</v>
      </c>
      <c r="BE335" s="7">
        <v>0</v>
      </c>
      <c r="BF335" s="7">
        <v>0</v>
      </c>
      <c r="BG335" s="7">
        <v>0</v>
      </c>
      <c r="BH335" s="8">
        <v>0</v>
      </c>
      <c r="BI335" s="8">
        <v>0</v>
      </c>
      <c r="BJ335" s="8">
        <v>0</v>
      </c>
      <c r="BK335" s="8">
        <v>0</v>
      </c>
      <c r="BL335" s="8">
        <v>0</v>
      </c>
      <c r="BM335" s="8">
        <v>0</v>
      </c>
      <c r="BN335" s="8">
        <v>0</v>
      </c>
      <c r="BO335" s="8">
        <v>0</v>
      </c>
      <c r="BP335" s="8">
        <v>0</v>
      </c>
      <c r="BQ335" s="8">
        <v>0</v>
      </c>
      <c r="BR335" s="8">
        <v>0</v>
      </c>
      <c r="BS335" s="8">
        <v>0</v>
      </c>
      <c r="BT335" s="8">
        <v>0</v>
      </c>
      <c r="BU335" s="8">
        <v>0</v>
      </c>
      <c r="BV335" s="7">
        <v>0</v>
      </c>
      <c r="BW335" s="7">
        <v>0</v>
      </c>
      <c r="BX335" s="7">
        <v>0</v>
      </c>
      <c r="BY335" s="7">
        <v>0</v>
      </c>
      <c r="BZ335" s="7">
        <v>0</v>
      </c>
      <c r="CA335" s="7">
        <v>0</v>
      </c>
      <c r="CB335" s="7">
        <v>0</v>
      </c>
      <c r="CC335" s="7">
        <v>0</v>
      </c>
    </row>
    <row r="336" spans="1:81">
      <c r="A336" s="6" t="s">
        <v>102</v>
      </c>
      <c r="B336" s="7">
        <v>4.1666666666666658E-4</v>
      </c>
      <c r="C336" s="7">
        <v>2.142857142857143E-4</v>
      </c>
      <c r="D336" s="7">
        <v>1.2857142857142858E-4</v>
      </c>
      <c r="E336" s="7">
        <v>5.7142857142857148E-5</v>
      </c>
      <c r="F336" s="7">
        <v>5.7142857142857148E-5</v>
      </c>
      <c r="G336" s="7">
        <v>1.0000000000000002E-4</v>
      </c>
      <c r="H336" s="7">
        <f t="shared" si="97"/>
        <v>7.1428571428571434E-5</v>
      </c>
      <c r="I336" s="7">
        <f t="shared" si="98"/>
        <v>8.5714285714285726E-5</v>
      </c>
      <c r="J336" s="7">
        <f t="shared" si="99"/>
        <v>1.0000000000000002E-4</v>
      </c>
      <c r="K336" s="7">
        <f t="shared" si="95"/>
        <v>8.3333333333333331E-5</v>
      </c>
      <c r="L336" s="7">
        <f t="shared" si="96"/>
        <v>1E-4</v>
      </c>
      <c r="M336" s="8">
        <v>1.6999999999999999E-3</v>
      </c>
      <c r="N336" s="8">
        <v>2.0000000000000001E-4</v>
      </c>
      <c r="O336" s="8">
        <v>1E-4</v>
      </c>
      <c r="P336" s="8">
        <v>1E-4</v>
      </c>
      <c r="Q336" s="8">
        <v>2.9999999999999997E-4</v>
      </c>
      <c r="R336" s="8">
        <v>1E-4</v>
      </c>
      <c r="S336" s="8">
        <v>1E-4</v>
      </c>
      <c r="T336" s="8">
        <v>2.0000000000000001E-4</v>
      </c>
      <c r="U336" s="8">
        <v>2.0000000000000001E-4</v>
      </c>
      <c r="V336" s="8">
        <v>2.9999999999999997E-4</v>
      </c>
      <c r="W336" s="8">
        <v>2.0000000000000001E-4</v>
      </c>
      <c r="X336" s="8">
        <v>1E-4</v>
      </c>
      <c r="Y336" s="8">
        <v>4.0000000000000002E-4</v>
      </c>
      <c r="Z336" s="8">
        <v>1E-4</v>
      </c>
      <c r="AA336" s="8">
        <v>1E-4</v>
      </c>
      <c r="AB336" s="8">
        <v>1E-4</v>
      </c>
      <c r="AC336" s="8">
        <v>1E-4</v>
      </c>
      <c r="AD336" s="8">
        <v>2.9999999999999997E-4</v>
      </c>
      <c r="AE336" s="8">
        <v>1E-4</v>
      </c>
      <c r="AF336" s="8">
        <v>1E-4</v>
      </c>
      <c r="AG336" s="8">
        <v>1E-4</v>
      </c>
      <c r="AH336" s="8">
        <v>0</v>
      </c>
      <c r="AI336" s="8">
        <v>1E-4</v>
      </c>
      <c r="AJ336" s="8">
        <v>0</v>
      </c>
      <c r="AK336" s="8">
        <v>1E-4</v>
      </c>
      <c r="AL336" s="8">
        <v>1E-4</v>
      </c>
      <c r="AM336" s="7">
        <v>0</v>
      </c>
      <c r="AN336" s="7">
        <v>0</v>
      </c>
      <c r="AO336" s="7">
        <v>1E-4</v>
      </c>
      <c r="AP336" s="7">
        <v>1E-4</v>
      </c>
      <c r="AQ336" s="7">
        <v>1E-4</v>
      </c>
      <c r="AR336" s="7">
        <v>1E-4</v>
      </c>
      <c r="AS336" s="7">
        <v>0</v>
      </c>
      <c r="AT336" s="7">
        <v>0</v>
      </c>
      <c r="AU336" s="7">
        <v>1E-4</v>
      </c>
      <c r="AV336" s="7">
        <v>1E-4</v>
      </c>
      <c r="AW336" s="7">
        <v>1E-4</v>
      </c>
      <c r="AX336" s="7">
        <v>1E-4</v>
      </c>
      <c r="AY336" s="7">
        <v>1E-4</v>
      </c>
      <c r="AZ336" s="7">
        <v>1E-4</v>
      </c>
      <c r="BA336" s="7">
        <v>1E-4</v>
      </c>
      <c r="BB336" s="7">
        <v>1E-4</v>
      </c>
      <c r="BC336" s="7">
        <v>1E-4</v>
      </c>
      <c r="BD336" s="7">
        <v>0</v>
      </c>
      <c r="BE336" s="7">
        <f>VLOOKUP($A336,'1.Sep'!$AG$8:$AI$1048576,3,0)</f>
        <v>1E-4</v>
      </c>
      <c r="BF336" s="7">
        <f>VLOOKUP($A336,'2.Sep'!$AG$8:$AI$1048576,3,0)</f>
        <v>1E-4</v>
      </c>
      <c r="BG336" s="7">
        <f>VLOOKUP($A336,'3.Sep'!$AG$8:$AI$1048576,3,0)</f>
        <v>1E-4</v>
      </c>
      <c r="BH336" s="8">
        <f>VLOOKUP($A336,'4.Sep'!$AG$8:$AI$1048576,3,0)</f>
        <v>0</v>
      </c>
      <c r="BI336" s="8">
        <f>VLOOKUP($A336,'5.Sep'!$AG$8:$AI$1048576,3,0)</f>
        <v>1E-4</v>
      </c>
      <c r="BJ336" s="8">
        <f>VLOOKUP($A336,'6.Sep'!$AG$8:$AI$1048576,3,0)</f>
        <v>1E-4</v>
      </c>
      <c r="BK336" s="8">
        <f>VLOOKUP($A336,'7.Sep'!$AG$8:$AI$1048576,3,0)</f>
        <v>1E-4</v>
      </c>
      <c r="BL336" s="8">
        <f>VLOOKUP($A336,'8.Sep'!$AG$8:$AI$1048576,3,0)</f>
        <v>1E-4</v>
      </c>
      <c r="BM336" s="8">
        <f>VLOOKUP($A336,'9.Sep'!$AG$8:$AI$1048576,3,0)</f>
        <v>1E-4</v>
      </c>
      <c r="BN336" s="8">
        <f>VLOOKUP($A336,'10.Sep'!$AG$8:$AI$1048576,3,0)</f>
        <v>0</v>
      </c>
      <c r="BO336" s="8">
        <f>VLOOKUP($A336,'11.Sep'!$AG$8:$AI$1048576,3,0)</f>
        <v>1E-4</v>
      </c>
      <c r="BP336" s="8">
        <f>VLOOKUP($A336,'12.Sep'!$AG$8:$AI$1048576,3,0)</f>
        <v>1E-4</v>
      </c>
      <c r="BQ336" s="8">
        <f>VLOOKUP($A336,'13.Sep'!$AG$8:$AI$1048576,3,0)</f>
        <v>1E-4</v>
      </c>
      <c r="BR336" s="8">
        <f>VLOOKUP($A336,'14.Sep'!$AG$8:$AI$1048576,3,0)</f>
        <v>1E-4</v>
      </c>
      <c r="BS336" s="8">
        <f>VLOOKUP($A336,'15.Sep'!$AG$8:$AI$1048576,3,0)</f>
        <v>1E-4</v>
      </c>
      <c r="BT336" s="8">
        <f>VLOOKUP($A336,'16.Sep'!$AG$8:$AI$1048576,3,0)</f>
        <v>1E-4</v>
      </c>
      <c r="BU336" s="8">
        <f>VLOOKUP($A336,'17.Sep'!$AG$8:$AI$1048576,3,0)</f>
        <v>1E-4</v>
      </c>
      <c r="BV336" s="7">
        <f>VLOOKUP($A336,'18.Sep'!$AG$8:$AI$1048576,3,0)</f>
        <v>1E-4</v>
      </c>
      <c r="BW336" s="7">
        <f>VLOOKUP($A336,'19.Sep'!$AG$8:$AI$1048576,3,0)</f>
        <v>0</v>
      </c>
      <c r="BX336" s="7">
        <f>VLOOKUP($A336,'20.Sep'!$AG$8:$AI$1048576,3,0)</f>
        <v>1E-4</v>
      </c>
      <c r="BY336" s="7">
        <f>VLOOKUP($A336,'21.Sep'!$AG$8:$AI$1048576,3,0)</f>
        <v>1E-4</v>
      </c>
      <c r="BZ336" s="7">
        <f>VLOOKUP($A336,'22.Sep'!$AG$8:$AI$1048576,3,0)</f>
        <v>1E-4</v>
      </c>
      <c r="CA336" s="7">
        <f>VLOOKUP($A336,'23.Sep'!$AG$8:$AI$1048576,3,0)</f>
        <v>1E-4</v>
      </c>
      <c r="CB336" s="7">
        <f>VLOOKUP($A336,'24.Sep'!$AG$8:$AI$1048576,3,0)</f>
        <v>1E-4</v>
      </c>
      <c r="CC336" s="7">
        <f>VLOOKUP($A336,'24.Sep'!$AG$8:$AI$1048576,3,0)</f>
        <v>1E-4</v>
      </c>
    </row>
    <row r="337" spans="1:81">
      <c r="A337" s="6" t="s">
        <v>103</v>
      </c>
      <c r="B337" s="7">
        <v>1.6666666666666667E-5</v>
      </c>
      <c r="C337" s="7">
        <v>7.1428571428571434E-5</v>
      </c>
      <c r="D337" s="7">
        <v>5.7142857142857148E-5</v>
      </c>
      <c r="E337" s="7">
        <v>1.4285714285714287E-5</v>
      </c>
      <c r="F337" s="7">
        <v>1.4285714285714287E-5</v>
      </c>
      <c r="G337" s="7">
        <v>0</v>
      </c>
      <c r="H337" s="7">
        <f t="shared" si="97"/>
        <v>0</v>
      </c>
      <c r="I337" s="7">
        <f t="shared" si="98"/>
        <v>1.4285714285714287E-5</v>
      </c>
      <c r="J337" s="7">
        <f t="shared" si="99"/>
        <v>1.5714285714285713E-4</v>
      </c>
      <c r="K337" s="7">
        <f t="shared" si="95"/>
        <v>6.6666666666666656E-5</v>
      </c>
      <c r="L337" s="7">
        <f t="shared" si="96"/>
        <v>7.9999999999999993E-5</v>
      </c>
      <c r="M337" s="8">
        <v>0</v>
      </c>
      <c r="N337" s="8">
        <v>0</v>
      </c>
      <c r="O337" s="8">
        <v>0</v>
      </c>
      <c r="P337" s="8">
        <v>1E-4</v>
      </c>
      <c r="Q337" s="8">
        <v>0</v>
      </c>
      <c r="R337" s="8">
        <v>0</v>
      </c>
      <c r="S337" s="8">
        <v>1E-4</v>
      </c>
      <c r="T337" s="8">
        <v>0</v>
      </c>
      <c r="U337" s="8">
        <v>0</v>
      </c>
      <c r="V337" s="8">
        <v>0</v>
      </c>
      <c r="W337" s="8">
        <v>2.0000000000000001E-4</v>
      </c>
      <c r="X337" s="8">
        <v>1E-4</v>
      </c>
      <c r="Y337" s="8">
        <v>1E-4</v>
      </c>
      <c r="Z337" s="8">
        <v>0</v>
      </c>
      <c r="AA337" s="8">
        <v>0</v>
      </c>
      <c r="AB337" s="8">
        <v>1E-4</v>
      </c>
      <c r="AC337" s="8">
        <v>1E-4</v>
      </c>
      <c r="AD337" s="8">
        <v>0</v>
      </c>
      <c r="AE337" s="8">
        <v>1E-4</v>
      </c>
      <c r="AF337" s="8">
        <v>1E-4</v>
      </c>
      <c r="AG337" s="8">
        <v>0</v>
      </c>
      <c r="AH337" s="8">
        <v>0</v>
      </c>
      <c r="AI337" s="8">
        <v>0</v>
      </c>
      <c r="AJ337" s="8">
        <v>0</v>
      </c>
      <c r="AK337" s="8">
        <v>1E-4</v>
      </c>
      <c r="AL337" s="8">
        <v>0</v>
      </c>
      <c r="AM337" s="7">
        <v>0</v>
      </c>
      <c r="AN337" s="7">
        <v>1E-4</v>
      </c>
      <c r="AO337" s="7">
        <v>0</v>
      </c>
      <c r="AP337" s="7">
        <v>0</v>
      </c>
      <c r="AQ337" s="8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8">
        <v>0</v>
      </c>
      <c r="AZ337" s="8">
        <v>0</v>
      </c>
      <c r="BA337" s="7">
        <v>0</v>
      </c>
      <c r="BB337" s="7">
        <v>0</v>
      </c>
      <c r="BC337" s="7">
        <v>0</v>
      </c>
      <c r="BD337" s="7">
        <v>0</v>
      </c>
      <c r="BE337" s="7">
        <v>0</v>
      </c>
      <c r="BF337" s="7">
        <v>0</v>
      </c>
      <c r="BG337" s="7">
        <f>VLOOKUP($A337,'3.Sep'!$AG$8:$AI$1048576,3,0)</f>
        <v>0</v>
      </c>
      <c r="BH337" s="8">
        <v>0</v>
      </c>
      <c r="BI337" s="8">
        <f>VLOOKUP($A337,'5.Sep'!$AG$8:$AI$1048576,3,0)</f>
        <v>0</v>
      </c>
      <c r="BJ337" s="8">
        <v>0</v>
      </c>
      <c r="BK337" s="8">
        <v>0</v>
      </c>
      <c r="BL337" s="8">
        <f>VLOOKUP($A337,'8.Sep'!$AG$8:$AI$1048576,3,0)</f>
        <v>0</v>
      </c>
      <c r="BM337" s="8">
        <f>VLOOKUP($A337,'9.Sep'!$AG$8:$AI$1048576,3,0)</f>
        <v>0</v>
      </c>
      <c r="BN337" s="8">
        <f>VLOOKUP($A337,'10.Sep'!$AG$8:$AI$1048576,3,0)</f>
        <v>1E-4</v>
      </c>
      <c r="BO337" s="8">
        <f>VLOOKUP($A337,'11.Sep'!$AG$8:$AI$1048576,3,0)</f>
        <v>0</v>
      </c>
      <c r="BP337" s="8">
        <f>VLOOKUP($A337,'12.Sep'!$AG$8:$AI$1048576,3,0)</f>
        <v>2.0000000000000001E-4</v>
      </c>
      <c r="BQ337" s="8">
        <f>VLOOKUP($A337,'13.Sep'!$AG$8:$AI$1048576,3,0)</f>
        <v>0</v>
      </c>
      <c r="BR337" s="8">
        <f>VLOOKUP($A337,'14.Sep'!$AG$8:$AI$1048576,3,0)</f>
        <v>0</v>
      </c>
      <c r="BS337" s="8">
        <f>VLOOKUP($A337,'15.Sep'!$AG$8:$AI$1048576,3,0)</f>
        <v>0</v>
      </c>
      <c r="BT337" s="8">
        <f>VLOOKUP($A337,'16.Sep'!$AG$8:$AI$1048576,3,0)</f>
        <v>2.9999999999999997E-4</v>
      </c>
      <c r="BU337" s="8">
        <f>VLOOKUP($A337,'17.Sep'!$AG$8:$AI$1048576,3,0)</f>
        <v>0</v>
      </c>
      <c r="BV337" s="7">
        <f>VLOOKUP($A337,'18.Sep'!$AG$8:$AI$1048576,3,0)</f>
        <v>5.9999999999999995E-4</v>
      </c>
      <c r="BW337" s="7">
        <f>VLOOKUP($A337,'19.Sep'!$AG$8:$AI$1048576,3,0)</f>
        <v>0</v>
      </c>
      <c r="BX337" s="7">
        <v>0</v>
      </c>
      <c r="BY337" s="7">
        <f>VLOOKUP($A337,'21.Sep'!$AG$8:$AI$1048576,3,0)</f>
        <v>0</v>
      </c>
      <c r="BZ337" s="7">
        <f>VLOOKUP($A337,'22.Sep'!$AG$8:$AI$1048576,3,0)</f>
        <v>0</v>
      </c>
      <c r="CA337" s="7">
        <f>VLOOKUP($A337,'23.Sep'!$AG$8:$AI$1048576,3,0)</f>
        <v>2.9999999999999997E-4</v>
      </c>
      <c r="CB337" s="7">
        <f>VLOOKUP($A337,'24.Sep'!$AG$8:$AI$1048576,3,0)</f>
        <v>1E-4</v>
      </c>
      <c r="CC337" s="7">
        <f>VLOOKUP($A337,'24.Sep'!$AG$8:$AI$1048576,3,0)</f>
        <v>1E-4</v>
      </c>
    </row>
    <row r="338" spans="1:81">
      <c r="A338" s="12" t="s">
        <v>70</v>
      </c>
      <c r="B338" s="10">
        <v>8.166666666666666E-4</v>
      </c>
      <c r="C338" s="10">
        <v>8.714285714285715E-4</v>
      </c>
      <c r="D338" s="10">
        <v>9.0000000000000019E-4</v>
      </c>
      <c r="E338" s="10">
        <v>7.1428571428571439E-4</v>
      </c>
      <c r="F338" s="10">
        <v>8.1428571428571444E-4</v>
      </c>
      <c r="G338" s="10">
        <v>7.5714285714285727E-4</v>
      </c>
      <c r="H338" s="10">
        <f t="shared" ref="H338" si="100">SUM(H331:H337)</f>
        <v>8.1428571428571444E-4</v>
      </c>
      <c r="I338" s="10">
        <f t="shared" ref="I338:J338" si="101">SUM(I331:I337)</f>
        <v>6.8571428571428581E-4</v>
      </c>
      <c r="J338" s="10">
        <f t="shared" si="101"/>
        <v>8.714285714285715E-4</v>
      </c>
      <c r="K338" s="10">
        <f t="shared" ref="K338:L338" si="102">SUM(K331:K337)</f>
        <v>7.666666666666668E-4</v>
      </c>
      <c r="L338" s="10">
        <f t="shared" si="102"/>
        <v>8.2000000000000009E-4</v>
      </c>
      <c r="M338" s="11">
        <v>1.6999999999999999E-3</v>
      </c>
      <c r="N338" s="11">
        <v>8.0000000000000004E-4</v>
      </c>
      <c r="O338" s="11">
        <v>2.0000000000000001E-4</v>
      </c>
      <c r="P338" s="11">
        <v>6.0000000000000006E-4</v>
      </c>
      <c r="Q338" s="11">
        <v>8.9999999999999998E-4</v>
      </c>
      <c r="R338" s="11">
        <v>6.9999999999999999E-4</v>
      </c>
      <c r="S338" s="11">
        <v>6.0000000000000006E-4</v>
      </c>
      <c r="T338" s="11">
        <v>1.2000000000000001E-3</v>
      </c>
      <c r="U338" s="11">
        <v>9.0000000000000008E-4</v>
      </c>
      <c r="V338" s="11">
        <v>2.9999999999999997E-4</v>
      </c>
      <c r="W338" s="11">
        <v>8.9999999999999998E-4</v>
      </c>
      <c r="X338" s="11">
        <v>1E-3</v>
      </c>
      <c r="Y338" s="11">
        <v>1.2000000000000001E-3</v>
      </c>
      <c r="Z338" s="11">
        <v>9.0000000000000008E-4</v>
      </c>
      <c r="AA338" s="11">
        <v>8.0000000000000015E-4</v>
      </c>
      <c r="AB338" s="11">
        <v>1E-3</v>
      </c>
      <c r="AC338" s="11">
        <v>9.0000000000000008E-4</v>
      </c>
      <c r="AD338" s="11">
        <v>1.1000000000000001E-3</v>
      </c>
      <c r="AE338" s="11">
        <v>7.000000000000001E-4</v>
      </c>
      <c r="AF338" s="11">
        <v>9.0000000000000008E-4</v>
      </c>
      <c r="AG338" s="11">
        <v>1.1000000000000001E-3</v>
      </c>
      <c r="AH338" s="11">
        <v>6.0000000000000006E-4</v>
      </c>
      <c r="AI338" s="11">
        <v>7.000000000000001E-4</v>
      </c>
      <c r="AJ338" s="11">
        <v>5.9999999999999995E-4</v>
      </c>
      <c r="AK338" s="11">
        <v>8.0000000000000015E-4</v>
      </c>
      <c r="AL338" s="11">
        <v>6.0000000000000006E-4</v>
      </c>
      <c r="AM338" s="10">
        <v>5.9999999999999995E-4</v>
      </c>
      <c r="AN338" s="10">
        <v>6.0000000000000006E-4</v>
      </c>
      <c r="AO338" s="10">
        <v>7.000000000000001E-4</v>
      </c>
      <c r="AP338" s="10">
        <v>9.0000000000000008E-4</v>
      </c>
      <c r="AQ338" s="10">
        <v>9.0000000000000008E-4</v>
      </c>
      <c r="AR338" s="10">
        <v>1.1000000000000001E-3</v>
      </c>
      <c r="AS338" s="10">
        <v>8.0000000000000004E-4</v>
      </c>
      <c r="AT338" s="10">
        <v>7.000000000000001E-4</v>
      </c>
      <c r="AU338" s="10">
        <v>1E-3</v>
      </c>
      <c r="AV338" s="10">
        <v>9.0000000000000008E-4</v>
      </c>
      <c r="AW338" s="10">
        <v>7.000000000000001E-4</v>
      </c>
      <c r="AX338" s="10">
        <v>7.000000000000001E-4</v>
      </c>
      <c r="AY338" s="10">
        <v>6.0000000000000006E-4</v>
      </c>
      <c r="AZ338" s="10">
        <v>6.0000000000000006E-4</v>
      </c>
      <c r="BA338" s="10">
        <v>8.0000000000000004E-4</v>
      </c>
      <c r="BB338" s="10">
        <v>9.0000000000000008E-4</v>
      </c>
      <c r="BC338" s="10">
        <v>9.0000000000000008E-4</v>
      </c>
      <c r="BD338" s="10">
        <v>8.0000000000000004E-4</v>
      </c>
      <c r="BE338" s="10">
        <f t="shared" ref="BE338:CB338" si="103">SUM(BE331:BE337)</f>
        <v>8.0000000000000004E-4</v>
      </c>
      <c r="BF338" s="10">
        <f t="shared" si="103"/>
        <v>6.0000000000000006E-4</v>
      </c>
      <c r="BG338" s="10">
        <f t="shared" si="103"/>
        <v>1E-3</v>
      </c>
      <c r="BH338" s="11">
        <f t="shared" si="103"/>
        <v>7.000000000000001E-4</v>
      </c>
      <c r="BI338" s="11">
        <f t="shared" si="103"/>
        <v>7.000000000000001E-4</v>
      </c>
      <c r="BJ338" s="11">
        <f t="shared" si="103"/>
        <v>7.000000000000001E-4</v>
      </c>
      <c r="BK338" s="11">
        <f t="shared" si="103"/>
        <v>6.9999999999999999E-4</v>
      </c>
      <c r="BL338" s="11">
        <f t="shared" si="103"/>
        <v>6.0000000000000006E-4</v>
      </c>
      <c r="BM338" s="11">
        <f t="shared" si="103"/>
        <v>8.0000000000000004E-4</v>
      </c>
      <c r="BN338" s="11">
        <f t="shared" si="103"/>
        <v>5.0000000000000001E-4</v>
      </c>
      <c r="BO338" s="11">
        <f t="shared" si="103"/>
        <v>8.0000000000000004E-4</v>
      </c>
      <c r="BP338" s="10">
        <f t="shared" si="103"/>
        <v>9.0000000000000008E-4</v>
      </c>
      <c r="BQ338" s="10">
        <f t="shared" si="103"/>
        <v>8.0000000000000004E-4</v>
      </c>
      <c r="BR338" s="10">
        <f t="shared" si="103"/>
        <v>6.0000000000000006E-4</v>
      </c>
      <c r="BS338" s="10">
        <f t="shared" si="103"/>
        <v>6.0000000000000006E-4</v>
      </c>
      <c r="BT338" s="10">
        <f t="shared" si="103"/>
        <v>1.1000000000000001E-3</v>
      </c>
      <c r="BU338" s="10">
        <f t="shared" si="103"/>
        <v>6.9999999999999999E-4</v>
      </c>
      <c r="BV338" s="10">
        <f t="shared" si="103"/>
        <v>1.4E-3</v>
      </c>
      <c r="BW338" s="10">
        <f t="shared" si="103"/>
        <v>5.0000000000000001E-4</v>
      </c>
      <c r="BX338" s="10">
        <f t="shared" si="103"/>
        <v>7.000000000000001E-4</v>
      </c>
      <c r="BY338" s="10">
        <f t="shared" si="103"/>
        <v>8.0000000000000015E-4</v>
      </c>
      <c r="BZ338" s="10">
        <f t="shared" si="103"/>
        <v>9.0000000000000008E-4</v>
      </c>
      <c r="CA338" s="10">
        <f t="shared" si="103"/>
        <v>1.1000000000000001E-3</v>
      </c>
      <c r="CB338" s="10">
        <f t="shared" si="103"/>
        <v>6.0000000000000006E-4</v>
      </c>
      <c r="CC338" s="10">
        <f t="shared" ref="CC338" si="104">SUM(CC331:CC337)</f>
        <v>6.0000000000000006E-4</v>
      </c>
    </row>
    <row r="339" spans="1:81">
      <c r="A339" s="13" t="s">
        <v>71</v>
      </c>
      <c r="B339" s="14">
        <v>52456</v>
      </c>
      <c r="C339" s="14">
        <v>111266</v>
      </c>
      <c r="D339" s="14">
        <v>274571</v>
      </c>
      <c r="E339" s="14">
        <v>319367</v>
      </c>
      <c r="F339" s="14">
        <v>369098</v>
      </c>
      <c r="G339" s="14">
        <v>444516</v>
      </c>
      <c r="H339" s="14">
        <f>SUM(BB339:BH339)</f>
        <v>414691</v>
      </c>
      <c r="I339" s="14">
        <f>SUM(BI339:BO339)</f>
        <v>502003</v>
      </c>
      <c r="J339" s="14">
        <f>SUM(BP339:BV339)</f>
        <v>491821</v>
      </c>
      <c r="K339" s="14">
        <f>SUM(BW339:CB339)</f>
        <v>586103</v>
      </c>
      <c r="L339" s="14">
        <f>SUM(BX339:CB339)</f>
        <v>498990</v>
      </c>
      <c r="M339" s="15">
        <v>1768</v>
      </c>
      <c r="N339" s="15">
        <v>5391</v>
      </c>
      <c r="O339" s="15">
        <v>9379</v>
      </c>
      <c r="P339" s="15">
        <v>12252</v>
      </c>
      <c r="Q339" s="15">
        <v>11716</v>
      </c>
      <c r="R339" s="15">
        <v>11950</v>
      </c>
      <c r="S339" s="15">
        <v>14199</v>
      </c>
      <c r="T339" s="15">
        <v>11024</v>
      </c>
      <c r="U339" s="15">
        <v>13434</v>
      </c>
      <c r="V339" s="15">
        <v>2878</v>
      </c>
      <c r="W339" s="15">
        <v>6299</v>
      </c>
      <c r="X339" s="15">
        <v>34387</v>
      </c>
      <c r="Y339" s="15">
        <v>29045</v>
      </c>
      <c r="Z339" s="15">
        <v>41566</v>
      </c>
      <c r="AA339" s="15">
        <v>34959</v>
      </c>
      <c r="AB339" s="15">
        <v>39389</v>
      </c>
      <c r="AC339" s="15">
        <v>44280</v>
      </c>
      <c r="AD339" s="15">
        <v>41732</v>
      </c>
      <c r="AE339" s="15">
        <v>35746</v>
      </c>
      <c r="AF339" s="15">
        <v>36899</v>
      </c>
      <c r="AG339" s="15">
        <v>40451</v>
      </c>
      <c r="AH339" s="15">
        <v>43365</v>
      </c>
      <c r="AI339" s="15">
        <v>41369</v>
      </c>
      <c r="AJ339" s="15">
        <v>44226</v>
      </c>
      <c r="AK339" s="15">
        <v>46320</v>
      </c>
      <c r="AL339" s="15">
        <v>51272</v>
      </c>
      <c r="AM339" s="14">
        <v>52364</v>
      </c>
      <c r="AN339" s="14">
        <v>43455</v>
      </c>
      <c r="AO339" s="14">
        <v>48008</v>
      </c>
      <c r="AP339" s="14">
        <v>40861</v>
      </c>
      <c r="AQ339" s="14">
        <v>58570</v>
      </c>
      <c r="AR339" s="14">
        <v>60008</v>
      </c>
      <c r="AS339" s="14">
        <v>60223</v>
      </c>
      <c r="AT339" s="14">
        <v>57973</v>
      </c>
      <c r="AU339" s="14">
        <v>74378</v>
      </c>
      <c r="AV339" s="14">
        <v>53298</v>
      </c>
      <c r="AW339" s="14">
        <v>73292</v>
      </c>
      <c r="AX339" s="14">
        <v>62683</v>
      </c>
      <c r="AY339" s="14">
        <v>63453</v>
      </c>
      <c r="AZ339" s="14">
        <v>60817</v>
      </c>
      <c r="BA339" s="14">
        <v>56595</v>
      </c>
      <c r="BB339" s="14">
        <v>67730</v>
      </c>
      <c r="BC339" s="14">
        <v>53127</v>
      </c>
      <c r="BD339" s="14">
        <v>43450</v>
      </c>
      <c r="BE339" s="14">
        <f>'1.Sep'!$AI$2</f>
        <v>55817</v>
      </c>
      <c r="BF339" s="14">
        <f>'2.Sep'!$AI$2</f>
        <v>66508</v>
      </c>
      <c r="BG339" s="14">
        <f>'3.Sep'!$AI$2</f>
        <v>65193</v>
      </c>
      <c r="BH339" s="15">
        <f>'4.Sep'!$AI$2</f>
        <v>62866</v>
      </c>
      <c r="BI339" s="15">
        <f>'5.Sep'!$AI$2</f>
        <v>71006</v>
      </c>
      <c r="BJ339" s="15">
        <f>'6.Sep'!$AI$2</f>
        <v>72298</v>
      </c>
      <c r="BK339" s="15">
        <f>'7.Sep'!$AI$2</f>
        <v>68392</v>
      </c>
      <c r="BL339" s="15">
        <f>'8.Sep'!$AI$2</f>
        <v>73576</v>
      </c>
      <c r="BM339" s="15">
        <f>'9.Sep'!$AI$2</f>
        <v>68972</v>
      </c>
      <c r="BN339" s="15">
        <f>'10.Sep'!$AI$2</f>
        <v>77671</v>
      </c>
      <c r="BO339" s="15">
        <f>'11.Sep'!$AI$2</f>
        <v>70088</v>
      </c>
      <c r="BP339" s="14">
        <f>'12.Sep'!$AI$2</f>
        <v>72241</v>
      </c>
      <c r="BQ339" s="14">
        <f>'13.Sep'!$AI$2</f>
        <v>67514</v>
      </c>
      <c r="BR339" s="14">
        <f>'14.Sep'!$AI$2</f>
        <v>75792</v>
      </c>
      <c r="BS339" s="14">
        <f>'15.Sep'!$AI$2</f>
        <v>66565</v>
      </c>
      <c r="BT339" s="14">
        <f>'16.Sep'!$AI$2</f>
        <v>70149</v>
      </c>
      <c r="BU339" s="14">
        <f>'17.Sep'!$AI$2</f>
        <v>67947</v>
      </c>
      <c r="BV339" s="14">
        <f>'18.Sep'!$AI$2</f>
        <v>71613</v>
      </c>
      <c r="BW339" s="14">
        <f>'19.Sep'!$AI$2</f>
        <v>87113</v>
      </c>
      <c r="BX339" s="14">
        <f>'20.Sep'!$AI$2</f>
        <v>102762</v>
      </c>
      <c r="BY339" s="14">
        <f>'21.Sep'!$AI$2</f>
        <v>109297</v>
      </c>
      <c r="BZ339" s="14">
        <f>'22.Sep'!$AI$2</f>
        <v>115053</v>
      </c>
      <c r="CA339" s="14">
        <f>'23.Sep'!$AI$2</f>
        <v>81163</v>
      </c>
      <c r="CB339" s="14">
        <f>'24.Sep'!$AI$2</f>
        <v>90715</v>
      </c>
      <c r="CC339" s="14">
        <f>'24.Sep'!$AI$2</f>
        <v>90715</v>
      </c>
    </row>
    <row r="340" spans="1:81">
      <c r="A340" s="13" t="s">
        <v>72</v>
      </c>
      <c r="B340" s="14">
        <v>52418</v>
      </c>
      <c r="C340" s="14">
        <v>111143</v>
      </c>
      <c r="D340" s="14">
        <v>274284</v>
      </c>
      <c r="E340" s="14">
        <v>319096</v>
      </c>
      <c r="F340" s="14">
        <v>368743</v>
      </c>
      <c r="G340" s="14">
        <v>444130</v>
      </c>
      <c r="H340" s="14">
        <f>SUM(BB340:BH340)</f>
        <v>414320</v>
      </c>
      <c r="I340" s="14">
        <f>SUM(BI340:BO340)</f>
        <v>501609</v>
      </c>
      <c r="J340" s="14">
        <f>SUM(BP340:BV340)</f>
        <v>491350</v>
      </c>
      <c r="K340" s="14">
        <f>SUM(BW340:CB340)</f>
        <v>585590</v>
      </c>
      <c r="L340" s="14">
        <f>SUM(BX340:CB340)</f>
        <v>498536</v>
      </c>
      <c r="M340" s="15">
        <v>1764</v>
      </c>
      <c r="N340" s="15">
        <v>5386</v>
      </c>
      <c r="O340" s="15">
        <v>9375</v>
      </c>
      <c r="P340" s="15">
        <v>12245</v>
      </c>
      <c r="Q340" s="15">
        <v>11707</v>
      </c>
      <c r="R340" s="15">
        <v>11941</v>
      </c>
      <c r="S340" s="15">
        <v>14190</v>
      </c>
      <c r="T340" s="15">
        <v>11011</v>
      </c>
      <c r="U340" s="15">
        <v>13420</v>
      </c>
      <c r="V340" s="15">
        <v>2877</v>
      </c>
      <c r="W340" s="15">
        <v>6293</v>
      </c>
      <c r="X340" s="15">
        <v>34349</v>
      </c>
      <c r="Y340" s="15">
        <v>29003</v>
      </c>
      <c r="Z340" s="15">
        <v>41522</v>
      </c>
      <c r="AA340" s="15">
        <v>34930</v>
      </c>
      <c r="AB340" s="15">
        <v>39344</v>
      </c>
      <c r="AC340" s="15">
        <v>44226</v>
      </c>
      <c r="AD340" s="15">
        <v>41680</v>
      </c>
      <c r="AE340" s="15">
        <v>35718</v>
      </c>
      <c r="AF340" s="15">
        <v>36864</v>
      </c>
      <c r="AG340" s="15">
        <v>40397</v>
      </c>
      <c r="AH340" s="15">
        <v>43338</v>
      </c>
      <c r="AI340" s="15">
        <v>41334</v>
      </c>
      <c r="AJ340" s="15">
        <v>44191</v>
      </c>
      <c r="AK340" s="15">
        <v>46284</v>
      </c>
      <c r="AL340" s="15">
        <v>51232</v>
      </c>
      <c r="AM340" s="14">
        <v>52320</v>
      </c>
      <c r="AN340" s="14">
        <v>43423</v>
      </c>
      <c r="AO340" s="14">
        <v>47968</v>
      </c>
      <c r="AP340" s="14">
        <v>40822</v>
      </c>
      <c r="AQ340" s="14">
        <v>58511</v>
      </c>
      <c r="AR340" s="14">
        <v>59934</v>
      </c>
      <c r="AS340" s="14">
        <v>60164</v>
      </c>
      <c r="AT340" s="14">
        <v>57921</v>
      </c>
      <c r="AU340" s="14">
        <v>74300</v>
      </c>
      <c r="AV340" s="14">
        <v>53248</v>
      </c>
      <c r="AW340" s="14">
        <v>73230</v>
      </c>
      <c r="AX340" s="14">
        <v>62632</v>
      </c>
      <c r="AY340" s="14">
        <v>63404</v>
      </c>
      <c r="AZ340" s="14">
        <v>60769</v>
      </c>
      <c r="BA340" s="14">
        <v>56547</v>
      </c>
      <c r="BB340" s="14">
        <v>67668</v>
      </c>
      <c r="BC340" s="14">
        <v>53076</v>
      </c>
      <c r="BD340" s="14">
        <v>43407</v>
      </c>
      <c r="BE340" s="14">
        <f>'1.Sep'!$AI$3</f>
        <v>55767</v>
      </c>
      <c r="BF340" s="14">
        <f>'2.Sep'!$AI$3</f>
        <v>66461</v>
      </c>
      <c r="BG340" s="14">
        <f>'3.Sep'!$AI$3</f>
        <v>65126</v>
      </c>
      <c r="BH340" s="15">
        <f>'4.Sep'!$AI$3</f>
        <v>62815</v>
      </c>
      <c r="BI340" s="15">
        <f>'5.Sep'!$AI$3</f>
        <v>70955</v>
      </c>
      <c r="BJ340" s="15">
        <f>'6.Sep'!$AI$3</f>
        <v>72246</v>
      </c>
      <c r="BK340" s="15">
        <f>'7.Sep'!$AI$3</f>
        <v>68337</v>
      </c>
      <c r="BL340" s="15">
        <f>'8.Sep'!$AI$3</f>
        <v>73523</v>
      </c>
      <c r="BM340" s="15">
        <f>'9.Sep'!$AI$3</f>
        <v>68912</v>
      </c>
      <c r="BN340" s="15">
        <f>'10.Sep'!$AI$3</f>
        <v>77619</v>
      </c>
      <c r="BO340" s="15">
        <f>'11.Sep'!$AI$3</f>
        <v>70017</v>
      </c>
      <c r="BP340" s="14">
        <f>'12.Sep'!$AI$3</f>
        <v>72173</v>
      </c>
      <c r="BQ340" s="14">
        <f>'13.Sep'!$AI$3</f>
        <v>67450</v>
      </c>
      <c r="BR340" s="14">
        <f>'14.Sep'!$AI$3</f>
        <v>75737</v>
      </c>
      <c r="BS340" s="14">
        <f>'15.Sep'!$AI$3</f>
        <v>66518</v>
      </c>
      <c r="BT340" s="14">
        <f>'16.Sep'!$AI$3</f>
        <v>70073</v>
      </c>
      <c r="BU340" s="14">
        <f>'17.Sep'!$AI$3</f>
        <v>67893</v>
      </c>
      <c r="BV340" s="14">
        <f>'18.Sep'!$AI$3</f>
        <v>71506</v>
      </c>
      <c r="BW340" s="14">
        <f>'19.Sep'!$AI$3</f>
        <v>87054</v>
      </c>
      <c r="BX340" s="14">
        <f>'20.Sep'!$AI$3</f>
        <v>102685</v>
      </c>
      <c r="BY340" s="14">
        <f>'21.Sep'!$AI$3</f>
        <v>109190</v>
      </c>
      <c r="BZ340" s="14">
        <f>'22.Sep'!$AI$3</f>
        <v>114938</v>
      </c>
      <c r="CA340" s="14">
        <f>'23.Sep'!$AI$3</f>
        <v>81072</v>
      </c>
      <c r="CB340" s="14">
        <f>'24.Sep'!$AI$3</f>
        <v>90651</v>
      </c>
      <c r="CC340" s="14">
        <f>'24.Sep'!$AI$3</f>
        <v>90651</v>
      </c>
    </row>
  </sheetData>
  <conditionalFormatting sqref="B2:K67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72:K9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01:K107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17:K182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87:K211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16:K22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32:K297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02:K326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31:K337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6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2:L9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01:L107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17:L182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87:L211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16:L22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2:L297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02:L326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31:L337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98:CB100 CB1 CB109:CB116 CB69:CB71 CB328:CB330 CB339:CB1048576 CB299:CB301 CB213:CB215 CB224:CB231 CB184:CB18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2:DL9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1:DL10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97:DL9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8:DL10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8:DL6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DL6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02:DL32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31:DL33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27:DL3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38:DL33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98:DL29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2:DL29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7:DL21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6:DL2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:DL21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23:DL2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3:DL18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7:DL18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84457-AF5A-4D49-93E8-19FC14F2BBD6}">
  <sheetPr codeName="Sheet2"/>
  <dimension ref="A1:K47"/>
  <sheetViews>
    <sheetView workbookViewId="0">
      <selection activeCell="F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41757</v>
      </c>
      <c r="E2" s="41" t="s">
        <v>4</v>
      </c>
      <c r="F2" s="23" t="s">
        <v>105</v>
      </c>
      <c r="G2" s="23">
        <f>G3+G4</f>
        <v>39250</v>
      </c>
      <c r="H2" s="22"/>
      <c r="I2" s="41" t="s">
        <v>6</v>
      </c>
      <c r="J2" s="23" t="s">
        <v>105</v>
      </c>
      <c r="K2" s="23">
        <f>K3+K4</f>
        <v>41566</v>
      </c>
    </row>
    <row r="3" spans="1:11">
      <c r="A3" s="42"/>
      <c r="B3" s="24" t="s">
        <v>106</v>
      </c>
      <c r="C3" s="24">
        <f>B8</f>
        <v>40880</v>
      </c>
      <c r="E3" s="42"/>
      <c r="F3" s="24" t="s">
        <v>106</v>
      </c>
      <c r="G3" s="24">
        <f>F8</f>
        <v>39132</v>
      </c>
      <c r="H3" s="22"/>
      <c r="I3" s="42"/>
      <c r="J3" s="24" t="s">
        <v>106</v>
      </c>
      <c r="K3" s="24">
        <f>J8</f>
        <v>41522</v>
      </c>
    </row>
    <row r="4" spans="1:11">
      <c r="A4" s="42"/>
      <c r="B4" s="25" t="s">
        <v>107</v>
      </c>
      <c r="C4" s="25">
        <f>SUM(B9:B66)</f>
        <v>877</v>
      </c>
      <c r="E4" s="42"/>
      <c r="F4" s="25" t="s">
        <v>107</v>
      </c>
      <c r="G4" s="25">
        <f>SUM(F9:F33)</f>
        <v>118</v>
      </c>
      <c r="H4" s="22"/>
      <c r="I4" s="42"/>
      <c r="J4" s="25" t="s">
        <v>107</v>
      </c>
      <c r="K4" s="25">
        <f>SUM(J9:J31)</f>
        <v>44</v>
      </c>
    </row>
    <row r="5" spans="1:11">
      <c r="A5" s="43"/>
      <c r="B5" s="23" t="s">
        <v>108</v>
      </c>
      <c r="C5" s="26">
        <f>SUM(C9:C179)</f>
        <v>2.0499999999999994E-2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40880</v>
      </c>
      <c r="C8" s="9">
        <v>0.97899999999999998</v>
      </c>
      <c r="E8" s="6" t="s">
        <v>112</v>
      </c>
      <c r="F8" s="29">
        <v>39132</v>
      </c>
      <c r="G8" s="9">
        <v>0.997</v>
      </c>
      <c r="I8" s="6" t="s">
        <v>112</v>
      </c>
      <c r="J8" s="29">
        <v>41522</v>
      </c>
      <c r="K8" s="9">
        <v>0.99890000000000001</v>
      </c>
    </row>
    <row r="9" spans="1:11">
      <c r="A9" s="6" t="s">
        <v>2</v>
      </c>
      <c r="B9" s="6">
        <v>279</v>
      </c>
      <c r="C9" s="9">
        <v>6.7000000000000002E-3</v>
      </c>
      <c r="E9" s="6" t="s">
        <v>122</v>
      </c>
      <c r="F9" s="6">
        <v>75</v>
      </c>
      <c r="G9" s="9">
        <v>1.9E-3</v>
      </c>
      <c r="I9" s="6" t="s">
        <v>2</v>
      </c>
      <c r="J9" s="6">
        <v>15</v>
      </c>
      <c r="K9" s="9">
        <v>4.0000000000000002E-4</v>
      </c>
    </row>
    <row r="10" spans="1:11">
      <c r="A10" s="6" t="s">
        <v>3</v>
      </c>
      <c r="B10" s="6">
        <v>96</v>
      </c>
      <c r="C10" s="9">
        <v>2.3E-3</v>
      </c>
      <c r="E10" s="6" t="s">
        <v>83</v>
      </c>
      <c r="F10" s="6">
        <v>18</v>
      </c>
      <c r="G10" s="9">
        <v>5.0000000000000001E-4</v>
      </c>
      <c r="I10" s="6" t="s">
        <v>98</v>
      </c>
      <c r="J10" s="6">
        <v>10</v>
      </c>
      <c r="K10" s="9">
        <v>2.0000000000000001E-4</v>
      </c>
    </row>
    <row r="11" spans="1:11">
      <c r="A11" s="6" t="s">
        <v>37</v>
      </c>
      <c r="B11" s="6">
        <v>83</v>
      </c>
      <c r="C11" s="9">
        <v>2E-3</v>
      </c>
      <c r="E11" s="6" t="s">
        <v>86</v>
      </c>
      <c r="F11" s="6">
        <v>9</v>
      </c>
      <c r="G11" s="9">
        <v>2.0000000000000001E-4</v>
      </c>
      <c r="I11" s="6" t="s">
        <v>99</v>
      </c>
      <c r="J11" s="6">
        <v>10</v>
      </c>
      <c r="K11" s="9">
        <v>2.0000000000000001E-4</v>
      </c>
    </row>
    <row r="12" spans="1:11">
      <c r="A12" s="6" t="s">
        <v>9</v>
      </c>
      <c r="B12" s="6">
        <v>73</v>
      </c>
      <c r="C12" s="9">
        <v>1.6999999999999999E-3</v>
      </c>
      <c r="E12" s="6" t="s">
        <v>80</v>
      </c>
      <c r="F12" s="6">
        <v>2</v>
      </c>
      <c r="G12" s="9">
        <v>1E-4</v>
      </c>
      <c r="I12" s="6" t="s">
        <v>102</v>
      </c>
      <c r="J12" s="6">
        <v>3</v>
      </c>
      <c r="K12" s="9">
        <v>1E-4</v>
      </c>
    </row>
    <row r="13" spans="1:11">
      <c r="A13" s="6" t="s">
        <v>5</v>
      </c>
      <c r="B13" s="6">
        <v>53</v>
      </c>
      <c r="C13" s="9">
        <v>1.2999999999999999E-3</v>
      </c>
      <c r="E13" s="6" t="s">
        <v>76</v>
      </c>
      <c r="F13" s="6">
        <v>4</v>
      </c>
      <c r="G13" s="9">
        <v>1E-4</v>
      </c>
      <c r="I13" s="6" t="s">
        <v>113</v>
      </c>
      <c r="J13" s="6">
        <v>6</v>
      </c>
      <c r="K13" s="9">
        <v>1E-4</v>
      </c>
    </row>
    <row r="14" spans="1:11">
      <c r="A14" s="6" t="s">
        <v>7</v>
      </c>
      <c r="B14" s="6">
        <v>41</v>
      </c>
      <c r="C14" s="9">
        <v>1E-3</v>
      </c>
      <c r="E14" s="6" t="s">
        <v>82</v>
      </c>
      <c r="F14" s="6">
        <v>2</v>
      </c>
      <c r="G14" s="9">
        <v>1E-4</v>
      </c>
    </row>
    <row r="15" spans="1:11">
      <c r="A15" s="6" t="s">
        <v>11</v>
      </c>
      <c r="B15" s="6">
        <v>37</v>
      </c>
      <c r="C15" s="9">
        <v>8.9999999999999998E-4</v>
      </c>
      <c r="E15" s="6" t="s">
        <v>74</v>
      </c>
      <c r="F15" s="6">
        <v>3</v>
      </c>
      <c r="G15" s="9">
        <v>1E-4</v>
      </c>
    </row>
    <row r="16" spans="1:11">
      <c r="A16" s="6" t="s">
        <v>19</v>
      </c>
      <c r="B16" s="6">
        <v>30</v>
      </c>
      <c r="C16" s="9">
        <v>6.9999999999999999E-4</v>
      </c>
      <c r="E16" s="6" t="s">
        <v>125</v>
      </c>
      <c r="F16" s="6">
        <v>1</v>
      </c>
      <c r="G16" s="30">
        <v>0</v>
      </c>
    </row>
    <row r="17" spans="1:7">
      <c r="A17" s="6" t="s">
        <v>8</v>
      </c>
      <c r="B17" s="6">
        <v>25</v>
      </c>
      <c r="C17" s="9">
        <v>5.9999999999999995E-4</v>
      </c>
      <c r="E17" s="6" t="s">
        <v>77</v>
      </c>
      <c r="F17" s="6">
        <v>1</v>
      </c>
      <c r="G17" s="30">
        <v>0</v>
      </c>
    </row>
    <row r="18" spans="1:7">
      <c r="A18" s="6" t="s">
        <v>12</v>
      </c>
      <c r="B18" s="6">
        <v>20</v>
      </c>
      <c r="C18" s="9">
        <v>5.0000000000000001E-4</v>
      </c>
      <c r="E18" s="6" t="s">
        <v>78</v>
      </c>
      <c r="F18" s="6">
        <v>1</v>
      </c>
      <c r="G18" s="30">
        <v>0</v>
      </c>
    </row>
    <row r="19" spans="1:7">
      <c r="A19" s="6" t="s">
        <v>14</v>
      </c>
      <c r="B19" s="6">
        <v>17</v>
      </c>
      <c r="C19" s="9">
        <v>4.0000000000000002E-4</v>
      </c>
      <c r="E19" s="6" t="s">
        <v>127</v>
      </c>
      <c r="F19" s="6">
        <v>1</v>
      </c>
      <c r="G19" s="30">
        <v>0</v>
      </c>
    </row>
    <row r="20" spans="1:7">
      <c r="A20" s="6" t="s">
        <v>31</v>
      </c>
      <c r="B20" s="6">
        <v>14</v>
      </c>
      <c r="C20" s="9">
        <v>2.9999999999999997E-4</v>
      </c>
      <c r="E20" s="6" t="s">
        <v>91</v>
      </c>
      <c r="F20" s="6">
        <v>1</v>
      </c>
      <c r="G20" s="30">
        <v>0</v>
      </c>
    </row>
    <row r="21" spans="1:7">
      <c r="A21" s="6" t="s">
        <v>50</v>
      </c>
      <c r="B21" s="6">
        <v>9</v>
      </c>
      <c r="C21" s="9">
        <v>2.0000000000000001E-4</v>
      </c>
    </row>
    <row r="22" spans="1:7">
      <c r="A22" s="6" t="s">
        <v>10</v>
      </c>
      <c r="B22" s="6">
        <v>10</v>
      </c>
      <c r="C22" s="9">
        <v>2.0000000000000001E-4</v>
      </c>
    </row>
    <row r="23" spans="1:7">
      <c r="A23" s="6" t="s">
        <v>22</v>
      </c>
      <c r="B23" s="6">
        <v>9</v>
      </c>
      <c r="C23" s="9">
        <v>2.0000000000000001E-4</v>
      </c>
    </row>
    <row r="24" spans="1:7">
      <c r="A24" s="6" t="s">
        <v>15</v>
      </c>
      <c r="B24" s="6">
        <v>8</v>
      </c>
      <c r="C24" s="9">
        <v>2.0000000000000001E-4</v>
      </c>
    </row>
    <row r="25" spans="1:7">
      <c r="A25" s="6" t="s">
        <v>29</v>
      </c>
      <c r="B25" s="6">
        <v>10</v>
      </c>
      <c r="C25" s="9">
        <v>2.0000000000000001E-4</v>
      </c>
    </row>
    <row r="26" spans="1:7">
      <c r="A26" s="6" t="s">
        <v>18</v>
      </c>
      <c r="B26" s="6">
        <v>8</v>
      </c>
      <c r="C26" s="9">
        <v>2.0000000000000001E-4</v>
      </c>
    </row>
    <row r="27" spans="1:7">
      <c r="A27" s="6" t="s">
        <v>41</v>
      </c>
      <c r="B27" s="6">
        <v>8</v>
      </c>
      <c r="C27" s="9">
        <v>2.0000000000000001E-4</v>
      </c>
    </row>
    <row r="28" spans="1:7">
      <c r="A28" s="6" t="s">
        <v>21</v>
      </c>
      <c r="B28" s="6">
        <v>6</v>
      </c>
      <c r="C28" s="9">
        <v>1E-4</v>
      </c>
    </row>
    <row r="29" spans="1:7">
      <c r="A29" s="6" t="s">
        <v>20</v>
      </c>
      <c r="B29" s="6">
        <v>6</v>
      </c>
      <c r="C29" s="9">
        <v>1E-4</v>
      </c>
    </row>
    <row r="30" spans="1:7">
      <c r="A30" s="6" t="s">
        <v>16</v>
      </c>
      <c r="B30" s="6">
        <v>3</v>
      </c>
      <c r="C30" s="9">
        <v>1E-4</v>
      </c>
    </row>
    <row r="31" spans="1:7">
      <c r="A31" s="6" t="s">
        <v>17</v>
      </c>
      <c r="B31" s="6">
        <v>4</v>
      </c>
      <c r="C31" s="9">
        <v>1E-4</v>
      </c>
    </row>
    <row r="32" spans="1:7">
      <c r="A32" s="6" t="s">
        <v>30</v>
      </c>
      <c r="B32" s="6">
        <v>4</v>
      </c>
      <c r="C32" s="9">
        <v>1E-4</v>
      </c>
    </row>
    <row r="33" spans="1:3">
      <c r="A33" s="6" t="s">
        <v>33</v>
      </c>
      <c r="B33" s="6">
        <v>5</v>
      </c>
      <c r="C33" s="9">
        <v>1E-4</v>
      </c>
    </row>
    <row r="34" spans="1:3">
      <c r="A34" s="6" t="s">
        <v>38</v>
      </c>
      <c r="B34" s="6">
        <v>3</v>
      </c>
      <c r="C34" s="9">
        <v>1E-4</v>
      </c>
    </row>
    <row r="35" spans="1:3">
      <c r="A35" s="6" t="s">
        <v>115</v>
      </c>
      <c r="B35" s="6">
        <v>1</v>
      </c>
      <c r="C35" s="30">
        <v>0</v>
      </c>
    </row>
    <row r="36" spans="1:3">
      <c r="A36" s="6" t="s">
        <v>34</v>
      </c>
      <c r="B36" s="6">
        <v>1</v>
      </c>
      <c r="C36" s="30">
        <v>0</v>
      </c>
    </row>
    <row r="37" spans="1:3">
      <c r="A37" s="6" t="s">
        <v>45</v>
      </c>
      <c r="B37" s="6">
        <v>1</v>
      </c>
      <c r="C37" s="30">
        <v>0</v>
      </c>
    </row>
    <row r="38" spans="1:3">
      <c r="A38" s="6" t="s">
        <v>65</v>
      </c>
      <c r="B38" s="6">
        <v>1</v>
      </c>
      <c r="C38" s="30">
        <v>0</v>
      </c>
    </row>
    <row r="39" spans="1:3">
      <c r="A39" s="6" t="s">
        <v>67</v>
      </c>
      <c r="B39" s="6">
        <v>1</v>
      </c>
      <c r="C39" s="30">
        <v>0</v>
      </c>
    </row>
    <row r="40" spans="1:3">
      <c r="A40" s="6" t="s">
        <v>62</v>
      </c>
      <c r="B40" s="6">
        <v>1</v>
      </c>
      <c r="C40" s="30">
        <v>0</v>
      </c>
    </row>
    <row r="41" spans="1:3">
      <c r="A41" s="6" t="s">
        <v>48</v>
      </c>
      <c r="B41" s="6">
        <v>2</v>
      </c>
      <c r="C41" s="30">
        <v>0</v>
      </c>
    </row>
    <row r="42" spans="1:3">
      <c r="A42" s="6" t="s">
        <v>59</v>
      </c>
      <c r="B42" s="6">
        <v>2</v>
      </c>
      <c r="C42" s="30">
        <v>0</v>
      </c>
    </row>
    <row r="43" spans="1:3">
      <c r="A43" s="6" t="s">
        <v>32</v>
      </c>
      <c r="B43" s="6">
        <v>1</v>
      </c>
      <c r="C43" s="30">
        <v>0</v>
      </c>
    </row>
    <row r="44" spans="1:3">
      <c r="A44" s="6" t="s">
        <v>49</v>
      </c>
      <c r="B44" s="6">
        <v>1</v>
      </c>
      <c r="C44" s="30">
        <v>0</v>
      </c>
    </row>
    <row r="45" spans="1:3">
      <c r="A45" s="6" t="s">
        <v>68</v>
      </c>
      <c r="B45" s="6">
        <v>1</v>
      </c>
      <c r="C45" s="30">
        <v>0</v>
      </c>
    </row>
    <row r="46" spans="1:3">
      <c r="A46" s="6" t="s">
        <v>26</v>
      </c>
      <c r="B46" s="6">
        <v>1</v>
      </c>
      <c r="C46" s="30">
        <v>0</v>
      </c>
    </row>
    <row r="47" spans="1:3">
      <c r="A47" s="6" t="s">
        <v>39</v>
      </c>
      <c r="B47" s="6">
        <v>2</v>
      </c>
      <c r="C47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C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C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707C3-B68A-41F3-AFC2-1AB91B42D512}">
  <sheetPr codeName="Sheet3"/>
  <dimension ref="A1:K51"/>
  <sheetViews>
    <sheetView workbookViewId="0">
      <selection activeCell="F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38551</v>
      </c>
      <c r="E2" s="41" t="s">
        <v>4</v>
      </c>
      <c r="F2" s="23" t="s">
        <v>105</v>
      </c>
      <c r="G2" s="23">
        <f>G3+G4</f>
        <v>36620</v>
      </c>
      <c r="H2" s="22"/>
      <c r="I2" s="41" t="s">
        <v>6</v>
      </c>
      <c r="J2" s="23" t="s">
        <v>105</v>
      </c>
      <c r="K2" s="23">
        <f>K3+K4</f>
        <v>34959</v>
      </c>
    </row>
    <row r="3" spans="1:11">
      <c r="A3" s="42"/>
      <c r="B3" s="24" t="s">
        <v>106</v>
      </c>
      <c r="C3" s="24">
        <f>B8</f>
        <v>37634</v>
      </c>
      <c r="E3" s="42"/>
      <c r="F3" s="24" t="s">
        <v>106</v>
      </c>
      <c r="G3" s="24">
        <f>F8</f>
        <v>36514</v>
      </c>
      <c r="H3" s="22"/>
      <c r="I3" s="42"/>
      <c r="J3" s="24" t="s">
        <v>106</v>
      </c>
      <c r="K3" s="24">
        <f>J8</f>
        <v>34930</v>
      </c>
    </row>
    <row r="4" spans="1:11">
      <c r="A4" s="42"/>
      <c r="B4" s="25" t="s">
        <v>107</v>
      </c>
      <c r="C4" s="25">
        <f>SUM(B9:B66)</f>
        <v>917</v>
      </c>
      <c r="E4" s="42"/>
      <c r="F4" s="25" t="s">
        <v>107</v>
      </c>
      <c r="G4" s="25">
        <f>SUM(F9:F33)</f>
        <v>106</v>
      </c>
      <c r="H4" s="22"/>
      <c r="I4" s="42"/>
      <c r="J4" s="25" t="s">
        <v>107</v>
      </c>
      <c r="K4" s="25">
        <f>SUM(J9:J31)</f>
        <v>29</v>
      </c>
    </row>
    <row r="5" spans="1:11">
      <c r="A5" s="43"/>
      <c r="B5" s="23" t="s">
        <v>108</v>
      </c>
      <c r="C5" s="26">
        <f>SUM(C9:C179)</f>
        <v>2.3899999999999998E-2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9.0000000000000019E-4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37634</v>
      </c>
      <c r="C8" s="9">
        <v>0.97619999999999996</v>
      </c>
      <c r="E8" s="6" t="s">
        <v>112</v>
      </c>
      <c r="F8" s="29">
        <v>36514</v>
      </c>
      <c r="G8" s="9">
        <v>0.99709999999999999</v>
      </c>
      <c r="I8" s="6" t="s">
        <v>112</v>
      </c>
      <c r="J8" s="29">
        <v>34930</v>
      </c>
      <c r="K8" s="9">
        <v>0.99919999999999998</v>
      </c>
    </row>
    <row r="9" spans="1:11">
      <c r="A9" s="6" t="s">
        <v>2</v>
      </c>
      <c r="B9" s="6">
        <v>269</v>
      </c>
      <c r="C9" s="9">
        <v>7.0000000000000001E-3</v>
      </c>
      <c r="E9" s="6" t="s">
        <v>122</v>
      </c>
      <c r="F9" s="6">
        <v>46</v>
      </c>
      <c r="G9" s="9">
        <v>1.2999999999999999E-3</v>
      </c>
      <c r="I9" s="6" t="s">
        <v>2</v>
      </c>
      <c r="J9" s="6">
        <v>13</v>
      </c>
      <c r="K9" s="9">
        <v>4.0000000000000002E-4</v>
      </c>
    </row>
    <row r="10" spans="1:11">
      <c r="A10" s="6" t="s">
        <v>3</v>
      </c>
      <c r="B10" s="6">
        <v>103</v>
      </c>
      <c r="C10" s="9">
        <v>2.7000000000000001E-3</v>
      </c>
      <c r="E10" s="6" t="s">
        <v>83</v>
      </c>
      <c r="F10" s="6">
        <v>32</v>
      </c>
      <c r="G10" s="9">
        <v>8.9999999999999998E-4</v>
      </c>
      <c r="I10" s="6" t="s">
        <v>98</v>
      </c>
      <c r="J10" s="6">
        <v>7</v>
      </c>
      <c r="K10" s="9">
        <v>2.0000000000000001E-4</v>
      </c>
    </row>
    <row r="11" spans="1:11">
      <c r="A11" s="6" t="s">
        <v>9</v>
      </c>
      <c r="B11" s="6">
        <v>91</v>
      </c>
      <c r="C11" s="9">
        <v>2.3999999999999998E-3</v>
      </c>
      <c r="E11" s="6" t="s">
        <v>77</v>
      </c>
      <c r="F11" s="6">
        <v>7</v>
      </c>
      <c r="G11" s="9">
        <v>2.0000000000000001E-4</v>
      </c>
      <c r="I11" s="6" t="s">
        <v>102</v>
      </c>
      <c r="J11" s="6">
        <v>2</v>
      </c>
      <c r="K11" s="9">
        <v>1E-4</v>
      </c>
    </row>
    <row r="12" spans="1:11">
      <c r="A12" s="6" t="s">
        <v>37</v>
      </c>
      <c r="B12" s="6">
        <v>58</v>
      </c>
      <c r="C12" s="9">
        <v>1.5E-3</v>
      </c>
      <c r="E12" s="6" t="s">
        <v>82</v>
      </c>
      <c r="F12" s="6">
        <v>3</v>
      </c>
      <c r="G12" s="9">
        <v>1E-4</v>
      </c>
      <c r="I12" s="6" t="s">
        <v>99</v>
      </c>
      <c r="J12" s="6">
        <v>3</v>
      </c>
      <c r="K12" s="9">
        <v>1E-4</v>
      </c>
    </row>
    <row r="13" spans="1:11">
      <c r="A13" s="6" t="s">
        <v>11</v>
      </c>
      <c r="B13" s="6">
        <v>50</v>
      </c>
      <c r="C13" s="9">
        <v>1.2999999999999999E-3</v>
      </c>
      <c r="E13" s="6" t="s">
        <v>74</v>
      </c>
      <c r="F13" s="6">
        <v>4</v>
      </c>
      <c r="G13" s="9">
        <v>1E-4</v>
      </c>
      <c r="I13" s="6" t="s">
        <v>113</v>
      </c>
      <c r="J13" s="6">
        <v>2</v>
      </c>
      <c r="K13" s="9">
        <v>1E-4</v>
      </c>
    </row>
    <row r="14" spans="1:11">
      <c r="A14" s="6" t="s">
        <v>5</v>
      </c>
      <c r="B14" s="6">
        <v>46</v>
      </c>
      <c r="C14" s="9">
        <v>1.1999999999999999E-3</v>
      </c>
      <c r="E14" s="6" t="s">
        <v>75</v>
      </c>
      <c r="F14" s="6">
        <v>4</v>
      </c>
      <c r="G14" s="9">
        <v>1E-4</v>
      </c>
      <c r="I14" s="6" t="s">
        <v>123</v>
      </c>
      <c r="J14" s="6">
        <v>1</v>
      </c>
      <c r="K14" s="30">
        <v>0</v>
      </c>
    </row>
    <row r="15" spans="1:11">
      <c r="A15" s="6" t="s">
        <v>7</v>
      </c>
      <c r="B15" s="6">
        <v>46</v>
      </c>
      <c r="C15" s="9">
        <v>1.1999999999999999E-3</v>
      </c>
      <c r="E15" s="6" t="s">
        <v>86</v>
      </c>
      <c r="F15" s="6">
        <v>3</v>
      </c>
      <c r="G15" s="9">
        <v>1E-4</v>
      </c>
      <c r="I15" s="6" t="s">
        <v>117</v>
      </c>
      <c r="J15" s="6">
        <v>1</v>
      </c>
      <c r="K15" s="30">
        <v>0</v>
      </c>
    </row>
    <row r="16" spans="1:11">
      <c r="A16" s="6" t="s">
        <v>8</v>
      </c>
      <c r="B16" s="6">
        <v>35</v>
      </c>
      <c r="C16" s="9">
        <v>8.9999999999999998E-4</v>
      </c>
      <c r="E16" s="6" t="s">
        <v>79</v>
      </c>
      <c r="F16" s="6">
        <v>3</v>
      </c>
      <c r="G16" s="9">
        <v>1E-4</v>
      </c>
    </row>
    <row r="17" spans="1:7">
      <c r="A17" s="6" t="s">
        <v>19</v>
      </c>
      <c r="B17" s="6">
        <v>20</v>
      </c>
      <c r="C17" s="9">
        <v>5.0000000000000001E-4</v>
      </c>
      <c r="E17" s="6" t="s">
        <v>130</v>
      </c>
      <c r="F17" s="6">
        <v>1</v>
      </c>
      <c r="G17" s="30">
        <v>0</v>
      </c>
    </row>
    <row r="18" spans="1:7">
      <c r="A18" s="6" t="s">
        <v>29</v>
      </c>
      <c r="B18" s="6">
        <v>21</v>
      </c>
      <c r="C18" s="9">
        <v>5.0000000000000001E-4</v>
      </c>
      <c r="E18" s="6" t="s">
        <v>80</v>
      </c>
      <c r="F18" s="6">
        <v>1</v>
      </c>
      <c r="G18" s="30">
        <v>0</v>
      </c>
    </row>
    <row r="19" spans="1:7">
      <c r="A19" s="6" t="s">
        <v>14</v>
      </c>
      <c r="B19" s="6">
        <v>17</v>
      </c>
      <c r="C19" s="9">
        <v>4.0000000000000002E-4</v>
      </c>
      <c r="E19" s="6" t="s">
        <v>76</v>
      </c>
      <c r="F19" s="6">
        <v>1</v>
      </c>
      <c r="G19" s="30">
        <v>0</v>
      </c>
    </row>
    <row r="20" spans="1:7">
      <c r="A20" s="6" t="s">
        <v>17</v>
      </c>
      <c r="B20" s="6">
        <v>16</v>
      </c>
      <c r="C20" s="9">
        <v>4.0000000000000002E-4</v>
      </c>
      <c r="E20" s="6" t="s">
        <v>84</v>
      </c>
      <c r="F20" s="6">
        <v>1</v>
      </c>
      <c r="G20" s="30">
        <v>0</v>
      </c>
    </row>
    <row r="21" spans="1:7">
      <c r="A21" s="6" t="s">
        <v>12</v>
      </c>
      <c r="B21" s="6">
        <v>14</v>
      </c>
      <c r="C21" s="9">
        <v>4.0000000000000002E-4</v>
      </c>
    </row>
    <row r="22" spans="1:7">
      <c r="A22" s="6" t="s">
        <v>46</v>
      </c>
      <c r="B22" s="6">
        <v>14</v>
      </c>
      <c r="C22" s="9">
        <v>4.0000000000000002E-4</v>
      </c>
    </row>
    <row r="23" spans="1:7">
      <c r="A23" s="6" t="s">
        <v>31</v>
      </c>
      <c r="B23" s="6">
        <v>14</v>
      </c>
      <c r="C23" s="9">
        <v>4.0000000000000002E-4</v>
      </c>
    </row>
    <row r="24" spans="1:7">
      <c r="A24" s="6" t="s">
        <v>22</v>
      </c>
      <c r="B24" s="6">
        <v>12</v>
      </c>
      <c r="C24" s="9">
        <v>2.9999999999999997E-4</v>
      </c>
    </row>
    <row r="25" spans="1:7">
      <c r="A25" s="6" t="s">
        <v>41</v>
      </c>
      <c r="B25" s="6">
        <v>12</v>
      </c>
      <c r="C25" s="9">
        <v>2.9999999999999997E-4</v>
      </c>
    </row>
    <row r="26" spans="1:7">
      <c r="A26" s="6" t="s">
        <v>20</v>
      </c>
      <c r="B26" s="6">
        <v>7</v>
      </c>
      <c r="C26" s="9">
        <v>2.0000000000000001E-4</v>
      </c>
    </row>
    <row r="27" spans="1:7">
      <c r="A27" s="6" t="s">
        <v>30</v>
      </c>
      <c r="B27" s="6">
        <v>7</v>
      </c>
      <c r="C27" s="9">
        <v>2.0000000000000001E-4</v>
      </c>
    </row>
    <row r="28" spans="1:7">
      <c r="A28" s="6" t="s">
        <v>18</v>
      </c>
      <c r="B28" s="6">
        <v>6</v>
      </c>
      <c r="C28" s="9">
        <v>2.0000000000000001E-4</v>
      </c>
    </row>
    <row r="29" spans="1:7">
      <c r="A29" s="6" t="s">
        <v>26</v>
      </c>
      <c r="B29" s="6">
        <v>6</v>
      </c>
      <c r="C29" s="9">
        <v>2.0000000000000001E-4</v>
      </c>
    </row>
    <row r="30" spans="1:7">
      <c r="A30" s="6" t="s">
        <v>115</v>
      </c>
      <c r="B30" s="6">
        <v>2</v>
      </c>
      <c r="C30" s="9">
        <v>1E-4</v>
      </c>
    </row>
    <row r="31" spans="1:7">
      <c r="A31" s="6" t="s">
        <v>21</v>
      </c>
      <c r="B31" s="6">
        <v>4</v>
      </c>
      <c r="C31" s="9">
        <v>1E-4</v>
      </c>
    </row>
    <row r="32" spans="1:7">
      <c r="A32" s="6" t="s">
        <v>34</v>
      </c>
      <c r="B32" s="6">
        <v>3</v>
      </c>
      <c r="C32" s="9">
        <v>1E-4</v>
      </c>
    </row>
    <row r="33" spans="1:3">
      <c r="A33" s="6" t="s">
        <v>13</v>
      </c>
      <c r="B33" s="6">
        <v>4</v>
      </c>
      <c r="C33" s="9">
        <v>1E-4</v>
      </c>
    </row>
    <row r="34" spans="1:3">
      <c r="A34" s="6" t="s">
        <v>16</v>
      </c>
      <c r="B34" s="6">
        <v>3</v>
      </c>
      <c r="C34" s="9">
        <v>1E-4</v>
      </c>
    </row>
    <row r="35" spans="1:3">
      <c r="A35" s="6" t="s">
        <v>10</v>
      </c>
      <c r="B35" s="6">
        <v>5</v>
      </c>
      <c r="C35" s="9">
        <v>1E-4</v>
      </c>
    </row>
    <row r="36" spans="1:3">
      <c r="A36" s="6" t="s">
        <v>40</v>
      </c>
      <c r="B36" s="6">
        <v>2</v>
      </c>
      <c r="C36" s="9">
        <v>1E-4</v>
      </c>
    </row>
    <row r="37" spans="1:3">
      <c r="A37" s="6" t="s">
        <v>15</v>
      </c>
      <c r="B37" s="6">
        <v>4</v>
      </c>
      <c r="C37" s="9">
        <v>1E-4</v>
      </c>
    </row>
    <row r="38" spans="1:3">
      <c r="A38" s="6" t="s">
        <v>27</v>
      </c>
      <c r="B38" s="6">
        <v>5</v>
      </c>
      <c r="C38" s="9">
        <v>1E-4</v>
      </c>
    </row>
    <row r="39" spans="1:3">
      <c r="A39" s="6" t="s">
        <v>24</v>
      </c>
      <c r="B39" s="6">
        <v>3</v>
      </c>
      <c r="C39" s="9">
        <v>1E-4</v>
      </c>
    </row>
    <row r="40" spans="1:3">
      <c r="A40" s="6" t="s">
        <v>49</v>
      </c>
      <c r="B40" s="6">
        <v>3</v>
      </c>
      <c r="C40" s="9">
        <v>1E-4</v>
      </c>
    </row>
    <row r="41" spans="1:3">
      <c r="A41" s="6" t="s">
        <v>38</v>
      </c>
      <c r="B41" s="6">
        <v>2</v>
      </c>
      <c r="C41" s="9">
        <v>1E-4</v>
      </c>
    </row>
    <row r="42" spans="1:3">
      <c r="A42" s="6" t="s">
        <v>39</v>
      </c>
      <c r="B42" s="6">
        <v>4</v>
      </c>
      <c r="C42" s="9">
        <v>1E-4</v>
      </c>
    </row>
    <row r="43" spans="1:3">
      <c r="A43" s="6" t="s">
        <v>50</v>
      </c>
      <c r="B43" s="6">
        <v>1</v>
      </c>
      <c r="C43" s="30">
        <v>0</v>
      </c>
    </row>
    <row r="44" spans="1:3">
      <c r="A44" s="6" t="s">
        <v>45</v>
      </c>
      <c r="B44" s="6">
        <v>1</v>
      </c>
      <c r="C44" s="30">
        <v>0</v>
      </c>
    </row>
    <row r="45" spans="1:3">
      <c r="A45" s="6" t="s">
        <v>48</v>
      </c>
      <c r="B45" s="6">
        <v>1</v>
      </c>
      <c r="C45" s="30">
        <v>0</v>
      </c>
    </row>
    <row r="46" spans="1:3">
      <c r="A46" s="6" t="s">
        <v>32</v>
      </c>
      <c r="B46" s="6">
        <v>1</v>
      </c>
      <c r="C46" s="30">
        <v>0</v>
      </c>
    </row>
    <row r="47" spans="1:3">
      <c r="A47" s="6" t="s">
        <v>64</v>
      </c>
      <c r="B47" s="6">
        <v>1</v>
      </c>
      <c r="C47" s="30">
        <v>0</v>
      </c>
    </row>
    <row r="48" spans="1:3">
      <c r="A48" s="6" t="s">
        <v>58</v>
      </c>
      <c r="B48" s="6">
        <v>1</v>
      </c>
      <c r="C48" s="30">
        <v>0</v>
      </c>
    </row>
    <row r="49" spans="1:3">
      <c r="A49" s="6" t="s">
        <v>53</v>
      </c>
      <c r="B49" s="6">
        <v>1</v>
      </c>
      <c r="C49" s="30">
        <v>0</v>
      </c>
    </row>
    <row r="50" spans="1:3">
      <c r="A50" s="6" t="s">
        <v>25</v>
      </c>
      <c r="B50" s="6">
        <v>1</v>
      </c>
      <c r="C50" s="30">
        <v>0</v>
      </c>
    </row>
    <row r="51" spans="1:3">
      <c r="A51" s="6" t="s">
        <v>129</v>
      </c>
      <c r="B51" s="6">
        <v>1</v>
      </c>
      <c r="C51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C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43F7-1E5D-46DA-9B33-56535B3FB73F}">
  <sheetPr codeName="Sheet4"/>
  <dimension ref="A1:K48"/>
  <sheetViews>
    <sheetView workbookViewId="0">
      <selection activeCell="E17" sqref="E1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41374</v>
      </c>
      <c r="E2" s="41" t="s">
        <v>4</v>
      </c>
      <c r="F2" s="23" t="s">
        <v>105</v>
      </c>
      <c r="G2" s="23">
        <f>G3+G4</f>
        <v>34414</v>
      </c>
      <c r="H2" s="22"/>
      <c r="I2" s="41" t="s">
        <v>6</v>
      </c>
      <c r="J2" s="23" t="s">
        <v>105</v>
      </c>
      <c r="K2" s="23">
        <f>K3+K4</f>
        <v>39389</v>
      </c>
    </row>
    <row r="3" spans="1:11">
      <c r="A3" s="42"/>
      <c r="B3" s="24" t="s">
        <v>106</v>
      </c>
      <c r="C3" s="24">
        <f>B8</f>
        <v>40442</v>
      </c>
      <c r="E3" s="42"/>
      <c r="F3" s="24" t="s">
        <v>106</v>
      </c>
      <c r="G3" s="24">
        <f>F8</f>
        <v>34321</v>
      </c>
      <c r="H3" s="22"/>
      <c r="I3" s="42"/>
      <c r="J3" s="24" t="s">
        <v>106</v>
      </c>
      <c r="K3" s="24">
        <f>J8</f>
        <v>39344</v>
      </c>
    </row>
    <row r="4" spans="1:11">
      <c r="A4" s="42"/>
      <c r="B4" s="25" t="s">
        <v>107</v>
      </c>
      <c r="C4" s="25">
        <f>SUM(B9:B66)</f>
        <v>932</v>
      </c>
      <c r="E4" s="42"/>
      <c r="F4" s="25" t="s">
        <v>107</v>
      </c>
      <c r="G4" s="25">
        <f>SUM(F9:F33)</f>
        <v>93</v>
      </c>
      <c r="H4" s="22"/>
      <c r="I4" s="42"/>
      <c r="J4" s="25" t="s">
        <v>107</v>
      </c>
      <c r="K4" s="25">
        <f>SUM(J9:J31)</f>
        <v>45</v>
      </c>
    </row>
    <row r="5" spans="1:11">
      <c r="A5" s="43"/>
      <c r="B5" s="23" t="s">
        <v>108</v>
      </c>
      <c r="C5" s="26">
        <f>SUM(C9:C179)</f>
        <v>2.2199999999999991E-2</v>
      </c>
      <c r="E5" s="43"/>
      <c r="F5" s="23" t="s">
        <v>108</v>
      </c>
      <c r="G5" s="26">
        <f>SUM(G9:G33)</f>
        <v>2.5999999999999994E-3</v>
      </c>
      <c r="H5" s="22"/>
      <c r="I5" s="43"/>
      <c r="J5" s="23" t="s">
        <v>108</v>
      </c>
      <c r="K5" s="26">
        <f>SUM(K9:K31)</f>
        <v>1.2000000000000001E-3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40442</v>
      </c>
      <c r="C8" s="9">
        <v>0.97750000000000004</v>
      </c>
      <c r="E8" s="6" t="s">
        <v>112</v>
      </c>
      <c r="F8" s="29">
        <v>34321</v>
      </c>
      <c r="G8" s="9">
        <v>0.99729999999999996</v>
      </c>
      <c r="I8" s="6" t="s">
        <v>112</v>
      </c>
      <c r="J8" s="29">
        <v>39344</v>
      </c>
      <c r="K8" s="9">
        <v>0.99890000000000001</v>
      </c>
    </row>
    <row r="9" spans="1:11">
      <c r="A9" s="6" t="s">
        <v>2</v>
      </c>
      <c r="B9" s="6">
        <v>256</v>
      </c>
      <c r="C9" s="9">
        <v>6.1999999999999998E-3</v>
      </c>
      <c r="E9" s="6" t="s">
        <v>122</v>
      </c>
      <c r="F9" s="6">
        <v>54</v>
      </c>
      <c r="G9" s="9">
        <v>1.6000000000000001E-3</v>
      </c>
      <c r="I9" s="6" t="s">
        <v>2</v>
      </c>
      <c r="J9" s="6">
        <v>17</v>
      </c>
      <c r="K9" s="9">
        <v>4.0000000000000002E-4</v>
      </c>
    </row>
    <row r="10" spans="1:11">
      <c r="A10" s="6" t="s">
        <v>9</v>
      </c>
      <c r="B10" s="6">
        <v>140</v>
      </c>
      <c r="C10" s="9">
        <v>3.3999999999999998E-3</v>
      </c>
      <c r="E10" s="6" t="s">
        <v>83</v>
      </c>
      <c r="F10" s="6">
        <v>24</v>
      </c>
      <c r="G10" s="9">
        <v>6.9999999999999999E-4</v>
      </c>
      <c r="I10" s="6" t="s">
        <v>99</v>
      </c>
      <c r="J10" s="6">
        <v>10</v>
      </c>
      <c r="K10" s="9">
        <v>2.9999999999999997E-4</v>
      </c>
    </row>
    <row r="11" spans="1:11">
      <c r="A11" s="6" t="s">
        <v>3</v>
      </c>
      <c r="B11" s="6">
        <v>119</v>
      </c>
      <c r="C11" s="9">
        <v>2.8999999999999998E-3</v>
      </c>
      <c r="E11" s="6" t="s">
        <v>76</v>
      </c>
      <c r="F11" s="6">
        <v>3</v>
      </c>
      <c r="G11" s="9">
        <v>1E-4</v>
      </c>
      <c r="I11" s="6" t="s">
        <v>102</v>
      </c>
      <c r="J11" s="6">
        <v>4</v>
      </c>
      <c r="K11" s="9">
        <v>1E-4</v>
      </c>
    </row>
    <row r="12" spans="1:11">
      <c r="A12" s="6" t="s">
        <v>8</v>
      </c>
      <c r="B12" s="6">
        <v>74</v>
      </c>
      <c r="C12" s="9">
        <v>1.8E-3</v>
      </c>
      <c r="E12" s="6" t="s">
        <v>77</v>
      </c>
      <c r="F12" s="6">
        <v>4</v>
      </c>
      <c r="G12" s="9">
        <v>1E-4</v>
      </c>
      <c r="I12" s="6" t="s">
        <v>103</v>
      </c>
      <c r="J12" s="6">
        <v>3</v>
      </c>
      <c r="K12" s="9">
        <v>1E-4</v>
      </c>
    </row>
    <row r="13" spans="1:11">
      <c r="A13" s="6" t="s">
        <v>7</v>
      </c>
      <c r="B13" s="6">
        <v>49</v>
      </c>
      <c r="C13" s="9">
        <v>1.1999999999999999E-3</v>
      </c>
      <c r="E13" s="6" t="s">
        <v>84</v>
      </c>
      <c r="F13" s="6">
        <v>2</v>
      </c>
      <c r="G13" s="9">
        <v>1E-4</v>
      </c>
      <c r="I13" s="6" t="s">
        <v>98</v>
      </c>
      <c r="J13" s="6">
        <v>4</v>
      </c>
      <c r="K13" s="9">
        <v>1E-4</v>
      </c>
    </row>
    <row r="14" spans="1:11">
      <c r="A14" s="6" t="s">
        <v>37</v>
      </c>
      <c r="B14" s="6">
        <v>46</v>
      </c>
      <c r="C14" s="9">
        <v>1.1000000000000001E-3</v>
      </c>
      <c r="E14" s="6" t="s">
        <v>92</v>
      </c>
      <c r="F14" s="6">
        <v>1</v>
      </c>
      <c r="G14" s="30">
        <v>0</v>
      </c>
      <c r="I14" s="6" t="s">
        <v>132</v>
      </c>
      <c r="J14" s="6">
        <v>2</v>
      </c>
      <c r="K14" s="9">
        <v>1E-4</v>
      </c>
    </row>
    <row r="15" spans="1:11">
      <c r="A15" s="6" t="s">
        <v>5</v>
      </c>
      <c r="B15" s="6">
        <v>39</v>
      </c>
      <c r="C15" s="9">
        <v>8.9999999999999998E-4</v>
      </c>
      <c r="E15" s="6" t="s">
        <v>79</v>
      </c>
      <c r="F15" s="6">
        <v>1</v>
      </c>
      <c r="G15" s="30">
        <v>0</v>
      </c>
      <c r="I15" s="6" t="s">
        <v>113</v>
      </c>
      <c r="J15" s="6">
        <v>3</v>
      </c>
      <c r="K15" s="9">
        <v>1E-4</v>
      </c>
    </row>
    <row r="16" spans="1:11">
      <c r="A16" s="6" t="s">
        <v>11</v>
      </c>
      <c r="B16" s="6">
        <v>35</v>
      </c>
      <c r="C16" s="9">
        <v>8.0000000000000004E-4</v>
      </c>
      <c r="E16" s="6" t="s">
        <v>74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</row>
    <row r="17" spans="1:11">
      <c r="A17" s="6" t="s">
        <v>29</v>
      </c>
      <c r="B17" s="6">
        <v>19</v>
      </c>
      <c r="C17" s="9">
        <v>5.0000000000000001E-4</v>
      </c>
      <c r="E17" s="6" t="s">
        <v>86</v>
      </c>
      <c r="F17" s="6">
        <v>1</v>
      </c>
      <c r="G17" s="30">
        <v>0</v>
      </c>
      <c r="I17" s="6" t="s">
        <v>126</v>
      </c>
      <c r="J17" s="6">
        <v>1</v>
      </c>
      <c r="K17" s="30">
        <v>0</v>
      </c>
    </row>
    <row r="18" spans="1:11">
      <c r="A18" s="6" t="s">
        <v>17</v>
      </c>
      <c r="B18" s="6">
        <v>16</v>
      </c>
      <c r="C18" s="9">
        <v>4.0000000000000002E-4</v>
      </c>
      <c r="E18" s="6" t="s">
        <v>91</v>
      </c>
      <c r="F18" s="6">
        <v>1</v>
      </c>
      <c r="G18" s="30">
        <v>0</v>
      </c>
    </row>
    <row r="19" spans="1:11">
      <c r="A19" s="6" t="s">
        <v>14</v>
      </c>
      <c r="B19" s="6">
        <v>15</v>
      </c>
      <c r="C19" s="9">
        <v>4.0000000000000002E-4</v>
      </c>
      <c r="E19" s="6" t="s">
        <v>81</v>
      </c>
      <c r="F19" s="6">
        <v>1</v>
      </c>
      <c r="G19" s="30">
        <v>0</v>
      </c>
    </row>
    <row r="20" spans="1:11">
      <c r="A20" s="6" t="s">
        <v>12</v>
      </c>
      <c r="B20" s="6">
        <v>15</v>
      </c>
      <c r="C20" s="9">
        <v>4.0000000000000002E-4</v>
      </c>
    </row>
    <row r="21" spans="1:11">
      <c r="A21" s="6" t="s">
        <v>19</v>
      </c>
      <c r="B21" s="6">
        <v>12</v>
      </c>
      <c r="C21" s="9">
        <v>2.9999999999999997E-4</v>
      </c>
    </row>
    <row r="22" spans="1:11">
      <c r="A22" s="6" t="s">
        <v>18</v>
      </c>
      <c r="B22" s="6">
        <v>9</v>
      </c>
      <c r="C22" s="9">
        <v>2.0000000000000001E-4</v>
      </c>
    </row>
    <row r="23" spans="1:11">
      <c r="A23" s="6" t="s">
        <v>31</v>
      </c>
      <c r="B23" s="6">
        <v>9</v>
      </c>
      <c r="C23" s="9">
        <v>2.0000000000000001E-4</v>
      </c>
    </row>
    <row r="24" spans="1:11">
      <c r="A24" s="6" t="s">
        <v>22</v>
      </c>
      <c r="B24" s="6">
        <v>7</v>
      </c>
      <c r="C24" s="9">
        <v>2.0000000000000001E-4</v>
      </c>
    </row>
    <row r="25" spans="1:11">
      <c r="A25" s="6" t="s">
        <v>41</v>
      </c>
      <c r="B25" s="6">
        <v>9</v>
      </c>
      <c r="C25" s="9">
        <v>2.0000000000000001E-4</v>
      </c>
    </row>
    <row r="26" spans="1:11">
      <c r="A26" s="6" t="s">
        <v>30</v>
      </c>
      <c r="B26" s="6">
        <v>7</v>
      </c>
      <c r="C26" s="9">
        <v>2.0000000000000001E-4</v>
      </c>
    </row>
    <row r="27" spans="1:11">
      <c r="A27" s="6" t="s">
        <v>20</v>
      </c>
      <c r="B27" s="6">
        <v>4</v>
      </c>
      <c r="C27" s="9">
        <v>1E-4</v>
      </c>
    </row>
    <row r="28" spans="1:11">
      <c r="A28" s="6" t="s">
        <v>34</v>
      </c>
      <c r="B28" s="6">
        <v>3</v>
      </c>
      <c r="C28" s="9">
        <v>1E-4</v>
      </c>
    </row>
    <row r="29" spans="1:11">
      <c r="A29" s="6" t="s">
        <v>44</v>
      </c>
      <c r="B29" s="6">
        <v>6</v>
      </c>
      <c r="C29" s="9">
        <v>1E-4</v>
      </c>
    </row>
    <row r="30" spans="1:11">
      <c r="A30" s="6" t="s">
        <v>24</v>
      </c>
      <c r="B30" s="6">
        <v>5</v>
      </c>
      <c r="C30" s="9">
        <v>1E-4</v>
      </c>
    </row>
    <row r="31" spans="1:11">
      <c r="A31" s="6" t="s">
        <v>15</v>
      </c>
      <c r="B31" s="6">
        <v>5</v>
      </c>
      <c r="C31" s="9">
        <v>1E-4</v>
      </c>
    </row>
    <row r="32" spans="1:11">
      <c r="A32" s="6" t="s">
        <v>40</v>
      </c>
      <c r="B32" s="6">
        <v>3</v>
      </c>
      <c r="C32" s="9">
        <v>1E-4</v>
      </c>
    </row>
    <row r="33" spans="1:3">
      <c r="A33" s="6" t="s">
        <v>10</v>
      </c>
      <c r="B33" s="6">
        <v>5</v>
      </c>
      <c r="C33" s="9">
        <v>1E-4</v>
      </c>
    </row>
    <row r="34" spans="1:3">
      <c r="A34" s="6" t="s">
        <v>26</v>
      </c>
      <c r="B34" s="6">
        <v>4</v>
      </c>
      <c r="C34" s="9">
        <v>1E-4</v>
      </c>
    </row>
    <row r="35" spans="1:3">
      <c r="A35" s="6" t="s">
        <v>38</v>
      </c>
      <c r="B35" s="6">
        <v>3</v>
      </c>
      <c r="C35" s="9">
        <v>1E-4</v>
      </c>
    </row>
    <row r="36" spans="1:3">
      <c r="A36" s="6" t="s">
        <v>60</v>
      </c>
      <c r="B36" s="6">
        <v>1</v>
      </c>
      <c r="C36" s="30">
        <v>0</v>
      </c>
    </row>
    <row r="37" spans="1:3">
      <c r="A37" s="6" t="s">
        <v>115</v>
      </c>
      <c r="B37" s="6">
        <v>2</v>
      </c>
      <c r="C37" s="30">
        <v>0</v>
      </c>
    </row>
    <row r="38" spans="1:3">
      <c r="A38" s="6" t="s">
        <v>13</v>
      </c>
      <c r="B38" s="6">
        <v>1</v>
      </c>
      <c r="C38" s="30">
        <v>0</v>
      </c>
    </row>
    <row r="39" spans="1:3">
      <c r="A39" s="6" t="s">
        <v>36</v>
      </c>
      <c r="B39" s="6">
        <v>2</v>
      </c>
      <c r="C39" s="30">
        <v>0</v>
      </c>
    </row>
    <row r="40" spans="1:3">
      <c r="A40" s="6" t="s">
        <v>16</v>
      </c>
      <c r="B40" s="6">
        <v>2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49</v>
      </c>
      <c r="B42" s="6">
        <v>2</v>
      </c>
      <c r="C42" s="30">
        <v>0</v>
      </c>
    </row>
    <row r="43" spans="1:3">
      <c r="A43" s="6" t="s">
        <v>43</v>
      </c>
      <c r="B43" s="6">
        <v>2</v>
      </c>
      <c r="C43" s="30">
        <v>0</v>
      </c>
    </row>
    <row r="44" spans="1:3">
      <c r="A44" s="6" t="s">
        <v>131</v>
      </c>
      <c r="B44" s="6">
        <v>1</v>
      </c>
      <c r="C44" s="30">
        <v>0</v>
      </c>
    </row>
    <row r="45" spans="1:3">
      <c r="A45" s="6" t="s">
        <v>33</v>
      </c>
      <c r="B45" s="6">
        <v>1</v>
      </c>
      <c r="C45" s="30">
        <v>0</v>
      </c>
    </row>
    <row r="46" spans="1:3">
      <c r="A46" s="6" t="s">
        <v>58</v>
      </c>
      <c r="B46" s="6">
        <v>1</v>
      </c>
      <c r="C46" s="30">
        <v>0</v>
      </c>
    </row>
    <row r="47" spans="1:3">
      <c r="A47" s="6" t="s">
        <v>68</v>
      </c>
      <c r="B47" s="6">
        <v>1</v>
      </c>
      <c r="C47" s="30">
        <v>0</v>
      </c>
    </row>
    <row r="48" spans="1:3">
      <c r="A48" s="6" t="s">
        <v>61</v>
      </c>
      <c r="B48" s="6">
        <v>1</v>
      </c>
      <c r="C48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666B-3D66-435A-A73E-F8489164F685}">
  <sheetPr codeName="Sheet5"/>
  <dimension ref="A1:K49"/>
  <sheetViews>
    <sheetView workbookViewId="0">
      <selection activeCell="E27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43211</v>
      </c>
      <c r="E2" s="41" t="s">
        <v>4</v>
      </c>
      <c r="F2" s="23" t="s">
        <v>105</v>
      </c>
      <c r="G2" s="23">
        <f>G3+G4</f>
        <v>39546</v>
      </c>
      <c r="H2" s="22"/>
      <c r="I2" s="41" t="s">
        <v>6</v>
      </c>
      <c r="J2" s="23" t="s">
        <v>105</v>
      </c>
      <c r="K2" s="23">
        <f>K3+K4</f>
        <v>44280</v>
      </c>
    </row>
    <row r="3" spans="1:11">
      <c r="A3" s="42"/>
      <c r="B3" s="24" t="s">
        <v>106</v>
      </c>
      <c r="C3" s="24">
        <f>B8</f>
        <v>42073</v>
      </c>
      <c r="E3" s="42"/>
      <c r="F3" s="24" t="s">
        <v>106</v>
      </c>
      <c r="G3" s="24">
        <f>F8</f>
        <v>39432</v>
      </c>
      <c r="H3" s="22"/>
      <c r="I3" s="42"/>
      <c r="J3" s="24" t="s">
        <v>106</v>
      </c>
      <c r="K3" s="24">
        <f>J8</f>
        <v>44226</v>
      </c>
    </row>
    <row r="4" spans="1:11">
      <c r="A4" s="42"/>
      <c r="B4" s="25" t="s">
        <v>107</v>
      </c>
      <c r="C4" s="25">
        <f>SUM(B9:B66)</f>
        <v>1138</v>
      </c>
      <c r="E4" s="42"/>
      <c r="F4" s="25" t="s">
        <v>107</v>
      </c>
      <c r="G4" s="25">
        <f>SUM(F9:F33)</f>
        <v>114</v>
      </c>
      <c r="H4" s="22"/>
      <c r="I4" s="42"/>
      <c r="J4" s="25" t="s">
        <v>107</v>
      </c>
      <c r="K4" s="25">
        <f>SUM(J9:J31)</f>
        <v>54</v>
      </c>
    </row>
    <row r="5" spans="1:11">
      <c r="A5" s="43"/>
      <c r="B5" s="23" t="s">
        <v>108</v>
      </c>
      <c r="C5" s="26">
        <f>SUM(C9:C179)</f>
        <v>2.6099999999999995E-2</v>
      </c>
      <c r="E5" s="43"/>
      <c r="F5" s="23" t="s">
        <v>108</v>
      </c>
      <c r="G5" s="26">
        <f>SUM(G9:G33)</f>
        <v>2.9000000000000002E-3</v>
      </c>
      <c r="H5" s="22"/>
      <c r="I5" s="43"/>
      <c r="J5" s="23" t="s">
        <v>108</v>
      </c>
      <c r="K5" s="26">
        <f>SUM(K9:K31)</f>
        <v>1.1000000000000001E-3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42073</v>
      </c>
      <c r="C8" s="9">
        <v>0.97370000000000001</v>
      </c>
      <c r="E8" s="6" t="s">
        <v>112</v>
      </c>
      <c r="F8" s="29">
        <v>39432</v>
      </c>
      <c r="G8" s="9">
        <v>0.99709999999999999</v>
      </c>
      <c r="I8" t="s">
        <v>112</v>
      </c>
      <c r="J8" s="31">
        <v>44226</v>
      </c>
      <c r="K8" s="32">
        <v>0.99890000000000001</v>
      </c>
    </row>
    <row r="9" spans="1:11">
      <c r="A9" s="6" t="s">
        <v>2</v>
      </c>
      <c r="B9" s="6">
        <v>366</v>
      </c>
      <c r="C9" s="9">
        <v>8.5000000000000006E-3</v>
      </c>
      <c r="E9" s="6" t="s">
        <v>122</v>
      </c>
      <c r="F9" s="6">
        <v>62</v>
      </c>
      <c r="G9" s="9">
        <v>1.6000000000000001E-3</v>
      </c>
      <c r="I9" t="s">
        <v>2</v>
      </c>
      <c r="J9">
        <v>24</v>
      </c>
      <c r="K9" s="32">
        <v>5.0000000000000001E-4</v>
      </c>
    </row>
    <row r="10" spans="1:11">
      <c r="A10" s="6" t="s">
        <v>9</v>
      </c>
      <c r="B10" s="6">
        <v>179</v>
      </c>
      <c r="C10" s="9">
        <v>4.1000000000000003E-3</v>
      </c>
      <c r="E10" s="6" t="s">
        <v>83</v>
      </c>
      <c r="F10" s="6">
        <v>22</v>
      </c>
      <c r="G10" s="9">
        <v>5.9999999999999995E-4</v>
      </c>
      <c r="I10" t="s">
        <v>99</v>
      </c>
      <c r="J10">
        <v>8</v>
      </c>
      <c r="K10" s="32">
        <v>2.0000000000000001E-4</v>
      </c>
    </row>
    <row r="11" spans="1:11">
      <c r="A11" s="6" t="s">
        <v>3</v>
      </c>
      <c r="B11" s="6">
        <v>127</v>
      </c>
      <c r="C11" s="9">
        <v>2.8999999999999998E-3</v>
      </c>
      <c r="E11" s="6" t="s">
        <v>86</v>
      </c>
      <c r="F11" s="6">
        <v>8</v>
      </c>
      <c r="G11" s="9">
        <v>2.0000000000000001E-4</v>
      </c>
      <c r="I11" t="s">
        <v>102</v>
      </c>
      <c r="J11">
        <v>5</v>
      </c>
      <c r="K11" s="32">
        <v>1E-4</v>
      </c>
    </row>
    <row r="12" spans="1:11">
      <c r="A12" s="6" t="s">
        <v>5</v>
      </c>
      <c r="B12" s="6">
        <v>81</v>
      </c>
      <c r="C12" s="9">
        <v>1.9E-3</v>
      </c>
      <c r="E12" s="6" t="s">
        <v>77</v>
      </c>
      <c r="F12" s="6">
        <v>9</v>
      </c>
      <c r="G12" s="9">
        <v>2.0000000000000001E-4</v>
      </c>
      <c r="I12" t="s">
        <v>103</v>
      </c>
      <c r="J12">
        <v>6</v>
      </c>
      <c r="K12" s="32">
        <v>1E-4</v>
      </c>
    </row>
    <row r="13" spans="1:11">
      <c r="A13" s="6" t="s">
        <v>11</v>
      </c>
      <c r="B13" s="6">
        <v>58</v>
      </c>
      <c r="C13" s="9">
        <v>1.2999999999999999E-3</v>
      </c>
      <c r="E13" s="6" t="s">
        <v>76</v>
      </c>
      <c r="F13" s="6">
        <v>6</v>
      </c>
      <c r="G13" s="9">
        <v>2.0000000000000001E-4</v>
      </c>
      <c r="I13" t="s">
        <v>113</v>
      </c>
      <c r="J13">
        <v>4</v>
      </c>
      <c r="K13" s="32">
        <v>1E-4</v>
      </c>
    </row>
    <row r="14" spans="1:11">
      <c r="A14" s="6" t="s">
        <v>7</v>
      </c>
      <c r="B14" s="6">
        <v>55</v>
      </c>
      <c r="C14" s="9">
        <v>1.2999999999999999E-3</v>
      </c>
      <c r="E14" s="6" t="s">
        <v>74</v>
      </c>
      <c r="F14" s="6">
        <v>3</v>
      </c>
      <c r="G14" s="9">
        <v>1E-4</v>
      </c>
      <c r="I14" t="s">
        <v>98</v>
      </c>
      <c r="J14">
        <v>2</v>
      </c>
      <c r="K14" s="33">
        <v>0</v>
      </c>
    </row>
    <row r="15" spans="1:11">
      <c r="A15" s="6" t="s">
        <v>37</v>
      </c>
      <c r="B15" s="6">
        <v>39</v>
      </c>
      <c r="C15" s="9">
        <v>8.9999999999999998E-4</v>
      </c>
      <c r="E15" s="6" t="s">
        <v>80</v>
      </c>
      <c r="F15" s="6">
        <v>1</v>
      </c>
      <c r="G15" s="30">
        <v>0</v>
      </c>
      <c r="I15" s="6" t="s">
        <v>113</v>
      </c>
      <c r="J15" s="6">
        <v>3</v>
      </c>
      <c r="K15" s="9">
        <v>1E-4</v>
      </c>
    </row>
    <row r="16" spans="1:11">
      <c r="A16" s="6" t="s">
        <v>8</v>
      </c>
      <c r="B16" s="6">
        <v>38</v>
      </c>
      <c r="C16" s="9">
        <v>8.9999999999999998E-4</v>
      </c>
      <c r="E16" s="6" t="s">
        <v>92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</row>
    <row r="17" spans="1:11">
      <c r="A17" s="6" t="s">
        <v>14</v>
      </c>
      <c r="B17" s="6">
        <v>22</v>
      </c>
      <c r="C17" s="9">
        <v>5.0000000000000001E-4</v>
      </c>
      <c r="E17" s="6" t="s">
        <v>81</v>
      </c>
      <c r="F17" s="6">
        <v>1</v>
      </c>
      <c r="G17" s="30">
        <v>0</v>
      </c>
      <c r="I17" s="6" t="s">
        <v>126</v>
      </c>
      <c r="J17" s="6">
        <v>1</v>
      </c>
      <c r="K17" s="30">
        <v>0</v>
      </c>
    </row>
    <row r="18" spans="1:11">
      <c r="A18" s="6" t="s">
        <v>19</v>
      </c>
      <c r="B18" s="6">
        <v>17</v>
      </c>
      <c r="C18" s="9">
        <v>4.0000000000000002E-4</v>
      </c>
      <c r="E18" s="6" t="s">
        <v>95</v>
      </c>
      <c r="F18" s="6">
        <v>1</v>
      </c>
      <c r="G18" s="30">
        <v>0</v>
      </c>
    </row>
    <row r="19" spans="1:11">
      <c r="A19" s="6" t="s">
        <v>21</v>
      </c>
      <c r="B19" s="6">
        <v>17</v>
      </c>
      <c r="C19" s="9">
        <v>4.0000000000000002E-4</v>
      </c>
    </row>
    <row r="20" spans="1:11">
      <c r="A20" s="6" t="s">
        <v>41</v>
      </c>
      <c r="B20" s="6">
        <v>16</v>
      </c>
      <c r="C20" s="9">
        <v>4.0000000000000002E-4</v>
      </c>
    </row>
    <row r="21" spans="1:11">
      <c r="A21" s="6" t="s">
        <v>17</v>
      </c>
      <c r="B21" s="6">
        <v>13</v>
      </c>
      <c r="C21" s="9">
        <v>2.9999999999999997E-4</v>
      </c>
    </row>
    <row r="22" spans="1:11">
      <c r="A22" s="6" t="s">
        <v>29</v>
      </c>
      <c r="B22" s="6">
        <v>11</v>
      </c>
      <c r="C22" s="9">
        <v>2.9999999999999997E-4</v>
      </c>
    </row>
    <row r="23" spans="1:11">
      <c r="A23" s="6" t="s">
        <v>20</v>
      </c>
      <c r="B23" s="6">
        <v>7</v>
      </c>
      <c r="C23" s="9">
        <v>2.0000000000000001E-4</v>
      </c>
    </row>
    <row r="24" spans="1:11">
      <c r="A24" s="6" t="s">
        <v>22</v>
      </c>
      <c r="B24" s="6">
        <v>8</v>
      </c>
      <c r="C24" s="9">
        <v>2.0000000000000001E-4</v>
      </c>
    </row>
    <row r="25" spans="1:11">
      <c r="A25" s="6" t="s">
        <v>24</v>
      </c>
      <c r="B25" s="6">
        <v>8</v>
      </c>
      <c r="C25" s="9">
        <v>2.0000000000000001E-4</v>
      </c>
    </row>
    <row r="26" spans="1:11">
      <c r="A26" s="6" t="s">
        <v>12</v>
      </c>
      <c r="B26" s="6">
        <v>10</v>
      </c>
      <c r="C26" s="9">
        <v>2.0000000000000001E-4</v>
      </c>
    </row>
    <row r="27" spans="1:11">
      <c r="A27" s="6" t="s">
        <v>10</v>
      </c>
      <c r="B27" s="6">
        <v>7</v>
      </c>
      <c r="C27" s="9">
        <v>2.0000000000000001E-4</v>
      </c>
    </row>
    <row r="28" spans="1:11">
      <c r="A28" s="6" t="s">
        <v>31</v>
      </c>
      <c r="B28" s="6">
        <v>8</v>
      </c>
      <c r="C28" s="9">
        <v>2.0000000000000001E-4</v>
      </c>
    </row>
    <row r="29" spans="1:11">
      <c r="A29" s="6" t="s">
        <v>40</v>
      </c>
      <c r="B29" s="6">
        <v>6</v>
      </c>
      <c r="C29" s="9">
        <v>1E-4</v>
      </c>
    </row>
    <row r="30" spans="1:11">
      <c r="A30" s="6" t="s">
        <v>36</v>
      </c>
      <c r="B30" s="6">
        <v>4</v>
      </c>
      <c r="C30" s="9">
        <v>1E-4</v>
      </c>
    </row>
    <row r="31" spans="1:11">
      <c r="A31" s="6" t="s">
        <v>16</v>
      </c>
      <c r="B31" s="6">
        <v>4</v>
      </c>
      <c r="C31" s="9">
        <v>1E-4</v>
      </c>
    </row>
    <row r="32" spans="1:11">
      <c r="A32" s="6" t="s">
        <v>18</v>
      </c>
      <c r="B32" s="6">
        <v>6</v>
      </c>
      <c r="C32" s="9">
        <v>1E-4</v>
      </c>
    </row>
    <row r="33" spans="1:3">
      <c r="A33" s="6" t="s">
        <v>30</v>
      </c>
      <c r="B33" s="6">
        <v>4</v>
      </c>
      <c r="C33" s="9">
        <v>1E-4</v>
      </c>
    </row>
    <row r="34" spans="1:3">
      <c r="A34" s="6" t="s">
        <v>15</v>
      </c>
      <c r="B34" s="6">
        <v>3</v>
      </c>
      <c r="C34" s="9">
        <v>1E-4</v>
      </c>
    </row>
    <row r="35" spans="1:3">
      <c r="A35" s="6" t="s">
        <v>58</v>
      </c>
      <c r="B35" s="6">
        <v>3</v>
      </c>
      <c r="C35" s="9">
        <v>1E-4</v>
      </c>
    </row>
    <row r="36" spans="1:3">
      <c r="A36" s="6" t="s">
        <v>59</v>
      </c>
      <c r="B36" s="6">
        <v>4</v>
      </c>
      <c r="C36" s="9">
        <v>1E-4</v>
      </c>
    </row>
    <row r="37" spans="1:3">
      <c r="A37" s="6" t="s">
        <v>115</v>
      </c>
      <c r="B37" s="6">
        <v>2</v>
      </c>
      <c r="C37" s="30">
        <v>0</v>
      </c>
    </row>
    <row r="38" spans="1:3">
      <c r="A38" s="6" t="s">
        <v>13</v>
      </c>
      <c r="B38" s="6">
        <v>1</v>
      </c>
      <c r="C38" s="30">
        <v>0</v>
      </c>
    </row>
    <row r="39" spans="1:3">
      <c r="A39" s="6" t="s">
        <v>45</v>
      </c>
      <c r="B39" s="6">
        <v>2</v>
      </c>
      <c r="C39" s="30">
        <v>0</v>
      </c>
    </row>
    <row r="40" spans="1:3">
      <c r="A40" s="6" t="s">
        <v>27</v>
      </c>
      <c r="B40" s="6">
        <v>1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47</v>
      </c>
      <c r="B42" s="6">
        <v>1</v>
      </c>
      <c r="C42" s="30">
        <v>0</v>
      </c>
    </row>
    <row r="43" spans="1:3">
      <c r="A43" s="6" t="s">
        <v>26</v>
      </c>
      <c r="B43" s="6">
        <v>2</v>
      </c>
      <c r="C43" s="30">
        <v>0</v>
      </c>
    </row>
    <row r="44" spans="1:3">
      <c r="A44" s="6" t="s">
        <v>68</v>
      </c>
      <c r="B44" s="6">
        <v>1</v>
      </c>
      <c r="C44" s="30">
        <v>0</v>
      </c>
    </row>
    <row r="45" spans="1:3">
      <c r="A45" s="6" t="s">
        <v>38</v>
      </c>
      <c r="B45" s="6">
        <v>1</v>
      </c>
      <c r="C45" s="30">
        <v>0</v>
      </c>
    </row>
    <row r="46" spans="1:3">
      <c r="A46" s="6" t="s">
        <v>33</v>
      </c>
      <c r="B46" s="6">
        <v>2</v>
      </c>
      <c r="C46" s="30">
        <v>0</v>
      </c>
    </row>
    <row r="47" spans="1:3">
      <c r="A47" s="6" t="s">
        <v>43</v>
      </c>
      <c r="B47" s="6">
        <v>1</v>
      </c>
      <c r="C47" s="30">
        <v>0</v>
      </c>
    </row>
    <row r="48" spans="1:3">
      <c r="A48" s="6" t="s">
        <v>56</v>
      </c>
      <c r="B48" s="6">
        <v>1</v>
      </c>
      <c r="C48" s="30">
        <v>0</v>
      </c>
    </row>
    <row r="49" spans="1:3">
      <c r="A49" s="6" t="s">
        <v>25</v>
      </c>
      <c r="B49" s="6">
        <v>1</v>
      </c>
      <c r="C49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FF6A4-E932-4D54-A8A2-3CABA6C3E48A}">
  <sheetPr codeName="Sheet6"/>
  <dimension ref="A1:AI47"/>
  <sheetViews>
    <sheetView topLeftCell="R1" workbookViewId="0">
      <selection activeCell="AG1" sqref="AG1:AH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46377</v>
      </c>
      <c r="E2" s="41" t="s">
        <v>4</v>
      </c>
      <c r="F2" s="23" t="s">
        <v>105</v>
      </c>
      <c r="G2" s="23">
        <f>G3+G4</f>
        <v>45893</v>
      </c>
      <c r="H2" s="22"/>
      <c r="I2" s="41" t="s">
        <v>6</v>
      </c>
      <c r="J2" s="23" t="s">
        <v>105</v>
      </c>
      <c r="K2" s="23">
        <f>K3+K4</f>
        <v>48559</v>
      </c>
      <c r="M2" s="41" t="s">
        <v>104</v>
      </c>
      <c r="N2" s="23" t="s">
        <v>105</v>
      </c>
      <c r="O2" s="23">
        <f>O3+O4</f>
        <v>6897</v>
      </c>
      <c r="Q2" s="41" t="s">
        <v>4</v>
      </c>
      <c r="R2" s="23" t="s">
        <v>105</v>
      </c>
      <c r="S2" s="23">
        <f>S3+S4</f>
        <v>6177</v>
      </c>
      <c r="T2" s="22"/>
      <c r="U2" s="41" t="s">
        <v>6</v>
      </c>
      <c r="V2" s="23" t="s">
        <v>105</v>
      </c>
      <c r="W2" s="23">
        <f>W3+W4</f>
        <v>6828</v>
      </c>
      <c r="Y2" s="41" t="s">
        <v>104</v>
      </c>
      <c r="Z2" s="23" t="s">
        <v>105</v>
      </c>
      <c r="AA2" s="23">
        <f>AA3+AA4</f>
        <v>39480</v>
      </c>
      <c r="AC2" s="41" t="s">
        <v>4</v>
      </c>
      <c r="AD2" s="23" t="s">
        <v>105</v>
      </c>
      <c r="AE2" s="23">
        <f>AE3+AE4</f>
        <v>39716</v>
      </c>
      <c r="AF2" s="22"/>
      <c r="AG2" s="41" t="s">
        <v>6</v>
      </c>
      <c r="AH2" s="23" t="s">
        <v>105</v>
      </c>
      <c r="AI2" s="23">
        <f>AI3+AI4</f>
        <v>41732</v>
      </c>
    </row>
    <row r="3" spans="1:35">
      <c r="A3" s="42"/>
      <c r="B3" s="24" t="s">
        <v>106</v>
      </c>
      <c r="C3" s="24">
        <f>B8</f>
        <v>45199</v>
      </c>
      <c r="E3" s="42"/>
      <c r="F3" s="24" t="s">
        <v>106</v>
      </c>
      <c r="G3" s="24">
        <f>F8</f>
        <v>45716</v>
      </c>
      <c r="H3" s="22"/>
      <c r="I3" s="42"/>
      <c r="J3" s="24" t="s">
        <v>106</v>
      </c>
      <c r="K3" s="24">
        <f>J8</f>
        <v>48505</v>
      </c>
      <c r="M3" s="42"/>
      <c r="N3" s="24" t="s">
        <v>106</v>
      </c>
      <c r="O3" s="24">
        <f>N8</f>
        <v>6760</v>
      </c>
      <c r="Q3" s="42"/>
      <c r="R3" s="24" t="s">
        <v>106</v>
      </c>
      <c r="S3" s="24">
        <f>R8</f>
        <v>6167</v>
      </c>
      <c r="T3" s="22"/>
      <c r="U3" s="42"/>
      <c r="V3" s="24" t="s">
        <v>106</v>
      </c>
      <c r="W3" s="24">
        <f>V8</f>
        <v>6825</v>
      </c>
      <c r="Y3" s="42"/>
      <c r="Z3" s="24" t="s">
        <v>106</v>
      </c>
      <c r="AA3" s="24">
        <f>Z8</f>
        <v>38439</v>
      </c>
      <c r="AC3" s="42"/>
      <c r="AD3" s="24" t="s">
        <v>106</v>
      </c>
      <c r="AE3" s="24">
        <f>AD8</f>
        <v>39549</v>
      </c>
      <c r="AF3" s="22"/>
      <c r="AG3" s="42"/>
      <c r="AH3" s="24" t="s">
        <v>106</v>
      </c>
      <c r="AI3" s="24">
        <f>AH8</f>
        <v>41680</v>
      </c>
    </row>
    <row r="4" spans="1:35">
      <c r="A4" s="42"/>
      <c r="B4" s="25" t="s">
        <v>107</v>
      </c>
      <c r="C4" s="25">
        <f>SUM(B9:B66)</f>
        <v>1178</v>
      </c>
      <c r="E4" s="42"/>
      <c r="F4" s="25" t="s">
        <v>107</v>
      </c>
      <c r="G4" s="25">
        <f>SUM(F9:F33)</f>
        <v>177</v>
      </c>
      <c r="H4" s="22"/>
      <c r="I4" s="42"/>
      <c r="J4" s="25" t="s">
        <v>107</v>
      </c>
      <c r="K4" s="25">
        <f>SUM(J9:J31)</f>
        <v>54</v>
      </c>
      <c r="M4" s="42"/>
      <c r="N4" s="25" t="s">
        <v>107</v>
      </c>
      <c r="O4" s="25">
        <f>SUM(N9:N66)</f>
        <v>137</v>
      </c>
      <c r="Q4" s="42"/>
      <c r="R4" s="25" t="s">
        <v>107</v>
      </c>
      <c r="S4" s="25">
        <f>SUM(R9:R33)</f>
        <v>10</v>
      </c>
      <c r="T4" s="22"/>
      <c r="U4" s="42"/>
      <c r="V4" s="25" t="s">
        <v>107</v>
      </c>
      <c r="W4" s="25">
        <f>SUM(V9:V31)</f>
        <v>3</v>
      </c>
      <c r="Y4" s="42"/>
      <c r="Z4" s="25" t="s">
        <v>107</v>
      </c>
      <c r="AA4" s="25">
        <f>SUM(Z9:Z45)</f>
        <v>1041</v>
      </c>
      <c r="AC4" s="42"/>
      <c r="AD4" s="25" t="s">
        <v>107</v>
      </c>
      <c r="AE4" s="25">
        <f>SUM(AD9:AD29)</f>
        <v>167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2.5299999999999989E-2</v>
      </c>
      <c r="E5" s="43"/>
      <c r="F5" s="23" t="s">
        <v>108</v>
      </c>
      <c r="G5" s="26">
        <f>SUM(G9:G33)</f>
        <v>3.5999999999999995E-3</v>
      </c>
      <c r="H5" s="22"/>
      <c r="I5" s="43"/>
      <c r="J5" s="23" t="s">
        <v>108</v>
      </c>
      <c r="K5" s="26">
        <f>SUM(K9:K31)</f>
        <v>1.1000000000000001E-3</v>
      </c>
      <c r="M5" s="43"/>
      <c r="N5" s="23" t="s">
        <v>108</v>
      </c>
      <c r="O5" s="26">
        <f>SUM(O9:O179)</f>
        <v>1.9400000000000004E-2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3.0000000000000003E-4</v>
      </c>
      <c r="Y5" s="43"/>
      <c r="Z5" s="23" t="s">
        <v>108</v>
      </c>
      <c r="AA5" s="26">
        <f>SUM(AA9:AA158)</f>
        <v>2.6399999999999983E-2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45199</v>
      </c>
      <c r="C8" s="9">
        <v>0.97460000000000002</v>
      </c>
      <c r="E8" s="6" t="s">
        <v>112</v>
      </c>
      <c r="F8" s="29">
        <v>45716</v>
      </c>
      <c r="G8" s="9">
        <v>0.99609999999999999</v>
      </c>
      <c r="I8" s="6" t="s">
        <v>112</v>
      </c>
      <c r="J8" s="29">
        <v>48505</v>
      </c>
      <c r="K8" s="9">
        <v>0.99890000000000001</v>
      </c>
      <c r="M8" s="6" t="s">
        <v>112</v>
      </c>
      <c r="N8" s="29">
        <v>6760</v>
      </c>
      <c r="O8" s="9">
        <v>0.98009999999999997</v>
      </c>
      <c r="Q8" s="6" t="s">
        <v>112</v>
      </c>
      <c r="R8" s="29">
        <v>6167</v>
      </c>
      <c r="S8" s="9">
        <v>0.99839999999999995</v>
      </c>
      <c r="U8" s="6" t="s">
        <v>112</v>
      </c>
      <c r="V8" s="29">
        <v>6825</v>
      </c>
      <c r="W8" s="9">
        <v>0.99960000000000004</v>
      </c>
      <c r="Y8" s="6" t="s">
        <v>112</v>
      </c>
      <c r="Z8" s="29">
        <v>38439</v>
      </c>
      <c r="AA8" s="9">
        <v>0.97360000000000002</v>
      </c>
      <c r="AC8" s="6" t="s">
        <v>112</v>
      </c>
      <c r="AD8" s="29">
        <v>39549</v>
      </c>
      <c r="AE8" s="9">
        <v>0.99580000000000002</v>
      </c>
      <c r="AG8" s="6" t="s">
        <v>112</v>
      </c>
      <c r="AH8" s="29">
        <v>41680</v>
      </c>
      <c r="AI8" s="9">
        <v>0.99880000000000002</v>
      </c>
    </row>
    <row r="9" spans="1:35">
      <c r="A9" s="6" t="s">
        <v>2</v>
      </c>
      <c r="B9" s="6">
        <v>280</v>
      </c>
      <c r="C9" s="9">
        <v>6.0000000000000001E-3</v>
      </c>
      <c r="E9" s="6" t="s">
        <v>122</v>
      </c>
      <c r="F9" s="6">
        <v>112</v>
      </c>
      <c r="G9" s="9">
        <v>2.3999999999999998E-3</v>
      </c>
      <c r="I9" s="6" t="s">
        <v>99</v>
      </c>
      <c r="J9" s="6">
        <v>17</v>
      </c>
      <c r="K9" s="9">
        <v>4.0000000000000002E-4</v>
      </c>
      <c r="M9" s="6" t="s">
        <v>2</v>
      </c>
      <c r="N9" s="6">
        <v>33</v>
      </c>
      <c r="O9" s="9">
        <v>4.7999999999999996E-3</v>
      </c>
      <c r="Q9" s="6" t="s">
        <v>122</v>
      </c>
      <c r="R9" s="6">
        <v>9</v>
      </c>
      <c r="S9" s="9">
        <v>1.5E-3</v>
      </c>
      <c r="U9" s="6" t="s">
        <v>102</v>
      </c>
      <c r="V9" s="6">
        <v>1</v>
      </c>
      <c r="W9" s="9">
        <v>1E-4</v>
      </c>
      <c r="Y9" s="6" t="s">
        <v>2</v>
      </c>
      <c r="Z9" s="6">
        <v>247</v>
      </c>
      <c r="AA9" s="9">
        <v>6.3E-3</v>
      </c>
      <c r="AC9" s="6" t="s">
        <v>122</v>
      </c>
      <c r="AD9" s="6">
        <v>103</v>
      </c>
      <c r="AE9" s="9">
        <v>2.5999999999999999E-3</v>
      </c>
      <c r="AG9" s="6" t="s">
        <v>99</v>
      </c>
      <c r="AH9" s="6">
        <v>16</v>
      </c>
      <c r="AI9" s="9">
        <v>4.0000000000000002E-4</v>
      </c>
    </row>
    <row r="10" spans="1:35">
      <c r="A10" s="6" t="s">
        <v>9</v>
      </c>
      <c r="B10" s="6">
        <v>169</v>
      </c>
      <c r="C10" s="9">
        <v>3.5999999999999999E-3</v>
      </c>
      <c r="E10" s="6" t="s">
        <v>83</v>
      </c>
      <c r="F10" s="6">
        <v>41</v>
      </c>
      <c r="G10" s="9">
        <v>8.9999999999999998E-4</v>
      </c>
      <c r="I10" s="6" t="s">
        <v>2</v>
      </c>
      <c r="J10" s="6">
        <v>18</v>
      </c>
      <c r="K10" s="9">
        <v>4.0000000000000002E-4</v>
      </c>
      <c r="M10" s="6" t="s">
        <v>3</v>
      </c>
      <c r="N10" s="6">
        <v>32</v>
      </c>
      <c r="O10" s="9">
        <v>4.5999999999999999E-3</v>
      </c>
      <c r="Q10" s="6" t="s">
        <v>76</v>
      </c>
      <c r="R10" s="6">
        <v>1</v>
      </c>
      <c r="S10" s="9">
        <v>2.0000000000000001E-4</v>
      </c>
      <c r="U10" s="6" t="s">
        <v>99</v>
      </c>
      <c r="V10" s="6">
        <v>1</v>
      </c>
      <c r="W10" s="9">
        <v>1E-4</v>
      </c>
      <c r="Y10" s="6" t="s">
        <v>9</v>
      </c>
      <c r="Z10" s="6">
        <v>167</v>
      </c>
      <c r="AA10" s="9">
        <v>4.1999999999999997E-3</v>
      </c>
      <c r="AC10" s="6" t="s">
        <v>83</v>
      </c>
      <c r="AD10" s="6">
        <v>41</v>
      </c>
      <c r="AE10" s="9">
        <v>1E-3</v>
      </c>
      <c r="AG10" s="6" t="s">
        <v>2</v>
      </c>
      <c r="AH10" s="6">
        <v>18</v>
      </c>
      <c r="AI10" s="9">
        <v>4.0000000000000002E-4</v>
      </c>
    </row>
    <row r="11" spans="1:35">
      <c r="A11" s="6" t="s">
        <v>3</v>
      </c>
      <c r="B11" s="6">
        <v>134</v>
      </c>
      <c r="C11" s="9">
        <v>2.8999999999999998E-3</v>
      </c>
      <c r="E11" s="6" t="s">
        <v>76</v>
      </c>
      <c r="F11" s="6">
        <v>6</v>
      </c>
      <c r="G11" s="9">
        <v>1E-4</v>
      </c>
      <c r="I11" s="6" t="s">
        <v>102</v>
      </c>
      <c r="J11" s="6">
        <v>12</v>
      </c>
      <c r="K11" s="9">
        <v>2.0000000000000001E-4</v>
      </c>
      <c r="M11" s="6" t="s">
        <v>11</v>
      </c>
      <c r="N11" s="6">
        <v>24</v>
      </c>
      <c r="O11" s="9">
        <v>3.5000000000000001E-3</v>
      </c>
      <c r="U11" s="6" t="s">
        <v>113</v>
      </c>
      <c r="V11" s="6">
        <v>1</v>
      </c>
      <c r="W11" s="9">
        <v>1E-4</v>
      </c>
      <c r="Y11" s="6" t="s">
        <v>5</v>
      </c>
      <c r="Z11" s="6">
        <v>111</v>
      </c>
      <c r="AA11" s="9">
        <v>2.8E-3</v>
      </c>
      <c r="AC11" s="6" t="s">
        <v>77</v>
      </c>
      <c r="AD11" s="6">
        <v>6</v>
      </c>
      <c r="AE11" s="9">
        <v>2.0000000000000001E-4</v>
      </c>
      <c r="AG11" s="6" t="s">
        <v>102</v>
      </c>
      <c r="AH11" s="6">
        <v>12</v>
      </c>
      <c r="AI11" s="9">
        <v>2.9999999999999997E-4</v>
      </c>
    </row>
    <row r="12" spans="1:35">
      <c r="A12" s="6" t="s">
        <v>5</v>
      </c>
      <c r="B12" s="6">
        <v>119</v>
      </c>
      <c r="C12" s="9">
        <v>2.5999999999999999E-3</v>
      </c>
      <c r="E12" s="6" t="s">
        <v>77</v>
      </c>
      <c r="F12" s="6">
        <v>6</v>
      </c>
      <c r="G12" s="9">
        <v>1E-4</v>
      </c>
      <c r="I12" s="6" t="s">
        <v>113</v>
      </c>
      <c r="J12" s="6">
        <v>3</v>
      </c>
      <c r="K12" s="9">
        <v>1E-4</v>
      </c>
      <c r="M12" s="6" t="s">
        <v>7</v>
      </c>
      <c r="N12" s="6">
        <v>12</v>
      </c>
      <c r="O12" s="9">
        <v>1.6999999999999999E-3</v>
      </c>
      <c r="Y12" s="6" t="s">
        <v>3</v>
      </c>
      <c r="Z12" s="6">
        <v>102</v>
      </c>
      <c r="AA12" s="9">
        <v>2.5999999999999999E-3</v>
      </c>
      <c r="AC12" s="6" t="s">
        <v>74</v>
      </c>
      <c r="AD12" s="6">
        <v>6</v>
      </c>
      <c r="AE12" s="9">
        <v>2.0000000000000001E-4</v>
      </c>
      <c r="AG12" s="6" t="s">
        <v>103</v>
      </c>
      <c r="AH12" s="6">
        <v>1</v>
      </c>
      <c r="AI12" s="30">
        <v>0</v>
      </c>
    </row>
    <row r="13" spans="1:35">
      <c r="A13" s="6" t="s">
        <v>8</v>
      </c>
      <c r="B13" s="6">
        <v>93</v>
      </c>
      <c r="C13" s="9">
        <v>2E-3</v>
      </c>
      <c r="E13" s="6" t="s">
        <v>74</v>
      </c>
      <c r="F13" s="6">
        <v>6</v>
      </c>
      <c r="G13" s="9">
        <v>1E-4</v>
      </c>
      <c r="I13" s="6" t="s">
        <v>103</v>
      </c>
      <c r="J13" s="6">
        <v>1</v>
      </c>
      <c r="K13" s="30">
        <v>0</v>
      </c>
      <c r="M13" s="6" t="s">
        <v>5</v>
      </c>
      <c r="N13" s="6">
        <v>8</v>
      </c>
      <c r="O13" s="9">
        <v>1.1999999999999999E-3</v>
      </c>
      <c r="Y13" s="6" t="s">
        <v>8</v>
      </c>
      <c r="Z13" s="6">
        <v>92</v>
      </c>
      <c r="AA13" s="9">
        <v>2.3E-3</v>
      </c>
      <c r="AC13" s="6" t="s">
        <v>76</v>
      </c>
      <c r="AD13" s="6">
        <v>5</v>
      </c>
      <c r="AE13" s="9">
        <v>1E-4</v>
      </c>
      <c r="AG13" s="6" t="s">
        <v>98</v>
      </c>
      <c r="AH13" s="6">
        <v>2</v>
      </c>
      <c r="AI13" s="30">
        <v>0</v>
      </c>
    </row>
    <row r="14" spans="1:35">
      <c r="A14" s="6" t="s">
        <v>11</v>
      </c>
      <c r="B14" s="6">
        <v>69</v>
      </c>
      <c r="C14" s="9">
        <v>1.5E-3</v>
      </c>
      <c r="E14" s="6" t="s">
        <v>119</v>
      </c>
      <c r="F14" s="6">
        <v>1</v>
      </c>
      <c r="G14" s="30">
        <v>0</v>
      </c>
      <c r="I14" s="6" t="s">
        <v>98</v>
      </c>
      <c r="J14" s="6">
        <v>2</v>
      </c>
      <c r="K14" s="30">
        <v>0</v>
      </c>
      <c r="M14" s="6" t="s">
        <v>38</v>
      </c>
      <c r="N14" s="6">
        <v>3</v>
      </c>
      <c r="O14" s="9">
        <v>4.0000000000000002E-4</v>
      </c>
      <c r="Y14" s="6" t="s">
        <v>17</v>
      </c>
      <c r="Z14" s="6">
        <v>52</v>
      </c>
      <c r="AA14" s="9">
        <v>1.2999999999999999E-3</v>
      </c>
      <c r="AC14" s="6" t="s">
        <v>119</v>
      </c>
      <c r="AD14" s="6">
        <v>1</v>
      </c>
      <c r="AE14" s="30">
        <v>0</v>
      </c>
      <c r="AG14" s="6" t="s">
        <v>113</v>
      </c>
      <c r="AH14" s="6">
        <v>2</v>
      </c>
      <c r="AI14" s="30">
        <v>0</v>
      </c>
    </row>
    <row r="15" spans="1:35">
      <c r="A15" s="6" t="s">
        <v>17</v>
      </c>
      <c r="B15" s="6">
        <v>52</v>
      </c>
      <c r="C15" s="9">
        <v>1.1000000000000001E-3</v>
      </c>
      <c r="E15" s="6" t="s">
        <v>80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21</v>
      </c>
      <c r="N15" s="6">
        <v>2</v>
      </c>
      <c r="O15" s="9">
        <v>2.9999999999999997E-4</v>
      </c>
      <c r="Y15" s="6" t="s">
        <v>11</v>
      </c>
      <c r="Z15" s="6">
        <v>45</v>
      </c>
      <c r="AA15" s="9">
        <v>1.1000000000000001E-3</v>
      </c>
      <c r="AC15" s="6" t="s">
        <v>80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51</v>
      </c>
      <c r="C16" s="9">
        <v>1.1000000000000001E-3</v>
      </c>
      <c r="E16" s="6" t="s">
        <v>84</v>
      </c>
      <c r="F16" s="6">
        <v>1</v>
      </c>
      <c r="G16" s="30">
        <v>0</v>
      </c>
      <c r="M16" s="6" t="s">
        <v>22</v>
      </c>
      <c r="N16" s="6">
        <v>2</v>
      </c>
      <c r="O16" s="9">
        <v>2.9999999999999997E-4</v>
      </c>
      <c r="Y16" s="6" t="s">
        <v>7</v>
      </c>
      <c r="Z16" s="6">
        <v>39</v>
      </c>
      <c r="AA16" s="9">
        <v>1E-3</v>
      </c>
      <c r="AC16" s="6" t="s">
        <v>84</v>
      </c>
      <c r="AD16" s="6">
        <v>1</v>
      </c>
      <c r="AE16" s="30">
        <v>0</v>
      </c>
    </row>
    <row r="17" spans="1:31">
      <c r="A17" s="6" t="s">
        <v>19</v>
      </c>
      <c r="B17" s="6">
        <v>31</v>
      </c>
      <c r="C17" s="9">
        <v>6.9999999999999999E-4</v>
      </c>
      <c r="E17" s="6" t="s">
        <v>78</v>
      </c>
      <c r="F17" s="6">
        <v>1</v>
      </c>
      <c r="G17" s="30">
        <v>0</v>
      </c>
      <c r="M17" s="6" t="s">
        <v>9</v>
      </c>
      <c r="N17" s="6">
        <v>2</v>
      </c>
      <c r="O17" s="9">
        <v>2.9999999999999997E-4</v>
      </c>
      <c r="Y17" s="6" t="s">
        <v>19</v>
      </c>
      <c r="Z17" s="6">
        <v>30</v>
      </c>
      <c r="AA17" s="9">
        <v>8.0000000000000004E-4</v>
      </c>
      <c r="AC17" s="6" t="s">
        <v>78</v>
      </c>
      <c r="AD17" s="6">
        <v>1</v>
      </c>
      <c r="AE17" s="30">
        <v>0</v>
      </c>
    </row>
    <row r="18" spans="1:31">
      <c r="A18" s="6" t="s">
        <v>14</v>
      </c>
      <c r="B18" s="6">
        <v>27</v>
      </c>
      <c r="C18" s="9">
        <v>5.9999999999999995E-4</v>
      </c>
      <c r="E18" s="6" t="s">
        <v>135</v>
      </c>
      <c r="F18" s="6">
        <v>1</v>
      </c>
      <c r="G18" s="30">
        <v>0</v>
      </c>
      <c r="M18" s="6" t="s">
        <v>10</v>
      </c>
      <c r="N18" s="6">
        <v>2</v>
      </c>
      <c r="O18" s="9">
        <v>2.9999999999999997E-4</v>
      </c>
      <c r="Y18" s="6" t="s">
        <v>14</v>
      </c>
      <c r="Z18" s="6">
        <v>27</v>
      </c>
      <c r="AA18" s="9">
        <v>6.9999999999999999E-4</v>
      </c>
      <c r="AC18" s="6" t="s">
        <v>135</v>
      </c>
      <c r="AD18" s="6">
        <v>1</v>
      </c>
      <c r="AE18" s="30">
        <v>0</v>
      </c>
    </row>
    <row r="19" spans="1:31">
      <c r="A19" s="6" t="s">
        <v>37</v>
      </c>
      <c r="B19" s="6">
        <v>18</v>
      </c>
      <c r="C19" s="9">
        <v>4.0000000000000002E-4</v>
      </c>
      <c r="E19" s="6" t="s">
        <v>91</v>
      </c>
      <c r="F19" s="6">
        <v>1</v>
      </c>
      <c r="G19" s="30">
        <v>0</v>
      </c>
      <c r="M19" s="6" t="s">
        <v>30</v>
      </c>
      <c r="N19" s="6">
        <v>2</v>
      </c>
      <c r="O19" s="9">
        <v>2.9999999999999997E-4</v>
      </c>
      <c r="Y19" s="6" t="s">
        <v>37</v>
      </c>
      <c r="Z19" s="6">
        <v>17</v>
      </c>
      <c r="AA19" s="9">
        <v>4.0000000000000002E-4</v>
      </c>
      <c r="AC19" s="6" t="s">
        <v>91</v>
      </c>
      <c r="AD19" s="6">
        <v>1</v>
      </c>
      <c r="AE19" s="30">
        <v>0</v>
      </c>
    </row>
    <row r="20" spans="1:31">
      <c r="A20" s="6" t="s">
        <v>41</v>
      </c>
      <c r="B20" s="6">
        <v>17</v>
      </c>
      <c r="C20" s="9">
        <v>4.0000000000000002E-4</v>
      </c>
      <c r="M20" s="6" t="s">
        <v>41</v>
      </c>
      <c r="N20" s="6">
        <v>2</v>
      </c>
      <c r="O20" s="9">
        <v>2.9999999999999997E-4</v>
      </c>
      <c r="Y20" s="6" t="s">
        <v>41</v>
      </c>
      <c r="Z20" s="6">
        <v>15</v>
      </c>
      <c r="AA20" s="9">
        <v>4.0000000000000002E-4</v>
      </c>
    </row>
    <row r="21" spans="1:31">
      <c r="A21" s="6" t="s">
        <v>16</v>
      </c>
      <c r="B21" s="6">
        <v>9</v>
      </c>
      <c r="C21" s="9">
        <v>2.0000000000000001E-4</v>
      </c>
      <c r="M21" s="6" t="s">
        <v>31</v>
      </c>
      <c r="N21" s="6">
        <v>2</v>
      </c>
      <c r="O21" s="9">
        <v>2.9999999999999997E-4</v>
      </c>
      <c r="Y21" s="6" t="s">
        <v>16</v>
      </c>
      <c r="Z21" s="6">
        <v>8</v>
      </c>
      <c r="AA21" s="9">
        <v>2.0000000000000001E-4</v>
      </c>
    </row>
    <row r="22" spans="1:31">
      <c r="A22" s="6" t="s">
        <v>10</v>
      </c>
      <c r="B22" s="6">
        <v>11</v>
      </c>
      <c r="C22" s="9">
        <v>2.0000000000000001E-4</v>
      </c>
      <c r="M22" s="6" t="s">
        <v>19</v>
      </c>
      <c r="N22" s="6">
        <v>1</v>
      </c>
      <c r="O22" s="9">
        <v>1E-4</v>
      </c>
      <c r="Y22" s="6" t="s">
        <v>10</v>
      </c>
      <c r="Z22" s="6">
        <v>9</v>
      </c>
      <c r="AA22" s="9">
        <v>2.0000000000000001E-4</v>
      </c>
    </row>
    <row r="23" spans="1:31">
      <c r="A23" s="6" t="s">
        <v>29</v>
      </c>
      <c r="B23" s="6">
        <v>9</v>
      </c>
      <c r="C23" s="9">
        <v>2.0000000000000001E-4</v>
      </c>
      <c r="M23" s="6" t="s">
        <v>8</v>
      </c>
      <c r="N23" s="6">
        <v>1</v>
      </c>
      <c r="O23" s="9">
        <v>1E-4</v>
      </c>
      <c r="Y23" s="6" t="s">
        <v>29</v>
      </c>
      <c r="Z23" s="6">
        <v>8</v>
      </c>
      <c r="AA23" s="9">
        <v>2.0000000000000001E-4</v>
      </c>
    </row>
    <row r="24" spans="1:31">
      <c r="A24" s="6" t="s">
        <v>18</v>
      </c>
      <c r="B24" s="6">
        <v>10</v>
      </c>
      <c r="C24" s="9">
        <v>2.0000000000000001E-4</v>
      </c>
      <c r="M24" s="6" t="s">
        <v>37</v>
      </c>
      <c r="N24" s="6">
        <v>1</v>
      </c>
      <c r="O24" s="9">
        <v>1E-4</v>
      </c>
      <c r="Y24" s="6" t="s">
        <v>18</v>
      </c>
      <c r="Z24" s="6">
        <v>9</v>
      </c>
      <c r="AA24" s="9">
        <v>2.0000000000000001E-4</v>
      </c>
    </row>
    <row r="25" spans="1:31">
      <c r="A25" s="6" t="s">
        <v>12</v>
      </c>
      <c r="B25" s="6">
        <v>9</v>
      </c>
      <c r="C25" s="9">
        <v>2.0000000000000001E-4</v>
      </c>
      <c r="M25" s="6" t="s">
        <v>16</v>
      </c>
      <c r="N25" s="6">
        <v>1</v>
      </c>
      <c r="O25" s="9">
        <v>1E-4</v>
      </c>
      <c r="Y25" s="6" t="s">
        <v>12</v>
      </c>
      <c r="Z25" s="6">
        <v>9</v>
      </c>
      <c r="AA25" s="9">
        <v>2.0000000000000001E-4</v>
      </c>
    </row>
    <row r="26" spans="1:31">
      <c r="A26" s="6" t="s">
        <v>31</v>
      </c>
      <c r="B26" s="6">
        <v>9</v>
      </c>
      <c r="C26" s="9">
        <v>2.0000000000000001E-4</v>
      </c>
      <c r="M26" s="6" t="s">
        <v>59</v>
      </c>
      <c r="N26" s="6">
        <v>1</v>
      </c>
      <c r="O26" s="9">
        <v>1E-4</v>
      </c>
      <c r="Y26" s="6" t="s">
        <v>26</v>
      </c>
      <c r="Z26" s="6">
        <v>6</v>
      </c>
      <c r="AA26" s="9">
        <v>2.0000000000000001E-4</v>
      </c>
    </row>
    <row r="27" spans="1:31">
      <c r="A27" s="6" t="s">
        <v>21</v>
      </c>
      <c r="B27" s="6">
        <v>5</v>
      </c>
      <c r="C27" s="9">
        <v>1E-4</v>
      </c>
      <c r="M27" s="6" t="s">
        <v>18</v>
      </c>
      <c r="N27" s="6">
        <v>1</v>
      </c>
      <c r="O27" s="9">
        <v>1E-4</v>
      </c>
      <c r="Y27" s="6" t="s">
        <v>31</v>
      </c>
      <c r="Z27" s="6">
        <v>7</v>
      </c>
      <c r="AA27" s="9">
        <v>2.0000000000000001E-4</v>
      </c>
    </row>
    <row r="28" spans="1:31">
      <c r="A28" s="6" t="s">
        <v>20</v>
      </c>
      <c r="B28" s="6">
        <v>6</v>
      </c>
      <c r="C28" s="9">
        <v>1E-4</v>
      </c>
      <c r="M28" s="6" t="s">
        <v>29</v>
      </c>
      <c r="N28" s="6">
        <v>1</v>
      </c>
      <c r="O28" s="9">
        <v>1E-4</v>
      </c>
      <c r="Y28" s="6" t="s">
        <v>21</v>
      </c>
      <c r="Z28" s="6">
        <v>3</v>
      </c>
      <c r="AA28" s="9">
        <v>1E-4</v>
      </c>
    </row>
    <row r="29" spans="1:31">
      <c r="A29" s="6" t="s">
        <v>22</v>
      </c>
      <c r="B29" s="6">
        <v>6</v>
      </c>
      <c r="C29" s="9">
        <v>1E-4</v>
      </c>
      <c r="M29" s="6" t="s">
        <v>20</v>
      </c>
      <c r="N29" s="6">
        <v>1</v>
      </c>
      <c r="O29" s="9">
        <v>1E-4</v>
      </c>
      <c r="Y29" s="6" t="s">
        <v>20</v>
      </c>
      <c r="Z29" s="6">
        <v>5</v>
      </c>
      <c r="AA29" s="9">
        <v>1E-4</v>
      </c>
    </row>
    <row r="30" spans="1:31">
      <c r="A30" s="6" t="s">
        <v>36</v>
      </c>
      <c r="B30" s="6">
        <v>3</v>
      </c>
      <c r="C30" s="9">
        <v>1E-4</v>
      </c>
      <c r="M30" s="6" t="s">
        <v>69</v>
      </c>
      <c r="N30" s="6">
        <v>1</v>
      </c>
      <c r="O30" s="9">
        <v>1E-4</v>
      </c>
      <c r="Y30" s="6" t="s">
        <v>34</v>
      </c>
      <c r="Z30" s="6">
        <v>2</v>
      </c>
      <c r="AA30" s="9">
        <v>1E-4</v>
      </c>
    </row>
    <row r="31" spans="1:31">
      <c r="A31" s="6" t="s">
        <v>26</v>
      </c>
      <c r="B31" s="6">
        <v>6</v>
      </c>
      <c r="C31" s="9">
        <v>1E-4</v>
      </c>
      <c r="M31" s="6" t="s">
        <v>43</v>
      </c>
      <c r="N31" s="6">
        <v>1</v>
      </c>
      <c r="O31" s="9">
        <v>1E-4</v>
      </c>
      <c r="Y31" s="6" t="s">
        <v>36</v>
      </c>
      <c r="Z31" s="6">
        <v>3</v>
      </c>
      <c r="AA31" s="9">
        <v>1E-4</v>
      </c>
    </row>
    <row r="32" spans="1:31">
      <c r="A32" s="6" t="s">
        <v>69</v>
      </c>
      <c r="B32" s="6">
        <v>4</v>
      </c>
      <c r="C32" s="9">
        <v>1E-4</v>
      </c>
      <c r="M32" s="6" t="s">
        <v>52</v>
      </c>
      <c r="N32" s="6">
        <v>1</v>
      </c>
      <c r="O32" s="9">
        <v>1E-4</v>
      </c>
      <c r="Y32" s="6" t="s">
        <v>22</v>
      </c>
      <c r="Z32" s="6">
        <v>4</v>
      </c>
      <c r="AA32" s="9">
        <v>1E-4</v>
      </c>
    </row>
    <row r="33" spans="1:27">
      <c r="A33" s="6" t="s">
        <v>30</v>
      </c>
      <c r="B33" s="6">
        <v>5</v>
      </c>
      <c r="C33" s="9">
        <v>1E-4</v>
      </c>
      <c r="Y33" s="6" t="s">
        <v>69</v>
      </c>
      <c r="Z33" s="6">
        <v>3</v>
      </c>
      <c r="AA33" s="9">
        <v>1E-4</v>
      </c>
    </row>
    <row r="34" spans="1:27">
      <c r="A34" s="6" t="s">
        <v>24</v>
      </c>
      <c r="B34" s="6">
        <v>3</v>
      </c>
      <c r="C34" s="9">
        <v>1E-4</v>
      </c>
      <c r="Y34" s="6" t="s">
        <v>15</v>
      </c>
      <c r="Z34" s="6">
        <v>3</v>
      </c>
      <c r="AA34" s="9">
        <v>1E-4</v>
      </c>
    </row>
    <row r="35" spans="1:27">
      <c r="A35" s="6" t="s">
        <v>15</v>
      </c>
      <c r="B35" s="6">
        <v>3</v>
      </c>
      <c r="C35" s="9">
        <v>1E-4</v>
      </c>
      <c r="Y35" s="6" t="s">
        <v>30</v>
      </c>
      <c r="Z35" s="6">
        <v>3</v>
      </c>
      <c r="AA35" s="9">
        <v>1E-4</v>
      </c>
    </row>
    <row r="36" spans="1:27">
      <c r="A36" s="6" t="s">
        <v>40</v>
      </c>
      <c r="B36" s="6">
        <v>4</v>
      </c>
      <c r="C36" s="9">
        <v>1E-4</v>
      </c>
      <c r="Y36" s="6" t="s">
        <v>40</v>
      </c>
      <c r="Z36" s="6">
        <v>4</v>
      </c>
      <c r="AA36" s="9">
        <v>1E-4</v>
      </c>
    </row>
    <row r="37" spans="1:27">
      <c r="A37" s="6" t="s">
        <v>59</v>
      </c>
      <c r="B37" s="6">
        <v>3</v>
      </c>
      <c r="C37" s="9">
        <v>1E-4</v>
      </c>
      <c r="Y37" s="6" t="s">
        <v>24</v>
      </c>
      <c r="Z37" s="6">
        <v>3</v>
      </c>
      <c r="AA37" s="9">
        <v>1E-4</v>
      </c>
    </row>
    <row r="38" spans="1:27">
      <c r="A38" s="6" t="s">
        <v>38</v>
      </c>
      <c r="B38" s="6">
        <v>3</v>
      </c>
      <c r="C38" s="9">
        <v>1E-4</v>
      </c>
      <c r="Y38" s="6" t="s">
        <v>59</v>
      </c>
      <c r="Z38" s="6">
        <v>2</v>
      </c>
      <c r="AA38" s="9">
        <v>1E-4</v>
      </c>
    </row>
    <row r="39" spans="1:27">
      <c r="A39" s="6" t="s">
        <v>34</v>
      </c>
      <c r="B39" s="6">
        <v>2</v>
      </c>
      <c r="C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Y40" s="6" t="s">
        <v>57</v>
      </c>
      <c r="Z40" s="6">
        <v>1</v>
      </c>
      <c r="AA40" s="30">
        <v>0</v>
      </c>
    </row>
    <row r="41" spans="1:27">
      <c r="A41" s="6" t="s">
        <v>57</v>
      </c>
      <c r="B41" s="6">
        <v>1</v>
      </c>
      <c r="C41" s="30">
        <v>0</v>
      </c>
      <c r="Y41" s="6" t="s">
        <v>33</v>
      </c>
      <c r="Z41" s="6">
        <v>1</v>
      </c>
      <c r="AA41" s="30">
        <v>0</v>
      </c>
    </row>
    <row r="42" spans="1:27">
      <c r="A42" s="6" t="s">
        <v>43</v>
      </c>
      <c r="B42" s="6">
        <v>1</v>
      </c>
      <c r="C42" s="30">
        <v>0</v>
      </c>
      <c r="Y42" s="6" t="s">
        <v>28</v>
      </c>
      <c r="Z42" s="6">
        <v>1</v>
      </c>
      <c r="AA42" s="30">
        <v>0</v>
      </c>
    </row>
    <row r="43" spans="1:27">
      <c r="A43" s="6" t="s">
        <v>28</v>
      </c>
      <c r="B43" s="6">
        <v>1</v>
      </c>
      <c r="C43" s="30">
        <v>0</v>
      </c>
      <c r="Y43" s="6" t="s">
        <v>39</v>
      </c>
      <c r="Z43" s="6">
        <v>1</v>
      </c>
      <c r="AA43" s="30">
        <v>0</v>
      </c>
    </row>
    <row r="44" spans="1:27">
      <c r="A44" s="6" t="s">
        <v>33</v>
      </c>
      <c r="B44" s="6">
        <v>1</v>
      </c>
      <c r="C44" s="30">
        <v>0</v>
      </c>
      <c r="Y44" s="6" t="s">
        <v>133</v>
      </c>
      <c r="Z44" s="6">
        <v>1</v>
      </c>
      <c r="AA44" s="30">
        <v>0</v>
      </c>
    </row>
    <row r="45" spans="1:27">
      <c r="A45" s="6" t="s">
        <v>133</v>
      </c>
      <c r="B45" s="6">
        <v>1</v>
      </c>
      <c r="C45" s="30">
        <v>0</v>
      </c>
    </row>
    <row r="46" spans="1:27">
      <c r="A46" s="6" t="s">
        <v>39</v>
      </c>
      <c r="B46" s="6">
        <v>1</v>
      </c>
      <c r="C46" s="30">
        <v>0</v>
      </c>
    </row>
    <row r="47" spans="1:27">
      <c r="A47" s="6" t="s">
        <v>52</v>
      </c>
      <c r="B47" s="6">
        <v>1</v>
      </c>
      <c r="C47" s="30">
        <v>0</v>
      </c>
    </row>
  </sheetData>
  <mergeCells count="18">
    <mergeCell ref="A1:B1"/>
    <mergeCell ref="E1:F1"/>
    <mergeCell ref="I1:J1"/>
    <mergeCell ref="A2:A5"/>
    <mergeCell ref="E2:E5"/>
    <mergeCell ref="I2:I5"/>
    <mergeCell ref="M1:N1"/>
    <mergeCell ref="Q1:R1"/>
    <mergeCell ref="U1:V1"/>
    <mergeCell ref="M2:M5"/>
    <mergeCell ref="Q2:Q5"/>
    <mergeCell ref="U2:U5"/>
    <mergeCell ref="Y1:Z1"/>
    <mergeCell ref="AC1:AD1"/>
    <mergeCell ref="AG1:AH1"/>
    <mergeCell ref="Y2:Y5"/>
    <mergeCell ref="AC2:AC5"/>
    <mergeCell ref="AG2:AG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ED12-7881-4A92-B383-2FCA1343AC00}">
  <sheetPr codeName="Sheet7"/>
  <dimension ref="A1:AI51"/>
  <sheetViews>
    <sheetView topLeftCell="R1" workbookViewId="0">
      <selection activeCell="V22" sqref="V2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52350</v>
      </c>
      <c r="E2" s="41" t="s">
        <v>4</v>
      </c>
      <c r="F2" s="23" t="s">
        <v>105</v>
      </c>
      <c r="G2" s="23">
        <f>G3+G4</f>
        <v>49601</v>
      </c>
      <c r="H2" s="22"/>
      <c r="I2" s="41" t="s">
        <v>6</v>
      </c>
      <c r="J2" s="23" t="s">
        <v>105</v>
      </c>
      <c r="K2" s="23">
        <f>K3+K4</f>
        <v>48980</v>
      </c>
      <c r="M2" s="41" t="s">
        <v>104</v>
      </c>
      <c r="N2" s="23" t="s">
        <v>105</v>
      </c>
      <c r="O2" s="23">
        <f>O3+O4</f>
        <v>19610</v>
      </c>
      <c r="Q2" s="41" t="s">
        <v>4</v>
      </c>
      <c r="R2" s="23" t="s">
        <v>105</v>
      </c>
      <c r="S2" s="23">
        <f>S3+S4</f>
        <v>15089</v>
      </c>
      <c r="T2" s="22"/>
      <c r="U2" s="41" t="s">
        <v>6</v>
      </c>
      <c r="V2" s="23" t="s">
        <v>105</v>
      </c>
      <c r="W2" s="23">
        <f>W3+W4</f>
        <v>13236</v>
      </c>
      <c r="Y2" s="41" t="s">
        <v>104</v>
      </c>
      <c r="Z2" s="23" t="s">
        <v>105</v>
      </c>
      <c r="AA2" s="23">
        <f>AA3+AA4</f>
        <v>32738</v>
      </c>
      <c r="AC2" s="41" t="s">
        <v>4</v>
      </c>
      <c r="AD2" s="23" t="s">
        <v>105</v>
      </c>
      <c r="AE2" s="23">
        <f>AE3+AE4</f>
        <v>34513</v>
      </c>
      <c r="AF2" s="22"/>
      <c r="AG2" s="41" t="s">
        <v>6</v>
      </c>
      <c r="AH2" s="23" t="s">
        <v>105</v>
      </c>
      <c r="AI2" s="23">
        <f>AI3+AI4</f>
        <v>35746</v>
      </c>
    </row>
    <row r="3" spans="1:35">
      <c r="A3" s="42"/>
      <c r="B3" s="24" t="s">
        <v>106</v>
      </c>
      <c r="C3" s="24">
        <f>B8</f>
        <v>51282</v>
      </c>
      <c r="E3" s="42"/>
      <c r="F3" s="24" t="s">
        <v>106</v>
      </c>
      <c r="G3" s="24">
        <f>F8</f>
        <v>49443</v>
      </c>
      <c r="H3" s="22"/>
      <c r="I3" s="42"/>
      <c r="J3" s="24" t="s">
        <v>106</v>
      </c>
      <c r="K3" s="24">
        <f>J8</f>
        <v>48941</v>
      </c>
      <c r="M3" s="42"/>
      <c r="N3" s="24" t="s">
        <v>106</v>
      </c>
      <c r="O3" s="24">
        <f>N8</f>
        <v>19320</v>
      </c>
      <c r="Q3" s="42"/>
      <c r="R3" s="24" t="s">
        <v>106</v>
      </c>
      <c r="S3" s="24">
        <f>R8</f>
        <v>15038</v>
      </c>
      <c r="T3" s="22"/>
      <c r="U3" s="42"/>
      <c r="V3" s="24" t="s">
        <v>106</v>
      </c>
      <c r="W3" s="24">
        <f>V8</f>
        <v>13223</v>
      </c>
      <c r="Y3" s="42"/>
      <c r="Z3" s="24" t="s">
        <v>106</v>
      </c>
      <c r="AA3" s="24">
        <f>Z8</f>
        <v>31962</v>
      </c>
      <c r="AC3" s="42"/>
      <c r="AD3" s="24" t="s">
        <v>106</v>
      </c>
      <c r="AE3" s="24">
        <f>AD8</f>
        <v>34405</v>
      </c>
      <c r="AF3" s="22"/>
      <c r="AG3" s="42"/>
      <c r="AH3" s="24" t="s">
        <v>106</v>
      </c>
      <c r="AI3" s="24">
        <f>AH8</f>
        <v>35718</v>
      </c>
    </row>
    <row r="4" spans="1:35">
      <c r="A4" s="42"/>
      <c r="B4" s="25" t="s">
        <v>107</v>
      </c>
      <c r="C4" s="25">
        <f>SUM(B9:B66)</f>
        <v>1068</v>
      </c>
      <c r="E4" s="42"/>
      <c r="F4" s="25" t="s">
        <v>107</v>
      </c>
      <c r="G4" s="25">
        <f>SUM(F9:F33)</f>
        <v>158</v>
      </c>
      <c r="H4" s="22"/>
      <c r="I4" s="42"/>
      <c r="J4" s="25" t="s">
        <v>107</v>
      </c>
      <c r="K4" s="25">
        <f>SUM(J9:J31)</f>
        <v>39</v>
      </c>
      <c r="M4" s="42"/>
      <c r="N4" s="25" t="s">
        <v>107</v>
      </c>
      <c r="O4" s="25">
        <f>SUM(N9:N66)</f>
        <v>290</v>
      </c>
      <c r="Q4" s="42"/>
      <c r="R4" s="25" t="s">
        <v>107</v>
      </c>
      <c r="S4" s="25">
        <f>SUM(R9:R33)</f>
        <v>51</v>
      </c>
      <c r="T4" s="22"/>
      <c r="U4" s="42"/>
      <c r="V4" s="25" t="s">
        <v>107</v>
      </c>
      <c r="W4" s="25">
        <f>SUM(V9:V31)</f>
        <v>13</v>
      </c>
      <c r="Y4" s="42"/>
      <c r="Z4" s="25" t="s">
        <v>107</v>
      </c>
      <c r="AA4" s="25">
        <f>SUM(Z9:Z45)</f>
        <v>776</v>
      </c>
      <c r="AC4" s="42"/>
      <c r="AD4" s="25" t="s">
        <v>107</v>
      </c>
      <c r="AE4" s="25">
        <f>SUM(AD9:AD29)</f>
        <v>108</v>
      </c>
      <c r="AF4" s="22"/>
      <c r="AG4" s="42"/>
      <c r="AH4" s="25" t="s">
        <v>107</v>
      </c>
      <c r="AI4" s="25">
        <f>SUM(AH9:AH29)</f>
        <v>28</v>
      </c>
    </row>
    <row r="5" spans="1:35">
      <c r="A5" s="43"/>
      <c r="B5" s="23" t="s">
        <v>108</v>
      </c>
      <c r="C5" s="26">
        <f>SUM(C9:C179)</f>
        <v>2.0299999999999988E-2</v>
      </c>
      <c r="E5" s="43"/>
      <c r="F5" s="23" t="s">
        <v>108</v>
      </c>
      <c r="G5" s="26">
        <f>SUM(G9:G33)</f>
        <v>3.0999999999999999E-3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1.5499999999999989E-2</v>
      </c>
      <c r="Q5" s="43"/>
      <c r="R5" s="23" t="s">
        <v>108</v>
      </c>
      <c r="S5" s="26">
        <f>SUM(S9:S33)</f>
        <v>3.5999999999999995E-3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2.3599999999999996E-2</v>
      </c>
      <c r="AC5" s="43"/>
      <c r="AD5" s="23" t="s">
        <v>108</v>
      </c>
      <c r="AE5" s="26">
        <f>SUM(AE9:AE29)</f>
        <v>2.9999999999999996E-3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51282</v>
      </c>
      <c r="C8" s="9">
        <v>0.97960000000000003</v>
      </c>
      <c r="E8" s="6" t="s">
        <v>112</v>
      </c>
      <c r="F8" s="29">
        <v>49443</v>
      </c>
      <c r="G8" s="9">
        <v>0.99680000000000002</v>
      </c>
      <c r="I8" s="6" t="s">
        <v>112</v>
      </c>
      <c r="J8" s="29">
        <v>48941</v>
      </c>
      <c r="K8" s="9">
        <v>0.99919999999999998</v>
      </c>
      <c r="M8" s="6" t="s">
        <v>112</v>
      </c>
      <c r="N8" s="29">
        <v>19320</v>
      </c>
      <c r="O8" s="9">
        <v>0.98519999999999996</v>
      </c>
      <c r="Q8" s="6" t="s">
        <v>112</v>
      </c>
      <c r="R8" s="29">
        <v>15038</v>
      </c>
      <c r="S8" s="9">
        <v>0.99660000000000004</v>
      </c>
      <c r="U8" s="6" t="s">
        <v>112</v>
      </c>
      <c r="V8" s="29">
        <v>13223</v>
      </c>
      <c r="W8" s="9">
        <v>0.999</v>
      </c>
      <c r="Y8" s="6" t="s">
        <v>112</v>
      </c>
      <c r="Z8" s="29">
        <v>31962</v>
      </c>
      <c r="AA8" s="9">
        <v>0.97619999999999996</v>
      </c>
      <c r="AC8" s="6" t="s">
        <v>112</v>
      </c>
      <c r="AD8" s="29">
        <v>34405</v>
      </c>
      <c r="AE8" s="9">
        <v>0.99690000000000001</v>
      </c>
      <c r="AG8" s="6" t="s">
        <v>112</v>
      </c>
      <c r="AH8" s="29">
        <v>35718</v>
      </c>
      <c r="AI8" s="9">
        <v>0.99919999999999998</v>
      </c>
    </row>
    <row r="9" spans="1:35">
      <c r="A9" s="6" t="s">
        <v>2</v>
      </c>
      <c r="B9" s="6">
        <v>312</v>
      </c>
      <c r="C9" s="9">
        <v>6.0000000000000001E-3</v>
      </c>
      <c r="E9" s="6" t="s">
        <v>122</v>
      </c>
      <c r="F9" s="6">
        <v>111</v>
      </c>
      <c r="G9" s="9">
        <v>2.2000000000000001E-3</v>
      </c>
      <c r="I9" s="6" t="s">
        <v>99</v>
      </c>
      <c r="J9" s="6">
        <v>10</v>
      </c>
      <c r="K9" s="9">
        <v>2.0000000000000001E-4</v>
      </c>
      <c r="M9" s="6" t="s">
        <v>2</v>
      </c>
      <c r="N9" s="6">
        <v>94</v>
      </c>
      <c r="O9" s="9">
        <v>4.7999999999999996E-3</v>
      </c>
      <c r="Q9" s="6" t="s">
        <v>122</v>
      </c>
      <c r="R9" s="6">
        <v>40</v>
      </c>
      <c r="S9" s="9">
        <v>2.7000000000000001E-3</v>
      </c>
      <c r="U9" s="6" t="s">
        <v>99</v>
      </c>
      <c r="V9" s="6">
        <v>4</v>
      </c>
      <c r="W9" s="9">
        <v>2.9999999999999997E-4</v>
      </c>
      <c r="Y9" s="6" t="s">
        <v>2</v>
      </c>
      <c r="Z9" s="6">
        <v>218</v>
      </c>
      <c r="AA9" s="9">
        <v>6.7000000000000002E-3</v>
      </c>
      <c r="AC9" s="6" t="s">
        <v>122</v>
      </c>
      <c r="AD9" s="6">
        <v>71</v>
      </c>
      <c r="AE9" s="9">
        <v>2.0999999999999999E-3</v>
      </c>
      <c r="AG9" s="6" t="s">
        <v>2</v>
      </c>
      <c r="AH9" s="6">
        <v>9</v>
      </c>
      <c r="AI9" s="9">
        <v>2.9999999999999997E-4</v>
      </c>
    </row>
    <row r="10" spans="1:35">
      <c r="A10" s="6" t="s">
        <v>3</v>
      </c>
      <c r="B10" s="6">
        <v>146</v>
      </c>
      <c r="C10" s="9">
        <v>2.8E-3</v>
      </c>
      <c r="E10" s="6" t="s">
        <v>83</v>
      </c>
      <c r="F10" s="6">
        <v>25</v>
      </c>
      <c r="G10" s="9">
        <v>5.0000000000000001E-4</v>
      </c>
      <c r="I10" s="6" t="s">
        <v>2</v>
      </c>
      <c r="J10" s="6">
        <v>10</v>
      </c>
      <c r="K10" s="9">
        <v>2.0000000000000001E-4</v>
      </c>
      <c r="M10" s="6" t="s">
        <v>3</v>
      </c>
      <c r="N10" s="6">
        <v>59</v>
      </c>
      <c r="O10" s="9">
        <v>3.0000000000000001E-3</v>
      </c>
      <c r="Q10" s="6" t="s">
        <v>76</v>
      </c>
      <c r="R10" s="6">
        <v>4</v>
      </c>
      <c r="S10" s="9">
        <v>2.9999999999999997E-4</v>
      </c>
      <c r="U10" s="6" t="s">
        <v>102</v>
      </c>
      <c r="V10" s="6">
        <v>2</v>
      </c>
      <c r="W10" s="9">
        <v>2.0000000000000001E-4</v>
      </c>
      <c r="Y10" s="6" t="s">
        <v>9</v>
      </c>
      <c r="Z10" s="6">
        <v>118</v>
      </c>
      <c r="AA10" s="9">
        <v>3.5999999999999999E-3</v>
      </c>
      <c r="AC10" s="6" t="s">
        <v>83</v>
      </c>
      <c r="AD10" s="6">
        <v>25</v>
      </c>
      <c r="AE10" s="9">
        <v>6.9999999999999999E-4</v>
      </c>
      <c r="AG10" s="6" t="s">
        <v>99</v>
      </c>
      <c r="AH10" s="6">
        <v>6</v>
      </c>
      <c r="AI10" s="9">
        <v>2.0000000000000001E-4</v>
      </c>
    </row>
    <row r="11" spans="1:35">
      <c r="A11" s="6" t="s">
        <v>9</v>
      </c>
      <c r="B11" s="6">
        <v>136</v>
      </c>
      <c r="C11" s="9">
        <v>2.5999999999999999E-3</v>
      </c>
      <c r="E11" s="6" t="s">
        <v>77</v>
      </c>
      <c r="F11" s="6">
        <v>9</v>
      </c>
      <c r="G11" s="9">
        <v>2.0000000000000001E-4</v>
      </c>
      <c r="I11" s="6" t="s">
        <v>102</v>
      </c>
      <c r="J11" s="6">
        <v>6</v>
      </c>
      <c r="K11" s="9">
        <v>1E-4</v>
      </c>
      <c r="M11" s="6" t="s">
        <v>5</v>
      </c>
      <c r="N11" s="6">
        <v>21</v>
      </c>
      <c r="O11" s="9">
        <v>1.1000000000000001E-3</v>
      </c>
      <c r="Q11" s="6" t="s">
        <v>77</v>
      </c>
      <c r="R11" s="6">
        <v>4</v>
      </c>
      <c r="S11" s="9">
        <v>2.9999999999999997E-4</v>
      </c>
      <c r="U11" s="6" t="s">
        <v>98</v>
      </c>
      <c r="V11" s="6">
        <v>3</v>
      </c>
      <c r="W11" s="9">
        <v>2.0000000000000001E-4</v>
      </c>
      <c r="Y11" s="6" t="s">
        <v>8</v>
      </c>
      <c r="Z11" s="6">
        <v>108</v>
      </c>
      <c r="AA11" s="9">
        <v>3.3E-3</v>
      </c>
      <c r="AC11" s="6" t="s">
        <v>77</v>
      </c>
      <c r="AD11" s="6">
        <v>5</v>
      </c>
      <c r="AE11" s="9">
        <v>1E-4</v>
      </c>
      <c r="AG11" s="6" t="s">
        <v>103</v>
      </c>
      <c r="AH11" s="6">
        <v>4</v>
      </c>
      <c r="AI11" s="9">
        <v>1E-4</v>
      </c>
    </row>
    <row r="12" spans="1:35">
      <c r="A12" s="6" t="s">
        <v>8</v>
      </c>
      <c r="B12" s="6">
        <v>114</v>
      </c>
      <c r="C12" s="9">
        <v>2.2000000000000001E-3</v>
      </c>
      <c r="E12" s="6" t="s">
        <v>76</v>
      </c>
      <c r="F12" s="6">
        <v>4</v>
      </c>
      <c r="G12" s="9">
        <v>1E-4</v>
      </c>
      <c r="I12" s="6" t="s">
        <v>103</v>
      </c>
      <c r="J12" s="6">
        <v>5</v>
      </c>
      <c r="K12" s="9">
        <v>1E-4</v>
      </c>
      <c r="M12" s="6" t="s">
        <v>9</v>
      </c>
      <c r="N12" s="6">
        <v>18</v>
      </c>
      <c r="O12" s="9">
        <v>8.9999999999999998E-4</v>
      </c>
      <c r="Q12" s="6" t="s">
        <v>79</v>
      </c>
      <c r="R12" s="6">
        <v>1</v>
      </c>
      <c r="S12" s="9">
        <v>1E-4</v>
      </c>
      <c r="U12" s="6" t="s">
        <v>103</v>
      </c>
      <c r="V12" s="6">
        <v>1</v>
      </c>
      <c r="W12" s="9">
        <v>1E-4</v>
      </c>
      <c r="Y12" s="6" t="s">
        <v>3</v>
      </c>
      <c r="Z12" s="6">
        <v>87</v>
      </c>
      <c r="AA12" s="9">
        <v>2.7000000000000001E-3</v>
      </c>
      <c r="AC12" s="6" t="s">
        <v>74</v>
      </c>
      <c r="AD12" s="6">
        <v>3</v>
      </c>
      <c r="AE12" s="9">
        <v>1E-4</v>
      </c>
      <c r="AG12" s="6" t="s">
        <v>102</v>
      </c>
      <c r="AH12" s="6">
        <v>5</v>
      </c>
      <c r="AI12" s="9">
        <v>1E-4</v>
      </c>
    </row>
    <row r="13" spans="1:35">
      <c r="A13" s="6" t="s">
        <v>5</v>
      </c>
      <c r="B13" s="6">
        <v>79</v>
      </c>
      <c r="C13" s="9">
        <v>1.5E-3</v>
      </c>
      <c r="E13" s="6" t="s">
        <v>74</v>
      </c>
      <c r="F13" s="6">
        <v>3</v>
      </c>
      <c r="G13" s="9">
        <v>1E-4</v>
      </c>
      <c r="I13" s="6" t="s">
        <v>98</v>
      </c>
      <c r="J13" s="6">
        <v>4</v>
      </c>
      <c r="K13" s="9">
        <v>1E-4</v>
      </c>
      <c r="M13" s="6" t="s">
        <v>11</v>
      </c>
      <c r="N13" s="6">
        <v>15</v>
      </c>
      <c r="O13" s="9">
        <v>8.0000000000000004E-4</v>
      </c>
      <c r="Q13" s="6" t="s">
        <v>86</v>
      </c>
      <c r="R13" s="6">
        <v>1</v>
      </c>
      <c r="S13" s="9">
        <v>1E-4</v>
      </c>
      <c r="U13" s="6" t="s">
        <v>123</v>
      </c>
      <c r="V13" s="6">
        <v>1</v>
      </c>
      <c r="W13" s="9">
        <v>1E-4</v>
      </c>
      <c r="Y13" s="6" t="s">
        <v>5</v>
      </c>
      <c r="Z13" s="6">
        <v>58</v>
      </c>
      <c r="AA13" s="9">
        <v>1.8E-3</v>
      </c>
      <c r="AC13" s="6" t="s">
        <v>81</v>
      </c>
      <c r="AD13" s="6">
        <v>1</v>
      </c>
      <c r="AE13" s="30">
        <v>0</v>
      </c>
      <c r="AG13" s="6" t="s">
        <v>113</v>
      </c>
      <c r="AH13" s="6">
        <v>2</v>
      </c>
      <c r="AI13" s="9">
        <v>1E-4</v>
      </c>
    </row>
    <row r="14" spans="1:35">
      <c r="A14" s="6" t="s">
        <v>11</v>
      </c>
      <c r="B14" s="6">
        <v>48</v>
      </c>
      <c r="C14" s="9">
        <v>8.9999999999999998E-4</v>
      </c>
      <c r="E14" s="6" t="s">
        <v>81</v>
      </c>
      <c r="F14" s="6">
        <v>1</v>
      </c>
      <c r="G14" s="30">
        <v>0</v>
      </c>
      <c r="I14" s="6" t="s">
        <v>113</v>
      </c>
      <c r="J14" s="6">
        <v>3</v>
      </c>
      <c r="K14" s="9">
        <v>1E-4</v>
      </c>
      <c r="M14" s="6" t="s">
        <v>37</v>
      </c>
      <c r="N14" s="6">
        <v>13</v>
      </c>
      <c r="O14" s="9">
        <v>6.9999999999999999E-4</v>
      </c>
      <c r="Q14" s="6" t="s">
        <v>80</v>
      </c>
      <c r="R14" s="6">
        <v>1</v>
      </c>
      <c r="S14" s="9">
        <v>1E-4</v>
      </c>
      <c r="U14" s="6" t="s">
        <v>113</v>
      </c>
      <c r="V14" s="6">
        <v>1</v>
      </c>
      <c r="W14" s="9">
        <v>1E-4</v>
      </c>
      <c r="Y14" s="6" t="s">
        <v>11</v>
      </c>
      <c r="Z14" s="6">
        <v>33</v>
      </c>
      <c r="AA14" s="9">
        <v>1E-3</v>
      </c>
      <c r="AC14" s="6" t="s">
        <v>80</v>
      </c>
      <c r="AD14" s="6">
        <v>1</v>
      </c>
      <c r="AE14" s="30">
        <v>0</v>
      </c>
      <c r="AG14" s="6" t="s">
        <v>98</v>
      </c>
      <c r="AH14" s="6">
        <v>1</v>
      </c>
      <c r="AI14" s="30">
        <v>0</v>
      </c>
    </row>
    <row r="15" spans="1:35">
      <c r="A15" s="6" t="s">
        <v>7</v>
      </c>
      <c r="B15" s="6">
        <v>42</v>
      </c>
      <c r="C15" s="9">
        <v>8.0000000000000004E-4</v>
      </c>
      <c r="E15" s="6" t="s">
        <v>80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41</v>
      </c>
      <c r="N15" s="6">
        <v>14</v>
      </c>
      <c r="O15" s="9">
        <v>6.9999999999999999E-4</v>
      </c>
      <c r="U15" s="6" t="s">
        <v>2</v>
      </c>
      <c r="V15" s="6">
        <v>1</v>
      </c>
      <c r="W15" s="9">
        <v>1E-4</v>
      </c>
      <c r="Y15" s="6" t="s">
        <v>7</v>
      </c>
      <c r="Z15" s="6">
        <v>28</v>
      </c>
      <c r="AA15" s="9">
        <v>8.9999999999999998E-4</v>
      </c>
      <c r="AC15" s="6" t="s">
        <v>91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24</v>
      </c>
      <c r="C16" s="9">
        <v>5.0000000000000001E-4</v>
      </c>
      <c r="E16" s="6" t="s">
        <v>86</v>
      </c>
      <c r="F16" s="6">
        <v>1</v>
      </c>
      <c r="G16" s="30">
        <v>0</v>
      </c>
      <c r="M16" s="6" t="s">
        <v>7</v>
      </c>
      <c r="N16" s="6">
        <v>14</v>
      </c>
      <c r="O16" s="9">
        <v>6.9999999999999999E-4</v>
      </c>
      <c r="Y16" s="6" t="s">
        <v>19</v>
      </c>
      <c r="Z16" s="6">
        <v>12</v>
      </c>
      <c r="AA16" s="9">
        <v>4.0000000000000002E-4</v>
      </c>
      <c r="AC16" s="6" t="s">
        <v>75</v>
      </c>
      <c r="AD16" s="6">
        <v>1</v>
      </c>
      <c r="AE16" s="30">
        <v>0</v>
      </c>
    </row>
    <row r="17" spans="1:27">
      <c r="A17" s="6" t="s">
        <v>37</v>
      </c>
      <c r="B17" s="6">
        <v>21</v>
      </c>
      <c r="C17" s="9">
        <v>4.0000000000000002E-4</v>
      </c>
      <c r="E17" s="6" t="s">
        <v>79</v>
      </c>
      <c r="F17" s="6">
        <v>1</v>
      </c>
      <c r="G17" s="30">
        <v>0</v>
      </c>
      <c r="M17" s="6" t="s">
        <v>8</v>
      </c>
      <c r="N17" s="6">
        <v>6</v>
      </c>
      <c r="O17" s="9">
        <v>2.9999999999999997E-4</v>
      </c>
      <c r="Y17" s="6" t="s">
        <v>14</v>
      </c>
      <c r="Z17" s="6">
        <v>12</v>
      </c>
      <c r="AA17" s="9">
        <v>4.0000000000000002E-4</v>
      </c>
    </row>
    <row r="18" spans="1:27">
      <c r="A18" s="6" t="s">
        <v>29</v>
      </c>
      <c r="B18" s="6">
        <v>14</v>
      </c>
      <c r="C18" s="9">
        <v>2.9999999999999997E-4</v>
      </c>
      <c r="E18" s="6" t="s">
        <v>91</v>
      </c>
      <c r="F18" s="6">
        <v>1</v>
      </c>
      <c r="G18" s="30">
        <v>0</v>
      </c>
      <c r="M18" s="6" t="s">
        <v>21</v>
      </c>
      <c r="N18" s="6">
        <v>4</v>
      </c>
      <c r="O18" s="9">
        <v>2.0000000000000001E-4</v>
      </c>
      <c r="Y18" s="6" t="s">
        <v>41</v>
      </c>
      <c r="Z18" s="6">
        <v>10</v>
      </c>
      <c r="AA18" s="9">
        <v>2.9999999999999997E-4</v>
      </c>
    </row>
    <row r="19" spans="1:27">
      <c r="A19" s="6" t="s">
        <v>19</v>
      </c>
      <c r="B19" s="6">
        <v>13</v>
      </c>
      <c r="C19" s="9">
        <v>2.0000000000000001E-4</v>
      </c>
      <c r="E19" s="6" t="s">
        <v>75</v>
      </c>
      <c r="F19" s="6">
        <v>1</v>
      </c>
      <c r="G19" s="30">
        <v>0</v>
      </c>
      <c r="M19" s="6" t="s">
        <v>29</v>
      </c>
      <c r="N19" s="6">
        <v>4</v>
      </c>
      <c r="O19" s="9">
        <v>2.0000000000000001E-4</v>
      </c>
      <c r="Y19" s="6" t="s">
        <v>29</v>
      </c>
      <c r="Z19" s="6">
        <v>10</v>
      </c>
      <c r="AA19" s="9">
        <v>2.9999999999999997E-4</v>
      </c>
    </row>
    <row r="20" spans="1:27">
      <c r="A20" s="6" t="s">
        <v>21</v>
      </c>
      <c r="B20" s="6">
        <v>10</v>
      </c>
      <c r="C20" s="9">
        <v>2.0000000000000001E-4</v>
      </c>
      <c r="M20" s="6" t="s">
        <v>31</v>
      </c>
      <c r="N20" s="6">
        <v>3</v>
      </c>
      <c r="O20" s="9">
        <v>2.0000000000000001E-4</v>
      </c>
      <c r="Y20" s="6" t="s">
        <v>37</v>
      </c>
      <c r="Z20" s="6">
        <v>8</v>
      </c>
      <c r="AA20" s="9">
        <v>2.0000000000000001E-4</v>
      </c>
    </row>
    <row r="21" spans="1:27">
      <c r="A21" s="6" t="s">
        <v>14</v>
      </c>
      <c r="B21" s="6">
        <v>12</v>
      </c>
      <c r="C21" s="9">
        <v>2.0000000000000001E-4</v>
      </c>
      <c r="M21" s="6" t="s">
        <v>17</v>
      </c>
      <c r="N21" s="6">
        <v>3</v>
      </c>
      <c r="O21" s="9">
        <v>2.0000000000000001E-4</v>
      </c>
      <c r="Y21" s="6" t="s">
        <v>21</v>
      </c>
      <c r="Z21" s="6">
        <v>6</v>
      </c>
      <c r="AA21" s="9">
        <v>2.0000000000000001E-4</v>
      </c>
    </row>
    <row r="22" spans="1:27">
      <c r="A22" s="6" t="s">
        <v>10</v>
      </c>
      <c r="B22" s="6">
        <v>10</v>
      </c>
      <c r="C22" s="9">
        <v>2.0000000000000001E-4</v>
      </c>
      <c r="M22" s="6" t="s">
        <v>19</v>
      </c>
      <c r="N22" s="6">
        <v>1</v>
      </c>
      <c r="O22" s="9">
        <v>1E-4</v>
      </c>
      <c r="Y22" s="6" t="s">
        <v>10</v>
      </c>
      <c r="Z22" s="6">
        <v>8</v>
      </c>
      <c r="AA22" s="9">
        <v>2.0000000000000001E-4</v>
      </c>
    </row>
    <row r="23" spans="1:27">
      <c r="A23" s="6" t="s">
        <v>31</v>
      </c>
      <c r="B23" s="6">
        <v>11</v>
      </c>
      <c r="C23" s="9">
        <v>2.0000000000000001E-4</v>
      </c>
      <c r="M23" s="6" t="s">
        <v>20</v>
      </c>
      <c r="N23" s="6">
        <v>1</v>
      </c>
      <c r="O23" s="9">
        <v>1E-4</v>
      </c>
      <c r="Y23" s="6" t="s">
        <v>12</v>
      </c>
      <c r="Z23" s="6">
        <v>8</v>
      </c>
      <c r="AA23" s="9">
        <v>2.0000000000000001E-4</v>
      </c>
    </row>
    <row r="24" spans="1:27">
      <c r="A24" s="6" t="s">
        <v>12</v>
      </c>
      <c r="B24" s="6">
        <v>9</v>
      </c>
      <c r="C24" s="9">
        <v>2.0000000000000001E-4</v>
      </c>
      <c r="M24" s="6" t="s">
        <v>16</v>
      </c>
      <c r="N24" s="6">
        <v>2</v>
      </c>
      <c r="O24" s="9">
        <v>1E-4</v>
      </c>
      <c r="Y24" s="6" t="s">
        <v>40</v>
      </c>
      <c r="Z24" s="6">
        <v>6</v>
      </c>
      <c r="AA24" s="9">
        <v>2.0000000000000001E-4</v>
      </c>
    </row>
    <row r="25" spans="1:27">
      <c r="A25" s="6" t="s">
        <v>18</v>
      </c>
      <c r="B25" s="6">
        <v>8</v>
      </c>
      <c r="C25" s="9">
        <v>2.0000000000000001E-4</v>
      </c>
      <c r="M25" s="6" t="s">
        <v>22</v>
      </c>
      <c r="N25" s="6">
        <v>1</v>
      </c>
      <c r="O25" s="9">
        <v>1E-4</v>
      </c>
      <c r="Y25" s="6" t="s">
        <v>31</v>
      </c>
      <c r="Z25" s="6">
        <v>8</v>
      </c>
      <c r="AA25" s="9">
        <v>2.0000000000000001E-4</v>
      </c>
    </row>
    <row r="26" spans="1:27">
      <c r="A26" s="6" t="s">
        <v>20</v>
      </c>
      <c r="B26" s="6">
        <v>3</v>
      </c>
      <c r="C26" s="9">
        <v>1E-4</v>
      </c>
      <c r="M26" s="6" t="s">
        <v>10</v>
      </c>
      <c r="N26" s="6">
        <v>2</v>
      </c>
      <c r="O26" s="9">
        <v>1E-4</v>
      </c>
      <c r="Y26" s="6" t="s">
        <v>18</v>
      </c>
      <c r="Z26" s="6">
        <v>6</v>
      </c>
      <c r="AA26" s="9">
        <v>2.0000000000000001E-4</v>
      </c>
    </row>
    <row r="27" spans="1:27">
      <c r="A27" s="6" t="s">
        <v>40</v>
      </c>
      <c r="B27" s="6">
        <v>6</v>
      </c>
      <c r="C27" s="9">
        <v>1E-4</v>
      </c>
      <c r="M27" s="6" t="s">
        <v>36</v>
      </c>
      <c r="N27" s="6">
        <v>1</v>
      </c>
      <c r="O27" s="9">
        <v>1E-4</v>
      </c>
      <c r="Y27" s="6" t="s">
        <v>22</v>
      </c>
      <c r="Z27" s="6">
        <v>5</v>
      </c>
      <c r="AA27" s="9">
        <v>2.0000000000000001E-4</v>
      </c>
    </row>
    <row r="28" spans="1:27">
      <c r="A28" s="6" t="s">
        <v>17</v>
      </c>
      <c r="B28" s="6">
        <v>5</v>
      </c>
      <c r="C28" s="9">
        <v>1E-4</v>
      </c>
      <c r="M28" s="6" t="s">
        <v>18</v>
      </c>
      <c r="N28" s="6">
        <v>2</v>
      </c>
      <c r="O28" s="9">
        <v>1E-4</v>
      </c>
      <c r="Y28" s="6" t="s">
        <v>20</v>
      </c>
      <c r="Z28" s="6">
        <v>2</v>
      </c>
      <c r="AA28" s="9">
        <v>1E-4</v>
      </c>
    </row>
    <row r="29" spans="1:27">
      <c r="A29" s="6" t="s">
        <v>22</v>
      </c>
      <c r="B29" s="6">
        <v>6</v>
      </c>
      <c r="C29" s="9">
        <v>1E-4</v>
      </c>
      <c r="M29" s="6" t="s">
        <v>12</v>
      </c>
      <c r="N29" s="6">
        <v>1</v>
      </c>
      <c r="O29" s="9">
        <v>1E-4</v>
      </c>
      <c r="Y29" s="6" t="s">
        <v>34</v>
      </c>
      <c r="Z29" s="6">
        <v>2</v>
      </c>
      <c r="AA29" s="9">
        <v>1E-4</v>
      </c>
    </row>
    <row r="30" spans="1:27">
      <c r="A30" s="6" t="s">
        <v>16</v>
      </c>
      <c r="B30" s="6">
        <v>3</v>
      </c>
      <c r="C30" s="9">
        <v>1E-4</v>
      </c>
      <c r="M30" s="6" t="s">
        <v>30</v>
      </c>
      <c r="N30" s="6">
        <v>2</v>
      </c>
      <c r="O30" s="9">
        <v>1E-4</v>
      </c>
      <c r="Y30" s="6" t="s">
        <v>17</v>
      </c>
      <c r="Z30" s="6">
        <v>2</v>
      </c>
      <c r="AA30" s="9">
        <v>1E-4</v>
      </c>
    </row>
    <row r="31" spans="1:27">
      <c r="A31" s="6" t="s">
        <v>30</v>
      </c>
      <c r="B31" s="6">
        <v>3</v>
      </c>
      <c r="C31" s="9">
        <v>1E-4</v>
      </c>
      <c r="M31" s="6" t="s">
        <v>33</v>
      </c>
      <c r="N31" s="6">
        <v>2</v>
      </c>
      <c r="O31" s="9">
        <v>1E-4</v>
      </c>
      <c r="Y31" s="6" t="s">
        <v>26</v>
      </c>
      <c r="Z31" s="6">
        <v>4</v>
      </c>
      <c r="AA31" s="9">
        <v>1E-4</v>
      </c>
    </row>
    <row r="32" spans="1:27">
      <c r="A32" s="6" t="s">
        <v>26</v>
      </c>
      <c r="B32" s="6">
        <v>4</v>
      </c>
      <c r="C32" s="9">
        <v>1E-4</v>
      </c>
      <c r="M32" s="6" t="s">
        <v>42</v>
      </c>
      <c r="N32" s="6">
        <v>1</v>
      </c>
      <c r="O32" s="9">
        <v>1E-4</v>
      </c>
      <c r="Y32" s="6" t="s">
        <v>58</v>
      </c>
      <c r="Z32" s="6">
        <v>3</v>
      </c>
      <c r="AA32" s="9">
        <v>1E-4</v>
      </c>
    </row>
    <row r="33" spans="1:27">
      <c r="A33" s="6" t="s">
        <v>58</v>
      </c>
      <c r="B33" s="6">
        <v>3</v>
      </c>
      <c r="C33" s="9">
        <v>1E-4</v>
      </c>
      <c r="M33" s="6" t="s">
        <v>59</v>
      </c>
      <c r="N33" s="6">
        <v>1</v>
      </c>
      <c r="O33" s="9">
        <v>1E-4</v>
      </c>
      <c r="Y33" s="6" t="s">
        <v>24</v>
      </c>
      <c r="Z33" s="6">
        <v>2</v>
      </c>
      <c r="AA33" s="9">
        <v>1E-4</v>
      </c>
    </row>
    <row r="34" spans="1:27">
      <c r="A34" s="6" t="s">
        <v>33</v>
      </c>
      <c r="B34" s="6">
        <v>3</v>
      </c>
      <c r="C34" s="9">
        <v>1E-4</v>
      </c>
      <c r="M34" s="6" t="s">
        <v>38</v>
      </c>
      <c r="N34" s="6">
        <v>1</v>
      </c>
      <c r="O34" s="9">
        <v>1E-4</v>
      </c>
      <c r="Y34" s="6" t="s">
        <v>115</v>
      </c>
      <c r="Z34" s="6">
        <v>1</v>
      </c>
      <c r="AA34" s="30">
        <v>0</v>
      </c>
    </row>
    <row r="35" spans="1:27">
      <c r="A35" s="6" t="s">
        <v>115</v>
      </c>
      <c r="B35" s="6">
        <v>1</v>
      </c>
      <c r="C35" s="30">
        <v>0</v>
      </c>
      <c r="M35" s="6" t="s">
        <v>69</v>
      </c>
      <c r="N35" s="6">
        <v>1</v>
      </c>
      <c r="O35" s="9">
        <v>1E-4</v>
      </c>
      <c r="Y35" s="6" t="s">
        <v>36</v>
      </c>
      <c r="Z35" s="6">
        <v>1</v>
      </c>
      <c r="AA35" s="30">
        <v>0</v>
      </c>
    </row>
    <row r="36" spans="1:27">
      <c r="A36" s="6" t="s">
        <v>34</v>
      </c>
      <c r="B36" s="6">
        <v>2</v>
      </c>
      <c r="C36" s="30">
        <v>0</v>
      </c>
      <c r="M36" s="6" t="s">
        <v>129</v>
      </c>
      <c r="N36" s="6">
        <v>1</v>
      </c>
      <c r="O36" s="9">
        <v>1E-4</v>
      </c>
      <c r="Y36" s="6" t="s">
        <v>16</v>
      </c>
      <c r="Z36" s="6">
        <v>1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M37" s="6" t="s">
        <v>39</v>
      </c>
      <c r="N37" s="6">
        <v>1</v>
      </c>
      <c r="O37" s="9">
        <v>1E-4</v>
      </c>
      <c r="Y37" s="6" t="s">
        <v>30</v>
      </c>
      <c r="Z37" s="6">
        <v>1</v>
      </c>
      <c r="AA37" s="30">
        <v>0</v>
      </c>
    </row>
    <row r="38" spans="1:27">
      <c r="A38" s="6" t="s">
        <v>45</v>
      </c>
      <c r="B38" s="6">
        <v>1</v>
      </c>
      <c r="C38" s="30">
        <v>0</v>
      </c>
      <c r="M38" s="6" t="s">
        <v>25</v>
      </c>
      <c r="N38" s="6">
        <v>1</v>
      </c>
      <c r="O38" s="9">
        <v>1E-4</v>
      </c>
      <c r="Y38" s="6" t="s">
        <v>57</v>
      </c>
      <c r="Z38" s="6">
        <v>1</v>
      </c>
      <c r="AA38" s="30">
        <v>0</v>
      </c>
    </row>
    <row r="39" spans="1:27">
      <c r="A39" s="6" t="s">
        <v>24</v>
      </c>
      <c r="B39" s="6">
        <v>2</v>
      </c>
      <c r="C39" s="30">
        <v>0</v>
      </c>
      <c r="Y39" s="6" t="s">
        <v>42</v>
      </c>
      <c r="Z39" s="6">
        <v>1</v>
      </c>
      <c r="AA39" s="30">
        <v>0</v>
      </c>
    </row>
    <row r="40" spans="1:27">
      <c r="A40" s="6" t="s">
        <v>42</v>
      </c>
      <c r="B40" s="6">
        <v>2</v>
      </c>
      <c r="C40" s="30">
        <v>0</v>
      </c>
      <c r="Y40" s="6" t="s">
        <v>45</v>
      </c>
      <c r="Z40" s="6">
        <v>1</v>
      </c>
      <c r="AA40" s="30">
        <v>0</v>
      </c>
    </row>
    <row r="41" spans="1:27">
      <c r="A41" s="6" t="s">
        <v>39</v>
      </c>
      <c r="B41" s="6">
        <v>2</v>
      </c>
      <c r="C41" s="30">
        <v>0</v>
      </c>
      <c r="Y41" s="6" t="s">
        <v>39</v>
      </c>
      <c r="Z41" s="6">
        <v>1</v>
      </c>
      <c r="AA41" s="30">
        <v>0</v>
      </c>
    </row>
    <row r="42" spans="1:27">
      <c r="A42" s="6" t="s">
        <v>57</v>
      </c>
      <c r="B42" s="6">
        <v>1</v>
      </c>
      <c r="C42" s="30">
        <v>0</v>
      </c>
      <c r="Y42" s="6" t="s">
        <v>43</v>
      </c>
      <c r="Z42" s="6">
        <v>1</v>
      </c>
      <c r="AA42" s="30">
        <v>0</v>
      </c>
    </row>
    <row r="43" spans="1:27">
      <c r="A43" s="6" t="s">
        <v>43</v>
      </c>
      <c r="B43" s="6">
        <v>1</v>
      </c>
      <c r="C43" s="30">
        <v>0</v>
      </c>
      <c r="Y43" s="6" t="s">
        <v>68</v>
      </c>
      <c r="Z43" s="6">
        <v>1</v>
      </c>
      <c r="AA43" s="30">
        <v>0</v>
      </c>
    </row>
    <row r="44" spans="1:27">
      <c r="A44" s="6" t="s">
        <v>68</v>
      </c>
      <c r="B44" s="6">
        <v>1</v>
      </c>
      <c r="C44" s="30">
        <v>0</v>
      </c>
      <c r="Y44" s="6" t="s">
        <v>60</v>
      </c>
      <c r="Z44" s="6">
        <v>1</v>
      </c>
      <c r="AA44" s="30">
        <v>0</v>
      </c>
    </row>
    <row r="45" spans="1:27">
      <c r="A45" s="6" t="s">
        <v>60</v>
      </c>
      <c r="B45" s="6">
        <v>1</v>
      </c>
      <c r="C45" s="30">
        <v>0</v>
      </c>
      <c r="Y45" s="6" t="s">
        <v>134</v>
      </c>
      <c r="Z45" s="6">
        <v>1</v>
      </c>
      <c r="AA45" s="30">
        <v>0</v>
      </c>
    </row>
    <row r="46" spans="1:27">
      <c r="A46" s="6" t="s">
        <v>38</v>
      </c>
      <c r="B46" s="6">
        <v>1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59</v>
      </c>
      <c r="B47" s="6">
        <v>1</v>
      </c>
      <c r="C47" s="30">
        <v>0</v>
      </c>
      <c r="Y47" s="6" t="s">
        <v>25</v>
      </c>
      <c r="Z47" s="6">
        <v>1</v>
      </c>
      <c r="AA47" s="30">
        <v>0</v>
      </c>
    </row>
    <row r="48" spans="1:27">
      <c r="A48" s="6" t="s">
        <v>69</v>
      </c>
      <c r="B48" s="6">
        <v>1</v>
      </c>
      <c r="C48" s="30">
        <v>0</v>
      </c>
    </row>
    <row r="49" spans="1:3">
      <c r="A49" s="6" t="s">
        <v>25</v>
      </c>
      <c r="B49" s="6">
        <v>2</v>
      </c>
      <c r="C49" s="30">
        <v>0</v>
      </c>
    </row>
    <row r="50" spans="1:3">
      <c r="A50" s="6" t="s">
        <v>134</v>
      </c>
      <c r="B50" s="6">
        <v>1</v>
      </c>
      <c r="C50" s="30">
        <v>0</v>
      </c>
    </row>
    <row r="51" spans="1:3">
      <c r="A51" s="6" t="s">
        <v>129</v>
      </c>
      <c r="B51" s="6">
        <v>1</v>
      </c>
      <c r="C51" s="30">
        <v>0</v>
      </c>
    </row>
  </sheetData>
  <mergeCells count="18">
    <mergeCell ref="A1:B1"/>
    <mergeCell ref="E1:F1"/>
    <mergeCell ref="I1:J1"/>
    <mergeCell ref="A2:A5"/>
    <mergeCell ref="E2:E5"/>
    <mergeCell ref="I2:I5"/>
    <mergeCell ref="AG2:AG5"/>
    <mergeCell ref="M1:N1"/>
    <mergeCell ref="Q1:R1"/>
    <mergeCell ref="U1:V1"/>
    <mergeCell ref="Y1:Z1"/>
    <mergeCell ref="AC1:AD1"/>
    <mergeCell ref="AG1:AH1"/>
    <mergeCell ref="M2:M5"/>
    <mergeCell ref="Q2:Q5"/>
    <mergeCell ref="U2:U5"/>
    <mergeCell ref="Y2:Y5"/>
    <mergeCell ref="AC2:AC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FEE07-28FA-4CD5-9640-068117F77688}">
  <sheetPr codeName="Sheet8"/>
  <dimension ref="A1:AI47"/>
  <sheetViews>
    <sheetView topLeftCell="J1" workbookViewId="0">
      <selection activeCell="N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56442</v>
      </c>
      <c r="E2" s="41" t="s">
        <v>4</v>
      </c>
      <c r="F2" s="23" t="s">
        <v>105</v>
      </c>
      <c r="G2" s="23">
        <f>G3+G4</f>
        <v>53546</v>
      </c>
      <c r="H2" s="22"/>
      <c r="I2" s="41" t="s">
        <v>6</v>
      </c>
      <c r="J2" s="23" t="s">
        <v>105</v>
      </c>
      <c r="K2" s="23">
        <f>K3+K4</f>
        <v>53639</v>
      </c>
      <c r="M2" s="41" t="s">
        <v>104</v>
      </c>
      <c r="N2" s="23" t="s">
        <v>105</v>
      </c>
      <c r="O2" s="23">
        <f>O3+O4</f>
        <v>10959</v>
      </c>
      <c r="Q2" s="41" t="s">
        <v>4</v>
      </c>
      <c r="R2" s="23" t="s">
        <v>105</v>
      </c>
      <c r="S2" s="23">
        <f>S3+S4</f>
        <v>15062</v>
      </c>
      <c r="T2" s="22"/>
      <c r="U2" s="41" t="s">
        <v>6</v>
      </c>
      <c r="V2" s="23" t="s">
        <v>105</v>
      </c>
      <c r="W2" s="23">
        <f>W3+W4</f>
        <v>16742</v>
      </c>
      <c r="Y2" s="41" t="s">
        <v>104</v>
      </c>
      <c r="Z2" s="23" t="s">
        <v>105</v>
      </c>
      <c r="AA2" s="23">
        <f>AA3+AA4</f>
        <v>45483</v>
      </c>
      <c r="AC2" s="41" t="s">
        <v>4</v>
      </c>
      <c r="AD2" s="23" t="s">
        <v>105</v>
      </c>
      <c r="AE2" s="23">
        <f>AE3+AE4</f>
        <v>38485</v>
      </c>
      <c r="AF2" s="22"/>
      <c r="AG2" s="41" t="s">
        <v>6</v>
      </c>
      <c r="AH2" s="23" t="s">
        <v>105</v>
      </c>
      <c r="AI2" s="23">
        <f>AI3+AI4</f>
        <v>36899</v>
      </c>
    </row>
    <row r="3" spans="1:35">
      <c r="A3" s="42"/>
      <c r="B3" s="24" t="s">
        <v>106</v>
      </c>
      <c r="C3" s="24">
        <f>B8</f>
        <v>55415</v>
      </c>
      <c r="E3" s="42"/>
      <c r="F3" s="24" t="s">
        <v>106</v>
      </c>
      <c r="G3" s="24">
        <f>F8</f>
        <v>53405</v>
      </c>
      <c r="H3" s="22"/>
      <c r="I3" s="42"/>
      <c r="J3" s="24" t="s">
        <v>106</v>
      </c>
      <c r="K3" s="24">
        <f>J8</f>
        <v>53577</v>
      </c>
      <c r="M3" s="42"/>
      <c r="N3" s="24" t="s">
        <v>106</v>
      </c>
      <c r="O3" s="24">
        <f>N8</f>
        <v>10806</v>
      </c>
      <c r="Q3" s="42"/>
      <c r="R3" s="24" t="s">
        <v>106</v>
      </c>
      <c r="S3" s="24">
        <f>R8</f>
        <v>15031</v>
      </c>
      <c r="T3" s="22"/>
      <c r="U3" s="42"/>
      <c r="V3" s="24" t="s">
        <v>106</v>
      </c>
      <c r="W3" s="24">
        <f>V8</f>
        <v>16713</v>
      </c>
      <c r="Y3" s="42"/>
      <c r="Z3" s="24" t="s">
        <v>106</v>
      </c>
      <c r="AA3" s="24">
        <f>Z8</f>
        <v>44609</v>
      </c>
      <c r="AC3" s="42"/>
      <c r="AD3" s="24" t="s">
        <v>106</v>
      </c>
      <c r="AE3" s="24">
        <f>AD8</f>
        <v>38374</v>
      </c>
      <c r="AF3" s="22"/>
      <c r="AG3" s="42"/>
      <c r="AH3" s="24" t="s">
        <v>106</v>
      </c>
      <c r="AI3" s="24">
        <f>AH8</f>
        <v>36864</v>
      </c>
    </row>
    <row r="4" spans="1:35">
      <c r="A4" s="42"/>
      <c r="B4" s="25" t="s">
        <v>107</v>
      </c>
      <c r="C4" s="25">
        <f>SUM(B9:B66)</f>
        <v>1027</v>
      </c>
      <c r="E4" s="42"/>
      <c r="F4" s="25" t="s">
        <v>107</v>
      </c>
      <c r="G4" s="25">
        <f>SUM(F9:F33)</f>
        <v>141</v>
      </c>
      <c r="H4" s="22"/>
      <c r="I4" s="42"/>
      <c r="J4" s="25" t="s">
        <v>107</v>
      </c>
      <c r="K4" s="25">
        <f>SUM(J9:J31)</f>
        <v>62</v>
      </c>
      <c r="M4" s="42"/>
      <c r="N4" s="25" t="s">
        <v>107</v>
      </c>
      <c r="O4" s="25">
        <f>SUM(N9:N66)</f>
        <v>153</v>
      </c>
      <c r="Q4" s="42"/>
      <c r="R4" s="25" t="s">
        <v>107</v>
      </c>
      <c r="S4" s="25">
        <f>SUM(R9:R33)</f>
        <v>31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874</v>
      </c>
      <c r="AC4" s="42"/>
      <c r="AD4" s="25" t="s">
        <v>107</v>
      </c>
      <c r="AE4" s="25">
        <f>SUM(AD9:AD29)</f>
        <v>111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1.7999999999999992E-2</v>
      </c>
      <c r="E5" s="43"/>
      <c r="F5" s="23" t="s">
        <v>108</v>
      </c>
      <c r="G5" s="26">
        <f>SUM(G9:G33)</f>
        <v>2.599999999999999E-3</v>
      </c>
      <c r="H5" s="22"/>
      <c r="I5" s="43"/>
      <c r="J5" s="23" t="s">
        <v>108</v>
      </c>
      <c r="K5" s="26">
        <f>SUM(K9:K31)</f>
        <v>1.3000000000000002E-3</v>
      </c>
      <c r="M5" s="43"/>
      <c r="N5" s="23" t="s">
        <v>108</v>
      </c>
      <c r="O5" s="26">
        <f>SUM(O9:O179)</f>
        <v>1.4199999999999997E-2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1.9000000000000002E-3</v>
      </c>
      <c r="Y5" s="43"/>
      <c r="Z5" s="23" t="s">
        <v>108</v>
      </c>
      <c r="AA5" s="26">
        <f>SUM(AA9:AA158)</f>
        <v>1.8799999999999994E-2</v>
      </c>
      <c r="AC5" s="43"/>
      <c r="AD5" s="23" t="s">
        <v>108</v>
      </c>
      <c r="AE5" s="26">
        <f>SUM(AE9:AE29)</f>
        <v>2.6999999999999993E-3</v>
      </c>
      <c r="AF5" s="22"/>
      <c r="AG5" s="43"/>
      <c r="AH5" s="23" t="s">
        <v>108</v>
      </c>
      <c r="AI5" s="26">
        <f>SUM(AI9:AI29)</f>
        <v>1.0000000000000002E-3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55415</v>
      </c>
      <c r="C8" s="9">
        <v>0.98180000000000001</v>
      </c>
      <c r="E8" s="6" t="s">
        <v>112</v>
      </c>
      <c r="F8" s="29">
        <v>53405</v>
      </c>
      <c r="G8" s="9">
        <v>0.99739999999999995</v>
      </c>
      <c r="I8" s="6" t="s">
        <v>112</v>
      </c>
      <c r="J8" s="29">
        <v>53577</v>
      </c>
      <c r="K8" s="9">
        <v>0.99880000000000002</v>
      </c>
      <c r="M8" s="6" t="s">
        <v>112</v>
      </c>
      <c r="N8" s="29">
        <v>10806</v>
      </c>
      <c r="O8" s="9">
        <v>0.98599999999999999</v>
      </c>
      <c r="Q8" s="6" t="s">
        <v>112</v>
      </c>
      <c r="R8" s="29">
        <v>15031</v>
      </c>
      <c r="S8" s="9">
        <v>0.99790000000000001</v>
      </c>
      <c r="U8" s="6" t="s">
        <v>112</v>
      </c>
      <c r="V8" s="29">
        <v>16713</v>
      </c>
      <c r="W8" s="9">
        <v>0.99829999999999997</v>
      </c>
      <c r="Y8" s="6" t="s">
        <v>112</v>
      </c>
      <c r="Z8" s="29">
        <v>44609</v>
      </c>
      <c r="AA8" s="9">
        <v>0.98080000000000001</v>
      </c>
      <c r="AC8" s="6" t="s">
        <v>112</v>
      </c>
      <c r="AD8" s="29">
        <v>38374</v>
      </c>
      <c r="AE8" s="9">
        <v>0.99709999999999999</v>
      </c>
      <c r="AG8" s="6" t="s">
        <v>112</v>
      </c>
      <c r="AH8" s="29">
        <v>36864</v>
      </c>
      <c r="AI8" s="9">
        <v>0.99909999999999999</v>
      </c>
    </row>
    <row r="9" spans="1:35">
      <c r="A9" s="6" t="s">
        <v>2</v>
      </c>
      <c r="B9" s="6">
        <v>302</v>
      </c>
      <c r="C9" s="9">
        <v>5.4000000000000003E-3</v>
      </c>
      <c r="E9" s="6" t="s">
        <v>122</v>
      </c>
      <c r="F9" s="6">
        <v>91</v>
      </c>
      <c r="G9" s="9">
        <v>1.6999999999999999E-3</v>
      </c>
      <c r="I9" s="6" t="s">
        <v>2</v>
      </c>
      <c r="J9" s="6">
        <v>20</v>
      </c>
      <c r="K9" s="9">
        <v>4.0000000000000002E-4</v>
      </c>
      <c r="M9" s="6" t="s">
        <v>2</v>
      </c>
      <c r="N9" s="6">
        <v>47</v>
      </c>
      <c r="O9" s="9">
        <v>4.3E-3</v>
      </c>
      <c r="Q9" s="6" t="s">
        <v>122</v>
      </c>
      <c r="R9" s="6">
        <v>29</v>
      </c>
      <c r="S9" s="9">
        <v>1.9E-3</v>
      </c>
      <c r="U9" s="6" t="s">
        <v>98</v>
      </c>
      <c r="V9" s="6">
        <v>13</v>
      </c>
      <c r="W9" s="9">
        <v>8.0000000000000004E-4</v>
      </c>
      <c r="Y9" s="6" t="s">
        <v>2</v>
      </c>
      <c r="Z9" s="6">
        <v>255</v>
      </c>
      <c r="AA9" s="9">
        <v>5.5999999999999999E-3</v>
      </c>
      <c r="AC9" s="6" t="s">
        <v>122</v>
      </c>
      <c r="AD9" s="6">
        <v>62</v>
      </c>
      <c r="AE9" s="9">
        <v>1.6000000000000001E-3</v>
      </c>
      <c r="AG9" s="6" t="s">
        <v>2</v>
      </c>
      <c r="AH9" s="6">
        <v>14</v>
      </c>
      <c r="AI9" s="9">
        <v>4.0000000000000002E-4</v>
      </c>
    </row>
    <row r="10" spans="1:35">
      <c r="A10" s="6" t="s">
        <v>3</v>
      </c>
      <c r="B10" s="6">
        <v>124</v>
      </c>
      <c r="C10" s="9">
        <v>2.2000000000000001E-3</v>
      </c>
      <c r="E10" s="6" t="s">
        <v>83</v>
      </c>
      <c r="F10" s="6">
        <v>28</v>
      </c>
      <c r="G10" s="9">
        <v>5.0000000000000001E-4</v>
      </c>
      <c r="I10" s="6" t="s">
        <v>98</v>
      </c>
      <c r="J10" s="6">
        <v>17</v>
      </c>
      <c r="K10" s="9">
        <v>2.9999999999999997E-4</v>
      </c>
      <c r="M10" s="6" t="s">
        <v>3</v>
      </c>
      <c r="N10" s="6">
        <v>19</v>
      </c>
      <c r="O10" s="9">
        <v>1.6999999999999999E-3</v>
      </c>
      <c r="Q10" s="6" t="s">
        <v>92</v>
      </c>
      <c r="R10" s="6">
        <v>1</v>
      </c>
      <c r="S10" s="9">
        <v>1E-4</v>
      </c>
      <c r="U10" s="6" t="s">
        <v>99</v>
      </c>
      <c r="V10" s="6">
        <v>7</v>
      </c>
      <c r="W10" s="9">
        <v>4.0000000000000002E-4</v>
      </c>
      <c r="Y10" s="6" t="s">
        <v>9</v>
      </c>
      <c r="Z10" s="6">
        <v>105</v>
      </c>
      <c r="AA10" s="9">
        <v>2.3E-3</v>
      </c>
      <c r="AC10" s="6" t="s">
        <v>83</v>
      </c>
      <c r="AD10" s="6">
        <v>28</v>
      </c>
      <c r="AE10" s="9">
        <v>6.9999999999999999E-4</v>
      </c>
      <c r="AG10" s="6" t="s">
        <v>99</v>
      </c>
      <c r="AH10" s="6">
        <v>7</v>
      </c>
      <c r="AI10" s="9">
        <v>2.0000000000000001E-4</v>
      </c>
    </row>
    <row r="11" spans="1:35">
      <c r="A11" s="6" t="s">
        <v>9</v>
      </c>
      <c r="B11" s="6">
        <v>119</v>
      </c>
      <c r="C11" s="9">
        <v>2.0999999999999999E-3</v>
      </c>
      <c r="E11" s="6" t="s">
        <v>77</v>
      </c>
      <c r="F11" s="6">
        <v>5</v>
      </c>
      <c r="G11" s="9">
        <v>1E-4</v>
      </c>
      <c r="I11" s="6" t="s">
        <v>99</v>
      </c>
      <c r="J11" s="6">
        <v>14</v>
      </c>
      <c r="K11" s="9">
        <v>2.9999999999999997E-4</v>
      </c>
      <c r="M11" s="6" t="s">
        <v>7</v>
      </c>
      <c r="N11" s="6">
        <v>18</v>
      </c>
      <c r="O11" s="9">
        <v>1.6000000000000001E-3</v>
      </c>
      <c r="Q11" s="6" t="s">
        <v>80</v>
      </c>
      <c r="R11" s="6">
        <v>1</v>
      </c>
      <c r="S11" s="9">
        <v>1E-4</v>
      </c>
      <c r="U11" s="6" t="s">
        <v>2</v>
      </c>
      <c r="V11" s="6">
        <v>6</v>
      </c>
      <c r="W11" s="9">
        <v>4.0000000000000002E-4</v>
      </c>
      <c r="Y11" s="6" t="s">
        <v>8</v>
      </c>
      <c r="Z11" s="6">
        <v>104</v>
      </c>
      <c r="AA11" s="9">
        <v>2.3E-3</v>
      </c>
      <c r="AC11" s="6" t="s">
        <v>77</v>
      </c>
      <c r="AD11" s="6">
        <v>5</v>
      </c>
      <c r="AE11" s="9">
        <v>1E-4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105</v>
      </c>
      <c r="C12" s="9">
        <v>1.9E-3</v>
      </c>
      <c r="E12" s="6" t="s">
        <v>79</v>
      </c>
      <c r="F12" s="6">
        <v>4</v>
      </c>
      <c r="G12" s="9">
        <v>1E-4</v>
      </c>
      <c r="I12" s="6" t="s">
        <v>102</v>
      </c>
      <c r="J12" s="6">
        <v>4</v>
      </c>
      <c r="K12" s="9">
        <v>1E-4</v>
      </c>
      <c r="M12" s="6" t="s">
        <v>9</v>
      </c>
      <c r="N12" s="6">
        <v>14</v>
      </c>
      <c r="O12" s="9">
        <v>1.2999999999999999E-3</v>
      </c>
      <c r="U12" s="6" t="s">
        <v>102</v>
      </c>
      <c r="V12" s="6">
        <v>1</v>
      </c>
      <c r="W12" s="9">
        <v>1E-4</v>
      </c>
      <c r="Y12" s="6" t="s">
        <v>3</v>
      </c>
      <c r="Z12" s="6">
        <v>105</v>
      </c>
      <c r="AA12" s="9">
        <v>2.3E-3</v>
      </c>
      <c r="AC12" s="6" t="s">
        <v>79</v>
      </c>
      <c r="AD12" s="6">
        <v>4</v>
      </c>
      <c r="AE12" s="9">
        <v>1E-4</v>
      </c>
      <c r="AG12" s="6" t="s">
        <v>103</v>
      </c>
      <c r="AH12" s="6">
        <v>2</v>
      </c>
      <c r="AI12" s="9">
        <v>1E-4</v>
      </c>
    </row>
    <row r="13" spans="1:35">
      <c r="A13" s="6" t="s">
        <v>5</v>
      </c>
      <c r="B13" s="6">
        <v>72</v>
      </c>
      <c r="C13" s="9">
        <v>1.2999999999999999E-3</v>
      </c>
      <c r="E13" s="6" t="s">
        <v>74</v>
      </c>
      <c r="F13" s="6">
        <v>3</v>
      </c>
      <c r="G13" s="9">
        <v>1E-4</v>
      </c>
      <c r="I13" s="6" t="s">
        <v>103</v>
      </c>
      <c r="J13" s="6">
        <v>3</v>
      </c>
      <c r="K13" s="9">
        <v>1E-4</v>
      </c>
      <c r="M13" s="6" t="s">
        <v>37</v>
      </c>
      <c r="N13" s="6">
        <v>10</v>
      </c>
      <c r="O13" s="9">
        <v>8.9999999999999998E-4</v>
      </c>
      <c r="U13" s="6" t="s">
        <v>103</v>
      </c>
      <c r="V13" s="6">
        <v>1</v>
      </c>
      <c r="W13" s="9">
        <v>1E-4</v>
      </c>
      <c r="Y13" s="6" t="s">
        <v>5</v>
      </c>
      <c r="Z13" s="6">
        <v>67</v>
      </c>
      <c r="AA13" s="9">
        <v>1.5E-3</v>
      </c>
      <c r="AC13" s="6" t="s">
        <v>74</v>
      </c>
      <c r="AD13" s="6">
        <v>3</v>
      </c>
      <c r="AE13" s="9">
        <v>1E-4</v>
      </c>
      <c r="AG13" s="6" t="s">
        <v>98</v>
      </c>
      <c r="AH13" s="6">
        <v>4</v>
      </c>
      <c r="AI13" s="9">
        <v>1E-4</v>
      </c>
    </row>
    <row r="14" spans="1:35">
      <c r="A14" s="6" t="s">
        <v>7</v>
      </c>
      <c r="B14" s="6">
        <v>62</v>
      </c>
      <c r="C14" s="9">
        <v>1.1000000000000001E-3</v>
      </c>
      <c r="E14" s="6" t="s">
        <v>75</v>
      </c>
      <c r="F14" s="6">
        <v>3</v>
      </c>
      <c r="G14" s="9">
        <v>1E-4</v>
      </c>
      <c r="I14" s="6" t="s">
        <v>113</v>
      </c>
      <c r="J14" s="6">
        <v>3</v>
      </c>
      <c r="K14" s="9">
        <v>1E-4</v>
      </c>
      <c r="M14" s="6" t="s">
        <v>11</v>
      </c>
      <c r="N14" s="6">
        <v>10</v>
      </c>
      <c r="O14" s="9">
        <v>8.9999999999999998E-4</v>
      </c>
      <c r="U14" s="6" t="s">
        <v>123</v>
      </c>
      <c r="V14" s="6">
        <v>1</v>
      </c>
      <c r="W14" s="9">
        <v>1E-4</v>
      </c>
      <c r="Y14" s="6" t="s">
        <v>7</v>
      </c>
      <c r="Z14" s="6">
        <v>44</v>
      </c>
      <c r="AA14" s="9">
        <v>1E-3</v>
      </c>
      <c r="AC14" s="6" t="s">
        <v>75</v>
      </c>
      <c r="AD14" s="6">
        <v>3</v>
      </c>
      <c r="AE14" s="9">
        <v>1E-4</v>
      </c>
      <c r="AG14" s="6" t="s">
        <v>113</v>
      </c>
      <c r="AH14" s="6">
        <v>3</v>
      </c>
      <c r="AI14" s="9">
        <v>1E-4</v>
      </c>
    </row>
    <row r="15" spans="1:35">
      <c r="A15" s="6" t="s">
        <v>11</v>
      </c>
      <c r="B15" s="6">
        <v>43</v>
      </c>
      <c r="C15" s="9">
        <v>8.0000000000000004E-4</v>
      </c>
      <c r="E15" s="6" t="s">
        <v>92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5</v>
      </c>
      <c r="O15" s="9">
        <v>5.0000000000000001E-4</v>
      </c>
      <c r="Y15" s="6" t="s">
        <v>11</v>
      </c>
      <c r="Z15" s="6">
        <v>33</v>
      </c>
      <c r="AA15" s="9">
        <v>6.9999999999999999E-4</v>
      </c>
      <c r="AC15" s="6" t="s">
        <v>116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21</v>
      </c>
      <c r="C16" s="9">
        <v>4.0000000000000002E-4</v>
      </c>
      <c r="E16" s="6" t="s">
        <v>116</v>
      </c>
      <c r="F16" s="6">
        <v>1</v>
      </c>
      <c r="G16" s="30">
        <v>0</v>
      </c>
      <c r="M16" s="6" t="s">
        <v>29</v>
      </c>
      <c r="N16" s="6">
        <v>5</v>
      </c>
      <c r="O16" s="9">
        <v>5.0000000000000001E-4</v>
      </c>
      <c r="Y16" s="6" t="s">
        <v>10</v>
      </c>
      <c r="Z16" s="6">
        <v>16</v>
      </c>
      <c r="AA16" s="9">
        <v>4.0000000000000002E-4</v>
      </c>
      <c r="AC16" s="6" t="s">
        <v>125</v>
      </c>
      <c r="AD16" s="6">
        <v>1</v>
      </c>
      <c r="AE16" s="30">
        <v>0</v>
      </c>
    </row>
    <row r="17" spans="1:31">
      <c r="A17" s="6" t="s">
        <v>41</v>
      </c>
      <c r="B17" s="6">
        <v>20</v>
      </c>
      <c r="C17" s="9">
        <v>4.0000000000000002E-4</v>
      </c>
      <c r="E17" s="6" t="s">
        <v>125</v>
      </c>
      <c r="F17" s="6">
        <v>1</v>
      </c>
      <c r="G17" s="30">
        <v>0</v>
      </c>
      <c r="M17" s="6" t="s">
        <v>41</v>
      </c>
      <c r="N17" s="6">
        <v>5</v>
      </c>
      <c r="O17" s="9">
        <v>5.0000000000000001E-4</v>
      </c>
      <c r="Y17" s="6" t="s">
        <v>14</v>
      </c>
      <c r="Z17" s="6">
        <v>15</v>
      </c>
      <c r="AA17" s="9">
        <v>2.9999999999999997E-4</v>
      </c>
      <c r="AC17" s="6" t="s">
        <v>93</v>
      </c>
      <c r="AD17" s="6">
        <v>1</v>
      </c>
      <c r="AE17" s="30">
        <v>0</v>
      </c>
    </row>
    <row r="18" spans="1:31">
      <c r="A18" s="6" t="s">
        <v>14</v>
      </c>
      <c r="B18" s="6">
        <v>15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21</v>
      </c>
      <c r="N18" s="6">
        <v>3</v>
      </c>
      <c r="O18" s="9">
        <v>2.9999999999999997E-4</v>
      </c>
      <c r="Y18" s="6" t="s">
        <v>17</v>
      </c>
      <c r="Z18" s="6">
        <v>12</v>
      </c>
      <c r="AA18" s="9">
        <v>2.9999999999999997E-4</v>
      </c>
      <c r="AC18" s="6" t="s">
        <v>78</v>
      </c>
      <c r="AD18" s="6">
        <v>1</v>
      </c>
      <c r="AE18" s="30">
        <v>0</v>
      </c>
    </row>
    <row r="19" spans="1:31">
      <c r="A19" s="6" t="s">
        <v>10</v>
      </c>
      <c r="B19" s="6">
        <v>18</v>
      </c>
      <c r="C19" s="9">
        <v>2.9999999999999997E-4</v>
      </c>
      <c r="E19" s="6" t="s">
        <v>78</v>
      </c>
      <c r="F19" s="6">
        <v>1</v>
      </c>
      <c r="G19" s="30">
        <v>0</v>
      </c>
      <c r="M19" s="6" t="s">
        <v>18</v>
      </c>
      <c r="N19" s="6">
        <v>3</v>
      </c>
      <c r="O19" s="9">
        <v>2.9999999999999997E-4</v>
      </c>
      <c r="Y19" s="6" t="s">
        <v>41</v>
      </c>
      <c r="Z19" s="6">
        <v>15</v>
      </c>
      <c r="AA19" s="9">
        <v>2.9999999999999997E-4</v>
      </c>
      <c r="AC19" s="6" t="s">
        <v>120</v>
      </c>
      <c r="AD19" s="6">
        <v>1</v>
      </c>
      <c r="AE19" s="30">
        <v>0</v>
      </c>
    </row>
    <row r="20" spans="1:31">
      <c r="A20" s="6" t="s">
        <v>19</v>
      </c>
      <c r="B20" s="6">
        <v>11</v>
      </c>
      <c r="C20" s="9">
        <v>2.0000000000000001E-4</v>
      </c>
      <c r="E20" s="6" t="s">
        <v>86</v>
      </c>
      <c r="F20" s="6">
        <v>1</v>
      </c>
      <c r="G20" s="30">
        <v>0</v>
      </c>
      <c r="M20" s="6" t="s">
        <v>31</v>
      </c>
      <c r="N20" s="6">
        <v>2</v>
      </c>
      <c r="O20" s="9">
        <v>2.0000000000000001E-4</v>
      </c>
      <c r="Y20" s="6" t="s">
        <v>19</v>
      </c>
      <c r="Z20" s="6">
        <v>11</v>
      </c>
      <c r="AA20" s="9">
        <v>2.0000000000000001E-4</v>
      </c>
      <c r="AC20" s="6" t="s">
        <v>86</v>
      </c>
      <c r="AD20" s="6">
        <v>1</v>
      </c>
      <c r="AE20" s="30">
        <v>0</v>
      </c>
    </row>
    <row r="21" spans="1:31">
      <c r="A21" s="6" t="s">
        <v>21</v>
      </c>
      <c r="B21" s="6">
        <v>10</v>
      </c>
      <c r="C21" s="9">
        <v>2.0000000000000001E-4</v>
      </c>
      <c r="E21" s="6" t="s">
        <v>120</v>
      </c>
      <c r="F21" s="6">
        <v>1</v>
      </c>
      <c r="G21" s="30">
        <v>0</v>
      </c>
      <c r="M21" s="6" t="s">
        <v>10</v>
      </c>
      <c r="N21" s="6">
        <v>2</v>
      </c>
      <c r="O21" s="9">
        <v>2.0000000000000001E-4</v>
      </c>
      <c r="Y21" s="6" t="s">
        <v>37</v>
      </c>
      <c r="Z21" s="6">
        <v>11</v>
      </c>
      <c r="AA21" s="9">
        <v>2.0000000000000001E-4</v>
      </c>
    </row>
    <row r="22" spans="1:31">
      <c r="A22" s="6" t="s">
        <v>17</v>
      </c>
      <c r="B22" s="6">
        <v>14</v>
      </c>
      <c r="C22" s="9">
        <v>2.0000000000000001E-4</v>
      </c>
      <c r="M22" s="6" t="s">
        <v>17</v>
      </c>
      <c r="N22" s="6">
        <v>2</v>
      </c>
      <c r="O22" s="9">
        <v>2.0000000000000001E-4</v>
      </c>
      <c r="Y22" s="6" t="s">
        <v>21</v>
      </c>
      <c r="Z22" s="6">
        <v>7</v>
      </c>
      <c r="AA22" s="9">
        <v>2.0000000000000001E-4</v>
      </c>
    </row>
    <row r="23" spans="1:31">
      <c r="A23" s="6" t="s">
        <v>31</v>
      </c>
      <c r="B23" s="6">
        <v>13</v>
      </c>
      <c r="C23" s="9">
        <v>2.0000000000000001E-4</v>
      </c>
      <c r="M23" s="6" t="s">
        <v>13</v>
      </c>
      <c r="N23" s="6">
        <v>1</v>
      </c>
      <c r="O23" s="9">
        <v>1E-4</v>
      </c>
      <c r="Y23" s="6" t="s">
        <v>31</v>
      </c>
      <c r="Z23" s="6">
        <v>11</v>
      </c>
      <c r="AA23" s="9">
        <v>2.0000000000000001E-4</v>
      </c>
    </row>
    <row r="24" spans="1:31">
      <c r="A24" s="6" t="s">
        <v>18</v>
      </c>
      <c r="B24" s="6">
        <v>11</v>
      </c>
      <c r="C24" s="9">
        <v>2.0000000000000001E-4</v>
      </c>
      <c r="M24" s="6" t="s">
        <v>36</v>
      </c>
      <c r="N24" s="6">
        <v>1</v>
      </c>
      <c r="O24" s="9">
        <v>1E-4</v>
      </c>
      <c r="Y24" s="6" t="s">
        <v>18</v>
      </c>
      <c r="Z24" s="6">
        <v>8</v>
      </c>
      <c r="AA24" s="9">
        <v>2.0000000000000001E-4</v>
      </c>
    </row>
    <row r="25" spans="1:31">
      <c r="A25" s="6" t="s">
        <v>29</v>
      </c>
      <c r="B25" s="6">
        <v>9</v>
      </c>
      <c r="C25" s="9">
        <v>2.0000000000000001E-4</v>
      </c>
      <c r="M25" s="6" t="s">
        <v>27</v>
      </c>
      <c r="N25" s="6">
        <v>1</v>
      </c>
      <c r="O25" s="9">
        <v>1E-4</v>
      </c>
      <c r="Y25" s="6" t="s">
        <v>12</v>
      </c>
      <c r="Z25" s="6">
        <v>8</v>
      </c>
      <c r="AA25" s="9">
        <v>2.0000000000000001E-4</v>
      </c>
    </row>
    <row r="26" spans="1:31">
      <c r="A26" s="6" t="s">
        <v>20</v>
      </c>
      <c r="B26" s="6">
        <v>4</v>
      </c>
      <c r="C26" s="9">
        <v>1E-4</v>
      </c>
      <c r="M26" s="6" t="s">
        <v>30</v>
      </c>
      <c r="N26" s="6">
        <v>1</v>
      </c>
      <c r="O26" s="9">
        <v>1E-4</v>
      </c>
      <c r="Y26" s="6" t="s">
        <v>20</v>
      </c>
      <c r="Z26" s="6">
        <v>4</v>
      </c>
      <c r="AA26" s="9">
        <v>1E-4</v>
      </c>
    </row>
    <row r="27" spans="1:31">
      <c r="A27" s="6" t="s">
        <v>16</v>
      </c>
      <c r="B27" s="6">
        <v>6</v>
      </c>
      <c r="C27" s="9">
        <v>1E-4</v>
      </c>
      <c r="M27" s="6" t="s">
        <v>25</v>
      </c>
      <c r="N27" s="6">
        <v>1</v>
      </c>
      <c r="O27" s="9">
        <v>1E-4</v>
      </c>
      <c r="Y27" s="6" t="s">
        <v>16</v>
      </c>
      <c r="Z27" s="6">
        <v>6</v>
      </c>
      <c r="AA27" s="9">
        <v>1E-4</v>
      </c>
    </row>
    <row r="28" spans="1:31">
      <c r="A28" s="6" t="s">
        <v>12</v>
      </c>
      <c r="B28" s="6">
        <v>8</v>
      </c>
      <c r="C28" s="9">
        <v>1E-4</v>
      </c>
      <c r="M28" s="6" t="s">
        <v>38</v>
      </c>
      <c r="N28" s="6">
        <v>1</v>
      </c>
      <c r="O28" s="9">
        <v>1E-4</v>
      </c>
      <c r="Y28" s="6" t="s">
        <v>26</v>
      </c>
      <c r="Z28" s="6">
        <v>6</v>
      </c>
      <c r="AA28" s="9">
        <v>1E-4</v>
      </c>
    </row>
    <row r="29" spans="1:31">
      <c r="A29" s="6" t="s">
        <v>26</v>
      </c>
      <c r="B29" s="6">
        <v>6</v>
      </c>
      <c r="C29" s="9">
        <v>1E-4</v>
      </c>
      <c r="M29" s="6" t="s">
        <v>8</v>
      </c>
      <c r="N29" s="6">
        <v>1</v>
      </c>
      <c r="O29" s="9">
        <v>1E-4</v>
      </c>
      <c r="Y29" s="6" t="s">
        <v>29</v>
      </c>
      <c r="Z29" s="6">
        <v>4</v>
      </c>
      <c r="AA29" s="9">
        <v>1E-4</v>
      </c>
    </row>
    <row r="30" spans="1:31">
      <c r="A30" s="6" t="s">
        <v>27</v>
      </c>
      <c r="B30" s="6">
        <v>5</v>
      </c>
      <c r="C30" s="9">
        <v>1E-4</v>
      </c>
      <c r="M30" s="6" t="s">
        <v>33</v>
      </c>
      <c r="N30" s="6">
        <v>1</v>
      </c>
      <c r="O30" s="9">
        <v>1E-4</v>
      </c>
      <c r="Y30" s="6" t="s">
        <v>27</v>
      </c>
      <c r="Z30" s="6">
        <v>4</v>
      </c>
      <c r="AA30" s="9">
        <v>1E-4</v>
      </c>
    </row>
    <row r="31" spans="1:31">
      <c r="A31" s="6" t="s">
        <v>33</v>
      </c>
      <c r="B31" s="6">
        <v>5</v>
      </c>
      <c r="C31" s="9">
        <v>1E-4</v>
      </c>
      <c r="Y31" s="6" t="s">
        <v>33</v>
      </c>
      <c r="Z31" s="6">
        <v>4</v>
      </c>
      <c r="AA31" s="9">
        <v>1E-4</v>
      </c>
    </row>
    <row r="32" spans="1:31">
      <c r="A32" s="6" t="s">
        <v>36</v>
      </c>
      <c r="B32" s="6">
        <v>2</v>
      </c>
      <c r="C32" s="30">
        <v>0</v>
      </c>
      <c r="Y32" s="6" t="s">
        <v>36</v>
      </c>
      <c r="Z32" s="6">
        <v>1</v>
      </c>
      <c r="AA32" s="30">
        <v>0</v>
      </c>
    </row>
    <row r="33" spans="1:27">
      <c r="A33" s="6" t="s">
        <v>34</v>
      </c>
      <c r="B33" s="6">
        <v>2</v>
      </c>
      <c r="C33" s="30">
        <v>0</v>
      </c>
      <c r="Y33" s="6" t="s">
        <v>34</v>
      </c>
      <c r="Z33" s="6">
        <v>2</v>
      </c>
      <c r="AA33" s="30">
        <v>0</v>
      </c>
    </row>
    <row r="34" spans="1:27">
      <c r="A34" s="6" t="s">
        <v>13</v>
      </c>
      <c r="B34" s="6">
        <v>1</v>
      </c>
      <c r="C34" s="30">
        <v>0</v>
      </c>
      <c r="Y34" s="6" t="s">
        <v>40</v>
      </c>
      <c r="Z34" s="6">
        <v>2</v>
      </c>
      <c r="AA34" s="30">
        <v>0</v>
      </c>
    </row>
    <row r="35" spans="1:27">
      <c r="A35" s="6" t="s">
        <v>40</v>
      </c>
      <c r="B35" s="6">
        <v>2</v>
      </c>
      <c r="C35" s="30">
        <v>0</v>
      </c>
      <c r="Y35" s="6" t="s">
        <v>48</v>
      </c>
      <c r="Z35" s="6">
        <v>2</v>
      </c>
      <c r="AA35" s="30">
        <v>0</v>
      </c>
    </row>
    <row r="36" spans="1:27">
      <c r="A36" s="6" t="s">
        <v>15</v>
      </c>
      <c r="B36" s="6">
        <v>1</v>
      </c>
      <c r="C36" s="30">
        <v>0</v>
      </c>
      <c r="Y36" s="6" t="s">
        <v>15</v>
      </c>
      <c r="Z36" s="6">
        <v>1</v>
      </c>
      <c r="AA36" s="30">
        <v>0</v>
      </c>
    </row>
    <row r="37" spans="1:27">
      <c r="A37" s="6" t="s">
        <v>48</v>
      </c>
      <c r="B37" s="6">
        <v>2</v>
      </c>
      <c r="C37" s="30">
        <v>0</v>
      </c>
      <c r="Y37" s="6" t="s">
        <v>22</v>
      </c>
      <c r="Z37" s="6">
        <v>1</v>
      </c>
      <c r="AA37" s="30">
        <v>0</v>
      </c>
    </row>
    <row r="38" spans="1:27">
      <c r="A38" s="6" t="s">
        <v>30</v>
      </c>
      <c r="B38" s="6">
        <v>1</v>
      </c>
      <c r="C38" s="30">
        <v>0</v>
      </c>
      <c r="Y38" s="6" t="s">
        <v>60</v>
      </c>
      <c r="Z38" s="6">
        <v>2</v>
      </c>
      <c r="AA38" s="30">
        <v>0</v>
      </c>
    </row>
    <row r="39" spans="1:27">
      <c r="A39" s="6" t="s">
        <v>22</v>
      </c>
      <c r="B39" s="6">
        <v>1</v>
      </c>
      <c r="C39" s="30">
        <v>0</v>
      </c>
      <c r="Y39" s="6" t="s">
        <v>43</v>
      </c>
      <c r="Z39" s="6">
        <v>1</v>
      </c>
      <c r="AA39" s="30">
        <v>0</v>
      </c>
    </row>
    <row r="40" spans="1:27">
      <c r="A40" s="6" t="s">
        <v>38</v>
      </c>
      <c r="B40" s="6">
        <v>2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60</v>
      </c>
      <c r="B41" s="6">
        <v>2</v>
      </c>
      <c r="C41" s="30">
        <v>0</v>
      </c>
      <c r="Y41" s="6" t="s">
        <v>59</v>
      </c>
      <c r="Z41" s="6">
        <v>1</v>
      </c>
      <c r="AA41" s="30">
        <v>0</v>
      </c>
    </row>
    <row r="42" spans="1:27">
      <c r="A42" s="6" t="s">
        <v>39</v>
      </c>
      <c r="B42" s="6">
        <v>1</v>
      </c>
      <c r="C42" s="30">
        <v>0</v>
      </c>
      <c r="Y42" s="6" t="s">
        <v>38</v>
      </c>
      <c r="Z42" s="6">
        <v>1</v>
      </c>
      <c r="AA42" s="30">
        <v>0</v>
      </c>
    </row>
    <row r="43" spans="1:27">
      <c r="A43" s="6" t="s">
        <v>25</v>
      </c>
      <c r="B43" s="6">
        <v>2</v>
      </c>
      <c r="C43" s="30">
        <v>0</v>
      </c>
      <c r="Y43" s="6" t="s">
        <v>58</v>
      </c>
      <c r="Z43" s="6">
        <v>1</v>
      </c>
      <c r="AA43" s="30">
        <v>0</v>
      </c>
    </row>
    <row r="44" spans="1:27">
      <c r="A44" s="6" t="s">
        <v>24</v>
      </c>
      <c r="B44" s="6">
        <v>2</v>
      </c>
      <c r="C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43</v>
      </c>
      <c r="B45" s="6">
        <v>1</v>
      </c>
      <c r="C45" s="30">
        <v>0</v>
      </c>
      <c r="Y45" s="6" t="s">
        <v>25</v>
      </c>
      <c r="Z45" s="6">
        <v>1</v>
      </c>
      <c r="AA45" s="30">
        <v>0</v>
      </c>
    </row>
    <row r="46" spans="1:27">
      <c r="A46" s="6" t="s">
        <v>59</v>
      </c>
      <c r="B46" s="6">
        <v>1</v>
      </c>
      <c r="C46" s="30">
        <v>0</v>
      </c>
    </row>
    <row r="47" spans="1:27">
      <c r="A47" s="6" t="s">
        <v>58</v>
      </c>
      <c r="B47" s="6">
        <v>1</v>
      </c>
      <c r="C47" s="30">
        <v>0</v>
      </c>
    </row>
  </sheetData>
  <mergeCells count="18">
    <mergeCell ref="A1:B1"/>
    <mergeCell ref="E1:F1"/>
    <mergeCell ref="I1:J1"/>
    <mergeCell ref="A2:A5"/>
    <mergeCell ref="E2:E5"/>
    <mergeCell ref="I2:I5"/>
    <mergeCell ref="AG2:AG5"/>
    <mergeCell ref="M1:N1"/>
    <mergeCell ref="Q1:R1"/>
    <mergeCell ref="U1:V1"/>
    <mergeCell ref="Y1:Z1"/>
    <mergeCell ref="AC1:AD1"/>
    <mergeCell ref="AG1:AH1"/>
    <mergeCell ref="M2:M5"/>
    <mergeCell ref="Q2:Q5"/>
    <mergeCell ref="U2:U5"/>
    <mergeCell ref="Y2:Y5"/>
    <mergeCell ref="AC2:AC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8ED9-7511-4934-8E53-9A9ECAAF2A76}">
  <sheetPr codeName="Sheet9"/>
  <dimension ref="A1:AI55"/>
  <sheetViews>
    <sheetView topLeftCell="R1" workbookViewId="0">
      <selection activeCell="W2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55386</v>
      </c>
      <c r="E2" s="41" t="s">
        <v>4</v>
      </c>
      <c r="F2" s="23" t="s">
        <v>105</v>
      </c>
      <c r="G2" s="23">
        <f>G3+G4</f>
        <v>52738</v>
      </c>
      <c r="H2" s="22"/>
      <c r="I2" s="41" t="s">
        <v>6</v>
      </c>
      <c r="J2" s="23" t="s">
        <v>105</v>
      </c>
      <c r="K2" s="23">
        <f>K3+K4</f>
        <v>54181</v>
      </c>
      <c r="M2" s="41" t="s">
        <v>104</v>
      </c>
      <c r="N2" s="23" t="s">
        <v>105</v>
      </c>
      <c r="O2" s="23">
        <f>O3+O4</f>
        <v>16596</v>
      </c>
      <c r="Q2" s="41" t="s">
        <v>4</v>
      </c>
      <c r="R2" s="23" t="s">
        <v>105</v>
      </c>
      <c r="S2" s="23">
        <f>S3+S4</f>
        <v>14305</v>
      </c>
      <c r="T2" s="22"/>
      <c r="U2" s="41" t="s">
        <v>6</v>
      </c>
      <c r="V2" s="23" t="s">
        <v>105</v>
      </c>
      <c r="W2" s="23">
        <f>W3+W4</f>
        <v>13732</v>
      </c>
      <c r="Y2" s="41" t="s">
        <v>104</v>
      </c>
      <c r="Z2" s="23" t="s">
        <v>105</v>
      </c>
      <c r="AA2" s="23">
        <f>AA3+AA4</f>
        <v>38785</v>
      </c>
      <c r="AC2" s="41" t="s">
        <v>4</v>
      </c>
      <c r="AD2" s="23" t="s">
        <v>105</v>
      </c>
      <c r="AE2" s="23">
        <f>AE3+AE4</f>
        <v>38443</v>
      </c>
      <c r="AF2" s="22"/>
      <c r="AG2" s="41" t="s">
        <v>6</v>
      </c>
      <c r="AH2" s="23" t="s">
        <v>105</v>
      </c>
      <c r="AI2" s="23">
        <f>AI3+AI4</f>
        <v>40451</v>
      </c>
    </row>
    <row r="3" spans="1:35">
      <c r="A3" s="42"/>
      <c r="B3" s="24" t="s">
        <v>106</v>
      </c>
      <c r="C3" s="24">
        <f>B8</f>
        <v>54364</v>
      </c>
      <c r="E3" s="42"/>
      <c r="F3" s="24" t="s">
        <v>106</v>
      </c>
      <c r="G3" s="24">
        <f>F8</f>
        <v>52596</v>
      </c>
      <c r="H3" s="22"/>
      <c r="I3" s="42"/>
      <c r="J3" s="24" t="s">
        <v>106</v>
      </c>
      <c r="K3" s="24">
        <f>J8</f>
        <v>54112</v>
      </c>
      <c r="M3" s="42"/>
      <c r="N3" s="24" t="s">
        <v>106</v>
      </c>
      <c r="O3" s="24">
        <f>N8</f>
        <v>16341</v>
      </c>
      <c r="Q3" s="42"/>
      <c r="R3" s="24" t="s">
        <v>106</v>
      </c>
      <c r="S3" s="24">
        <f>R8</f>
        <v>14288</v>
      </c>
      <c r="T3" s="22"/>
      <c r="U3" s="42"/>
      <c r="V3" s="24" t="s">
        <v>106</v>
      </c>
      <c r="W3" s="24">
        <f>V8</f>
        <v>13715</v>
      </c>
      <c r="Y3" s="42"/>
      <c r="Z3" s="24" t="s">
        <v>106</v>
      </c>
      <c r="AA3" s="24">
        <f>Z8</f>
        <v>38023</v>
      </c>
      <c r="AC3" s="42"/>
      <c r="AD3" s="24" t="s">
        <v>106</v>
      </c>
      <c r="AE3" s="24">
        <f>AD8</f>
        <v>38317</v>
      </c>
      <c r="AF3" s="22"/>
      <c r="AG3" s="42"/>
      <c r="AH3" s="24" t="s">
        <v>106</v>
      </c>
      <c r="AI3" s="24">
        <f>AH8</f>
        <v>40397</v>
      </c>
    </row>
    <row r="4" spans="1:35">
      <c r="A4" s="42"/>
      <c r="B4" s="25" t="s">
        <v>107</v>
      </c>
      <c r="C4" s="25">
        <f>SUM(B9:B66)</f>
        <v>1022</v>
      </c>
      <c r="E4" s="42"/>
      <c r="F4" s="25" t="s">
        <v>107</v>
      </c>
      <c r="G4" s="25">
        <f>SUM(F9:F33)</f>
        <v>142</v>
      </c>
      <c r="H4" s="22"/>
      <c r="I4" s="42"/>
      <c r="J4" s="25" t="s">
        <v>107</v>
      </c>
      <c r="K4" s="25">
        <f>SUM(J9:J31)</f>
        <v>69</v>
      </c>
      <c r="M4" s="42"/>
      <c r="N4" s="25" t="s">
        <v>107</v>
      </c>
      <c r="O4" s="25">
        <f>SUM(N9:N66)</f>
        <v>255</v>
      </c>
      <c r="Q4" s="42"/>
      <c r="R4" s="25" t="s">
        <v>107</v>
      </c>
      <c r="S4" s="25">
        <f>SUM(R9:R33)</f>
        <v>17</v>
      </c>
      <c r="T4" s="22"/>
      <c r="U4" s="42"/>
      <c r="V4" s="25" t="s">
        <v>107</v>
      </c>
      <c r="W4" s="25">
        <f>SUM(V9:V31)</f>
        <v>17</v>
      </c>
      <c r="Y4" s="42"/>
      <c r="Z4" s="25" t="s">
        <v>107</v>
      </c>
      <c r="AA4" s="25">
        <f>SUM(Z9:Z45)</f>
        <v>762</v>
      </c>
      <c r="AC4" s="42"/>
      <c r="AD4" s="25" t="s">
        <v>107</v>
      </c>
      <c r="AE4" s="25">
        <f>SUM(AD9:AD29)</f>
        <v>126</v>
      </c>
      <c r="AF4" s="22"/>
      <c r="AG4" s="42"/>
      <c r="AH4" s="25" t="s">
        <v>107</v>
      </c>
      <c r="AI4" s="25">
        <f>SUM(AH9:AH29)</f>
        <v>54</v>
      </c>
    </row>
    <row r="5" spans="1:35">
      <c r="A5" s="43"/>
      <c r="B5" s="23" t="s">
        <v>108</v>
      </c>
      <c r="C5" s="26">
        <f>SUM(C9:C179)</f>
        <v>1.8199999999999994E-2</v>
      </c>
      <c r="E5" s="43"/>
      <c r="F5" s="23" t="s">
        <v>108</v>
      </c>
      <c r="G5" s="26">
        <f>SUM(G9:G33)</f>
        <v>2.4999999999999992E-3</v>
      </c>
      <c r="H5" s="22"/>
      <c r="I5" s="43"/>
      <c r="J5" s="23" t="s">
        <v>108</v>
      </c>
      <c r="K5" s="26">
        <f>SUM(K9:K31)</f>
        <v>1.3000000000000002E-3</v>
      </c>
      <c r="M5" s="43"/>
      <c r="N5" s="23" t="s">
        <v>108</v>
      </c>
      <c r="O5" s="26">
        <f>SUM(O9:O179)</f>
        <v>1.5599999999999994E-2</v>
      </c>
      <c r="Q5" s="43"/>
      <c r="R5" s="23" t="s">
        <v>108</v>
      </c>
      <c r="S5" s="26">
        <f>SUM(S9:S33)</f>
        <v>1.2000000000000001E-3</v>
      </c>
      <c r="T5" s="22"/>
      <c r="U5" s="43"/>
      <c r="V5" s="23" t="s">
        <v>108</v>
      </c>
      <c r="W5" s="26">
        <f>SUM(W9:W31)</f>
        <v>1.3000000000000002E-3</v>
      </c>
      <c r="Y5" s="43"/>
      <c r="Z5" s="23" t="s">
        <v>108</v>
      </c>
      <c r="AA5" s="26">
        <f>SUM(AA9:AA158)</f>
        <v>1.9599999999999996E-2</v>
      </c>
      <c r="AC5" s="43"/>
      <c r="AD5" s="23" t="s">
        <v>108</v>
      </c>
      <c r="AE5" s="26">
        <f>SUM(AE9:AE29)</f>
        <v>3.2999999999999991E-3</v>
      </c>
      <c r="AF5" s="22"/>
      <c r="AG5" s="43"/>
      <c r="AH5" s="23" t="s">
        <v>108</v>
      </c>
      <c r="AI5" s="26">
        <f>SUM(AI9:AI29)</f>
        <v>1.3000000000000002E-3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54364</v>
      </c>
      <c r="C8" s="9">
        <v>0.98150000000000004</v>
      </c>
      <c r="E8" s="6" t="s">
        <v>112</v>
      </c>
      <c r="F8" s="29">
        <v>52596</v>
      </c>
      <c r="G8" s="9">
        <v>0.99729999999999996</v>
      </c>
      <c r="I8" s="6" t="s">
        <v>112</v>
      </c>
      <c r="J8" s="29">
        <v>54112</v>
      </c>
      <c r="K8" s="9">
        <v>0.99870000000000003</v>
      </c>
      <c r="M8" s="6" t="s">
        <v>112</v>
      </c>
      <c r="N8" s="29">
        <v>16341</v>
      </c>
      <c r="O8" s="9">
        <v>0.98460000000000003</v>
      </c>
      <c r="Q8" s="6" t="s">
        <v>112</v>
      </c>
      <c r="R8" s="29">
        <v>14288</v>
      </c>
      <c r="S8" s="9">
        <v>0.99880000000000002</v>
      </c>
      <c r="U8" s="6" t="s">
        <v>112</v>
      </c>
      <c r="V8" s="29">
        <v>13715</v>
      </c>
      <c r="W8" s="9">
        <v>0.99880000000000002</v>
      </c>
      <c r="Y8" s="6" t="s">
        <v>112</v>
      </c>
      <c r="Z8" s="29">
        <v>38023</v>
      </c>
      <c r="AA8" s="9">
        <v>0.98019999999999996</v>
      </c>
      <c r="AC8" s="6" t="s">
        <v>112</v>
      </c>
      <c r="AD8" s="29">
        <v>38317</v>
      </c>
      <c r="AE8" s="9">
        <v>0.99670000000000003</v>
      </c>
      <c r="AG8" s="6" t="s">
        <v>112</v>
      </c>
      <c r="AH8" s="29">
        <v>40397</v>
      </c>
      <c r="AI8" s="9">
        <v>0.99870000000000003</v>
      </c>
    </row>
    <row r="9" spans="1:35">
      <c r="A9" s="6" t="s">
        <v>2</v>
      </c>
      <c r="B9" s="6">
        <v>302</v>
      </c>
      <c r="C9" s="9">
        <v>5.4999999999999997E-3</v>
      </c>
      <c r="E9" s="6" t="s">
        <v>122</v>
      </c>
      <c r="F9" s="6">
        <v>80</v>
      </c>
      <c r="G9" s="9">
        <v>1.5E-3</v>
      </c>
      <c r="I9" s="6" t="s">
        <v>2</v>
      </c>
      <c r="J9" s="6">
        <v>32</v>
      </c>
      <c r="K9" s="9">
        <v>5.9999999999999995E-4</v>
      </c>
      <c r="M9" s="6" t="s">
        <v>2</v>
      </c>
      <c r="N9" s="6">
        <v>61</v>
      </c>
      <c r="O9" s="9">
        <v>3.7000000000000002E-3</v>
      </c>
      <c r="Q9" s="6" t="s">
        <v>122</v>
      </c>
      <c r="R9" s="6">
        <v>7</v>
      </c>
      <c r="S9" s="9">
        <v>5.0000000000000001E-4</v>
      </c>
      <c r="U9" s="6" t="s">
        <v>2</v>
      </c>
      <c r="V9" s="6">
        <v>10</v>
      </c>
      <c r="W9" s="9">
        <v>6.9999999999999999E-4</v>
      </c>
      <c r="Y9" s="6" t="s">
        <v>2</v>
      </c>
      <c r="Z9" s="6">
        <v>241</v>
      </c>
      <c r="AA9" s="9">
        <v>6.1999999999999998E-3</v>
      </c>
      <c r="AC9" s="6" t="s">
        <v>122</v>
      </c>
      <c r="AD9" s="6">
        <v>73</v>
      </c>
      <c r="AE9" s="9">
        <v>1.9E-3</v>
      </c>
      <c r="AG9" s="6" t="s">
        <v>2</v>
      </c>
      <c r="AH9" s="6">
        <v>22</v>
      </c>
      <c r="AI9" s="9">
        <v>5.0000000000000001E-4</v>
      </c>
    </row>
    <row r="10" spans="1:35">
      <c r="A10" s="6" t="s">
        <v>3</v>
      </c>
      <c r="B10" s="6">
        <v>162</v>
      </c>
      <c r="C10" s="9">
        <v>2.8999999999999998E-3</v>
      </c>
      <c r="E10" s="6" t="s">
        <v>83</v>
      </c>
      <c r="F10" s="6">
        <v>25</v>
      </c>
      <c r="G10" s="9">
        <v>5.0000000000000001E-4</v>
      </c>
      <c r="I10" s="6" t="s">
        <v>99</v>
      </c>
      <c r="J10" s="6">
        <v>14</v>
      </c>
      <c r="K10" s="9">
        <v>2.9999999999999997E-4</v>
      </c>
      <c r="M10" s="6" t="s">
        <v>3</v>
      </c>
      <c r="N10" s="6">
        <v>48</v>
      </c>
      <c r="O10" s="9">
        <v>2.8999999999999998E-3</v>
      </c>
      <c r="Q10" s="6" t="s">
        <v>76</v>
      </c>
      <c r="R10" s="6">
        <v>6</v>
      </c>
      <c r="S10" s="9">
        <v>4.0000000000000002E-4</v>
      </c>
      <c r="U10" s="6" t="s">
        <v>99</v>
      </c>
      <c r="V10" s="6">
        <v>3</v>
      </c>
      <c r="W10" s="9">
        <v>2.0000000000000001E-4</v>
      </c>
      <c r="Y10" s="6" t="s">
        <v>3</v>
      </c>
      <c r="Z10" s="6">
        <v>114</v>
      </c>
      <c r="AA10" s="9">
        <v>2.8999999999999998E-3</v>
      </c>
      <c r="AC10" s="6" t="s">
        <v>83</v>
      </c>
      <c r="AD10" s="6">
        <v>25</v>
      </c>
      <c r="AE10" s="9">
        <v>6.9999999999999999E-4</v>
      </c>
      <c r="AG10" s="6" t="s">
        <v>99</v>
      </c>
      <c r="AH10" s="6">
        <v>11</v>
      </c>
      <c r="AI10" s="9">
        <v>2.9999999999999997E-4</v>
      </c>
    </row>
    <row r="11" spans="1:35">
      <c r="A11" s="6" t="s">
        <v>5</v>
      </c>
      <c r="B11" s="6">
        <v>93</v>
      </c>
      <c r="C11" s="9">
        <v>1.6999999999999999E-3</v>
      </c>
      <c r="E11" s="6" t="s">
        <v>76</v>
      </c>
      <c r="F11" s="6">
        <v>7</v>
      </c>
      <c r="G11" s="9">
        <v>1E-4</v>
      </c>
      <c r="I11" s="6" t="s">
        <v>113</v>
      </c>
      <c r="J11" s="6">
        <v>9</v>
      </c>
      <c r="K11" s="9">
        <v>2.0000000000000001E-4</v>
      </c>
      <c r="M11" s="6" t="s">
        <v>7</v>
      </c>
      <c r="N11" s="6">
        <v>26</v>
      </c>
      <c r="O11" s="9">
        <v>1.6000000000000001E-3</v>
      </c>
      <c r="Q11" s="6" t="s">
        <v>74</v>
      </c>
      <c r="R11" s="6">
        <v>2</v>
      </c>
      <c r="S11" s="9">
        <v>1E-4</v>
      </c>
      <c r="U11" s="6" t="s">
        <v>102</v>
      </c>
      <c r="V11" s="6">
        <v>1</v>
      </c>
      <c r="W11" s="9">
        <v>1E-4</v>
      </c>
      <c r="Y11" s="6" t="s">
        <v>5</v>
      </c>
      <c r="Z11" s="6">
        <v>75</v>
      </c>
      <c r="AA11" s="9">
        <v>1.9E-3</v>
      </c>
      <c r="AC11" s="6" t="s">
        <v>82</v>
      </c>
      <c r="AD11" s="6">
        <v>6</v>
      </c>
      <c r="AE11" s="9">
        <v>2.0000000000000001E-4</v>
      </c>
      <c r="AG11" s="6" t="s">
        <v>98</v>
      </c>
      <c r="AH11" s="6">
        <v>7</v>
      </c>
      <c r="AI11" s="9">
        <v>2.0000000000000001E-4</v>
      </c>
    </row>
    <row r="12" spans="1:35">
      <c r="A12" s="6" t="s">
        <v>9</v>
      </c>
      <c r="B12" s="6">
        <v>82</v>
      </c>
      <c r="C12" s="9">
        <v>1.5E-3</v>
      </c>
      <c r="E12" s="6" t="s">
        <v>82</v>
      </c>
      <c r="F12" s="6">
        <v>6</v>
      </c>
      <c r="G12" s="9">
        <v>1E-4</v>
      </c>
      <c r="I12" s="6" t="s">
        <v>102</v>
      </c>
      <c r="J12" s="6">
        <v>3</v>
      </c>
      <c r="K12" s="9">
        <v>1E-4</v>
      </c>
      <c r="M12" s="6" t="s">
        <v>5</v>
      </c>
      <c r="N12" s="6">
        <v>18</v>
      </c>
      <c r="O12" s="9">
        <v>1.1000000000000001E-3</v>
      </c>
      <c r="Q12" s="6" t="s">
        <v>92</v>
      </c>
      <c r="R12" s="6">
        <v>1</v>
      </c>
      <c r="S12" s="9">
        <v>1E-4</v>
      </c>
      <c r="U12" s="6" t="s">
        <v>98</v>
      </c>
      <c r="V12" s="6">
        <v>1</v>
      </c>
      <c r="W12" s="9">
        <v>1E-4</v>
      </c>
      <c r="Y12" s="6" t="s">
        <v>9</v>
      </c>
      <c r="Z12" s="6">
        <v>70</v>
      </c>
      <c r="AA12" s="9">
        <v>1.8E-3</v>
      </c>
      <c r="AC12" s="6" t="s">
        <v>77</v>
      </c>
      <c r="AD12" s="6">
        <v>5</v>
      </c>
      <c r="AE12" s="9">
        <v>1E-4</v>
      </c>
      <c r="AG12" s="6" t="s">
        <v>113</v>
      </c>
      <c r="AH12" s="6">
        <v>8</v>
      </c>
      <c r="AI12" s="9">
        <v>2.0000000000000001E-4</v>
      </c>
    </row>
    <row r="13" spans="1:35">
      <c r="A13" s="6" t="s">
        <v>7</v>
      </c>
      <c r="B13" s="6">
        <v>65</v>
      </c>
      <c r="C13" s="9">
        <v>1.1999999999999999E-3</v>
      </c>
      <c r="E13" s="6" t="s">
        <v>77</v>
      </c>
      <c r="F13" s="6">
        <v>5</v>
      </c>
      <c r="G13" s="9">
        <v>1E-4</v>
      </c>
      <c r="I13" s="6" t="s">
        <v>98</v>
      </c>
      <c r="J13" s="6">
        <v>8</v>
      </c>
      <c r="K13" s="9">
        <v>1E-4</v>
      </c>
      <c r="M13" s="6" t="s">
        <v>11</v>
      </c>
      <c r="N13" s="6">
        <v>17</v>
      </c>
      <c r="O13" s="9">
        <v>1E-3</v>
      </c>
      <c r="Q13" s="6" t="s">
        <v>80</v>
      </c>
      <c r="R13" s="6">
        <v>1</v>
      </c>
      <c r="S13" s="9">
        <v>1E-4</v>
      </c>
      <c r="U13" s="6" t="s">
        <v>103</v>
      </c>
      <c r="V13" s="6">
        <v>1</v>
      </c>
      <c r="W13" s="9">
        <v>1E-4</v>
      </c>
      <c r="Y13" s="6" t="s">
        <v>8</v>
      </c>
      <c r="Z13" s="6">
        <v>52</v>
      </c>
      <c r="AA13" s="9">
        <v>1.2999999999999999E-3</v>
      </c>
      <c r="AC13" s="6" t="s">
        <v>75</v>
      </c>
      <c r="AD13" s="6">
        <v>5</v>
      </c>
      <c r="AE13" s="9">
        <v>1E-4</v>
      </c>
      <c r="AG13" s="6" t="s">
        <v>102</v>
      </c>
      <c r="AH13" s="6">
        <v>3</v>
      </c>
      <c r="AI13" s="9">
        <v>1E-4</v>
      </c>
    </row>
    <row r="14" spans="1:35">
      <c r="A14" s="6" t="s">
        <v>8</v>
      </c>
      <c r="B14" s="6">
        <v>56</v>
      </c>
      <c r="C14" s="9">
        <v>1E-3</v>
      </c>
      <c r="E14" s="6" t="s">
        <v>74</v>
      </c>
      <c r="F14" s="6">
        <v>6</v>
      </c>
      <c r="G14" s="9">
        <v>1E-4</v>
      </c>
      <c r="I14" s="6" t="s">
        <v>103</v>
      </c>
      <c r="J14" s="6">
        <v>2</v>
      </c>
      <c r="K14" s="30">
        <v>0</v>
      </c>
      <c r="M14" s="6" t="s">
        <v>37</v>
      </c>
      <c r="N14" s="6">
        <v>14</v>
      </c>
      <c r="O14" s="9">
        <v>8.0000000000000004E-4</v>
      </c>
      <c r="U14" s="6" t="s">
        <v>113</v>
      </c>
      <c r="V14" s="6">
        <v>1</v>
      </c>
      <c r="W14" s="9">
        <v>1E-4</v>
      </c>
      <c r="Y14" s="6" t="s">
        <v>7</v>
      </c>
      <c r="Z14" s="6">
        <v>39</v>
      </c>
      <c r="AA14" s="9">
        <v>1E-3</v>
      </c>
      <c r="AC14" s="6" t="s">
        <v>74</v>
      </c>
      <c r="AD14" s="6">
        <v>4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11</v>
      </c>
      <c r="B15" s="6">
        <v>52</v>
      </c>
      <c r="C15" s="9">
        <v>8.9999999999999998E-4</v>
      </c>
      <c r="E15" s="6" t="s">
        <v>75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21</v>
      </c>
      <c r="N15" s="6">
        <v>11</v>
      </c>
      <c r="O15" s="9">
        <v>6.9999999999999999E-4</v>
      </c>
      <c r="Y15" s="6" t="s">
        <v>11</v>
      </c>
      <c r="Z15" s="6">
        <v>35</v>
      </c>
      <c r="AA15" s="9">
        <v>8.9999999999999998E-4</v>
      </c>
      <c r="AC15" s="6" t="s">
        <v>78</v>
      </c>
      <c r="AD15" s="6">
        <v>2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20</v>
      </c>
      <c r="C16" s="9">
        <v>4.0000000000000002E-4</v>
      </c>
      <c r="E16" s="6" t="s">
        <v>92</v>
      </c>
      <c r="F16" s="6">
        <v>2</v>
      </c>
      <c r="G16" s="30">
        <v>0</v>
      </c>
      <c r="M16" s="6" t="s">
        <v>9</v>
      </c>
      <c r="N16" s="6">
        <v>12</v>
      </c>
      <c r="O16" s="9">
        <v>6.9999999999999999E-4</v>
      </c>
      <c r="Y16" s="6" t="s">
        <v>14</v>
      </c>
      <c r="Z16" s="6">
        <v>17</v>
      </c>
      <c r="AA16" s="9">
        <v>4.0000000000000002E-4</v>
      </c>
      <c r="AC16" s="6" t="s">
        <v>84</v>
      </c>
      <c r="AD16" s="6">
        <v>2</v>
      </c>
      <c r="AE16" s="9">
        <v>1E-4</v>
      </c>
    </row>
    <row r="17" spans="1:31">
      <c r="A17" s="6" t="s">
        <v>21</v>
      </c>
      <c r="B17" s="6">
        <v>14</v>
      </c>
      <c r="C17" s="9">
        <v>2.9999999999999997E-4</v>
      </c>
      <c r="E17" s="6" t="s">
        <v>80</v>
      </c>
      <c r="F17" s="6">
        <v>1</v>
      </c>
      <c r="G17" s="30">
        <v>0</v>
      </c>
      <c r="M17" s="6" t="s">
        <v>31</v>
      </c>
      <c r="N17" s="6">
        <v>7</v>
      </c>
      <c r="O17" s="9">
        <v>4.0000000000000002E-4</v>
      </c>
      <c r="Y17" s="6" t="s">
        <v>41</v>
      </c>
      <c r="Z17" s="6">
        <v>17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37</v>
      </c>
      <c r="B18" s="6">
        <v>19</v>
      </c>
      <c r="C18" s="9">
        <v>2.9999999999999997E-4</v>
      </c>
      <c r="E18" s="6" t="s">
        <v>78</v>
      </c>
      <c r="F18" s="6">
        <v>2</v>
      </c>
      <c r="G18" s="30">
        <v>0</v>
      </c>
      <c r="M18" s="6" t="s">
        <v>17</v>
      </c>
      <c r="N18" s="6">
        <v>5</v>
      </c>
      <c r="O18" s="9">
        <v>2.9999999999999997E-4</v>
      </c>
      <c r="Y18" s="6" t="s">
        <v>19</v>
      </c>
      <c r="Z18" s="6">
        <v>11</v>
      </c>
      <c r="AA18" s="9">
        <v>2.9999999999999997E-4</v>
      </c>
      <c r="AC18" s="6" t="s">
        <v>76</v>
      </c>
      <c r="AD18" s="6">
        <v>1</v>
      </c>
      <c r="AE18" s="30">
        <v>0</v>
      </c>
    </row>
    <row r="19" spans="1:31">
      <c r="A19" s="6" t="s">
        <v>17</v>
      </c>
      <c r="B19" s="6">
        <v>16</v>
      </c>
      <c r="C19" s="9">
        <v>2.9999999999999997E-4</v>
      </c>
      <c r="E19" s="6" t="s">
        <v>84</v>
      </c>
      <c r="F19" s="6">
        <v>2</v>
      </c>
      <c r="G19" s="30">
        <v>0</v>
      </c>
      <c r="M19" s="6" t="s">
        <v>67</v>
      </c>
      <c r="N19" s="6">
        <v>3</v>
      </c>
      <c r="O19" s="9">
        <v>2.0000000000000001E-4</v>
      </c>
      <c r="Y19" s="6" t="s">
        <v>17</v>
      </c>
      <c r="Z19" s="6">
        <v>11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14</v>
      </c>
      <c r="B20" s="6">
        <v>17</v>
      </c>
      <c r="C20" s="9">
        <v>2.9999999999999997E-4</v>
      </c>
      <c r="E20" s="6" t="s">
        <v>79</v>
      </c>
      <c r="F20" s="6">
        <v>1</v>
      </c>
      <c r="G20" s="30">
        <v>0</v>
      </c>
      <c r="M20" s="6" t="s">
        <v>10</v>
      </c>
      <c r="N20" s="6">
        <v>4</v>
      </c>
      <c r="O20" s="9">
        <v>2.0000000000000001E-4</v>
      </c>
      <c r="Y20" s="6" t="s">
        <v>16</v>
      </c>
      <c r="Z20" s="6">
        <v>7</v>
      </c>
      <c r="AA20" s="9">
        <v>2.0000000000000001E-4</v>
      </c>
      <c r="AC20" s="6" t="s">
        <v>79</v>
      </c>
      <c r="AD20" s="6">
        <v>1</v>
      </c>
      <c r="AE20" s="30">
        <v>0</v>
      </c>
    </row>
    <row r="21" spans="1:31">
      <c r="A21" s="6" t="s">
        <v>31</v>
      </c>
      <c r="B21" s="6">
        <v>15</v>
      </c>
      <c r="C21" s="9">
        <v>2.9999999999999997E-4</v>
      </c>
      <c r="M21" s="6" t="s">
        <v>29</v>
      </c>
      <c r="N21" s="6">
        <v>4</v>
      </c>
      <c r="O21" s="9">
        <v>2.0000000000000001E-4</v>
      </c>
      <c r="Y21" s="6" t="s">
        <v>30</v>
      </c>
      <c r="Z21" s="6">
        <v>9</v>
      </c>
      <c r="AA21" s="9">
        <v>2.0000000000000001E-4</v>
      </c>
    </row>
    <row r="22" spans="1:31">
      <c r="A22" s="6" t="s">
        <v>19</v>
      </c>
      <c r="B22" s="6">
        <v>12</v>
      </c>
      <c r="C22" s="9">
        <v>2.0000000000000001E-4</v>
      </c>
      <c r="M22" s="6" t="s">
        <v>18</v>
      </c>
      <c r="N22" s="6">
        <v>4</v>
      </c>
      <c r="O22" s="9">
        <v>2.0000000000000001E-4</v>
      </c>
      <c r="Y22" s="6" t="s">
        <v>10</v>
      </c>
      <c r="Z22" s="6">
        <v>8</v>
      </c>
      <c r="AA22" s="9">
        <v>2.0000000000000001E-4</v>
      </c>
    </row>
    <row r="23" spans="1:31">
      <c r="A23" s="6" t="s">
        <v>10</v>
      </c>
      <c r="B23" s="6">
        <v>12</v>
      </c>
      <c r="C23" s="9">
        <v>2.0000000000000001E-4</v>
      </c>
      <c r="M23" s="6" t="s">
        <v>8</v>
      </c>
      <c r="N23" s="6">
        <v>4</v>
      </c>
      <c r="O23" s="9">
        <v>2.0000000000000001E-4</v>
      </c>
      <c r="Y23" s="6" t="s">
        <v>31</v>
      </c>
      <c r="Z23" s="6">
        <v>8</v>
      </c>
      <c r="AA23" s="9">
        <v>2.0000000000000001E-4</v>
      </c>
    </row>
    <row r="24" spans="1:31">
      <c r="A24" s="6" t="s">
        <v>30</v>
      </c>
      <c r="B24" s="6">
        <v>9</v>
      </c>
      <c r="C24" s="9">
        <v>2.0000000000000001E-4</v>
      </c>
      <c r="M24" s="6" t="s">
        <v>41</v>
      </c>
      <c r="N24" s="6">
        <v>3</v>
      </c>
      <c r="O24" s="9">
        <v>2.0000000000000001E-4</v>
      </c>
      <c r="Y24" s="6" t="s">
        <v>20</v>
      </c>
      <c r="Z24" s="6">
        <v>3</v>
      </c>
      <c r="AA24" s="9">
        <v>1E-4</v>
      </c>
    </row>
    <row r="25" spans="1:31">
      <c r="A25" s="6" t="s">
        <v>20</v>
      </c>
      <c r="B25" s="6">
        <v>3</v>
      </c>
      <c r="C25" s="9">
        <v>1E-4</v>
      </c>
      <c r="M25" s="6" t="s">
        <v>19</v>
      </c>
      <c r="N25" s="6">
        <v>1</v>
      </c>
      <c r="O25" s="9">
        <v>1E-4</v>
      </c>
      <c r="Y25" s="6" t="s">
        <v>21</v>
      </c>
      <c r="Z25" s="6">
        <v>3</v>
      </c>
      <c r="AA25" s="9">
        <v>1E-4</v>
      </c>
    </row>
    <row r="26" spans="1:31">
      <c r="A26" s="6" t="s">
        <v>16</v>
      </c>
      <c r="B26" s="6">
        <v>7</v>
      </c>
      <c r="C26" s="9">
        <v>1E-4</v>
      </c>
      <c r="M26" s="6" t="s">
        <v>36</v>
      </c>
      <c r="N26" s="6">
        <v>1</v>
      </c>
      <c r="O26" s="9">
        <v>1E-4</v>
      </c>
      <c r="Y26" s="6" t="s">
        <v>37</v>
      </c>
      <c r="Z26" s="6">
        <v>5</v>
      </c>
      <c r="AA26" s="9">
        <v>1E-4</v>
      </c>
    </row>
    <row r="27" spans="1:31">
      <c r="A27" s="6" t="s">
        <v>67</v>
      </c>
      <c r="B27" s="6">
        <v>3</v>
      </c>
      <c r="C27" s="9">
        <v>1E-4</v>
      </c>
      <c r="M27" s="6" t="s">
        <v>59</v>
      </c>
      <c r="N27" s="6">
        <v>2</v>
      </c>
      <c r="O27" s="9">
        <v>1E-4</v>
      </c>
      <c r="Y27" s="6" t="s">
        <v>36</v>
      </c>
      <c r="Z27" s="6">
        <v>3</v>
      </c>
      <c r="AA27" s="9">
        <v>1E-4</v>
      </c>
    </row>
    <row r="28" spans="1:31">
      <c r="A28" s="6" t="s">
        <v>36</v>
      </c>
      <c r="B28" s="6">
        <v>4</v>
      </c>
      <c r="C28" s="9">
        <v>1E-4</v>
      </c>
      <c r="M28" s="6" t="s">
        <v>25</v>
      </c>
      <c r="N28" s="6">
        <v>2</v>
      </c>
      <c r="O28" s="9">
        <v>1E-4</v>
      </c>
      <c r="Y28" s="6" t="s">
        <v>24</v>
      </c>
      <c r="Z28" s="6">
        <v>3</v>
      </c>
      <c r="AA28" s="9">
        <v>1E-4</v>
      </c>
    </row>
    <row r="29" spans="1:31">
      <c r="A29" s="6" t="s">
        <v>18</v>
      </c>
      <c r="B29" s="6">
        <v>8</v>
      </c>
      <c r="C29" s="9">
        <v>1E-4</v>
      </c>
      <c r="M29" s="6" t="s">
        <v>40</v>
      </c>
      <c r="N29" s="6">
        <v>1</v>
      </c>
      <c r="O29" s="9">
        <v>1E-4</v>
      </c>
      <c r="Y29" s="6" t="s">
        <v>18</v>
      </c>
      <c r="Z29" s="6">
        <v>4</v>
      </c>
      <c r="AA29" s="9">
        <v>1E-4</v>
      </c>
    </row>
    <row r="30" spans="1:31">
      <c r="A30" s="6" t="s">
        <v>29</v>
      </c>
      <c r="B30" s="6">
        <v>6</v>
      </c>
      <c r="C30" s="9">
        <v>1E-4</v>
      </c>
      <c r="M30" s="6" t="s">
        <v>26</v>
      </c>
      <c r="N30" s="6">
        <v>1</v>
      </c>
      <c r="O30" s="9">
        <v>1E-4</v>
      </c>
      <c r="Y30" s="6" t="s">
        <v>58</v>
      </c>
      <c r="Z30" s="6">
        <v>3</v>
      </c>
      <c r="AA30" s="9">
        <v>1E-4</v>
      </c>
    </row>
    <row r="31" spans="1:31">
      <c r="A31" s="6" t="s">
        <v>24</v>
      </c>
      <c r="B31" s="6">
        <v>4</v>
      </c>
      <c r="C31" s="9">
        <v>1E-4</v>
      </c>
      <c r="M31" s="6" t="s">
        <v>47</v>
      </c>
      <c r="N31" s="6">
        <v>1</v>
      </c>
      <c r="O31" s="9">
        <v>1E-4</v>
      </c>
      <c r="Y31" s="6" t="s">
        <v>26</v>
      </c>
      <c r="Z31" s="6">
        <v>3</v>
      </c>
      <c r="AA31" s="9">
        <v>1E-4</v>
      </c>
    </row>
    <row r="32" spans="1:31">
      <c r="A32" s="6" t="s">
        <v>26</v>
      </c>
      <c r="B32" s="6">
        <v>4</v>
      </c>
      <c r="C32" s="9">
        <v>1E-4</v>
      </c>
      <c r="M32" s="6" t="s">
        <v>68</v>
      </c>
      <c r="N32" s="6">
        <v>1</v>
      </c>
      <c r="O32" s="9">
        <v>1E-4</v>
      </c>
      <c r="Y32" s="6" t="s">
        <v>38</v>
      </c>
      <c r="Z32" s="6">
        <v>2</v>
      </c>
      <c r="AA32" s="9">
        <v>1E-4</v>
      </c>
    </row>
    <row r="33" spans="1:27">
      <c r="A33" s="6" t="s">
        <v>25</v>
      </c>
      <c r="B33" s="6">
        <v>5</v>
      </c>
      <c r="C33" s="9">
        <v>1E-4</v>
      </c>
      <c r="M33" s="6" t="s">
        <v>24</v>
      </c>
      <c r="N33" s="6">
        <v>1</v>
      </c>
      <c r="O33" s="9">
        <v>1E-4</v>
      </c>
      <c r="Y33" s="6" t="s">
        <v>12</v>
      </c>
      <c r="Z33" s="6">
        <v>2</v>
      </c>
      <c r="AA33" s="9">
        <v>1E-4</v>
      </c>
    </row>
    <row r="34" spans="1:27">
      <c r="A34" s="6" t="s">
        <v>58</v>
      </c>
      <c r="B34" s="6">
        <v>3</v>
      </c>
      <c r="C34" s="9">
        <v>1E-4</v>
      </c>
      <c r="M34" s="6" t="s">
        <v>43</v>
      </c>
      <c r="N34" s="6">
        <v>1</v>
      </c>
      <c r="O34" s="9">
        <v>1E-4</v>
      </c>
      <c r="Y34" s="6" t="s">
        <v>29</v>
      </c>
      <c r="Z34" s="6">
        <v>2</v>
      </c>
      <c r="AA34" s="9">
        <v>1E-4</v>
      </c>
    </row>
    <row r="35" spans="1:27">
      <c r="A35" s="6" t="s">
        <v>115</v>
      </c>
      <c r="B35" s="6">
        <v>1</v>
      </c>
      <c r="C35" s="30">
        <v>0</v>
      </c>
      <c r="M35" s="6" t="s">
        <v>69</v>
      </c>
      <c r="N35" s="6">
        <v>1</v>
      </c>
      <c r="O35" s="9">
        <v>1E-4</v>
      </c>
      <c r="Y35" s="6" t="s">
        <v>25</v>
      </c>
      <c r="Z35" s="6">
        <v>3</v>
      </c>
      <c r="AA35" s="9">
        <v>1E-4</v>
      </c>
    </row>
    <row r="36" spans="1:27">
      <c r="A36" s="6" t="s">
        <v>45</v>
      </c>
      <c r="B36" s="6">
        <v>1</v>
      </c>
      <c r="C36" s="30">
        <v>0</v>
      </c>
      <c r="M36" s="6" t="s">
        <v>33</v>
      </c>
      <c r="N36" s="6">
        <v>1</v>
      </c>
      <c r="O36" s="9">
        <v>1E-4</v>
      </c>
      <c r="Y36" s="6" t="s">
        <v>32</v>
      </c>
      <c r="Z36" s="6">
        <v>2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Y37" s="6" t="s">
        <v>61</v>
      </c>
      <c r="Z37" s="6">
        <v>2</v>
      </c>
      <c r="AA37" s="9">
        <v>1E-4</v>
      </c>
    </row>
    <row r="38" spans="1:27">
      <c r="A38" s="6" t="s">
        <v>22</v>
      </c>
      <c r="B38" s="6">
        <v>1</v>
      </c>
      <c r="C38" s="30">
        <v>0</v>
      </c>
      <c r="Y38" s="6" t="s">
        <v>115</v>
      </c>
      <c r="Z38" s="6">
        <v>1</v>
      </c>
      <c r="AA38" s="30">
        <v>0</v>
      </c>
    </row>
    <row r="39" spans="1:27">
      <c r="A39" s="6" t="s">
        <v>40</v>
      </c>
      <c r="B39" s="6">
        <v>2</v>
      </c>
      <c r="C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15</v>
      </c>
      <c r="B40" s="6">
        <v>1</v>
      </c>
      <c r="C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38</v>
      </c>
      <c r="B41" s="6">
        <v>2</v>
      </c>
      <c r="C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12</v>
      </c>
      <c r="B42" s="6">
        <v>2</v>
      </c>
      <c r="C42" s="30">
        <v>0</v>
      </c>
      <c r="Y42" s="6" t="s">
        <v>40</v>
      </c>
      <c r="Z42" s="6">
        <v>1</v>
      </c>
      <c r="AA42" s="30">
        <v>0</v>
      </c>
    </row>
    <row r="43" spans="1:27">
      <c r="A43" s="6" t="s">
        <v>59</v>
      </c>
      <c r="B43" s="6">
        <v>2</v>
      </c>
      <c r="C43" s="30">
        <v>0</v>
      </c>
      <c r="Y43" s="6" t="s">
        <v>22</v>
      </c>
      <c r="Z43" s="6">
        <v>1</v>
      </c>
      <c r="AA43" s="30">
        <v>0</v>
      </c>
    </row>
    <row r="44" spans="1:27">
      <c r="A44" s="6" t="s">
        <v>68</v>
      </c>
      <c r="B44" s="6">
        <v>2</v>
      </c>
      <c r="C44" s="30">
        <v>0</v>
      </c>
      <c r="Y44" s="6" t="s">
        <v>27</v>
      </c>
      <c r="Z44" s="6">
        <v>1</v>
      </c>
      <c r="AA44" s="30">
        <v>0</v>
      </c>
    </row>
    <row r="45" spans="1:27">
      <c r="A45" s="6" t="s">
        <v>32</v>
      </c>
      <c r="B45" s="6">
        <v>2</v>
      </c>
      <c r="C45" s="30">
        <v>0</v>
      </c>
      <c r="Y45" s="6" t="s">
        <v>42</v>
      </c>
      <c r="Z45" s="6">
        <v>1</v>
      </c>
      <c r="AA45" s="30">
        <v>0</v>
      </c>
    </row>
    <row r="46" spans="1:27">
      <c r="A46" s="6" t="s">
        <v>47</v>
      </c>
      <c r="B46" s="6">
        <v>1</v>
      </c>
      <c r="C46" s="30">
        <v>0</v>
      </c>
      <c r="Y46" s="6" t="s">
        <v>68</v>
      </c>
      <c r="Z46" s="6">
        <v>1</v>
      </c>
      <c r="AA46" s="30">
        <v>0</v>
      </c>
    </row>
    <row r="47" spans="1:27">
      <c r="A47" s="6" t="s">
        <v>61</v>
      </c>
      <c r="B47" s="6">
        <v>2</v>
      </c>
      <c r="C47" s="30">
        <v>0</v>
      </c>
      <c r="Y47" s="6" t="s">
        <v>57</v>
      </c>
      <c r="Z47" s="6">
        <v>1</v>
      </c>
      <c r="AA47" s="30">
        <v>0</v>
      </c>
    </row>
    <row r="48" spans="1:27">
      <c r="A48" s="6" t="s">
        <v>27</v>
      </c>
      <c r="B48" s="6">
        <v>1</v>
      </c>
      <c r="C48" s="30">
        <v>0</v>
      </c>
      <c r="Y48" s="6" t="s">
        <v>33</v>
      </c>
      <c r="Z48" s="6">
        <v>1</v>
      </c>
      <c r="AA48" s="30">
        <v>0</v>
      </c>
    </row>
    <row r="49" spans="1:27">
      <c r="A49" s="6" t="s">
        <v>42</v>
      </c>
      <c r="B49" s="6">
        <v>1</v>
      </c>
      <c r="C49" s="30">
        <v>0</v>
      </c>
      <c r="Y49" s="6" t="s">
        <v>60</v>
      </c>
      <c r="Z49" s="6">
        <v>1</v>
      </c>
      <c r="AA49" s="30">
        <v>0</v>
      </c>
    </row>
    <row r="50" spans="1:27">
      <c r="A50" s="6" t="s">
        <v>43</v>
      </c>
      <c r="B50" s="6">
        <v>1</v>
      </c>
      <c r="C50" s="30">
        <v>0</v>
      </c>
      <c r="Y50" s="6" t="s">
        <v>129</v>
      </c>
      <c r="Z50" s="6">
        <v>1</v>
      </c>
      <c r="AA50" s="30">
        <v>0</v>
      </c>
    </row>
    <row r="51" spans="1:27">
      <c r="A51" s="6" t="s">
        <v>57</v>
      </c>
      <c r="B51" s="6">
        <v>1</v>
      </c>
      <c r="C51" s="30">
        <v>0</v>
      </c>
    </row>
    <row r="52" spans="1:27">
      <c r="A52" s="6" t="s">
        <v>33</v>
      </c>
      <c r="B52" s="6">
        <v>2</v>
      </c>
      <c r="C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60</v>
      </c>
      <c r="B54" s="6">
        <v>1</v>
      </c>
      <c r="C54" s="30">
        <v>0</v>
      </c>
    </row>
    <row r="55" spans="1:27">
      <c r="A55" s="6" t="s">
        <v>129</v>
      </c>
      <c r="B55" s="6">
        <v>1</v>
      </c>
      <c r="C55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85072-4184-4874-B302-7ACB6B91C41A}">
  <sheetPr codeName="Sheet10"/>
  <dimension ref="A1:AI50"/>
  <sheetViews>
    <sheetView topLeftCell="R1" workbookViewId="0">
      <selection activeCell="W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54177</v>
      </c>
      <c r="E2" s="41" t="s">
        <v>4</v>
      </c>
      <c r="F2" s="23" t="s">
        <v>105</v>
      </c>
      <c r="G2" s="23">
        <f>G3+G4</f>
        <v>58047</v>
      </c>
      <c r="H2" s="22"/>
      <c r="I2" s="41" t="s">
        <v>6</v>
      </c>
      <c r="J2" s="23" t="s">
        <v>105</v>
      </c>
      <c r="K2" s="23">
        <f>K3+K4</f>
        <v>59783</v>
      </c>
      <c r="M2" s="41" t="s">
        <v>104</v>
      </c>
      <c r="N2" s="23" t="s">
        <v>105</v>
      </c>
      <c r="O2" s="23">
        <f>O3+O4</f>
        <v>12617</v>
      </c>
      <c r="Q2" s="41" t="s">
        <v>4</v>
      </c>
      <c r="R2" s="23" t="s">
        <v>105</v>
      </c>
      <c r="S2" s="23">
        <f>S3+S4</f>
        <v>16224</v>
      </c>
      <c r="T2" s="22"/>
      <c r="U2" s="41" t="s">
        <v>6</v>
      </c>
      <c r="V2" s="23" t="s">
        <v>105</v>
      </c>
      <c r="W2" s="23">
        <f>W3+W4</f>
        <v>16419</v>
      </c>
      <c r="Y2" s="41" t="s">
        <v>104</v>
      </c>
      <c r="Z2" s="23" t="s">
        <v>105</v>
      </c>
      <c r="AA2" s="23">
        <f>AA3+AA4</f>
        <v>41610</v>
      </c>
      <c r="AC2" s="41" t="s">
        <v>4</v>
      </c>
      <c r="AD2" s="23" t="s">
        <v>105</v>
      </c>
      <c r="AE2" s="23">
        <f>AE3+AE4</f>
        <v>41824</v>
      </c>
      <c r="AF2" s="22"/>
      <c r="AG2" s="41" t="s">
        <v>6</v>
      </c>
      <c r="AH2" s="23" t="s">
        <v>105</v>
      </c>
      <c r="AI2" s="23">
        <f>AI3+AI4</f>
        <v>43365</v>
      </c>
    </row>
    <row r="3" spans="1:35">
      <c r="A3" s="42"/>
      <c r="B3" s="24" t="s">
        <v>106</v>
      </c>
      <c r="C3" s="24">
        <f>B8</f>
        <v>53080</v>
      </c>
      <c r="E3" s="42"/>
      <c r="F3" s="24" t="s">
        <v>106</v>
      </c>
      <c r="G3" s="24">
        <f>F8</f>
        <v>57835</v>
      </c>
      <c r="H3" s="22"/>
      <c r="I3" s="42"/>
      <c r="J3" s="24" t="s">
        <v>106</v>
      </c>
      <c r="K3" s="24">
        <f>J8</f>
        <v>59735</v>
      </c>
      <c r="M3" s="42"/>
      <c r="N3" s="24" t="s">
        <v>106</v>
      </c>
      <c r="O3" s="24">
        <f>N8</f>
        <v>12399</v>
      </c>
      <c r="Q3" s="42"/>
      <c r="R3" s="24" t="s">
        <v>106</v>
      </c>
      <c r="S3" s="24">
        <f>R8</f>
        <v>16189</v>
      </c>
      <c r="T3" s="22"/>
      <c r="U3" s="42"/>
      <c r="V3" s="24" t="s">
        <v>106</v>
      </c>
      <c r="W3" s="24">
        <f>V8</f>
        <v>16397</v>
      </c>
      <c r="Y3" s="42"/>
      <c r="Z3" s="24" t="s">
        <v>106</v>
      </c>
      <c r="AA3" s="24">
        <f>Z8</f>
        <v>40731</v>
      </c>
      <c r="AC3" s="42"/>
      <c r="AD3" s="24" t="s">
        <v>106</v>
      </c>
      <c r="AE3" s="24">
        <f>AD8</f>
        <v>41646</v>
      </c>
      <c r="AF3" s="22"/>
      <c r="AG3" s="42"/>
      <c r="AH3" s="24" t="s">
        <v>106</v>
      </c>
      <c r="AI3" s="24">
        <f>AH8</f>
        <v>43338</v>
      </c>
    </row>
    <row r="4" spans="1:35">
      <c r="A4" s="42"/>
      <c r="B4" s="25" t="s">
        <v>107</v>
      </c>
      <c r="C4" s="25">
        <f>SUM(B9:B66)</f>
        <v>1097</v>
      </c>
      <c r="E4" s="42"/>
      <c r="F4" s="25" t="s">
        <v>107</v>
      </c>
      <c r="G4" s="25">
        <f>SUM(F9:F33)</f>
        <v>212</v>
      </c>
      <c r="H4" s="22"/>
      <c r="I4" s="42"/>
      <c r="J4" s="25" t="s">
        <v>107</v>
      </c>
      <c r="K4" s="25">
        <f>SUM(J9:J31)</f>
        <v>48</v>
      </c>
      <c r="M4" s="42"/>
      <c r="N4" s="25" t="s">
        <v>107</v>
      </c>
      <c r="O4" s="25">
        <f>SUM(N9:N66)</f>
        <v>218</v>
      </c>
      <c r="Q4" s="42"/>
      <c r="R4" s="25" t="s">
        <v>107</v>
      </c>
      <c r="S4" s="25">
        <f>SUM(R9:R33)</f>
        <v>35</v>
      </c>
      <c r="T4" s="22"/>
      <c r="U4" s="42"/>
      <c r="V4" s="25" t="s">
        <v>107</v>
      </c>
      <c r="W4" s="25">
        <f>SUM(V9:V31)</f>
        <v>22</v>
      </c>
      <c r="Y4" s="42"/>
      <c r="Z4" s="25" t="s">
        <v>107</v>
      </c>
      <c r="AA4" s="25">
        <f>SUM(Z9:Z45)</f>
        <v>879</v>
      </c>
      <c r="AC4" s="42"/>
      <c r="AD4" s="25" t="s">
        <v>107</v>
      </c>
      <c r="AE4" s="25">
        <f>SUM(AD9:AD29)</f>
        <v>178</v>
      </c>
      <c r="AF4" s="22"/>
      <c r="AG4" s="42"/>
      <c r="AH4" s="25" t="s">
        <v>107</v>
      </c>
      <c r="AI4" s="25">
        <f>SUM(AH9:AH29)</f>
        <v>27</v>
      </c>
    </row>
    <row r="5" spans="1:35">
      <c r="A5" s="43"/>
      <c r="B5" s="23" t="s">
        <v>108</v>
      </c>
      <c r="C5" s="26">
        <f>SUM(C9:C179)</f>
        <v>1.9999999999999993E-2</v>
      </c>
      <c r="E5" s="43"/>
      <c r="F5" s="23" t="s">
        <v>108</v>
      </c>
      <c r="G5" s="26">
        <f>SUM(G9:G33)</f>
        <v>3.3999999999999994E-3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1.7499999999999991E-2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1.4000000000000002E-3</v>
      </c>
      <c r="Y5" s="43"/>
      <c r="Z5" s="23" t="s">
        <v>108</v>
      </c>
      <c r="AA5" s="26">
        <f>SUM(AA9:AA158)</f>
        <v>2.0699999999999993E-2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53080</v>
      </c>
      <c r="C8" s="9">
        <v>0.9798</v>
      </c>
      <c r="E8" s="6" t="s">
        <v>112</v>
      </c>
      <c r="F8" s="29">
        <v>57835</v>
      </c>
      <c r="G8" s="9">
        <v>0.99629999999999996</v>
      </c>
      <c r="I8" s="6" t="s">
        <v>112</v>
      </c>
      <c r="J8" s="29">
        <v>59735</v>
      </c>
      <c r="K8" s="9">
        <v>0.99919999999999998</v>
      </c>
      <c r="M8" s="6" t="s">
        <v>112</v>
      </c>
      <c r="N8" s="29">
        <v>12399</v>
      </c>
      <c r="O8" s="9">
        <v>0.98270000000000002</v>
      </c>
      <c r="Q8" s="6" t="s">
        <v>112</v>
      </c>
      <c r="R8" s="29">
        <v>16189</v>
      </c>
      <c r="S8" s="9">
        <v>0.99780000000000002</v>
      </c>
      <c r="U8" s="6" t="s">
        <v>112</v>
      </c>
      <c r="V8" s="29">
        <v>16397</v>
      </c>
      <c r="W8" s="9">
        <v>0.99870000000000003</v>
      </c>
      <c r="Y8" s="6" t="s">
        <v>112</v>
      </c>
      <c r="Z8" s="29">
        <v>40731</v>
      </c>
      <c r="AA8" s="9">
        <v>0.97889999999999999</v>
      </c>
      <c r="AC8" s="6" t="s">
        <v>112</v>
      </c>
      <c r="AD8" s="29">
        <v>41646</v>
      </c>
      <c r="AE8" s="9">
        <v>0.99570000000000003</v>
      </c>
      <c r="AG8" s="6" t="s">
        <v>112</v>
      </c>
      <c r="AH8" s="29">
        <v>43338</v>
      </c>
      <c r="AI8" s="9">
        <v>0.99939999999999996</v>
      </c>
    </row>
    <row r="9" spans="1:35">
      <c r="A9" s="6" t="s">
        <v>2</v>
      </c>
      <c r="B9" s="6">
        <v>303</v>
      </c>
      <c r="C9" s="9">
        <v>5.5999999999999999E-3</v>
      </c>
      <c r="E9" s="6" t="s">
        <v>122</v>
      </c>
      <c r="F9" s="6">
        <v>113</v>
      </c>
      <c r="G9" s="9">
        <v>1.9E-3</v>
      </c>
      <c r="I9" s="6" t="s">
        <v>2</v>
      </c>
      <c r="J9" s="6">
        <v>24</v>
      </c>
      <c r="K9" s="9">
        <v>4.0000000000000002E-4</v>
      </c>
      <c r="M9" s="6" t="s">
        <v>2</v>
      </c>
      <c r="N9" s="6">
        <v>50</v>
      </c>
      <c r="O9" s="9">
        <v>4.0000000000000001E-3</v>
      </c>
      <c r="Q9" s="6" t="s">
        <v>122</v>
      </c>
      <c r="R9" s="6">
        <v>23</v>
      </c>
      <c r="S9" s="9">
        <v>1.4E-3</v>
      </c>
      <c r="U9" s="6" t="s">
        <v>2</v>
      </c>
      <c r="V9" s="6">
        <v>8</v>
      </c>
      <c r="W9" s="9">
        <v>5.0000000000000001E-4</v>
      </c>
      <c r="Y9" s="6" t="s">
        <v>2</v>
      </c>
      <c r="Z9" s="6">
        <v>253</v>
      </c>
      <c r="AA9" s="9">
        <v>6.1000000000000004E-3</v>
      </c>
      <c r="AC9" s="6" t="s">
        <v>122</v>
      </c>
      <c r="AD9" s="6">
        <v>90</v>
      </c>
      <c r="AE9" s="9">
        <v>2.2000000000000001E-3</v>
      </c>
      <c r="AG9" s="6" t="s">
        <v>2</v>
      </c>
      <c r="AH9" s="6">
        <v>16</v>
      </c>
      <c r="AI9" s="9">
        <v>4.0000000000000002E-4</v>
      </c>
    </row>
    <row r="10" spans="1:35">
      <c r="A10" s="6" t="s">
        <v>9</v>
      </c>
      <c r="B10" s="6">
        <v>173</v>
      </c>
      <c r="C10" s="9">
        <v>3.2000000000000002E-3</v>
      </c>
      <c r="E10" s="6" t="s">
        <v>83</v>
      </c>
      <c r="F10" s="6">
        <v>42</v>
      </c>
      <c r="G10" s="9">
        <v>6.9999999999999999E-4</v>
      </c>
      <c r="I10" s="6" t="s">
        <v>99</v>
      </c>
      <c r="J10" s="6">
        <v>12</v>
      </c>
      <c r="K10" s="9">
        <v>2.0000000000000001E-4</v>
      </c>
      <c r="M10" s="6" t="s">
        <v>3</v>
      </c>
      <c r="N10" s="6">
        <v>40</v>
      </c>
      <c r="O10" s="9">
        <v>3.2000000000000002E-3</v>
      </c>
      <c r="Q10" s="6" t="s">
        <v>76</v>
      </c>
      <c r="R10" s="6">
        <v>4</v>
      </c>
      <c r="S10" s="9">
        <v>2.0000000000000001E-4</v>
      </c>
      <c r="U10" s="6" t="s">
        <v>99</v>
      </c>
      <c r="V10" s="6">
        <v>7</v>
      </c>
      <c r="W10" s="9">
        <v>4.0000000000000002E-4</v>
      </c>
      <c r="Y10" s="6" t="s">
        <v>9</v>
      </c>
      <c r="Z10" s="6">
        <v>153</v>
      </c>
      <c r="AA10" s="9">
        <v>3.7000000000000002E-3</v>
      </c>
      <c r="AC10" s="6" t="s">
        <v>83</v>
      </c>
      <c r="AD10" s="6">
        <v>42</v>
      </c>
      <c r="AE10" s="9">
        <v>1E-3</v>
      </c>
      <c r="AG10" s="6" t="s">
        <v>98</v>
      </c>
      <c r="AH10" s="6">
        <v>4</v>
      </c>
      <c r="AI10" s="9">
        <v>1E-4</v>
      </c>
    </row>
    <row r="11" spans="1:35">
      <c r="A11" s="6" t="s">
        <v>3</v>
      </c>
      <c r="B11" s="6">
        <v>133</v>
      </c>
      <c r="C11" s="9">
        <v>2.5000000000000001E-3</v>
      </c>
      <c r="E11" s="6" t="s">
        <v>76</v>
      </c>
      <c r="F11" s="6">
        <v>9</v>
      </c>
      <c r="G11" s="9">
        <v>2.0000000000000001E-4</v>
      </c>
      <c r="I11" s="6" t="s">
        <v>98</v>
      </c>
      <c r="J11" s="6">
        <v>7</v>
      </c>
      <c r="K11" s="9">
        <v>1E-4</v>
      </c>
      <c r="M11" s="6" t="s">
        <v>9</v>
      </c>
      <c r="N11" s="6">
        <v>20</v>
      </c>
      <c r="O11" s="9">
        <v>1.6000000000000001E-3</v>
      </c>
      <c r="Q11" s="6" t="s">
        <v>80</v>
      </c>
      <c r="R11" s="6">
        <v>2</v>
      </c>
      <c r="S11" s="9">
        <v>1E-4</v>
      </c>
      <c r="U11" s="6" t="s">
        <v>98</v>
      </c>
      <c r="V11" s="6">
        <v>3</v>
      </c>
      <c r="W11" s="9">
        <v>2.0000000000000001E-4</v>
      </c>
      <c r="Y11" s="6" t="s">
        <v>8</v>
      </c>
      <c r="Z11" s="6">
        <v>90</v>
      </c>
      <c r="AA11" s="9">
        <v>2.2000000000000001E-3</v>
      </c>
      <c r="AC11" s="6" t="s">
        <v>82</v>
      </c>
      <c r="AD11" s="6">
        <v>9</v>
      </c>
      <c r="AE11" s="9">
        <v>2.0000000000000001E-4</v>
      </c>
      <c r="AG11" s="6" t="s">
        <v>99</v>
      </c>
      <c r="AH11" s="6">
        <v>5</v>
      </c>
      <c r="AI11" s="9">
        <v>1E-4</v>
      </c>
    </row>
    <row r="12" spans="1:35">
      <c r="A12" s="6" t="s">
        <v>8</v>
      </c>
      <c r="B12" s="6">
        <v>91</v>
      </c>
      <c r="C12" s="9">
        <v>1.6999999999999999E-3</v>
      </c>
      <c r="E12" s="6" t="s">
        <v>82</v>
      </c>
      <c r="F12" s="6">
        <v>10</v>
      </c>
      <c r="G12" s="9">
        <v>2.0000000000000001E-4</v>
      </c>
      <c r="I12" s="6" t="s">
        <v>102</v>
      </c>
      <c r="J12" s="6">
        <v>1</v>
      </c>
      <c r="K12" s="30">
        <v>0</v>
      </c>
      <c r="M12" s="6" t="s">
        <v>7</v>
      </c>
      <c r="N12" s="6">
        <v>17</v>
      </c>
      <c r="O12" s="9">
        <v>1.2999999999999999E-3</v>
      </c>
      <c r="Q12" s="6" t="s">
        <v>77</v>
      </c>
      <c r="R12" s="6">
        <v>2</v>
      </c>
      <c r="S12" s="9">
        <v>1E-4</v>
      </c>
      <c r="U12" s="6" t="s">
        <v>102</v>
      </c>
      <c r="V12" s="6">
        <v>1</v>
      </c>
      <c r="W12" s="9">
        <v>1E-4</v>
      </c>
      <c r="Y12" s="6" t="s">
        <v>3</v>
      </c>
      <c r="Z12" s="6">
        <v>93</v>
      </c>
      <c r="AA12" s="9">
        <v>2.2000000000000001E-3</v>
      </c>
      <c r="AC12" s="6" t="s">
        <v>75</v>
      </c>
      <c r="AD12" s="6">
        <v>8</v>
      </c>
      <c r="AE12" s="9">
        <v>2.0000000000000001E-4</v>
      </c>
      <c r="AG12" s="6" t="s">
        <v>102</v>
      </c>
      <c r="AH12" s="6">
        <v>1</v>
      </c>
      <c r="AI12" s="30">
        <v>0</v>
      </c>
    </row>
    <row r="13" spans="1:35">
      <c r="A13" s="6" t="s">
        <v>5</v>
      </c>
      <c r="B13" s="6">
        <v>74</v>
      </c>
      <c r="C13" s="9">
        <v>1.4E-3</v>
      </c>
      <c r="E13" s="6" t="s">
        <v>75</v>
      </c>
      <c r="F13" s="6">
        <v>8</v>
      </c>
      <c r="G13" s="9">
        <v>1E-4</v>
      </c>
      <c r="I13" s="6" t="s">
        <v>103</v>
      </c>
      <c r="J13" s="6">
        <v>2</v>
      </c>
      <c r="K13" s="30">
        <v>0</v>
      </c>
      <c r="M13" s="6" t="s">
        <v>21</v>
      </c>
      <c r="N13" s="6">
        <v>14</v>
      </c>
      <c r="O13" s="9">
        <v>1.1000000000000001E-3</v>
      </c>
      <c r="Q13" s="6" t="s">
        <v>74</v>
      </c>
      <c r="R13" s="6">
        <v>1</v>
      </c>
      <c r="S13" s="9">
        <v>1E-4</v>
      </c>
      <c r="U13" s="6" t="s">
        <v>103</v>
      </c>
      <c r="V13" s="6">
        <v>2</v>
      </c>
      <c r="W13" s="9">
        <v>1E-4</v>
      </c>
      <c r="Y13" s="6" t="s">
        <v>5</v>
      </c>
      <c r="Z13" s="6">
        <v>63</v>
      </c>
      <c r="AA13" s="9">
        <v>1.5E-3</v>
      </c>
      <c r="AC13" s="6" t="s">
        <v>79</v>
      </c>
      <c r="AD13" s="6">
        <v>7</v>
      </c>
      <c r="AE13" s="9">
        <v>2.0000000000000001E-4</v>
      </c>
      <c r="AG13" s="6" t="s">
        <v>113</v>
      </c>
      <c r="AH13" s="6">
        <v>1</v>
      </c>
      <c r="AI13" s="30">
        <v>0</v>
      </c>
    </row>
    <row r="14" spans="1:35">
      <c r="A14" s="6" t="s">
        <v>7</v>
      </c>
      <c r="B14" s="6">
        <v>65</v>
      </c>
      <c r="C14" s="9">
        <v>1.1999999999999999E-3</v>
      </c>
      <c r="E14" s="6" t="s">
        <v>77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11</v>
      </c>
      <c r="N14" s="6">
        <v>12</v>
      </c>
      <c r="O14" s="9">
        <v>1E-3</v>
      </c>
      <c r="Q14" s="6" t="s">
        <v>78</v>
      </c>
      <c r="R14" s="6">
        <v>1</v>
      </c>
      <c r="S14" s="9">
        <v>1E-4</v>
      </c>
      <c r="U14" s="6" t="s">
        <v>123</v>
      </c>
      <c r="V14" s="6">
        <v>1</v>
      </c>
      <c r="W14" s="9">
        <v>1E-4</v>
      </c>
      <c r="Y14" s="6" t="s">
        <v>7</v>
      </c>
      <c r="Z14" s="6">
        <v>48</v>
      </c>
      <c r="AA14" s="9">
        <v>1.1999999999999999E-3</v>
      </c>
      <c r="AC14" s="6" t="s">
        <v>76</v>
      </c>
      <c r="AD14" s="6">
        <v>5</v>
      </c>
      <c r="AE14" s="9">
        <v>1E-4</v>
      </c>
    </row>
    <row r="15" spans="1:35">
      <c r="A15" s="6" t="s">
        <v>11</v>
      </c>
      <c r="B15" s="6">
        <v>42</v>
      </c>
      <c r="C15" s="9">
        <v>8.0000000000000004E-4</v>
      </c>
      <c r="E15" s="6" t="s">
        <v>79</v>
      </c>
      <c r="F15" s="6">
        <v>7</v>
      </c>
      <c r="G15" s="9">
        <v>1E-4</v>
      </c>
      <c r="I15" s="6" t="s">
        <v>113</v>
      </c>
      <c r="J15" s="6">
        <v>1</v>
      </c>
      <c r="K15" s="30">
        <v>0</v>
      </c>
      <c r="M15" s="6" t="s">
        <v>5</v>
      </c>
      <c r="N15" s="6">
        <v>11</v>
      </c>
      <c r="O15" s="9">
        <v>8.9999999999999998E-4</v>
      </c>
      <c r="Q15" s="6" t="s">
        <v>82</v>
      </c>
      <c r="R15" s="6">
        <v>1</v>
      </c>
      <c r="S15" s="9">
        <v>1E-4</v>
      </c>
      <c r="Y15" s="6" t="s">
        <v>11</v>
      </c>
      <c r="Z15" s="6">
        <v>30</v>
      </c>
      <c r="AA15" s="9">
        <v>6.9999999999999999E-4</v>
      </c>
      <c r="AC15" s="6" t="s">
        <v>77</v>
      </c>
      <c r="AD15" s="6">
        <v>6</v>
      </c>
      <c r="AE15" s="9">
        <v>1E-4</v>
      </c>
    </row>
    <row r="16" spans="1:35">
      <c r="A16" s="6" t="s">
        <v>41</v>
      </c>
      <c r="B16" s="6">
        <v>29</v>
      </c>
      <c r="C16" s="9">
        <v>5.0000000000000001E-4</v>
      </c>
      <c r="E16" s="6" t="s">
        <v>74</v>
      </c>
      <c r="F16" s="6">
        <v>4</v>
      </c>
      <c r="G16" s="9">
        <v>1E-4</v>
      </c>
      <c r="M16" s="6" t="s">
        <v>41</v>
      </c>
      <c r="N16" s="6">
        <v>9</v>
      </c>
      <c r="O16" s="9">
        <v>6.9999999999999999E-4</v>
      </c>
      <c r="Q16" s="6" t="s">
        <v>146</v>
      </c>
      <c r="R16" s="6">
        <v>1</v>
      </c>
      <c r="S16" s="9">
        <v>1E-4</v>
      </c>
      <c r="Y16" s="6" t="s">
        <v>14</v>
      </c>
      <c r="Z16" s="6">
        <v>19</v>
      </c>
      <c r="AA16" s="9">
        <v>5.0000000000000001E-4</v>
      </c>
      <c r="AC16" s="6" t="s">
        <v>74</v>
      </c>
      <c r="AD16" s="6">
        <v>3</v>
      </c>
      <c r="AE16" s="9">
        <v>1E-4</v>
      </c>
    </row>
    <row r="17" spans="1:31">
      <c r="A17" s="6" t="s">
        <v>21</v>
      </c>
      <c r="B17" s="6">
        <v>22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31</v>
      </c>
      <c r="N17" s="6">
        <v>5</v>
      </c>
      <c r="O17" s="9">
        <v>4.0000000000000002E-4</v>
      </c>
      <c r="Y17" s="6" t="s">
        <v>41</v>
      </c>
      <c r="Z17" s="6">
        <v>20</v>
      </c>
      <c r="AA17" s="9">
        <v>5.0000000000000001E-4</v>
      </c>
      <c r="AC17" s="6" t="s">
        <v>80</v>
      </c>
      <c r="AD17" s="6">
        <v>1</v>
      </c>
      <c r="AE17" s="30">
        <v>0</v>
      </c>
    </row>
    <row r="18" spans="1:31">
      <c r="A18" s="6" t="s">
        <v>14</v>
      </c>
      <c r="B18" s="6">
        <v>20</v>
      </c>
      <c r="C18" s="9">
        <v>4.0000000000000002E-4</v>
      </c>
      <c r="E18" s="6" t="s">
        <v>81</v>
      </c>
      <c r="F18" s="6">
        <v>2</v>
      </c>
      <c r="G18" s="30">
        <v>0</v>
      </c>
      <c r="M18" s="6" t="s">
        <v>17</v>
      </c>
      <c r="N18" s="6">
        <v>4</v>
      </c>
      <c r="O18" s="9">
        <v>2.9999999999999997E-4</v>
      </c>
      <c r="Y18" s="6" t="s">
        <v>31</v>
      </c>
      <c r="Z18" s="6">
        <v>12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31</v>
      </c>
      <c r="B19" s="6">
        <v>17</v>
      </c>
      <c r="C19" s="9">
        <v>2.9999999999999997E-4</v>
      </c>
      <c r="E19" s="6" t="s">
        <v>85</v>
      </c>
      <c r="F19" s="6">
        <v>1</v>
      </c>
      <c r="G19" s="30">
        <v>0</v>
      </c>
      <c r="M19" s="6" t="s">
        <v>19</v>
      </c>
      <c r="N19" s="6">
        <v>3</v>
      </c>
      <c r="O19" s="9">
        <v>2.0000000000000001E-4</v>
      </c>
      <c r="Y19" s="6" t="s">
        <v>21</v>
      </c>
      <c r="Z19" s="6">
        <v>8</v>
      </c>
      <c r="AA19" s="9">
        <v>2.0000000000000001E-4</v>
      </c>
      <c r="AC19" s="6" t="s">
        <v>85</v>
      </c>
      <c r="AD19" s="6">
        <v>1</v>
      </c>
      <c r="AE19" s="30">
        <v>0</v>
      </c>
    </row>
    <row r="20" spans="1:31">
      <c r="A20" s="6" t="s">
        <v>17</v>
      </c>
      <c r="B20" s="6">
        <v>13</v>
      </c>
      <c r="C20" s="9">
        <v>2.0000000000000001E-4</v>
      </c>
      <c r="E20" s="6" t="s">
        <v>78</v>
      </c>
      <c r="F20" s="6">
        <v>2</v>
      </c>
      <c r="G20" s="30">
        <v>0</v>
      </c>
      <c r="M20" s="6" t="s">
        <v>59</v>
      </c>
      <c r="N20" s="6">
        <v>3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78</v>
      </c>
      <c r="AD20" s="6">
        <v>1</v>
      </c>
      <c r="AE20" s="30">
        <v>0</v>
      </c>
    </row>
    <row r="21" spans="1:31">
      <c r="A21" s="6" t="s">
        <v>10</v>
      </c>
      <c r="B21" s="6">
        <v>11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26</v>
      </c>
      <c r="N21" s="6">
        <v>3</v>
      </c>
      <c r="O21" s="9">
        <v>2.0000000000000001E-4</v>
      </c>
      <c r="Y21" s="6" t="s">
        <v>10</v>
      </c>
      <c r="Z21" s="6">
        <v>9</v>
      </c>
      <c r="AA21" s="9">
        <v>2.0000000000000001E-4</v>
      </c>
      <c r="AC21" s="6" t="s">
        <v>86</v>
      </c>
      <c r="AD21" s="6">
        <v>1</v>
      </c>
      <c r="AE21" s="30">
        <v>0</v>
      </c>
    </row>
    <row r="22" spans="1:31">
      <c r="A22" s="6" t="s">
        <v>37</v>
      </c>
      <c r="B22" s="6">
        <v>9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29</v>
      </c>
      <c r="N22" s="6">
        <v>3</v>
      </c>
      <c r="O22" s="9">
        <v>2.0000000000000001E-4</v>
      </c>
      <c r="Y22" s="6" t="s">
        <v>29</v>
      </c>
      <c r="Z22" s="6">
        <v>9</v>
      </c>
      <c r="AA22" s="9">
        <v>2.0000000000000001E-4</v>
      </c>
      <c r="AC22" s="6" t="s">
        <v>145</v>
      </c>
      <c r="AD22" s="6">
        <v>1</v>
      </c>
      <c r="AE22" s="30">
        <v>0</v>
      </c>
    </row>
    <row r="23" spans="1:31">
      <c r="A23" s="6" t="s">
        <v>29</v>
      </c>
      <c r="B23" s="6">
        <v>12</v>
      </c>
      <c r="C23" s="9">
        <v>2.0000000000000001E-4</v>
      </c>
      <c r="E23" s="6" t="s">
        <v>84</v>
      </c>
      <c r="F23" s="6">
        <v>1</v>
      </c>
      <c r="G23" s="30">
        <v>0</v>
      </c>
      <c r="M23" s="6" t="s">
        <v>10</v>
      </c>
      <c r="N23" s="6">
        <v>2</v>
      </c>
      <c r="O23" s="9">
        <v>2.0000000000000001E-4</v>
      </c>
      <c r="Y23" s="6" t="s">
        <v>30</v>
      </c>
      <c r="Z23" s="6">
        <v>7</v>
      </c>
      <c r="AA23" s="9">
        <v>2.0000000000000001E-4</v>
      </c>
      <c r="AC23" s="6" t="s">
        <v>84</v>
      </c>
      <c r="AD23" s="6">
        <v>1</v>
      </c>
      <c r="AE23" s="30">
        <v>0</v>
      </c>
    </row>
    <row r="24" spans="1:31">
      <c r="A24" s="6" t="s">
        <v>19</v>
      </c>
      <c r="B24" s="6">
        <v>6</v>
      </c>
      <c r="C24" s="9">
        <v>1E-4</v>
      </c>
      <c r="E24" s="6" t="s">
        <v>146</v>
      </c>
      <c r="F24" s="6">
        <v>1</v>
      </c>
      <c r="G24" s="30">
        <v>0</v>
      </c>
      <c r="M24" s="6" t="s">
        <v>22</v>
      </c>
      <c r="N24" s="6">
        <v>2</v>
      </c>
      <c r="O24" s="9">
        <v>2.0000000000000001E-4</v>
      </c>
      <c r="Y24" s="6" t="s">
        <v>19</v>
      </c>
      <c r="Z24" s="6">
        <v>3</v>
      </c>
      <c r="AA24" s="9">
        <v>1E-4</v>
      </c>
    </row>
    <row r="25" spans="1:31">
      <c r="A25" s="6" t="s">
        <v>115</v>
      </c>
      <c r="B25" s="6">
        <v>3</v>
      </c>
      <c r="C25" s="9">
        <v>1E-4</v>
      </c>
      <c r="M25" s="6" t="s">
        <v>37</v>
      </c>
      <c r="N25" s="6">
        <v>3</v>
      </c>
      <c r="O25" s="9">
        <v>2.0000000000000001E-4</v>
      </c>
      <c r="Y25" s="6" t="s">
        <v>37</v>
      </c>
      <c r="Z25" s="6">
        <v>6</v>
      </c>
      <c r="AA25" s="9">
        <v>1E-4</v>
      </c>
    </row>
    <row r="26" spans="1:31">
      <c r="A26" s="6" t="s">
        <v>22</v>
      </c>
      <c r="B26" s="6">
        <v>7</v>
      </c>
      <c r="C26" s="9">
        <v>1E-4</v>
      </c>
      <c r="M26" s="6" t="s">
        <v>38</v>
      </c>
      <c r="N26" s="6">
        <v>2</v>
      </c>
      <c r="O26" s="9">
        <v>2.0000000000000001E-4</v>
      </c>
      <c r="Y26" s="6" t="s">
        <v>16</v>
      </c>
      <c r="Z26" s="6">
        <v>5</v>
      </c>
      <c r="AA26" s="9">
        <v>1E-4</v>
      </c>
    </row>
    <row r="27" spans="1:31">
      <c r="A27" s="6" t="s">
        <v>16</v>
      </c>
      <c r="B27" s="6">
        <v>5</v>
      </c>
      <c r="C27" s="9">
        <v>1E-4</v>
      </c>
      <c r="M27" s="6" t="s">
        <v>33</v>
      </c>
      <c r="N27" s="6">
        <v>3</v>
      </c>
      <c r="O27" s="9">
        <v>2.0000000000000001E-4</v>
      </c>
      <c r="Y27" s="6" t="s">
        <v>22</v>
      </c>
      <c r="Z27" s="6">
        <v>5</v>
      </c>
      <c r="AA27" s="9">
        <v>1E-4</v>
      </c>
    </row>
    <row r="28" spans="1:31">
      <c r="A28" s="6" t="s">
        <v>30</v>
      </c>
      <c r="B28" s="6">
        <v>7</v>
      </c>
      <c r="C28" s="9">
        <v>1E-4</v>
      </c>
      <c r="M28" s="6" t="s">
        <v>115</v>
      </c>
      <c r="N28" s="6">
        <v>1</v>
      </c>
      <c r="O28" s="9">
        <v>1E-4</v>
      </c>
      <c r="Y28" s="6" t="s">
        <v>18</v>
      </c>
      <c r="Z28" s="6">
        <v>4</v>
      </c>
      <c r="AA28" s="9">
        <v>1E-4</v>
      </c>
    </row>
    <row r="29" spans="1:31">
      <c r="A29" s="6" t="s">
        <v>38</v>
      </c>
      <c r="B29" s="6">
        <v>6</v>
      </c>
      <c r="C29" s="9">
        <v>1E-4</v>
      </c>
      <c r="M29" s="6" t="s">
        <v>24</v>
      </c>
      <c r="N29" s="6">
        <v>1</v>
      </c>
      <c r="O29" s="9">
        <v>1E-4</v>
      </c>
      <c r="Y29" s="6" t="s">
        <v>12</v>
      </c>
      <c r="Z29" s="6">
        <v>6</v>
      </c>
      <c r="AA29" s="9">
        <v>1E-4</v>
      </c>
    </row>
    <row r="30" spans="1:31">
      <c r="A30" s="6" t="s">
        <v>59</v>
      </c>
      <c r="B30" s="6">
        <v>5</v>
      </c>
      <c r="C30" s="9">
        <v>1E-4</v>
      </c>
      <c r="M30" s="6" t="s">
        <v>14</v>
      </c>
      <c r="N30" s="6">
        <v>1</v>
      </c>
      <c r="O30" s="9">
        <v>1E-4</v>
      </c>
      <c r="Y30" s="6" t="s">
        <v>38</v>
      </c>
      <c r="Z30" s="6">
        <v>4</v>
      </c>
      <c r="AA30" s="9">
        <v>1E-4</v>
      </c>
    </row>
    <row r="31" spans="1:31">
      <c r="A31" s="6" t="s">
        <v>18</v>
      </c>
      <c r="B31" s="6">
        <v>5</v>
      </c>
      <c r="C31" s="9">
        <v>1E-4</v>
      </c>
      <c r="M31" s="6" t="s">
        <v>18</v>
      </c>
      <c r="N31" s="6">
        <v>1</v>
      </c>
      <c r="O31" s="9">
        <v>1E-4</v>
      </c>
      <c r="Y31" s="6" t="s">
        <v>58</v>
      </c>
      <c r="Z31" s="6">
        <v>3</v>
      </c>
      <c r="AA31" s="9">
        <v>1E-4</v>
      </c>
    </row>
    <row r="32" spans="1:31">
      <c r="A32" s="6" t="s">
        <v>12</v>
      </c>
      <c r="B32" s="6">
        <v>7</v>
      </c>
      <c r="C32" s="9">
        <v>1E-4</v>
      </c>
      <c r="M32" s="6" t="s">
        <v>12</v>
      </c>
      <c r="N32" s="6">
        <v>1</v>
      </c>
      <c r="O32" s="9">
        <v>1E-4</v>
      </c>
      <c r="Y32" s="6" t="s">
        <v>115</v>
      </c>
      <c r="Z32" s="6">
        <v>2</v>
      </c>
      <c r="AA32" s="30">
        <v>0</v>
      </c>
    </row>
    <row r="33" spans="1:27">
      <c r="A33" s="6" t="s">
        <v>26</v>
      </c>
      <c r="B33" s="6">
        <v>5</v>
      </c>
      <c r="C33" s="9">
        <v>1E-4</v>
      </c>
      <c r="M33" s="6" t="s">
        <v>43</v>
      </c>
      <c r="N33" s="6">
        <v>1</v>
      </c>
      <c r="O33" s="9">
        <v>1E-4</v>
      </c>
      <c r="Y33" s="6" t="s">
        <v>20</v>
      </c>
      <c r="Z33" s="6">
        <v>2</v>
      </c>
      <c r="AA33" s="30">
        <v>0</v>
      </c>
    </row>
    <row r="34" spans="1:27">
      <c r="A34" s="6" t="s">
        <v>58</v>
      </c>
      <c r="B34" s="6">
        <v>3</v>
      </c>
      <c r="C34" s="9">
        <v>1E-4</v>
      </c>
      <c r="M34" s="6" t="s">
        <v>28</v>
      </c>
      <c r="N34" s="6">
        <v>1</v>
      </c>
      <c r="O34" s="9">
        <v>1E-4</v>
      </c>
      <c r="Y34" s="6" t="s">
        <v>34</v>
      </c>
      <c r="Z34" s="6">
        <v>1</v>
      </c>
      <c r="AA34" s="30">
        <v>0</v>
      </c>
    </row>
    <row r="35" spans="1:27">
      <c r="A35" s="6" t="s">
        <v>33</v>
      </c>
      <c r="B35" s="6">
        <v>4</v>
      </c>
      <c r="C35" s="9">
        <v>1E-4</v>
      </c>
      <c r="M35" s="6" t="s">
        <v>53</v>
      </c>
      <c r="N35" s="6">
        <v>1</v>
      </c>
      <c r="O35" s="9">
        <v>1E-4</v>
      </c>
      <c r="Y35" s="6" t="s">
        <v>67</v>
      </c>
      <c r="Z35" s="6">
        <v>2</v>
      </c>
      <c r="AA35" s="30">
        <v>0</v>
      </c>
    </row>
    <row r="36" spans="1:27">
      <c r="A36" s="6" t="s">
        <v>20</v>
      </c>
      <c r="B36" s="6">
        <v>2</v>
      </c>
      <c r="C36" s="30">
        <v>0</v>
      </c>
      <c r="M36" s="6" t="s">
        <v>48</v>
      </c>
      <c r="N36" s="6">
        <v>1</v>
      </c>
      <c r="O36" s="9">
        <v>1E-4</v>
      </c>
      <c r="Y36" s="6" t="s">
        <v>40</v>
      </c>
      <c r="Z36" s="6">
        <v>2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8</v>
      </c>
      <c r="N37" s="6">
        <v>1</v>
      </c>
      <c r="O37" s="9">
        <v>1E-4</v>
      </c>
      <c r="Y37" s="6" t="s">
        <v>48</v>
      </c>
      <c r="Z37" s="6">
        <v>1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69</v>
      </c>
      <c r="N38" s="6">
        <v>1</v>
      </c>
      <c r="O38" s="9">
        <v>1E-4</v>
      </c>
      <c r="Y38" s="6" t="s">
        <v>59</v>
      </c>
      <c r="Z38" s="6">
        <v>2</v>
      </c>
      <c r="AA38" s="30">
        <v>0</v>
      </c>
    </row>
    <row r="39" spans="1:27">
      <c r="A39" s="6" t="s">
        <v>40</v>
      </c>
      <c r="B39" s="6">
        <v>2</v>
      </c>
      <c r="C39" s="30">
        <v>0</v>
      </c>
      <c r="M39" s="6" t="s">
        <v>27</v>
      </c>
      <c r="N39" s="6">
        <v>1</v>
      </c>
      <c r="O39" s="9">
        <v>1E-4</v>
      </c>
      <c r="Y39" s="6" t="s">
        <v>26</v>
      </c>
      <c r="Z39" s="6">
        <v>2</v>
      </c>
      <c r="AA39" s="30">
        <v>0</v>
      </c>
    </row>
    <row r="40" spans="1:27">
      <c r="A40" s="6" t="s">
        <v>24</v>
      </c>
      <c r="B40" s="6">
        <v>1</v>
      </c>
      <c r="C40" s="30">
        <v>0</v>
      </c>
      <c r="Y40" s="6" t="s">
        <v>60</v>
      </c>
      <c r="Z40" s="6">
        <v>1</v>
      </c>
      <c r="AA40" s="30">
        <v>0</v>
      </c>
    </row>
    <row r="41" spans="1:27">
      <c r="A41" s="6" t="s">
        <v>48</v>
      </c>
      <c r="B41" s="6">
        <v>2</v>
      </c>
      <c r="C41" s="30">
        <v>0</v>
      </c>
      <c r="Y41" s="6" t="s">
        <v>43</v>
      </c>
      <c r="Z41" s="6">
        <v>1</v>
      </c>
      <c r="AA41" s="30">
        <v>0</v>
      </c>
    </row>
    <row r="42" spans="1:27">
      <c r="A42" s="6" t="s">
        <v>43</v>
      </c>
      <c r="B42" s="6">
        <v>2</v>
      </c>
      <c r="C42" s="30">
        <v>0</v>
      </c>
      <c r="Y42" s="6" t="s">
        <v>25</v>
      </c>
      <c r="Z42" s="6">
        <v>1</v>
      </c>
      <c r="AA42" s="30">
        <v>0</v>
      </c>
    </row>
    <row r="43" spans="1:27">
      <c r="A43" s="6" t="s">
        <v>27</v>
      </c>
      <c r="B43" s="6">
        <v>1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60</v>
      </c>
      <c r="B44" s="6">
        <v>1</v>
      </c>
      <c r="C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15</v>
      </c>
      <c r="B45" s="6">
        <v>1</v>
      </c>
      <c r="C45" s="30">
        <v>0</v>
      </c>
      <c r="Y45" s="6" t="s">
        <v>39</v>
      </c>
      <c r="Z45" s="6">
        <v>1</v>
      </c>
      <c r="AA45" s="30">
        <v>0</v>
      </c>
    </row>
    <row r="46" spans="1:27">
      <c r="A46" s="6" t="s">
        <v>25</v>
      </c>
      <c r="B46" s="6">
        <v>1</v>
      </c>
      <c r="C46" s="30">
        <v>0</v>
      </c>
    </row>
    <row r="47" spans="1:27">
      <c r="A47" s="6" t="s">
        <v>28</v>
      </c>
      <c r="B47" s="6">
        <v>1</v>
      </c>
      <c r="C47" s="30">
        <v>0</v>
      </c>
    </row>
    <row r="48" spans="1:27">
      <c r="A48" s="6" t="s">
        <v>53</v>
      </c>
      <c r="B48" s="6">
        <v>1</v>
      </c>
      <c r="C48" s="30">
        <v>0</v>
      </c>
    </row>
    <row r="49" spans="1:3">
      <c r="A49" s="6" t="s">
        <v>69</v>
      </c>
      <c r="B49" s="6">
        <v>1</v>
      </c>
      <c r="C49" s="30">
        <v>0</v>
      </c>
    </row>
    <row r="50" spans="1:3">
      <c r="A50" s="6" t="s">
        <v>39</v>
      </c>
      <c r="B50" s="6">
        <v>1</v>
      </c>
      <c r="C50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698E9-93C1-4D92-A65C-3A3D34D43EFA}">
  <sheetPr codeName="Sheet11"/>
  <dimension ref="A1:AI48"/>
  <sheetViews>
    <sheetView topLeftCell="R1" workbookViewId="0">
      <selection activeCell="U3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58102</v>
      </c>
      <c r="E2" s="41" t="s">
        <v>4</v>
      </c>
      <c r="F2" s="23" t="s">
        <v>105</v>
      </c>
      <c r="G2" s="23">
        <f>G3+G4</f>
        <v>55246</v>
      </c>
      <c r="H2" s="22"/>
      <c r="I2" s="41" t="s">
        <v>6</v>
      </c>
      <c r="J2" s="23" t="s">
        <v>105</v>
      </c>
      <c r="K2" s="23">
        <f>K3+K4</f>
        <v>55922</v>
      </c>
      <c r="M2" s="41" t="s">
        <v>104</v>
      </c>
      <c r="N2" s="23" t="s">
        <v>105</v>
      </c>
      <c r="O2" s="23">
        <f>O3+O4</f>
        <v>17630</v>
      </c>
      <c r="Q2" s="41" t="s">
        <v>4</v>
      </c>
      <c r="R2" s="23" t="s">
        <v>105</v>
      </c>
      <c r="S2" s="23">
        <f>S3+S4</f>
        <v>14650</v>
      </c>
      <c r="T2" s="22"/>
      <c r="U2" s="41" t="s">
        <v>6</v>
      </c>
      <c r="V2" s="23" t="s">
        <v>105</v>
      </c>
      <c r="W2" s="23">
        <f>W3+W4</f>
        <v>14554</v>
      </c>
      <c r="Y2" s="41" t="s">
        <v>104</v>
      </c>
      <c r="Z2" s="23" t="s">
        <v>105</v>
      </c>
      <c r="AA2" s="23">
        <f>AA3+AA4</f>
        <v>40759</v>
      </c>
      <c r="AC2" s="41" t="s">
        <v>4</v>
      </c>
      <c r="AD2" s="23" t="s">
        <v>105</v>
      </c>
      <c r="AE2" s="23">
        <f>AE3+AE4</f>
        <v>40597</v>
      </c>
      <c r="AF2" s="22"/>
      <c r="AG2" s="41" t="s">
        <v>6</v>
      </c>
      <c r="AH2" s="23" t="s">
        <v>105</v>
      </c>
      <c r="AI2" s="23">
        <f>AI3+AI4</f>
        <v>41369</v>
      </c>
    </row>
    <row r="3" spans="1:35">
      <c r="A3" s="42"/>
      <c r="B3" s="24" t="s">
        <v>106</v>
      </c>
      <c r="C3" s="24">
        <f>B8</f>
        <v>57012</v>
      </c>
      <c r="E3" s="42"/>
      <c r="F3" s="24" t="s">
        <v>106</v>
      </c>
      <c r="G3" s="24">
        <f>F8</f>
        <v>55086</v>
      </c>
      <c r="H3" s="22"/>
      <c r="I3" s="42"/>
      <c r="J3" s="24" t="s">
        <v>106</v>
      </c>
      <c r="K3" s="24">
        <f>J8</f>
        <v>55876</v>
      </c>
      <c r="M3" s="42"/>
      <c r="N3" s="24" t="s">
        <v>106</v>
      </c>
      <c r="O3" s="24">
        <f>N8</f>
        <v>17347</v>
      </c>
      <c r="Q3" s="42"/>
      <c r="R3" s="24" t="s">
        <v>106</v>
      </c>
      <c r="S3" s="24">
        <f>R8</f>
        <v>14619</v>
      </c>
      <c r="T3" s="22"/>
      <c r="U3" s="42"/>
      <c r="V3" s="24" t="s">
        <v>106</v>
      </c>
      <c r="W3" s="24">
        <f>V8</f>
        <v>14542</v>
      </c>
      <c r="Y3" s="42"/>
      <c r="Z3" s="24" t="s">
        <v>106</v>
      </c>
      <c r="AA3" s="24">
        <f>Z8</f>
        <v>39950</v>
      </c>
      <c r="AC3" s="42"/>
      <c r="AD3" s="24" t="s">
        <v>106</v>
      </c>
      <c r="AE3" s="24">
        <f>AD8</f>
        <v>40467</v>
      </c>
      <c r="AF3" s="22"/>
      <c r="AG3" s="42"/>
      <c r="AH3" s="24" t="s">
        <v>106</v>
      </c>
      <c r="AI3" s="24">
        <f>AH8</f>
        <v>41334</v>
      </c>
    </row>
    <row r="4" spans="1:35">
      <c r="A4" s="42"/>
      <c r="B4" s="25" t="s">
        <v>107</v>
      </c>
      <c r="C4" s="25">
        <f>SUM(B9:B66)</f>
        <v>1090</v>
      </c>
      <c r="E4" s="42"/>
      <c r="F4" s="25" t="s">
        <v>107</v>
      </c>
      <c r="G4" s="25">
        <f>SUM(F9:F33)</f>
        <v>160</v>
      </c>
      <c r="H4" s="22"/>
      <c r="I4" s="42"/>
      <c r="J4" s="25" t="s">
        <v>107</v>
      </c>
      <c r="K4" s="25">
        <f>SUM(J9:J31)</f>
        <v>46</v>
      </c>
      <c r="M4" s="42"/>
      <c r="N4" s="25" t="s">
        <v>107</v>
      </c>
      <c r="O4" s="25">
        <f>SUM(N9:N66)</f>
        <v>283</v>
      </c>
      <c r="Q4" s="42"/>
      <c r="R4" s="25" t="s">
        <v>107</v>
      </c>
      <c r="S4" s="25">
        <f>SUM(R9:R33)</f>
        <v>31</v>
      </c>
      <c r="T4" s="22"/>
      <c r="U4" s="42"/>
      <c r="V4" s="25" t="s">
        <v>107</v>
      </c>
      <c r="W4" s="25">
        <f>SUM(V9:V31)</f>
        <v>12</v>
      </c>
      <c r="Y4" s="42"/>
      <c r="Z4" s="25" t="s">
        <v>107</v>
      </c>
      <c r="AA4" s="25">
        <f>SUM(Z9:Z45)</f>
        <v>809</v>
      </c>
      <c r="AC4" s="42"/>
      <c r="AD4" s="25" t="s">
        <v>107</v>
      </c>
      <c r="AE4" s="25">
        <f>SUM(AD9:AD29)</f>
        <v>130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1.8499999999999982E-2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1.6400000000000001E-2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1.9199999999999991E-2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57012</v>
      </c>
      <c r="C8" s="9">
        <v>0.98119999999999996</v>
      </c>
      <c r="E8" s="6" t="s">
        <v>112</v>
      </c>
      <c r="F8" s="29">
        <v>55086</v>
      </c>
      <c r="G8" s="9">
        <v>0.99709999999999999</v>
      </c>
      <c r="I8" s="6" t="s">
        <v>112</v>
      </c>
      <c r="J8" s="29">
        <v>55876</v>
      </c>
      <c r="K8" s="9">
        <v>0.99919999999999998</v>
      </c>
      <c r="M8" s="6" t="s">
        <v>112</v>
      </c>
      <c r="N8" s="29">
        <v>17347</v>
      </c>
      <c r="O8" s="9">
        <v>0.9839</v>
      </c>
      <c r="Q8" s="6" t="s">
        <v>112</v>
      </c>
      <c r="R8" s="29">
        <v>14619</v>
      </c>
      <c r="S8" s="9">
        <v>0.99790000000000001</v>
      </c>
      <c r="U8" s="6" t="s">
        <v>112</v>
      </c>
      <c r="V8" s="29">
        <v>14542</v>
      </c>
      <c r="W8" s="9">
        <v>0.99919999999999998</v>
      </c>
      <c r="Y8" s="6" t="s">
        <v>112</v>
      </c>
      <c r="Z8" s="29">
        <v>39950</v>
      </c>
      <c r="AA8" s="9">
        <v>0.98019999999999996</v>
      </c>
      <c r="AC8" s="6" t="s">
        <v>112</v>
      </c>
      <c r="AD8" s="29">
        <v>40467</v>
      </c>
      <c r="AE8" s="9">
        <v>0.99680000000000002</v>
      </c>
      <c r="AG8" s="6" t="s">
        <v>112</v>
      </c>
      <c r="AH8" s="29">
        <v>41334</v>
      </c>
      <c r="AI8" s="9">
        <v>0.99919999999999998</v>
      </c>
    </row>
    <row r="9" spans="1:35">
      <c r="A9" s="6" t="s">
        <v>2</v>
      </c>
      <c r="B9" s="6">
        <v>311</v>
      </c>
      <c r="C9" s="9">
        <v>5.4000000000000003E-3</v>
      </c>
      <c r="E9" s="6" t="s">
        <v>122</v>
      </c>
      <c r="F9" s="6">
        <v>86</v>
      </c>
      <c r="G9" s="9">
        <v>1.6000000000000001E-3</v>
      </c>
      <c r="I9" s="6" t="s">
        <v>99</v>
      </c>
      <c r="J9" s="6">
        <v>16</v>
      </c>
      <c r="K9" s="9">
        <v>2.9999999999999997E-4</v>
      </c>
      <c r="M9" s="6" t="s">
        <v>2</v>
      </c>
      <c r="N9" s="6">
        <v>76</v>
      </c>
      <c r="O9" s="9">
        <v>4.3E-3</v>
      </c>
      <c r="Q9" s="6" t="s">
        <v>122</v>
      </c>
      <c r="R9" s="6">
        <v>23</v>
      </c>
      <c r="S9" s="9">
        <v>1.6000000000000001E-3</v>
      </c>
      <c r="U9" s="6" t="s">
        <v>99</v>
      </c>
      <c r="V9" s="6">
        <v>6</v>
      </c>
      <c r="W9" s="9">
        <v>4.0000000000000002E-4</v>
      </c>
      <c r="Y9" s="6" t="s">
        <v>2</v>
      </c>
      <c r="Z9" s="6">
        <v>237</v>
      </c>
      <c r="AA9" s="9">
        <v>5.7999999999999996E-3</v>
      </c>
      <c r="AC9" s="6" t="s">
        <v>122</v>
      </c>
      <c r="AD9" s="6">
        <v>63</v>
      </c>
      <c r="AE9" s="9">
        <v>1.6000000000000001E-3</v>
      </c>
      <c r="AG9" s="6" t="s">
        <v>98</v>
      </c>
      <c r="AH9" s="6">
        <v>7</v>
      </c>
      <c r="AI9" s="9">
        <v>2.0000000000000001E-4</v>
      </c>
    </row>
    <row r="10" spans="1:35">
      <c r="A10" s="6" t="s">
        <v>3</v>
      </c>
      <c r="B10" s="6">
        <v>134</v>
      </c>
      <c r="C10" s="9">
        <v>2.3E-3</v>
      </c>
      <c r="E10" s="6" t="s">
        <v>83</v>
      </c>
      <c r="F10" s="6">
        <v>42</v>
      </c>
      <c r="G10" s="9">
        <v>8.0000000000000004E-4</v>
      </c>
      <c r="I10" s="6" t="s">
        <v>2</v>
      </c>
      <c r="J10" s="6">
        <v>12</v>
      </c>
      <c r="K10" s="9">
        <v>2.0000000000000001E-4</v>
      </c>
      <c r="M10" s="6" t="s">
        <v>3</v>
      </c>
      <c r="N10" s="6">
        <v>49</v>
      </c>
      <c r="O10" s="9">
        <v>2.8E-3</v>
      </c>
      <c r="Q10" s="6" t="s">
        <v>76</v>
      </c>
      <c r="R10" s="6">
        <v>4</v>
      </c>
      <c r="S10" s="9">
        <v>2.9999999999999997E-4</v>
      </c>
      <c r="U10" s="6" t="s">
        <v>2</v>
      </c>
      <c r="V10" s="6">
        <v>3</v>
      </c>
      <c r="W10" s="9">
        <v>2.0000000000000001E-4</v>
      </c>
      <c r="Y10" s="6" t="s">
        <v>8</v>
      </c>
      <c r="Z10" s="6">
        <v>115</v>
      </c>
      <c r="AA10" s="9">
        <v>2.8E-3</v>
      </c>
      <c r="AC10" s="6" t="s">
        <v>83</v>
      </c>
      <c r="AD10" s="6">
        <v>42</v>
      </c>
      <c r="AE10" s="9">
        <v>1E-3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8</v>
      </c>
      <c r="B11" s="6">
        <v>119</v>
      </c>
      <c r="C11" s="9">
        <v>2E-3</v>
      </c>
      <c r="E11" s="6" t="s">
        <v>76</v>
      </c>
      <c r="F11" s="6">
        <v>9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7</v>
      </c>
      <c r="N11" s="6">
        <v>33</v>
      </c>
      <c r="O11" s="9">
        <v>1.9E-3</v>
      </c>
      <c r="Q11" s="6" t="s">
        <v>92</v>
      </c>
      <c r="R11" s="6">
        <v>1</v>
      </c>
      <c r="S11" s="9">
        <v>1E-4</v>
      </c>
      <c r="U11" s="6" t="s">
        <v>102</v>
      </c>
      <c r="V11" s="6">
        <v>1</v>
      </c>
      <c r="W11" s="9">
        <v>1E-4</v>
      </c>
      <c r="Y11" s="6" t="s">
        <v>9</v>
      </c>
      <c r="Z11" s="6">
        <v>99</v>
      </c>
      <c r="AA11" s="9">
        <v>2.3999999999999998E-3</v>
      </c>
      <c r="AC11" s="6" t="s">
        <v>76</v>
      </c>
      <c r="AD11" s="6">
        <v>5</v>
      </c>
      <c r="AE11" s="9">
        <v>1E-4</v>
      </c>
      <c r="AG11" s="6" t="s">
        <v>2</v>
      </c>
      <c r="AH11" s="6">
        <v>9</v>
      </c>
      <c r="AI11" s="9">
        <v>2.0000000000000001E-4</v>
      </c>
    </row>
    <row r="12" spans="1:35">
      <c r="A12" s="6" t="s">
        <v>9</v>
      </c>
      <c r="B12" s="6">
        <v>108</v>
      </c>
      <c r="C12" s="9">
        <v>1.9E-3</v>
      </c>
      <c r="E12" s="6" t="s">
        <v>79</v>
      </c>
      <c r="F12" s="6">
        <v>6</v>
      </c>
      <c r="G12" s="9">
        <v>1E-4</v>
      </c>
      <c r="I12" s="6" t="s">
        <v>98</v>
      </c>
      <c r="J12" s="6">
        <v>7</v>
      </c>
      <c r="K12" s="9">
        <v>1E-4</v>
      </c>
      <c r="M12" s="6" t="s">
        <v>5</v>
      </c>
      <c r="N12" s="6">
        <v>18</v>
      </c>
      <c r="O12" s="9">
        <v>1E-3</v>
      </c>
      <c r="Q12" s="6" t="s">
        <v>80</v>
      </c>
      <c r="R12" s="6">
        <v>1</v>
      </c>
      <c r="S12" s="9">
        <v>1E-4</v>
      </c>
      <c r="U12" s="6" t="s">
        <v>103</v>
      </c>
      <c r="V12" s="6">
        <v>1</v>
      </c>
      <c r="W12" s="9">
        <v>1E-4</v>
      </c>
      <c r="Y12" s="6" t="s">
        <v>3</v>
      </c>
      <c r="Z12" s="6">
        <v>85</v>
      </c>
      <c r="AA12" s="9">
        <v>2.0999999999999999E-3</v>
      </c>
      <c r="AC12" s="6" t="s">
        <v>79</v>
      </c>
      <c r="AD12" s="6">
        <v>6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71</v>
      </c>
      <c r="C13" s="9">
        <v>1.1999999999999999E-3</v>
      </c>
      <c r="E13" s="6" t="s">
        <v>77</v>
      </c>
      <c r="F13" s="6">
        <v>4</v>
      </c>
      <c r="G13" s="9">
        <v>1E-4</v>
      </c>
      <c r="I13" s="6" t="s">
        <v>103</v>
      </c>
      <c r="J13" s="6">
        <v>3</v>
      </c>
      <c r="K13" s="9">
        <v>1E-4</v>
      </c>
      <c r="M13" s="6" t="s">
        <v>41</v>
      </c>
      <c r="N13" s="6">
        <v>18</v>
      </c>
      <c r="O13" s="9">
        <v>1E-3</v>
      </c>
      <c r="Q13" s="6" t="s">
        <v>74</v>
      </c>
      <c r="R13" s="6">
        <v>2</v>
      </c>
      <c r="S13" s="9">
        <v>1E-4</v>
      </c>
      <c r="U13" s="6" t="s">
        <v>113</v>
      </c>
      <c r="V13" s="6">
        <v>1</v>
      </c>
      <c r="W13" s="9">
        <v>1E-4</v>
      </c>
      <c r="Y13" s="6" t="s">
        <v>5</v>
      </c>
      <c r="Z13" s="6">
        <v>53</v>
      </c>
      <c r="AA13" s="9">
        <v>1.2999999999999999E-3</v>
      </c>
      <c r="AC13" s="6" t="s">
        <v>77</v>
      </c>
      <c r="AD13" s="6">
        <v>4</v>
      </c>
      <c r="AE13" s="9">
        <v>1E-4</v>
      </c>
      <c r="AG13" s="6" t="s">
        <v>123</v>
      </c>
      <c r="AH13" s="6">
        <v>1</v>
      </c>
      <c r="AI13" s="30">
        <v>0</v>
      </c>
    </row>
    <row r="14" spans="1:35">
      <c r="A14" s="6" t="s">
        <v>7</v>
      </c>
      <c r="B14" s="6">
        <v>69</v>
      </c>
      <c r="C14" s="9">
        <v>1.1999999999999999E-3</v>
      </c>
      <c r="E14" s="6" t="s">
        <v>75</v>
      </c>
      <c r="F14" s="6">
        <v>5</v>
      </c>
      <c r="G14" s="9">
        <v>1E-4</v>
      </c>
      <c r="I14" s="6" t="s">
        <v>117</v>
      </c>
      <c r="J14" s="6">
        <v>1</v>
      </c>
      <c r="K14" s="30">
        <v>0</v>
      </c>
      <c r="M14" s="6" t="s">
        <v>37</v>
      </c>
      <c r="N14" s="6">
        <v>10</v>
      </c>
      <c r="O14" s="9">
        <v>5.9999999999999995E-4</v>
      </c>
      <c r="Y14" s="6" t="s">
        <v>11</v>
      </c>
      <c r="Z14" s="6">
        <v>37</v>
      </c>
      <c r="AA14" s="9">
        <v>8.9999999999999998E-4</v>
      </c>
      <c r="AC14" s="6" t="s">
        <v>75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41</v>
      </c>
      <c r="B15" s="6">
        <v>40</v>
      </c>
      <c r="C15" s="9">
        <v>6.9999999999999999E-4</v>
      </c>
      <c r="E15" s="6" t="s">
        <v>92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9</v>
      </c>
      <c r="N15" s="6">
        <v>9</v>
      </c>
      <c r="O15" s="9">
        <v>5.0000000000000001E-4</v>
      </c>
      <c r="Y15" s="6" t="s">
        <v>7</v>
      </c>
      <c r="Z15" s="6">
        <v>36</v>
      </c>
      <c r="AA15" s="9">
        <v>8.9999999999999998E-4</v>
      </c>
      <c r="AC15" s="6" t="s">
        <v>92</v>
      </c>
      <c r="AD15" s="6">
        <v>1</v>
      </c>
      <c r="AE15" s="30">
        <v>0</v>
      </c>
      <c r="AG15" s="6" t="s">
        <v>103</v>
      </c>
      <c r="AH15" s="6">
        <v>2</v>
      </c>
      <c r="AI15" s="30">
        <v>0</v>
      </c>
    </row>
    <row r="16" spans="1:35">
      <c r="A16" s="6" t="s">
        <v>11</v>
      </c>
      <c r="B16" s="6">
        <v>43</v>
      </c>
      <c r="C16" s="9">
        <v>6.9999999999999999E-4</v>
      </c>
      <c r="E16" s="6" t="s">
        <v>80</v>
      </c>
      <c r="F16" s="6">
        <v>2</v>
      </c>
      <c r="G16" s="30">
        <v>0</v>
      </c>
      <c r="I16" s="6" t="s">
        <v>113</v>
      </c>
      <c r="J16" s="6">
        <v>2</v>
      </c>
      <c r="K16" s="30">
        <v>0</v>
      </c>
      <c r="M16" s="6" t="s">
        <v>43</v>
      </c>
      <c r="N16" s="6">
        <v>8</v>
      </c>
      <c r="O16" s="9">
        <v>5.0000000000000001E-4</v>
      </c>
      <c r="Y16" s="6" t="s">
        <v>17</v>
      </c>
      <c r="Z16" s="6">
        <v>26</v>
      </c>
      <c r="AA16" s="9">
        <v>5.9999999999999995E-4</v>
      </c>
      <c r="AC16" s="6" t="s">
        <v>80</v>
      </c>
      <c r="AD16" s="6">
        <v>2</v>
      </c>
      <c r="AE16" s="30">
        <v>0</v>
      </c>
      <c r="AG16" s="6" t="s">
        <v>113</v>
      </c>
      <c r="AH16" s="6">
        <v>1</v>
      </c>
      <c r="AI16" s="30">
        <v>0</v>
      </c>
    </row>
    <row r="17" spans="1:31">
      <c r="A17" s="6" t="s">
        <v>17</v>
      </c>
      <c r="B17" s="6">
        <v>30</v>
      </c>
      <c r="C17" s="9">
        <v>5.0000000000000001E-4</v>
      </c>
      <c r="E17" s="6" t="s">
        <v>86</v>
      </c>
      <c r="F17" s="6">
        <v>1</v>
      </c>
      <c r="G17" s="30">
        <v>0</v>
      </c>
      <c r="M17" s="6" t="s">
        <v>40</v>
      </c>
      <c r="N17" s="6">
        <v>7</v>
      </c>
      <c r="O17" s="9">
        <v>4.0000000000000002E-4</v>
      </c>
      <c r="Y17" s="6" t="s">
        <v>41</v>
      </c>
      <c r="Z17" s="6">
        <v>22</v>
      </c>
      <c r="AA17" s="9">
        <v>5.0000000000000001E-4</v>
      </c>
      <c r="AC17" s="6" t="s">
        <v>78</v>
      </c>
      <c r="AD17" s="6">
        <v>1</v>
      </c>
      <c r="AE17" s="30">
        <v>0</v>
      </c>
    </row>
    <row r="18" spans="1:31">
      <c r="A18" s="6" t="s">
        <v>37</v>
      </c>
      <c r="B18" s="6">
        <v>14</v>
      </c>
      <c r="C18" s="9">
        <v>2.0000000000000001E-4</v>
      </c>
      <c r="E18" s="6" t="s">
        <v>74</v>
      </c>
      <c r="F18" s="6">
        <v>2</v>
      </c>
      <c r="G18" s="30">
        <v>0</v>
      </c>
      <c r="M18" s="6" t="s">
        <v>16</v>
      </c>
      <c r="N18" s="6">
        <v>6</v>
      </c>
      <c r="O18" s="9">
        <v>2.9999999999999997E-4</v>
      </c>
      <c r="Y18" s="6" t="s">
        <v>14</v>
      </c>
      <c r="Z18" s="6">
        <v>12</v>
      </c>
      <c r="AA18" s="9">
        <v>2.9999999999999997E-4</v>
      </c>
      <c r="AC18" s="6" t="s">
        <v>86</v>
      </c>
      <c r="AD18" s="6">
        <v>1</v>
      </c>
      <c r="AE18" s="30">
        <v>0</v>
      </c>
    </row>
    <row r="19" spans="1:31">
      <c r="A19" s="6" t="s">
        <v>10</v>
      </c>
      <c r="B19" s="6">
        <v>13</v>
      </c>
      <c r="C19" s="9">
        <v>2.0000000000000001E-4</v>
      </c>
      <c r="E19" s="6" t="s">
        <v>78</v>
      </c>
      <c r="F19" s="6">
        <v>1</v>
      </c>
      <c r="G19" s="30">
        <v>0</v>
      </c>
      <c r="M19" s="6" t="s">
        <v>11</v>
      </c>
      <c r="N19" s="6">
        <v>6</v>
      </c>
      <c r="O19" s="9">
        <v>2.9999999999999997E-4</v>
      </c>
      <c r="Y19" s="6" t="s">
        <v>10</v>
      </c>
      <c r="Z19" s="6">
        <v>10</v>
      </c>
      <c r="AA19" s="9">
        <v>2.0000000000000001E-4</v>
      </c>
    </row>
    <row r="20" spans="1:31">
      <c r="A20" s="6" t="s">
        <v>16</v>
      </c>
      <c r="B20" s="6">
        <v>9</v>
      </c>
      <c r="C20" s="9">
        <v>2.0000000000000001E-4</v>
      </c>
      <c r="M20" s="6" t="s">
        <v>21</v>
      </c>
      <c r="N20" s="6">
        <v>3</v>
      </c>
      <c r="O20" s="9">
        <v>2.0000000000000001E-4</v>
      </c>
      <c r="Y20" s="6" t="s">
        <v>30</v>
      </c>
      <c r="Z20" s="6">
        <v>9</v>
      </c>
      <c r="AA20" s="9">
        <v>2.0000000000000001E-4</v>
      </c>
    </row>
    <row r="21" spans="1:31">
      <c r="A21" s="6" t="s">
        <v>18</v>
      </c>
      <c r="B21" s="6">
        <v>13</v>
      </c>
      <c r="C21" s="9">
        <v>2.0000000000000001E-4</v>
      </c>
      <c r="M21" s="6" t="s">
        <v>45</v>
      </c>
      <c r="N21" s="6">
        <v>3</v>
      </c>
      <c r="O21" s="9">
        <v>2.0000000000000001E-4</v>
      </c>
      <c r="Y21" s="6" t="s">
        <v>18</v>
      </c>
      <c r="Z21" s="6">
        <v>9</v>
      </c>
      <c r="AA21" s="9">
        <v>2.0000000000000001E-4</v>
      </c>
    </row>
    <row r="22" spans="1:31">
      <c r="A22" s="6" t="s">
        <v>14</v>
      </c>
      <c r="B22" s="6">
        <v>12</v>
      </c>
      <c r="C22" s="9">
        <v>2.0000000000000001E-4</v>
      </c>
      <c r="M22" s="6" t="s">
        <v>17</v>
      </c>
      <c r="N22" s="6">
        <v>4</v>
      </c>
      <c r="O22" s="9">
        <v>2.0000000000000001E-4</v>
      </c>
      <c r="Y22" s="6" t="s">
        <v>26</v>
      </c>
      <c r="Z22" s="6">
        <v>7</v>
      </c>
      <c r="AA22" s="9">
        <v>2.0000000000000001E-4</v>
      </c>
    </row>
    <row r="23" spans="1:31">
      <c r="A23" s="6" t="s">
        <v>31</v>
      </c>
      <c r="B23" s="6">
        <v>10</v>
      </c>
      <c r="C23" s="9">
        <v>2.0000000000000001E-4</v>
      </c>
      <c r="M23" s="6" t="s">
        <v>8</v>
      </c>
      <c r="N23" s="6">
        <v>4</v>
      </c>
      <c r="O23" s="9">
        <v>2.0000000000000001E-4</v>
      </c>
      <c r="Y23" s="6" t="s">
        <v>19</v>
      </c>
      <c r="Z23" s="6">
        <v>4</v>
      </c>
      <c r="AA23" s="9">
        <v>1E-4</v>
      </c>
    </row>
    <row r="24" spans="1:31">
      <c r="A24" s="6" t="s">
        <v>30</v>
      </c>
      <c r="B24" s="6">
        <v>9</v>
      </c>
      <c r="C24" s="9">
        <v>2.0000000000000001E-4</v>
      </c>
      <c r="M24" s="6" t="s">
        <v>31</v>
      </c>
      <c r="N24" s="6">
        <v>4</v>
      </c>
      <c r="O24" s="9">
        <v>2.0000000000000001E-4</v>
      </c>
      <c r="Y24" s="6" t="s">
        <v>45</v>
      </c>
      <c r="Z24" s="6">
        <v>3</v>
      </c>
      <c r="AA24" s="9">
        <v>1E-4</v>
      </c>
    </row>
    <row r="25" spans="1:31">
      <c r="A25" s="6" t="s">
        <v>43</v>
      </c>
      <c r="B25" s="6">
        <v>9</v>
      </c>
      <c r="C25" s="9">
        <v>2.0000000000000001E-4</v>
      </c>
      <c r="M25" s="6" t="s">
        <v>18</v>
      </c>
      <c r="N25" s="6">
        <v>4</v>
      </c>
      <c r="O25" s="9">
        <v>2.0000000000000001E-4</v>
      </c>
      <c r="Y25" s="6" t="s">
        <v>16</v>
      </c>
      <c r="Z25" s="6">
        <v>3</v>
      </c>
      <c r="AA25" s="9">
        <v>1E-4</v>
      </c>
    </row>
    <row r="26" spans="1:31">
      <c r="A26" s="6" t="s">
        <v>19</v>
      </c>
      <c r="B26" s="6">
        <v>4</v>
      </c>
      <c r="C26" s="9">
        <v>1E-4</v>
      </c>
      <c r="M26" s="6" t="s">
        <v>10</v>
      </c>
      <c r="N26" s="6">
        <v>3</v>
      </c>
      <c r="O26" s="9">
        <v>2.0000000000000001E-4</v>
      </c>
      <c r="Y26" s="6" t="s">
        <v>37</v>
      </c>
      <c r="Z26" s="6">
        <v>4</v>
      </c>
      <c r="AA26" s="9">
        <v>1E-4</v>
      </c>
    </row>
    <row r="27" spans="1:31">
      <c r="A27" s="6" t="s">
        <v>21</v>
      </c>
      <c r="B27" s="6">
        <v>5</v>
      </c>
      <c r="C27" s="9">
        <v>1E-4</v>
      </c>
      <c r="M27" s="6" t="s">
        <v>29</v>
      </c>
      <c r="N27" s="6">
        <v>3</v>
      </c>
      <c r="O27" s="9">
        <v>2.0000000000000001E-4</v>
      </c>
      <c r="Y27" s="6" t="s">
        <v>38</v>
      </c>
      <c r="Z27" s="6">
        <v>5</v>
      </c>
      <c r="AA27" s="9">
        <v>1E-4</v>
      </c>
    </row>
    <row r="28" spans="1:31">
      <c r="A28" s="6" t="s">
        <v>34</v>
      </c>
      <c r="B28" s="6">
        <v>4</v>
      </c>
      <c r="C28" s="9">
        <v>1E-4</v>
      </c>
      <c r="M28" s="6" t="s">
        <v>20</v>
      </c>
      <c r="N28" s="6">
        <v>1</v>
      </c>
      <c r="O28" s="9">
        <v>1E-4</v>
      </c>
      <c r="Y28" s="6" t="s">
        <v>31</v>
      </c>
      <c r="Z28" s="6">
        <v>6</v>
      </c>
      <c r="AA28" s="9">
        <v>1E-4</v>
      </c>
    </row>
    <row r="29" spans="1:31">
      <c r="A29" s="6" t="s">
        <v>45</v>
      </c>
      <c r="B29" s="6">
        <v>6</v>
      </c>
      <c r="C29" s="9">
        <v>1E-4</v>
      </c>
      <c r="M29" s="6" t="s">
        <v>34</v>
      </c>
      <c r="N29" s="6">
        <v>2</v>
      </c>
      <c r="O29" s="9">
        <v>1E-4</v>
      </c>
      <c r="Y29" s="6" t="s">
        <v>29</v>
      </c>
      <c r="Z29" s="6">
        <v>5</v>
      </c>
      <c r="AA29" s="9">
        <v>1E-4</v>
      </c>
    </row>
    <row r="30" spans="1:31">
      <c r="A30" s="6" t="s">
        <v>26</v>
      </c>
      <c r="B30" s="6">
        <v>8</v>
      </c>
      <c r="C30" s="9">
        <v>1E-4</v>
      </c>
      <c r="M30" s="6" t="s">
        <v>24</v>
      </c>
      <c r="N30" s="6">
        <v>2</v>
      </c>
      <c r="O30" s="9">
        <v>1E-4</v>
      </c>
      <c r="Y30" s="6" t="s">
        <v>60</v>
      </c>
      <c r="Z30" s="6">
        <v>3</v>
      </c>
      <c r="AA30" s="9">
        <v>1E-4</v>
      </c>
    </row>
    <row r="31" spans="1:31">
      <c r="A31" s="6" t="s">
        <v>40</v>
      </c>
      <c r="B31" s="6">
        <v>8</v>
      </c>
      <c r="C31" s="9">
        <v>1E-4</v>
      </c>
      <c r="M31" s="6" t="s">
        <v>58</v>
      </c>
      <c r="N31" s="6">
        <v>2</v>
      </c>
      <c r="O31" s="9">
        <v>1E-4</v>
      </c>
      <c r="Y31" s="6" t="s">
        <v>115</v>
      </c>
      <c r="Z31" s="6">
        <v>1</v>
      </c>
      <c r="AA31" s="30">
        <v>0</v>
      </c>
    </row>
    <row r="32" spans="1:31">
      <c r="A32" s="6" t="s">
        <v>29</v>
      </c>
      <c r="B32" s="6">
        <v>8</v>
      </c>
      <c r="C32" s="9">
        <v>1E-4</v>
      </c>
      <c r="M32" s="6" t="s">
        <v>22</v>
      </c>
      <c r="N32" s="6">
        <v>1</v>
      </c>
      <c r="O32" s="9">
        <v>1E-4</v>
      </c>
      <c r="Y32" s="6" t="s">
        <v>20</v>
      </c>
      <c r="Z32" s="6">
        <v>1</v>
      </c>
      <c r="AA32" s="30">
        <v>0</v>
      </c>
    </row>
    <row r="33" spans="1:27">
      <c r="A33" s="6" t="s">
        <v>38</v>
      </c>
      <c r="B33" s="6">
        <v>5</v>
      </c>
      <c r="C33" s="9">
        <v>1E-4</v>
      </c>
      <c r="M33" s="6" t="s">
        <v>48</v>
      </c>
      <c r="N33" s="6">
        <v>1</v>
      </c>
      <c r="O33" s="9">
        <v>1E-4</v>
      </c>
      <c r="Y33" s="6" t="s">
        <v>21</v>
      </c>
      <c r="Z33" s="6">
        <v>2</v>
      </c>
      <c r="AA33" s="30">
        <v>0</v>
      </c>
    </row>
    <row r="34" spans="1:27">
      <c r="A34" s="6" t="s">
        <v>24</v>
      </c>
      <c r="B34" s="6">
        <v>4</v>
      </c>
      <c r="C34" s="9">
        <v>1E-4</v>
      </c>
      <c r="M34" s="6" t="s">
        <v>69</v>
      </c>
      <c r="N34" s="6">
        <v>1</v>
      </c>
      <c r="O34" s="9">
        <v>1E-4</v>
      </c>
      <c r="Y34" s="6" t="s">
        <v>34</v>
      </c>
      <c r="Z34" s="6">
        <v>2</v>
      </c>
      <c r="AA34" s="30">
        <v>0</v>
      </c>
    </row>
    <row r="35" spans="1:27">
      <c r="A35" s="6" t="s">
        <v>60</v>
      </c>
      <c r="B35" s="6">
        <v>4</v>
      </c>
      <c r="C35" s="9">
        <v>1E-4</v>
      </c>
      <c r="M35" s="6" t="s">
        <v>26</v>
      </c>
      <c r="N35" s="6">
        <v>1</v>
      </c>
      <c r="O35" s="9">
        <v>1E-4</v>
      </c>
      <c r="Y35" s="6" t="s">
        <v>13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60</v>
      </c>
      <c r="N36" s="6">
        <v>1</v>
      </c>
      <c r="O36" s="9">
        <v>1E-4</v>
      </c>
      <c r="Y36" s="6" t="s">
        <v>36</v>
      </c>
      <c r="Z36" s="6">
        <v>2</v>
      </c>
      <c r="AA36" s="30">
        <v>0</v>
      </c>
    </row>
    <row r="37" spans="1:27">
      <c r="A37" s="6" t="s">
        <v>20</v>
      </c>
      <c r="B37" s="6">
        <v>2</v>
      </c>
      <c r="C37" s="30">
        <v>0</v>
      </c>
      <c r="M37" s="6" t="s">
        <v>147</v>
      </c>
      <c r="N37" s="6">
        <v>1</v>
      </c>
      <c r="O37" s="9">
        <v>1E-4</v>
      </c>
      <c r="Y37" s="6" t="s">
        <v>22</v>
      </c>
      <c r="Z37" s="6">
        <v>1</v>
      </c>
      <c r="AA37" s="30">
        <v>0</v>
      </c>
    </row>
    <row r="38" spans="1:27">
      <c r="A38" s="6" t="s">
        <v>13</v>
      </c>
      <c r="B38" s="6">
        <v>1</v>
      </c>
      <c r="C38" s="30">
        <v>0</v>
      </c>
      <c r="M38" s="6" t="s">
        <v>33</v>
      </c>
      <c r="N38" s="6">
        <v>1</v>
      </c>
      <c r="O38" s="9">
        <v>1E-4</v>
      </c>
      <c r="Y38" s="6" t="s">
        <v>40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25</v>
      </c>
      <c r="N39" s="6">
        <v>1</v>
      </c>
      <c r="O39" s="9">
        <v>1E-4</v>
      </c>
      <c r="Y39" s="6" t="s">
        <v>68</v>
      </c>
      <c r="Z39" s="6">
        <v>2</v>
      </c>
      <c r="AA39" s="30">
        <v>0</v>
      </c>
    </row>
    <row r="40" spans="1:27">
      <c r="A40" s="6" t="s">
        <v>22</v>
      </c>
      <c r="B40" s="6">
        <v>2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58</v>
      </c>
      <c r="B41" s="6">
        <v>2</v>
      </c>
      <c r="C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48</v>
      </c>
      <c r="B42" s="6">
        <v>1</v>
      </c>
      <c r="C42" s="30">
        <v>0</v>
      </c>
      <c r="Y42" s="6" t="s">
        <v>43</v>
      </c>
      <c r="Z42" s="6">
        <v>1</v>
      </c>
      <c r="AA42" s="30">
        <v>0</v>
      </c>
    </row>
    <row r="43" spans="1:27">
      <c r="A43" s="6" t="s">
        <v>68</v>
      </c>
      <c r="B43" s="6">
        <v>2</v>
      </c>
      <c r="C43" s="30">
        <v>0</v>
      </c>
      <c r="Y43" s="6" t="s">
        <v>25</v>
      </c>
      <c r="Z43" s="6">
        <v>1</v>
      </c>
      <c r="AA43" s="30">
        <v>0</v>
      </c>
    </row>
    <row r="44" spans="1:27">
      <c r="A44" s="6" t="s">
        <v>15</v>
      </c>
      <c r="B44" s="6">
        <v>1</v>
      </c>
      <c r="C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69</v>
      </c>
      <c r="B45" s="6">
        <v>1</v>
      </c>
      <c r="C45" s="30">
        <v>0</v>
      </c>
    </row>
    <row r="46" spans="1:27">
      <c r="A46" s="6" t="s">
        <v>25</v>
      </c>
      <c r="B46" s="6">
        <v>2</v>
      </c>
      <c r="C46" s="30">
        <v>0</v>
      </c>
    </row>
    <row r="47" spans="1:27">
      <c r="A47" s="6" t="s">
        <v>33</v>
      </c>
      <c r="B47" s="6">
        <v>2</v>
      </c>
      <c r="C47" s="30">
        <v>0</v>
      </c>
    </row>
    <row r="48" spans="1:27">
      <c r="A48" s="6" t="s">
        <v>147</v>
      </c>
      <c r="B48" s="6">
        <v>1</v>
      </c>
      <c r="C4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 S19:S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F2B1-63A9-471B-8FC9-F4D06B778C95}">
  <sheetPr codeName="Sheet12"/>
  <dimension ref="A1:AI57"/>
  <sheetViews>
    <sheetView workbookViewId="0">
      <selection activeCell="E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67554</v>
      </c>
      <c r="E2" s="41" t="s">
        <v>4</v>
      </c>
      <c r="F2" s="23" t="s">
        <v>105</v>
      </c>
      <c r="G2" s="23">
        <f>G3+G4</f>
        <v>66553</v>
      </c>
      <c r="H2" s="22"/>
      <c r="I2" s="41" t="s">
        <v>6</v>
      </c>
      <c r="J2" s="23" t="s">
        <v>105</v>
      </c>
      <c r="K2" s="23">
        <f>K3+K4</f>
        <v>64955</v>
      </c>
      <c r="M2" s="41" t="s">
        <v>104</v>
      </c>
      <c r="N2" s="23" t="s">
        <v>105</v>
      </c>
      <c r="O2" s="23">
        <f>O3+O4</f>
        <v>20408</v>
      </c>
      <c r="Q2" s="41" t="s">
        <v>4</v>
      </c>
      <c r="R2" s="23" t="s">
        <v>105</v>
      </c>
      <c r="S2" s="23">
        <f>S3+S4</f>
        <v>19738</v>
      </c>
      <c r="T2" s="22"/>
      <c r="U2" s="41" t="s">
        <v>6</v>
      </c>
      <c r="V2" s="23" t="s">
        <v>105</v>
      </c>
      <c r="W2" s="23">
        <f>W3+W4</f>
        <v>20730</v>
      </c>
      <c r="Y2" s="41" t="s">
        <v>104</v>
      </c>
      <c r="Z2" s="23" t="s">
        <v>105</v>
      </c>
      <c r="AA2" s="23">
        <f>AA3+AA4</f>
        <v>47139</v>
      </c>
      <c r="AC2" s="41" t="s">
        <v>4</v>
      </c>
      <c r="AD2" s="23" t="s">
        <v>105</v>
      </c>
      <c r="AE2" s="23">
        <f>AE3+AE4</f>
        <v>46816</v>
      </c>
      <c r="AF2" s="22"/>
      <c r="AG2" s="41" t="s">
        <v>6</v>
      </c>
      <c r="AH2" s="23" t="s">
        <v>105</v>
      </c>
      <c r="AI2" s="23">
        <f>AI3+AI4</f>
        <v>44226</v>
      </c>
    </row>
    <row r="3" spans="1:35">
      <c r="A3" s="42"/>
      <c r="B3" s="24" t="s">
        <v>106</v>
      </c>
      <c r="C3" s="24">
        <f>B8</f>
        <v>66245</v>
      </c>
      <c r="E3" s="42"/>
      <c r="F3" s="24" t="s">
        <v>106</v>
      </c>
      <c r="G3" s="24">
        <f>F8</f>
        <v>66324</v>
      </c>
      <c r="H3" s="22"/>
      <c r="I3" s="42"/>
      <c r="J3" s="24" t="s">
        <v>106</v>
      </c>
      <c r="K3" s="24">
        <f>J8</f>
        <v>64902</v>
      </c>
      <c r="M3" s="42"/>
      <c r="N3" s="24" t="s">
        <v>106</v>
      </c>
      <c r="O3" s="24">
        <f>N8</f>
        <v>20101</v>
      </c>
      <c r="Q3" s="42"/>
      <c r="R3" s="24" t="s">
        <v>106</v>
      </c>
      <c r="S3" s="24">
        <f>R8</f>
        <v>19671</v>
      </c>
      <c r="T3" s="22"/>
      <c r="U3" s="42"/>
      <c r="V3" s="24" t="s">
        <v>106</v>
      </c>
      <c r="W3" s="24">
        <f>V8</f>
        <v>20711</v>
      </c>
      <c r="Y3" s="42"/>
      <c r="Z3" s="24" t="s">
        <v>106</v>
      </c>
      <c r="AA3" s="24">
        <f>Z8</f>
        <v>46144</v>
      </c>
      <c r="AC3" s="42"/>
      <c r="AD3" s="24" t="s">
        <v>106</v>
      </c>
      <c r="AE3" s="24">
        <f>AD8</f>
        <v>46653</v>
      </c>
      <c r="AF3" s="22"/>
      <c r="AG3" s="42"/>
      <c r="AH3" s="24" t="s">
        <v>106</v>
      </c>
      <c r="AI3" s="24">
        <f>AH8</f>
        <v>44191</v>
      </c>
    </row>
    <row r="4" spans="1:35">
      <c r="A4" s="42"/>
      <c r="B4" s="25" t="s">
        <v>107</v>
      </c>
      <c r="C4" s="25">
        <f>SUM(B9:B66)</f>
        <v>1309</v>
      </c>
      <c r="E4" s="42"/>
      <c r="F4" s="25" t="s">
        <v>107</v>
      </c>
      <c r="G4" s="25">
        <f>SUM(F9:F33)</f>
        <v>229</v>
      </c>
      <c r="H4" s="22"/>
      <c r="I4" s="42"/>
      <c r="J4" s="25" t="s">
        <v>107</v>
      </c>
      <c r="K4" s="25">
        <f>SUM(J9:J31)</f>
        <v>53</v>
      </c>
      <c r="M4" s="42"/>
      <c r="N4" s="25" t="s">
        <v>107</v>
      </c>
      <c r="O4" s="25">
        <f>SUM(N9:N66)</f>
        <v>307</v>
      </c>
      <c r="Q4" s="42"/>
      <c r="R4" s="25" t="s">
        <v>107</v>
      </c>
      <c r="S4" s="25">
        <f>SUM(R9:R33)</f>
        <v>67</v>
      </c>
      <c r="T4" s="22"/>
      <c r="U4" s="42"/>
      <c r="V4" s="25" t="s">
        <v>107</v>
      </c>
      <c r="W4" s="25">
        <f>SUM(V9:V31)</f>
        <v>19</v>
      </c>
      <c r="Y4" s="42"/>
      <c r="Z4" s="25" t="s">
        <v>107</v>
      </c>
      <c r="AA4" s="25">
        <f>SUM(Z9:Z45)</f>
        <v>995</v>
      </c>
      <c r="AC4" s="42"/>
      <c r="AD4" s="25" t="s">
        <v>107</v>
      </c>
      <c r="AE4" s="25">
        <f>SUM(AD9:AD29)</f>
        <v>163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1.9099999999999995E-2</v>
      </c>
      <c r="E5" s="43"/>
      <c r="F5" s="23" t="s">
        <v>108</v>
      </c>
      <c r="G5" s="26">
        <f>SUM(G9:G33)</f>
        <v>3.2999999999999991E-3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1.3999999999999995E-2</v>
      </c>
      <c r="Q5" s="43"/>
      <c r="R5" s="23" t="s">
        <v>108</v>
      </c>
      <c r="S5" s="26">
        <f>SUM(S9:S33)</f>
        <v>3.6999999999999989E-3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2.07E-2</v>
      </c>
      <c r="AC5" s="43"/>
      <c r="AD5" s="23" t="s">
        <v>108</v>
      </c>
      <c r="AE5" s="26">
        <f>SUM(AE9:AE29)</f>
        <v>3.3999999999999994E-3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66245</v>
      </c>
      <c r="C8" s="9">
        <v>0.98060000000000003</v>
      </c>
      <c r="E8" s="6" t="s">
        <v>112</v>
      </c>
      <c r="F8" s="29">
        <v>66324</v>
      </c>
      <c r="G8" s="9">
        <v>0.99660000000000004</v>
      </c>
      <c r="I8" s="6" t="s">
        <v>112</v>
      </c>
      <c r="J8" s="29">
        <v>64902</v>
      </c>
      <c r="K8" s="9">
        <v>0.99919999999999998</v>
      </c>
      <c r="M8" s="6" t="s">
        <v>112</v>
      </c>
      <c r="N8" s="29">
        <v>20101</v>
      </c>
      <c r="O8" s="9">
        <v>0.98499999999999999</v>
      </c>
      <c r="Q8" s="6" t="s">
        <v>112</v>
      </c>
      <c r="R8" s="29">
        <v>19671</v>
      </c>
      <c r="S8" s="9">
        <v>0.99660000000000004</v>
      </c>
      <c r="U8" s="6" t="s">
        <v>112</v>
      </c>
      <c r="V8" s="29">
        <v>20711</v>
      </c>
      <c r="W8" s="9">
        <v>0.99909999999999999</v>
      </c>
      <c r="Y8" s="6" t="s">
        <v>112</v>
      </c>
      <c r="Z8" s="29">
        <v>46144</v>
      </c>
      <c r="AA8" s="9">
        <v>0.97870000000000001</v>
      </c>
      <c r="AC8" s="6" t="s">
        <v>112</v>
      </c>
      <c r="AD8" s="29">
        <v>46653</v>
      </c>
      <c r="AE8" s="9">
        <v>0.99650000000000005</v>
      </c>
      <c r="AG8" s="6" t="s">
        <v>112</v>
      </c>
      <c r="AH8" s="29">
        <v>44191</v>
      </c>
      <c r="AI8" s="9">
        <v>0.99919999999999998</v>
      </c>
    </row>
    <row r="9" spans="1:35">
      <c r="A9" s="6" t="s">
        <v>2</v>
      </c>
      <c r="B9" s="6">
        <v>346</v>
      </c>
      <c r="C9" s="9">
        <v>5.1000000000000004E-3</v>
      </c>
      <c r="E9" s="6" t="s">
        <v>122</v>
      </c>
      <c r="F9" s="6">
        <v>143</v>
      </c>
      <c r="G9" s="9">
        <v>2.0999999999999999E-3</v>
      </c>
      <c r="I9" s="6" t="s">
        <v>2</v>
      </c>
      <c r="J9" s="6">
        <v>21</v>
      </c>
      <c r="K9" s="9">
        <v>2.9999999999999997E-4</v>
      </c>
      <c r="M9" s="6" t="s">
        <v>2</v>
      </c>
      <c r="N9" s="6">
        <v>75</v>
      </c>
      <c r="O9" s="9">
        <v>3.7000000000000002E-3</v>
      </c>
      <c r="Q9" s="6" t="s">
        <v>122</v>
      </c>
      <c r="R9" s="6">
        <v>55</v>
      </c>
      <c r="S9" s="9">
        <v>2.8E-3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271</v>
      </c>
      <c r="AA9" s="9">
        <v>5.7000000000000002E-3</v>
      </c>
      <c r="AC9" s="6" t="s">
        <v>122</v>
      </c>
      <c r="AD9" s="6">
        <v>88</v>
      </c>
      <c r="AE9" s="9">
        <v>1.9E-3</v>
      </c>
      <c r="AG9" s="6" t="s">
        <v>2</v>
      </c>
      <c r="AH9" s="6">
        <v>15</v>
      </c>
      <c r="AI9" s="9">
        <v>2.9999999999999997E-4</v>
      </c>
    </row>
    <row r="10" spans="1:35">
      <c r="A10" s="6" t="s">
        <v>3</v>
      </c>
      <c r="B10" s="6">
        <v>164</v>
      </c>
      <c r="C10" s="9">
        <v>2.3999999999999998E-3</v>
      </c>
      <c r="E10" s="6" t="s">
        <v>83</v>
      </c>
      <c r="F10" s="6">
        <v>39</v>
      </c>
      <c r="G10" s="9">
        <v>5.9999999999999995E-4</v>
      </c>
      <c r="I10" s="6" t="s">
        <v>99</v>
      </c>
      <c r="J10" s="6">
        <v>12</v>
      </c>
      <c r="K10" s="9">
        <v>2.0000000000000001E-4</v>
      </c>
      <c r="M10" s="6" t="s">
        <v>7</v>
      </c>
      <c r="N10" s="6">
        <v>62</v>
      </c>
      <c r="O10" s="9">
        <v>3.0000000000000001E-3</v>
      </c>
      <c r="Q10" s="6" t="s">
        <v>76</v>
      </c>
      <c r="R10" s="6">
        <v>5</v>
      </c>
      <c r="S10" s="9">
        <v>2.9999999999999997E-4</v>
      </c>
      <c r="U10" s="6" t="s">
        <v>102</v>
      </c>
      <c r="V10" s="6">
        <v>5</v>
      </c>
      <c r="W10" s="9">
        <v>2.0000000000000001E-4</v>
      </c>
      <c r="Y10" s="6" t="s">
        <v>9</v>
      </c>
      <c r="Z10" s="6">
        <v>147</v>
      </c>
      <c r="AA10" s="9">
        <v>3.0999999999999999E-3</v>
      </c>
      <c r="AC10" s="6" t="s">
        <v>83</v>
      </c>
      <c r="AD10" s="6">
        <v>39</v>
      </c>
      <c r="AE10" s="9">
        <v>8.0000000000000004E-4</v>
      </c>
      <c r="AG10" s="6" t="s">
        <v>99</v>
      </c>
      <c r="AH10" s="6">
        <v>8</v>
      </c>
      <c r="AI10" s="9">
        <v>2.0000000000000001E-4</v>
      </c>
    </row>
    <row r="11" spans="1:35">
      <c r="A11" s="6" t="s">
        <v>9</v>
      </c>
      <c r="B11" s="6">
        <v>152</v>
      </c>
      <c r="C11" s="9">
        <v>2.3E-3</v>
      </c>
      <c r="E11" s="6" t="s">
        <v>76</v>
      </c>
      <c r="F11" s="6">
        <v>11</v>
      </c>
      <c r="G11" s="9">
        <v>2.0000000000000001E-4</v>
      </c>
      <c r="I11" s="6" t="s">
        <v>102</v>
      </c>
      <c r="J11" s="6">
        <v>5</v>
      </c>
      <c r="K11" s="9">
        <v>1E-4</v>
      </c>
      <c r="M11" s="6" t="s">
        <v>3</v>
      </c>
      <c r="N11" s="6">
        <v>44</v>
      </c>
      <c r="O11" s="9">
        <v>2.2000000000000001E-3</v>
      </c>
      <c r="Q11" s="6" t="s">
        <v>92</v>
      </c>
      <c r="R11" s="6">
        <v>1</v>
      </c>
      <c r="S11" s="9">
        <v>1E-4</v>
      </c>
      <c r="U11" s="6" t="s">
        <v>99</v>
      </c>
      <c r="V11" s="6">
        <v>4</v>
      </c>
      <c r="W11" s="9">
        <v>2.0000000000000001E-4</v>
      </c>
      <c r="Y11" s="6" t="s">
        <v>3</v>
      </c>
      <c r="Z11" s="6">
        <v>120</v>
      </c>
      <c r="AA11" s="9">
        <v>2.5000000000000001E-3</v>
      </c>
      <c r="AC11" s="6" t="s">
        <v>79</v>
      </c>
      <c r="AD11" s="6">
        <v>9</v>
      </c>
      <c r="AE11" s="9">
        <v>2.0000000000000001E-4</v>
      </c>
      <c r="AG11" s="6" t="s">
        <v>98</v>
      </c>
      <c r="AH11" s="6">
        <v>5</v>
      </c>
      <c r="AI11" s="9">
        <v>1E-4</v>
      </c>
    </row>
    <row r="12" spans="1:35">
      <c r="A12" s="6" t="s">
        <v>7</v>
      </c>
      <c r="B12" s="6">
        <v>112</v>
      </c>
      <c r="C12" s="9">
        <v>1.6999999999999999E-3</v>
      </c>
      <c r="E12" s="6" t="s">
        <v>79</v>
      </c>
      <c r="F12" s="6">
        <v>9</v>
      </c>
      <c r="G12" s="9">
        <v>1E-4</v>
      </c>
      <c r="I12" s="6" t="s">
        <v>98</v>
      </c>
      <c r="J12" s="6">
        <v>7</v>
      </c>
      <c r="K12" s="9">
        <v>1E-4</v>
      </c>
      <c r="M12" s="6" t="s">
        <v>41</v>
      </c>
      <c r="N12" s="6">
        <v>15</v>
      </c>
      <c r="O12" s="9">
        <v>6.9999999999999999E-4</v>
      </c>
      <c r="Q12" s="6" t="s">
        <v>80</v>
      </c>
      <c r="R12" s="6">
        <v>1</v>
      </c>
      <c r="S12" s="9">
        <v>1E-4</v>
      </c>
      <c r="U12" s="6" t="s">
        <v>98</v>
      </c>
      <c r="V12" s="6">
        <v>2</v>
      </c>
      <c r="W12" s="9">
        <v>1E-4</v>
      </c>
      <c r="Y12" s="6" t="s">
        <v>5</v>
      </c>
      <c r="Z12" s="6">
        <v>82</v>
      </c>
      <c r="AA12" s="9">
        <v>1.6999999999999999E-3</v>
      </c>
      <c r="AC12" s="6" t="s">
        <v>76</v>
      </c>
      <c r="AD12" s="6">
        <v>6</v>
      </c>
      <c r="AE12" s="9">
        <v>1E-4</v>
      </c>
      <c r="AG12" s="6" t="s">
        <v>113</v>
      </c>
      <c r="AH12" s="6">
        <v>4</v>
      </c>
      <c r="AI12" s="9">
        <v>1E-4</v>
      </c>
    </row>
    <row r="13" spans="1:35">
      <c r="A13" s="6" t="s">
        <v>5</v>
      </c>
      <c r="B13" s="6">
        <v>90</v>
      </c>
      <c r="C13" s="9">
        <v>1.2999999999999999E-3</v>
      </c>
      <c r="E13" s="6" t="s">
        <v>77</v>
      </c>
      <c r="F13" s="6">
        <v>5</v>
      </c>
      <c r="G13" s="9">
        <v>1E-4</v>
      </c>
      <c r="I13" s="6" t="s">
        <v>113</v>
      </c>
      <c r="J13" s="6">
        <v>4</v>
      </c>
      <c r="K13" s="9">
        <v>1E-4</v>
      </c>
      <c r="M13" s="6" t="s">
        <v>37</v>
      </c>
      <c r="N13" s="6">
        <v>10</v>
      </c>
      <c r="O13" s="9">
        <v>5.0000000000000001E-4</v>
      </c>
      <c r="Q13" s="6" t="s">
        <v>85</v>
      </c>
      <c r="R13" s="6">
        <v>1</v>
      </c>
      <c r="S13" s="9">
        <v>1E-4</v>
      </c>
      <c r="U13" s="6" t="s">
        <v>103</v>
      </c>
      <c r="V13" s="6">
        <v>2</v>
      </c>
      <c r="W13" s="9">
        <v>1E-4</v>
      </c>
      <c r="Y13" s="6" t="s">
        <v>8</v>
      </c>
      <c r="Z13" s="6">
        <v>72</v>
      </c>
      <c r="AA13" s="9">
        <v>1.5E-3</v>
      </c>
      <c r="AC13" s="6" t="s">
        <v>75</v>
      </c>
      <c r="AD13" s="6">
        <v>5</v>
      </c>
      <c r="AE13" s="9">
        <v>1E-4</v>
      </c>
      <c r="AG13" s="6" t="s">
        <v>102</v>
      </c>
      <c r="AH13" s="6">
        <v>1</v>
      </c>
      <c r="AI13" s="30">
        <v>0</v>
      </c>
    </row>
    <row r="14" spans="1:35">
      <c r="A14" s="6" t="s">
        <v>8</v>
      </c>
      <c r="B14" s="6">
        <v>78</v>
      </c>
      <c r="C14" s="9">
        <v>1.1999999999999999E-3</v>
      </c>
      <c r="E14" s="6" t="s">
        <v>75</v>
      </c>
      <c r="F14" s="6">
        <v>5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11</v>
      </c>
      <c r="O14" s="9">
        <v>5.0000000000000001E-4</v>
      </c>
      <c r="Q14" s="6" t="s">
        <v>74</v>
      </c>
      <c r="R14" s="6">
        <v>2</v>
      </c>
      <c r="S14" s="9">
        <v>1E-4</v>
      </c>
      <c r="Y14" s="6" t="s">
        <v>7</v>
      </c>
      <c r="Z14" s="6">
        <v>50</v>
      </c>
      <c r="AA14" s="9">
        <v>1.1000000000000001E-3</v>
      </c>
      <c r="AC14" s="6" t="s">
        <v>77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39</v>
      </c>
      <c r="C15" s="9">
        <v>5.9999999999999995E-4</v>
      </c>
      <c r="E15" s="6" t="s">
        <v>74</v>
      </c>
      <c r="F15" s="6">
        <v>5</v>
      </c>
      <c r="G15" s="9">
        <v>1E-4</v>
      </c>
      <c r="I15" s="6" t="s">
        <v>103</v>
      </c>
      <c r="J15" s="6">
        <v>3</v>
      </c>
      <c r="K15" s="30">
        <v>0</v>
      </c>
      <c r="M15" s="6" t="s">
        <v>5</v>
      </c>
      <c r="N15" s="6">
        <v>8</v>
      </c>
      <c r="O15" s="9">
        <v>4.0000000000000002E-4</v>
      </c>
      <c r="Q15" s="6" t="s">
        <v>77</v>
      </c>
      <c r="R15" s="6">
        <v>1</v>
      </c>
      <c r="S15" s="9">
        <v>1E-4</v>
      </c>
      <c r="Y15" s="6" t="s">
        <v>37</v>
      </c>
      <c r="Z15" s="6">
        <v>26</v>
      </c>
      <c r="AA15" s="9">
        <v>5.9999999999999995E-4</v>
      </c>
      <c r="AC15" s="6" t="s">
        <v>78</v>
      </c>
      <c r="AD15" s="6">
        <v>3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37</v>
      </c>
      <c r="B16" s="6">
        <v>36</v>
      </c>
      <c r="C16" s="9">
        <v>5.0000000000000001E-4</v>
      </c>
      <c r="E16" s="6" t="s">
        <v>92</v>
      </c>
      <c r="F16" s="6">
        <v>1</v>
      </c>
      <c r="G16" s="30">
        <v>0</v>
      </c>
      <c r="M16" s="6" t="s">
        <v>31</v>
      </c>
      <c r="N16" s="6">
        <v>7</v>
      </c>
      <c r="O16" s="9">
        <v>2.9999999999999997E-4</v>
      </c>
      <c r="Q16" s="6" t="s">
        <v>84</v>
      </c>
      <c r="R16" s="6">
        <v>1</v>
      </c>
      <c r="S16" s="9">
        <v>1E-4</v>
      </c>
      <c r="Y16" s="6" t="s">
        <v>11</v>
      </c>
      <c r="Z16" s="6">
        <v>28</v>
      </c>
      <c r="AA16" s="9">
        <v>5.9999999999999995E-4</v>
      </c>
      <c r="AC16" s="6" t="s">
        <v>74</v>
      </c>
      <c r="AD16" s="6">
        <v>3</v>
      </c>
      <c r="AE16" s="9">
        <v>1E-4</v>
      </c>
    </row>
    <row r="17" spans="1:31">
      <c r="A17" s="6" t="s">
        <v>41</v>
      </c>
      <c r="B17" s="6">
        <v>36</v>
      </c>
      <c r="C17" s="9">
        <v>5.0000000000000001E-4</v>
      </c>
      <c r="E17" s="6" t="s">
        <v>80</v>
      </c>
      <c r="F17" s="6">
        <v>1</v>
      </c>
      <c r="G17" s="30">
        <v>0</v>
      </c>
      <c r="M17" s="6" t="s">
        <v>8</v>
      </c>
      <c r="N17" s="6">
        <v>6</v>
      </c>
      <c r="O17" s="9">
        <v>2.9999999999999997E-4</v>
      </c>
      <c r="Y17" s="6" t="s">
        <v>17</v>
      </c>
      <c r="Z17" s="6">
        <v>19</v>
      </c>
      <c r="AA17" s="9">
        <v>4.0000000000000002E-4</v>
      </c>
      <c r="AC17" s="6" t="s">
        <v>116</v>
      </c>
      <c r="AD17" s="6">
        <v>1</v>
      </c>
      <c r="AE17" s="30">
        <v>0</v>
      </c>
    </row>
    <row r="18" spans="1:31">
      <c r="A18" s="6" t="s">
        <v>17</v>
      </c>
      <c r="B18" s="6">
        <v>21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33</v>
      </c>
      <c r="N18" s="6">
        <v>7</v>
      </c>
      <c r="O18" s="9">
        <v>2.9999999999999997E-4</v>
      </c>
      <c r="Y18" s="6" t="s">
        <v>14</v>
      </c>
      <c r="Z18" s="6">
        <v>20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20</v>
      </c>
      <c r="C19" s="9">
        <v>2.9999999999999997E-4</v>
      </c>
      <c r="E19" s="6" t="s">
        <v>82</v>
      </c>
      <c r="F19" s="6">
        <v>2</v>
      </c>
      <c r="G19" s="30">
        <v>0</v>
      </c>
      <c r="M19" s="6" t="s">
        <v>19</v>
      </c>
      <c r="N19" s="6">
        <v>5</v>
      </c>
      <c r="O19" s="9">
        <v>2.0000000000000001E-4</v>
      </c>
      <c r="Y19" s="6" t="s">
        <v>41</v>
      </c>
      <c r="Z19" s="6">
        <v>21</v>
      </c>
      <c r="AA19" s="9">
        <v>4.0000000000000002E-4</v>
      </c>
      <c r="AC19" s="6" t="s">
        <v>82</v>
      </c>
      <c r="AD19" s="6">
        <v>2</v>
      </c>
      <c r="AE19" s="30">
        <v>0</v>
      </c>
    </row>
    <row r="20" spans="1:31">
      <c r="A20" s="6" t="s">
        <v>18</v>
      </c>
      <c r="B20" s="6">
        <v>18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12</v>
      </c>
      <c r="N20" s="6">
        <v>5</v>
      </c>
      <c r="O20" s="9">
        <v>2.0000000000000001E-4</v>
      </c>
      <c r="Y20" s="6" t="s">
        <v>18</v>
      </c>
      <c r="Z20" s="6">
        <v>15</v>
      </c>
      <c r="AA20" s="9">
        <v>2.9999999999999997E-4</v>
      </c>
      <c r="AC20" s="6" t="s">
        <v>135</v>
      </c>
      <c r="AD20" s="6">
        <v>1</v>
      </c>
      <c r="AE20" s="30">
        <v>0</v>
      </c>
    </row>
    <row r="21" spans="1:31">
      <c r="A21" s="6" t="s">
        <v>31</v>
      </c>
      <c r="B21" s="6">
        <v>18</v>
      </c>
      <c r="C21" s="9">
        <v>2.9999999999999997E-4</v>
      </c>
      <c r="E21" s="6" t="s">
        <v>78</v>
      </c>
      <c r="F21" s="6">
        <v>3</v>
      </c>
      <c r="G21" s="30">
        <v>0</v>
      </c>
      <c r="M21" s="6" t="s">
        <v>9</v>
      </c>
      <c r="N21" s="6">
        <v>5</v>
      </c>
      <c r="O21" s="9">
        <v>2.0000000000000001E-4</v>
      </c>
      <c r="Y21" s="6" t="s">
        <v>30</v>
      </c>
      <c r="Z21" s="6">
        <v>13</v>
      </c>
      <c r="AA21" s="9">
        <v>2.9999999999999997E-4</v>
      </c>
      <c r="AC21" s="6" t="s">
        <v>86</v>
      </c>
      <c r="AD21" s="6">
        <v>1</v>
      </c>
      <c r="AE21" s="30">
        <v>0</v>
      </c>
    </row>
    <row r="22" spans="1:31">
      <c r="A22" s="6" t="s">
        <v>33</v>
      </c>
      <c r="B22" s="6">
        <v>22</v>
      </c>
      <c r="C22" s="9">
        <v>2.9999999999999997E-4</v>
      </c>
      <c r="E22" s="6" t="s">
        <v>84</v>
      </c>
      <c r="F22" s="6">
        <v>1</v>
      </c>
      <c r="G22" s="30">
        <v>0</v>
      </c>
      <c r="M22" s="6" t="s">
        <v>29</v>
      </c>
      <c r="N22" s="6">
        <v>5</v>
      </c>
      <c r="O22" s="9">
        <v>2.0000000000000001E-4</v>
      </c>
      <c r="Y22" s="6" t="s">
        <v>33</v>
      </c>
      <c r="Z22" s="6">
        <v>15</v>
      </c>
      <c r="AA22" s="9">
        <v>2.9999999999999997E-4</v>
      </c>
    </row>
    <row r="23" spans="1:31">
      <c r="A23" s="6" t="s">
        <v>19</v>
      </c>
      <c r="B23" s="6">
        <v>12</v>
      </c>
      <c r="C23" s="9">
        <v>2.0000000000000001E-4</v>
      </c>
      <c r="E23" s="6" t="s">
        <v>135</v>
      </c>
      <c r="F23" s="6">
        <v>1</v>
      </c>
      <c r="G23" s="30">
        <v>0</v>
      </c>
      <c r="M23" s="6" t="s">
        <v>40</v>
      </c>
      <c r="N23" s="6">
        <v>5</v>
      </c>
      <c r="O23" s="9">
        <v>2.0000000000000001E-4</v>
      </c>
      <c r="Y23" s="6" t="s">
        <v>21</v>
      </c>
      <c r="Z23" s="6">
        <v>10</v>
      </c>
      <c r="AA23" s="9">
        <v>2.0000000000000001E-4</v>
      </c>
    </row>
    <row r="24" spans="1:31">
      <c r="A24" s="6" t="s">
        <v>21</v>
      </c>
      <c r="B24" s="6">
        <v>13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67</v>
      </c>
      <c r="N24" s="6">
        <v>2</v>
      </c>
      <c r="O24" s="9">
        <v>1E-4</v>
      </c>
      <c r="Y24" s="6" t="s">
        <v>12</v>
      </c>
      <c r="Z24" s="6">
        <v>11</v>
      </c>
      <c r="AA24" s="9">
        <v>2.0000000000000001E-4</v>
      </c>
    </row>
    <row r="25" spans="1:31">
      <c r="A25" s="6" t="s">
        <v>12</v>
      </c>
      <c r="B25" s="6">
        <v>16</v>
      </c>
      <c r="C25" s="9">
        <v>2.0000000000000001E-4</v>
      </c>
      <c r="M25" s="6" t="s">
        <v>21</v>
      </c>
      <c r="N25" s="6">
        <v>3</v>
      </c>
      <c r="O25" s="9">
        <v>1E-4</v>
      </c>
      <c r="Y25" s="6" t="s">
        <v>31</v>
      </c>
      <c r="Z25" s="6">
        <v>11</v>
      </c>
      <c r="AA25" s="9">
        <v>2.0000000000000001E-4</v>
      </c>
    </row>
    <row r="26" spans="1:31">
      <c r="A26" s="6" t="s">
        <v>30</v>
      </c>
      <c r="B26" s="6">
        <v>14</v>
      </c>
      <c r="C26" s="9">
        <v>2.0000000000000001E-4</v>
      </c>
      <c r="M26" s="6" t="s">
        <v>10</v>
      </c>
      <c r="N26" s="6">
        <v>3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20</v>
      </c>
      <c r="B27" s="6">
        <v>6</v>
      </c>
      <c r="C27" s="9">
        <v>1E-4</v>
      </c>
      <c r="M27" s="6" t="s">
        <v>16</v>
      </c>
      <c r="N27" s="6">
        <v>2</v>
      </c>
      <c r="O27" s="9">
        <v>1E-4</v>
      </c>
      <c r="Y27" s="6" t="s">
        <v>20</v>
      </c>
      <c r="Z27" s="6">
        <v>5</v>
      </c>
      <c r="AA27" s="9">
        <v>1E-4</v>
      </c>
    </row>
    <row r="28" spans="1:31">
      <c r="A28" s="6" t="s">
        <v>10</v>
      </c>
      <c r="B28" s="6">
        <v>7</v>
      </c>
      <c r="C28" s="9">
        <v>1E-4</v>
      </c>
      <c r="M28" s="6" t="s">
        <v>36</v>
      </c>
      <c r="N28" s="6">
        <v>3</v>
      </c>
      <c r="O28" s="9">
        <v>1E-4</v>
      </c>
      <c r="Y28" s="6" t="s">
        <v>10</v>
      </c>
      <c r="Z28" s="6">
        <v>4</v>
      </c>
      <c r="AA28" s="9">
        <v>1E-4</v>
      </c>
    </row>
    <row r="29" spans="1:31">
      <c r="A29" s="6" t="s">
        <v>16</v>
      </c>
      <c r="B29" s="6">
        <v>5</v>
      </c>
      <c r="C29" s="9">
        <v>1E-4</v>
      </c>
      <c r="M29" s="6" t="s">
        <v>24</v>
      </c>
      <c r="N29" s="6">
        <v>2</v>
      </c>
      <c r="O29" s="9">
        <v>1E-4</v>
      </c>
      <c r="Y29" s="6" t="s">
        <v>16</v>
      </c>
      <c r="Z29" s="6">
        <v>3</v>
      </c>
      <c r="AA29" s="9">
        <v>1E-4</v>
      </c>
    </row>
    <row r="30" spans="1:31">
      <c r="A30" s="6" t="s">
        <v>45</v>
      </c>
      <c r="B30" s="6">
        <v>4</v>
      </c>
      <c r="C30" s="9">
        <v>1E-4</v>
      </c>
      <c r="M30" s="6" t="s">
        <v>17</v>
      </c>
      <c r="N30" s="6">
        <v>2</v>
      </c>
      <c r="O30" s="9">
        <v>1E-4</v>
      </c>
      <c r="Y30" s="6" t="s">
        <v>26</v>
      </c>
      <c r="Z30" s="6">
        <v>6</v>
      </c>
      <c r="AA30" s="9">
        <v>1E-4</v>
      </c>
    </row>
    <row r="31" spans="1:31">
      <c r="A31" s="6" t="s">
        <v>36</v>
      </c>
      <c r="B31" s="6">
        <v>5</v>
      </c>
      <c r="C31" s="9">
        <v>1E-4</v>
      </c>
      <c r="M31" s="6" t="s">
        <v>45</v>
      </c>
      <c r="N31" s="6">
        <v>2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24</v>
      </c>
      <c r="B32" s="6">
        <v>7</v>
      </c>
      <c r="C32" s="9">
        <v>1E-4</v>
      </c>
      <c r="M32" s="6" t="s">
        <v>18</v>
      </c>
      <c r="N32" s="6">
        <v>3</v>
      </c>
      <c r="O32" s="9">
        <v>1E-4</v>
      </c>
      <c r="Y32" s="6" t="s">
        <v>24</v>
      </c>
      <c r="Z32" s="6">
        <v>5</v>
      </c>
      <c r="AA32" s="9">
        <v>1E-4</v>
      </c>
    </row>
    <row r="33" spans="1:27">
      <c r="A33" s="6" t="s">
        <v>40</v>
      </c>
      <c r="B33" s="6">
        <v>9</v>
      </c>
      <c r="C33" s="9">
        <v>1E-4</v>
      </c>
      <c r="M33" s="6" t="s">
        <v>25</v>
      </c>
      <c r="N33" s="6">
        <v>3</v>
      </c>
      <c r="O33" s="9">
        <v>1E-4</v>
      </c>
      <c r="Y33" s="6" t="s">
        <v>40</v>
      </c>
      <c r="Z33" s="6">
        <v>4</v>
      </c>
      <c r="AA33" s="9">
        <v>1E-4</v>
      </c>
    </row>
    <row r="34" spans="1:27">
      <c r="A34" s="6" t="s">
        <v>29</v>
      </c>
      <c r="B34" s="6">
        <v>8</v>
      </c>
      <c r="C34" s="9">
        <v>1E-4</v>
      </c>
      <c r="M34" s="6" t="s">
        <v>43</v>
      </c>
      <c r="N34" s="6">
        <v>3</v>
      </c>
      <c r="O34" s="9">
        <v>1E-4</v>
      </c>
      <c r="Y34" s="6" t="s">
        <v>25</v>
      </c>
      <c r="Z34" s="6">
        <v>4</v>
      </c>
      <c r="AA34" s="9">
        <v>1E-4</v>
      </c>
    </row>
    <row r="35" spans="1:27">
      <c r="A35" s="6" t="s">
        <v>22</v>
      </c>
      <c r="B35" s="6">
        <v>5</v>
      </c>
      <c r="C35" s="9">
        <v>1E-4</v>
      </c>
      <c r="M35" s="6" t="s">
        <v>115</v>
      </c>
      <c r="N35" s="6">
        <v>1</v>
      </c>
      <c r="O35" s="30">
        <v>0</v>
      </c>
      <c r="Y35" s="6" t="s">
        <v>29</v>
      </c>
      <c r="Z35" s="6">
        <v>3</v>
      </c>
      <c r="AA35" s="9">
        <v>1E-4</v>
      </c>
    </row>
    <row r="36" spans="1:27">
      <c r="A36" s="6" t="s">
        <v>26</v>
      </c>
      <c r="B36" s="6">
        <v>7</v>
      </c>
      <c r="C36" s="9">
        <v>1E-4</v>
      </c>
      <c r="M36" s="6" t="s">
        <v>20</v>
      </c>
      <c r="N36" s="6">
        <v>1</v>
      </c>
      <c r="O36" s="30">
        <v>0</v>
      </c>
      <c r="Y36" s="6" t="s">
        <v>15</v>
      </c>
      <c r="Z36" s="6">
        <v>3</v>
      </c>
      <c r="AA36" s="9">
        <v>1E-4</v>
      </c>
    </row>
    <row r="37" spans="1:27">
      <c r="A37" s="6" t="s">
        <v>25</v>
      </c>
      <c r="B37" s="6">
        <v>7</v>
      </c>
      <c r="C37" s="9">
        <v>1E-4</v>
      </c>
      <c r="M37" s="6" t="s">
        <v>22</v>
      </c>
      <c r="N37" s="6">
        <v>1</v>
      </c>
      <c r="O37" s="30">
        <v>0</v>
      </c>
      <c r="Y37" s="6" t="s">
        <v>38</v>
      </c>
      <c r="Z37" s="6">
        <v>3</v>
      </c>
      <c r="AA37" s="9">
        <v>1E-4</v>
      </c>
    </row>
    <row r="38" spans="1:27">
      <c r="A38" s="6" t="s">
        <v>15</v>
      </c>
      <c r="B38" s="6">
        <v>4</v>
      </c>
      <c r="C38" s="9">
        <v>1E-4</v>
      </c>
      <c r="M38" s="6" t="s">
        <v>27</v>
      </c>
      <c r="N38" s="6">
        <v>1</v>
      </c>
      <c r="O38" s="30">
        <v>0</v>
      </c>
      <c r="Y38" s="6" t="s">
        <v>34</v>
      </c>
      <c r="Z38" s="6">
        <v>1</v>
      </c>
      <c r="AA38" s="30">
        <v>0</v>
      </c>
    </row>
    <row r="39" spans="1:27">
      <c r="A39" s="6" t="s">
        <v>115</v>
      </c>
      <c r="B39" s="6">
        <v>1</v>
      </c>
      <c r="C39" s="30">
        <v>0</v>
      </c>
      <c r="M39" s="6" t="s">
        <v>30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34</v>
      </c>
      <c r="B40" s="6">
        <v>1</v>
      </c>
      <c r="C40" s="30">
        <v>0</v>
      </c>
      <c r="M40" s="6" t="s">
        <v>26</v>
      </c>
      <c r="N40" s="6">
        <v>1</v>
      </c>
      <c r="O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67</v>
      </c>
      <c r="B41" s="6">
        <v>2</v>
      </c>
      <c r="C41" s="30">
        <v>0</v>
      </c>
      <c r="M41" s="6" t="s">
        <v>148</v>
      </c>
      <c r="N41" s="6">
        <v>1</v>
      </c>
      <c r="O41" s="30">
        <v>0</v>
      </c>
      <c r="Y41" s="6" t="s">
        <v>48</v>
      </c>
      <c r="Z41" s="6">
        <v>1</v>
      </c>
      <c r="AA41" s="30">
        <v>0</v>
      </c>
    </row>
    <row r="42" spans="1:27">
      <c r="A42" s="6" t="s">
        <v>27</v>
      </c>
      <c r="B42" s="6">
        <v>3</v>
      </c>
      <c r="C42" s="30">
        <v>0</v>
      </c>
      <c r="M42" s="6" t="s">
        <v>15</v>
      </c>
      <c r="N42" s="6">
        <v>1</v>
      </c>
      <c r="O42" s="30">
        <v>0</v>
      </c>
      <c r="Y42" s="6" t="s">
        <v>27</v>
      </c>
      <c r="Z42" s="6">
        <v>2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69</v>
      </c>
      <c r="N43" s="6">
        <v>1</v>
      </c>
      <c r="O43" s="30">
        <v>0</v>
      </c>
      <c r="Y43" s="6" t="s">
        <v>58</v>
      </c>
      <c r="Z43" s="6">
        <v>2</v>
      </c>
      <c r="AA43" s="30">
        <v>0</v>
      </c>
    </row>
    <row r="44" spans="1:27">
      <c r="A44" s="6" t="s">
        <v>58</v>
      </c>
      <c r="B44" s="6">
        <v>2</v>
      </c>
      <c r="C44" s="30">
        <v>0</v>
      </c>
      <c r="Y44" s="6" t="s">
        <v>68</v>
      </c>
      <c r="Z44" s="6">
        <v>2</v>
      </c>
      <c r="AA44" s="30">
        <v>0</v>
      </c>
    </row>
    <row r="45" spans="1:27">
      <c r="A45" s="6" t="s">
        <v>43</v>
      </c>
      <c r="B45" s="6">
        <v>2</v>
      </c>
      <c r="C45" s="30">
        <v>0</v>
      </c>
      <c r="Y45" s="6" t="s">
        <v>57</v>
      </c>
      <c r="Z45" s="6">
        <v>1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39</v>
      </c>
      <c r="Z46" s="6">
        <v>2</v>
      </c>
      <c r="AA46" s="30">
        <v>0</v>
      </c>
    </row>
    <row r="47" spans="1:27">
      <c r="A47" s="6" t="s">
        <v>68</v>
      </c>
      <c r="B47" s="6">
        <v>2</v>
      </c>
      <c r="C47" s="30">
        <v>0</v>
      </c>
      <c r="Y47" s="6" t="s">
        <v>59</v>
      </c>
      <c r="Z47" s="6">
        <v>1</v>
      </c>
      <c r="AA47" s="30">
        <v>0</v>
      </c>
    </row>
    <row r="48" spans="1:27">
      <c r="A48" s="6" t="s">
        <v>39</v>
      </c>
      <c r="B48" s="6">
        <v>2</v>
      </c>
      <c r="C48" s="30">
        <v>0</v>
      </c>
      <c r="Y48" s="6" t="s">
        <v>53</v>
      </c>
      <c r="Z48" s="6">
        <v>1</v>
      </c>
      <c r="AA48" s="30">
        <v>0</v>
      </c>
    </row>
    <row r="49" spans="1:27">
      <c r="A49" s="6" t="s">
        <v>57</v>
      </c>
      <c r="B49" s="6">
        <v>1</v>
      </c>
      <c r="C49" s="30">
        <v>0</v>
      </c>
      <c r="Y49" s="6" t="s">
        <v>147</v>
      </c>
      <c r="Z49" s="6">
        <v>1</v>
      </c>
      <c r="AA49" s="30">
        <v>0</v>
      </c>
    </row>
    <row r="50" spans="1:27">
      <c r="A50" s="6" t="s">
        <v>148</v>
      </c>
      <c r="B50" s="6">
        <v>1</v>
      </c>
      <c r="C50" s="30">
        <v>0</v>
      </c>
      <c r="Y50" s="6" t="s">
        <v>23</v>
      </c>
      <c r="Z50" s="6">
        <v>1</v>
      </c>
      <c r="AA50" s="30">
        <v>0</v>
      </c>
    </row>
    <row r="51" spans="1:27">
      <c r="A51" s="6" t="s">
        <v>69</v>
      </c>
      <c r="B51" s="6">
        <v>1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53</v>
      </c>
      <c r="B52" s="6">
        <v>1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59</v>
      </c>
      <c r="B53" s="6">
        <v>1</v>
      </c>
      <c r="C53" s="30">
        <v>0</v>
      </c>
    </row>
    <row r="54" spans="1:27">
      <c r="A54" s="6" t="s">
        <v>147</v>
      </c>
      <c r="B54" s="6">
        <v>1</v>
      </c>
      <c r="C54" s="30">
        <v>0</v>
      </c>
    </row>
    <row r="55" spans="1:27">
      <c r="A55" s="6" t="s">
        <v>23</v>
      </c>
      <c r="B55" s="6">
        <v>1</v>
      </c>
      <c r="C55" s="30">
        <v>0</v>
      </c>
    </row>
    <row r="56" spans="1:27">
      <c r="A56" s="6" t="s">
        <v>66</v>
      </c>
      <c r="B56" s="6">
        <v>1</v>
      </c>
      <c r="C56" s="30">
        <v>0</v>
      </c>
    </row>
    <row r="57" spans="1:27">
      <c r="A57" s="6" t="s">
        <v>42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9:S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72AED-74B0-4573-BB90-C973BE56C562}">
  <sheetPr codeName="Sheet13"/>
  <dimension ref="A1:AI57"/>
  <sheetViews>
    <sheetView topLeftCell="R1" workbookViewId="0">
      <selection activeCell="V28" sqref="V2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77280</v>
      </c>
      <c r="E2" s="41" t="s">
        <v>4</v>
      </c>
      <c r="F2" s="23" t="s">
        <v>105</v>
      </c>
      <c r="G2" s="23">
        <f>G3+G4</f>
        <v>69806</v>
      </c>
      <c r="H2" s="22"/>
      <c r="I2" s="41" t="s">
        <v>6</v>
      </c>
      <c r="J2" s="23" t="s">
        <v>105</v>
      </c>
      <c r="K2" s="23">
        <f>K3+K4</f>
        <v>70525</v>
      </c>
      <c r="M2" s="41" t="s">
        <v>104</v>
      </c>
      <c r="N2" s="23" t="s">
        <v>105</v>
      </c>
      <c r="O2" s="23">
        <f>O3+O4</f>
        <v>27353</v>
      </c>
      <c r="Q2" s="41" t="s">
        <v>4</v>
      </c>
      <c r="R2" s="23" t="s">
        <v>105</v>
      </c>
      <c r="S2" s="23">
        <f>S3+S4</f>
        <v>26039</v>
      </c>
      <c r="T2" s="22"/>
      <c r="U2" s="41" t="s">
        <v>6</v>
      </c>
      <c r="V2" s="23" t="s">
        <v>105</v>
      </c>
      <c r="W2" s="23">
        <f>W3+W4</f>
        <v>24207</v>
      </c>
      <c r="Y2" s="41" t="s">
        <v>104</v>
      </c>
      <c r="Z2" s="23" t="s">
        <v>105</v>
      </c>
      <c r="AA2" s="23">
        <f>AA3+AA4</f>
        <v>49921</v>
      </c>
      <c r="AC2" s="41" t="s">
        <v>4</v>
      </c>
      <c r="AD2" s="23" t="s">
        <v>105</v>
      </c>
      <c r="AE2" s="23">
        <f>AE3+AE4</f>
        <v>43768</v>
      </c>
      <c r="AF2" s="22"/>
      <c r="AG2" s="41" t="s">
        <v>6</v>
      </c>
      <c r="AH2" s="23" t="s">
        <v>105</v>
      </c>
      <c r="AI2" s="23">
        <f>AI3+AI4</f>
        <v>46320</v>
      </c>
    </row>
    <row r="3" spans="1:35">
      <c r="A3" s="42"/>
      <c r="B3" s="24" t="s">
        <v>106</v>
      </c>
      <c r="C3" s="24">
        <f>B8</f>
        <v>75834</v>
      </c>
      <c r="E3" s="42"/>
      <c r="F3" s="24" t="s">
        <v>106</v>
      </c>
      <c r="G3" s="24">
        <f>F8</f>
        <v>69575</v>
      </c>
      <c r="H3" s="22"/>
      <c r="I3" s="42"/>
      <c r="J3" s="24" t="s">
        <v>106</v>
      </c>
      <c r="K3" s="24">
        <f>J8</f>
        <v>70452</v>
      </c>
      <c r="M3" s="42"/>
      <c r="N3" s="24" t="s">
        <v>106</v>
      </c>
      <c r="O3" s="24">
        <f>N8</f>
        <v>27011</v>
      </c>
      <c r="Q3" s="42"/>
      <c r="R3" s="24" t="s">
        <v>106</v>
      </c>
      <c r="S3" s="24">
        <f>R8</f>
        <v>25942</v>
      </c>
      <c r="T3" s="22"/>
      <c r="U3" s="42"/>
      <c r="V3" s="24" t="s">
        <v>106</v>
      </c>
      <c r="W3" s="24">
        <f>V8</f>
        <v>24168</v>
      </c>
      <c r="Y3" s="42"/>
      <c r="Z3" s="24" t="s">
        <v>106</v>
      </c>
      <c r="AA3" s="24">
        <f>Z8</f>
        <v>48823</v>
      </c>
      <c r="AC3" s="42"/>
      <c r="AD3" s="24" t="s">
        <v>106</v>
      </c>
      <c r="AE3" s="24">
        <f>AD8</f>
        <v>43633</v>
      </c>
      <c r="AF3" s="22"/>
      <c r="AG3" s="42"/>
      <c r="AH3" s="24" t="s">
        <v>106</v>
      </c>
      <c r="AI3" s="24">
        <f>AH8</f>
        <v>46284</v>
      </c>
    </row>
    <row r="4" spans="1:35">
      <c r="A4" s="42"/>
      <c r="B4" s="25" t="s">
        <v>107</v>
      </c>
      <c r="C4" s="25">
        <f>SUM(B9:B66)</f>
        <v>1446</v>
      </c>
      <c r="E4" s="42"/>
      <c r="F4" s="25" t="s">
        <v>107</v>
      </c>
      <c r="G4" s="25">
        <f>SUM(F9:F33)</f>
        <v>231</v>
      </c>
      <c r="H4" s="22"/>
      <c r="I4" s="42"/>
      <c r="J4" s="25" t="s">
        <v>107</v>
      </c>
      <c r="K4" s="25">
        <f>SUM(J9:J31)</f>
        <v>73</v>
      </c>
      <c r="M4" s="42"/>
      <c r="N4" s="25" t="s">
        <v>107</v>
      </c>
      <c r="O4" s="25">
        <f>SUM(N9:N66)</f>
        <v>342</v>
      </c>
      <c r="Q4" s="42"/>
      <c r="R4" s="25" t="s">
        <v>107</v>
      </c>
      <c r="S4" s="25">
        <f>SUM(R9:R33)</f>
        <v>97</v>
      </c>
      <c r="T4" s="22"/>
      <c r="U4" s="42"/>
      <c r="V4" s="25" t="s">
        <v>107</v>
      </c>
      <c r="W4" s="25">
        <f>SUM(V9:V31)</f>
        <v>39</v>
      </c>
      <c r="Y4" s="42"/>
      <c r="Z4" s="25" t="s">
        <v>107</v>
      </c>
      <c r="AA4" s="25">
        <f>SUM(Z9:Z45)</f>
        <v>1098</v>
      </c>
      <c r="AC4" s="42"/>
      <c r="AD4" s="25" t="s">
        <v>107</v>
      </c>
      <c r="AE4" s="25">
        <f>SUM(AD9:AD29)</f>
        <v>135</v>
      </c>
      <c r="AF4" s="22"/>
      <c r="AG4" s="42"/>
      <c r="AH4" s="25" t="s">
        <v>107</v>
      </c>
      <c r="AI4" s="25">
        <f>SUM(AH9:AH29)</f>
        <v>36</v>
      </c>
    </row>
    <row r="5" spans="1:35">
      <c r="A5" s="43"/>
      <c r="B5" s="23" t="s">
        <v>108</v>
      </c>
      <c r="C5" s="26">
        <f>SUM(C9:C179)</f>
        <v>1.8499999999999989E-2</v>
      </c>
      <c r="E5" s="43"/>
      <c r="F5" s="23" t="s">
        <v>108</v>
      </c>
      <c r="G5" s="26">
        <f>SUM(G9:G33)</f>
        <v>3.1999999999999989E-3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1.2199999999999994E-2</v>
      </c>
      <c r="Q5" s="43"/>
      <c r="R5" s="23" t="s">
        <v>108</v>
      </c>
      <c r="S5" s="26">
        <f>SUM(S9:S33)</f>
        <v>3.5999999999999995E-3</v>
      </c>
      <c r="T5" s="22"/>
      <c r="U5" s="43"/>
      <c r="V5" s="23" t="s">
        <v>108</v>
      </c>
      <c r="W5" s="26">
        <f>SUM(W9:W31)</f>
        <v>1.5000000000000002E-3</v>
      </c>
      <c r="Y5" s="43"/>
      <c r="Z5" s="23" t="s">
        <v>108</v>
      </c>
      <c r="AA5" s="26">
        <f>SUM(AA9:AA158)</f>
        <v>2.1799999999999996E-2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75834</v>
      </c>
      <c r="C8" s="9">
        <v>0.98129999999999995</v>
      </c>
      <c r="E8" s="6" t="s">
        <v>112</v>
      </c>
      <c r="F8" s="29">
        <v>69575</v>
      </c>
      <c r="G8" s="9">
        <v>0.99670000000000003</v>
      </c>
      <c r="I8" s="6" t="s">
        <v>112</v>
      </c>
      <c r="J8" s="29">
        <v>70452</v>
      </c>
      <c r="K8" s="9">
        <v>0.999</v>
      </c>
      <c r="M8" s="6" t="s">
        <v>112</v>
      </c>
      <c r="N8" s="29">
        <v>27011</v>
      </c>
      <c r="O8" s="9">
        <v>0.98750000000000004</v>
      </c>
      <c r="Q8" s="6" t="s">
        <v>112</v>
      </c>
      <c r="R8" s="29">
        <v>25942</v>
      </c>
      <c r="S8" s="9">
        <v>0.99629999999999996</v>
      </c>
      <c r="U8" s="6" t="s">
        <v>112</v>
      </c>
      <c r="V8" s="29">
        <v>24168</v>
      </c>
      <c r="W8" s="9">
        <v>0.99839999999999995</v>
      </c>
      <c r="Y8" s="6" t="s">
        <v>112</v>
      </c>
      <c r="Z8" s="29">
        <v>48823</v>
      </c>
      <c r="AA8" s="9">
        <v>0.97789999999999999</v>
      </c>
      <c r="AC8" s="6" t="s">
        <v>112</v>
      </c>
      <c r="AD8" s="29">
        <v>43633</v>
      </c>
      <c r="AE8" s="9">
        <v>0.99690000000000001</v>
      </c>
      <c r="AG8" s="6" t="s">
        <v>112</v>
      </c>
      <c r="AH8" s="29">
        <v>46284</v>
      </c>
      <c r="AI8" s="9">
        <v>0.99919999999999998</v>
      </c>
    </row>
    <row r="9" spans="1:35">
      <c r="A9" s="6" t="s">
        <v>2</v>
      </c>
      <c r="B9" s="6">
        <v>399</v>
      </c>
      <c r="C9" s="9">
        <v>5.1999999999999998E-3</v>
      </c>
      <c r="E9" s="6" t="s">
        <v>122</v>
      </c>
      <c r="F9" s="6">
        <v>129</v>
      </c>
      <c r="G9" s="9">
        <v>1.8E-3</v>
      </c>
      <c r="I9" s="6" t="s">
        <v>2</v>
      </c>
      <c r="J9" s="6">
        <v>29</v>
      </c>
      <c r="K9" s="9">
        <v>4.0000000000000002E-4</v>
      </c>
      <c r="M9" s="6" t="s">
        <v>2</v>
      </c>
      <c r="N9" s="6">
        <v>106</v>
      </c>
      <c r="O9" s="9">
        <v>3.8999999999999998E-3</v>
      </c>
      <c r="Q9" s="6" t="s">
        <v>122</v>
      </c>
      <c r="R9" s="6">
        <v>72</v>
      </c>
      <c r="S9" s="9">
        <v>2.8E-3</v>
      </c>
      <c r="U9" s="6" t="s">
        <v>98</v>
      </c>
      <c r="V9" s="6">
        <v>17</v>
      </c>
      <c r="W9" s="9">
        <v>6.9999999999999999E-4</v>
      </c>
      <c r="Y9" s="6" t="s">
        <v>2</v>
      </c>
      <c r="Z9" s="6">
        <v>293</v>
      </c>
      <c r="AA9" s="9">
        <v>5.8999999999999999E-3</v>
      </c>
      <c r="AC9" s="6" t="s">
        <v>122</v>
      </c>
      <c r="AD9" s="6">
        <v>57</v>
      </c>
      <c r="AE9" s="9">
        <v>1.2999999999999999E-3</v>
      </c>
      <c r="AG9" s="6" t="s">
        <v>2</v>
      </c>
      <c r="AH9" s="6">
        <v>19</v>
      </c>
      <c r="AI9" s="9">
        <v>4.0000000000000002E-4</v>
      </c>
    </row>
    <row r="10" spans="1:35">
      <c r="A10" s="6" t="s">
        <v>9</v>
      </c>
      <c r="B10" s="6">
        <v>169</v>
      </c>
      <c r="C10" s="9">
        <v>2.2000000000000001E-3</v>
      </c>
      <c r="E10" s="6" t="s">
        <v>83</v>
      </c>
      <c r="F10" s="6">
        <v>38</v>
      </c>
      <c r="G10" s="9">
        <v>5.0000000000000001E-4</v>
      </c>
      <c r="I10" s="6" t="s">
        <v>98</v>
      </c>
      <c r="J10" s="6">
        <v>20</v>
      </c>
      <c r="K10" s="9">
        <v>2.9999999999999997E-4</v>
      </c>
      <c r="M10" s="6" t="s">
        <v>3</v>
      </c>
      <c r="N10" s="6">
        <v>55</v>
      </c>
      <c r="O10" s="9">
        <v>2E-3</v>
      </c>
      <c r="Q10" s="6" t="s">
        <v>76</v>
      </c>
      <c r="R10" s="6">
        <v>9</v>
      </c>
      <c r="S10" s="9">
        <v>2.9999999999999997E-4</v>
      </c>
      <c r="U10" s="6" t="s">
        <v>2</v>
      </c>
      <c r="V10" s="6">
        <v>10</v>
      </c>
      <c r="W10" s="9">
        <v>4.0000000000000002E-4</v>
      </c>
      <c r="Y10" s="6" t="s">
        <v>9</v>
      </c>
      <c r="Z10" s="6">
        <v>163</v>
      </c>
      <c r="AA10" s="9">
        <v>3.3E-3</v>
      </c>
      <c r="AC10" s="6" t="s">
        <v>83</v>
      </c>
      <c r="AD10" s="6">
        <v>38</v>
      </c>
      <c r="AE10" s="9">
        <v>8.9999999999999998E-4</v>
      </c>
      <c r="AG10" s="6" t="s">
        <v>102</v>
      </c>
      <c r="AH10" s="6">
        <v>3</v>
      </c>
      <c r="AI10" s="9">
        <v>1E-4</v>
      </c>
    </row>
    <row r="11" spans="1:35">
      <c r="A11" s="6" t="s">
        <v>3</v>
      </c>
      <c r="B11" s="6">
        <v>166</v>
      </c>
      <c r="C11" s="9">
        <v>2.0999999999999999E-3</v>
      </c>
      <c r="E11" s="6" t="s">
        <v>76</v>
      </c>
      <c r="F11" s="6">
        <v>18</v>
      </c>
      <c r="G11" s="9">
        <v>2.9999999999999997E-4</v>
      </c>
      <c r="I11" s="6" t="s">
        <v>102</v>
      </c>
      <c r="J11" s="6">
        <v>8</v>
      </c>
      <c r="K11" s="9">
        <v>1E-4</v>
      </c>
      <c r="M11" s="6" t="s">
        <v>7</v>
      </c>
      <c r="N11" s="6">
        <v>27</v>
      </c>
      <c r="O11" s="9">
        <v>1E-3</v>
      </c>
      <c r="Q11" s="6" t="s">
        <v>74</v>
      </c>
      <c r="R11" s="6">
        <v>8</v>
      </c>
      <c r="S11" s="9">
        <v>2.9999999999999997E-4</v>
      </c>
      <c r="U11" s="6" t="s">
        <v>102</v>
      </c>
      <c r="V11" s="6">
        <v>6</v>
      </c>
      <c r="W11" s="9">
        <v>2.0000000000000001E-4</v>
      </c>
      <c r="Y11" s="6" t="s">
        <v>8</v>
      </c>
      <c r="Z11" s="6">
        <v>109</v>
      </c>
      <c r="AA11" s="9">
        <v>2.2000000000000001E-3</v>
      </c>
      <c r="AC11" s="6" t="s">
        <v>76</v>
      </c>
      <c r="AD11" s="6">
        <v>9</v>
      </c>
      <c r="AE11" s="9">
        <v>2.0000000000000001E-4</v>
      </c>
      <c r="AG11" s="6" t="s">
        <v>98</v>
      </c>
      <c r="AH11" s="6">
        <v>3</v>
      </c>
      <c r="AI11" s="9">
        <v>1E-4</v>
      </c>
    </row>
    <row r="12" spans="1:35">
      <c r="A12" s="6" t="s">
        <v>8</v>
      </c>
      <c r="B12" s="6">
        <v>112</v>
      </c>
      <c r="C12" s="9">
        <v>1.4E-3</v>
      </c>
      <c r="E12" s="6" t="s">
        <v>77</v>
      </c>
      <c r="F12" s="6">
        <v>10</v>
      </c>
      <c r="G12" s="9">
        <v>1E-4</v>
      </c>
      <c r="I12" s="6" t="s">
        <v>99</v>
      </c>
      <c r="J12" s="6">
        <v>9</v>
      </c>
      <c r="K12" s="9">
        <v>1E-4</v>
      </c>
      <c r="M12" s="6" t="s">
        <v>11</v>
      </c>
      <c r="N12" s="6">
        <v>22</v>
      </c>
      <c r="O12" s="9">
        <v>8.0000000000000004E-4</v>
      </c>
      <c r="Q12" s="6" t="s">
        <v>77</v>
      </c>
      <c r="R12" s="6">
        <v>2</v>
      </c>
      <c r="S12" s="9">
        <v>1E-4</v>
      </c>
      <c r="U12" s="6" t="s">
        <v>99</v>
      </c>
      <c r="V12" s="6">
        <v>4</v>
      </c>
      <c r="W12" s="9">
        <v>2.0000000000000001E-4</v>
      </c>
      <c r="Y12" s="6" t="s">
        <v>3</v>
      </c>
      <c r="Z12" s="6">
        <v>111</v>
      </c>
      <c r="AA12" s="9">
        <v>2.2000000000000001E-3</v>
      </c>
      <c r="AC12" s="6" t="s">
        <v>77</v>
      </c>
      <c r="AD12" s="6">
        <v>8</v>
      </c>
      <c r="AE12" s="9">
        <v>2.0000000000000001E-4</v>
      </c>
      <c r="AG12" s="6" t="s">
        <v>103</v>
      </c>
      <c r="AH12" s="6">
        <v>3</v>
      </c>
      <c r="AI12" s="9">
        <v>1E-4</v>
      </c>
    </row>
    <row r="13" spans="1:35">
      <c r="A13" s="6" t="s">
        <v>5</v>
      </c>
      <c r="B13" s="6">
        <v>83</v>
      </c>
      <c r="C13" s="9">
        <v>1.1000000000000001E-3</v>
      </c>
      <c r="E13" s="6" t="s">
        <v>74</v>
      </c>
      <c r="F13" s="6">
        <v>8</v>
      </c>
      <c r="G13" s="9">
        <v>1E-4</v>
      </c>
      <c r="I13" s="6" t="s">
        <v>117</v>
      </c>
      <c r="J13" s="6">
        <v>1</v>
      </c>
      <c r="K13" s="30">
        <v>0</v>
      </c>
      <c r="M13" s="6" t="s">
        <v>33</v>
      </c>
      <c r="N13" s="6">
        <v>16</v>
      </c>
      <c r="O13" s="9">
        <v>5.9999999999999995E-4</v>
      </c>
      <c r="Q13" s="6" t="s">
        <v>75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79</v>
      </c>
      <c r="AA13" s="9">
        <v>1.6000000000000001E-3</v>
      </c>
      <c r="AC13" s="6" t="s">
        <v>78</v>
      </c>
      <c r="AD13" s="6">
        <v>6</v>
      </c>
      <c r="AE13" s="9">
        <v>1E-4</v>
      </c>
      <c r="AG13" s="6" t="s">
        <v>99</v>
      </c>
      <c r="AH13" s="6">
        <v>5</v>
      </c>
      <c r="AI13" s="9">
        <v>1E-4</v>
      </c>
    </row>
    <row r="14" spans="1:35">
      <c r="A14" s="6" t="s">
        <v>11</v>
      </c>
      <c r="B14" s="6">
        <v>71</v>
      </c>
      <c r="C14" s="9">
        <v>8.9999999999999998E-4</v>
      </c>
      <c r="E14" s="6" t="s">
        <v>75</v>
      </c>
      <c r="F14" s="6">
        <v>7</v>
      </c>
      <c r="G14" s="9">
        <v>1E-4</v>
      </c>
      <c r="I14" s="6" t="s">
        <v>103</v>
      </c>
      <c r="J14" s="6">
        <v>3</v>
      </c>
      <c r="K14" s="30">
        <v>0</v>
      </c>
      <c r="M14" s="6" t="s">
        <v>37</v>
      </c>
      <c r="N14" s="6">
        <v>14</v>
      </c>
      <c r="O14" s="9">
        <v>5.0000000000000001E-4</v>
      </c>
      <c r="Q14" s="6" t="s">
        <v>149</v>
      </c>
      <c r="R14" s="6">
        <v>1</v>
      </c>
      <c r="S14" s="30">
        <v>0</v>
      </c>
      <c r="U14" s="6" t="s">
        <v>113</v>
      </c>
      <c r="V14" s="6">
        <v>1</v>
      </c>
      <c r="W14" s="30">
        <v>0</v>
      </c>
      <c r="Y14" s="6" t="s">
        <v>11</v>
      </c>
      <c r="Z14" s="6">
        <v>49</v>
      </c>
      <c r="AA14" s="9">
        <v>1E-3</v>
      </c>
      <c r="AC14" s="6" t="s">
        <v>82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69</v>
      </c>
      <c r="C15" s="9">
        <v>8.9999999999999998E-4</v>
      </c>
      <c r="E15" s="6" t="s">
        <v>78</v>
      </c>
      <c r="F15" s="6">
        <v>6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15</v>
      </c>
      <c r="O15" s="9">
        <v>5.0000000000000001E-4</v>
      </c>
      <c r="Q15" s="6" t="s">
        <v>116</v>
      </c>
      <c r="R15" s="6">
        <v>1</v>
      </c>
      <c r="S15" s="30">
        <v>0</v>
      </c>
      <c r="Y15" s="6" t="s">
        <v>37</v>
      </c>
      <c r="Z15" s="6">
        <v>41</v>
      </c>
      <c r="AA15" s="9">
        <v>8.0000000000000004E-4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55</v>
      </c>
      <c r="C16" s="9">
        <v>6.9999999999999999E-4</v>
      </c>
      <c r="E16" s="6" t="s">
        <v>82</v>
      </c>
      <c r="F16" s="6">
        <v>5</v>
      </c>
      <c r="G16" s="9">
        <v>1E-4</v>
      </c>
      <c r="I16" s="6" t="s">
        <v>113</v>
      </c>
      <c r="J16" s="6">
        <v>2</v>
      </c>
      <c r="K16" s="30">
        <v>0</v>
      </c>
      <c r="M16" s="6" t="s">
        <v>10</v>
      </c>
      <c r="N16" s="6">
        <v>7</v>
      </c>
      <c r="O16" s="9">
        <v>2.9999999999999997E-4</v>
      </c>
      <c r="Q16" s="6" t="s">
        <v>80</v>
      </c>
      <c r="R16" s="6">
        <v>1</v>
      </c>
      <c r="S16" s="30">
        <v>0</v>
      </c>
      <c r="Y16" s="6" t="s">
        <v>7</v>
      </c>
      <c r="Z16" s="6">
        <v>42</v>
      </c>
      <c r="AA16" s="9">
        <v>8.0000000000000004E-4</v>
      </c>
      <c r="AC16" s="6" t="s">
        <v>79</v>
      </c>
      <c r="AD16" s="6">
        <v>3</v>
      </c>
      <c r="AE16" s="9">
        <v>1E-4</v>
      </c>
      <c r="AG16" s="6" t="s">
        <v>113</v>
      </c>
      <c r="AH16" s="6">
        <v>1</v>
      </c>
      <c r="AI16" s="30">
        <v>0</v>
      </c>
    </row>
    <row r="17" spans="1:31">
      <c r="A17" s="6" t="s">
        <v>41</v>
      </c>
      <c r="B17" s="6">
        <v>35</v>
      </c>
      <c r="C17" s="9">
        <v>5.0000000000000001E-4</v>
      </c>
      <c r="E17" s="6" t="s">
        <v>79</v>
      </c>
      <c r="F17" s="6">
        <v>4</v>
      </c>
      <c r="G17" s="9">
        <v>1E-4</v>
      </c>
      <c r="M17" s="6" t="s">
        <v>17</v>
      </c>
      <c r="N17" s="6">
        <v>7</v>
      </c>
      <c r="O17" s="9">
        <v>2.9999999999999997E-4</v>
      </c>
      <c r="Q17" s="6" t="s">
        <v>79</v>
      </c>
      <c r="R17" s="6">
        <v>1</v>
      </c>
      <c r="S17" s="30">
        <v>0</v>
      </c>
      <c r="Y17" s="6" t="s">
        <v>19</v>
      </c>
      <c r="Z17" s="6">
        <v>24</v>
      </c>
      <c r="AA17" s="9">
        <v>5.0000000000000001E-4</v>
      </c>
      <c r="AC17" s="6" t="s">
        <v>92</v>
      </c>
      <c r="AD17" s="6">
        <v>1</v>
      </c>
      <c r="AE17" s="30">
        <v>0</v>
      </c>
    </row>
    <row r="18" spans="1:31">
      <c r="A18" s="6" t="s">
        <v>19</v>
      </c>
      <c r="B18" s="6">
        <v>28</v>
      </c>
      <c r="C18" s="9">
        <v>4.0000000000000002E-4</v>
      </c>
      <c r="E18" s="6" t="s">
        <v>92</v>
      </c>
      <c r="F18" s="6">
        <v>1</v>
      </c>
      <c r="G18" s="30">
        <v>0</v>
      </c>
      <c r="M18" s="6" t="s">
        <v>26</v>
      </c>
      <c r="N18" s="6">
        <v>7</v>
      </c>
      <c r="O18" s="9">
        <v>2.9999999999999997E-4</v>
      </c>
      <c r="Y18" s="6" t="s">
        <v>17</v>
      </c>
      <c r="Z18" s="6">
        <v>19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17</v>
      </c>
      <c r="B19" s="6">
        <v>26</v>
      </c>
      <c r="C19" s="9">
        <v>2.9999999999999997E-4</v>
      </c>
      <c r="E19" s="6" t="s">
        <v>149</v>
      </c>
      <c r="F19" s="6">
        <v>1</v>
      </c>
      <c r="G19" s="30">
        <v>0</v>
      </c>
      <c r="M19" s="6" t="s">
        <v>9</v>
      </c>
      <c r="N19" s="6">
        <v>6</v>
      </c>
      <c r="O19" s="9">
        <v>2.0000000000000001E-4</v>
      </c>
      <c r="Y19" s="6" t="s">
        <v>14</v>
      </c>
      <c r="Z19" s="6">
        <v>19</v>
      </c>
      <c r="AA19" s="9">
        <v>4.0000000000000002E-4</v>
      </c>
      <c r="AC19" s="6" t="s">
        <v>145</v>
      </c>
      <c r="AD19" s="6">
        <v>1</v>
      </c>
      <c r="AE19" s="30">
        <v>0</v>
      </c>
    </row>
    <row r="20" spans="1:31">
      <c r="A20" s="6" t="s">
        <v>29</v>
      </c>
      <c r="B20" s="6">
        <v>20</v>
      </c>
      <c r="C20" s="9">
        <v>2.9999999999999997E-4</v>
      </c>
      <c r="E20" s="6" t="s">
        <v>116</v>
      </c>
      <c r="F20" s="6">
        <v>1</v>
      </c>
      <c r="G20" s="30">
        <v>0</v>
      </c>
      <c r="M20" s="6" t="s">
        <v>16</v>
      </c>
      <c r="N20" s="6">
        <v>5</v>
      </c>
      <c r="O20" s="9">
        <v>2.0000000000000001E-4</v>
      </c>
      <c r="Y20" s="6" t="s">
        <v>41</v>
      </c>
      <c r="Z20" s="6">
        <v>20</v>
      </c>
      <c r="AA20" s="9">
        <v>4.0000000000000002E-4</v>
      </c>
      <c r="AC20" s="6" t="s">
        <v>86</v>
      </c>
      <c r="AD20" s="6">
        <v>1</v>
      </c>
      <c r="AE20" s="30">
        <v>0</v>
      </c>
    </row>
    <row r="21" spans="1:31">
      <c r="A21" s="6" t="s">
        <v>33</v>
      </c>
      <c r="B21" s="6">
        <v>20</v>
      </c>
      <c r="C21" s="9">
        <v>2.9999999999999997E-4</v>
      </c>
      <c r="E21" s="6" t="s">
        <v>80</v>
      </c>
      <c r="F21" s="6">
        <v>1</v>
      </c>
      <c r="G21" s="30">
        <v>0</v>
      </c>
      <c r="M21" s="6" t="s">
        <v>31</v>
      </c>
      <c r="N21" s="6">
        <v>6</v>
      </c>
      <c r="O21" s="9">
        <v>2.0000000000000001E-4</v>
      </c>
      <c r="Y21" s="6" t="s">
        <v>29</v>
      </c>
      <c r="Z21" s="6">
        <v>16</v>
      </c>
      <c r="AA21" s="9">
        <v>2.9999999999999997E-4</v>
      </c>
    </row>
    <row r="22" spans="1:31">
      <c r="A22" s="6" t="s">
        <v>21</v>
      </c>
      <c r="B22" s="6">
        <v>13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19</v>
      </c>
      <c r="N22" s="6">
        <v>4</v>
      </c>
      <c r="O22" s="9">
        <v>1E-4</v>
      </c>
      <c r="Y22" s="6" t="s">
        <v>12</v>
      </c>
      <c r="Z22" s="6">
        <v>13</v>
      </c>
      <c r="AA22" s="9">
        <v>2.9999999999999997E-4</v>
      </c>
    </row>
    <row r="23" spans="1:31">
      <c r="A23" s="6" t="s">
        <v>10</v>
      </c>
      <c r="B23" s="6">
        <v>12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5</v>
      </c>
      <c r="N23" s="6">
        <v>4</v>
      </c>
      <c r="O23" s="9">
        <v>1E-4</v>
      </c>
      <c r="Y23" s="6" t="s">
        <v>21</v>
      </c>
      <c r="Z23" s="6">
        <v>11</v>
      </c>
      <c r="AA23" s="9">
        <v>2.0000000000000001E-4</v>
      </c>
    </row>
    <row r="24" spans="1:31">
      <c r="A24" s="6" t="s">
        <v>14</v>
      </c>
      <c r="B24" s="6">
        <v>19</v>
      </c>
      <c r="C24" s="9">
        <v>2.0000000000000001E-4</v>
      </c>
      <c r="M24" s="6" t="s">
        <v>21</v>
      </c>
      <c r="N24" s="6">
        <v>2</v>
      </c>
      <c r="O24" s="9">
        <v>1E-4</v>
      </c>
      <c r="Y24" s="6" t="s">
        <v>46</v>
      </c>
      <c r="Z24" s="6">
        <v>9</v>
      </c>
      <c r="AA24" s="9">
        <v>2.0000000000000001E-4</v>
      </c>
    </row>
    <row r="25" spans="1:31">
      <c r="A25" s="6" t="s">
        <v>31</v>
      </c>
      <c r="B25" s="6">
        <v>17</v>
      </c>
      <c r="C25" s="9">
        <v>2.0000000000000001E-4</v>
      </c>
      <c r="M25" s="6" t="s">
        <v>29</v>
      </c>
      <c r="N25" s="6">
        <v>4</v>
      </c>
      <c r="O25" s="9">
        <v>1E-4</v>
      </c>
      <c r="Y25" s="6" t="s">
        <v>30</v>
      </c>
      <c r="Z25" s="6">
        <v>11</v>
      </c>
      <c r="AA25" s="9">
        <v>2.0000000000000001E-4</v>
      </c>
    </row>
    <row r="26" spans="1:31">
      <c r="A26" s="6" t="s">
        <v>30</v>
      </c>
      <c r="B26" s="6">
        <v>14</v>
      </c>
      <c r="C26" s="9">
        <v>2.0000000000000001E-4</v>
      </c>
      <c r="M26" s="6" t="s">
        <v>8</v>
      </c>
      <c r="N26" s="6">
        <v>3</v>
      </c>
      <c r="O26" s="9">
        <v>1E-4</v>
      </c>
      <c r="Y26" s="6" t="s">
        <v>31</v>
      </c>
      <c r="Z26" s="6">
        <v>11</v>
      </c>
      <c r="AA26" s="9">
        <v>2.0000000000000001E-4</v>
      </c>
    </row>
    <row r="27" spans="1:31">
      <c r="A27" s="6" t="s">
        <v>12</v>
      </c>
      <c r="B27" s="6">
        <v>13</v>
      </c>
      <c r="C27" s="9">
        <v>2.0000000000000001E-4</v>
      </c>
      <c r="M27" s="6" t="s">
        <v>22</v>
      </c>
      <c r="N27" s="6">
        <v>3</v>
      </c>
      <c r="O27" s="9">
        <v>1E-4</v>
      </c>
      <c r="Y27" s="6" t="s">
        <v>18</v>
      </c>
      <c r="Z27" s="6">
        <v>9</v>
      </c>
      <c r="AA27" s="9">
        <v>2.0000000000000001E-4</v>
      </c>
    </row>
    <row r="28" spans="1:31">
      <c r="A28" s="6" t="s">
        <v>18</v>
      </c>
      <c r="B28" s="6">
        <v>12</v>
      </c>
      <c r="C28" s="9">
        <v>2.0000000000000001E-4</v>
      </c>
      <c r="M28" s="6" t="s">
        <v>27</v>
      </c>
      <c r="N28" s="6">
        <v>2</v>
      </c>
      <c r="O28" s="9">
        <v>1E-4</v>
      </c>
      <c r="Y28" s="6" t="s">
        <v>20</v>
      </c>
      <c r="Z28" s="6">
        <v>7</v>
      </c>
      <c r="AA28" s="9">
        <v>1E-4</v>
      </c>
    </row>
    <row r="29" spans="1:31">
      <c r="A29" s="6" t="s">
        <v>26</v>
      </c>
      <c r="B29" s="6">
        <v>12</v>
      </c>
      <c r="C29" s="9">
        <v>2.0000000000000001E-4</v>
      </c>
      <c r="M29" s="6" t="s">
        <v>40</v>
      </c>
      <c r="N29" s="6">
        <v>3</v>
      </c>
      <c r="O29" s="9">
        <v>1E-4</v>
      </c>
      <c r="Y29" s="6" t="s">
        <v>10</v>
      </c>
      <c r="Z29" s="6">
        <v>5</v>
      </c>
      <c r="AA29" s="9">
        <v>1E-4</v>
      </c>
    </row>
    <row r="30" spans="1:31">
      <c r="A30" s="6" t="s">
        <v>46</v>
      </c>
      <c r="B30" s="6">
        <v>9</v>
      </c>
      <c r="C30" s="9">
        <v>1E-4</v>
      </c>
      <c r="M30" s="6" t="s">
        <v>30</v>
      </c>
      <c r="N30" s="6">
        <v>3</v>
      </c>
      <c r="O30" s="9">
        <v>1E-4</v>
      </c>
      <c r="Y30" s="6" t="s">
        <v>16</v>
      </c>
      <c r="Z30" s="6">
        <v>4</v>
      </c>
      <c r="AA30" s="9">
        <v>1E-4</v>
      </c>
    </row>
    <row r="31" spans="1:31">
      <c r="A31" s="6" t="s">
        <v>20</v>
      </c>
      <c r="B31" s="6">
        <v>8</v>
      </c>
      <c r="C31" s="9">
        <v>1E-4</v>
      </c>
      <c r="M31" s="6" t="s">
        <v>43</v>
      </c>
      <c r="N31" s="6">
        <v>3</v>
      </c>
      <c r="O31" s="9">
        <v>1E-4</v>
      </c>
      <c r="Y31" s="6" t="s">
        <v>38</v>
      </c>
      <c r="Z31" s="6">
        <v>5</v>
      </c>
      <c r="AA31" s="9">
        <v>1E-4</v>
      </c>
    </row>
    <row r="32" spans="1:31">
      <c r="A32" s="6" t="s">
        <v>16</v>
      </c>
      <c r="B32" s="6">
        <v>9</v>
      </c>
      <c r="C32" s="9">
        <v>1E-4</v>
      </c>
      <c r="M32" s="6" t="s">
        <v>24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40</v>
      </c>
      <c r="B33" s="6">
        <v>7</v>
      </c>
      <c r="C33" s="9">
        <v>1E-4</v>
      </c>
      <c r="M33" s="6" t="s">
        <v>18</v>
      </c>
      <c r="N33" s="6">
        <v>3</v>
      </c>
      <c r="O33" s="9">
        <v>1E-4</v>
      </c>
      <c r="Y33" s="6" t="s">
        <v>33</v>
      </c>
      <c r="Z33" s="6">
        <v>4</v>
      </c>
      <c r="AA33" s="9">
        <v>1E-4</v>
      </c>
    </row>
    <row r="34" spans="1:27">
      <c r="A34" s="6" t="s">
        <v>22</v>
      </c>
      <c r="B34" s="6">
        <v>5</v>
      </c>
      <c r="C34" s="9">
        <v>1E-4</v>
      </c>
      <c r="M34" s="6" t="s">
        <v>69</v>
      </c>
      <c r="N34" s="6">
        <v>3</v>
      </c>
      <c r="O34" s="9">
        <v>1E-4</v>
      </c>
      <c r="Y34" s="6" t="s">
        <v>40</v>
      </c>
      <c r="Z34" s="6">
        <v>4</v>
      </c>
      <c r="AA34" s="9">
        <v>1E-4</v>
      </c>
    </row>
    <row r="35" spans="1:27">
      <c r="A35" s="6" t="s">
        <v>38</v>
      </c>
      <c r="B35" s="6">
        <v>6</v>
      </c>
      <c r="C35" s="9">
        <v>1E-4</v>
      </c>
      <c r="M35" s="6" t="s">
        <v>25</v>
      </c>
      <c r="N35" s="6">
        <v>2</v>
      </c>
      <c r="O35" s="9">
        <v>1E-4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45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20</v>
      </c>
      <c r="N37" s="6">
        <v>1</v>
      </c>
      <c r="O37" s="30">
        <v>0</v>
      </c>
      <c r="Y37" s="6" t="s">
        <v>13</v>
      </c>
      <c r="Z37" s="6">
        <v>2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39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45</v>
      </c>
      <c r="B40" s="6">
        <v>2</v>
      </c>
      <c r="C40" s="30">
        <v>0</v>
      </c>
      <c r="M40" s="6" t="s">
        <v>38</v>
      </c>
      <c r="N40" s="6">
        <v>1</v>
      </c>
      <c r="O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51</v>
      </c>
      <c r="B41" s="6">
        <v>1</v>
      </c>
      <c r="C41" s="30">
        <v>0</v>
      </c>
      <c r="M41" s="6" t="s">
        <v>148</v>
      </c>
      <c r="N41" s="6">
        <v>1</v>
      </c>
      <c r="O41" s="30">
        <v>0</v>
      </c>
      <c r="Y41" s="6" t="s">
        <v>24</v>
      </c>
      <c r="Z41" s="6">
        <v>1</v>
      </c>
      <c r="AA41" s="30">
        <v>0</v>
      </c>
    </row>
    <row r="42" spans="1:27">
      <c r="A42" s="6" t="s">
        <v>27</v>
      </c>
      <c r="B42" s="6">
        <v>3</v>
      </c>
      <c r="C42" s="30">
        <v>0</v>
      </c>
      <c r="M42" s="6" t="s">
        <v>59</v>
      </c>
      <c r="N42" s="6">
        <v>1</v>
      </c>
      <c r="O42" s="30">
        <v>0</v>
      </c>
      <c r="Y42" s="6" t="s">
        <v>27</v>
      </c>
      <c r="Z42" s="6">
        <v>1</v>
      </c>
      <c r="AA42" s="30">
        <v>0</v>
      </c>
    </row>
    <row r="43" spans="1:27">
      <c r="A43" s="6" t="s">
        <v>24</v>
      </c>
      <c r="B43" s="6">
        <v>3</v>
      </c>
      <c r="C43" s="30">
        <v>0</v>
      </c>
      <c r="M43" s="6" t="s">
        <v>28</v>
      </c>
      <c r="N43" s="6">
        <v>1</v>
      </c>
      <c r="O43" s="30">
        <v>0</v>
      </c>
      <c r="Y43" s="6" t="s">
        <v>68</v>
      </c>
      <c r="Z43" s="6">
        <v>2</v>
      </c>
      <c r="AA43" s="30">
        <v>0</v>
      </c>
    </row>
    <row r="44" spans="1:27">
      <c r="A44" s="6" t="s">
        <v>43</v>
      </c>
      <c r="B44" s="6">
        <v>3</v>
      </c>
      <c r="C44" s="30">
        <v>0</v>
      </c>
      <c r="Y44" s="6" t="s">
        <v>22</v>
      </c>
      <c r="Z44" s="6">
        <v>2</v>
      </c>
      <c r="AA44" s="30">
        <v>0</v>
      </c>
    </row>
    <row r="45" spans="1:27">
      <c r="A45" s="6" t="s">
        <v>68</v>
      </c>
      <c r="B45" s="6">
        <v>2</v>
      </c>
      <c r="C45" s="30">
        <v>0</v>
      </c>
      <c r="Y45" s="6" t="s">
        <v>57</v>
      </c>
      <c r="Z45" s="6">
        <v>1</v>
      </c>
      <c r="AA45" s="30">
        <v>0</v>
      </c>
    </row>
    <row r="46" spans="1:27">
      <c r="A46" s="6" t="s">
        <v>57</v>
      </c>
      <c r="B46" s="6">
        <v>1</v>
      </c>
      <c r="C46" s="30">
        <v>0</v>
      </c>
      <c r="Y46" s="6" t="s">
        <v>15</v>
      </c>
      <c r="Z46" s="6">
        <v>1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58</v>
      </c>
      <c r="Z47" s="6">
        <v>1</v>
      </c>
      <c r="AA47" s="30">
        <v>0</v>
      </c>
    </row>
    <row r="48" spans="1:27">
      <c r="A48" s="6" t="s">
        <v>69</v>
      </c>
      <c r="B48" s="6">
        <v>3</v>
      </c>
      <c r="C48" s="30">
        <v>0</v>
      </c>
      <c r="Y48" s="6" t="s">
        <v>61</v>
      </c>
      <c r="Z48" s="6">
        <v>1</v>
      </c>
      <c r="AA48" s="30">
        <v>0</v>
      </c>
    </row>
    <row r="49" spans="1:27">
      <c r="A49" s="6" t="s">
        <v>39</v>
      </c>
      <c r="B49" s="6">
        <v>1</v>
      </c>
      <c r="C49" s="30">
        <v>0</v>
      </c>
      <c r="Y49" s="6" t="s">
        <v>49</v>
      </c>
      <c r="Z49" s="6">
        <v>1</v>
      </c>
      <c r="AA49" s="30">
        <v>0</v>
      </c>
    </row>
    <row r="50" spans="1:27">
      <c r="A50" s="6" t="s">
        <v>15</v>
      </c>
      <c r="B50" s="6">
        <v>1</v>
      </c>
      <c r="C50" s="30">
        <v>0</v>
      </c>
      <c r="Y50" s="6" t="s">
        <v>32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25</v>
      </c>
      <c r="Z51" s="6">
        <v>1</v>
      </c>
      <c r="AA51" s="30">
        <v>0</v>
      </c>
    </row>
    <row r="52" spans="1:27">
      <c r="A52" s="6" t="s">
        <v>148</v>
      </c>
      <c r="B52" s="6">
        <v>1</v>
      </c>
      <c r="C52" s="30">
        <v>0</v>
      </c>
    </row>
    <row r="53" spans="1:27">
      <c r="A53" s="6" t="s">
        <v>59</v>
      </c>
      <c r="B53" s="6">
        <v>1</v>
      </c>
      <c r="C53" s="30">
        <v>0</v>
      </c>
    </row>
    <row r="54" spans="1:27">
      <c r="A54" s="6" t="s">
        <v>49</v>
      </c>
      <c r="B54" s="6">
        <v>1</v>
      </c>
      <c r="C54" s="30">
        <v>0</v>
      </c>
    </row>
    <row r="55" spans="1:27">
      <c r="A55" s="6" t="s">
        <v>32</v>
      </c>
      <c r="B55" s="6">
        <v>1</v>
      </c>
      <c r="C55" s="30">
        <v>0</v>
      </c>
    </row>
    <row r="56" spans="1:27">
      <c r="A56" s="6" t="s">
        <v>28</v>
      </c>
      <c r="B56" s="6">
        <v>1</v>
      </c>
      <c r="C56" s="30">
        <v>0</v>
      </c>
    </row>
    <row r="57" spans="1:27">
      <c r="A57" s="6" t="s">
        <v>61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141D-61C4-46B3-BDB6-85F2E913BACC}">
  <sheetPr codeName="Sheet14"/>
  <dimension ref="A1:AI59"/>
  <sheetViews>
    <sheetView topLeftCell="R1" workbookViewId="0">
      <selection activeCell="V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73710</v>
      </c>
      <c r="E2" s="41" t="s">
        <v>4</v>
      </c>
      <c r="F2" s="23" t="s">
        <v>105</v>
      </c>
      <c r="G2" s="23">
        <f>G3+G4</f>
        <v>75262</v>
      </c>
      <c r="H2" s="22"/>
      <c r="I2" s="41" t="s">
        <v>6</v>
      </c>
      <c r="J2" s="23" t="s">
        <v>105</v>
      </c>
      <c r="K2" s="23">
        <f>K3+K4</f>
        <v>73376</v>
      </c>
      <c r="M2" s="41" t="s">
        <v>104</v>
      </c>
      <c r="N2" s="23" t="s">
        <v>105</v>
      </c>
      <c r="O2" s="23">
        <f>O3+O4</f>
        <v>21035</v>
      </c>
      <c r="Q2" s="41" t="s">
        <v>4</v>
      </c>
      <c r="R2" s="23" t="s">
        <v>105</v>
      </c>
      <c r="S2" s="23">
        <f>S3+S4</f>
        <v>22904</v>
      </c>
      <c r="T2" s="22"/>
      <c r="U2" s="41" t="s">
        <v>6</v>
      </c>
      <c r="V2" s="23" t="s">
        <v>105</v>
      </c>
      <c r="W2" s="23">
        <f>W3+W4</f>
        <v>22106</v>
      </c>
      <c r="Y2" s="41" t="s">
        <v>104</v>
      </c>
      <c r="Z2" s="23" t="s">
        <v>105</v>
      </c>
      <c r="AA2" s="23">
        <f>AA3+AA4</f>
        <v>52663</v>
      </c>
      <c r="AC2" s="41" t="s">
        <v>4</v>
      </c>
      <c r="AD2" s="23" t="s">
        <v>105</v>
      </c>
      <c r="AE2" s="23">
        <f>AE3+AE4</f>
        <v>52359</v>
      </c>
      <c r="AF2" s="22"/>
      <c r="AG2" s="41" t="s">
        <v>6</v>
      </c>
      <c r="AH2" s="23" t="s">
        <v>105</v>
      </c>
      <c r="AI2" s="23">
        <f>AI3+AI4</f>
        <v>51272</v>
      </c>
    </row>
    <row r="3" spans="1:35">
      <c r="A3" s="42"/>
      <c r="B3" s="24" t="s">
        <v>106</v>
      </c>
      <c r="C3" s="24">
        <f>B8</f>
        <v>72200</v>
      </c>
      <c r="E3" s="42"/>
      <c r="F3" s="24" t="s">
        <v>106</v>
      </c>
      <c r="G3" s="24">
        <f>F8</f>
        <v>75017</v>
      </c>
      <c r="H3" s="22"/>
      <c r="I3" s="42"/>
      <c r="J3" s="24" t="s">
        <v>106</v>
      </c>
      <c r="K3" s="24">
        <f>J8</f>
        <v>73323</v>
      </c>
      <c r="M3" s="42"/>
      <c r="N3" s="24" t="s">
        <v>106</v>
      </c>
      <c r="O3" s="24">
        <f>N8</f>
        <v>20755</v>
      </c>
      <c r="Q3" s="42"/>
      <c r="R3" s="24" t="s">
        <v>106</v>
      </c>
      <c r="S3" s="24">
        <f>R8</f>
        <v>22819</v>
      </c>
      <c r="T3" s="22"/>
      <c r="U3" s="42"/>
      <c r="V3" s="24" t="s">
        <v>106</v>
      </c>
      <c r="W3" s="24">
        <f>V8</f>
        <v>22091</v>
      </c>
      <c r="Y3" s="42"/>
      <c r="Z3" s="24" t="s">
        <v>106</v>
      </c>
      <c r="AA3" s="24">
        <f>Z8</f>
        <v>51445</v>
      </c>
      <c r="AC3" s="42"/>
      <c r="AD3" s="24" t="s">
        <v>106</v>
      </c>
      <c r="AE3" s="24">
        <f>AD8</f>
        <v>52198</v>
      </c>
      <c r="AF3" s="22"/>
      <c r="AG3" s="42"/>
      <c r="AH3" s="24" t="s">
        <v>106</v>
      </c>
      <c r="AI3" s="24">
        <f>AH8</f>
        <v>51232</v>
      </c>
    </row>
    <row r="4" spans="1:35">
      <c r="A4" s="42"/>
      <c r="B4" s="25" t="s">
        <v>107</v>
      </c>
      <c r="C4" s="25">
        <f>SUM(B9:B66)</f>
        <v>1510</v>
      </c>
      <c r="E4" s="42"/>
      <c r="F4" s="25" t="s">
        <v>107</v>
      </c>
      <c r="G4" s="25">
        <f>SUM(F9:F33)</f>
        <v>245</v>
      </c>
      <c r="H4" s="22"/>
      <c r="I4" s="42"/>
      <c r="J4" s="25" t="s">
        <v>107</v>
      </c>
      <c r="K4" s="25">
        <f>SUM(J9:J31)</f>
        <v>53</v>
      </c>
      <c r="M4" s="42"/>
      <c r="N4" s="25" t="s">
        <v>107</v>
      </c>
      <c r="O4" s="25">
        <f>SUM(N9:N66)</f>
        <v>280</v>
      </c>
      <c r="Q4" s="42"/>
      <c r="R4" s="25" t="s">
        <v>107</v>
      </c>
      <c r="S4" s="25">
        <f>SUM(R9:R33)</f>
        <v>85</v>
      </c>
      <c r="T4" s="22"/>
      <c r="U4" s="42"/>
      <c r="V4" s="25" t="s">
        <v>107</v>
      </c>
      <c r="W4" s="25">
        <f>SUM(V9:V31)</f>
        <v>15</v>
      </c>
      <c r="Y4" s="42"/>
      <c r="Z4" s="25" t="s">
        <v>107</v>
      </c>
      <c r="AA4" s="25">
        <f>SUM(Z9:Z45)</f>
        <v>1218</v>
      </c>
      <c r="AC4" s="42"/>
      <c r="AD4" s="25" t="s">
        <v>107</v>
      </c>
      <c r="AE4" s="25">
        <f>SUM(AD9:AD29)</f>
        <v>161</v>
      </c>
      <c r="AF4" s="22"/>
      <c r="AG4" s="42"/>
      <c r="AH4" s="25" t="s">
        <v>107</v>
      </c>
      <c r="AI4" s="25">
        <f>SUM(AH9:AH29)</f>
        <v>40</v>
      </c>
    </row>
    <row r="5" spans="1:35">
      <c r="A5" s="43"/>
      <c r="B5" s="23" t="s">
        <v>108</v>
      </c>
      <c r="C5" s="26">
        <f>SUM(C9:C179)</f>
        <v>2.0299999999999992E-2</v>
      </c>
      <c r="E5" s="43"/>
      <c r="F5" s="23" t="s">
        <v>108</v>
      </c>
      <c r="G5" s="26">
        <f>SUM(G9:G33)</f>
        <v>3.1999999999999993E-3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1.2699999999999994E-2</v>
      </c>
      <c r="Q5" s="43"/>
      <c r="R5" s="23" t="s">
        <v>108</v>
      </c>
      <c r="S5" s="26">
        <f>SUM(S9:S33)</f>
        <v>3.4999999999999996E-3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2.3299999999999987E-2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72200</v>
      </c>
      <c r="C8" s="9">
        <v>0.97950000000000004</v>
      </c>
      <c r="E8" s="6" t="s">
        <v>112</v>
      </c>
      <c r="F8" s="29">
        <v>75017</v>
      </c>
      <c r="G8" s="9">
        <v>0.99670000000000003</v>
      </c>
      <c r="I8" s="6" t="s">
        <v>112</v>
      </c>
      <c r="J8" s="29">
        <v>73323</v>
      </c>
      <c r="K8" s="9">
        <v>0.99929999999999997</v>
      </c>
      <c r="M8" s="6" t="s">
        <v>112</v>
      </c>
      <c r="N8" s="29">
        <v>20755</v>
      </c>
      <c r="O8" s="9">
        <v>0.98670000000000002</v>
      </c>
      <c r="Q8" s="6" t="s">
        <v>112</v>
      </c>
      <c r="R8" s="29">
        <v>22819</v>
      </c>
      <c r="S8" s="9">
        <v>0.99629999999999996</v>
      </c>
      <c r="U8" s="6" t="s">
        <v>112</v>
      </c>
      <c r="V8" s="29">
        <v>22091</v>
      </c>
      <c r="W8" s="9">
        <v>0.99929999999999997</v>
      </c>
      <c r="Y8" s="6" t="s">
        <v>112</v>
      </c>
      <c r="Z8" s="29">
        <v>51445</v>
      </c>
      <c r="AA8" s="9">
        <v>0.97660000000000002</v>
      </c>
      <c r="AC8" s="6" t="s">
        <v>112</v>
      </c>
      <c r="AD8" s="29">
        <v>52198</v>
      </c>
      <c r="AE8" s="9">
        <v>0.99690000000000001</v>
      </c>
      <c r="AG8" s="6" t="s">
        <v>112</v>
      </c>
      <c r="AH8" s="29">
        <v>51232</v>
      </c>
      <c r="AI8" s="9">
        <v>0.99919999999999998</v>
      </c>
    </row>
    <row r="9" spans="1:35">
      <c r="A9" s="6" t="s">
        <v>2</v>
      </c>
      <c r="B9" s="6">
        <v>391</v>
      </c>
      <c r="C9" s="9">
        <v>5.3E-3</v>
      </c>
      <c r="E9" s="6" t="s">
        <v>122</v>
      </c>
      <c r="F9" s="6">
        <v>132</v>
      </c>
      <c r="G9" s="9">
        <v>1.8E-3</v>
      </c>
      <c r="I9" s="6" t="s">
        <v>2</v>
      </c>
      <c r="J9" s="6">
        <v>21</v>
      </c>
      <c r="K9" s="9">
        <v>2.9999999999999997E-4</v>
      </c>
      <c r="M9" s="6" t="s">
        <v>2</v>
      </c>
      <c r="N9" s="6">
        <v>99</v>
      </c>
      <c r="O9" s="9">
        <v>4.7000000000000002E-3</v>
      </c>
      <c r="Q9" s="6" t="s">
        <v>122</v>
      </c>
      <c r="R9" s="6">
        <v>49</v>
      </c>
      <c r="S9" s="9">
        <v>2.0999999999999999E-3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292</v>
      </c>
      <c r="AA9" s="9">
        <v>5.4999999999999997E-3</v>
      </c>
      <c r="AC9" s="6" t="s">
        <v>122</v>
      </c>
      <c r="AD9" s="6">
        <v>83</v>
      </c>
      <c r="AE9" s="9">
        <v>1.6000000000000001E-3</v>
      </c>
      <c r="AG9" s="6" t="s">
        <v>2</v>
      </c>
      <c r="AH9" s="6">
        <v>15</v>
      </c>
      <c r="AI9" s="9">
        <v>2.9999999999999997E-4</v>
      </c>
    </row>
    <row r="10" spans="1:35">
      <c r="A10" s="6" t="s">
        <v>5</v>
      </c>
      <c r="B10" s="6">
        <v>255</v>
      </c>
      <c r="C10" s="9">
        <v>3.5000000000000001E-3</v>
      </c>
      <c r="E10" s="6" t="s">
        <v>83</v>
      </c>
      <c r="F10" s="6">
        <v>31</v>
      </c>
      <c r="G10" s="9">
        <v>4.0000000000000002E-4</v>
      </c>
      <c r="I10" s="6" t="s">
        <v>98</v>
      </c>
      <c r="J10" s="6">
        <v>8</v>
      </c>
      <c r="K10" s="9">
        <v>1E-4</v>
      </c>
      <c r="M10" s="6" t="s">
        <v>3</v>
      </c>
      <c r="N10" s="6">
        <v>37</v>
      </c>
      <c r="O10" s="9">
        <v>1.8E-3</v>
      </c>
      <c r="Q10" s="6" t="s">
        <v>74</v>
      </c>
      <c r="R10" s="6">
        <v>15</v>
      </c>
      <c r="S10" s="9">
        <v>6.9999999999999999E-4</v>
      </c>
      <c r="U10" s="6" t="s">
        <v>98</v>
      </c>
      <c r="V10" s="6">
        <v>4</v>
      </c>
      <c r="W10" s="9">
        <v>2.0000000000000001E-4</v>
      </c>
      <c r="Y10" s="6" t="s">
        <v>5</v>
      </c>
      <c r="Z10" s="6">
        <v>245</v>
      </c>
      <c r="AA10" s="9">
        <v>4.7000000000000002E-3</v>
      </c>
      <c r="AC10" s="6" t="s">
        <v>83</v>
      </c>
      <c r="AD10" s="6">
        <v>31</v>
      </c>
      <c r="AE10" s="9">
        <v>5.9999999999999995E-4</v>
      </c>
      <c r="AG10" s="6" t="s">
        <v>113</v>
      </c>
      <c r="AH10" s="6">
        <v>8</v>
      </c>
      <c r="AI10" s="9">
        <v>2.0000000000000001E-4</v>
      </c>
    </row>
    <row r="11" spans="1:35">
      <c r="A11" s="6" t="s">
        <v>3</v>
      </c>
      <c r="B11" s="6">
        <v>155</v>
      </c>
      <c r="C11" s="9">
        <v>2.0999999999999999E-3</v>
      </c>
      <c r="E11" s="6" t="s">
        <v>74</v>
      </c>
      <c r="F11" s="6">
        <v>23</v>
      </c>
      <c r="G11" s="9">
        <v>2.9999999999999997E-4</v>
      </c>
      <c r="I11" s="6" t="s">
        <v>102</v>
      </c>
      <c r="J11" s="6">
        <v>4</v>
      </c>
      <c r="K11" s="9">
        <v>1E-4</v>
      </c>
      <c r="M11" s="6" t="s">
        <v>24</v>
      </c>
      <c r="N11" s="6">
        <v>15</v>
      </c>
      <c r="O11" s="9">
        <v>6.9999999999999999E-4</v>
      </c>
      <c r="Q11" s="6" t="s">
        <v>76</v>
      </c>
      <c r="R11" s="6">
        <v>8</v>
      </c>
      <c r="S11" s="9">
        <v>2.9999999999999997E-4</v>
      </c>
      <c r="U11" s="6" t="s">
        <v>113</v>
      </c>
      <c r="V11" s="6">
        <v>2</v>
      </c>
      <c r="W11" s="9">
        <v>1E-4</v>
      </c>
      <c r="Y11" s="6" t="s">
        <v>9</v>
      </c>
      <c r="Z11" s="6">
        <v>133</v>
      </c>
      <c r="AA11" s="9">
        <v>2.5000000000000001E-3</v>
      </c>
      <c r="AC11" s="6" t="s">
        <v>74</v>
      </c>
      <c r="AD11" s="6">
        <v>8</v>
      </c>
      <c r="AE11" s="9">
        <v>2.0000000000000001E-4</v>
      </c>
      <c r="AG11" s="6" t="s">
        <v>98</v>
      </c>
      <c r="AH11" s="6">
        <v>4</v>
      </c>
      <c r="AI11" s="9">
        <v>1E-4</v>
      </c>
    </row>
    <row r="12" spans="1:35">
      <c r="A12" s="6" t="s">
        <v>9</v>
      </c>
      <c r="B12" s="6">
        <v>145</v>
      </c>
      <c r="C12" s="9">
        <v>2E-3</v>
      </c>
      <c r="E12" s="6" t="s">
        <v>76</v>
      </c>
      <c r="F12" s="6">
        <v>14</v>
      </c>
      <c r="G12" s="9">
        <v>2.0000000000000001E-4</v>
      </c>
      <c r="I12" s="6" t="s">
        <v>99</v>
      </c>
      <c r="J12" s="6">
        <v>6</v>
      </c>
      <c r="K12" s="9">
        <v>1E-4</v>
      </c>
      <c r="M12" s="6" t="s">
        <v>7</v>
      </c>
      <c r="N12" s="6">
        <v>14</v>
      </c>
      <c r="O12" s="9">
        <v>6.9999999999999999E-4</v>
      </c>
      <c r="Q12" s="6" t="s">
        <v>77</v>
      </c>
      <c r="R12" s="6">
        <v>4</v>
      </c>
      <c r="S12" s="9">
        <v>2.0000000000000001E-4</v>
      </c>
      <c r="U12" s="6" t="s">
        <v>102</v>
      </c>
      <c r="V12" s="6">
        <v>1</v>
      </c>
      <c r="W12" s="30">
        <v>0</v>
      </c>
      <c r="Y12" s="6" t="s">
        <v>8</v>
      </c>
      <c r="Z12" s="6">
        <v>118</v>
      </c>
      <c r="AA12" s="9">
        <v>2.2000000000000001E-3</v>
      </c>
      <c r="AC12" s="6" t="s">
        <v>92</v>
      </c>
      <c r="AD12" s="6">
        <v>4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121</v>
      </c>
      <c r="C13" s="9">
        <v>1.6000000000000001E-3</v>
      </c>
      <c r="E13" s="6" t="s">
        <v>92</v>
      </c>
      <c r="F13" s="6">
        <v>4</v>
      </c>
      <c r="G13" s="9">
        <v>1E-4</v>
      </c>
      <c r="I13" s="6" t="s">
        <v>113</v>
      </c>
      <c r="J13" s="6">
        <v>10</v>
      </c>
      <c r="K13" s="9">
        <v>1E-4</v>
      </c>
      <c r="M13" s="6" t="s">
        <v>10</v>
      </c>
      <c r="N13" s="6">
        <v>12</v>
      </c>
      <c r="O13" s="9">
        <v>5.9999999999999995E-4</v>
      </c>
      <c r="Q13" s="6" t="s">
        <v>86</v>
      </c>
      <c r="R13" s="6">
        <v>3</v>
      </c>
      <c r="S13" s="9">
        <v>1E-4</v>
      </c>
      <c r="U13" s="6" t="s">
        <v>103</v>
      </c>
      <c r="V13" s="6">
        <v>1</v>
      </c>
      <c r="W13" s="30">
        <v>0</v>
      </c>
      <c r="Y13" s="6" t="s">
        <v>3</v>
      </c>
      <c r="Z13" s="6">
        <v>118</v>
      </c>
      <c r="AA13" s="9">
        <v>2.2000000000000001E-3</v>
      </c>
      <c r="AC13" s="6" t="s">
        <v>76</v>
      </c>
      <c r="AD13" s="6">
        <v>6</v>
      </c>
      <c r="AE13" s="9">
        <v>1E-4</v>
      </c>
      <c r="AG13" s="6" t="s">
        <v>99</v>
      </c>
      <c r="AH13" s="6">
        <v>6</v>
      </c>
      <c r="AI13" s="9">
        <v>1E-4</v>
      </c>
    </row>
    <row r="14" spans="1:35">
      <c r="A14" s="6" t="s">
        <v>7</v>
      </c>
      <c r="B14" s="6">
        <v>51</v>
      </c>
      <c r="C14" s="9">
        <v>6.9999999999999999E-4</v>
      </c>
      <c r="E14" s="6" t="s">
        <v>77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12</v>
      </c>
      <c r="O14" s="9">
        <v>5.9999999999999995E-4</v>
      </c>
      <c r="Q14" s="6" t="s">
        <v>78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37</v>
      </c>
      <c r="Z14" s="6">
        <v>36</v>
      </c>
      <c r="AA14" s="9">
        <v>6.9999999999999999E-4</v>
      </c>
      <c r="AC14" s="6" t="s">
        <v>77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37</v>
      </c>
      <c r="B15" s="6">
        <v>42</v>
      </c>
      <c r="C15" s="9">
        <v>5.9999999999999995E-4</v>
      </c>
      <c r="E15" s="6" t="s">
        <v>86</v>
      </c>
      <c r="F15" s="6">
        <v>10</v>
      </c>
      <c r="G15" s="9">
        <v>1E-4</v>
      </c>
      <c r="I15" s="6" t="s">
        <v>103</v>
      </c>
      <c r="J15" s="6">
        <v>2</v>
      </c>
      <c r="K15" s="30">
        <v>0</v>
      </c>
      <c r="M15" s="6" t="s">
        <v>11</v>
      </c>
      <c r="N15" s="6">
        <v>12</v>
      </c>
      <c r="O15" s="9">
        <v>5.9999999999999995E-4</v>
      </c>
      <c r="Q15" s="6" t="s">
        <v>145</v>
      </c>
      <c r="R15" s="6">
        <v>1</v>
      </c>
      <c r="S15" s="30">
        <v>0</v>
      </c>
      <c r="Y15" s="6" t="s">
        <v>7</v>
      </c>
      <c r="Z15" s="6">
        <v>37</v>
      </c>
      <c r="AA15" s="9">
        <v>6.9999999999999999E-4</v>
      </c>
      <c r="AC15" s="6" t="s">
        <v>79</v>
      </c>
      <c r="AD15" s="6">
        <v>6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41</v>
      </c>
      <c r="B16" s="6">
        <v>39</v>
      </c>
      <c r="C16" s="9">
        <v>5.0000000000000001E-4</v>
      </c>
      <c r="E16" s="6" t="s">
        <v>79</v>
      </c>
      <c r="F16" s="6">
        <v>7</v>
      </c>
      <c r="G16" s="9">
        <v>1E-4</v>
      </c>
      <c r="I16" s="6" t="s">
        <v>117</v>
      </c>
      <c r="J16" s="6">
        <v>1</v>
      </c>
      <c r="K16" s="30">
        <v>0</v>
      </c>
      <c r="M16" s="6" t="s">
        <v>5</v>
      </c>
      <c r="N16" s="6">
        <v>10</v>
      </c>
      <c r="O16" s="9">
        <v>5.0000000000000001E-4</v>
      </c>
      <c r="Q16" s="6" t="s">
        <v>75</v>
      </c>
      <c r="R16" s="6">
        <v>1</v>
      </c>
      <c r="S16" s="30">
        <v>0</v>
      </c>
      <c r="Y16" s="6" t="s">
        <v>41</v>
      </c>
      <c r="Z16" s="6">
        <v>30</v>
      </c>
      <c r="AA16" s="9">
        <v>5.9999999999999995E-4</v>
      </c>
      <c r="AC16" s="6" t="s">
        <v>86</v>
      </c>
      <c r="AD16" s="6">
        <v>7</v>
      </c>
      <c r="AE16" s="9">
        <v>1E-4</v>
      </c>
      <c r="AG16" s="6" t="s">
        <v>117</v>
      </c>
      <c r="AH16" s="6">
        <v>1</v>
      </c>
      <c r="AI16" s="30">
        <v>0</v>
      </c>
    </row>
    <row r="17" spans="1:31">
      <c r="A17" s="6" t="s">
        <v>11</v>
      </c>
      <c r="B17" s="6">
        <v>35</v>
      </c>
      <c r="C17" s="9">
        <v>5.0000000000000001E-4</v>
      </c>
      <c r="E17" s="6" t="s">
        <v>75</v>
      </c>
      <c r="F17" s="6">
        <v>6</v>
      </c>
      <c r="G17" s="9">
        <v>1E-4</v>
      </c>
      <c r="M17" s="6" t="s">
        <v>41</v>
      </c>
      <c r="N17" s="6">
        <v>9</v>
      </c>
      <c r="O17" s="9">
        <v>4.0000000000000002E-4</v>
      </c>
      <c r="Q17" s="6" t="s">
        <v>79</v>
      </c>
      <c r="R17" s="6">
        <v>1</v>
      </c>
      <c r="S17" s="30">
        <v>0</v>
      </c>
      <c r="Y17" s="6" t="s">
        <v>14</v>
      </c>
      <c r="Z17" s="6">
        <v>26</v>
      </c>
      <c r="AA17" s="9">
        <v>5.0000000000000001E-4</v>
      </c>
      <c r="AC17" s="6" t="s">
        <v>75</v>
      </c>
      <c r="AD17" s="6">
        <v>5</v>
      </c>
      <c r="AE17" s="9">
        <v>1E-4</v>
      </c>
    </row>
    <row r="18" spans="1:31">
      <c r="A18" s="6" t="s">
        <v>14</v>
      </c>
      <c r="B18" s="6">
        <v>27</v>
      </c>
      <c r="C18" s="9">
        <v>4.0000000000000002E-4</v>
      </c>
      <c r="E18" s="6" t="s">
        <v>87</v>
      </c>
      <c r="F18" s="6">
        <v>1</v>
      </c>
      <c r="G18" s="30">
        <v>0</v>
      </c>
      <c r="M18" s="6" t="s">
        <v>37</v>
      </c>
      <c r="N18" s="6">
        <v>6</v>
      </c>
      <c r="O18" s="9">
        <v>2.9999999999999997E-4</v>
      </c>
      <c r="Q18" s="6" t="s">
        <v>80</v>
      </c>
      <c r="R18" s="6">
        <v>1</v>
      </c>
      <c r="S18" s="30">
        <v>0</v>
      </c>
      <c r="Y18" s="6" t="s">
        <v>11</v>
      </c>
      <c r="Z18" s="6">
        <v>23</v>
      </c>
      <c r="AA18" s="9">
        <v>4.0000000000000002E-4</v>
      </c>
      <c r="AC18" s="6" t="s">
        <v>87</v>
      </c>
      <c r="AD18" s="6">
        <v>1</v>
      </c>
      <c r="AE18" s="30">
        <v>0</v>
      </c>
    </row>
    <row r="19" spans="1:31">
      <c r="A19" s="6" t="s">
        <v>10</v>
      </c>
      <c r="B19" s="6">
        <v>20</v>
      </c>
      <c r="C19" s="9">
        <v>2.9999999999999997E-4</v>
      </c>
      <c r="E19" s="6" t="s">
        <v>80</v>
      </c>
      <c r="F19" s="6">
        <v>2</v>
      </c>
      <c r="G19" s="30">
        <v>0</v>
      </c>
      <c r="M19" s="6" t="s">
        <v>45</v>
      </c>
      <c r="N19" s="6">
        <v>5</v>
      </c>
      <c r="O19" s="9">
        <v>2.0000000000000001E-4</v>
      </c>
      <c r="Y19" s="6" t="s">
        <v>21</v>
      </c>
      <c r="Z19" s="6">
        <v>14</v>
      </c>
      <c r="AA19" s="9">
        <v>2.9999999999999997E-4</v>
      </c>
      <c r="AC19" s="6" t="s">
        <v>80</v>
      </c>
      <c r="AD19" s="6">
        <v>2</v>
      </c>
      <c r="AE19" s="30">
        <v>0</v>
      </c>
    </row>
    <row r="20" spans="1:31">
      <c r="A20" s="6" t="s">
        <v>24</v>
      </c>
      <c r="B20" s="6">
        <v>19</v>
      </c>
      <c r="C20" s="9">
        <v>2.9999999999999997E-4</v>
      </c>
      <c r="E20" s="6" t="s">
        <v>82</v>
      </c>
      <c r="F20" s="6">
        <v>1</v>
      </c>
      <c r="G20" s="30">
        <v>0</v>
      </c>
      <c r="M20" s="6" t="s">
        <v>21</v>
      </c>
      <c r="N20" s="6">
        <v>4</v>
      </c>
      <c r="O20" s="9">
        <v>2.0000000000000001E-4</v>
      </c>
      <c r="Y20" s="6" t="s">
        <v>46</v>
      </c>
      <c r="Z20" s="6">
        <v>14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21</v>
      </c>
      <c r="B21" s="6">
        <v>18</v>
      </c>
      <c r="C21" s="9">
        <v>2.0000000000000001E-4</v>
      </c>
      <c r="E21" s="6" t="s">
        <v>78</v>
      </c>
      <c r="F21" s="6">
        <v>3</v>
      </c>
      <c r="G21" s="30">
        <v>0</v>
      </c>
      <c r="M21" s="6" t="s">
        <v>17</v>
      </c>
      <c r="N21" s="6">
        <v>5</v>
      </c>
      <c r="O21" s="9">
        <v>2.0000000000000001E-4</v>
      </c>
      <c r="Y21" s="6" t="s">
        <v>10</v>
      </c>
      <c r="Z21" s="6">
        <v>8</v>
      </c>
      <c r="AA21" s="9">
        <v>2.0000000000000001E-4</v>
      </c>
      <c r="AC21" s="6" t="s">
        <v>84</v>
      </c>
      <c r="AD21" s="6">
        <v>1</v>
      </c>
      <c r="AE21" s="30">
        <v>0</v>
      </c>
    </row>
    <row r="22" spans="1:31">
      <c r="A22" s="6" t="s">
        <v>45</v>
      </c>
      <c r="B22" s="6">
        <v>12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33</v>
      </c>
      <c r="N22" s="6">
        <v>3</v>
      </c>
      <c r="O22" s="9">
        <v>1E-4</v>
      </c>
      <c r="Y22" s="6" t="s">
        <v>20</v>
      </c>
      <c r="Z22" s="6">
        <v>12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20</v>
      </c>
      <c r="B23" s="6">
        <v>14</v>
      </c>
      <c r="C23" s="9">
        <v>2.0000000000000001E-4</v>
      </c>
      <c r="E23" s="6" t="s">
        <v>84</v>
      </c>
      <c r="F23" s="6">
        <v>1</v>
      </c>
      <c r="G23" s="30">
        <v>0</v>
      </c>
      <c r="M23" s="6" t="s">
        <v>20</v>
      </c>
      <c r="N23" s="6">
        <v>2</v>
      </c>
      <c r="O23" s="9">
        <v>1E-4</v>
      </c>
      <c r="Y23" s="6" t="s">
        <v>17</v>
      </c>
      <c r="Z23" s="6">
        <v>8</v>
      </c>
      <c r="AA23" s="9">
        <v>2.0000000000000001E-4</v>
      </c>
      <c r="AC23" s="6" t="s">
        <v>78</v>
      </c>
      <c r="AD23" s="6">
        <v>1</v>
      </c>
      <c r="AE23" s="30">
        <v>0</v>
      </c>
    </row>
    <row r="24" spans="1:31">
      <c r="A24" s="6" t="s">
        <v>17</v>
      </c>
      <c r="B24" s="6">
        <v>13</v>
      </c>
      <c r="C24" s="9">
        <v>2.0000000000000001E-4</v>
      </c>
      <c r="E24" s="6" t="s">
        <v>91</v>
      </c>
      <c r="F24" s="6">
        <v>1</v>
      </c>
      <c r="G24" s="30">
        <v>0</v>
      </c>
      <c r="M24" s="6" t="s">
        <v>22</v>
      </c>
      <c r="N24" s="6">
        <v>3</v>
      </c>
      <c r="O24" s="9">
        <v>1E-4</v>
      </c>
      <c r="Y24" s="6" t="s">
        <v>12</v>
      </c>
      <c r="Z24" s="6">
        <v>8</v>
      </c>
      <c r="AA24" s="9">
        <v>2.0000000000000001E-4</v>
      </c>
    </row>
    <row r="25" spans="1:31">
      <c r="A25" s="6" t="s">
        <v>46</v>
      </c>
      <c r="B25" s="6">
        <v>14</v>
      </c>
      <c r="C25" s="9">
        <v>2.0000000000000001E-4</v>
      </c>
      <c r="M25" s="6" t="s">
        <v>26</v>
      </c>
      <c r="N25" s="6">
        <v>3</v>
      </c>
      <c r="O25" s="9">
        <v>1E-4</v>
      </c>
      <c r="Y25" s="6" t="s">
        <v>18</v>
      </c>
      <c r="Z25" s="6">
        <v>10</v>
      </c>
      <c r="AA25" s="9">
        <v>2.0000000000000001E-4</v>
      </c>
    </row>
    <row r="26" spans="1:31">
      <c r="A26" s="6" t="s">
        <v>19</v>
      </c>
      <c r="B26" s="6">
        <v>7</v>
      </c>
      <c r="C26" s="9">
        <v>1E-4</v>
      </c>
      <c r="M26" s="6" t="s">
        <v>31</v>
      </c>
      <c r="N26" s="6">
        <v>2</v>
      </c>
      <c r="O26" s="9">
        <v>1E-4</v>
      </c>
      <c r="Y26" s="6" t="s">
        <v>31</v>
      </c>
      <c r="Z26" s="6">
        <v>9</v>
      </c>
      <c r="AA26" s="9">
        <v>2.0000000000000001E-4</v>
      </c>
    </row>
    <row r="27" spans="1:31">
      <c r="A27" s="6" t="s">
        <v>33</v>
      </c>
      <c r="B27" s="6">
        <v>5</v>
      </c>
      <c r="C27" s="9">
        <v>1E-4</v>
      </c>
      <c r="M27" s="6" t="s">
        <v>8</v>
      </c>
      <c r="N27" s="6">
        <v>3</v>
      </c>
      <c r="O27" s="9">
        <v>1E-4</v>
      </c>
      <c r="Y27" s="6" t="s">
        <v>48</v>
      </c>
      <c r="Z27" s="6">
        <v>8</v>
      </c>
      <c r="AA27" s="9">
        <v>2.0000000000000001E-4</v>
      </c>
    </row>
    <row r="28" spans="1:31">
      <c r="A28" s="6" t="s">
        <v>13</v>
      </c>
      <c r="B28" s="6">
        <v>7</v>
      </c>
      <c r="C28" s="9">
        <v>1E-4</v>
      </c>
      <c r="M28" s="6" t="s">
        <v>12</v>
      </c>
      <c r="N28" s="6">
        <v>2</v>
      </c>
      <c r="O28" s="9">
        <v>1E-4</v>
      </c>
      <c r="Y28" s="6" t="s">
        <v>19</v>
      </c>
      <c r="Z28" s="6">
        <v>6</v>
      </c>
      <c r="AA28" s="9">
        <v>1E-4</v>
      </c>
    </row>
    <row r="29" spans="1:31">
      <c r="A29" s="6" t="s">
        <v>12</v>
      </c>
      <c r="B29" s="6">
        <v>10</v>
      </c>
      <c r="C29" s="9">
        <v>1E-4</v>
      </c>
      <c r="M29" s="6" t="s">
        <v>27</v>
      </c>
      <c r="N29" s="6">
        <v>2</v>
      </c>
      <c r="O29" s="9">
        <v>1E-4</v>
      </c>
      <c r="Y29" s="6" t="s">
        <v>45</v>
      </c>
      <c r="Z29" s="6">
        <v>7</v>
      </c>
      <c r="AA29" s="9">
        <v>1E-4</v>
      </c>
    </row>
    <row r="30" spans="1:31">
      <c r="A30" s="6" t="s">
        <v>65</v>
      </c>
      <c r="B30" s="6">
        <v>5</v>
      </c>
      <c r="C30" s="9">
        <v>1E-4</v>
      </c>
      <c r="M30" s="6" t="s">
        <v>43</v>
      </c>
      <c r="N30" s="6">
        <v>2</v>
      </c>
      <c r="O30" s="9">
        <v>1E-4</v>
      </c>
      <c r="Y30" s="6" t="s">
        <v>13</v>
      </c>
      <c r="Z30" s="6">
        <v>6</v>
      </c>
      <c r="AA30" s="9">
        <v>1E-4</v>
      </c>
    </row>
    <row r="31" spans="1:31">
      <c r="A31" s="6" t="s">
        <v>18</v>
      </c>
      <c r="B31" s="6">
        <v>11</v>
      </c>
      <c r="C31" s="9">
        <v>1E-4</v>
      </c>
      <c r="M31" s="6" t="s">
        <v>29</v>
      </c>
      <c r="N31" s="6">
        <v>2</v>
      </c>
      <c r="O31" s="9">
        <v>1E-4</v>
      </c>
      <c r="Y31" s="6" t="s">
        <v>24</v>
      </c>
      <c r="Z31" s="6">
        <v>4</v>
      </c>
      <c r="AA31" s="9">
        <v>1E-4</v>
      </c>
    </row>
    <row r="32" spans="1:31">
      <c r="A32" s="6" t="s">
        <v>31</v>
      </c>
      <c r="B32" s="6">
        <v>11</v>
      </c>
      <c r="C32" s="9">
        <v>1E-4</v>
      </c>
      <c r="M32" s="6" t="s">
        <v>40</v>
      </c>
      <c r="N32" s="6">
        <v>2</v>
      </c>
      <c r="O32" s="9">
        <v>1E-4</v>
      </c>
      <c r="Y32" s="6" t="s">
        <v>16</v>
      </c>
      <c r="Z32" s="6">
        <v>4</v>
      </c>
      <c r="AA32" s="9">
        <v>1E-4</v>
      </c>
    </row>
    <row r="33" spans="1:27">
      <c r="A33" s="6" t="s">
        <v>16</v>
      </c>
      <c r="B33" s="6">
        <v>5</v>
      </c>
      <c r="C33" s="9">
        <v>1E-4</v>
      </c>
      <c r="M33" s="6" t="s">
        <v>69</v>
      </c>
      <c r="N33" s="6">
        <v>2</v>
      </c>
      <c r="O33" s="9">
        <v>1E-4</v>
      </c>
      <c r="Y33" s="6" t="s">
        <v>65</v>
      </c>
      <c r="Z33" s="6">
        <v>4</v>
      </c>
      <c r="AA33" s="9">
        <v>1E-4</v>
      </c>
    </row>
    <row r="34" spans="1:27">
      <c r="A34" s="6" t="s">
        <v>22</v>
      </c>
      <c r="B34" s="6">
        <v>4</v>
      </c>
      <c r="C34" s="9">
        <v>1E-4</v>
      </c>
      <c r="M34" s="6" t="s">
        <v>19</v>
      </c>
      <c r="N34" s="6">
        <v>1</v>
      </c>
      <c r="O34" s="30">
        <v>0</v>
      </c>
      <c r="Y34" s="6" t="s">
        <v>40</v>
      </c>
      <c r="Z34" s="6">
        <v>5</v>
      </c>
      <c r="AA34" s="9">
        <v>1E-4</v>
      </c>
    </row>
    <row r="35" spans="1:27">
      <c r="A35" s="6" t="s">
        <v>26</v>
      </c>
      <c r="B35" s="6">
        <v>9</v>
      </c>
      <c r="C35" s="9">
        <v>1E-4</v>
      </c>
      <c r="M35" s="6" t="s">
        <v>115</v>
      </c>
      <c r="N35" s="6">
        <v>1</v>
      </c>
      <c r="O35" s="30">
        <v>0</v>
      </c>
      <c r="Y35" s="6" t="s">
        <v>26</v>
      </c>
      <c r="Z35" s="6">
        <v>6</v>
      </c>
      <c r="AA35" s="9">
        <v>1E-4</v>
      </c>
    </row>
    <row r="36" spans="1:27">
      <c r="A36" s="6" t="s">
        <v>29</v>
      </c>
      <c r="B36" s="6">
        <v>8</v>
      </c>
      <c r="C36" s="9">
        <v>1E-4</v>
      </c>
      <c r="M36" s="6" t="s">
        <v>67</v>
      </c>
      <c r="N36" s="6">
        <v>1</v>
      </c>
      <c r="O36" s="30">
        <v>0</v>
      </c>
      <c r="Y36" s="6" t="s">
        <v>29</v>
      </c>
      <c r="Z36" s="6">
        <v>6</v>
      </c>
      <c r="AA36" s="9">
        <v>1E-4</v>
      </c>
    </row>
    <row r="37" spans="1:27">
      <c r="A37" s="6" t="s">
        <v>40</v>
      </c>
      <c r="B37" s="6">
        <v>7</v>
      </c>
      <c r="C37" s="9">
        <v>1E-4</v>
      </c>
      <c r="M37" s="6" t="s">
        <v>13</v>
      </c>
      <c r="N37" s="6">
        <v>1</v>
      </c>
      <c r="O37" s="30">
        <v>0</v>
      </c>
      <c r="Y37" s="6" t="s">
        <v>30</v>
      </c>
      <c r="Z37" s="6">
        <v>5</v>
      </c>
      <c r="AA37" s="9">
        <v>1E-4</v>
      </c>
    </row>
    <row r="38" spans="1:27">
      <c r="A38" s="6" t="s">
        <v>48</v>
      </c>
      <c r="B38" s="6">
        <v>8</v>
      </c>
      <c r="C38" s="9">
        <v>1E-4</v>
      </c>
      <c r="M38" s="6" t="s">
        <v>65</v>
      </c>
      <c r="N38" s="6">
        <v>1</v>
      </c>
      <c r="O38" s="30">
        <v>0</v>
      </c>
      <c r="Y38" s="6" t="s">
        <v>15</v>
      </c>
      <c r="Z38" s="6">
        <v>3</v>
      </c>
      <c r="AA38" s="9">
        <v>1E-4</v>
      </c>
    </row>
    <row r="39" spans="1:27">
      <c r="A39" s="6" t="s">
        <v>30</v>
      </c>
      <c r="B39" s="6">
        <v>6</v>
      </c>
      <c r="C39" s="9">
        <v>1E-4</v>
      </c>
      <c r="M39" s="6" t="s">
        <v>36</v>
      </c>
      <c r="N39" s="6">
        <v>1</v>
      </c>
      <c r="O39" s="30">
        <v>0</v>
      </c>
      <c r="Y39" s="6" t="s">
        <v>25</v>
      </c>
      <c r="Z39" s="6">
        <v>3</v>
      </c>
      <c r="AA39" s="9">
        <v>1E-4</v>
      </c>
    </row>
    <row r="40" spans="1:27">
      <c r="A40" s="6" t="s">
        <v>39</v>
      </c>
      <c r="B40" s="6">
        <v>4</v>
      </c>
      <c r="C40" s="9">
        <v>1E-4</v>
      </c>
      <c r="M40" s="6" t="s">
        <v>16</v>
      </c>
      <c r="N40" s="6">
        <v>1</v>
      </c>
      <c r="O40" s="30">
        <v>0</v>
      </c>
      <c r="Y40" s="6" t="s">
        <v>39</v>
      </c>
      <c r="Z40" s="6">
        <v>3</v>
      </c>
      <c r="AA40" s="9">
        <v>1E-4</v>
      </c>
    </row>
    <row r="41" spans="1:27">
      <c r="A41" s="6" t="s">
        <v>115</v>
      </c>
      <c r="B41" s="6">
        <v>2</v>
      </c>
      <c r="C41" s="30">
        <v>0</v>
      </c>
      <c r="M41" s="6" t="s">
        <v>18</v>
      </c>
      <c r="N41" s="6">
        <v>1</v>
      </c>
      <c r="O41" s="30">
        <v>0</v>
      </c>
      <c r="Y41" s="6" t="s">
        <v>115</v>
      </c>
      <c r="Z41" s="6">
        <v>1</v>
      </c>
      <c r="AA41" s="30">
        <v>0</v>
      </c>
    </row>
    <row r="42" spans="1:27">
      <c r="A42" s="6" t="s">
        <v>67</v>
      </c>
      <c r="B42" s="6">
        <v>1</v>
      </c>
      <c r="C42" s="30">
        <v>0</v>
      </c>
      <c r="M42" s="6" t="s">
        <v>30</v>
      </c>
      <c r="N42" s="6">
        <v>1</v>
      </c>
      <c r="O42" s="30">
        <v>0</v>
      </c>
      <c r="Y42" s="6" t="s">
        <v>33</v>
      </c>
      <c r="Z42" s="6">
        <v>2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39</v>
      </c>
      <c r="N43" s="6">
        <v>1</v>
      </c>
      <c r="O43" s="30">
        <v>0</v>
      </c>
      <c r="Y43" s="6" t="s">
        <v>36</v>
      </c>
      <c r="Z43" s="6">
        <v>2</v>
      </c>
      <c r="AA43" s="30">
        <v>0</v>
      </c>
    </row>
    <row r="44" spans="1:27">
      <c r="A44" s="6" t="s">
        <v>62</v>
      </c>
      <c r="B44" s="6">
        <v>1</v>
      </c>
      <c r="C44" s="30">
        <v>0</v>
      </c>
      <c r="M44" s="6" t="s">
        <v>58</v>
      </c>
      <c r="N44" s="6">
        <v>1</v>
      </c>
      <c r="O44" s="30">
        <v>0</v>
      </c>
      <c r="Y44" s="6" t="s">
        <v>66</v>
      </c>
      <c r="Z44" s="6">
        <v>1</v>
      </c>
      <c r="AA44" s="30">
        <v>0</v>
      </c>
    </row>
    <row r="45" spans="1:27">
      <c r="A45" s="6" t="s">
        <v>27</v>
      </c>
      <c r="B45" s="6">
        <v>3</v>
      </c>
      <c r="C45" s="30">
        <v>0</v>
      </c>
      <c r="M45" s="6" t="s">
        <v>14</v>
      </c>
      <c r="N45" s="6">
        <v>1</v>
      </c>
      <c r="O45" s="30">
        <v>0</v>
      </c>
      <c r="Y45" s="6" t="s">
        <v>22</v>
      </c>
      <c r="Z45" s="6">
        <v>1</v>
      </c>
      <c r="AA45" s="30">
        <v>0</v>
      </c>
    </row>
    <row r="46" spans="1:27">
      <c r="A46" s="6" t="s">
        <v>66</v>
      </c>
      <c r="B46" s="6">
        <v>1</v>
      </c>
      <c r="C46" s="30">
        <v>0</v>
      </c>
      <c r="Y46" s="6" t="s">
        <v>62</v>
      </c>
      <c r="Z46" s="6">
        <v>1</v>
      </c>
      <c r="AA46" s="30">
        <v>0</v>
      </c>
    </row>
    <row r="47" spans="1:27">
      <c r="A47" s="6" t="s">
        <v>15</v>
      </c>
      <c r="B47" s="6">
        <v>3</v>
      </c>
      <c r="C47" s="30">
        <v>0</v>
      </c>
      <c r="Y47" s="6" t="s">
        <v>27</v>
      </c>
      <c r="Z47" s="6">
        <v>1</v>
      </c>
      <c r="AA47" s="30">
        <v>0</v>
      </c>
    </row>
    <row r="48" spans="1:27">
      <c r="A48" s="6" t="s">
        <v>124</v>
      </c>
      <c r="B48" s="6">
        <v>1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25</v>
      </c>
      <c r="B49" s="6">
        <v>3</v>
      </c>
      <c r="C49" s="30">
        <v>0</v>
      </c>
      <c r="Y49" s="6" t="s">
        <v>32</v>
      </c>
      <c r="Z49" s="6">
        <v>2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32</v>
      </c>
      <c r="B51" s="6">
        <v>2</v>
      </c>
      <c r="C51" s="30">
        <v>0</v>
      </c>
      <c r="Y51" s="6" t="s">
        <v>38</v>
      </c>
      <c r="Z51" s="6">
        <v>1</v>
      </c>
      <c r="AA51" s="30">
        <v>0</v>
      </c>
    </row>
    <row r="52" spans="1:27">
      <c r="A52" s="6" t="s">
        <v>60</v>
      </c>
      <c r="B52" s="6">
        <v>1</v>
      </c>
      <c r="C52" s="30">
        <v>0</v>
      </c>
      <c r="Y52" s="6" t="s">
        <v>129</v>
      </c>
      <c r="Z52" s="6">
        <v>2</v>
      </c>
      <c r="AA52" s="30">
        <v>0</v>
      </c>
    </row>
    <row r="53" spans="1:27">
      <c r="A53" s="6" t="s">
        <v>59</v>
      </c>
      <c r="B53" s="6">
        <v>1</v>
      </c>
      <c r="C53" s="30">
        <v>0</v>
      </c>
      <c r="Y53" s="6" t="s">
        <v>49</v>
      </c>
      <c r="Z53" s="6">
        <v>1</v>
      </c>
      <c r="AA53" s="30">
        <v>0</v>
      </c>
    </row>
    <row r="54" spans="1:27">
      <c r="A54" s="6" t="s">
        <v>38</v>
      </c>
      <c r="B54" s="6">
        <v>1</v>
      </c>
      <c r="C54" s="30">
        <v>0</v>
      </c>
      <c r="Y54" s="6" t="s">
        <v>61</v>
      </c>
      <c r="Z54" s="6">
        <v>1</v>
      </c>
      <c r="AA54" s="30">
        <v>0</v>
      </c>
    </row>
    <row r="55" spans="1:27">
      <c r="A55" s="6" t="s">
        <v>69</v>
      </c>
      <c r="B55" s="6">
        <v>2</v>
      </c>
      <c r="C55" s="30">
        <v>0</v>
      </c>
      <c r="Y55" s="6" t="s">
        <v>124</v>
      </c>
      <c r="Z55" s="6">
        <v>1</v>
      </c>
      <c r="AA55" s="30">
        <v>0</v>
      </c>
    </row>
    <row r="56" spans="1:27">
      <c r="A56" s="6" t="s">
        <v>129</v>
      </c>
      <c r="B56" s="6">
        <v>2</v>
      </c>
      <c r="C56" s="30">
        <v>0</v>
      </c>
    </row>
    <row r="57" spans="1:27">
      <c r="A57" s="6" t="s">
        <v>49</v>
      </c>
      <c r="B57" s="6">
        <v>1</v>
      </c>
      <c r="C57" s="30">
        <v>0</v>
      </c>
    </row>
    <row r="58" spans="1:27">
      <c r="A58" s="6" t="s">
        <v>58</v>
      </c>
      <c r="B58" s="6">
        <v>1</v>
      </c>
      <c r="C58" s="30">
        <v>0</v>
      </c>
    </row>
    <row r="59" spans="1:27">
      <c r="A59" s="6" t="s">
        <v>61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A310D-E0F4-42F7-AEF1-0B7BC57282F0}">
  <sheetPr codeName="Sheet15"/>
  <dimension ref="A1:AI58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85761</v>
      </c>
      <c r="E2" s="41" t="s">
        <v>4</v>
      </c>
      <c r="F2" s="23" t="s">
        <v>105</v>
      </c>
      <c r="G2" s="23">
        <f>G3+G4</f>
        <v>78188</v>
      </c>
      <c r="H2" s="22"/>
      <c r="I2" s="41" t="s">
        <v>6</v>
      </c>
      <c r="J2" s="23" t="s">
        <v>105</v>
      </c>
      <c r="K2" s="23">
        <f>K3+K4</f>
        <v>79894</v>
      </c>
      <c r="M2" s="41" t="s">
        <v>104</v>
      </c>
      <c r="N2" s="23" t="s">
        <v>105</v>
      </c>
      <c r="O2" s="23">
        <f>O3+O4</f>
        <v>30802</v>
      </c>
      <c r="Q2" s="41" t="s">
        <v>4</v>
      </c>
      <c r="R2" s="23" t="s">
        <v>105</v>
      </c>
      <c r="S2" s="23">
        <f>S3+S4</f>
        <v>27077</v>
      </c>
      <c r="T2" s="22"/>
      <c r="U2" s="41" t="s">
        <v>6</v>
      </c>
      <c r="V2" s="23" t="s">
        <v>105</v>
      </c>
      <c r="W2" s="23">
        <f>W3+W4</f>
        <v>27532</v>
      </c>
      <c r="Y2" s="41" t="s">
        <v>104</v>
      </c>
      <c r="Z2" s="23" t="s">
        <v>105</v>
      </c>
      <c r="AA2" s="23">
        <f>AA3+AA4</f>
        <v>54952</v>
      </c>
      <c r="AC2" s="41" t="s">
        <v>4</v>
      </c>
      <c r="AD2" s="23" t="s">
        <v>105</v>
      </c>
      <c r="AE2" s="23">
        <f>AE3+AE4</f>
        <v>51112</v>
      </c>
      <c r="AF2" s="22"/>
      <c r="AG2" s="41" t="s">
        <v>6</v>
      </c>
      <c r="AH2" s="23" t="s">
        <v>105</v>
      </c>
      <c r="AI2" s="23">
        <f>AI3+AI4</f>
        <v>52364</v>
      </c>
    </row>
    <row r="3" spans="1:35">
      <c r="A3" s="42"/>
      <c r="B3" s="24" t="s">
        <v>106</v>
      </c>
      <c r="C3" s="24">
        <f>B8</f>
        <v>83950</v>
      </c>
      <c r="E3" s="42"/>
      <c r="F3" s="24" t="s">
        <v>106</v>
      </c>
      <c r="G3" s="24">
        <f>F8</f>
        <v>77927</v>
      </c>
      <c r="H3" s="22"/>
      <c r="I3" s="42"/>
      <c r="J3" s="24" t="s">
        <v>106</v>
      </c>
      <c r="K3" s="24">
        <f>J8</f>
        <v>79835</v>
      </c>
      <c r="M3" s="42"/>
      <c r="N3" s="24" t="s">
        <v>106</v>
      </c>
      <c r="O3" s="24">
        <f>N8</f>
        <v>30406</v>
      </c>
      <c r="Q3" s="42"/>
      <c r="R3" s="24" t="s">
        <v>106</v>
      </c>
      <c r="S3" s="24">
        <f>R8</f>
        <v>26954</v>
      </c>
      <c r="T3" s="22"/>
      <c r="U3" s="42"/>
      <c r="V3" s="24" t="s">
        <v>106</v>
      </c>
      <c r="W3" s="24">
        <f>V8</f>
        <v>27515</v>
      </c>
      <c r="Y3" s="42"/>
      <c r="Z3" s="24" t="s">
        <v>106</v>
      </c>
      <c r="AA3" s="24">
        <f>Z8</f>
        <v>53545</v>
      </c>
      <c r="AC3" s="42"/>
      <c r="AD3" s="24" t="s">
        <v>106</v>
      </c>
      <c r="AE3" s="24">
        <f>AD8</f>
        <v>50973</v>
      </c>
      <c r="AF3" s="22"/>
      <c r="AG3" s="42"/>
      <c r="AH3" s="24" t="s">
        <v>106</v>
      </c>
      <c r="AI3" s="24">
        <f>AH8</f>
        <v>52320</v>
      </c>
    </row>
    <row r="4" spans="1:35">
      <c r="A4" s="42"/>
      <c r="B4" s="25" t="s">
        <v>107</v>
      </c>
      <c r="C4" s="25">
        <f>SUM(B9:B66)</f>
        <v>1811</v>
      </c>
      <c r="E4" s="42"/>
      <c r="F4" s="25" t="s">
        <v>107</v>
      </c>
      <c r="G4" s="25">
        <f>SUM(F9:F33)</f>
        <v>261</v>
      </c>
      <c r="H4" s="22"/>
      <c r="I4" s="42"/>
      <c r="J4" s="25" t="s">
        <v>107</v>
      </c>
      <c r="K4" s="25">
        <f>SUM(J9:J31)</f>
        <v>59</v>
      </c>
      <c r="M4" s="42"/>
      <c r="N4" s="25" t="s">
        <v>107</v>
      </c>
      <c r="O4" s="25">
        <f>SUM(N9:N66)</f>
        <v>396</v>
      </c>
      <c r="Q4" s="42"/>
      <c r="R4" s="25" t="s">
        <v>107</v>
      </c>
      <c r="S4" s="25">
        <f>SUM(R9:R33)</f>
        <v>123</v>
      </c>
      <c r="T4" s="22"/>
      <c r="U4" s="42"/>
      <c r="V4" s="25" t="s">
        <v>107</v>
      </c>
      <c r="W4" s="25">
        <f>SUM(V9:V31)</f>
        <v>17</v>
      </c>
      <c r="Y4" s="42"/>
      <c r="Z4" s="25" t="s">
        <v>107</v>
      </c>
      <c r="AA4" s="25">
        <f>SUM(Z9:Z45)</f>
        <v>1407</v>
      </c>
      <c r="AC4" s="42"/>
      <c r="AD4" s="25" t="s">
        <v>107</v>
      </c>
      <c r="AE4" s="25">
        <f>SUM(AD9:AD29)</f>
        <v>139</v>
      </c>
      <c r="AF4" s="22"/>
      <c r="AG4" s="42"/>
      <c r="AH4" s="25" t="s">
        <v>107</v>
      </c>
      <c r="AI4" s="25">
        <f>SUM(AH9:AH29)</f>
        <v>44</v>
      </c>
    </row>
    <row r="5" spans="1:35">
      <c r="A5" s="43"/>
      <c r="B5" s="23" t="s">
        <v>108</v>
      </c>
      <c r="C5" s="26">
        <f>SUM(C9:C179)</f>
        <v>2.0599999999999993E-2</v>
      </c>
      <c r="E5" s="43"/>
      <c r="F5" s="23" t="s">
        <v>108</v>
      </c>
      <c r="G5" s="26">
        <f>SUM(G9:G33)</f>
        <v>3.2999999999999995E-3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1.2899999999999997E-2</v>
      </c>
      <c r="Q5" s="43"/>
      <c r="R5" s="23" t="s">
        <v>108</v>
      </c>
      <c r="S5" s="26">
        <f>SUM(S9:S33)</f>
        <v>4.5000000000000005E-3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2.5799999999999997E-2</v>
      </c>
      <c r="AC5" s="43"/>
      <c r="AD5" s="23" t="s">
        <v>108</v>
      </c>
      <c r="AE5" s="26">
        <f>SUM(AE9:AE29)</f>
        <v>2.5999999999999994E-3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83950</v>
      </c>
      <c r="C8" s="9">
        <v>0.97889999999999999</v>
      </c>
      <c r="E8" s="6" t="s">
        <v>112</v>
      </c>
      <c r="F8" s="29">
        <v>77927</v>
      </c>
      <c r="G8" s="9">
        <v>0.99670000000000003</v>
      </c>
      <c r="I8" s="6" t="s">
        <v>112</v>
      </c>
      <c r="J8" s="29">
        <v>79835</v>
      </c>
      <c r="K8" s="9">
        <v>0.99929999999999997</v>
      </c>
      <c r="M8" s="6" t="s">
        <v>112</v>
      </c>
      <c r="N8" s="29">
        <v>30406</v>
      </c>
      <c r="O8" s="9">
        <v>0.98709999999999998</v>
      </c>
      <c r="Q8" s="6" t="s">
        <v>112</v>
      </c>
      <c r="R8" s="29">
        <v>26954</v>
      </c>
      <c r="S8" s="9">
        <v>0.99550000000000005</v>
      </c>
      <c r="U8" s="6" t="s">
        <v>112</v>
      </c>
      <c r="V8" s="29">
        <v>27515</v>
      </c>
      <c r="W8" s="9">
        <v>0.99939999999999996</v>
      </c>
      <c r="Y8" s="6" t="s">
        <v>112</v>
      </c>
      <c r="Z8" s="29">
        <v>53545</v>
      </c>
      <c r="AA8" s="9">
        <v>0.97430000000000005</v>
      </c>
      <c r="AC8" s="6" t="s">
        <v>112</v>
      </c>
      <c r="AD8" s="29">
        <v>50973</v>
      </c>
      <c r="AE8" s="9">
        <v>0.99729999999999996</v>
      </c>
      <c r="AG8" s="6" t="s">
        <v>112</v>
      </c>
      <c r="AH8" s="29">
        <v>52320</v>
      </c>
      <c r="AI8" s="9">
        <v>0.99919999999999998</v>
      </c>
    </row>
    <row r="9" spans="1:35">
      <c r="A9" s="6" t="s">
        <v>2</v>
      </c>
      <c r="B9" s="6">
        <v>475</v>
      </c>
      <c r="C9" s="9">
        <v>5.4999999999999997E-3</v>
      </c>
      <c r="E9" s="6" t="s">
        <v>122</v>
      </c>
      <c r="F9" s="6">
        <v>169</v>
      </c>
      <c r="G9" s="9">
        <v>2.2000000000000001E-3</v>
      </c>
      <c r="I9" s="6" t="s">
        <v>2</v>
      </c>
      <c r="J9" s="6">
        <v>24</v>
      </c>
      <c r="K9" s="9">
        <v>2.9999999999999997E-4</v>
      </c>
      <c r="M9" s="6" t="s">
        <v>2</v>
      </c>
      <c r="N9" s="6">
        <v>110</v>
      </c>
      <c r="O9" s="9">
        <v>3.5999999999999999E-3</v>
      </c>
      <c r="Q9" s="6" t="s">
        <v>122</v>
      </c>
      <c r="R9" s="6">
        <v>99</v>
      </c>
      <c r="S9" s="9">
        <v>3.7000000000000002E-3</v>
      </c>
      <c r="U9" s="6" t="s">
        <v>2</v>
      </c>
      <c r="V9" s="6">
        <v>7</v>
      </c>
      <c r="W9" s="9">
        <v>2.9999999999999997E-4</v>
      </c>
      <c r="Y9" s="6" t="s">
        <v>2</v>
      </c>
      <c r="Z9" s="6">
        <v>365</v>
      </c>
      <c r="AA9" s="9">
        <v>6.6E-3</v>
      </c>
      <c r="AC9" s="6" t="s">
        <v>122</v>
      </c>
      <c r="AD9" s="6">
        <v>70</v>
      </c>
      <c r="AE9" s="9">
        <v>1.4E-3</v>
      </c>
      <c r="AG9" s="6" t="s">
        <v>2</v>
      </c>
      <c r="AH9" s="6">
        <v>17</v>
      </c>
      <c r="AI9" s="9">
        <v>2.9999999999999997E-4</v>
      </c>
    </row>
    <row r="10" spans="1:35">
      <c r="A10" s="6" t="s">
        <v>5</v>
      </c>
      <c r="B10" s="6">
        <v>275</v>
      </c>
      <c r="C10" s="9">
        <v>3.2000000000000002E-3</v>
      </c>
      <c r="E10" s="6" t="s">
        <v>83</v>
      </c>
      <c r="F10" s="6">
        <v>40</v>
      </c>
      <c r="G10" s="9">
        <v>5.0000000000000001E-4</v>
      </c>
      <c r="I10" s="6" t="s">
        <v>99</v>
      </c>
      <c r="J10" s="6">
        <v>12</v>
      </c>
      <c r="K10" s="9">
        <v>2.0000000000000001E-4</v>
      </c>
      <c r="M10" s="6" t="s">
        <v>3</v>
      </c>
      <c r="N10" s="6">
        <v>63</v>
      </c>
      <c r="O10" s="9">
        <v>2E-3</v>
      </c>
      <c r="Q10" s="6" t="s">
        <v>76</v>
      </c>
      <c r="R10" s="6">
        <v>12</v>
      </c>
      <c r="S10" s="9">
        <v>4.0000000000000002E-4</v>
      </c>
      <c r="U10" s="6" t="s">
        <v>98</v>
      </c>
      <c r="V10" s="6">
        <v>3</v>
      </c>
      <c r="W10" s="9">
        <v>1E-4</v>
      </c>
      <c r="Y10" s="6" t="s">
        <v>5</v>
      </c>
      <c r="Z10" s="6">
        <v>267</v>
      </c>
      <c r="AA10" s="9">
        <v>4.8999999999999998E-3</v>
      </c>
      <c r="AC10" s="6" t="s">
        <v>83</v>
      </c>
      <c r="AD10" s="6">
        <v>40</v>
      </c>
      <c r="AE10" s="9">
        <v>8.0000000000000004E-4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3</v>
      </c>
      <c r="B11" s="6">
        <v>204</v>
      </c>
      <c r="C11" s="9">
        <v>2.3999999999999998E-3</v>
      </c>
      <c r="E11" s="6" t="s">
        <v>76</v>
      </c>
      <c r="F11" s="6">
        <v>15</v>
      </c>
      <c r="G11" s="9">
        <v>2.0000000000000001E-4</v>
      </c>
      <c r="I11" s="6" t="s">
        <v>98</v>
      </c>
      <c r="J11" s="6">
        <v>10</v>
      </c>
      <c r="K11" s="9">
        <v>1E-4</v>
      </c>
      <c r="M11" s="6" t="s">
        <v>49</v>
      </c>
      <c r="N11" s="6">
        <v>49</v>
      </c>
      <c r="O11" s="9">
        <v>1.6000000000000001E-3</v>
      </c>
      <c r="Q11" s="6" t="s">
        <v>74</v>
      </c>
      <c r="R11" s="6">
        <v>8</v>
      </c>
      <c r="S11" s="9">
        <v>2.9999999999999997E-4</v>
      </c>
      <c r="U11" s="6" t="s">
        <v>99</v>
      </c>
      <c r="V11" s="6">
        <v>2</v>
      </c>
      <c r="W11" s="9">
        <v>1E-4</v>
      </c>
      <c r="Y11" s="6" t="s">
        <v>8</v>
      </c>
      <c r="Z11" s="6">
        <v>188</v>
      </c>
      <c r="AA11" s="9">
        <v>3.3999999999999998E-3</v>
      </c>
      <c r="AC11" s="6" t="s">
        <v>76</v>
      </c>
      <c r="AD11" s="6">
        <v>3</v>
      </c>
      <c r="AE11" s="9">
        <v>1E-4</v>
      </c>
      <c r="AG11" s="6" t="s">
        <v>98</v>
      </c>
      <c r="AH11" s="6">
        <v>7</v>
      </c>
      <c r="AI11" s="9">
        <v>1E-4</v>
      </c>
    </row>
    <row r="12" spans="1:35">
      <c r="A12" s="6" t="s">
        <v>8</v>
      </c>
      <c r="B12" s="6">
        <v>196</v>
      </c>
      <c r="C12" s="9">
        <v>2.3E-3</v>
      </c>
      <c r="E12" s="6" t="s">
        <v>74</v>
      </c>
      <c r="F12" s="6">
        <v>10</v>
      </c>
      <c r="G12" s="9">
        <v>1E-4</v>
      </c>
      <c r="I12" s="6" t="s">
        <v>113</v>
      </c>
      <c r="J12" s="6">
        <v>5</v>
      </c>
      <c r="K12" s="9">
        <v>1E-4</v>
      </c>
      <c r="M12" s="6" t="s">
        <v>7</v>
      </c>
      <c r="N12" s="6">
        <v>39</v>
      </c>
      <c r="O12" s="9">
        <v>1.2999999999999999E-3</v>
      </c>
      <c r="Q12" s="6" t="s">
        <v>77</v>
      </c>
      <c r="R12" s="6">
        <v>3</v>
      </c>
      <c r="S12" s="9">
        <v>1E-4</v>
      </c>
      <c r="U12" s="6" t="s">
        <v>113</v>
      </c>
      <c r="V12" s="6">
        <v>2</v>
      </c>
      <c r="W12" s="9">
        <v>1E-4</v>
      </c>
      <c r="Y12" s="6" t="s">
        <v>3</v>
      </c>
      <c r="Z12" s="6">
        <v>141</v>
      </c>
      <c r="AA12" s="9">
        <v>2.5999999999999999E-3</v>
      </c>
      <c r="AC12" s="6" t="s">
        <v>79</v>
      </c>
      <c r="AD12" s="6">
        <v>7</v>
      </c>
      <c r="AE12" s="9">
        <v>1E-4</v>
      </c>
      <c r="AG12" s="6" t="s">
        <v>117</v>
      </c>
      <c r="AH12" s="6">
        <v>3</v>
      </c>
      <c r="AI12" s="9">
        <v>1E-4</v>
      </c>
    </row>
    <row r="13" spans="1:35">
      <c r="A13" s="6" t="s">
        <v>9</v>
      </c>
      <c r="B13" s="6">
        <v>124</v>
      </c>
      <c r="C13" s="9">
        <v>1.4E-3</v>
      </c>
      <c r="E13" s="6" t="s">
        <v>77</v>
      </c>
      <c r="F13" s="6">
        <v>6</v>
      </c>
      <c r="G13" s="9">
        <v>1E-4</v>
      </c>
      <c r="I13" s="6" t="s">
        <v>102</v>
      </c>
      <c r="J13" s="6">
        <v>2</v>
      </c>
      <c r="K13" s="30">
        <v>0</v>
      </c>
      <c r="M13" s="6" t="s">
        <v>41</v>
      </c>
      <c r="N13" s="6">
        <v>14</v>
      </c>
      <c r="O13" s="9">
        <v>5.0000000000000001E-4</v>
      </c>
      <c r="Q13" s="6" t="s">
        <v>93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9</v>
      </c>
      <c r="Z13" s="6">
        <v>115</v>
      </c>
      <c r="AA13" s="9">
        <v>2.0999999999999999E-3</v>
      </c>
      <c r="AC13" s="6" t="s">
        <v>75</v>
      </c>
      <c r="AD13" s="6">
        <v>7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85</v>
      </c>
      <c r="C14" s="9">
        <v>1E-3</v>
      </c>
      <c r="E14" s="6" t="s">
        <v>79</v>
      </c>
      <c r="F14" s="6">
        <v>7</v>
      </c>
      <c r="G14" s="9">
        <v>1E-4</v>
      </c>
      <c r="I14" s="6" t="s">
        <v>103</v>
      </c>
      <c r="J14" s="6">
        <v>2</v>
      </c>
      <c r="K14" s="30">
        <v>0</v>
      </c>
      <c r="M14" s="6" t="s">
        <v>11</v>
      </c>
      <c r="N14" s="6">
        <v>15</v>
      </c>
      <c r="O14" s="9">
        <v>5.0000000000000001E-4</v>
      </c>
      <c r="U14" s="6" t="s">
        <v>103</v>
      </c>
      <c r="V14" s="6">
        <v>1</v>
      </c>
      <c r="W14" s="30">
        <v>0</v>
      </c>
      <c r="Y14" s="6" t="s">
        <v>7</v>
      </c>
      <c r="Z14" s="6">
        <v>46</v>
      </c>
      <c r="AA14" s="9">
        <v>8.0000000000000004E-4</v>
      </c>
      <c r="AC14" s="6" t="s">
        <v>77</v>
      </c>
      <c r="AD14" s="6">
        <v>3</v>
      </c>
      <c r="AE14" s="9">
        <v>1E-4</v>
      </c>
      <c r="AG14" s="6" t="s">
        <v>102</v>
      </c>
      <c r="AH14" s="6">
        <v>2</v>
      </c>
      <c r="AI14" s="30">
        <v>0</v>
      </c>
    </row>
    <row r="15" spans="1:35">
      <c r="A15" s="6" t="s">
        <v>41</v>
      </c>
      <c r="B15" s="6">
        <v>48</v>
      </c>
      <c r="C15" s="9">
        <v>5.9999999999999995E-4</v>
      </c>
      <c r="E15" s="6" t="s">
        <v>75</v>
      </c>
      <c r="F15" s="6">
        <v>7</v>
      </c>
      <c r="G15" s="9">
        <v>1E-4</v>
      </c>
      <c r="I15" s="6" t="s">
        <v>117</v>
      </c>
      <c r="J15" s="6">
        <v>3</v>
      </c>
      <c r="K15" s="30">
        <v>0</v>
      </c>
      <c r="M15" s="6" t="s">
        <v>5</v>
      </c>
      <c r="N15" s="6">
        <v>8</v>
      </c>
      <c r="O15" s="9">
        <v>2.9999999999999997E-4</v>
      </c>
      <c r="U15" s="6" t="s">
        <v>123</v>
      </c>
      <c r="V15" s="6">
        <v>1</v>
      </c>
      <c r="W15" s="30">
        <v>0</v>
      </c>
      <c r="Y15" s="6" t="s">
        <v>14</v>
      </c>
      <c r="Z15" s="6">
        <v>32</v>
      </c>
      <c r="AA15" s="9">
        <v>5.9999999999999995E-4</v>
      </c>
      <c r="AC15" s="6" t="s">
        <v>116</v>
      </c>
      <c r="AD15" s="6">
        <v>1</v>
      </c>
      <c r="AE15" s="30">
        <v>0</v>
      </c>
      <c r="AG15" s="6" t="s">
        <v>103</v>
      </c>
      <c r="AH15" s="6">
        <v>1</v>
      </c>
      <c r="AI15" s="30">
        <v>0</v>
      </c>
    </row>
    <row r="16" spans="1:35">
      <c r="A16" s="6" t="s">
        <v>49</v>
      </c>
      <c r="B16" s="6">
        <v>49</v>
      </c>
      <c r="C16" s="9">
        <v>5.9999999999999995E-4</v>
      </c>
      <c r="E16" s="6" t="s">
        <v>116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  <c r="M16" s="6" t="s">
        <v>10</v>
      </c>
      <c r="N16" s="6">
        <v>9</v>
      </c>
      <c r="O16" s="9">
        <v>2.9999999999999997E-4</v>
      </c>
      <c r="Y16" s="6" t="s">
        <v>41</v>
      </c>
      <c r="Z16" s="6">
        <v>34</v>
      </c>
      <c r="AA16" s="9">
        <v>5.9999999999999995E-4</v>
      </c>
      <c r="AC16" s="6" t="s">
        <v>81</v>
      </c>
      <c r="AD16" s="6">
        <v>1</v>
      </c>
      <c r="AE16" s="30">
        <v>0</v>
      </c>
      <c r="AG16" s="6" t="s">
        <v>123</v>
      </c>
      <c r="AH16" s="6">
        <v>1</v>
      </c>
      <c r="AI16" s="30">
        <v>0</v>
      </c>
    </row>
    <row r="17" spans="1:31">
      <c r="A17" s="6" t="s">
        <v>11</v>
      </c>
      <c r="B17" s="6">
        <v>46</v>
      </c>
      <c r="C17" s="9">
        <v>5.0000000000000001E-4</v>
      </c>
      <c r="E17" s="6" t="s">
        <v>81</v>
      </c>
      <c r="F17" s="6">
        <v>1</v>
      </c>
      <c r="G17" s="30">
        <v>0</v>
      </c>
      <c r="M17" s="6" t="s">
        <v>9</v>
      </c>
      <c r="N17" s="6">
        <v>9</v>
      </c>
      <c r="O17" s="9">
        <v>2.9999999999999997E-4</v>
      </c>
      <c r="Y17" s="6" t="s">
        <v>37</v>
      </c>
      <c r="Z17" s="6">
        <v>31</v>
      </c>
      <c r="AA17" s="9">
        <v>5.9999999999999995E-4</v>
      </c>
      <c r="AC17" s="6" t="s">
        <v>80</v>
      </c>
      <c r="AD17" s="6">
        <v>1</v>
      </c>
      <c r="AE17" s="30">
        <v>0</v>
      </c>
    </row>
    <row r="18" spans="1:31">
      <c r="A18" s="6" t="s">
        <v>37</v>
      </c>
      <c r="B18" s="6">
        <v>36</v>
      </c>
      <c r="C18" s="9">
        <v>4.0000000000000002E-4</v>
      </c>
      <c r="E18" s="6" t="s">
        <v>78</v>
      </c>
      <c r="F18" s="6">
        <v>2</v>
      </c>
      <c r="G18" s="30">
        <v>0</v>
      </c>
      <c r="M18" s="6" t="s">
        <v>22</v>
      </c>
      <c r="N18" s="6">
        <v>10</v>
      </c>
      <c r="O18" s="9">
        <v>2.9999999999999997E-4</v>
      </c>
      <c r="Y18" s="6" t="s">
        <v>11</v>
      </c>
      <c r="Z18" s="6">
        <v>31</v>
      </c>
      <c r="AA18" s="9">
        <v>5.9999999999999995E-4</v>
      </c>
      <c r="AC18" s="6" t="s">
        <v>78</v>
      </c>
      <c r="AD18" s="6">
        <v>2</v>
      </c>
      <c r="AE18" s="30">
        <v>0</v>
      </c>
    </row>
    <row r="19" spans="1:31">
      <c r="A19" s="6" t="s">
        <v>14</v>
      </c>
      <c r="B19" s="6">
        <v>32</v>
      </c>
      <c r="C19" s="9">
        <v>4.0000000000000002E-4</v>
      </c>
      <c r="E19" s="6" t="s">
        <v>93</v>
      </c>
      <c r="F19" s="6">
        <v>1</v>
      </c>
      <c r="G19" s="30">
        <v>0</v>
      </c>
      <c r="M19" s="6" t="s">
        <v>29</v>
      </c>
      <c r="N19" s="6">
        <v>8</v>
      </c>
      <c r="O19" s="9">
        <v>2.9999999999999997E-4</v>
      </c>
      <c r="Y19" s="6" t="s">
        <v>17</v>
      </c>
      <c r="Z19" s="6">
        <v>23</v>
      </c>
      <c r="AA19" s="9">
        <v>4.0000000000000002E-4</v>
      </c>
      <c r="AC19" s="6" t="s">
        <v>74</v>
      </c>
      <c r="AD19" s="6">
        <v>2</v>
      </c>
      <c r="AE19" s="30">
        <v>0</v>
      </c>
    </row>
    <row r="20" spans="1:31">
      <c r="A20" s="6" t="s">
        <v>17</v>
      </c>
      <c r="B20" s="6">
        <v>27</v>
      </c>
      <c r="C20" s="9">
        <v>2.9999999999999997E-4</v>
      </c>
      <c r="E20" s="6" t="s">
        <v>91</v>
      </c>
      <c r="F20" s="6">
        <v>1</v>
      </c>
      <c r="G20" s="30">
        <v>0</v>
      </c>
      <c r="M20" s="6" t="s">
        <v>8</v>
      </c>
      <c r="N20" s="6">
        <v>8</v>
      </c>
      <c r="O20" s="9">
        <v>2.9999999999999997E-4</v>
      </c>
      <c r="Y20" s="6" t="s">
        <v>12</v>
      </c>
      <c r="Z20" s="6">
        <v>21</v>
      </c>
      <c r="AA20" s="9">
        <v>4.0000000000000002E-4</v>
      </c>
      <c r="AC20" s="6" t="s">
        <v>91</v>
      </c>
      <c r="AD20" s="6">
        <v>1</v>
      </c>
      <c r="AE20" s="30">
        <v>0</v>
      </c>
    </row>
    <row r="21" spans="1:31">
      <c r="A21" s="6" t="s">
        <v>12</v>
      </c>
      <c r="B21" s="6">
        <v>24</v>
      </c>
      <c r="C21" s="9">
        <v>2.9999999999999997E-4</v>
      </c>
      <c r="E21" s="6" t="s">
        <v>86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21</v>
      </c>
      <c r="Z21" s="6">
        <v>16</v>
      </c>
      <c r="AA21" s="9">
        <v>2.9999999999999997E-4</v>
      </c>
      <c r="AC21" s="6" t="s">
        <v>86</v>
      </c>
      <c r="AD21" s="6">
        <v>1</v>
      </c>
      <c r="AE21" s="30">
        <v>0</v>
      </c>
    </row>
    <row r="22" spans="1:31">
      <c r="A22" s="6" t="s">
        <v>21</v>
      </c>
      <c r="B22" s="6">
        <v>20</v>
      </c>
      <c r="C22" s="9">
        <v>2.0000000000000001E-4</v>
      </c>
      <c r="M22" s="6" t="s">
        <v>37</v>
      </c>
      <c r="N22" s="6">
        <v>5</v>
      </c>
      <c r="O22" s="9">
        <v>2.0000000000000001E-4</v>
      </c>
      <c r="Y22" s="6" t="s">
        <v>31</v>
      </c>
      <c r="Z22" s="6">
        <v>14</v>
      </c>
      <c r="AA22" s="9">
        <v>2.9999999999999997E-4</v>
      </c>
    </row>
    <row r="23" spans="1:31">
      <c r="A23" s="6" t="s">
        <v>29</v>
      </c>
      <c r="B23" s="6">
        <v>20</v>
      </c>
      <c r="C23" s="9">
        <v>2.0000000000000001E-4</v>
      </c>
      <c r="M23" s="6" t="s">
        <v>40</v>
      </c>
      <c r="N23" s="6">
        <v>5</v>
      </c>
      <c r="O23" s="9">
        <v>2.0000000000000001E-4</v>
      </c>
      <c r="Y23" s="6" t="s">
        <v>19</v>
      </c>
      <c r="Z23" s="6">
        <v>10</v>
      </c>
      <c r="AA23" s="9">
        <v>2.0000000000000001E-4</v>
      </c>
    </row>
    <row r="24" spans="1:31">
      <c r="A24" s="6" t="s">
        <v>10</v>
      </c>
      <c r="B24" s="6">
        <v>16</v>
      </c>
      <c r="C24" s="9">
        <v>2.0000000000000001E-4</v>
      </c>
      <c r="M24" s="6" t="s">
        <v>21</v>
      </c>
      <c r="N24" s="6">
        <v>4</v>
      </c>
      <c r="O24" s="9">
        <v>1E-4</v>
      </c>
      <c r="Y24" s="6" t="s">
        <v>29</v>
      </c>
      <c r="Z24" s="6">
        <v>12</v>
      </c>
      <c r="AA24" s="9">
        <v>2.0000000000000001E-4</v>
      </c>
    </row>
    <row r="25" spans="1:31">
      <c r="A25" s="6" t="s">
        <v>31</v>
      </c>
      <c r="B25" s="6">
        <v>21</v>
      </c>
      <c r="C25" s="9">
        <v>2.0000000000000001E-4</v>
      </c>
      <c r="M25" s="6" t="s">
        <v>16</v>
      </c>
      <c r="N25" s="6">
        <v>3</v>
      </c>
      <c r="O25" s="9">
        <v>1E-4</v>
      </c>
      <c r="Y25" s="6" t="s">
        <v>20</v>
      </c>
      <c r="Z25" s="6">
        <v>3</v>
      </c>
      <c r="AA25" s="9">
        <v>1E-4</v>
      </c>
    </row>
    <row r="26" spans="1:31">
      <c r="A26" s="6" t="s">
        <v>19</v>
      </c>
      <c r="B26" s="6">
        <v>11</v>
      </c>
      <c r="C26" s="9">
        <v>1E-4</v>
      </c>
      <c r="M26" s="6" t="s">
        <v>17</v>
      </c>
      <c r="N26" s="6">
        <v>4</v>
      </c>
      <c r="O26" s="9">
        <v>1E-4</v>
      </c>
      <c r="Y26" s="6" t="s">
        <v>45</v>
      </c>
      <c r="Z26" s="6">
        <v>4</v>
      </c>
      <c r="AA26" s="9">
        <v>1E-4</v>
      </c>
    </row>
    <row r="27" spans="1:31">
      <c r="A27" s="6" t="s">
        <v>16</v>
      </c>
      <c r="B27" s="6">
        <v>6</v>
      </c>
      <c r="C27" s="9">
        <v>1E-4</v>
      </c>
      <c r="M27" s="6" t="s">
        <v>24</v>
      </c>
      <c r="N27" s="6">
        <v>3</v>
      </c>
      <c r="O27" s="9">
        <v>1E-4</v>
      </c>
      <c r="Y27" s="6" t="s">
        <v>10</v>
      </c>
      <c r="Z27" s="6">
        <v>7</v>
      </c>
      <c r="AA27" s="9">
        <v>1E-4</v>
      </c>
    </row>
    <row r="28" spans="1:31">
      <c r="A28" s="6" t="s">
        <v>22</v>
      </c>
      <c r="B28" s="6">
        <v>11</v>
      </c>
      <c r="C28" s="9">
        <v>1E-4</v>
      </c>
      <c r="M28" s="6" t="s">
        <v>38</v>
      </c>
      <c r="N28" s="6">
        <v>3</v>
      </c>
      <c r="O28" s="9">
        <v>1E-4</v>
      </c>
      <c r="Y28" s="6" t="s">
        <v>16</v>
      </c>
      <c r="Z28" s="6">
        <v>3</v>
      </c>
      <c r="AA28" s="9">
        <v>1E-4</v>
      </c>
    </row>
    <row r="29" spans="1:31">
      <c r="A29" s="6" t="s">
        <v>18</v>
      </c>
      <c r="B29" s="6">
        <v>7</v>
      </c>
      <c r="C29" s="9">
        <v>1E-4</v>
      </c>
      <c r="M29" s="6" t="s">
        <v>12</v>
      </c>
      <c r="N29" s="6">
        <v>3</v>
      </c>
      <c r="O29" s="9">
        <v>1E-4</v>
      </c>
      <c r="Y29" s="6" t="s">
        <v>18</v>
      </c>
      <c r="Z29" s="6">
        <v>5</v>
      </c>
      <c r="AA29" s="9">
        <v>1E-4</v>
      </c>
    </row>
    <row r="30" spans="1:31">
      <c r="A30" s="6" t="s">
        <v>24</v>
      </c>
      <c r="B30" s="6">
        <v>6</v>
      </c>
      <c r="C30" s="9">
        <v>1E-4</v>
      </c>
      <c r="M30" s="6" t="s">
        <v>18</v>
      </c>
      <c r="N30" s="6">
        <v>2</v>
      </c>
      <c r="O30" s="9">
        <v>1E-4</v>
      </c>
      <c r="Y30" s="6" t="s">
        <v>30</v>
      </c>
      <c r="Z30" s="6">
        <v>5</v>
      </c>
      <c r="AA30" s="9">
        <v>1E-4</v>
      </c>
    </row>
    <row r="31" spans="1:31">
      <c r="A31" s="6" t="s">
        <v>40</v>
      </c>
      <c r="B31" s="6">
        <v>8</v>
      </c>
      <c r="C31" s="9">
        <v>1E-4</v>
      </c>
      <c r="M31" s="6" t="s">
        <v>43</v>
      </c>
      <c r="N31" s="6">
        <v>3</v>
      </c>
      <c r="O31" s="9">
        <v>1E-4</v>
      </c>
      <c r="Y31" s="6" t="s">
        <v>27</v>
      </c>
      <c r="Z31" s="6">
        <v>4</v>
      </c>
      <c r="AA31" s="9">
        <v>1E-4</v>
      </c>
    </row>
    <row r="32" spans="1:31">
      <c r="A32" s="6" t="s">
        <v>30</v>
      </c>
      <c r="B32" s="6">
        <v>5</v>
      </c>
      <c r="C32" s="9">
        <v>1E-4</v>
      </c>
      <c r="M32" s="6" t="s">
        <v>25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27</v>
      </c>
      <c r="B33" s="6">
        <v>5</v>
      </c>
      <c r="C33" s="9">
        <v>1E-4</v>
      </c>
      <c r="M33" s="6" t="s">
        <v>33</v>
      </c>
      <c r="N33" s="6">
        <v>2</v>
      </c>
      <c r="O33" s="9">
        <v>1E-4</v>
      </c>
      <c r="Y33" s="6" t="s">
        <v>24</v>
      </c>
      <c r="Z33" s="6">
        <v>3</v>
      </c>
      <c r="AA33" s="9">
        <v>1E-4</v>
      </c>
    </row>
    <row r="34" spans="1:27">
      <c r="A34" s="6" t="s">
        <v>26</v>
      </c>
      <c r="B34" s="6">
        <v>5</v>
      </c>
      <c r="C34" s="9">
        <v>1E-4</v>
      </c>
      <c r="M34" s="6" t="s">
        <v>19</v>
      </c>
      <c r="N34" s="6">
        <v>1</v>
      </c>
      <c r="O34" s="30">
        <v>0</v>
      </c>
      <c r="Y34" s="6" t="s">
        <v>40</v>
      </c>
      <c r="Z34" s="6">
        <v>3</v>
      </c>
      <c r="AA34" s="9">
        <v>1E-4</v>
      </c>
    </row>
    <row r="35" spans="1:27">
      <c r="A35" s="6" t="s">
        <v>115</v>
      </c>
      <c r="B35" s="6">
        <v>2</v>
      </c>
      <c r="C35" s="30">
        <v>0</v>
      </c>
      <c r="M35" s="6" t="s">
        <v>27</v>
      </c>
      <c r="N35" s="6">
        <v>1</v>
      </c>
      <c r="O35" s="30">
        <v>0</v>
      </c>
      <c r="Y35" s="6" t="s">
        <v>59</v>
      </c>
      <c r="Z35" s="6">
        <v>3</v>
      </c>
      <c r="AA35" s="9">
        <v>1E-4</v>
      </c>
    </row>
    <row r="36" spans="1:27">
      <c r="A36" s="6" t="s">
        <v>20</v>
      </c>
      <c r="B36" s="6">
        <v>3</v>
      </c>
      <c r="C36" s="30">
        <v>0</v>
      </c>
      <c r="M36" s="6" t="s">
        <v>150</v>
      </c>
      <c r="N36" s="6">
        <v>1</v>
      </c>
      <c r="O36" s="30">
        <v>0</v>
      </c>
      <c r="Y36" s="6" t="s">
        <v>58</v>
      </c>
      <c r="Z36" s="6">
        <v>3</v>
      </c>
      <c r="AA36" s="9">
        <v>1E-4</v>
      </c>
    </row>
    <row r="37" spans="1:27">
      <c r="A37" s="6" t="s">
        <v>45</v>
      </c>
      <c r="B37" s="6">
        <v>4</v>
      </c>
      <c r="C37" s="30">
        <v>0</v>
      </c>
      <c r="M37" s="6" t="s">
        <v>69</v>
      </c>
      <c r="N37" s="6">
        <v>1</v>
      </c>
      <c r="O37" s="30">
        <v>0</v>
      </c>
      <c r="Y37" s="6" t="s">
        <v>115</v>
      </c>
      <c r="Z37" s="6">
        <v>2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15</v>
      </c>
      <c r="N38" s="6">
        <v>1</v>
      </c>
      <c r="O38" s="30">
        <v>0</v>
      </c>
      <c r="Y38" s="6" t="s">
        <v>13</v>
      </c>
      <c r="Z38" s="6">
        <v>2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38</v>
      </c>
      <c r="B40" s="6">
        <v>4</v>
      </c>
      <c r="C40" s="30">
        <v>0</v>
      </c>
      <c r="M40" s="6" t="s">
        <v>57</v>
      </c>
      <c r="N40" s="6">
        <v>1</v>
      </c>
      <c r="O40" s="30">
        <v>0</v>
      </c>
      <c r="Y40" s="6" t="s">
        <v>68</v>
      </c>
      <c r="Z40" s="6">
        <v>1</v>
      </c>
      <c r="AA40" s="30">
        <v>0</v>
      </c>
    </row>
    <row r="41" spans="1:27">
      <c r="A41" s="6" t="s">
        <v>68</v>
      </c>
      <c r="B41" s="6">
        <v>1</v>
      </c>
      <c r="C41" s="30">
        <v>0</v>
      </c>
      <c r="M41" s="6" t="s">
        <v>39</v>
      </c>
      <c r="N41" s="6">
        <v>1</v>
      </c>
      <c r="O41" s="30">
        <v>0</v>
      </c>
      <c r="Y41" s="6" t="s">
        <v>22</v>
      </c>
      <c r="Z41" s="6">
        <v>1</v>
      </c>
      <c r="AA41" s="30">
        <v>0</v>
      </c>
    </row>
    <row r="42" spans="1:27">
      <c r="A42" s="6" t="s">
        <v>58</v>
      </c>
      <c r="B42" s="6">
        <v>4</v>
      </c>
      <c r="C42" s="30">
        <v>0</v>
      </c>
      <c r="Y42" s="6" t="s">
        <v>148</v>
      </c>
      <c r="Z42" s="6">
        <v>2</v>
      </c>
      <c r="AA42" s="30">
        <v>0</v>
      </c>
    </row>
    <row r="43" spans="1:27">
      <c r="A43" s="6" t="s">
        <v>43</v>
      </c>
      <c r="B43" s="6">
        <v>3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59</v>
      </c>
      <c r="B44" s="6">
        <v>3</v>
      </c>
      <c r="C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15</v>
      </c>
      <c r="B45" s="6">
        <v>2</v>
      </c>
      <c r="C45" s="30">
        <v>0</v>
      </c>
      <c r="Y45" s="6" t="s">
        <v>61</v>
      </c>
      <c r="Z45" s="6">
        <v>1</v>
      </c>
      <c r="AA45" s="30">
        <v>0</v>
      </c>
    </row>
    <row r="46" spans="1:27">
      <c r="A46" s="6" t="s">
        <v>25</v>
      </c>
      <c r="B46" s="6">
        <v>3</v>
      </c>
      <c r="C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148</v>
      </c>
      <c r="B47" s="6">
        <v>2</v>
      </c>
      <c r="C47" s="30">
        <v>0</v>
      </c>
      <c r="Y47" s="6" t="s">
        <v>38</v>
      </c>
      <c r="Z47" s="6">
        <v>1</v>
      </c>
      <c r="AA47" s="30">
        <v>0</v>
      </c>
    </row>
    <row r="48" spans="1:27">
      <c r="A48" s="6" t="s">
        <v>57</v>
      </c>
      <c r="B48" s="6">
        <v>2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39</v>
      </c>
      <c r="B49" s="6">
        <v>2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61</v>
      </c>
      <c r="B50" s="6">
        <v>1</v>
      </c>
      <c r="C50" s="30">
        <v>0</v>
      </c>
      <c r="Y50" s="6" t="s">
        <v>60</v>
      </c>
      <c r="Z50" s="6">
        <v>1</v>
      </c>
      <c r="AA50" s="30">
        <v>0</v>
      </c>
    </row>
    <row r="51" spans="1:27">
      <c r="A51" s="6" t="s">
        <v>69</v>
      </c>
      <c r="B51" s="6">
        <v>1</v>
      </c>
      <c r="C51" s="30">
        <v>0</v>
      </c>
      <c r="Y51" s="6" t="s">
        <v>25</v>
      </c>
      <c r="Z51" s="6">
        <v>1</v>
      </c>
      <c r="AA51" s="30">
        <v>0</v>
      </c>
    </row>
    <row r="52" spans="1:27">
      <c r="A52" s="6" t="s">
        <v>64</v>
      </c>
      <c r="B52" s="6">
        <v>1</v>
      </c>
      <c r="C52" s="30">
        <v>0</v>
      </c>
      <c r="Y52" s="6" t="s">
        <v>28</v>
      </c>
      <c r="Z52" s="6">
        <v>1</v>
      </c>
      <c r="AA52" s="30">
        <v>0</v>
      </c>
    </row>
    <row r="53" spans="1:27">
      <c r="A53" s="6" t="s">
        <v>150</v>
      </c>
      <c r="B53" s="6">
        <v>1</v>
      </c>
      <c r="C53" s="30">
        <v>0</v>
      </c>
      <c r="Y53" s="6" t="s">
        <v>124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42</v>
      </c>
      <c r="B55" s="6">
        <v>1</v>
      </c>
      <c r="C55" s="30">
        <v>0</v>
      </c>
    </row>
    <row r="56" spans="1:27">
      <c r="A56" s="6" t="s">
        <v>60</v>
      </c>
      <c r="B56" s="6">
        <v>1</v>
      </c>
      <c r="C56" s="30">
        <v>0</v>
      </c>
    </row>
    <row r="57" spans="1:27">
      <c r="A57" s="6" t="s">
        <v>33</v>
      </c>
      <c r="B57" s="6">
        <v>2</v>
      </c>
      <c r="C57" s="30">
        <v>0</v>
      </c>
    </row>
    <row r="58" spans="1:27">
      <c r="A58" s="6" t="s">
        <v>124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 S20:S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703D-EDA3-40F5-8589-6519F9021873}">
  <sheetPr codeName="Sheet16"/>
  <dimension ref="A1:AI60"/>
  <sheetViews>
    <sheetView topLeftCell="R1" workbookViewId="0">
      <selection activeCell="AC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82916</v>
      </c>
      <c r="E2" s="41" t="s">
        <v>4</v>
      </c>
      <c r="F2" s="23" t="s">
        <v>105</v>
      </c>
      <c r="G2" s="23">
        <f>G3+G4</f>
        <v>72449</v>
      </c>
      <c r="H2" s="22"/>
      <c r="I2" s="41" t="s">
        <v>6</v>
      </c>
      <c r="J2" s="23" t="s">
        <v>105</v>
      </c>
      <c r="K2" s="23">
        <f>K3+K4</f>
        <v>73326</v>
      </c>
      <c r="M2" s="41" t="s">
        <v>104</v>
      </c>
      <c r="N2" s="23" t="s">
        <v>105</v>
      </c>
      <c r="O2" s="23">
        <f>O3+O4</f>
        <v>38152</v>
      </c>
      <c r="Q2" s="41" t="s">
        <v>4</v>
      </c>
      <c r="R2" s="23" t="s">
        <v>105</v>
      </c>
      <c r="S2" s="23">
        <f>S3+S4</f>
        <v>30067</v>
      </c>
      <c r="T2" s="22"/>
      <c r="U2" s="41" t="s">
        <v>6</v>
      </c>
      <c r="V2" s="23" t="s">
        <v>105</v>
      </c>
      <c r="W2" s="23">
        <f>W3+W4</f>
        <v>29873</v>
      </c>
      <c r="Y2" s="41" t="s">
        <v>104</v>
      </c>
      <c r="Z2" s="23" t="s">
        <v>105</v>
      </c>
      <c r="AA2" s="23">
        <f>AA3+AA4</f>
        <v>44758</v>
      </c>
      <c r="AC2" s="41" t="s">
        <v>4</v>
      </c>
      <c r="AD2" s="23" t="s">
        <v>105</v>
      </c>
      <c r="AE2" s="23">
        <f>AE3+AE4</f>
        <v>42398</v>
      </c>
      <c r="AF2" s="22"/>
      <c r="AG2" s="41" t="s">
        <v>6</v>
      </c>
      <c r="AH2" s="23" t="s">
        <v>105</v>
      </c>
      <c r="AI2" s="23">
        <f>AI3+AI4</f>
        <v>43455</v>
      </c>
    </row>
    <row r="3" spans="1:35">
      <c r="A3" s="42"/>
      <c r="B3" s="24" t="s">
        <v>106</v>
      </c>
      <c r="C3" s="24">
        <f>B8</f>
        <v>81312</v>
      </c>
      <c r="E3" s="42"/>
      <c r="F3" s="24" t="s">
        <v>106</v>
      </c>
      <c r="G3" s="24">
        <f>F8</f>
        <v>72183</v>
      </c>
      <c r="H3" s="22"/>
      <c r="I3" s="42"/>
      <c r="J3" s="24" t="s">
        <v>106</v>
      </c>
      <c r="K3" s="24">
        <f>J8</f>
        <v>73271</v>
      </c>
      <c r="M3" s="42"/>
      <c r="N3" s="24" t="s">
        <v>106</v>
      </c>
      <c r="O3" s="24">
        <f>N8</f>
        <v>37590</v>
      </c>
      <c r="Q3" s="42"/>
      <c r="R3" s="24" t="s">
        <v>106</v>
      </c>
      <c r="S3" s="24">
        <f>R8</f>
        <v>29921</v>
      </c>
      <c r="T3" s="22"/>
      <c r="U3" s="42"/>
      <c r="V3" s="24" t="s">
        <v>106</v>
      </c>
      <c r="W3" s="24">
        <f>V8</f>
        <v>29848</v>
      </c>
      <c r="Y3" s="42"/>
      <c r="Z3" s="24" t="s">
        <v>106</v>
      </c>
      <c r="AA3" s="24">
        <f>Z8</f>
        <v>43724</v>
      </c>
      <c r="AC3" s="42"/>
      <c r="AD3" s="24" t="s">
        <v>106</v>
      </c>
      <c r="AE3" s="24">
        <f>AD8</f>
        <v>42277</v>
      </c>
      <c r="AF3" s="22"/>
      <c r="AG3" s="42"/>
      <c r="AH3" s="24" t="s">
        <v>106</v>
      </c>
      <c r="AI3" s="24">
        <f>AH8</f>
        <v>43423</v>
      </c>
    </row>
    <row r="4" spans="1:35">
      <c r="A4" s="42"/>
      <c r="B4" s="25" t="s">
        <v>107</v>
      </c>
      <c r="C4" s="25">
        <f>SUM(B9:B66)</f>
        <v>1604</v>
      </c>
      <c r="E4" s="42"/>
      <c r="F4" s="25" t="s">
        <v>107</v>
      </c>
      <c r="G4" s="25">
        <f>SUM(F9:F33)</f>
        <v>266</v>
      </c>
      <c r="H4" s="22"/>
      <c r="I4" s="42"/>
      <c r="J4" s="25" t="s">
        <v>107</v>
      </c>
      <c r="K4" s="25">
        <f>SUM(J9:J31)</f>
        <v>55</v>
      </c>
      <c r="M4" s="42"/>
      <c r="N4" s="25" t="s">
        <v>107</v>
      </c>
      <c r="O4" s="25">
        <f>SUM(N9:N66)</f>
        <v>562</v>
      </c>
      <c r="Q4" s="42"/>
      <c r="R4" s="25" t="s">
        <v>107</v>
      </c>
      <c r="S4" s="25">
        <f>SUM(R9:R33)</f>
        <v>146</v>
      </c>
      <c r="T4" s="22"/>
      <c r="U4" s="42"/>
      <c r="V4" s="25" t="s">
        <v>107</v>
      </c>
      <c r="W4" s="25">
        <f>SUM(V9:V31)</f>
        <v>25</v>
      </c>
      <c r="Y4" s="42"/>
      <c r="Z4" s="25" t="s">
        <v>107</v>
      </c>
      <c r="AA4" s="25">
        <f>SUM(Z9:Z45)</f>
        <v>1034</v>
      </c>
      <c r="AC4" s="42"/>
      <c r="AD4" s="25" t="s">
        <v>107</v>
      </c>
      <c r="AE4" s="25">
        <f>SUM(AD9:AD29)</f>
        <v>121</v>
      </c>
      <c r="AF4" s="22"/>
      <c r="AG4" s="42"/>
      <c r="AH4" s="25" t="s">
        <v>107</v>
      </c>
      <c r="AI4" s="25">
        <f>SUM(AH9:AH29)</f>
        <v>32</v>
      </c>
    </row>
    <row r="5" spans="1:35">
      <c r="A5" s="43"/>
      <c r="B5" s="23" t="s">
        <v>108</v>
      </c>
      <c r="C5" s="26">
        <f>SUM(C9:C179)</f>
        <v>1.8699999999999994E-2</v>
      </c>
      <c r="E5" s="43"/>
      <c r="F5" s="23" t="s">
        <v>108</v>
      </c>
      <c r="G5" s="26">
        <f>SUM(G9:G33)</f>
        <v>3.3999999999999998E-3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1.5099999999999994E-2</v>
      </c>
      <c r="Q5" s="43"/>
      <c r="R5" s="23" t="s">
        <v>108</v>
      </c>
      <c r="S5" s="26">
        <f>SUM(S9:S33)</f>
        <v>4.8000000000000004E-3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2.2899999999999997E-2</v>
      </c>
      <c r="AC5" s="43"/>
      <c r="AD5" s="23" t="s">
        <v>108</v>
      </c>
      <c r="AE5" s="26">
        <f>SUM(AE9:AE29)</f>
        <v>2.5999999999999994E-3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81312</v>
      </c>
      <c r="C8" s="9">
        <v>0.98070000000000002</v>
      </c>
      <c r="E8" s="6" t="s">
        <v>112</v>
      </c>
      <c r="F8" s="29">
        <v>72183</v>
      </c>
      <c r="G8" s="9">
        <v>0.99629999999999996</v>
      </c>
      <c r="I8" s="6" t="s">
        <v>112</v>
      </c>
      <c r="J8" s="29">
        <v>73271</v>
      </c>
      <c r="K8" s="9">
        <v>0.99919999999999998</v>
      </c>
      <c r="M8" s="6" t="s">
        <v>112</v>
      </c>
      <c r="N8" s="29">
        <v>37590</v>
      </c>
      <c r="O8" s="9">
        <v>0.98529999999999995</v>
      </c>
      <c r="Q8" s="6" t="s">
        <v>112</v>
      </c>
      <c r="R8" s="29">
        <v>29921</v>
      </c>
      <c r="S8" s="9">
        <v>0.99509999999999998</v>
      </c>
      <c r="U8" s="6" t="s">
        <v>112</v>
      </c>
      <c r="V8" s="29">
        <v>29848</v>
      </c>
      <c r="W8" s="9">
        <v>0.99919999999999998</v>
      </c>
      <c r="Y8" s="6" t="s">
        <v>112</v>
      </c>
      <c r="Z8" s="29">
        <v>43724</v>
      </c>
      <c r="AA8" s="9">
        <v>0.97670000000000001</v>
      </c>
      <c r="AC8" s="6" t="s">
        <v>112</v>
      </c>
      <c r="AD8" s="29">
        <v>42277</v>
      </c>
      <c r="AE8" s="9">
        <v>0.99709999999999999</v>
      </c>
      <c r="AG8" s="6" t="s">
        <v>112</v>
      </c>
      <c r="AH8" s="29">
        <v>43423</v>
      </c>
      <c r="AI8" s="9">
        <v>0.99929999999999997</v>
      </c>
    </row>
    <row r="9" spans="1:35">
      <c r="A9" s="6" t="s">
        <v>2</v>
      </c>
      <c r="B9" s="6">
        <v>430</v>
      </c>
      <c r="C9" s="9">
        <v>5.1999999999999998E-3</v>
      </c>
      <c r="E9" s="6" t="s">
        <v>122</v>
      </c>
      <c r="F9" s="6">
        <v>184</v>
      </c>
      <c r="G9" s="9">
        <v>2.5000000000000001E-3</v>
      </c>
      <c r="I9" s="6" t="s">
        <v>2</v>
      </c>
      <c r="J9" s="6">
        <v>16</v>
      </c>
      <c r="K9" s="9">
        <v>2.0000000000000001E-4</v>
      </c>
      <c r="M9" s="6" t="s">
        <v>2</v>
      </c>
      <c r="N9" s="6">
        <v>153</v>
      </c>
      <c r="O9" s="9">
        <v>4.0000000000000001E-3</v>
      </c>
      <c r="Q9" s="6" t="s">
        <v>122</v>
      </c>
      <c r="R9" s="6">
        <v>121</v>
      </c>
      <c r="S9" s="9">
        <v>4.0000000000000001E-3</v>
      </c>
      <c r="U9" s="6" t="s">
        <v>113</v>
      </c>
      <c r="V9" s="6">
        <v>8</v>
      </c>
      <c r="W9" s="9">
        <v>2.9999999999999997E-4</v>
      </c>
      <c r="Y9" s="6" t="s">
        <v>2</v>
      </c>
      <c r="Z9" s="6">
        <v>277</v>
      </c>
      <c r="AA9" s="9">
        <v>6.1999999999999998E-3</v>
      </c>
      <c r="AC9" s="6" t="s">
        <v>122</v>
      </c>
      <c r="AD9" s="6">
        <v>63</v>
      </c>
      <c r="AE9" s="9">
        <v>1.5E-3</v>
      </c>
      <c r="AG9" s="6" t="s">
        <v>2</v>
      </c>
      <c r="AH9" s="6">
        <v>12</v>
      </c>
      <c r="AI9" s="9">
        <v>2.9999999999999997E-4</v>
      </c>
    </row>
    <row r="10" spans="1:35">
      <c r="A10" s="6" t="s">
        <v>3</v>
      </c>
      <c r="B10" s="6">
        <v>184</v>
      </c>
      <c r="C10" s="9">
        <v>2.2000000000000001E-3</v>
      </c>
      <c r="E10" s="6" t="s">
        <v>83</v>
      </c>
      <c r="F10" s="6">
        <v>23</v>
      </c>
      <c r="G10" s="9">
        <v>2.9999999999999997E-4</v>
      </c>
      <c r="I10" s="6" t="s">
        <v>113</v>
      </c>
      <c r="J10" s="6">
        <v>11</v>
      </c>
      <c r="K10" s="9">
        <v>2.0000000000000001E-4</v>
      </c>
      <c r="M10" s="6" t="s">
        <v>49</v>
      </c>
      <c r="N10" s="6">
        <v>134</v>
      </c>
      <c r="O10" s="9">
        <v>3.5000000000000001E-3</v>
      </c>
      <c r="Q10" s="6" t="s">
        <v>76</v>
      </c>
      <c r="R10" s="6">
        <v>11</v>
      </c>
      <c r="S10" s="9">
        <v>4.0000000000000002E-4</v>
      </c>
      <c r="U10" s="6" t="s">
        <v>102</v>
      </c>
      <c r="V10" s="6">
        <v>3</v>
      </c>
      <c r="W10" s="9">
        <v>1E-4</v>
      </c>
      <c r="Y10" s="6" t="s">
        <v>5</v>
      </c>
      <c r="Z10" s="6">
        <v>127</v>
      </c>
      <c r="AA10" s="9">
        <v>2.8E-3</v>
      </c>
      <c r="AC10" s="6" t="s">
        <v>83</v>
      </c>
      <c r="AD10" s="6">
        <v>23</v>
      </c>
      <c r="AE10" s="9">
        <v>5.0000000000000001E-4</v>
      </c>
      <c r="AG10" s="6" t="s">
        <v>103</v>
      </c>
      <c r="AH10" s="6">
        <v>3</v>
      </c>
      <c r="AI10" s="9">
        <v>1E-4</v>
      </c>
    </row>
    <row r="11" spans="1:35">
      <c r="A11" s="6" t="s">
        <v>5</v>
      </c>
      <c r="B11" s="6">
        <v>137</v>
      </c>
      <c r="C11" s="9">
        <v>1.6999999999999999E-3</v>
      </c>
      <c r="E11" s="6" t="s">
        <v>76</v>
      </c>
      <c r="F11" s="6">
        <v>14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3</v>
      </c>
      <c r="N11" s="6">
        <v>59</v>
      </c>
      <c r="O11" s="9">
        <v>1.5E-3</v>
      </c>
      <c r="Q11" s="6" t="s">
        <v>74</v>
      </c>
      <c r="R11" s="6">
        <v>11</v>
      </c>
      <c r="S11" s="9">
        <v>4.0000000000000002E-4</v>
      </c>
      <c r="U11" s="6" t="s">
        <v>98</v>
      </c>
      <c r="V11" s="6">
        <v>4</v>
      </c>
      <c r="W11" s="9">
        <v>1E-4</v>
      </c>
      <c r="Y11" s="6" t="s">
        <v>3</v>
      </c>
      <c r="Z11" s="6">
        <v>125</v>
      </c>
      <c r="AA11" s="9">
        <v>2.8E-3</v>
      </c>
      <c r="AC11" s="6" t="s">
        <v>75</v>
      </c>
      <c r="AD11" s="6">
        <v>8</v>
      </c>
      <c r="AE11" s="9">
        <v>2.0000000000000001E-4</v>
      </c>
      <c r="AG11" s="6" t="s">
        <v>98</v>
      </c>
      <c r="AH11" s="6">
        <v>6</v>
      </c>
      <c r="AI11" s="9">
        <v>1E-4</v>
      </c>
    </row>
    <row r="12" spans="1:35">
      <c r="A12" s="6" t="s">
        <v>49</v>
      </c>
      <c r="B12" s="6">
        <v>134</v>
      </c>
      <c r="C12" s="9">
        <v>1.6000000000000001E-3</v>
      </c>
      <c r="E12" s="6" t="s">
        <v>74</v>
      </c>
      <c r="F12" s="6">
        <v>17</v>
      </c>
      <c r="G12" s="9">
        <v>2.0000000000000001E-4</v>
      </c>
      <c r="I12" s="6" t="s">
        <v>98</v>
      </c>
      <c r="J12" s="6">
        <v>10</v>
      </c>
      <c r="K12" s="9">
        <v>1E-4</v>
      </c>
      <c r="M12" s="6" t="s">
        <v>7</v>
      </c>
      <c r="N12" s="6">
        <v>54</v>
      </c>
      <c r="O12" s="9">
        <v>1.4E-3</v>
      </c>
      <c r="Q12" s="6" t="s">
        <v>92</v>
      </c>
      <c r="R12" s="6">
        <v>1</v>
      </c>
      <c r="S12" s="30">
        <v>0</v>
      </c>
      <c r="U12" s="6" t="s">
        <v>99</v>
      </c>
      <c r="V12" s="6">
        <v>4</v>
      </c>
      <c r="W12" s="9">
        <v>1E-4</v>
      </c>
      <c r="Y12" s="6" t="s">
        <v>9</v>
      </c>
      <c r="Z12" s="6">
        <v>114</v>
      </c>
      <c r="AA12" s="9">
        <v>2.5000000000000001E-3</v>
      </c>
      <c r="AC12" s="6" t="s">
        <v>76</v>
      </c>
      <c r="AD12" s="6">
        <v>3</v>
      </c>
      <c r="AE12" s="9">
        <v>1E-4</v>
      </c>
      <c r="AG12" s="6" t="s">
        <v>99</v>
      </c>
      <c r="AH12" s="6">
        <v>4</v>
      </c>
      <c r="AI12" s="9">
        <v>1E-4</v>
      </c>
    </row>
    <row r="13" spans="1:35">
      <c r="A13" s="6" t="s">
        <v>9</v>
      </c>
      <c r="B13" s="6">
        <v>123</v>
      </c>
      <c r="C13" s="9">
        <v>1.5E-3</v>
      </c>
      <c r="E13" s="6" t="s">
        <v>75</v>
      </c>
      <c r="F13" s="6">
        <v>8</v>
      </c>
      <c r="G13" s="9">
        <v>1E-4</v>
      </c>
      <c r="I13" s="6" t="s">
        <v>99</v>
      </c>
      <c r="J13" s="6">
        <v>8</v>
      </c>
      <c r="K13" s="9">
        <v>1E-4</v>
      </c>
      <c r="M13" s="6" t="s">
        <v>11</v>
      </c>
      <c r="N13" s="6">
        <v>21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2</v>
      </c>
      <c r="V13" s="6">
        <v>4</v>
      </c>
      <c r="W13" s="9">
        <v>1E-4</v>
      </c>
      <c r="Y13" s="6" t="s">
        <v>8</v>
      </c>
      <c r="Z13" s="6">
        <v>98</v>
      </c>
      <c r="AA13" s="9">
        <v>2.2000000000000001E-3</v>
      </c>
      <c r="AC13" s="6" t="s">
        <v>79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8</v>
      </c>
      <c r="B14" s="6">
        <v>103</v>
      </c>
      <c r="C14" s="9">
        <v>1.1999999999999999E-3</v>
      </c>
      <c r="E14" s="6" t="s">
        <v>79</v>
      </c>
      <c r="F14" s="6">
        <v>6</v>
      </c>
      <c r="G14" s="9">
        <v>1E-4</v>
      </c>
      <c r="I14" s="6" t="s">
        <v>103</v>
      </c>
      <c r="J14" s="6">
        <v>3</v>
      </c>
      <c r="K14" s="30">
        <v>0</v>
      </c>
      <c r="M14" s="6" t="s">
        <v>41</v>
      </c>
      <c r="N14" s="6">
        <v>18</v>
      </c>
      <c r="O14" s="9">
        <v>5.0000000000000001E-4</v>
      </c>
      <c r="Q14" s="6" t="s">
        <v>77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36</v>
      </c>
      <c r="AA14" s="9">
        <v>8.0000000000000004E-4</v>
      </c>
      <c r="AC14" s="6" t="s">
        <v>74</v>
      </c>
      <c r="AD14" s="6">
        <v>6</v>
      </c>
      <c r="AE14" s="9">
        <v>1E-4</v>
      </c>
      <c r="AG14" s="6" t="s">
        <v>102</v>
      </c>
      <c r="AH14" s="6">
        <v>1</v>
      </c>
      <c r="AI14" s="30">
        <v>0</v>
      </c>
    </row>
    <row r="15" spans="1:35">
      <c r="A15" s="6" t="s">
        <v>7</v>
      </c>
      <c r="B15" s="6">
        <v>87</v>
      </c>
      <c r="C15" s="9">
        <v>1E-3</v>
      </c>
      <c r="E15" s="6" t="s">
        <v>92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10</v>
      </c>
      <c r="O15" s="9">
        <v>2.9999999999999997E-4</v>
      </c>
      <c r="U15" s="6" t="s">
        <v>117</v>
      </c>
      <c r="V15" s="6">
        <v>1</v>
      </c>
      <c r="W15" s="30">
        <v>0</v>
      </c>
      <c r="Y15" s="6" t="s">
        <v>7</v>
      </c>
      <c r="Z15" s="6">
        <v>33</v>
      </c>
      <c r="AA15" s="9">
        <v>6.9999999999999999E-4</v>
      </c>
      <c r="AC15" s="6" t="s">
        <v>78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57</v>
      </c>
      <c r="C16" s="9">
        <v>6.9999999999999999E-4</v>
      </c>
      <c r="E16" s="6" t="s">
        <v>80</v>
      </c>
      <c r="F16" s="6">
        <v>2</v>
      </c>
      <c r="G16" s="30">
        <v>0</v>
      </c>
      <c r="I16" s="6" t="s">
        <v>117</v>
      </c>
      <c r="J16" s="6">
        <v>1</v>
      </c>
      <c r="K16" s="30">
        <v>0</v>
      </c>
      <c r="M16" s="6" t="s">
        <v>10</v>
      </c>
      <c r="N16" s="6">
        <v>10</v>
      </c>
      <c r="O16" s="9">
        <v>2.9999999999999997E-4</v>
      </c>
      <c r="Y16" s="6" t="s">
        <v>17</v>
      </c>
      <c r="Z16" s="6">
        <v>28</v>
      </c>
      <c r="AA16" s="9">
        <v>5.9999999999999995E-4</v>
      </c>
      <c r="AC16" s="6" t="s">
        <v>92</v>
      </c>
      <c r="AD16" s="6">
        <v>1</v>
      </c>
      <c r="AE16" s="30">
        <v>0</v>
      </c>
      <c r="AG16" s="6" t="s">
        <v>117</v>
      </c>
      <c r="AH16" s="6">
        <v>1</v>
      </c>
      <c r="AI16" s="30">
        <v>0</v>
      </c>
    </row>
    <row r="17" spans="1:35">
      <c r="A17" s="6" t="s">
        <v>41</v>
      </c>
      <c r="B17" s="6">
        <v>44</v>
      </c>
      <c r="C17" s="9">
        <v>5.0000000000000001E-4</v>
      </c>
      <c r="E17" s="6" t="s">
        <v>77</v>
      </c>
      <c r="F17" s="6">
        <v>3</v>
      </c>
      <c r="G17" s="30">
        <v>0</v>
      </c>
      <c r="I17" s="6" t="s">
        <v>132</v>
      </c>
      <c r="J17" s="6">
        <v>1</v>
      </c>
      <c r="K17" s="30">
        <v>0</v>
      </c>
      <c r="M17" s="6" t="s">
        <v>9</v>
      </c>
      <c r="N17" s="6">
        <v>9</v>
      </c>
      <c r="O17" s="9">
        <v>2.0000000000000001E-4</v>
      </c>
      <c r="Y17" s="6" t="s">
        <v>41</v>
      </c>
      <c r="Z17" s="6">
        <v>26</v>
      </c>
      <c r="AA17" s="9">
        <v>5.9999999999999995E-4</v>
      </c>
      <c r="AC17" s="6" t="s">
        <v>80</v>
      </c>
      <c r="AD17" s="6">
        <v>2</v>
      </c>
      <c r="AE17" s="30">
        <v>0</v>
      </c>
      <c r="AG17" s="6" t="s">
        <v>132</v>
      </c>
      <c r="AH17" s="6">
        <v>1</v>
      </c>
      <c r="AI17" s="30">
        <v>0</v>
      </c>
    </row>
    <row r="18" spans="1:35">
      <c r="A18" s="6" t="s">
        <v>17</v>
      </c>
      <c r="B18" s="6">
        <v>36</v>
      </c>
      <c r="C18" s="9">
        <v>4.0000000000000002E-4</v>
      </c>
      <c r="E18" s="6" t="s">
        <v>84</v>
      </c>
      <c r="F18" s="6">
        <v>2</v>
      </c>
      <c r="G18" s="30">
        <v>0</v>
      </c>
      <c r="M18" s="6" t="s">
        <v>17</v>
      </c>
      <c r="N18" s="6">
        <v>8</v>
      </c>
      <c r="O18" s="9">
        <v>2.0000000000000001E-4</v>
      </c>
      <c r="Y18" s="6" t="s">
        <v>37</v>
      </c>
      <c r="Z18" s="6">
        <v>24</v>
      </c>
      <c r="AA18" s="9">
        <v>5.0000000000000001E-4</v>
      </c>
      <c r="AC18" s="6" t="s">
        <v>77</v>
      </c>
      <c r="AD18" s="6">
        <v>2</v>
      </c>
      <c r="AE18" s="30">
        <v>0</v>
      </c>
    </row>
    <row r="19" spans="1:35">
      <c r="A19" s="6" t="s">
        <v>21</v>
      </c>
      <c r="B19" s="6">
        <v>21</v>
      </c>
      <c r="C19" s="9">
        <v>2.9999999999999997E-4</v>
      </c>
      <c r="E19" s="6" t="s">
        <v>78</v>
      </c>
      <c r="F19" s="6">
        <v>3</v>
      </c>
      <c r="G19" s="30">
        <v>0</v>
      </c>
      <c r="M19" s="6" t="s">
        <v>22</v>
      </c>
      <c r="N19" s="6">
        <v>6</v>
      </c>
      <c r="O19" s="9">
        <v>2.0000000000000001E-4</v>
      </c>
      <c r="Y19" s="6" t="s">
        <v>19</v>
      </c>
      <c r="Z19" s="6">
        <v>16</v>
      </c>
      <c r="AA19" s="9">
        <v>4.0000000000000002E-4</v>
      </c>
      <c r="AC19" s="6" t="s">
        <v>84</v>
      </c>
      <c r="AD19" s="6">
        <v>2</v>
      </c>
      <c r="AE19" s="30">
        <v>0</v>
      </c>
    </row>
    <row r="20" spans="1:35">
      <c r="A20" s="6" t="s">
        <v>37</v>
      </c>
      <c r="B20" s="6">
        <v>26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18</v>
      </c>
      <c r="N20" s="6">
        <v>7</v>
      </c>
      <c r="O20" s="9">
        <v>2.0000000000000001E-4</v>
      </c>
      <c r="Y20" s="6" t="s">
        <v>21</v>
      </c>
      <c r="Z20" s="6">
        <v>16</v>
      </c>
      <c r="AA20" s="9">
        <v>4.0000000000000002E-4</v>
      </c>
      <c r="AC20" s="6" t="s">
        <v>91</v>
      </c>
      <c r="AD20" s="6">
        <v>1</v>
      </c>
      <c r="AE20" s="30">
        <v>0</v>
      </c>
    </row>
    <row r="21" spans="1:35">
      <c r="A21" s="6" t="s">
        <v>10</v>
      </c>
      <c r="B21" s="6">
        <v>22</v>
      </c>
      <c r="C21" s="9">
        <v>2.9999999999999997E-4</v>
      </c>
      <c r="E21" s="6" t="s">
        <v>91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14</v>
      </c>
      <c r="Z21" s="6">
        <v>16</v>
      </c>
      <c r="AA21" s="9">
        <v>4.0000000000000002E-4</v>
      </c>
      <c r="AC21" s="6" t="s">
        <v>89</v>
      </c>
      <c r="AD21" s="6">
        <v>1</v>
      </c>
      <c r="AE21" s="30">
        <v>0</v>
      </c>
    </row>
    <row r="22" spans="1:35">
      <c r="A22" s="6" t="s">
        <v>19</v>
      </c>
      <c r="B22" s="6">
        <v>18</v>
      </c>
      <c r="C22" s="9">
        <v>2.0000000000000001E-4</v>
      </c>
      <c r="M22" s="6" t="s">
        <v>43</v>
      </c>
      <c r="N22" s="6">
        <v>8</v>
      </c>
      <c r="O22" s="9">
        <v>2.0000000000000001E-4</v>
      </c>
      <c r="Y22" s="6" t="s">
        <v>152</v>
      </c>
      <c r="Z22" s="6">
        <v>13</v>
      </c>
      <c r="AA22" s="9">
        <v>2.9999999999999997E-4</v>
      </c>
    </row>
    <row r="23" spans="1:35">
      <c r="A23" s="6" t="s">
        <v>14</v>
      </c>
      <c r="B23" s="6">
        <v>17</v>
      </c>
      <c r="C23" s="9">
        <v>2.0000000000000001E-4</v>
      </c>
      <c r="M23" s="6" t="s">
        <v>46</v>
      </c>
      <c r="N23" s="6">
        <v>7</v>
      </c>
      <c r="O23" s="9">
        <v>2.0000000000000001E-4</v>
      </c>
      <c r="Y23" s="6" t="s">
        <v>10</v>
      </c>
      <c r="Z23" s="6">
        <v>12</v>
      </c>
      <c r="AA23" s="9">
        <v>2.9999999999999997E-4</v>
      </c>
    </row>
    <row r="24" spans="1:35">
      <c r="A24" s="6" t="s">
        <v>18</v>
      </c>
      <c r="B24" s="6">
        <v>18</v>
      </c>
      <c r="C24" s="9">
        <v>2.0000000000000001E-4</v>
      </c>
      <c r="M24" s="6" t="s">
        <v>19</v>
      </c>
      <c r="N24" s="6">
        <v>2</v>
      </c>
      <c r="O24" s="9">
        <v>1E-4</v>
      </c>
      <c r="Y24" s="6" t="s">
        <v>20</v>
      </c>
      <c r="Z24" s="6">
        <v>9</v>
      </c>
      <c r="AA24" s="9">
        <v>2.0000000000000001E-4</v>
      </c>
    </row>
    <row r="25" spans="1:35">
      <c r="A25" s="6" t="s">
        <v>152</v>
      </c>
      <c r="B25" s="6">
        <v>13</v>
      </c>
      <c r="C25" s="9">
        <v>2.0000000000000001E-4</v>
      </c>
      <c r="M25" s="6" t="s">
        <v>20</v>
      </c>
      <c r="N25" s="6">
        <v>2</v>
      </c>
      <c r="O25" s="9">
        <v>1E-4</v>
      </c>
      <c r="Y25" s="6" t="s">
        <v>18</v>
      </c>
      <c r="Z25" s="6">
        <v>11</v>
      </c>
      <c r="AA25" s="9">
        <v>2.0000000000000001E-4</v>
      </c>
    </row>
    <row r="26" spans="1:35">
      <c r="A26" s="6" t="s">
        <v>20</v>
      </c>
      <c r="B26" s="6">
        <v>11</v>
      </c>
      <c r="C26" s="9">
        <v>1E-4</v>
      </c>
      <c r="M26" s="6" t="s">
        <v>67</v>
      </c>
      <c r="N26" s="6">
        <v>4</v>
      </c>
      <c r="O26" s="9">
        <v>1E-4</v>
      </c>
      <c r="Y26" s="6" t="s">
        <v>29</v>
      </c>
      <c r="Z26" s="6">
        <v>8</v>
      </c>
      <c r="AA26" s="9">
        <v>2.0000000000000001E-4</v>
      </c>
    </row>
    <row r="27" spans="1:35">
      <c r="A27" s="6" t="s">
        <v>46</v>
      </c>
      <c r="B27" s="6">
        <v>7</v>
      </c>
      <c r="C27" s="9">
        <v>1E-4</v>
      </c>
      <c r="M27" s="6" t="s">
        <v>21</v>
      </c>
      <c r="N27" s="6">
        <v>5</v>
      </c>
      <c r="O27" s="9">
        <v>1E-4</v>
      </c>
      <c r="Y27" s="6" t="s">
        <v>13</v>
      </c>
      <c r="Z27" s="6">
        <v>3</v>
      </c>
      <c r="AA27" s="9">
        <v>1E-4</v>
      </c>
    </row>
    <row r="28" spans="1:35">
      <c r="A28" s="6" t="s">
        <v>22</v>
      </c>
      <c r="B28" s="6">
        <v>9</v>
      </c>
      <c r="C28" s="9">
        <v>1E-4</v>
      </c>
      <c r="M28" s="6" t="s">
        <v>8</v>
      </c>
      <c r="N28" s="6">
        <v>5</v>
      </c>
      <c r="O28" s="9">
        <v>1E-4</v>
      </c>
      <c r="Y28" s="6" t="s">
        <v>12</v>
      </c>
      <c r="Z28" s="6">
        <v>4</v>
      </c>
      <c r="AA28" s="9">
        <v>1E-4</v>
      </c>
    </row>
    <row r="29" spans="1:35">
      <c r="A29" s="6" t="s">
        <v>31</v>
      </c>
      <c r="B29" s="6">
        <v>12</v>
      </c>
      <c r="C29" s="9">
        <v>1E-4</v>
      </c>
      <c r="M29" s="6" t="s">
        <v>30</v>
      </c>
      <c r="N29" s="6">
        <v>4</v>
      </c>
      <c r="O29" s="9">
        <v>1E-4</v>
      </c>
      <c r="Y29" s="6" t="s">
        <v>36</v>
      </c>
      <c r="Z29" s="6">
        <v>3</v>
      </c>
      <c r="AA29" s="9">
        <v>1E-4</v>
      </c>
    </row>
    <row r="30" spans="1:35">
      <c r="A30" s="6" t="s">
        <v>12</v>
      </c>
      <c r="B30" s="6">
        <v>7</v>
      </c>
      <c r="C30" s="9">
        <v>1E-4</v>
      </c>
      <c r="M30" s="6" t="s">
        <v>37</v>
      </c>
      <c r="N30" s="6">
        <v>2</v>
      </c>
      <c r="O30" s="9">
        <v>1E-4</v>
      </c>
      <c r="Y30" s="6" t="s">
        <v>31</v>
      </c>
      <c r="Z30" s="6">
        <v>5</v>
      </c>
      <c r="AA30" s="9">
        <v>1E-4</v>
      </c>
    </row>
    <row r="31" spans="1:35">
      <c r="A31" s="6" t="s">
        <v>29</v>
      </c>
      <c r="B31" s="6">
        <v>10</v>
      </c>
      <c r="C31" s="9">
        <v>1E-4</v>
      </c>
      <c r="M31" s="6" t="s">
        <v>16</v>
      </c>
      <c r="N31" s="6">
        <v>2</v>
      </c>
      <c r="O31" s="9">
        <v>1E-4</v>
      </c>
      <c r="Y31" s="6" t="s">
        <v>26</v>
      </c>
      <c r="Z31" s="6">
        <v>5</v>
      </c>
      <c r="AA31" s="9">
        <v>1E-4</v>
      </c>
    </row>
    <row r="32" spans="1:35">
      <c r="A32" s="6" t="s">
        <v>26</v>
      </c>
      <c r="B32" s="6">
        <v>8</v>
      </c>
      <c r="C32" s="9">
        <v>1E-4</v>
      </c>
      <c r="M32" s="6" t="s">
        <v>26</v>
      </c>
      <c r="N32" s="6">
        <v>3</v>
      </c>
      <c r="O32" s="9">
        <v>1E-4</v>
      </c>
      <c r="Y32" s="6" t="s">
        <v>22</v>
      </c>
      <c r="Z32" s="6">
        <v>3</v>
      </c>
      <c r="AA32" s="9">
        <v>1E-4</v>
      </c>
    </row>
    <row r="33" spans="1:27">
      <c r="A33" s="6" t="s">
        <v>43</v>
      </c>
      <c r="B33" s="6">
        <v>9</v>
      </c>
      <c r="C33" s="9">
        <v>1E-4</v>
      </c>
      <c r="M33" s="6" t="s">
        <v>12</v>
      </c>
      <c r="N33" s="6">
        <v>3</v>
      </c>
      <c r="O33" s="9">
        <v>1E-4</v>
      </c>
      <c r="Y33" s="6" t="s">
        <v>58</v>
      </c>
      <c r="Z33" s="6">
        <v>3</v>
      </c>
      <c r="AA33" s="9">
        <v>1E-4</v>
      </c>
    </row>
    <row r="34" spans="1:27">
      <c r="A34" s="6" t="s">
        <v>24</v>
      </c>
      <c r="B34" s="6">
        <v>5</v>
      </c>
      <c r="C34" s="9">
        <v>1E-4</v>
      </c>
      <c r="M34" s="6" t="s">
        <v>24</v>
      </c>
      <c r="N34" s="6">
        <v>3</v>
      </c>
      <c r="O34" s="9">
        <v>1E-4</v>
      </c>
      <c r="Y34" s="6" t="s">
        <v>39</v>
      </c>
      <c r="Z34" s="6">
        <v>4</v>
      </c>
      <c r="AA34" s="9">
        <v>1E-4</v>
      </c>
    </row>
    <row r="35" spans="1:27">
      <c r="A35" s="6" t="s">
        <v>39</v>
      </c>
      <c r="B35" s="6">
        <v>6</v>
      </c>
      <c r="C35" s="9">
        <v>1E-4</v>
      </c>
      <c r="M35" s="6" t="s">
        <v>29</v>
      </c>
      <c r="N35" s="6">
        <v>2</v>
      </c>
      <c r="O35" s="9">
        <v>1E-4</v>
      </c>
      <c r="Y35" s="6" t="s">
        <v>34</v>
      </c>
      <c r="Z35" s="6">
        <v>2</v>
      </c>
      <c r="AA35" s="30">
        <v>0</v>
      </c>
    </row>
    <row r="36" spans="1:27">
      <c r="A36" s="6" t="s">
        <v>45</v>
      </c>
      <c r="B36" s="6">
        <v>2</v>
      </c>
      <c r="C36" s="30">
        <v>0</v>
      </c>
      <c r="M36" s="6" t="s">
        <v>38</v>
      </c>
      <c r="N36" s="6">
        <v>2</v>
      </c>
      <c r="O36" s="9">
        <v>1E-4</v>
      </c>
      <c r="Y36" s="6" t="s">
        <v>115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32</v>
      </c>
      <c r="N37" s="6">
        <v>2</v>
      </c>
      <c r="O37" s="9">
        <v>1E-4</v>
      </c>
      <c r="Y37" s="6" t="s">
        <v>45</v>
      </c>
      <c r="Z37" s="6">
        <v>1</v>
      </c>
      <c r="AA37" s="30">
        <v>0</v>
      </c>
    </row>
    <row r="38" spans="1:27">
      <c r="A38" s="6" t="s">
        <v>13</v>
      </c>
      <c r="B38" s="6">
        <v>3</v>
      </c>
      <c r="C38" s="30">
        <v>0</v>
      </c>
      <c r="M38" s="6" t="s">
        <v>33</v>
      </c>
      <c r="N38" s="6">
        <v>2</v>
      </c>
      <c r="O38" s="9">
        <v>1E-4</v>
      </c>
      <c r="Y38" s="6" t="s">
        <v>51</v>
      </c>
      <c r="Z38" s="6">
        <v>1</v>
      </c>
      <c r="AA38" s="30">
        <v>0</v>
      </c>
    </row>
    <row r="39" spans="1:27">
      <c r="A39" s="6" t="s">
        <v>34</v>
      </c>
      <c r="B39" s="6">
        <v>2</v>
      </c>
      <c r="C39" s="30">
        <v>0</v>
      </c>
      <c r="M39" s="6" t="s">
        <v>39</v>
      </c>
      <c r="N39" s="6">
        <v>2</v>
      </c>
      <c r="O39" s="9">
        <v>1E-4</v>
      </c>
      <c r="Y39" s="6" t="s">
        <v>16</v>
      </c>
      <c r="Z39" s="6">
        <v>1</v>
      </c>
      <c r="AA39" s="30">
        <v>0</v>
      </c>
    </row>
    <row r="40" spans="1:27">
      <c r="A40" s="6" t="s">
        <v>67</v>
      </c>
      <c r="B40" s="6">
        <v>4</v>
      </c>
      <c r="C40" s="30">
        <v>0</v>
      </c>
      <c r="M40" s="6" t="s">
        <v>45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36</v>
      </c>
      <c r="N41" s="6">
        <v>1</v>
      </c>
      <c r="O41" s="30">
        <v>0</v>
      </c>
      <c r="Y41" s="6" t="s">
        <v>27</v>
      </c>
      <c r="Z41" s="6">
        <v>2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15</v>
      </c>
      <c r="N42" s="6">
        <v>1</v>
      </c>
      <c r="O42" s="30">
        <v>0</v>
      </c>
      <c r="Y42" s="6" t="s">
        <v>59</v>
      </c>
      <c r="Z42" s="6">
        <v>2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M43" s="6" t="s">
        <v>64</v>
      </c>
      <c r="N43" s="6">
        <v>1</v>
      </c>
      <c r="O43" s="30">
        <v>0</v>
      </c>
      <c r="Y43" s="6" t="s">
        <v>47</v>
      </c>
      <c r="Z43" s="6">
        <v>1</v>
      </c>
      <c r="AA43" s="30">
        <v>0</v>
      </c>
    </row>
    <row r="44" spans="1:27">
      <c r="A44" s="6" t="s">
        <v>47</v>
      </c>
      <c r="B44" s="6">
        <v>1</v>
      </c>
      <c r="C44" s="30">
        <v>0</v>
      </c>
      <c r="M44" s="6" t="s">
        <v>14</v>
      </c>
      <c r="N44" s="6">
        <v>1</v>
      </c>
      <c r="O44" s="30">
        <v>0</v>
      </c>
      <c r="Y44" s="6" t="s">
        <v>68</v>
      </c>
      <c r="Z44" s="6">
        <v>1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M45" s="6" t="s">
        <v>60</v>
      </c>
      <c r="N45" s="6">
        <v>1</v>
      </c>
      <c r="O45" s="30">
        <v>0</v>
      </c>
      <c r="Y45" s="6" t="s">
        <v>25</v>
      </c>
      <c r="Z45" s="6">
        <v>2</v>
      </c>
      <c r="AA45" s="30">
        <v>0</v>
      </c>
    </row>
    <row r="46" spans="1:27">
      <c r="A46" s="6" t="s">
        <v>30</v>
      </c>
      <c r="B46" s="6">
        <v>4</v>
      </c>
      <c r="C46" s="30">
        <v>0</v>
      </c>
      <c r="Y46" s="6" t="s">
        <v>24</v>
      </c>
      <c r="Z46" s="6">
        <v>2</v>
      </c>
      <c r="AA46" s="30">
        <v>0</v>
      </c>
    </row>
    <row r="47" spans="1:27">
      <c r="A47" s="6" t="s">
        <v>33</v>
      </c>
      <c r="B47" s="6">
        <v>2</v>
      </c>
      <c r="C47" s="30">
        <v>0</v>
      </c>
      <c r="Y47" s="6" t="s">
        <v>38</v>
      </c>
      <c r="Z47" s="6">
        <v>1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Y48" s="6" t="s">
        <v>150</v>
      </c>
      <c r="Z48" s="6">
        <v>1</v>
      </c>
      <c r="AA48" s="30">
        <v>0</v>
      </c>
    </row>
    <row r="49" spans="1:27">
      <c r="A49" s="6" t="s">
        <v>38</v>
      </c>
      <c r="B49" s="6">
        <v>3</v>
      </c>
      <c r="C49" s="30">
        <v>0</v>
      </c>
      <c r="Y49" s="6" t="s">
        <v>15</v>
      </c>
      <c r="Z49" s="6">
        <v>1</v>
      </c>
      <c r="AA49" s="30">
        <v>0</v>
      </c>
    </row>
    <row r="50" spans="1:27">
      <c r="A50" s="6" t="s">
        <v>58</v>
      </c>
      <c r="B50" s="6">
        <v>3</v>
      </c>
      <c r="C50" s="30">
        <v>0</v>
      </c>
      <c r="Y50" s="6" t="s">
        <v>42</v>
      </c>
      <c r="Z50" s="6">
        <v>1</v>
      </c>
      <c r="AA50" s="30">
        <v>0</v>
      </c>
    </row>
    <row r="51" spans="1:27">
      <c r="A51" s="6" t="s">
        <v>27</v>
      </c>
      <c r="B51" s="6">
        <v>2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59</v>
      </c>
      <c r="B52" s="6">
        <v>2</v>
      </c>
      <c r="C52" s="30">
        <v>0</v>
      </c>
      <c r="Y52" s="6" t="s">
        <v>43</v>
      </c>
      <c r="Z52" s="6">
        <v>1</v>
      </c>
      <c r="AA52" s="30">
        <v>0</v>
      </c>
    </row>
    <row r="53" spans="1:27">
      <c r="A53" s="6" t="s">
        <v>25</v>
      </c>
      <c r="B53" s="6">
        <v>2</v>
      </c>
      <c r="C53" s="30">
        <v>0</v>
      </c>
    </row>
    <row r="54" spans="1:27">
      <c r="A54" s="6" t="s">
        <v>68</v>
      </c>
      <c r="B54" s="6">
        <v>1</v>
      </c>
      <c r="C54" s="30">
        <v>0</v>
      </c>
    </row>
    <row r="55" spans="1:27">
      <c r="A55" s="6" t="s">
        <v>150</v>
      </c>
      <c r="B55" s="6">
        <v>1</v>
      </c>
      <c r="C55" s="30">
        <v>0</v>
      </c>
    </row>
    <row r="56" spans="1:27">
      <c r="A56" s="6" t="s">
        <v>32</v>
      </c>
      <c r="B56" s="6">
        <v>2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  <row r="58" spans="1:27">
      <c r="A58" s="6" t="s">
        <v>42</v>
      </c>
      <c r="B58" s="6">
        <v>1</v>
      </c>
      <c r="C58" s="30">
        <v>0</v>
      </c>
    </row>
    <row r="59" spans="1:27">
      <c r="A59" s="6" t="s">
        <v>60</v>
      </c>
      <c r="B59" s="6">
        <v>1</v>
      </c>
      <c r="C59" s="30">
        <v>0</v>
      </c>
    </row>
    <row r="60" spans="1:27">
      <c r="A60" s="6" t="s">
        <v>66</v>
      </c>
      <c r="B60" s="6">
        <v>1</v>
      </c>
      <c r="C6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5899-A7D6-4D44-8CA0-22DF64A8DAC0}">
  <sheetPr codeName="Sheet17"/>
  <dimension ref="A1:AI59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84493</v>
      </c>
      <c r="E2" s="41" t="s">
        <v>4</v>
      </c>
      <c r="F2" s="23" t="s">
        <v>105</v>
      </c>
      <c r="G2" s="23">
        <f>G3+G4</f>
        <v>77718</v>
      </c>
      <c r="H2" s="22"/>
      <c r="I2" s="41" t="s">
        <v>6</v>
      </c>
      <c r="J2" s="23" t="s">
        <v>105</v>
      </c>
      <c r="K2" s="23">
        <f>K3+K4</f>
        <v>75244</v>
      </c>
      <c r="M2" s="41" t="s">
        <v>104</v>
      </c>
      <c r="N2" s="23" t="s">
        <v>105</v>
      </c>
      <c r="O2" s="23">
        <f>O3+O4</f>
        <v>36776</v>
      </c>
      <c r="Q2" s="41" t="s">
        <v>4</v>
      </c>
      <c r="R2" s="23" t="s">
        <v>105</v>
      </c>
      <c r="S2" s="23">
        <f>S3+S4</f>
        <v>26531</v>
      </c>
      <c r="T2" s="22"/>
      <c r="U2" s="41" t="s">
        <v>6</v>
      </c>
      <c r="V2" s="23" t="s">
        <v>105</v>
      </c>
      <c r="W2" s="23">
        <f>W3+W4</f>
        <v>27238</v>
      </c>
      <c r="Y2" s="41" t="s">
        <v>104</v>
      </c>
      <c r="Z2" s="23" t="s">
        <v>105</v>
      </c>
      <c r="AA2" s="23">
        <f>AA3+AA4</f>
        <v>47926</v>
      </c>
      <c r="AC2" s="41" t="s">
        <v>4</v>
      </c>
      <c r="AD2" s="23" t="s">
        <v>105</v>
      </c>
      <c r="AE2" s="23">
        <f>AE3+AE4</f>
        <v>51188</v>
      </c>
      <c r="AF2" s="22"/>
      <c r="AG2" s="41" t="s">
        <v>6</v>
      </c>
      <c r="AH2" s="23" t="s">
        <v>105</v>
      </c>
      <c r="AI2" s="23">
        <f>AI3+AI4</f>
        <v>48008</v>
      </c>
    </row>
    <row r="3" spans="1:35">
      <c r="A3" s="42"/>
      <c r="B3" s="24" t="s">
        <v>106</v>
      </c>
      <c r="C3" s="24">
        <f>B8</f>
        <v>83253</v>
      </c>
      <c r="E3" s="42"/>
      <c r="F3" s="24" t="s">
        <v>106</v>
      </c>
      <c r="G3" s="24">
        <f>F8</f>
        <v>77431</v>
      </c>
      <c r="H3" s="22"/>
      <c r="I3" s="42"/>
      <c r="J3" s="24" t="s">
        <v>106</v>
      </c>
      <c r="K3" s="24">
        <f>J8</f>
        <v>75177</v>
      </c>
      <c r="M3" s="42"/>
      <c r="N3" s="24" t="s">
        <v>106</v>
      </c>
      <c r="O3" s="24">
        <f>N8</f>
        <v>36290</v>
      </c>
      <c r="Q3" s="42"/>
      <c r="R3" s="24" t="s">
        <v>106</v>
      </c>
      <c r="S3" s="24">
        <f>R8</f>
        <v>26434</v>
      </c>
      <c r="T3" s="22"/>
      <c r="U3" s="42"/>
      <c r="V3" s="24" t="s">
        <v>106</v>
      </c>
      <c r="W3" s="24">
        <f>V8</f>
        <v>27209</v>
      </c>
      <c r="Y3" s="42"/>
      <c r="Z3" s="24" t="s">
        <v>106</v>
      </c>
      <c r="AA3" s="24">
        <f>Z8</f>
        <v>47176</v>
      </c>
      <c r="AC3" s="42"/>
      <c r="AD3" s="24" t="s">
        <v>106</v>
      </c>
      <c r="AE3" s="24">
        <f>AD8</f>
        <v>50997</v>
      </c>
      <c r="AF3" s="22"/>
      <c r="AG3" s="42"/>
      <c r="AH3" s="24" t="s">
        <v>106</v>
      </c>
      <c r="AI3" s="24">
        <f>AH8</f>
        <v>47968</v>
      </c>
    </row>
    <row r="4" spans="1:35">
      <c r="A4" s="42"/>
      <c r="B4" s="25" t="s">
        <v>107</v>
      </c>
      <c r="C4" s="25">
        <f>SUM(B9:B66)</f>
        <v>1240</v>
      </c>
      <c r="E4" s="42"/>
      <c r="F4" s="25" t="s">
        <v>107</v>
      </c>
      <c r="G4" s="25">
        <f>SUM(F9:F33)</f>
        <v>287</v>
      </c>
      <c r="H4" s="22"/>
      <c r="I4" s="42"/>
      <c r="J4" s="25" t="s">
        <v>107</v>
      </c>
      <c r="K4" s="25">
        <f>SUM(J9:J31)</f>
        <v>67</v>
      </c>
      <c r="M4" s="42"/>
      <c r="N4" s="25" t="s">
        <v>107</v>
      </c>
      <c r="O4" s="25">
        <f>SUM(N9:N66)</f>
        <v>486</v>
      </c>
      <c r="Q4" s="42"/>
      <c r="R4" s="25" t="s">
        <v>107</v>
      </c>
      <c r="S4" s="25">
        <f>SUM(R9:R33)</f>
        <v>97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750</v>
      </c>
      <c r="AC4" s="42"/>
      <c r="AD4" s="25" t="s">
        <v>107</v>
      </c>
      <c r="AE4" s="25">
        <f>SUM(AD9:AD29)</f>
        <v>191</v>
      </c>
      <c r="AF4" s="22"/>
      <c r="AG4" s="42"/>
      <c r="AH4" s="25" t="s">
        <v>107</v>
      </c>
      <c r="AI4" s="25">
        <f>SUM(AH9:AH29)</f>
        <v>40</v>
      </c>
    </row>
    <row r="5" spans="1:35">
      <c r="A5" s="43"/>
      <c r="B5" s="23" t="s">
        <v>108</v>
      </c>
      <c r="C5" s="26">
        <f>SUM(C9:C179)</f>
        <v>1.4399999999999993E-2</v>
      </c>
      <c r="E5" s="43"/>
      <c r="F5" s="23" t="s">
        <v>108</v>
      </c>
      <c r="G5" s="26">
        <f>SUM(G9:G33)</f>
        <v>3.5999999999999999E-3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1.2899999999999993E-2</v>
      </c>
      <c r="Q5" s="43"/>
      <c r="R5" s="23" t="s">
        <v>108</v>
      </c>
      <c r="S5" s="26">
        <f>SUM(S9:S33)</f>
        <v>3.5000000000000001E-3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1.5299999999999994E-2</v>
      </c>
      <c r="AC5" s="43"/>
      <c r="AD5" s="23" t="s">
        <v>108</v>
      </c>
      <c r="AE5" s="26">
        <f>SUM(AE9:AE29)</f>
        <v>3.5999999999999995E-3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83253</v>
      </c>
      <c r="C8" s="9">
        <v>0.98529999999999995</v>
      </c>
      <c r="E8" s="6" t="s">
        <v>112</v>
      </c>
      <c r="F8" s="29">
        <v>77431</v>
      </c>
      <c r="G8" s="9">
        <v>0.99629999999999996</v>
      </c>
      <c r="I8" s="6" t="s">
        <v>112</v>
      </c>
      <c r="J8" s="29">
        <v>75177</v>
      </c>
      <c r="K8" s="9">
        <v>0.99909999999999999</v>
      </c>
      <c r="M8" s="6" t="s">
        <v>112</v>
      </c>
      <c r="N8" s="29">
        <v>36290</v>
      </c>
      <c r="O8" s="9">
        <v>0.98680000000000001</v>
      </c>
      <c r="Q8" s="6" t="s">
        <v>112</v>
      </c>
      <c r="R8" s="29">
        <v>26434</v>
      </c>
      <c r="S8" s="9">
        <v>0.99629999999999996</v>
      </c>
      <c r="U8" s="6" t="s">
        <v>112</v>
      </c>
      <c r="V8" s="29">
        <v>27209</v>
      </c>
      <c r="W8" s="9">
        <v>0.99890000000000001</v>
      </c>
      <c r="Y8" s="6" t="s">
        <v>112</v>
      </c>
      <c r="Z8" s="29">
        <v>47176</v>
      </c>
      <c r="AA8" s="9">
        <v>0.98419999999999996</v>
      </c>
      <c r="AC8" s="6" t="s">
        <v>112</v>
      </c>
      <c r="AD8" s="29">
        <v>50997</v>
      </c>
      <c r="AE8" s="9">
        <v>0.99629999999999996</v>
      </c>
      <c r="AG8" s="6" t="s">
        <v>112</v>
      </c>
      <c r="AH8" s="29">
        <v>47968</v>
      </c>
      <c r="AI8" s="9">
        <v>0.99919999999999998</v>
      </c>
    </row>
    <row r="9" spans="1:35">
      <c r="A9" s="6" t="s">
        <v>2</v>
      </c>
      <c r="B9" s="6">
        <v>377</v>
      </c>
      <c r="C9" s="9">
        <v>4.4999999999999997E-3</v>
      </c>
      <c r="E9" s="6" t="s">
        <v>122</v>
      </c>
      <c r="F9" s="6">
        <v>182</v>
      </c>
      <c r="G9" s="9">
        <v>2.3E-3</v>
      </c>
      <c r="I9" s="6" t="s">
        <v>2</v>
      </c>
      <c r="J9" s="6">
        <v>26</v>
      </c>
      <c r="K9" s="9">
        <v>2.9999999999999997E-4</v>
      </c>
      <c r="M9" s="6" t="s">
        <v>2</v>
      </c>
      <c r="N9" s="6">
        <v>155</v>
      </c>
      <c r="O9" s="9">
        <v>4.1999999999999997E-3</v>
      </c>
      <c r="Q9" s="6" t="s">
        <v>122</v>
      </c>
      <c r="R9" s="6">
        <v>86</v>
      </c>
      <c r="S9" s="9">
        <v>3.2000000000000002E-3</v>
      </c>
      <c r="U9" s="6" t="s">
        <v>99</v>
      </c>
      <c r="V9" s="6">
        <v>9</v>
      </c>
      <c r="W9" s="9">
        <v>2.9999999999999997E-4</v>
      </c>
      <c r="Y9" s="6" t="s">
        <v>2</v>
      </c>
      <c r="Z9" s="6">
        <v>222</v>
      </c>
      <c r="AA9" s="9">
        <v>4.5999999999999999E-3</v>
      </c>
      <c r="AC9" s="6" t="s">
        <v>122</v>
      </c>
      <c r="AD9" s="6">
        <v>96</v>
      </c>
      <c r="AE9" s="9">
        <v>1.9E-3</v>
      </c>
      <c r="AG9" s="6" t="s">
        <v>2</v>
      </c>
      <c r="AH9" s="6">
        <v>18</v>
      </c>
      <c r="AI9" s="9">
        <v>4.0000000000000002E-4</v>
      </c>
    </row>
    <row r="10" spans="1:35">
      <c r="A10" s="6" t="s">
        <v>3</v>
      </c>
      <c r="B10" s="6">
        <v>162</v>
      </c>
      <c r="C10" s="9">
        <v>1.9E-3</v>
      </c>
      <c r="E10" s="6" t="s">
        <v>83</v>
      </c>
      <c r="F10" s="6">
        <v>37</v>
      </c>
      <c r="G10" s="9">
        <v>5.0000000000000001E-4</v>
      </c>
      <c r="I10" s="6" t="s">
        <v>99</v>
      </c>
      <c r="J10" s="6">
        <v>13</v>
      </c>
      <c r="K10" s="9">
        <v>2.0000000000000001E-4</v>
      </c>
      <c r="M10" s="6" t="s">
        <v>3</v>
      </c>
      <c r="N10" s="6">
        <v>72</v>
      </c>
      <c r="O10" s="9">
        <v>2E-3</v>
      </c>
      <c r="Q10" s="6" t="s">
        <v>74</v>
      </c>
      <c r="R10" s="6">
        <v>5</v>
      </c>
      <c r="S10" s="9">
        <v>2.0000000000000001E-4</v>
      </c>
      <c r="U10" s="6" t="s">
        <v>2</v>
      </c>
      <c r="V10" s="6">
        <v>8</v>
      </c>
      <c r="W10" s="9">
        <v>2.9999999999999997E-4</v>
      </c>
      <c r="Y10" s="6" t="s">
        <v>3</v>
      </c>
      <c r="Z10" s="6">
        <v>90</v>
      </c>
      <c r="AA10" s="9">
        <v>1.9E-3</v>
      </c>
      <c r="AC10" s="6" t="s">
        <v>83</v>
      </c>
      <c r="AD10" s="6">
        <v>37</v>
      </c>
      <c r="AE10" s="9">
        <v>6.9999999999999999E-4</v>
      </c>
      <c r="AG10" s="6" t="s">
        <v>102</v>
      </c>
      <c r="AH10" s="6">
        <v>4</v>
      </c>
      <c r="AI10" s="9">
        <v>1E-4</v>
      </c>
    </row>
    <row r="11" spans="1:35">
      <c r="A11" s="6" t="s">
        <v>9</v>
      </c>
      <c r="B11" s="6">
        <v>98</v>
      </c>
      <c r="C11" s="9">
        <v>1.1999999999999999E-3</v>
      </c>
      <c r="E11" s="6" t="s">
        <v>74</v>
      </c>
      <c r="F11" s="6">
        <v>13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49</v>
      </c>
      <c r="N11" s="6">
        <v>35</v>
      </c>
      <c r="O11" s="9">
        <v>1E-3</v>
      </c>
      <c r="Q11" s="6" t="s">
        <v>76</v>
      </c>
      <c r="R11" s="6">
        <v>2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9</v>
      </c>
      <c r="Z11" s="6">
        <v>88</v>
      </c>
      <c r="AA11" s="9">
        <v>1.8E-3</v>
      </c>
      <c r="AC11" s="6" t="s">
        <v>79</v>
      </c>
      <c r="AD11" s="6">
        <v>13</v>
      </c>
      <c r="AE11" s="9">
        <v>2.9999999999999997E-4</v>
      </c>
      <c r="AG11" s="6" t="s">
        <v>98</v>
      </c>
      <c r="AH11" s="6">
        <v>6</v>
      </c>
      <c r="AI11" s="9">
        <v>1E-4</v>
      </c>
    </row>
    <row r="12" spans="1:35">
      <c r="A12" s="6" t="s">
        <v>5</v>
      </c>
      <c r="B12" s="6">
        <v>95</v>
      </c>
      <c r="C12" s="9">
        <v>1.1000000000000001E-3</v>
      </c>
      <c r="E12" s="6" t="s">
        <v>79</v>
      </c>
      <c r="F12" s="6">
        <v>13</v>
      </c>
      <c r="G12" s="9">
        <v>2.0000000000000001E-4</v>
      </c>
      <c r="I12" s="6" t="s">
        <v>98</v>
      </c>
      <c r="J12" s="6">
        <v>11</v>
      </c>
      <c r="K12" s="9">
        <v>1E-4</v>
      </c>
      <c r="M12" s="6" t="s">
        <v>7</v>
      </c>
      <c r="N12" s="6">
        <v>31</v>
      </c>
      <c r="O12" s="9">
        <v>8.0000000000000004E-4</v>
      </c>
      <c r="Q12" s="6" t="s">
        <v>93</v>
      </c>
      <c r="R12" s="6">
        <v>1</v>
      </c>
      <c r="S12" s="30">
        <v>0</v>
      </c>
      <c r="U12" s="6" t="s">
        <v>113</v>
      </c>
      <c r="V12" s="6">
        <v>5</v>
      </c>
      <c r="W12" s="9">
        <v>2.0000000000000001E-4</v>
      </c>
      <c r="Y12" s="6" t="s">
        <v>5</v>
      </c>
      <c r="Z12" s="6">
        <v>69</v>
      </c>
      <c r="AA12" s="9">
        <v>1.4E-3</v>
      </c>
      <c r="AC12" s="6" t="s">
        <v>75</v>
      </c>
      <c r="AD12" s="6">
        <v>12</v>
      </c>
      <c r="AE12" s="9">
        <v>2.0000000000000001E-4</v>
      </c>
      <c r="AG12" s="6" t="s">
        <v>99</v>
      </c>
      <c r="AH12" s="6">
        <v>4</v>
      </c>
      <c r="AI12" s="9">
        <v>1E-4</v>
      </c>
    </row>
    <row r="13" spans="1:35">
      <c r="A13" s="6" t="s">
        <v>7</v>
      </c>
      <c r="B13" s="6">
        <v>65</v>
      </c>
      <c r="C13" s="9">
        <v>8.0000000000000004E-4</v>
      </c>
      <c r="E13" s="6" t="s">
        <v>75</v>
      </c>
      <c r="F13" s="6">
        <v>12</v>
      </c>
      <c r="G13" s="9">
        <v>2.0000000000000001E-4</v>
      </c>
      <c r="I13" s="6" t="s">
        <v>113</v>
      </c>
      <c r="J13" s="6">
        <v>11</v>
      </c>
      <c r="K13" s="9">
        <v>1E-4</v>
      </c>
      <c r="M13" s="6" t="s">
        <v>5</v>
      </c>
      <c r="N13" s="6">
        <v>26</v>
      </c>
      <c r="O13" s="9">
        <v>6.9999999999999999E-4</v>
      </c>
      <c r="Q13" s="6" t="s">
        <v>77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11</v>
      </c>
      <c r="Z13" s="6">
        <v>40</v>
      </c>
      <c r="AA13" s="9">
        <v>8.0000000000000004E-4</v>
      </c>
      <c r="AC13" s="6" t="s">
        <v>74</v>
      </c>
      <c r="AD13" s="6">
        <v>8</v>
      </c>
      <c r="AE13" s="9">
        <v>2.0000000000000001E-4</v>
      </c>
      <c r="AG13" s="6" t="s">
        <v>113</v>
      </c>
      <c r="AH13" s="6">
        <v>6</v>
      </c>
      <c r="AI13" s="9">
        <v>1E-4</v>
      </c>
    </row>
    <row r="14" spans="1:35">
      <c r="A14" s="6" t="s">
        <v>41</v>
      </c>
      <c r="B14" s="6">
        <v>58</v>
      </c>
      <c r="C14" s="9">
        <v>6.9999999999999999E-4</v>
      </c>
      <c r="E14" s="6" t="s">
        <v>76</v>
      </c>
      <c r="F14" s="6">
        <v>7</v>
      </c>
      <c r="G14" s="9">
        <v>1E-4</v>
      </c>
      <c r="I14" s="6" t="s">
        <v>117</v>
      </c>
      <c r="J14" s="6">
        <v>1</v>
      </c>
      <c r="K14" s="30">
        <v>0</v>
      </c>
      <c r="M14" s="6" t="s">
        <v>41</v>
      </c>
      <c r="N14" s="6">
        <v>20</v>
      </c>
      <c r="O14" s="9">
        <v>5.0000000000000001E-4</v>
      </c>
      <c r="Q14" s="6" t="s">
        <v>145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41</v>
      </c>
      <c r="Z14" s="6">
        <v>38</v>
      </c>
      <c r="AA14" s="9">
        <v>8.0000000000000004E-4</v>
      </c>
      <c r="AC14" s="6" t="s">
        <v>76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57</v>
      </c>
      <c r="C15" s="9">
        <v>6.9999999999999999E-4</v>
      </c>
      <c r="E15" s="6" t="s">
        <v>77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11</v>
      </c>
      <c r="N15" s="6">
        <v>17</v>
      </c>
      <c r="O15" s="9">
        <v>5.0000000000000001E-4</v>
      </c>
      <c r="Q15" s="6" t="s">
        <v>86</v>
      </c>
      <c r="R15" s="6">
        <v>1</v>
      </c>
      <c r="S15" s="30">
        <v>0</v>
      </c>
      <c r="Y15" s="6" t="s">
        <v>7</v>
      </c>
      <c r="Z15" s="6">
        <v>34</v>
      </c>
      <c r="AA15" s="9">
        <v>6.9999999999999999E-4</v>
      </c>
      <c r="AC15" s="6" t="s">
        <v>77</v>
      </c>
      <c r="AD15" s="6">
        <v>6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8</v>
      </c>
      <c r="B16" s="6">
        <v>31</v>
      </c>
      <c r="C16" s="9">
        <v>4.0000000000000002E-4</v>
      </c>
      <c r="E16" s="6" t="s">
        <v>92</v>
      </c>
      <c r="F16" s="6">
        <v>1</v>
      </c>
      <c r="G16" s="30">
        <v>0</v>
      </c>
      <c r="M16" s="6" t="s">
        <v>40</v>
      </c>
      <c r="N16" s="6">
        <v>12</v>
      </c>
      <c r="O16" s="9">
        <v>2.9999999999999997E-4</v>
      </c>
      <c r="Y16" s="6" t="s">
        <v>8</v>
      </c>
      <c r="Z16" s="6">
        <v>31</v>
      </c>
      <c r="AA16" s="9">
        <v>5.9999999999999995E-4</v>
      </c>
      <c r="AC16" s="6" t="s">
        <v>84</v>
      </c>
      <c r="AD16" s="6">
        <v>3</v>
      </c>
      <c r="AE16" s="9">
        <v>1E-4</v>
      </c>
    </row>
    <row r="17" spans="1:31">
      <c r="A17" s="6" t="s">
        <v>49</v>
      </c>
      <c r="B17" s="6">
        <v>35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30</v>
      </c>
      <c r="N17" s="6">
        <v>12</v>
      </c>
      <c r="O17" s="9">
        <v>2.9999999999999997E-4</v>
      </c>
      <c r="Y17" s="6" t="s">
        <v>37</v>
      </c>
      <c r="Z17" s="6">
        <v>18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37</v>
      </c>
      <c r="B18" s="6">
        <v>27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9</v>
      </c>
      <c r="N18" s="6">
        <v>11</v>
      </c>
      <c r="O18" s="9">
        <v>2.9999999999999997E-4</v>
      </c>
      <c r="Y18" s="6" t="s">
        <v>21</v>
      </c>
      <c r="Z18" s="6">
        <v>12</v>
      </c>
      <c r="AA18" s="9">
        <v>2.9999999999999997E-4</v>
      </c>
      <c r="AC18" s="6" t="s">
        <v>80</v>
      </c>
      <c r="AD18" s="6">
        <v>2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125</v>
      </c>
      <c r="F19" s="6">
        <v>1</v>
      </c>
      <c r="G19" s="30">
        <v>0</v>
      </c>
      <c r="M19" s="6" t="s">
        <v>22</v>
      </c>
      <c r="N19" s="6">
        <v>9</v>
      </c>
      <c r="O19" s="9">
        <v>2.0000000000000001E-4</v>
      </c>
      <c r="Y19" s="6" t="s">
        <v>17</v>
      </c>
      <c r="Z19" s="6">
        <v>11</v>
      </c>
      <c r="AA19" s="9">
        <v>2.0000000000000001E-4</v>
      </c>
      <c r="AC19" s="6" t="s">
        <v>116</v>
      </c>
      <c r="AD19" s="6">
        <v>1</v>
      </c>
      <c r="AE19" s="30">
        <v>0</v>
      </c>
    </row>
    <row r="20" spans="1:31">
      <c r="A20" s="6" t="s">
        <v>17</v>
      </c>
      <c r="B20" s="6">
        <v>17</v>
      </c>
      <c r="C20" s="9">
        <v>2.0000000000000001E-4</v>
      </c>
      <c r="E20" s="6" t="s">
        <v>81</v>
      </c>
      <c r="F20" s="6">
        <v>2</v>
      </c>
      <c r="G20" s="30">
        <v>0</v>
      </c>
      <c r="M20" s="6" t="s">
        <v>37</v>
      </c>
      <c r="N20" s="6">
        <v>9</v>
      </c>
      <c r="O20" s="9">
        <v>2.0000000000000001E-4</v>
      </c>
      <c r="Y20" s="6" t="s">
        <v>18</v>
      </c>
      <c r="Z20" s="6">
        <v>9</v>
      </c>
      <c r="AA20" s="9">
        <v>2.0000000000000001E-4</v>
      </c>
      <c r="AC20" s="6" t="s">
        <v>125</v>
      </c>
      <c r="AD20" s="6">
        <v>1</v>
      </c>
      <c r="AE20" s="30">
        <v>0</v>
      </c>
    </row>
    <row r="21" spans="1:31">
      <c r="A21" s="6" t="s">
        <v>40</v>
      </c>
      <c r="B21" s="6">
        <v>14</v>
      </c>
      <c r="C21" s="9">
        <v>2.0000000000000001E-4</v>
      </c>
      <c r="E21" s="6" t="s">
        <v>84</v>
      </c>
      <c r="F21" s="6">
        <v>3</v>
      </c>
      <c r="G21" s="30">
        <v>0</v>
      </c>
      <c r="M21" s="6" t="s">
        <v>17</v>
      </c>
      <c r="N21" s="6">
        <v>6</v>
      </c>
      <c r="O21" s="9">
        <v>2.0000000000000001E-4</v>
      </c>
      <c r="Y21" s="6" t="s">
        <v>31</v>
      </c>
      <c r="Z21" s="6">
        <v>8</v>
      </c>
      <c r="AA21" s="9">
        <v>2.0000000000000001E-4</v>
      </c>
      <c r="AC21" s="6" t="s">
        <v>81</v>
      </c>
      <c r="AD21" s="6">
        <v>2</v>
      </c>
      <c r="AE21" s="30">
        <v>0</v>
      </c>
    </row>
    <row r="22" spans="1:31">
      <c r="A22" s="6" t="s">
        <v>22</v>
      </c>
      <c r="B22" s="6">
        <v>13</v>
      </c>
      <c r="C22" s="9">
        <v>2.0000000000000001E-4</v>
      </c>
      <c r="E22" s="6" t="s">
        <v>85</v>
      </c>
      <c r="F22" s="6">
        <v>1</v>
      </c>
      <c r="G22" s="30">
        <v>0</v>
      </c>
      <c r="M22" s="6" t="s">
        <v>18</v>
      </c>
      <c r="N22" s="6">
        <v>6</v>
      </c>
      <c r="O22" s="9">
        <v>2.0000000000000001E-4</v>
      </c>
      <c r="Y22" s="6" t="s">
        <v>26</v>
      </c>
      <c r="Z22" s="6">
        <v>8</v>
      </c>
      <c r="AA22" s="9">
        <v>2.0000000000000001E-4</v>
      </c>
      <c r="AC22" s="6" t="s">
        <v>85</v>
      </c>
      <c r="AD22" s="6">
        <v>1</v>
      </c>
      <c r="AE22" s="30">
        <v>0</v>
      </c>
    </row>
    <row r="23" spans="1:31">
      <c r="A23" s="6" t="s">
        <v>30</v>
      </c>
      <c r="B23" s="6">
        <v>16</v>
      </c>
      <c r="C23" s="9">
        <v>2.0000000000000001E-4</v>
      </c>
      <c r="E23" s="6" t="s">
        <v>145</v>
      </c>
      <c r="F23" s="6">
        <v>2</v>
      </c>
      <c r="G23" s="30">
        <v>0</v>
      </c>
      <c r="M23" s="6" t="s">
        <v>19</v>
      </c>
      <c r="N23" s="6">
        <v>5</v>
      </c>
      <c r="O23" s="9">
        <v>1E-4</v>
      </c>
      <c r="Y23" s="6" t="s">
        <v>19</v>
      </c>
      <c r="Z23" s="6">
        <v>4</v>
      </c>
      <c r="AA23" s="9">
        <v>1E-4</v>
      </c>
      <c r="AC23" s="6" t="s">
        <v>78</v>
      </c>
      <c r="AD23" s="6">
        <v>1</v>
      </c>
      <c r="AE23" s="30">
        <v>0</v>
      </c>
    </row>
    <row r="24" spans="1:31">
      <c r="A24" s="6" t="s">
        <v>18</v>
      </c>
      <c r="B24" s="6">
        <v>15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67</v>
      </c>
      <c r="N24" s="6">
        <v>2</v>
      </c>
      <c r="O24" s="9">
        <v>1E-4</v>
      </c>
      <c r="Y24" s="6" t="s">
        <v>45</v>
      </c>
      <c r="Z24" s="6">
        <v>3</v>
      </c>
      <c r="AA24" s="9">
        <v>1E-4</v>
      </c>
      <c r="AC24" s="6" t="s">
        <v>145</v>
      </c>
      <c r="AD24" s="6">
        <v>1</v>
      </c>
      <c r="AE24" s="30">
        <v>0</v>
      </c>
    </row>
    <row r="25" spans="1:31">
      <c r="A25" s="6" t="s">
        <v>19</v>
      </c>
      <c r="B25" s="6">
        <v>9</v>
      </c>
      <c r="C25" s="9">
        <v>1E-4</v>
      </c>
      <c r="E25" s="6" t="s">
        <v>78</v>
      </c>
      <c r="F25" s="6">
        <v>1</v>
      </c>
      <c r="G25" s="30">
        <v>0</v>
      </c>
      <c r="M25" s="6" t="s">
        <v>45</v>
      </c>
      <c r="N25" s="6">
        <v>5</v>
      </c>
      <c r="O25" s="9">
        <v>1E-4</v>
      </c>
      <c r="Y25" s="6" t="s">
        <v>24</v>
      </c>
      <c r="Z25" s="6">
        <v>7</v>
      </c>
      <c r="AA25" s="9">
        <v>1E-4</v>
      </c>
      <c r="AC25" s="6" t="s">
        <v>89</v>
      </c>
      <c r="AD25" s="6">
        <v>1</v>
      </c>
      <c r="AE25" s="30">
        <v>0</v>
      </c>
    </row>
    <row r="26" spans="1:31">
      <c r="A26" s="6" t="s">
        <v>45</v>
      </c>
      <c r="B26" s="6">
        <v>8</v>
      </c>
      <c r="C26" s="9">
        <v>1E-4</v>
      </c>
      <c r="E26" s="6" t="s">
        <v>89</v>
      </c>
      <c r="F26" s="6">
        <v>1</v>
      </c>
      <c r="G26" s="30">
        <v>0</v>
      </c>
      <c r="M26" s="6" t="s">
        <v>21</v>
      </c>
      <c r="N26" s="6">
        <v>5</v>
      </c>
      <c r="O26" s="9">
        <v>1E-4</v>
      </c>
      <c r="Y26" s="6" t="s">
        <v>20</v>
      </c>
      <c r="Z26" s="6">
        <v>3</v>
      </c>
      <c r="AA26" s="9">
        <v>1E-4</v>
      </c>
    </row>
    <row r="27" spans="1:31">
      <c r="A27" s="6" t="s">
        <v>20</v>
      </c>
      <c r="B27" s="6">
        <v>5</v>
      </c>
      <c r="C27" s="9">
        <v>1E-4</v>
      </c>
      <c r="M27" s="6" t="s">
        <v>36</v>
      </c>
      <c r="N27" s="6">
        <v>4</v>
      </c>
      <c r="O27" s="9">
        <v>1E-4</v>
      </c>
      <c r="Y27" s="6" t="s">
        <v>14</v>
      </c>
      <c r="Z27" s="6">
        <v>7</v>
      </c>
      <c r="AA27" s="9">
        <v>1E-4</v>
      </c>
    </row>
    <row r="28" spans="1:31">
      <c r="A28" s="6" t="s">
        <v>24</v>
      </c>
      <c r="B28" s="6">
        <v>12</v>
      </c>
      <c r="C28" s="9">
        <v>1E-4</v>
      </c>
      <c r="M28" s="6" t="s">
        <v>16</v>
      </c>
      <c r="N28" s="6">
        <v>4</v>
      </c>
      <c r="O28" s="9">
        <v>1E-4</v>
      </c>
      <c r="Y28" s="6" t="s">
        <v>10</v>
      </c>
      <c r="Z28" s="6">
        <v>7</v>
      </c>
      <c r="AA28" s="9">
        <v>1E-4</v>
      </c>
    </row>
    <row r="29" spans="1:31">
      <c r="A29" s="6" t="s">
        <v>10</v>
      </c>
      <c r="B29" s="6">
        <v>10</v>
      </c>
      <c r="C29" s="9">
        <v>1E-4</v>
      </c>
      <c r="M29" s="6" t="s">
        <v>20</v>
      </c>
      <c r="N29" s="6">
        <v>2</v>
      </c>
      <c r="O29" s="9">
        <v>1E-4</v>
      </c>
      <c r="Y29" s="6" t="s">
        <v>29</v>
      </c>
      <c r="Z29" s="6">
        <v>7</v>
      </c>
      <c r="AA29" s="9">
        <v>1E-4</v>
      </c>
    </row>
    <row r="30" spans="1:31">
      <c r="A30" s="6" t="s">
        <v>36</v>
      </c>
      <c r="B30" s="6">
        <v>6</v>
      </c>
      <c r="C30" s="9">
        <v>1E-4</v>
      </c>
      <c r="M30" s="6" t="s">
        <v>10</v>
      </c>
      <c r="N30" s="6">
        <v>4</v>
      </c>
      <c r="O30" s="9">
        <v>1E-4</v>
      </c>
      <c r="Y30" s="6" t="s">
        <v>22</v>
      </c>
      <c r="Z30" s="6">
        <v>4</v>
      </c>
      <c r="AA30" s="9">
        <v>1E-4</v>
      </c>
    </row>
    <row r="31" spans="1:31">
      <c r="A31" s="6" t="s">
        <v>31</v>
      </c>
      <c r="B31" s="6">
        <v>12</v>
      </c>
      <c r="C31" s="9">
        <v>1E-4</v>
      </c>
      <c r="M31" s="6" t="s">
        <v>24</v>
      </c>
      <c r="N31" s="6">
        <v>5</v>
      </c>
      <c r="O31" s="9">
        <v>1E-4</v>
      </c>
      <c r="Y31" s="6" t="s">
        <v>30</v>
      </c>
      <c r="Z31" s="6">
        <v>4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31</v>
      </c>
      <c r="N32" s="6">
        <v>4</v>
      </c>
      <c r="O32" s="9">
        <v>1E-4</v>
      </c>
      <c r="Y32" s="6" t="s">
        <v>12</v>
      </c>
      <c r="Z32" s="6">
        <v>3</v>
      </c>
      <c r="AA32" s="9">
        <v>1E-4</v>
      </c>
    </row>
    <row r="33" spans="1:27">
      <c r="A33" s="6" t="s">
        <v>26</v>
      </c>
      <c r="B33" s="6">
        <v>11</v>
      </c>
      <c r="C33" s="9">
        <v>1E-4</v>
      </c>
      <c r="M33" s="6" t="s">
        <v>38</v>
      </c>
      <c r="N33" s="6">
        <v>3</v>
      </c>
      <c r="O33" s="9">
        <v>1E-4</v>
      </c>
      <c r="Y33" s="6" t="s">
        <v>58</v>
      </c>
      <c r="Z33" s="6">
        <v>3</v>
      </c>
      <c r="AA33" s="9">
        <v>1E-4</v>
      </c>
    </row>
    <row r="34" spans="1:27">
      <c r="A34" s="6" t="s">
        <v>14</v>
      </c>
      <c r="B34" s="6">
        <v>7</v>
      </c>
      <c r="C34" s="9">
        <v>1E-4</v>
      </c>
      <c r="M34" s="6" t="s">
        <v>26</v>
      </c>
      <c r="N34" s="6">
        <v>3</v>
      </c>
      <c r="O34" s="9">
        <v>1E-4</v>
      </c>
      <c r="Y34" s="6" t="s">
        <v>25</v>
      </c>
      <c r="Z34" s="6">
        <v>3</v>
      </c>
      <c r="AA34" s="9">
        <v>1E-4</v>
      </c>
    </row>
    <row r="35" spans="1:27">
      <c r="A35" s="6" t="s">
        <v>29</v>
      </c>
      <c r="B35" s="6">
        <v>9</v>
      </c>
      <c r="C35" s="9">
        <v>1E-4</v>
      </c>
      <c r="M35" s="6" t="s">
        <v>29</v>
      </c>
      <c r="N35" s="6">
        <v>2</v>
      </c>
      <c r="O35" s="9">
        <v>1E-4</v>
      </c>
      <c r="Y35" s="6" t="s">
        <v>115</v>
      </c>
      <c r="Z35" s="6">
        <v>1</v>
      </c>
      <c r="AA35" s="30">
        <v>0</v>
      </c>
    </row>
    <row r="36" spans="1:27">
      <c r="A36" s="6" t="s">
        <v>39</v>
      </c>
      <c r="B36" s="6">
        <v>5</v>
      </c>
      <c r="C36" s="9">
        <v>1E-4</v>
      </c>
      <c r="M36" s="6" t="s">
        <v>43</v>
      </c>
      <c r="N36" s="6">
        <v>2</v>
      </c>
      <c r="O36" s="9">
        <v>1E-4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2</v>
      </c>
      <c r="C37" s="30">
        <v>0</v>
      </c>
      <c r="M37" s="6" t="s">
        <v>39</v>
      </c>
      <c r="N37" s="6">
        <v>4</v>
      </c>
      <c r="O37" s="9">
        <v>1E-4</v>
      </c>
      <c r="Y37" s="6" t="s">
        <v>13</v>
      </c>
      <c r="Z37" s="6">
        <v>2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115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34</v>
      </c>
      <c r="B39" s="6">
        <v>2</v>
      </c>
      <c r="C39" s="30">
        <v>0</v>
      </c>
      <c r="M39" s="6" t="s">
        <v>46</v>
      </c>
      <c r="N39" s="6">
        <v>1</v>
      </c>
      <c r="O39" s="30">
        <v>0</v>
      </c>
      <c r="Y39" s="6" t="s">
        <v>16</v>
      </c>
      <c r="Z39" s="6">
        <v>2</v>
      </c>
      <c r="AA39" s="30">
        <v>0</v>
      </c>
    </row>
    <row r="40" spans="1:27">
      <c r="A40" s="6" t="s">
        <v>46</v>
      </c>
      <c r="B40" s="6">
        <v>1</v>
      </c>
      <c r="C40" s="30">
        <v>0</v>
      </c>
      <c r="M40" s="6" t="s">
        <v>34</v>
      </c>
      <c r="N40" s="6">
        <v>1</v>
      </c>
      <c r="O40" s="30">
        <v>0</v>
      </c>
      <c r="Y40" s="6" t="s">
        <v>15</v>
      </c>
      <c r="Z40" s="6">
        <v>2</v>
      </c>
      <c r="AA40" s="30">
        <v>0</v>
      </c>
    </row>
    <row r="41" spans="1:27">
      <c r="A41" s="6" t="s">
        <v>13</v>
      </c>
      <c r="B41" s="6">
        <v>3</v>
      </c>
      <c r="C41" s="30">
        <v>0</v>
      </c>
      <c r="M41" s="6" t="s">
        <v>13</v>
      </c>
      <c r="N41" s="6">
        <v>1</v>
      </c>
      <c r="O41" s="30">
        <v>0</v>
      </c>
      <c r="Y41" s="6" t="s">
        <v>55</v>
      </c>
      <c r="Z41" s="6">
        <v>1</v>
      </c>
      <c r="AA41" s="30">
        <v>0</v>
      </c>
    </row>
    <row r="42" spans="1:27">
      <c r="A42" s="6" t="s">
        <v>65</v>
      </c>
      <c r="B42" s="6">
        <v>1</v>
      </c>
      <c r="C42" s="30">
        <v>0</v>
      </c>
      <c r="M42" s="6" t="s">
        <v>48</v>
      </c>
      <c r="N42" s="6">
        <v>1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58</v>
      </c>
      <c r="B43" s="6">
        <v>3</v>
      </c>
      <c r="C43" s="30">
        <v>0</v>
      </c>
      <c r="M43" s="6" t="s">
        <v>15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M44" s="6" t="s">
        <v>65</v>
      </c>
      <c r="N44" s="6">
        <v>1</v>
      </c>
      <c r="O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48</v>
      </c>
      <c r="B45" s="6">
        <v>2</v>
      </c>
      <c r="C45" s="30">
        <v>0</v>
      </c>
      <c r="M45" s="6" t="s">
        <v>33</v>
      </c>
      <c r="N45" s="6">
        <v>1</v>
      </c>
      <c r="O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55</v>
      </c>
      <c r="B46" s="6">
        <v>1</v>
      </c>
      <c r="C46" s="30">
        <v>0</v>
      </c>
      <c r="M46" s="6" t="s">
        <v>32</v>
      </c>
      <c r="N46" s="6">
        <v>1</v>
      </c>
      <c r="O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38</v>
      </c>
      <c r="B47" s="6">
        <v>3</v>
      </c>
      <c r="C47" s="30">
        <v>0</v>
      </c>
      <c r="M47" s="6" t="s">
        <v>8</v>
      </c>
      <c r="N47" s="6">
        <v>1</v>
      </c>
      <c r="O47" s="30">
        <v>0</v>
      </c>
      <c r="Y47" s="6" t="s">
        <v>129</v>
      </c>
      <c r="Z47" s="6">
        <v>1</v>
      </c>
      <c r="AA47" s="30">
        <v>0</v>
      </c>
    </row>
    <row r="48" spans="1:27">
      <c r="A48" s="6" t="s">
        <v>12</v>
      </c>
      <c r="B48" s="6">
        <v>3</v>
      </c>
      <c r="C48" s="30">
        <v>0</v>
      </c>
      <c r="M48" s="6" t="s">
        <v>25</v>
      </c>
      <c r="N48" s="6">
        <v>1</v>
      </c>
      <c r="O48" s="30">
        <v>0</v>
      </c>
      <c r="Y48" s="6" t="s">
        <v>66</v>
      </c>
      <c r="Z48" s="6">
        <v>1</v>
      </c>
      <c r="AA48" s="30">
        <v>0</v>
      </c>
    </row>
    <row r="49" spans="1:27">
      <c r="A49" s="6" t="s">
        <v>33</v>
      </c>
      <c r="B49" s="6">
        <v>2</v>
      </c>
      <c r="C49" s="30">
        <v>0</v>
      </c>
      <c r="Y49" s="6" t="s">
        <v>39</v>
      </c>
      <c r="Z49" s="6">
        <v>1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53</v>
      </c>
      <c r="Z50" s="6">
        <v>1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147</v>
      </c>
      <c r="Z51" s="6">
        <v>1</v>
      </c>
      <c r="AA51" s="30">
        <v>0</v>
      </c>
    </row>
    <row r="52" spans="1:27">
      <c r="A52" s="6" t="s">
        <v>42</v>
      </c>
      <c r="B52" s="6">
        <v>2</v>
      </c>
      <c r="C52" s="30">
        <v>0</v>
      </c>
      <c r="Y52" s="6" t="s">
        <v>64</v>
      </c>
      <c r="Z52" s="6">
        <v>1</v>
      </c>
      <c r="AA52" s="30">
        <v>0</v>
      </c>
    </row>
    <row r="53" spans="1:27">
      <c r="A53" s="6" t="s">
        <v>32</v>
      </c>
      <c r="B53" s="6">
        <v>1</v>
      </c>
      <c r="C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66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  <row r="58" spans="1:27">
      <c r="A58" s="6" t="s">
        <v>147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53169-D4C0-448E-85CC-3186A2403E28}">
  <sheetPr codeName="Sheet18"/>
  <dimension ref="A1:AI56"/>
  <sheetViews>
    <sheetView topLeftCell="R1" workbookViewId="0">
      <selection activeCell="AD29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88837</v>
      </c>
      <c r="E2" s="41" t="s">
        <v>4</v>
      </c>
      <c r="F2" s="23" t="s">
        <v>105</v>
      </c>
      <c r="G2" s="23">
        <f>G3+G4</f>
        <v>76434</v>
      </c>
      <c r="H2" s="22"/>
      <c r="I2" s="41" t="s">
        <v>6</v>
      </c>
      <c r="J2" s="23" t="s">
        <v>105</v>
      </c>
      <c r="K2" s="23">
        <f>K3+K4</f>
        <v>78193</v>
      </c>
      <c r="M2" s="41" t="s">
        <v>104</v>
      </c>
      <c r="N2" s="23" t="s">
        <v>105</v>
      </c>
      <c r="O2" s="23">
        <f>O3+O4</f>
        <v>49190</v>
      </c>
      <c r="Q2" s="41" t="s">
        <v>4</v>
      </c>
      <c r="R2" s="23" t="s">
        <v>105</v>
      </c>
      <c r="S2" s="23">
        <f>S3+S4</f>
        <v>39091</v>
      </c>
      <c r="T2" s="22"/>
      <c r="U2" s="41" t="s">
        <v>6</v>
      </c>
      <c r="V2" s="23" t="s">
        <v>105</v>
      </c>
      <c r="W2" s="23">
        <f>W3+W4</f>
        <v>37334</v>
      </c>
      <c r="Y2" s="41" t="s">
        <v>104</v>
      </c>
      <c r="Z2" s="23" t="s">
        <v>105</v>
      </c>
      <c r="AA2" s="23">
        <f>AA3+AA4</f>
        <v>39648</v>
      </c>
      <c r="AC2" s="41" t="s">
        <v>4</v>
      </c>
      <c r="AD2" s="23" t="s">
        <v>105</v>
      </c>
      <c r="AE2" s="23">
        <f>AE3+AE4</f>
        <v>37344</v>
      </c>
      <c r="AF2" s="22"/>
      <c r="AG2" s="41" t="s">
        <v>6</v>
      </c>
      <c r="AH2" s="23" t="s">
        <v>105</v>
      </c>
      <c r="AI2" s="23">
        <f>AI3+AI4</f>
        <v>40861</v>
      </c>
    </row>
    <row r="3" spans="1:35">
      <c r="A3" s="42"/>
      <c r="B3" s="24" t="s">
        <v>106</v>
      </c>
      <c r="C3" s="24">
        <f>B8</f>
        <v>87498</v>
      </c>
      <c r="E3" s="42"/>
      <c r="F3" s="24" t="s">
        <v>106</v>
      </c>
      <c r="G3" s="24">
        <f>F8</f>
        <v>76225</v>
      </c>
      <c r="H3" s="22"/>
      <c r="I3" s="42"/>
      <c r="J3" s="24" t="s">
        <v>106</v>
      </c>
      <c r="K3" s="24">
        <f>J8</f>
        <v>78118</v>
      </c>
      <c r="M3" s="42"/>
      <c r="N3" s="24" t="s">
        <v>106</v>
      </c>
      <c r="O3" s="24">
        <f>N8</f>
        <v>48628</v>
      </c>
      <c r="Q3" s="42"/>
      <c r="R3" s="24" t="s">
        <v>106</v>
      </c>
      <c r="S3" s="24">
        <f>R8</f>
        <v>38977</v>
      </c>
      <c r="T3" s="22"/>
      <c r="U3" s="42"/>
      <c r="V3" s="24" t="s">
        <v>106</v>
      </c>
      <c r="W3" s="24">
        <f>V8</f>
        <v>37296</v>
      </c>
      <c r="Y3" s="42"/>
      <c r="Z3" s="24" t="s">
        <v>106</v>
      </c>
      <c r="AA3" s="24">
        <f>Z8</f>
        <v>38871</v>
      </c>
      <c r="AC3" s="42"/>
      <c r="AD3" s="24" t="s">
        <v>106</v>
      </c>
      <c r="AE3" s="24">
        <f>AD8</f>
        <v>37248</v>
      </c>
      <c r="AF3" s="22"/>
      <c r="AG3" s="42"/>
      <c r="AH3" s="24" t="s">
        <v>106</v>
      </c>
      <c r="AI3" s="24">
        <f>AH8</f>
        <v>40822</v>
      </c>
    </row>
    <row r="4" spans="1:35">
      <c r="A4" s="42"/>
      <c r="B4" s="25" t="s">
        <v>107</v>
      </c>
      <c r="C4" s="25">
        <f>SUM(B9:B66)</f>
        <v>1339</v>
      </c>
      <c r="E4" s="42"/>
      <c r="F4" s="25" t="s">
        <v>107</v>
      </c>
      <c r="G4" s="25">
        <f>SUM(F9:F33)</f>
        <v>209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562</v>
      </c>
      <c r="Q4" s="42"/>
      <c r="R4" s="25" t="s">
        <v>107</v>
      </c>
      <c r="S4" s="25">
        <f>SUM(R9:R33)</f>
        <v>114</v>
      </c>
      <c r="T4" s="22"/>
      <c r="U4" s="42"/>
      <c r="V4" s="25" t="s">
        <v>107</v>
      </c>
      <c r="W4" s="25">
        <f>SUM(V9:V31)</f>
        <v>38</v>
      </c>
      <c r="Y4" s="42"/>
      <c r="Z4" s="25" t="s">
        <v>107</v>
      </c>
      <c r="AA4" s="25">
        <f>SUM(Z9:Z45)</f>
        <v>777</v>
      </c>
      <c r="AC4" s="42"/>
      <c r="AD4" s="25" t="s">
        <v>107</v>
      </c>
      <c r="AE4" s="25">
        <f>SUM(AD9:AD29)</f>
        <v>96</v>
      </c>
      <c r="AF4" s="22"/>
      <c r="AG4" s="42"/>
      <c r="AH4" s="25" t="s">
        <v>107</v>
      </c>
      <c r="AI4" s="25">
        <f>SUM(AH9:AH29)</f>
        <v>39</v>
      </c>
    </row>
    <row r="5" spans="1:35">
      <c r="A5" s="43"/>
      <c r="B5" s="23" t="s">
        <v>108</v>
      </c>
      <c r="C5" s="26">
        <f>SUM(C9:C179)</f>
        <v>1.4799999999999999E-2</v>
      </c>
      <c r="E5" s="43"/>
      <c r="F5" s="23" t="s">
        <v>108</v>
      </c>
      <c r="G5" s="26">
        <f>SUM(G9:G33)</f>
        <v>2.7999999999999995E-3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1.0799999999999995E-2</v>
      </c>
      <c r="Q5" s="43"/>
      <c r="R5" s="23" t="s">
        <v>108</v>
      </c>
      <c r="S5" s="26">
        <f>SUM(S9:S33)</f>
        <v>2.7999999999999995E-3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1.9499999999999993E-2</v>
      </c>
      <c r="AC5" s="43"/>
      <c r="AD5" s="23" t="s">
        <v>108</v>
      </c>
      <c r="AE5" s="26">
        <f>SUM(AE9:AE29)</f>
        <v>2.4999999999999996E-3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87498</v>
      </c>
      <c r="C8" s="9">
        <v>0.9849</v>
      </c>
      <c r="E8" s="6" t="s">
        <v>112</v>
      </c>
      <c r="F8" s="29">
        <v>76225</v>
      </c>
      <c r="G8" s="9">
        <v>0.99729999999999996</v>
      </c>
      <c r="I8" s="6" t="s">
        <v>112</v>
      </c>
      <c r="J8" s="29">
        <v>78118</v>
      </c>
      <c r="K8" s="9">
        <v>0.999</v>
      </c>
      <c r="M8" s="6" t="s">
        <v>112</v>
      </c>
      <c r="N8" s="29">
        <v>48628</v>
      </c>
      <c r="O8" s="9">
        <v>0.98860000000000003</v>
      </c>
      <c r="Q8" s="6" t="s">
        <v>112</v>
      </c>
      <c r="R8" s="29">
        <v>38977</v>
      </c>
      <c r="S8" s="9">
        <v>0.99709999999999999</v>
      </c>
      <c r="U8" s="6" t="s">
        <v>112</v>
      </c>
      <c r="V8" s="29">
        <v>37296</v>
      </c>
      <c r="W8" s="9">
        <v>0.999</v>
      </c>
      <c r="Y8" s="6" t="s">
        <v>112</v>
      </c>
      <c r="Z8" s="29">
        <v>38871</v>
      </c>
      <c r="AA8" s="9">
        <v>0.98040000000000005</v>
      </c>
      <c r="AC8" s="6" t="s">
        <v>112</v>
      </c>
      <c r="AD8" s="29">
        <v>37248</v>
      </c>
      <c r="AE8" s="9">
        <v>0.99739999999999995</v>
      </c>
      <c r="AG8" s="6" t="s">
        <v>112</v>
      </c>
      <c r="AH8" s="29">
        <v>40822</v>
      </c>
      <c r="AI8" s="9">
        <v>0.999</v>
      </c>
    </row>
    <row r="9" spans="1:35">
      <c r="A9" s="6" t="s">
        <v>2</v>
      </c>
      <c r="B9" s="6">
        <v>376</v>
      </c>
      <c r="C9" s="9">
        <v>4.1999999999999997E-3</v>
      </c>
      <c r="E9" s="6" t="s">
        <v>122</v>
      </c>
      <c r="F9" s="6">
        <v>152</v>
      </c>
      <c r="G9" s="9">
        <v>2E-3</v>
      </c>
      <c r="I9" s="6" t="s">
        <v>2</v>
      </c>
      <c r="J9" s="6">
        <v>30</v>
      </c>
      <c r="K9" s="9">
        <v>4.0000000000000002E-4</v>
      </c>
      <c r="M9" s="6" t="s">
        <v>2</v>
      </c>
      <c r="N9" s="6">
        <v>176</v>
      </c>
      <c r="O9" s="9">
        <v>3.5999999999999999E-3</v>
      </c>
      <c r="Q9" s="6" t="s">
        <v>122</v>
      </c>
      <c r="R9" s="6">
        <v>88</v>
      </c>
      <c r="S9" s="9">
        <v>2.3E-3</v>
      </c>
      <c r="U9" s="6" t="s">
        <v>2</v>
      </c>
      <c r="V9" s="6">
        <v>13</v>
      </c>
      <c r="W9" s="9">
        <v>2.9999999999999997E-4</v>
      </c>
      <c r="Y9" s="6" t="s">
        <v>2</v>
      </c>
      <c r="Z9" s="6">
        <v>200</v>
      </c>
      <c r="AA9" s="9">
        <v>5.0000000000000001E-3</v>
      </c>
      <c r="AC9" s="6" t="s">
        <v>122</v>
      </c>
      <c r="AD9" s="6">
        <v>64</v>
      </c>
      <c r="AE9" s="9">
        <v>1.6999999999999999E-3</v>
      </c>
      <c r="AG9" s="6" t="s">
        <v>2</v>
      </c>
      <c r="AH9" s="6">
        <v>17</v>
      </c>
      <c r="AI9" s="9">
        <v>4.0000000000000002E-4</v>
      </c>
    </row>
    <row r="10" spans="1:35">
      <c r="A10" s="6" t="s">
        <v>9</v>
      </c>
      <c r="B10" s="6">
        <v>192</v>
      </c>
      <c r="C10" s="9">
        <v>2.2000000000000001E-3</v>
      </c>
      <c r="E10" s="6" t="s">
        <v>74</v>
      </c>
      <c r="F10" s="6">
        <v>13</v>
      </c>
      <c r="G10" s="9">
        <v>2.0000000000000001E-4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106</v>
      </c>
      <c r="O10" s="9">
        <v>2.2000000000000001E-3</v>
      </c>
      <c r="Q10" s="6" t="s">
        <v>74</v>
      </c>
      <c r="R10" s="6">
        <v>9</v>
      </c>
      <c r="S10" s="9">
        <v>2.0000000000000001E-4</v>
      </c>
      <c r="U10" s="6" t="s">
        <v>102</v>
      </c>
      <c r="V10" s="6">
        <v>6</v>
      </c>
      <c r="W10" s="9">
        <v>2.0000000000000001E-4</v>
      </c>
      <c r="Y10" s="6" t="s">
        <v>9</v>
      </c>
      <c r="Z10" s="6">
        <v>175</v>
      </c>
      <c r="AA10" s="9">
        <v>4.4000000000000003E-3</v>
      </c>
      <c r="AC10" s="6" t="s">
        <v>83</v>
      </c>
      <c r="AD10" s="6">
        <v>10</v>
      </c>
      <c r="AE10" s="9">
        <v>2.9999999999999997E-4</v>
      </c>
      <c r="AG10" s="6" t="s">
        <v>98</v>
      </c>
      <c r="AH10" s="6">
        <v>11</v>
      </c>
      <c r="AI10" s="9">
        <v>2.9999999999999997E-4</v>
      </c>
    </row>
    <row r="11" spans="1:35">
      <c r="A11" s="6" t="s">
        <v>3</v>
      </c>
      <c r="B11" s="6">
        <v>190</v>
      </c>
      <c r="C11" s="9">
        <v>2.0999999999999999E-3</v>
      </c>
      <c r="E11" s="6" t="s">
        <v>77</v>
      </c>
      <c r="F11" s="6">
        <v>12</v>
      </c>
      <c r="G11" s="9">
        <v>2.0000000000000001E-4</v>
      </c>
      <c r="I11" s="6" t="s">
        <v>102</v>
      </c>
      <c r="J11" s="6">
        <v>8</v>
      </c>
      <c r="K11" s="9">
        <v>1E-4</v>
      </c>
      <c r="M11" s="6" t="s">
        <v>11</v>
      </c>
      <c r="N11" s="6">
        <v>40</v>
      </c>
      <c r="O11" s="9">
        <v>8.0000000000000004E-4</v>
      </c>
      <c r="Q11" s="6" t="s">
        <v>76</v>
      </c>
      <c r="R11" s="6">
        <v>5</v>
      </c>
      <c r="S11" s="9">
        <v>1E-4</v>
      </c>
      <c r="U11" s="6" t="s">
        <v>98</v>
      </c>
      <c r="V11" s="6">
        <v>6</v>
      </c>
      <c r="W11" s="9">
        <v>2.0000000000000001E-4</v>
      </c>
      <c r="Y11" s="6" t="s">
        <v>8</v>
      </c>
      <c r="Z11" s="6">
        <v>86</v>
      </c>
      <c r="AA11" s="9">
        <v>2.2000000000000001E-3</v>
      </c>
      <c r="AC11" s="6" t="s">
        <v>77</v>
      </c>
      <c r="AD11" s="6">
        <v>7</v>
      </c>
      <c r="AE11" s="9">
        <v>2.0000000000000001E-4</v>
      </c>
      <c r="AG11" s="6" t="s">
        <v>102</v>
      </c>
      <c r="AH11" s="6">
        <v>3</v>
      </c>
      <c r="AI11" s="9">
        <v>1E-4</v>
      </c>
    </row>
    <row r="12" spans="1:35">
      <c r="A12" s="6" t="s">
        <v>8</v>
      </c>
      <c r="B12" s="6">
        <v>95</v>
      </c>
      <c r="C12" s="9">
        <v>1.1000000000000001E-3</v>
      </c>
      <c r="E12" s="6" t="s">
        <v>76</v>
      </c>
      <c r="F12" s="6">
        <v>6</v>
      </c>
      <c r="G12" s="9">
        <v>1E-4</v>
      </c>
      <c r="I12" s="6" t="s">
        <v>99</v>
      </c>
      <c r="J12" s="6">
        <v>11</v>
      </c>
      <c r="K12" s="9">
        <v>1E-4</v>
      </c>
      <c r="M12" s="6" t="s">
        <v>7</v>
      </c>
      <c r="N12" s="6">
        <v>36</v>
      </c>
      <c r="O12" s="9">
        <v>6.9999999999999999E-4</v>
      </c>
      <c r="Q12" s="6" t="s">
        <v>77</v>
      </c>
      <c r="R12" s="6">
        <v>5</v>
      </c>
      <c r="S12" s="9">
        <v>1E-4</v>
      </c>
      <c r="U12" s="6" t="s">
        <v>99</v>
      </c>
      <c r="V12" s="6">
        <v>7</v>
      </c>
      <c r="W12" s="9">
        <v>2.0000000000000001E-4</v>
      </c>
      <c r="Y12" s="6" t="s">
        <v>3</v>
      </c>
      <c r="Z12" s="6">
        <v>84</v>
      </c>
      <c r="AA12" s="9">
        <v>2.0999999999999999E-3</v>
      </c>
      <c r="AC12" s="6" t="s">
        <v>79</v>
      </c>
      <c r="AD12" s="6">
        <v>5</v>
      </c>
      <c r="AE12" s="9">
        <v>1E-4</v>
      </c>
      <c r="AG12" s="6" t="s">
        <v>99</v>
      </c>
      <c r="AH12" s="6">
        <v>4</v>
      </c>
      <c r="AI12" s="9">
        <v>1E-4</v>
      </c>
    </row>
    <row r="13" spans="1:35">
      <c r="A13" s="6" t="s">
        <v>7</v>
      </c>
      <c r="B13" s="6">
        <v>71</v>
      </c>
      <c r="C13" s="9">
        <v>8.0000000000000004E-4</v>
      </c>
      <c r="E13" s="6" t="s">
        <v>83</v>
      </c>
      <c r="F13" s="6">
        <v>10</v>
      </c>
      <c r="G13" s="9">
        <v>1E-4</v>
      </c>
      <c r="I13" s="6" t="s">
        <v>103</v>
      </c>
      <c r="J13" s="6">
        <v>2</v>
      </c>
      <c r="K13" s="30">
        <v>0</v>
      </c>
      <c r="M13" s="6" t="s">
        <v>41</v>
      </c>
      <c r="N13" s="6">
        <v>28</v>
      </c>
      <c r="O13" s="9">
        <v>5.9999999999999995E-4</v>
      </c>
      <c r="Q13" s="6" t="s">
        <v>79</v>
      </c>
      <c r="R13" s="6">
        <v>2</v>
      </c>
      <c r="S13" s="9">
        <v>1E-4</v>
      </c>
      <c r="U13" s="6" t="s">
        <v>113</v>
      </c>
      <c r="V13" s="6">
        <v>2</v>
      </c>
      <c r="W13" s="9">
        <v>1E-4</v>
      </c>
      <c r="Y13" s="6" t="s">
        <v>7</v>
      </c>
      <c r="Z13" s="6">
        <v>35</v>
      </c>
      <c r="AA13" s="9">
        <v>8.9999999999999998E-4</v>
      </c>
      <c r="AC13" s="6" t="s">
        <v>74</v>
      </c>
      <c r="AD13" s="6">
        <v>4</v>
      </c>
      <c r="AE13" s="9">
        <v>1E-4</v>
      </c>
      <c r="AG13" s="6" t="s">
        <v>103</v>
      </c>
      <c r="AH13" s="6">
        <v>1</v>
      </c>
      <c r="AI13" s="30">
        <v>0</v>
      </c>
    </row>
    <row r="14" spans="1:35">
      <c r="A14" s="6" t="s">
        <v>11</v>
      </c>
      <c r="B14" s="6">
        <v>64</v>
      </c>
      <c r="C14" s="9">
        <v>6.9999999999999999E-4</v>
      </c>
      <c r="E14" s="6" t="s">
        <v>79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17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5</v>
      </c>
      <c r="Z14" s="6">
        <v>32</v>
      </c>
      <c r="AA14" s="9">
        <v>8.0000000000000004E-4</v>
      </c>
      <c r="AC14" s="6" t="s">
        <v>75</v>
      </c>
      <c r="AD14" s="6">
        <v>3</v>
      </c>
      <c r="AE14" s="9">
        <v>1E-4</v>
      </c>
      <c r="AG14" s="6" t="s">
        <v>117</v>
      </c>
      <c r="AH14" s="6">
        <v>2</v>
      </c>
      <c r="AI14" s="30">
        <v>0</v>
      </c>
    </row>
    <row r="15" spans="1:35">
      <c r="A15" s="6" t="s">
        <v>41</v>
      </c>
      <c r="B15" s="6">
        <v>53</v>
      </c>
      <c r="C15" s="9">
        <v>5.9999999999999995E-4</v>
      </c>
      <c r="E15" s="6" t="s">
        <v>75</v>
      </c>
      <c r="F15" s="6">
        <v>4</v>
      </c>
      <c r="G15" s="9">
        <v>1E-4</v>
      </c>
      <c r="I15" s="6" t="s">
        <v>117</v>
      </c>
      <c r="J15" s="6">
        <v>2</v>
      </c>
      <c r="K15" s="30">
        <v>0</v>
      </c>
      <c r="M15" s="6" t="s">
        <v>22</v>
      </c>
      <c r="N15" s="6">
        <v>13</v>
      </c>
      <c r="O15" s="9">
        <v>2.9999999999999997E-4</v>
      </c>
      <c r="Q15" s="6" t="s">
        <v>86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41</v>
      </c>
      <c r="Z15" s="6">
        <v>25</v>
      </c>
      <c r="AA15" s="9">
        <v>5.9999999999999995E-4</v>
      </c>
      <c r="AC15" s="6" t="s">
        <v>80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5</v>
      </c>
      <c r="B16" s="6">
        <v>41</v>
      </c>
      <c r="C16" s="9">
        <v>5.0000000000000001E-4</v>
      </c>
      <c r="E16" s="6" t="s">
        <v>80</v>
      </c>
      <c r="F16" s="6">
        <v>1</v>
      </c>
      <c r="G16" s="30">
        <v>0</v>
      </c>
      <c r="I16" s="6" t="s">
        <v>153</v>
      </c>
      <c r="J16" s="6">
        <v>1</v>
      </c>
      <c r="K16" s="30">
        <v>0</v>
      </c>
      <c r="M16" s="6" t="s">
        <v>49</v>
      </c>
      <c r="N16" s="6">
        <v>17</v>
      </c>
      <c r="O16" s="9">
        <v>2.9999999999999997E-4</v>
      </c>
      <c r="Q16" s="6" t="s">
        <v>91</v>
      </c>
      <c r="R16" s="6">
        <v>1</v>
      </c>
      <c r="S16" s="30">
        <v>0</v>
      </c>
      <c r="U16" s="6" t="s">
        <v>153</v>
      </c>
      <c r="V16" s="6">
        <v>1</v>
      </c>
      <c r="W16" s="30">
        <v>0</v>
      </c>
      <c r="Y16" s="6" t="s">
        <v>11</v>
      </c>
      <c r="Z16" s="6">
        <v>24</v>
      </c>
      <c r="AA16" s="9">
        <v>5.9999999999999995E-4</v>
      </c>
      <c r="AC16" s="6" t="s">
        <v>76</v>
      </c>
      <c r="AD16" s="6">
        <v>1</v>
      </c>
      <c r="AE16" s="30">
        <v>0</v>
      </c>
    </row>
    <row r="17" spans="1:31">
      <c r="A17" s="6" t="s">
        <v>21</v>
      </c>
      <c r="B17" s="6">
        <v>16</v>
      </c>
      <c r="C17" s="9">
        <v>2.0000000000000001E-4</v>
      </c>
      <c r="E17" s="6" t="s">
        <v>135</v>
      </c>
      <c r="F17" s="6">
        <v>1</v>
      </c>
      <c r="G17" s="30">
        <v>0</v>
      </c>
      <c r="I17" s="6" t="s">
        <v>132</v>
      </c>
      <c r="J17" s="6">
        <v>1</v>
      </c>
      <c r="K17" s="30">
        <v>0</v>
      </c>
      <c r="M17" s="6" t="s">
        <v>5</v>
      </c>
      <c r="N17" s="6">
        <v>9</v>
      </c>
      <c r="O17" s="9">
        <v>2.0000000000000001E-4</v>
      </c>
      <c r="Q17" s="6" t="s">
        <v>75</v>
      </c>
      <c r="R17" s="6">
        <v>1</v>
      </c>
      <c r="S17" s="30">
        <v>0</v>
      </c>
      <c r="U17" s="6" t="s">
        <v>132</v>
      </c>
      <c r="V17" s="6">
        <v>1</v>
      </c>
      <c r="W17" s="30">
        <v>0</v>
      </c>
      <c r="Y17" s="6" t="s">
        <v>20</v>
      </c>
      <c r="Z17" s="6">
        <v>11</v>
      </c>
      <c r="AA17" s="9">
        <v>2.9999999999999997E-4</v>
      </c>
      <c r="AC17" s="6" t="s">
        <v>135</v>
      </c>
      <c r="AD17" s="6">
        <v>1</v>
      </c>
      <c r="AE17" s="30">
        <v>0</v>
      </c>
    </row>
    <row r="18" spans="1:31">
      <c r="A18" s="6" t="s">
        <v>20</v>
      </c>
      <c r="B18" s="6">
        <v>17</v>
      </c>
      <c r="C18" s="9">
        <v>2.0000000000000001E-4</v>
      </c>
      <c r="E18" s="6" t="s">
        <v>91</v>
      </c>
      <c r="F18" s="6">
        <v>1</v>
      </c>
      <c r="G18" s="30">
        <v>0</v>
      </c>
      <c r="I18" s="6" t="s">
        <v>113</v>
      </c>
      <c r="J18" s="6">
        <v>2</v>
      </c>
      <c r="K18" s="30">
        <v>0</v>
      </c>
      <c r="M18" s="6" t="s">
        <v>17</v>
      </c>
      <c r="N18" s="6">
        <v>11</v>
      </c>
      <c r="O18" s="9">
        <v>2.0000000000000001E-4</v>
      </c>
      <c r="Q18" s="6" t="s">
        <v>89</v>
      </c>
      <c r="R18" s="6">
        <v>1</v>
      </c>
      <c r="S18" s="30">
        <v>0</v>
      </c>
      <c r="Y18" s="6" t="s">
        <v>37</v>
      </c>
      <c r="Z18" s="6">
        <v>13</v>
      </c>
      <c r="AA18" s="9">
        <v>2.9999999999999997E-4</v>
      </c>
    </row>
    <row r="19" spans="1:31">
      <c r="A19" s="6" t="s">
        <v>17</v>
      </c>
      <c r="B19" s="6">
        <v>18</v>
      </c>
      <c r="C19" s="9">
        <v>2.0000000000000001E-4</v>
      </c>
      <c r="E19" s="6" t="s">
        <v>86</v>
      </c>
      <c r="F19" s="6">
        <v>1</v>
      </c>
      <c r="G19" s="30">
        <v>0</v>
      </c>
      <c r="M19" s="6" t="s">
        <v>8</v>
      </c>
      <c r="N19" s="6">
        <v>9</v>
      </c>
      <c r="O19" s="9">
        <v>2.0000000000000001E-4</v>
      </c>
      <c r="Y19" s="6" t="s">
        <v>18</v>
      </c>
      <c r="Z19" s="6">
        <v>10</v>
      </c>
      <c r="AA19" s="9">
        <v>2.9999999999999997E-4</v>
      </c>
    </row>
    <row r="20" spans="1:31">
      <c r="A20" s="6" t="s">
        <v>37</v>
      </c>
      <c r="B20" s="6">
        <v>19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31</v>
      </c>
      <c r="N20" s="6">
        <v>10</v>
      </c>
      <c r="O20" s="9">
        <v>2.0000000000000001E-4</v>
      </c>
      <c r="Y20" s="6" t="s">
        <v>21</v>
      </c>
      <c r="Z20" s="6">
        <v>9</v>
      </c>
      <c r="AA20" s="9">
        <v>2.0000000000000001E-4</v>
      </c>
    </row>
    <row r="21" spans="1:31">
      <c r="A21" s="6" t="s">
        <v>22</v>
      </c>
      <c r="B21" s="6">
        <v>15</v>
      </c>
      <c r="C21" s="9">
        <v>2.0000000000000001E-4</v>
      </c>
      <c r="M21" s="6" t="s">
        <v>21</v>
      </c>
      <c r="N21" s="6">
        <v>7</v>
      </c>
      <c r="O21" s="9">
        <v>1E-4</v>
      </c>
      <c r="Y21" s="6" t="s">
        <v>17</v>
      </c>
      <c r="Z21" s="6">
        <v>7</v>
      </c>
      <c r="AA21" s="9">
        <v>2.0000000000000001E-4</v>
      </c>
    </row>
    <row r="22" spans="1:31">
      <c r="A22" s="6" t="s">
        <v>31</v>
      </c>
      <c r="B22" s="6">
        <v>19</v>
      </c>
      <c r="C22" s="9">
        <v>2.0000000000000001E-4</v>
      </c>
      <c r="M22" s="6" t="s">
        <v>20</v>
      </c>
      <c r="N22" s="6">
        <v>6</v>
      </c>
      <c r="O22" s="9">
        <v>1E-4</v>
      </c>
      <c r="Y22" s="6" t="s">
        <v>14</v>
      </c>
      <c r="Z22" s="6">
        <v>9</v>
      </c>
      <c r="AA22" s="9">
        <v>2.0000000000000001E-4</v>
      </c>
    </row>
    <row r="23" spans="1:31">
      <c r="A23" s="6" t="s">
        <v>18</v>
      </c>
      <c r="B23" s="6">
        <v>16</v>
      </c>
      <c r="C23" s="9">
        <v>2.0000000000000001E-4</v>
      </c>
      <c r="M23" s="6" t="s">
        <v>10</v>
      </c>
      <c r="N23" s="6">
        <v>6</v>
      </c>
      <c r="O23" s="9">
        <v>1E-4</v>
      </c>
      <c r="Y23" s="6" t="s">
        <v>29</v>
      </c>
      <c r="Z23" s="6">
        <v>9</v>
      </c>
      <c r="AA23" s="9">
        <v>2.0000000000000001E-4</v>
      </c>
    </row>
    <row r="24" spans="1:31">
      <c r="A24" s="6" t="s">
        <v>29</v>
      </c>
      <c r="B24" s="6">
        <v>14</v>
      </c>
      <c r="C24" s="9">
        <v>2.0000000000000001E-4</v>
      </c>
      <c r="M24" s="6" t="s">
        <v>16</v>
      </c>
      <c r="N24" s="6">
        <v>5</v>
      </c>
      <c r="O24" s="9">
        <v>1E-4</v>
      </c>
      <c r="Y24" s="6" t="s">
        <v>31</v>
      </c>
      <c r="Z24" s="6">
        <v>9</v>
      </c>
      <c r="AA24" s="9">
        <v>2.0000000000000001E-4</v>
      </c>
    </row>
    <row r="25" spans="1:31">
      <c r="A25" s="6" t="s">
        <v>49</v>
      </c>
      <c r="B25" s="6">
        <v>17</v>
      </c>
      <c r="C25" s="9">
        <v>2.0000000000000001E-4</v>
      </c>
      <c r="M25" s="6" t="s">
        <v>43</v>
      </c>
      <c r="N25" s="6">
        <v>7</v>
      </c>
      <c r="O25" s="9">
        <v>1E-4</v>
      </c>
      <c r="Y25" s="6" t="s">
        <v>10</v>
      </c>
      <c r="Z25" s="6">
        <v>6</v>
      </c>
      <c r="AA25" s="9">
        <v>2.0000000000000001E-4</v>
      </c>
    </row>
    <row r="26" spans="1:31">
      <c r="A26" s="6" t="s">
        <v>19</v>
      </c>
      <c r="B26" s="6">
        <v>5</v>
      </c>
      <c r="C26" s="9">
        <v>1E-4</v>
      </c>
      <c r="M26" s="6" t="s">
        <v>18</v>
      </c>
      <c r="N26" s="6">
        <v>6</v>
      </c>
      <c r="O26" s="9">
        <v>1E-4</v>
      </c>
      <c r="Y26" s="6" t="s">
        <v>19</v>
      </c>
      <c r="Z26" s="6">
        <v>4</v>
      </c>
      <c r="AA26" s="9">
        <v>1E-4</v>
      </c>
    </row>
    <row r="27" spans="1:31">
      <c r="A27" s="6" t="s">
        <v>16</v>
      </c>
      <c r="B27" s="6">
        <v>9</v>
      </c>
      <c r="C27" s="9">
        <v>1E-4</v>
      </c>
      <c r="M27" s="6" t="s">
        <v>30</v>
      </c>
      <c r="N27" s="6">
        <v>5</v>
      </c>
      <c r="O27" s="9">
        <v>1E-4</v>
      </c>
      <c r="Y27" s="6" t="s">
        <v>16</v>
      </c>
      <c r="Z27" s="6">
        <v>4</v>
      </c>
      <c r="AA27" s="9">
        <v>1E-4</v>
      </c>
    </row>
    <row r="28" spans="1:31">
      <c r="A28" s="6" t="s">
        <v>10</v>
      </c>
      <c r="B28" s="6">
        <v>12</v>
      </c>
      <c r="C28" s="9">
        <v>1E-4</v>
      </c>
      <c r="M28" s="6" t="s">
        <v>29</v>
      </c>
      <c r="N28" s="6">
        <v>5</v>
      </c>
      <c r="O28" s="9">
        <v>1E-4</v>
      </c>
      <c r="Y28" s="6" t="s">
        <v>30</v>
      </c>
      <c r="Z28" s="6">
        <v>3</v>
      </c>
      <c r="AA28" s="9">
        <v>1E-4</v>
      </c>
    </row>
    <row r="29" spans="1:31">
      <c r="A29" s="6" t="s">
        <v>30</v>
      </c>
      <c r="B29" s="6">
        <v>8</v>
      </c>
      <c r="C29" s="9">
        <v>1E-4</v>
      </c>
      <c r="M29" s="6" t="s">
        <v>37</v>
      </c>
      <c r="N29" s="6">
        <v>6</v>
      </c>
      <c r="O29" s="9">
        <v>1E-4</v>
      </c>
      <c r="Y29" s="6" t="s">
        <v>26</v>
      </c>
      <c r="Z29" s="6">
        <v>4</v>
      </c>
      <c r="AA29" s="9">
        <v>1E-4</v>
      </c>
    </row>
    <row r="30" spans="1:31">
      <c r="A30" s="6" t="s">
        <v>14</v>
      </c>
      <c r="B30" s="6">
        <v>9</v>
      </c>
      <c r="C30" s="9">
        <v>1E-4</v>
      </c>
      <c r="M30" s="6" t="s">
        <v>26</v>
      </c>
      <c r="N30" s="6">
        <v>6</v>
      </c>
      <c r="O30" s="9">
        <v>1E-4</v>
      </c>
      <c r="Y30" s="6" t="s">
        <v>58</v>
      </c>
      <c r="Z30" s="6">
        <v>3</v>
      </c>
      <c r="AA30" s="9">
        <v>1E-4</v>
      </c>
    </row>
    <row r="31" spans="1:31">
      <c r="A31" s="6" t="s">
        <v>26</v>
      </c>
      <c r="B31" s="6">
        <v>10</v>
      </c>
      <c r="C31" s="9">
        <v>1E-4</v>
      </c>
      <c r="M31" s="6" t="s">
        <v>33</v>
      </c>
      <c r="N31" s="6">
        <v>3</v>
      </c>
      <c r="O31" s="9">
        <v>1E-4</v>
      </c>
      <c r="Y31" s="6" t="s">
        <v>22</v>
      </c>
      <c r="Z31" s="6">
        <v>2</v>
      </c>
      <c r="AA31" s="9">
        <v>1E-4</v>
      </c>
    </row>
    <row r="32" spans="1:31">
      <c r="A32" s="6" t="s">
        <v>43</v>
      </c>
      <c r="B32" s="6">
        <v>7</v>
      </c>
      <c r="C32" s="9">
        <v>1E-4</v>
      </c>
      <c r="M32" s="6" t="s">
        <v>40</v>
      </c>
      <c r="N32" s="6">
        <v>5</v>
      </c>
      <c r="O32" s="9">
        <v>1E-4</v>
      </c>
      <c r="Y32" s="6" t="s">
        <v>53</v>
      </c>
      <c r="Z32" s="6">
        <v>2</v>
      </c>
      <c r="AA32" s="9">
        <v>1E-4</v>
      </c>
    </row>
    <row r="33" spans="1:27">
      <c r="A33" s="6" t="s">
        <v>40</v>
      </c>
      <c r="B33" s="6">
        <v>5</v>
      </c>
      <c r="C33" s="9">
        <v>1E-4</v>
      </c>
      <c r="M33" s="6" t="s">
        <v>19</v>
      </c>
      <c r="N33" s="6">
        <v>1</v>
      </c>
      <c r="O33" s="30">
        <v>0</v>
      </c>
      <c r="Y33" s="6" t="s">
        <v>15</v>
      </c>
      <c r="Z33" s="6">
        <v>2</v>
      </c>
      <c r="AA33" s="9">
        <v>1E-4</v>
      </c>
    </row>
    <row r="34" spans="1:27">
      <c r="A34" s="6" t="s">
        <v>115</v>
      </c>
      <c r="B34" s="6">
        <v>1</v>
      </c>
      <c r="C34" s="30">
        <v>0</v>
      </c>
      <c r="M34" s="6" t="s">
        <v>115</v>
      </c>
      <c r="N34" s="6">
        <v>1</v>
      </c>
      <c r="O34" s="30">
        <v>0</v>
      </c>
      <c r="Y34" s="6" t="s">
        <v>34</v>
      </c>
      <c r="Z34" s="6">
        <v>1</v>
      </c>
      <c r="AA34" s="30">
        <v>0</v>
      </c>
    </row>
    <row r="35" spans="1:27">
      <c r="A35" s="6" t="s">
        <v>34</v>
      </c>
      <c r="B35" s="6">
        <v>1</v>
      </c>
      <c r="C35" s="30">
        <v>0</v>
      </c>
      <c r="M35" s="6" t="s">
        <v>67</v>
      </c>
      <c r="N35" s="6">
        <v>2</v>
      </c>
      <c r="O35" s="30">
        <v>0</v>
      </c>
      <c r="Y35" s="6" t="s">
        <v>13</v>
      </c>
      <c r="Z35" s="6">
        <v>1</v>
      </c>
      <c r="AA35" s="30">
        <v>0</v>
      </c>
    </row>
    <row r="36" spans="1:27">
      <c r="A36" s="6" t="s">
        <v>67</v>
      </c>
      <c r="B36" s="6">
        <v>2</v>
      </c>
      <c r="C36" s="30">
        <v>0</v>
      </c>
      <c r="M36" s="6" t="s">
        <v>45</v>
      </c>
      <c r="N36" s="6">
        <v>1</v>
      </c>
      <c r="O36" s="30">
        <v>0</v>
      </c>
      <c r="Y36" s="6" t="s">
        <v>12</v>
      </c>
      <c r="Z36" s="6">
        <v>1</v>
      </c>
      <c r="AA36" s="30">
        <v>0</v>
      </c>
    </row>
    <row r="37" spans="1:27">
      <c r="A37" s="6" t="s">
        <v>45</v>
      </c>
      <c r="B37" s="6">
        <v>1</v>
      </c>
      <c r="C37" s="30">
        <v>0</v>
      </c>
      <c r="M37" s="6" t="s">
        <v>13</v>
      </c>
      <c r="N37" s="6">
        <v>1</v>
      </c>
      <c r="O37" s="30">
        <v>0</v>
      </c>
      <c r="Y37" s="6" t="s">
        <v>60</v>
      </c>
      <c r="Z37" s="6">
        <v>1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27</v>
      </c>
      <c r="N38" s="6">
        <v>2</v>
      </c>
      <c r="O38" s="30">
        <v>0</v>
      </c>
      <c r="Y38" s="6" t="s">
        <v>68</v>
      </c>
      <c r="Z38" s="6">
        <v>1</v>
      </c>
      <c r="AA38" s="30">
        <v>0</v>
      </c>
    </row>
    <row r="39" spans="1:27">
      <c r="A39" s="6" t="s">
        <v>27</v>
      </c>
      <c r="B39" s="6">
        <v>2</v>
      </c>
      <c r="C39" s="30">
        <v>0</v>
      </c>
      <c r="M39" s="6" t="s">
        <v>48</v>
      </c>
      <c r="N39" s="6">
        <v>1</v>
      </c>
      <c r="O39" s="30">
        <v>0</v>
      </c>
      <c r="Y39" s="6" t="s">
        <v>61</v>
      </c>
      <c r="Z39" s="6">
        <v>1</v>
      </c>
      <c r="AA39" s="30">
        <v>0</v>
      </c>
    </row>
    <row r="40" spans="1:27">
      <c r="A40" s="6" t="s">
        <v>33</v>
      </c>
      <c r="B40" s="6">
        <v>3</v>
      </c>
      <c r="C40" s="30">
        <v>0</v>
      </c>
      <c r="M40" s="6" t="s">
        <v>60</v>
      </c>
      <c r="N40" s="6">
        <v>1</v>
      </c>
      <c r="O40" s="30">
        <v>0</v>
      </c>
      <c r="Y40" s="6" t="s">
        <v>24</v>
      </c>
      <c r="Z40" s="6">
        <v>1</v>
      </c>
      <c r="AA40" s="30">
        <v>0</v>
      </c>
    </row>
    <row r="41" spans="1:27">
      <c r="A41" s="6" t="s">
        <v>58</v>
      </c>
      <c r="B41" s="6">
        <v>4</v>
      </c>
      <c r="C41" s="30">
        <v>0</v>
      </c>
      <c r="M41" s="6" t="s">
        <v>32</v>
      </c>
      <c r="N41" s="6">
        <v>2</v>
      </c>
      <c r="O41" s="30">
        <v>0</v>
      </c>
      <c r="Y41" s="6" t="s">
        <v>25</v>
      </c>
      <c r="Z41" s="6">
        <v>1</v>
      </c>
      <c r="AA41" s="30">
        <v>0</v>
      </c>
    </row>
    <row r="42" spans="1:27">
      <c r="A42" s="6" t="s">
        <v>48</v>
      </c>
      <c r="B42" s="6">
        <v>1</v>
      </c>
      <c r="C42" s="30">
        <v>0</v>
      </c>
      <c r="M42" s="6" t="s">
        <v>57</v>
      </c>
      <c r="N42" s="6">
        <v>1</v>
      </c>
      <c r="O42" s="30">
        <v>0</v>
      </c>
      <c r="Y42" s="6" t="s">
        <v>39</v>
      </c>
      <c r="Z42" s="6">
        <v>1</v>
      </c>
      <c r="AA42" s="30">
        <v>0</v>
      </c>
    </row>
    <row r="43" spans="1:27">
      <c r="A43" s="6" t="s">
        <v>60</v>
      </c>
      <c r="B43" s="6">
        <v>2</v>
      </c>
      <c r="C43" s="30">
        <v>0</v>
      </c>
      <c r="M43" s="6" t="s">
        <v>28</v>
      </c>
      <c r="N43" s="6">
        <v>1</v>
      </c>
      <c r="O43" s="30">
        <v>0</v>
      </c>
    </row>
    <row r="44" spans="1:27">
      <c r="A44" s="6" t="s">
        <v>12</v>
      </c>
      <c r="B44" s="6">
        <v>2</v>
      </c>
      <c r="C44" s="30">
        <v>0</v>
      </c>
      <c r="M44" s="6" t="s">
        <v>38</v>
      </c>
      <c r="N44" s="6">
        <v>1</v>
      </c>
      <c r="O44" s="30">
        <v>0</v>
      </c>
    </row>
    <row r="45" spans="1:27">
      <c r="A45" s="6" t="s">
        <v>15</v>
      </c>
      <c r="B45" s="6">
        <v>2</v>
      </c>
      <c r="C45" s="30">
        <v>0</v>
      </c>
      <c r="M45" s="6" t="s">
        <v>58</v>
      </c>
      <c r="N45" s="6">
        <v>1</v>
      </c>
      <c r="O45" s="30">
        <v>0</v>
      </c>
    </row>
    <row r="46" spans="1:27">
      <c r="A46" s="6" t="s">
        <v>32</v>
      </c>
      <c r="B46" s="6">
        <v>2</v>
      </c>
      <c r="C46" s="30">
        <v>0</v>
      </c>
      <c r="M46" s="6" t="s">
        <v>12</v>
      </c>
      <c r="N46" s="6">
        <v>1</v>
      </c>
      <c r="O46" s="30">
        <v>0</v>
      </c>
    </row>
    <row r="47" spans="1:27">
      <c r="A47" s="6" t="s">
        <v>57</v>
      </c>
      <c r="B47" s="6">
        <v>1</v>
      </c>
      <c r="C47" s="30">
        <v>0</v>
      </c>
      <c r="M47" s="6" t="s">
        <v>25</v>
      </c>
      <c r="N47" s="6">
        <v>2</v>
      </c>
      <c r="O47" s="30">
        <v>0</v>
      </c>
    </row>
    <row r="48" spans="1:27">
      <c r="A48" s="6" t="s">
        <v>25</v>
      </c>
      <c r="B48" s="6">
        <v>3</v>
      </c>
      <c r="C48" s="30">
        <v>0</v>
      </c>
      <c r="M48" s="6" t="s">
        <v>39</v>
      </c>
      <c r="N48" s="6">
        <v>1</v>
      </c>
      <c r="O48" s="30">
        <v>0</v>
      </c>
    </row>
    <row r="49" spans="1:15">
      <c r="A49" s="6" t="s">
        <v>53</v>
      </c>
      <c r="B49" s="6">
        <v>2</v>
      </c>
      <c r="C49" s="30">
        <v>0</v>
      </c>
      <c r="M49" s="6" t="s">
        <v>24</v>
      </c>
      <c r="N49" s="6">
        <v>2</v>
      </c>
      <c r="O49" s="30">
        <v>0</v>
      </c>
    </row>
    <row r="50" spans="1:15">
      <c r="A50" s="6" t="s">
        <v>28</v>
      </c>
      <c r="B50" s="6">
        <v>1</v>
      </c>
      <c r="C50" s="30">
        <v>0</v>
      </c>
      <c r="M50" s="6" t="s">
        <v>129</v>
      </c>
      <c r="N50" s="6">
        <v>1</v>
      </c>
      <c r="O50" s="30">
        <v>0</v>
      </c>
    </row>
    <row r="51" spans="1:15">
      <c r="A51" s="6" t="s">
        <v>24</v>
      </c>
      <c r="B51" s="6">
        <v>3</v>
      </c>
      <c r="C51" s="30">
        <v>0</v>
      </c>
    </row>
    <row r="52" spans="1:15">
      <c r="A52" s="6" t="s">
        <v>68</v>
      </c>
      <c r="B52" s="6">
        <v>1</v>
      </c>
      <c r="C52" s="30">
        <v>0</v>
      </c>
    </row>
    <row r="53" spans="1:15">
      <c r="A53" s="6" t="s">
        <v>38</v>
      </c>
      <c r="B53" s="6">
        <v>1</v>
      </c>
      <c r="C53" s="30">
        <v>0</v>
      </c>
    </row>
    <row r="54" spans="1:15">
      <c r="A54" s="6" t="s">
        <v>39</v>
      </c>
      <c r="B54" s="6">
        <v>2</v>
      </c>
      <c r="C54" s="30">
        <v>0</v>
      </c>
    </row>
    <row r="55" spans="1:15">
      <c r="A55" s="6" t="s">
        <v>61</v>
      </c>
      <c r="B55" s="6">
        <v>1</v>
      </c>
      <c r="C55" s="30">
        <v>0</v>
      </c>
    </row>
    <row r="56" spans="1:15">
      <c r="A56" s="6" t="s">
        <v>129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706B2-6C5A-41D1-9D66-F7B095347465}">
  <sheetPr codeName="Sheet19"/>
  <dimension ref="A1:AI58"/>
  <sheetViews>
    <sheetView workbookViewId="0">
      <selection activeCell="E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90341</v>
      </c>
      <c r="E2" s="41" t="s">
        <v>4</v>
      </c>
      <c r="F2" s="23" t="s">
        <v>105</v>
      </c>
      <c r="G2" s="23">
        <f>G3+G4</f>
        <v>86319</v>
      </c>
      <c r="H2" s="22"/>
      <c r="I2" s="41" t="s">
        <v>6</v>
      </c>
      <c r="J2" s="23" t="s">
        <v>105</v>
      </c>
      <c r="K2" s="23">
        <f>K3+K4</f>
        <v>86365</v>
      </c>
      <c r="M2" s="41" t="s">
        <v>104</v>
      </c>
      <c r="N2" s="23" t="s">
        <v>105</v>
      </c>
      <c r="O2" s="23">
        <f>O3+O4</f>
        <v>28222</v>
      </c>
      <c r="Q2" s="41" t="s">
        <v>4</v>
      </c>
      <c r="R2" s="23" t="s">
        <v>105</v>
      </c>
      <c r="S2" s="23">
        <f>S3+S4</f>
        <v>26822</v>
      </c>
      <c r="T2" s="22"/>
      <c r="U2" s="41" t="s">
        <v>6</v>
      </c>
      <c r="V2" s="23" t="s">
        <v>105</v>
      </c>
      <c r="W2" s="23">
        <f>W3+W4</f>
        <v>27797</v>
      </c>
      <c r="Y2" s="41" t="s">
        <v>104</v>
      </c>
      <c r="Z2" s="23" t="s">
        <v>105</v>
      </c>
      <c r="AA2" s="23">
        <f>AA3+AA4</f>
        <v>62104</v>
      </c>
      <c r="AC2" s="41" t="s">
        <v>4</v>
      </c>
      <c r="AD2" s="23" t="s">
        <v>105</v>
      </c>
      <c r="AE2" s="23">
        <f>AE3+AE4</f>
        <v>59498</v>
      </c>
      <c r="AF2" s="22"/>
      <c r="AG2" s="41" t="s">
        <v>6</v>
      </c>
      <c r="AH2" s="23" t="s">
        <v>105</v>
      </c>
      <c r="AI2" s="23">
        <f>AI3+AI4</f>
        <v>58570</v>
      </c>
    </row>
    <row r="3" spans="1:35">
      <c r="A3" s="42"/>
      <c r="B3" s="24" t="s">
        <v>106</v>
      </c>
      <c r="C3" s="24">
        <f>B8</f>
        <v>88858</v>
      </c>
      <c r="E3" s="42"/>
      <c r="F3" s="24" t="s">
        <v>106</v>
      </c>
      <c r="G3" s="24">
        <f>F8</f>
        <v>86066</v>
      </c>
      <c r="H3" s="22"/>
      <c r="I3" s="42"/>
      <c r="J3" s="24" t="s">
        <v>106</v>
      </c>
      <c r="K3" s="24">
        <f>J8</f>
        <v>86288</v>
      </c>
      <c r="M3" s="42"/>
      <c r="N3" s="24" t="s">
        <v>106</v>
      </c>
      <c r="O3" s="24">
        <f>N8</f>
        <v>27910</v>
      </c>
      <c r="Q3" s="42"/>
      <c r="R3" s="24" t="s">
        <v>106</v>
      </c>
      <c r="S3" s="24">
        <f>R8</f>
        <v>26733</v>
      </c>
      <c r="T3" s="22"/>
      <c r="U3" s="42"/>
      <c r="V3" s="24" t="s">
        <v>106</v>
      </c>
      <c r="W3" s="24">
        <f>V8</f>
        <v>27777</v>
      </c>
      <c r="Y3" s="42"/>
      <c r="Z3" s="24" t="s">
        <v>106</v>
      </c>
      <c r="AA3" s="24">
        <f>Z8</f>
        <v>60948</v>
      </c>
      <c r="AC3" s="42"/>
      <c r="AD3" s="24" t="s">
        <v>106</v>
      </c>
      <c r="AE3" s="24">
        <f>AD8</f>
        <v>59333</v>
      </c>
      <c r="AF3" s="22"/>
      <c r="AG3" s="42"/>
      <c r="AH3" s="24" t="s">
        <v>106</v>
      </c>
      <c r="AI3" s="24">
        <f>AH8</f>
        <v>58511</v>
      </c>
    </row>
    <row r="4" spans="1:35">
      <c r="A4" s="42"/>
      <c r="B4" s="25" t="s">
        <v>107</v>
      </c>
      <c r="C4" s="25">
        <f>SUM(B9:B66)</f>
        <v>1483</v>
      </c>
      <c r="E4" s="42"/>
      <c r="F4" s="25" t="s">
        <v>107</v>
      </c>
      <c r="G4" s="25">
        <f>SUM(F9:F33)</f>
        <v>253</v>
      </c>
      <c r="H4" s="22"/>
      <c r="I4" s="42"/>
      <c r="J4" s="25" t="s">
        <v>107</v>
      </c>
      <c r="K4" s="25">
        <f>SUM(J9:J31)</f>
        <v>77</v>
      </c>
      <c r="M4" s="42"/>
      <c r="N4" s="25" t="s">
        <v>107</v>
      </c>
      <c r="O4" s="25">
        <f>SUM(N9:N66)</f>
        <v>312</v>
      </c>
      <c r="Q4" s="42"/>
      <c r="R4" s="25" t="s">
        <v>107</v>
      </c>
      <c r="S4" s="25">
        <f>SUM(R9:R33)</f>
        <v>89</v>
      </c>
      <c r="T4" s="22"/>
      <c r="U4" s="42"/>
      <c r="V4" s="25" t="s">
        <v>107</v>
      </c>
      <c r="W4" s="25">
        <f>SUM(V9:V31)</f>
        <v>20</v>
      </c>
      <c r="Y4" s="42"/>
      <c r="Z4" s="25" t="s">
        <v>107</v>
      </c>
      <c r="AA4" s="25">
        <f>SUM(Z9:Z45)</f>
        <v>1156</v>
      </c>
      <c r="AC4" s="42"/>
      <c r="AD4" s="25" t="s">
        <v>107</v>
      </c>
      <c r="AE4" s="25">
        <f>SUM(AD9:AD29)</f>
        <v>165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1.5699999999999995E-2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1.0599999999999995E-2</v>
      </c>
      <c r="Q5" s="43"/>
      <c r="R5" s="23" t="s">
        <v>108</v>
      </c>
      <c r="S5" s="26">
        <f>SUM(S9:S33)</f>
        <v>3.2000000000000002E-3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1.8099999999999991E-2</v>
      </c>
      <c r="AC5" s="43"/>
      <c r="AD5" s="23" t="s">
        <v>108</v>
      </c>
      <c r="AE5" s="26">
        <f>SUM(AE9:AE29)</f>
        <v>2.7999999999999991E-3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88858</v>
      </c>
      <c r="C8" s="9">
        <v>0.98360000000000003</v>
      </c>
      <c r="E8" s="6" t="s">
        <v>112</v>
      </c>
      <c r="F8" s="29">
        <v>86066</v>
      </c>
      <c r="G8" s="9">
        <v>0.99709999999999999</v>
      </c>
      <c r="I8" s="6" t="s">
        <v>112</v>
      </c>
      <c r="J8" s="29">
        <v>86288</v>
      </c>
      <c r="K8" s="9">
        <v>0.99909999999999999</v>
      </c>
      <c r="M8" s="6" t="s">
        <v>112</v>
      </c>
      <c r="N8" s="29">
        <v>27910</v>
      </c>
      <c r="O8" s="9">
        <v>0.9889</v>
      </c>
      <c r="Q8" s="6" t="s">
        <v>112</v>
      </c>
      <c r="R8" s="29">
        <v>26733</v>
      </c>
      <c r="S8" s="9">
        <v>0.99670000000000003</v>
      </c>
      <c r="U8" s="6" t="s">
        <v>112</v>
      </c>
      <c r="V8" s="29">
        <v>27777</v>
      </c>
      <c r="W8" s="9">
        <v>0.99929999999999997</v>
      </c>
      <c r="Y8" s="6" t="s">
        <v>112</v>
      </c>
      <c r="Z8" s="29">
        <v>60948</v>
      </c>
      <c r="AA8" s="9">
        <v>0.98109999999999997</v>
      </c>
      <c r="AC8" s="6" t="s">
        <v>112</v>
      </c>
      <c r="AD8" s="29">
        <v>59333</v>
      </c>
      <c r="AE8" s="9">
        <v>0.99719999999999998</v>
      </c>
      <c r="AG8" s="6" t="s">
        <v>112</v>
      </c>
      <c r="AH8" s="29">
        <v>58511</v>
      </c>
      <c r="AI8" s="9">
        <v>0.999</v>
      </c>
    </row>
    <row r="9" spans="1:35">
      <c r="A9" s="6" t="s">
        <v>2</v>
      </c>
      <c r="B9" s="6">
        <v>390</v>
      </c>
      <c r="C9" s="9">
        <v>4.3E-3</v>
      </c>
      <c r="E9" s="6" t="s">
        <v>122</v>
      </c>
      <c r="F9" s="6">
        <v>159</v>
      </c>
      <c r="G9" s="9">
        <v>1.8E-3</v>
      </c>
      <c r="I9" s="6" t="s">
        <v>2</v>
      </c>
      <c r="J9" s="6">
        <v>27</v>
      </c>
      <c r="K9" s="9">
        <v>2.9999999999999997E-4</v>
      </c>
      <c r="M9" s="6" t="s">
        <v>2</v>
      </c>
      <c r="N9" s="6">
        <v>103</v>
      </c>
      <c r="O9" s="9">
        <v>3.5999999999999999E-3</v>
      </c>
      <c r="Q9" s="6" t="s">
        <v>122</v>
      </c>
      <c r="R9" s="6">
        <v>59</v>
      </c>
      <c r="S9" s="9">
        <v>2.2000000000000001E-3</v>
      </c>
      <c r="U9" s="6" t="s">
        <v>98</v>
      </c>
      <c r="V9" s="6">
        <v>6</v>
      </c>
      <c r="W9" s="9">
        <v>2.0000000000000001E-4</v>
      </c>
      <c r="Y9" s="6" t="s">
        <v>2</v>
      </c>
      <c r="Z9" s="6">
        <v>287</v>
      </c>
      <c r="AA9" s="9">
        <v>4.5999999999999999E-3</v>
      </c>
      <c r="AC9" s="6" t="s">
        <v>122</v>
      </c>
      <c r="AD9" s="6">
        <v>100</v>
      </c>
      <c r="AE9" s="9">
        <v>1.6999999999999999E-3</v>
      </c>
      <c r="AG9" s="6" t="s">
        <v>2</v>
      </c>
      <c r="AH9" s="6">
        <v>22</v>
      </c>
      <c r="AI9" s="9">
        <v>4.0000000000000002E-4</v>
      </c>
    </row>
    <row r="10" spans="1:35">
      <c r="A10" s="6" t="s">
        <v>9</v>
      </c>
      <c r="B10" s="6">
        <v>281</v>
      </c>
      <c r="C10" s="9">
        <v>3.0999999999999999E-3</v>
      </c>
      <c r="E10" s="6" t="s">
        <v>83</v>
      </c>
      <c r="F10" s="6">
        <v>34</v>
      </c>
      <c r="G10" s="9">
        <v>4.0000000000000002E-4</v>
      </c>
      <c r="I10" s="6" t="s">
        <v>98</v>
      </c>
      <c r="J10" s="6">
        <v>21</v>
      </c>
      <c r="K10" s="9">
        <v>2.0000000000000001E-4</v>
      </c>
      <c r="M10" s="6" t="s">
        <v>3</v>
      </c>
      <c r="N10" s="6">
        <v>71</v>
      </c>
      <c r="O10" s="9">
        <v>2.5000000000000001E-3</v>
      </c>
      <c r="Q10" s="6" t="s">
        <v>74</v>
      </c>
      <c r="R10" s="6">
        <v>11</v>
      </c>
      <c r="S10" s="9">
        <v>4.0000000000000002E-4</v>
      </c>
      <c r="U10" s="6" t="s">
        <v>2</v>
      </c>
      <c r="V10" s="6">
        <v>5</v>
      </c>
      <c r="W10" s="9">
        <v>2.0000000000000001E-4</v>
      </c>
      <c r="Y10" s="6" t="s">
        <v>9</v>
      </c>
      <c r="Z10" s="6">
        <v>270</v>
      </c>
      <c r="AA10" s="9">
        <v>4.3E-3</v>
      </c>
      <c r="AC10" s="6" t="s">
        <v>83</v>
      </c>
      <c r="AD10" s="6">
        <v>34</v>
      </c>
      <c r="AE10" s="9">
        <v>5.9999999999999995E-4</v>
      </c>
      <c r="AG10" s="6" t="s">
        <v>98</v>
      </c>
      <c r="AH10" s="6">
        <v>15</v>
      </c>
      <c r="AI10" s="9">
        <v>2.9999999999999997E-4</v>
      </c>
    </row>
    <row r="11" spans="1:35">
      <c r="A11" s="6" t="s">
        <v>3</v>
      </c>
      <c r="B11" s="6">
        <v>200</v>
      </c>
      <c r="C11" s="9">
        <v>2.2000000000000001E-3</v>
      </c>
      <c r="E11" s="6" t="s">
        <v>76</v>
      </c>
      <c r="F11" s="6">
        <v>15</v>
      </c>
      <c r="G11" s="9">
        <v>2.0000000000000001E-4</v>
      </c>
      <c r="I11" s="6" t="s">
        <v>102</v>
      </c>
      <c r="J11" s="6">
        <v>5</v>
      </c>
      <c r="K11" s="9">
        <v>1E-4</v>
      </c>
      <c r="M11" s="6" t="s">
        <v>7</v>
      </c>
      <c r="N11" s="6">
        <v>21</v>
      </c>
      <c r="O11" s="9">
        <v>6.9999999999999999E-4</v>
      </c>
      <c r="Q11" s="6" t="s">
        <v>76</v>
      </c>
      <c r="R11" s="6">
        <v>9</v>
      </c>
      <c r="S11" s="9">
        <v>2.9999999999999997E-4</v>
      </c>
      <c r="U11" s="6" t="s">
        <v>99</v>
      </c>
      <c r="V11" s="6">
        <v>4</v>
      </c>
      <c r="W11" s="9">
        <v>1E-4</v>
      </c>
      <c r="Y11" s="6" t="s">
        <v>8</v>
      </c>
      <c r="Z11" s="6">
        <v>131</v>
      </c>
      <c r="AA11" s="9">
        <v>2.0999999999999999E-3</v>
      </c>
      <c r="AC11" s="6" t="s">
        <v>76</v>
      </c>
      <c r="AD11" s="6">
        <v>6</v>
      </c>
      <c r="AE11" s="9">
        <v>1E-4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133</v>
      </c>
      <c r="C12" s="9">
        <v>1.5E-3</v>
      </c>
      <c r="E12" s="6" t="s">
        <v>74</v>
      </c>
      <c r="F12" s="6">
        <v>15</v>
      </c>
      <c r="G12" s="9">
        <v>2.0000000000000001E-4</v>
      </c>
      <c r="I12" s="6" t="s">
        <v>99</v>
      </c>
      <c r="J12" s="6">
        <v>12</v>
      </c>
      <c r="K12" s="9">
        <v>1E-4</v>
      </c>
      <c r="M12" s="6" t="s">
        <v>11</v>
      </c>
      <c r="N12" s="6">
        <v>15</v>
      </c>
      <c r="O12" s="9">
        <v>5.0000000000000001E-4</v>
      </c>
      <c r="Q12" s="6" t="s">
        <v>86</v>
      </c>
      <c r="R12" s="6">
        <v>6</v>
      </c>
      <c r="S12" s="9">
        <v>2.0000000000000001E-4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129</v>
      </c>
      <c r="AA12" s="9">
        <v>2.0999999999999999E-3</v>
      </c>
      <c r="AC12" s="6" t="s">
        <v>77</v>
      </c>
      <c r="AD12" s="6">
        <v>6</v>
      </c>
      <c r="AE12" s="9">
        <v>1E-4</v>
      </c>
      <c r="AG12" s="6" t="s">
        <v>99</v>
      </c>
      <c r="AH12" s="6">
        <v>8</v>
      </c>
      <c r="AI12" s="9">
        <v>1E-4</v>
      </c>
    </row>
    <row r="13" spans="1:35">
      <c r="A13" s="6" t="s">
        <v>5</v>
      </c>
      <c r="B13" s="6">
        <v>90</v>
      </c>
      <c r="C13" s="9">
        <v>1E-3</v>
      </c>
      <c r="E13" s="6" t="s">
        <v>86</v>
      </c>
      <c r="F13" s="6">
        <v>8</v>
      </c>
      <c r="G13" s="9">
        <v>1E-4</v>
      </c>
      <c r="I13" s="6" t="s">
        <v>113</v>
      </c>
      <c r="J13" s="6">
        <v>9</v>
      </c>
      <c r="K13" s="9">
        <v>1E-4</v>
      </c>
      <c r="M13" s="6" t="s">
        <v>41</v>
      </c>
      <c r="N13" s="6">
        <v>13</v>
      </c>
      <c r="O13" s="9">
        <v>5.0000000000000001E-4</v>
      </c>
      <c r="Q13" s="6" t="s">
        <v>79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83</v>
      </c>
      <c r="AA13" s="9">
        <v>1.2999999999999999E-3</v>
      </c>
      <c r="AC13" s="6" t="s">
        <v>75</v>
      </c>
      <c r="AD13" s="6">
        <v>4</v>
      </c>
      <c r="AE13" s="9">
        <v>1E-4</v>
      </c>
      <c r="AG13" s="6" t="s">
        <v>113</v>
      </c>
      <c r="AH13" s="6">
        <v>6</v>
      </c>
      <c r="AI13" s="9">
        <v>1E-4</v>
      </c>
    </row>
    <row r="14" spans="1:35">
      <c r="A14" s="6" t="s">
        <v>7</v>
      </c>
      <c r="B14" s="6">
        <v>61</v>
      </c>
      <c r="C14" s="9">
        <v>6.9999999999999999E-4</v>
      </c>
      <c r="E14" s="6" t="s">
        <v>77</v>
      </c>
      <c r="F14" s="6">
        <v>6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11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41</v>
      </c>
      <c r="Z14" s="6">
        <v>35</v>
      </c>
      <c r="AA14" s="9">
        <v>5.9999999999999995E-4</v>
      </c>
      <c r="AC14" s="6" t="s">
        <v>74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41</v>
      </c>
      <c r="B15" s="6">
        <v>48</v>
      </c>
      <c r="C15" s="9">
        <v>5.0000000000000001E-4</v>
      </c>
      <c r="E15" s="6" t="s">
        <v>79</v>
      </c>
      <c r="F15" s="6">
        <v>5</v>
      </c>
      <c r="G15" s="9">
        <v>1E-4</v>
      </c>
      <c r="I15" s="6" t="s">
        <v>117</v>
      </c>
      <c r="J15" s="6">
        <v>1</v>
      </c>
      <c r="K15" s="30">
        <v>0</v>
      </c>
      <c r="M15" s="6" t="s">
        <v>65</v>
      </c>
      <c r="N15" s="6">
        <v>9</v>
      </c>
      <c r="O15" s="9">
        <v>2.9999999999999997E-4</v>
      </c>
      <c r="Q15" s="6" t="s">
        <v>92</v>
      </c>
      <c r="R15" s="6">
        <v>1</v>
      </c>
      <c r="S15" s="30">
        <v>0</v>
      </c>
      <c r="Y15" s="6" t="s">
        <v>7</v>
      </c>
      <c r="Z15" s="6">
        <v>40</v>
      </c>
      <c r="AA15" s="9">
        <v>5.9999999999999995E-4</v>
      </c>
      <c r="AC15" s="6" t="s">
        <v>79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47</v>
      </c>
      <c r="C16" s="9">
        <v>5.0000000000000001E-4</v>
      </c>
      <c r="E16" s="6" t="s">
        <v>80</v>
      </c>
      <c r="F16" s="6">
        <v>2</v>
      </c>
      <c r="G16" s="30">
        <v>0</v>
      </c>
      <c r="I16" s="6" t="s">
        <v>153</v>
      </c>
      <c r="J16" s="6">
        <v>1</v>
      </c>
      <c r="K16" s="30">
        <v>0</v>
      </c>
      <c r="M16" s="6" t="s">
        <v>49</v>
      </c>
      <c r="N16" s="6">
        <v>9</v>
      </c>
      <c r="O16" s="9">
        <v>2.9999999999999997E-4</v>
      </c>
      <c r="Y16" s="6" t="s">
        <v>11</v>
      </c>
      <c r="Z16" s="6">
        <v>32</v>
      </c>
      <c r="AA16" s="9">
        <v>5.0000000000000001E-4</v>
      </c>
      <c r="AC16" s="6" t="s">
        <v>80</v>
      </c>
      <c r="AD16" s="6">
        <v>2</v>
      </c>
      <c r="AE16" s="30">
        <v>0</v>
      </c>
      <c r="AG16" s="6" t="s">
        <v>153</v>
      </c>
      <c r="AH16" s="6">
        <v>1</v>
      </c>
      <c r="AI16" s="30">
        <v>0</v>
      </c>
    </row>
    <row r="17" spans="1:31">
      <c r="A17" s="6" t="s">
        <v>46</v>
      </c>
      <c r="B17" s="6">
        <v>16</v>
      </c>
      <c r="C17" s="9">
        <v>2.0000000000000001E-4</v>
      </c>
      <c r="E17" s="6" t="s">
        <v>92</v>
      </c>
      <c r="F17" s="6">
        <v>1</v>
      </c>
      <c r="G17" s="30">
        <v>0</v>
      </c>
      <c r="M17" s="6" t="s">
        <v>5</v>
      </c>
      <c r="N17" s="6">
        <v>7</v>
      </c>
      <c r="O17" s="9">
        <v>2.0000000000000001E-4</v>
      </c>
      <c r="Y17" s="6" t="s">
        <v>14</v>
      </c>
      <c r="Z17" s="6">
        <v>19</v>
      </c>
      <c r="AA17" s="9">
        <v>2.9999999999999997E-4</v>
      </c>
      <c r="AC17" s="6" t="s">
        <v>81</v>
      </c>
      <c r="AD17" s="6">
        <v>1</v>
      </c>
      <c r="AE17" s="30">
        <v>0</v>
      </c>
    </row>
    <row r="18" spans="1:31">
      <c r="A18" s="6" t="s">
        <v>17</v>
      </c>
      <c r="B18" s="6">
        <v>15</v>
      </c>
      <c r="C18" s="9">
        <v>2.0000000000000001E-4</v>
      </c>
      <c r="E18" s="6" t="s">
        <v>81</v>
      </c>
      <c r="F18" s="6">
        <v>1</v>
      </c>
      <c r="G18" s="30">
        <v>0</v>
      </c>
      <c r="M18" s="6" t="s">
        <v>29</v>
      </c>
      <c r="N18" s="6">
        <v>6</v>
      </c>
      <c r="O18" s="9">
        <v>2.0000000000000001E-4</v>
      </c>
      <c r="Y18" s="6" t="s">
        <v>17</v>
      </c>
      <c r="Z18" s="6">
        <v>11</v>
      </c>
      <c r="AA18" s="9">
        <v>2.0000000000000001E-4</v>
      </c>
      <c r="AC18" s="6" t="s">
        <v>82</v>
      </c>
      <c r="AD18" s="6">
        <v>2</v>
      </c>
      <c r="AE18" s="30">
        <v>0</v>
      </c>
    </row>
    <row r="19" spans="1:31">
      <c r="A19" s="6" t="s">
        <v>14</v>
      </c>
      <c r="B19" s="6">
        <v>19</v>
      </c>
      <c r="C19" s="9">
        <v>2.0000000000000001E-4</v>
      </c>
      <c r="E19" s="6" t="s">
        <v>75</v>
      </c>
      <c r="F19" s="6">
        <v>4</v>
      </c>
      <c r="G19" s="30">
        <v>0</v>
      </c>
      <c r="M19" s="6" t="s">
        <v>46</v>
      </c>
      <c r="N19" s="6">
        <v>7</v>
      </c>
      <c r="O19" s="9">
        <v>2.0000000000000001E-4</v>
      </c>
      <c r="Y19" s="6" t="s">
        <v>37</v>
      </c>
      <c r="Z19" s="6">
        <v>12</v>
      </c>
      <c r="AA19" s="9">
        <v>2.0000000000000001E-4</v>
      </c>
      <c r="AC19" s="6" t="s">
        <v>86</v>
      </c>
      <c r="AD19" s="6">
        <v>2</v>
      </c>
      <c r="AE19" s="30">
        <v>0</v>
      </c>
    </row>
    <row r="20" spans="1:31">
      <c r="A20" s="6" t="s">
        <v>18</v>
      </c>
      <c r="B20" s="6">
        <v>17</v>
      </c>
      <c r="C20" s="9">
        <v>2.0000000000000001E-4</v>
      </c>
      <c r="E20" s="6" t="s">
        <v>82</v>
      </c>
      <c r="F20" s="6">
        <v>2</v>
      </c>
      <c r="G20" s="30">
        <v>0</v>
      </c>
      <c r="M20" s="6" t="s">
        <v>18</v>
      </c>
      <c r="N20" s="6">
        <v>6</v>
      </c>
      <c r="O20" s="9">
        <v>2.0000000000000001E-4</v>
      </c>
      <c r="Y20" s="6" t="s">
        <v>10</v>
      </c>
      <c r="Z20" s="6">
        <v>10</v>
      </c>
      <c r="AA20" s="9">
        <v>2.0000000000000001E-4</v>
      </c>
      <c r="AC20" s="6" t="s">
        <v>154</v>
      </c>
      <c r="AD20" s="6">
        <v>1</v>
      </c>
      <c r="AE20" s="30">
        <v>0</v>
      </c>
    </row>
    <row r="21" spans="1:31">
      <c r="A21" s="6" t="s">
        <v>21</v>
      </c>
      <c r="B21" s="6">
        <v>8</v>
      </c>
      <c r="C21" s="9">
        <v>1E-4</v>
      </c>
      <c r="E21" s="6" t="s">
        <v>154</v>
      </c>
      <c r="F21" s="6">
        <v>1</v>
      </c>
      <c r="G21" s="30">
        <v>0</v>
      </c>
      <c r="M21" s="6" t="s">
        <v>21</v>
      </c>
      <c r="N21" s="6">
        <v>2</v>
      </c>
      <c r="O21" s="9">
        <v>1E-4</v>
      </c>
      <c r="Y21" s="6" t="s">
        <v>18</v>
      </c>
      <c r="Z21" s="6">
        <v>11</v>
      </c>
      <c r="AA21" s="9">
        <v>2.0000000000000001E-4</v>
      </c>
    </row>
    <row r="22" spans="1:31">
      <c r="A22" s="6" t="s">
        <v>65</v>
      </c>
      <c r="B22" s="6">
        <v>10</v>
      </c>
      <c r="C22" s="9">
        <v>1E-4</v>
      </c>
      <c r="M22" s="6" t="s">
        <v>17</v>
      </c>
      <c r="N22" s="6">
        <v>4</v>
      </c>
      <c r="O22" s="9">
        <v>1E-4</v>
      </c>
      <c r="Y22" s="6" t="s">
        <v>46</v>
      </c>
      <c r="Z22" s="6">
        <v>9</v>
      </c>
      <c r="AA22" s="9">
        <v>1E-4</v>
      </c>
    </row>
    <row r="23" spans="1:31">
      <c r="A23" s="6" t="s">
        <v>34</v>
      </c>
      <c r="B23" s="6">
        <v>6</v>
      </c>
      <c r="C23" s="9">
        <v>1E-4</v>
      </c>
      <c r="M23" s="6" t="s">
        <v>30</v>
      </c>
      <c r="N23" s="6">
        <v>3</v>
      </c>
      <c r="O23" s="9">
        <v>1E-4</v>
      </c>
      <c r="Y23" s="6" t="s">
        <v>21</v>
      </c>
      <c r="Z23" s="6">
        <v>6</v>
      </c>
      <c r="AA23" s="9">
        <v>1E-4</v>
      </c>
    </row>
    <row r="24" spans="1:31">
      <c r="A24" s="6" t="s">
        <v>20</v>
      </c>
      <c r="B24" s="6">
        <v>6</v>
      </c>
      <c r="C24" s="9">
        <v>1E-4</v>
      </c>
      <c r="M24" s="6" t="s">
        <v>10</v>
      </c>
      <c r="N24" s="6">
        <v>3</v>
      </c>
      <c r="O24" s="9">
        <v>1E-4</v>
      </c>
      <c r="Y24" s="6" t="s">
        <v>34</v>
      </c>
      <c r="Z24" s="6">
        <v>6</v>
      </c>
      <c r="AA24" s="9">
        <v>1E-4</v>
      </c>
    </row>
    <row r="25" spans="1:31">
      <c r="A25" s="6" t="s">
        <v>37</v>
      </c>
      <c r="B25" s="6">
        <v>13</v>
      </c>
      <c r="C25" s="9">
        <v>1E-4</v>
      </c>
      <c r="M25" s="6" t="s">
        <v>43</v>
      </c>
      <c r="N25" s="6">
        <v>2</v>
      </c>
      <c r="O25" s="9">
        <v>1E-4</v>
      </c>
      <c r="Y25" s="6" t="s">
        <v>20</v>
      </c>
      <c r="Z25" s="6">
        <v>6</v>
      </c>
      <c r="AA25" s="9">
        <v>1E-4</v>
      </c>
    </row>
    <row r="26" spans="1:31">
      <c r="A26" s="6" t="s">
        <v>10</v>
      </c>
      <c r="B26" s="6">
        <v>13</v>
      </c>
      <c r="C26" s="9">
        <v>1E-4</v>
      </c>
      <c r="M26" s="6" t="s">
        <v>16</v>
      </c>
      <c r="N26" s="6">
        <v>2</v>
      </c>
      <c r="O26" s="9">
        <v>1E-4</v>
      </c>
      <c r="Y26" s="6" t="s">
        <v>31</v>
      </c>
      <c r="Z26" s="6">
        <v>9</v>
      </c>
      <c r="AA26" s="9">
        <v>1E-4</v>
      </c>
    </row>
    <row r="27" spans="1:31">
      <c r="A27" s="6" t="s">
        <v>29</v>
      </c>
      <c r="B27" s="6">
        <v>12</v>
      </c>
      <c r="C27" s="9">
        <v>1E-4</v>
      </c>
      <c r="M27" s="6" t="s">
        <v>8</v>
      </c>
      <c r="N27" s="6">
        <v>2</v>
      </c>
      <c r="O27" s="9">
        <v>1E-4</v>
      </c>
      <c r="Y27" s="6" t="s">
        <v>40</v>
      </c>
      <c r="Z27" s="6">
        <v>6</v>
      </c>
      <c r="AA27" s="9">
        <v>1E-4</v>
      </c>
    </row>
    <row r="28" spans="1:31">
      <c r="A28" s="6" t="s">
        <v>30</v>
      </c>
      <c r="B28" s="6">
        <v>9</v>
      </c>
      <c r="C28" s="9">
        <v>1E-4</v>
      </c>
      <c r="M28" s="6" t="s">
        <v>31</v>
      </c>
      <c r="N28" s="6">
        <v>2</v>
      </c>
      <c r="O28" s="9">
        <v>1E-4</v>
      </c>
      <c r="Y28" s="6" t="s">
        <v>30</v>
      </c>
      <c r="Z28" s="6">
        <v>6</v>
      </c>
      <c r="AA28" s="9">
        <v>1E-4</v>
      </c>
    </row>
    <row r="29" spans="1:31">
      <c r="A29" s="6" t="s">
        <v>31</v>
      </c>
      <c r="B29" s="6">
        <v>11</v>
      </c>
      <c r="C29" s="9">
        <v>1E-4</v>
      </c>
      <c r="M29" s="6" t="s">
        <v>26</v>
      </c>
      <c r="N29" s="6">
        <v>2</v>
      </c>
      <c r="O29" s="9">
        <v>1E-4</v>
      </c>
      <c r="Y29" s="6" t="s">
        <v>29</v>
      </c>
      <c r="Z29" s="6">
        <v>6</v>
      </c>
      <c r="AA29" s="9">
        <v>1E-4</v>
      </c>
    </row>
    <row r="30" spans="1:31">
      <c r="A30" s="6" t="s">
        <v>40</v>
      </c>
      <c r="B30" s="6">
        <v>7</v>
      </c>
      <c r="C30" s="9">
        <v>1E-4</v>
      </c>
      <c r="M30" s="6" t="s">
        <v>25</v>
      </c>
      <c r="N30" s="6">
        <v>2</v>
      </c>
      <c r="O30" s="9">
        <v>1E-4</v>
      </c>
      <c r="Y30" s="6" t="s">
        <v>27</v>
      </c>
      <c r="Z30" s="6">
        <v>4</v>
      </c>
      <c r="AA30" s="9">
        <v>1E-4</v>
      </c>
    </row>
    <row r="31" spans="1:31">
      <c r="A31" s="6" t="s">
        <v>49</v>
      </c>
      <c r="B31" s="6">
        <v>9</v>
      </c>
      <c r="C31" s="9">
        <v>1E-4</v>
      </c>
      <c r="M31" s="6" t="s">
        <v>67</v>
      </c>
      <c r="N31" s="6">
        <v>1</v>
      </c>
      <c r="O31" s="30">
        <v>0</v>
      </c>
      <c r="Y31" s="6" t="s">
        <v>19</v>
      </c>
      <c r="Z31" s="6">
        <v>1</v>
      </c>
      <c r="AA31" s="30">
        <v>0</v>
      </c>
    </row>
    <row r="32" spans="1:31">
      <c r="A32" s="6" t="s">
        <v>19</v>
      </c>
      <c r="B32" s="6">
        <v>1</v>
      </c>
      <c r="C32" s="30">
        <v>0</v>
      </c>
      <c r="M32" s="6" t="s">
        <v>24</v>
      </c>
      <c r="N32" s="6">
        <v>1</v>
      </c>
      <c r="O32" s="30">
        <v>0</v>
      </c>
      <c r="Y32" s="6" t="s">
        <v>45</v>
      </c>
      <c r="Z32" s="6">
        <v>3</v>
      </c>
      <c r="AA32" s="30">
        <v>0</v>
      </c>
    </row>
    <row r="33" spans="1:27">
      <c r="A33" s="6" t="s">
        <v>45</v>
      </c>
      <c r="B33" s="6">
        <v>3</v>
      </c>
      <c r="C33" s="30">
        <v>0</v>
      </c>
      <c r="M33" s="6" t="s">
        <v>40</v>
      </c>
      <c r="N33" s="6">
        <v>1</v>
      </c>
      <c r="O33" s="30">
        <v>0</v>
      </c>
      <c r="Y33" s="6" t="s">
        <v>65</v>
      </c>
      <c r="Z33" s="6">
        <v>1</v>
      </c>
      <c r="AA33" s="30">
        <v>0</v>
      </c>
    </row>
    <row r="34" spans="1:27">
      <c r="A34" s="6" t="s">
        <v>67</v>
      </c>
      <c r="B34" s="6">
        <v>1</v>
      </c>
      <c r="C34" s="30">
        <v>0</v>
      </c>
      <c r="M34" s="6" t="s">
        <v>37</v>
      </c>
      <c r="N34" s="6">
        <v>1</v>
      </c>
      <c r="O34" s="30">
        <v>0</v>
      </c>
      <c r="Y34" s="6" t="s">
        <v>24</v>
      </c>
      <c r="Z34" s="6">
        <v>2</v>
      </c>
      <c r="AA34" s="30">
        <v>0</v>
      </c>
    </row>
    <row r="35" spans="1:27">
      <c r="A35" s="6" t="s">
        <v>24</v>
      </c>
      <c r="B35" s="6">
        <v>3</v>
      </c>
      <c r="C35" s="30">
        <v>0</v>
      </c>
      <c r="M35" s="6" t="s">
        <v>38</v>
      </c>
      <c r="N35" s="6">
        <v>1</v>
      </c>
      <c r="O35" s="30">
        <v>0</v>
      </c>
      <c r="Y35" s="6" t="s">
        <v>121</v>
      </c>
      <c r="Z35" s="6">
        <v>1</v>
      </c>
      <c r="AA35" s="30">
        <v>0</v>
      </c>
    </row>
    <row r="36" spans="1:27">
      <c r="A36" s="6" t="s">
        <v>16</v>
      </c>
      <c r="B36" s="6">
        <v>3</v>
      </c>
      <c r="C36" s="30">
        <v>0</v>
      </c>
      <c r="M36" s="6" t="s">
        <v>58</v>
      </c>
      <c r="N36" s="6">
        <v>1</v>
      </c>
      <c r="O36" s="30">
        <v>0</v>
      </c>
      <c r="Y36" s="6" t="s">
        <v>16</v>
      </c>
      <c r="Z36" s="6">
        <v>1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M37" s="6" t="s">
        <v>39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121</v>
      </c>
      <c r="B38" s="6">
        <v>1</v>
      </c>
      <c r="C38" s="30">
        <v>0</v>
      </c>
      <c r="M38" s="6" t="s">
        <v>66</v>
      </c>
      <c r="N38" s="6">
        <v>1</v>
      </c>
      <c r="O38" s="30">
        <v>0</v>
      </c>
      <c r="Y38" s="6" t="s">
        <v>22</v>
      </c>
      <c r="Z38" s="6">
        <v>3</v>
      </c>
      <c r="AA38" s="30">
        <v>0</v>
      </c>
    </row>
    <row r="39" spans="1:27">
      <c r="A39" s="6" t="s">
        <v>22</v>
      </c>
      <c r="B39" s="6">
        <v>3</v>
      </c>
      <c r="C39" s="30">
        <v>0</v>
      </c>
      <c r="M39" s="6" t="s">
        <v>60</v>
      </c>
      <c r="N39" s="6">
        <v>1</v>
      </c>
      <c r="O39" s="30">
        <v>0</v>
      </c>
      <c r="Y39" s="6" t="s">
        <v>12</v>
      </c>
      <c r="Z39" s="6">
        <v>3</v>
      </c>
      <c r="AA39" s="30">
        <v>0</v>
      </c>
    </row>
    <row r="40" spans="1:27">
      <c r="A40" s="6" t="s">
        <v>38</v>
      </c>
      <c r="B40" s="6">
        <v>4</v>
      </c>
      <c r="C40" s="30">
        <v>0</v>
      </c>
      <c r="M40" s="6" t="s">
        <v>12</v>
      </c>
      <c r="N40" s="6">
        <v>1</v>
      </c>
      <c r="O40" s="30">
        <v>0</v>
      </c>
      <c r="Y40" s="6" t="s">
        <v>38</v>
      </c>
      <c r="Z40" s="6">
        <v>3</v>
      </c>
      <c r="AA40" s="30">
        <v>0</v>
      </c>
    </row>
    <row r="41" spans="1:27">
      <c r="A41" s="6" t="s">
        <v>62</v>
      </c>
      <c r="B41" s="6">
        <v>1</v>
      </c>
      <c r="C41" s="30">
        <v>0</v>
      </c>
      <c r="Y41" s="6" t="s">
        <v>62</v>
      </c>
      <c r="Z41" s="6">
        <v>1</v>
      </c>
      <c r="AA41" s="30">
        <v>0</v>
      </c>
    </row>
    <row r="42" spans="1:27">
      <c r="A42" s="6" t="s">
        <v>27</v>
      </c>
      <c r="B42" s="6">
        <v>4</v>
      </c>
      <c r="C42" s="30">
        <v>0</v>
      </c>
      <c r="Y42" s="6" t="s">
        <v>57</v>
      </c>
      <c r="Z42" s="6">
        <v>2</v>
      </c>
      <c r="AA42" s="30">
        <v>0</v>
      </c>
    </row>
    <row r="43" spans="1:27">
      <c r="A43" s="6" t="s">
        <v>12</v>
      </c>
      <c r="B43" s="6">
        <v>4</v>
      </c>
      <c r="C43" s="30">
        <v>0</v>
      </c>
      <c r="Y43" s="6" t="s">
        <v>15</v>
      </c>
      <c r="Z43" s="6">
        <v>2</v>
      </c>
      <c r="AA43" s="30">
        <v>0</v>
      </c>
    </row>
    <row r="44" spans="1:27">
      <c r="A44" s="6" t="s">
        <v>26</v>
      </c>
      <c r="B44" s="6">
        <v>4</v>
      </c>
      <c r="C44" s="30">
        <v>0</v>
      </c>
      <c r="Y44" s="6" t="s">
        <v>64</v>
      </c>
      <c r="Z44" s="6">
        <v>2</v>
      </c>
      <c r="AA44" s="30">
        <v>0</v>
      </c>
    </row>
    <row r="45" spans="1:27">
      <c r="A45" s="6" t="s">
        <v>39</v>
      </c>
      <c r="B45" s="6">
        <v>4</v>
      </c>
      <c r="C45" s="30">
        <v>0</v>
      </c>
      <c r="Y45" s="6" t="s">
        <v>60</v>
      </c>
      <c r="Z45" s="6">
        <v>1</v>
      </c>
      <c r="AA45" s="30">
        <v>0</v>
      </c>
    </row>
    <row r="46" spans="1:27">
      <c r="A46" s="6" t="s">
        <v>57</v>
      </c>
      <c r="B46" s="6">
        <v>2</v>
      </c>
      <c r="C46" s="30">
        <v>0</v>
      </c>
      <c r="Y46" s="6" t="s">
        <v>32</v>
      </c>
      <c r="Z46" s="6">
        <v>2</v>
      </c>
      <c r="AA46" s="30">
        <v>0</v>
      </c>
    </row>
    <row r="47" spans="1:27">
      <c r="A47" s="6" t="s">
        <v>60</v>
      </c>
      <c r="B47" s="6">
        <v>2</v>
      </c>
      <c r="C47" s="30">
        <v>0</v>
      </c>
      <c r="Y47" s="6" t="s">
        <v>53</v>
      </c>
      <c r="Z47" s="6">
        <v>2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Y48" s="6" t="s">
        <v>39</v>
      </c>
      <c r="Z48" s="6">
        <v>3</v>
      </c>
      <c r="AA48" s="30">
        <v>0</v>
      </c>
    </row>
    <row r="49" spans="1:27">
      <c r="A49" s="6" t="s">
        <v>25</v>
      </c>
      <c r="B49" s="6">
        <v>4</v>
      </c>
      <c r="C49" s="30">
        <v>0</v>
      </c>
      <c r="Y49" s="6" t="s">
        <v>26</v>
      </c>
      <c r="Z49" s="6">
        <v>2</v>
      </c>
      <c r="AA49" s="30">
        <v>0</v>
      </c>
    </row>
    <row r="50" spans="1:27">
      <c r="A50" s="6" t="s">
        <v>58</v>
      </c>
      <c r="B50" s="6">
        <v>2</v>
      </c>
      <c r="C50" s="30">
        <v>0</v>
      </c>
      <c r="Y50" s="6" t="s">
        <v>25</v>
      </c>
      <c r="Z50" s="6">
        <v>2</v>
      </c>
      <c r="AA50" s="30">
        <v>0</v>
      </c>
    </row>
    <row r="51" spans="1:27">
      <c r="A51" s="6" t="s">
        <v>43</v>
      </c>
      <c r="B51" s="6">
        <v>2</v>
      </c>
      <c r="C51" s="30">
        <v>0</v>
      </c>
      <c r="Y51" s="6" t="s">
        <v>58</v>
      </c>
      <c r="Z51" s="6">
        <v>1</v>
      </c>
      <c r="AA51" s="30">
        <v>0</v>
      </c>
    </row>
    <row r="52" spans="1:27">
      <c r="A52" s="6" t="s">
        <v>64</v>
      </c>
      <c r="B52" s="6">
        <v>2</v>
      </c>
      <c r="C52" s="30">
        <v>0</v>
      </c>
      <c r="Y52" s="6" t="s">
        <v>33</v>
      </c>
      <c r="Z52" s="6">
        <v>1</v>
      </c>
      <c r="AA52" s="30">
        <v>0</v>
      </c>
    </row>
    <row r="53" spans="1:27">
      <c r="A53" s="6" t="s">
        <v>32</v>
      </c>
      <c r="B53" s="6">
        <v>2</v>
      </c>
      <c r="C53" s="30">
        <v>0</v>
      </c>
      <c r="Y53" s="6" t="s">
        <v>148</v>
      </c>
      <c r="Z53" s="6">
        <v>1</v>
      </c>
      <c r="AA53" s="30">
        <v>0</v>
      </c>
    </row>
    <row r="54" spans="1:27">
      <c r="A54" s="6" t="s">
        <v>53</v>
      </c>
      <c r="B54" s="6">
        <v>2</v>
      </c>
      <c r="C54" s="30">
        <v>0</v>
      </c>
      <c r="Y54" s="6" t="s">
        <v>42</v>
      </c>
      <c r="Z54" s="6">
        <v>1</v>
      </c>
      <c r="AA54" s="30">
        <v>0</v>
      </c>
    </row>
    <row r="55" spans="1:27">
      <c r="A55" s="6" t="s">
        <v>33</v>
      </c>
      <c r="B55" s="6">
        <v>1</v>
      </c>
      <c r="C55" s="30">
        <v>0</v>
      </c>
    </row>
    <row r="56" spans="1:27">
      <c r="A56" s="6" t="s">
        <v>66</v>
      </c>
      <c r="B56" s="6">
        <v>1</v>
      </c>
      <c r="C56" s="30">
        <v>0</v>
      </c>
    </row>
    <row r="57" spans="1:27">
      <c r="A57" s="6" t="s">
        <v>42</v>
      </c>
      <c r="B57" s="6">
        <v>1</v>
      </c>
      <c r="C57" s="30">
        <v>0</v>
      </c>
    </row>
    <row r="58" spans="1:27">
      <c r="A58" s="6" t="s">
        <v>148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E04A-5EE3-41E3-BADA-290C45CDFAAA}">
  <sheetPr codeName="Sheet20"/>
  <dimension ref="A1:AI61"/>
  <sheetViews>
    <sheetView topLeftCell="W1" workbookViewId="0">
      <selection activeCell="AG16" sqref="AG16:AI1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96089</v>
      </c>
      <c r="E2" s="41" t="s">
        <v>4</v>
      </c>
      <c r="F2" s="23" t="s">
        <v>105</v>
      </c>
      <c r="G2" s="23">
        <f>G3+G4</f>
        <v>86851</v>
      </c>
      <c r="H2" s="22"/>
      <c r="I2" s="41" t="s">
        <v>6</v>
      </c>
      <c r="J2" s="23" t="s">
        <v>105</v>
      </c>
      <c r="K2" s="23">
        <f>K3+K4</f>
        <v>87371</v>
      </c>
      <c r="M2" s="41" t="s">
        <v>104</v>
      </c>
      <c r="N2" s="23" t="s">
        <v>105</v>
      </c>
      <c r="O2" s="23">
        <f>O3+O4</f>
        <v>31426</v>
      </c>
      <c r="Q2" s="41" t="s">
        <v>4</v>
      </c>
      <c r="R2" s="23" t="s">
        <v>105</v>
      </c>
      <c r="S2" s="23">
        <f>S3+S4</f>
        <v>26282</v>
      </c>
      <c r="T2" s="22"/>
      <c r="U2" s="41" t="s">
        <v>6</v>
      </c>
      <c r="V2" s="23" t="s">
        <v>105</v>
      </c>
      <c r="W2" s="23">
        <f>W3+W4</f>
        <v>27365</v>
      </c>
      <c r="Y2" s="41" t="s">
        <v>104</v>
      </c>
      <c r="Z2" s="23" t="s">
        <v>105</v>
      </c>
      <c r="AA2" s="23">
        <f>AA3+AA4</f>
        <v>64659</v>
      </c>
      <c r="AC2" s="41" t="s">
        <v>4</v>
      </c>
      <c r="AD2" s="23" t="s">
        <v>105</v>
      </c>
      <c r="AE2" s="23">
        <f>AE3+AE4</f>
        <v>60570</v>
      </c>
      <c r="AF2" s="22"/>
      <c r="AG2" s="41" t="s">
        <v>6</v>
      </c>
      <c r="AH2" s="23" t="s">
        <v>105</v>
      </c>
      <c r="AI2" s="23">
        <f>AI3+AI4</f>
        <v>60008</v>
      </c>
    </row>
    <row r="3" spans="1:35">
      <c r="A3" s="42"/>
      <c r="B3" s="24" t="s">
        <v>106</v>
      </c>
      <c r="C3" s="24">
        <f>B8</f>
        <v>93951</v>
      </c>
      <c r="E3" s="42"/>
      <c r="F3" s="24" t="s">
        <v>106</v>
      </c>
      <c r="G3" s="24">
        <f>F8</f>
        <v>86582</v>
      </c>
      <c r="H3" s="22"/>
      <c r="I3" s="42"/>
      <c r="J3" s="24" t="s">
        <v>106</v>
      </c>
      <c r="K3" s="24">
        <f>J8</f>
        <v>87271</v>
      </c>
      <c r="M3" s="42"/>
      <c r="N3" s="24" t="s">
        <v>106</v>
      </c>
      <c r="O3" s="24">
        <f>N8</f>
        <v>30842</v>
      </c>
      <c r="Q3" s="42"/>
      <c r="R3" s="24" t="s">
        <v>106</v>
      </c>
      <c r="S3" s="24">
        <f>R8</f>
        <v>26208</v>
      </c>
      <c r="T3" s="22"/>
      <c r="U3" s="42"/>
      <c r="V3" s="24" t="s">
        <v>106</v>
      </c>
      <c r="W3" s="24">
        <f>V8</f>
        <v>27337</v>
      </c>
      <c r="Y3" s="42"/>
      <c r="Z3" s="24" t="s">
        <v>106</v>
      </c>
      <c r="AA3" s="24">
        <f>Z8</f>
        <v>63109</v>
      </c>
      <c r="AC3" s="42"/>
      <c r="AD3" s="24" t="s">
        <v>106</v>
      </c>
      <c r="AE3" s="24">
        <f>AD8</f>
        <v>60374</v>
      </c>
      <c r="AF3" s="22"/>
      <c r="AG3" s="42"/>
      <c r="AH3" s="24" t="s">
        <v>106</v>
      </c>
      <c r="AI3" s="24">
        <f>AH8</f>
        <v>59934</v>
      </c>
    </row>
    <row r="4" spans="1:35">
      <c r="A4" s="42"/>
      <c r="B4" s="25" t="s">
        <v>107</v>
      </c>
      <c r="C4" s="25">
        <f>SUM(B9:B66)</f>
        <v>2138</v>
      </c>
      <c r="E4" s="42"/>
      <c r="F4" s="25" t="s">
        <v>107</v>
      </c>
      <c r="G4" s="25">
        <f>SUM(F9:F33)</f>
        <v>269</v>
      </c>
      <c r="H4" s="22"/>
      <c r="I4" s="42"/>
      <c r="J4" s="25" t="s">
        <v>107</v>
      </c>
      <c r="K4" s="25">
        <f>SUM(J9:J31)</f>
        <v>100</v>
      </c>
      <c r="M4" s="42"/>
      <c r="N4" s="25" t="s">
        <v>107</v>
      </c>
      <c r="O4" s="25">
        <f>SUM(N9:N66)</f>
        <v>584</v>
      </c>
      <c r="Q4" s="42"/>
      <c r="R4" s="25" t="s">
        <v>107</v>
      </c>
      <c r="S4" s="25">
        <f>SUM(R9:R33)</f>
        <v>74</v>
      </c>
      <c r="T4" s="22"/>
      <c r="U4" s="42"/>
      <c r="V4" s="25" t="s">
        <v>107</v>
      </c>
      <c r="W4" s="25">
        <f>SUM(V9:V31)</f>
        <v>28</v>
      </c>
      <c r="Y4" s="42"/>
      <c r="Z4" s="25" t="s">
        <v>107</v>
      </c>
      <c r="AA4" s="25">
        <f>SUM(Z9:Z45)</f>
        <v>1550</v>
      </c>
      <c r="AC4" s="42"/>
      <c r="AD4" s="25" t="s">
        <v>107</v>
      </c>
      <c r="AE4" s="25">
        <f>SUM(AD9:AD29)</f>
        <v>196</v>
      </c>
      <c r="AF4" s="22"/>
      <c r="AG4" s="42"/>
      <c r="AH4" s="25" t="s">
        <v>107</v>
      </c>
      <c r="AI4" s="25">
        <f>SUM(AH9:AH29)</f>
        <v>74</v>
      </c>
    </row>
    <row r="5" spans="1:35">
      <c r="A5" s="43"/>
      <c r="B5" s="23" t="s">
        <v>108</v>
      </c>
      <c r="C5" s="26">
        <f>SUM(C9:C179)</f>
        <v>2.2399999999999979E-2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1.2000000000000001E-3</v>
      </c>
      <c r="M5" s="43"/>
      <c r="N5" s="23" t="s">
        <v>108</v>
      </c>
      <c r="O5" s="26">
        <f>SUM(O9:O179)</f>
        <v>1.8699999999999987E-2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8.9999999999999998E-4</v>
      </c>
      <c r="Y5" s="43"/>
      <c r="Z5" s="23" t="s">
        <v>108</v>
      </c>
      <c r="AA5" s="26">
        <f>SUM(AA9:AA158)</f>
        <v>2.3899999999999991E-2</v>
      </c>
      <c r="AC5" s="43"/>
      <c r="AD5" s="23" t="s">
        <v>108</v>
      </c>
      <c r="AE5" s="26">
        <f>SUM(AE9:AE29)</f>
        <v>3.1999999999999997E-3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93951</v>
      </c>
      <c r="C8" s="9">
        <v>0.97770000000000001</v>
      </c>
      <c r="E8" s="6" t="s">
        <v>112</v>
      </c>
      <c r="F8" s="29">
        <v>86582</v>
      </c>
      <c r="G8" s="9">
        <v>0.99690000000000001</v>
      </c>
      <c r="I8" s="6" t="s">
        <v>112</v>
      </c>
      <c r="J8" s="29">
        <v>87271</v>
      </c>
      <c r="K8" s="9">
        <v>0.99890000000000001</v>
      </c>
      <c r="M8" s="6" t="s">
        <v>112</v>
      </c>
      <c r="N8" s="29">
        <v>30842</v>
      </c>
      <c r="O8" s="9">
        <v>0.98140000000000005</v>
      </c>
      <c r="Q8" s="6" t="s">
        <v>112</v>
      </c>
      <c r="R8" s="29">
        <v>26208</v>
      </c>
      <c r="S8" s="9">
        <v>0.99719999999999998</v>
      </c>
      <c r="U8" s="6" t="s">
        <v>112</v>
      </c>
      <c r="V8" s="29">
        <v>27337</v>
      </c>
      <c r="W8" s="9">
        <v>0.999</v>
      </c>
      <c r="Y8" s="6" t="s">
        <v>112</v>
      </c>
      <c r="Z8" s="29">
        <v>63109</v>
      </c>
      <c r="AA8" s="9">
        <v>0.97599999999999998</v>
      </c>
      <c r="AC8" s="6" t="s">
        <v>112</v>
      </c>
      <c r="AD8" s="29">
        <v>60374</v>
      </c>
      <c r="AE8" s="9">
        <v>0.99680000000000002</v>
      </c>
      <c r="AG8" s="6" t="s">
        <v>112</v>
      </c>
      <c r="AH8" s="29">
        <v>59934</v>
      </c>
      <c r="AI8" s="9">
        <v>0.99880000000000002</v>
      </c>
    </row>
    <row r="9" spans="1:35">
      <c r="A9" s="6" t="s">
        <v>2</v>
      </c>
      <c r="B9" s="6">
        <v>458</v>
      </c>
      <c r="C9" s="9">
        <v>4.7999999999999996E-3</v>
      </c>
      <c r="E9" s="6" t="s">
        <v>122</v>
      </c>
      <c r="F9" s="6">
        <v>170</v>
      </c>
      <c r="G9" s="9">
        <v>2E-3</v>
      </c>
      <c r="I9" s="6" t="s">
        <v>2</v>
      </c>
      <c r="J9" s="6">
        <v>41</v>
      </c>
      <c r="K9" s="9">
        <v>5.0000000000000001E-4</v>
      </c>
      <c r="M9" s="6" t="s">
        <v>121</v>
      </c>
      <c r="N9" s="6">
        <v>223</v>
      </c>
      <c r="O9" s="9">
        <v>7.1000000000000004E-3</v>
      </c>
      <c r="Q9" s="6" t="s">
        <v>122</v>
      </c>
      <c r="R9" s="6">
        <v>62</v>
      </c>
      <c r="S9" s="9">
        <v>2.3999999999999998E-3</v>
      </c>
      <c r="U9" s="6" t="s">
        <v>99</v>
      </c>
      <c r="V9" s="6">
        <v>8</v>
      </c>
      <c r="W9" s="9">
        <v>2.9999999999999997E-4</v>
      </c>
      <c r="Y9" s="6" t="s">
        <v>2</v>
      </c>
      <c r="Z9" s="6">
        <v>361</v>
      </c>
      <c r="AA9" s="9">
        <v>5.5999999999999999E-3</v>
      </c>
      <c r="AC9" s="6" t="s">
        <v>122</v>
      </c>
      <c r="AD9" s="6">
        <v>108</v>
      </c>
      <c r="AE9" s="9">
        <v>1.8E-3</v>
      </c>
      <c r="AG9" s="6" t="s">
        <v>2</v>
      </c>
      <c r="AH9" s="6">
        <v>32</v>
      </c>
      <c r="AI9" s="9">
        <v>5.0000000000000001E-4</v>
      </c>
    </row>
    <row r="10" spans="1:35">
      <c r="A10" s="6" t="s">
        <v>121</v>
      </c>
      <c r="B10" s="6">
        <v>437</v>
      </c>
      <c r="C10" s="9">
        <v>4.4999999999999997E-3</v>
      </c>
      <c r="E10" s="6" t="s">
        <v>83</v>
      </c>
      <c r="F10" s="6">
        <v>25</v>
      </c>
      <c r="G10" s="9">
        <v>2.9999999999999997E-4</v>
      </c>
      <c r="I10" s="6" t="s">
        <v>98</v>
      </c>
      <c r="J10" s="6">
        <v>23</v>
      </c>
      <c r="K10" s="9">
        <v>2.9999999999999997E-4</v>
      </c>
      <c r="M10" s="6" t="s">
        <v>2</v>
      </c>
      <c r="N10" s="6">
        <v>97</v>
      </c>
      <c r="O10" s="9">
        <v>3.0999999999999999E-3</v>
      </c>
      <c r="Q10" s="6" t="s">
        <v>76</v>
      </c>
      <c r="R10" s="6">
        <v>4</v>
      </c>
      <c r="S10" s="9">
        <v>2.0000000000000001E-4</v>
      </c>
      <c r="U10" s="6" t="s">
        <v>2</v>
      </c>
      <c r="V10" s="6">
        <v>9</v>
      </c>
      <c r="W10" s="9">
        <v>2.9999999999999997E-4</v>
      </c>
      <c r="Y10" s="6" t="s">
        <v>9</v>
      </c>
      <c r="Z10" s="6">
        <v>324</v>
      </c>
      <c r="AA10" s="9">
        <v>5.0000000000000001E-3</v>
      </c>
      <c r="AC10" s="6" t="s">
        <v>83</v>
      </c>
      <c r="AD10" s="6">
        <v>25</v>
      </c>
      <c r="AE10" s="9">
        <v>4.0000000000000002E-4</v>
      </c>
      <c r="AG10" s="6" t="s">
        <v>98</v>
      </c>
      <c r="AH10" s="6">
        <v>18</v>
      </c>
      <c r="AI10" s="9">
        <v>2.9999999999999997E-4</v>
      </c>
    </row>
    <row r="11" spans="1:35">
      <c r="A11" s="6" t="s">
        <v>9</v>
      </c>
      <c r="B11" s="6">
        <v>335</v>
      </c>
      <c r="C11" s="9">
        <v>3.5000000000000001E-3</v>
      </c>
      <c r="E11" s="6" t="s">
        <v>76</v>
      </c>
      <c r="F11" s="6">
        <v>9</v>
      </c>
      <c r="G11" s="9">
        <v>1E-4</v>
      </c>
      <c r="I11" s="6" t="s">
        <v>99</v>
      </c>
      <c r="J11" s="6">
        <v>21</v>
      </c>
      <c r="K11" s="9">
        <v>2.0000000000000001E-4</v>
      </c>
      <c r="M11" s="6" t="s">
        <v>3</v>
      </c>
      <c r="N11" s="6">
        <v>76</v>
      </c>
      <c r="O11" s="9">
        <v>2.3999999999999998E-3</v>
      </c>
      <c r="Q11" s="6" t="s">
        <v>92</v>
      </c>
      <c r="R11" s="6">
        <v>3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121</v>
      </c>
      <c r="Z11" s="6">
        <v>214</v>
      </c>
      <c r="AA11" s="9">
        <v>3.3E-3</v>
      </c>
      <c r="AC11" s="6" t="s">
        <v>79</v>
      </c>
      <c r="AD11" s="6">
        <v>13</v>
      </c>
      <c r="AE11" s="9">
        <v>2.0000000000000001E-4</v>
      </c>
      <c r="AG11" s="6" t="s">
        <v>99</v>
      </c>
      <c r="AH11" s="6">
        <v>13</v>
      </c>
      <c r="AI11" s="9">
        <v>2.0000000000000001E-4</v>
      </c>
    </row>
    <row r="12" spans="1:35">
      <c r="A12" s="6" t="s">
        <v>3</v>
      </c>
      <c r="B12" s="6">
        <v>234</v>
      </c>
      <c r="C12" s="9">
        <v>2.3999999999999998E-3</v>
      </c>
      <c r="E12" s="6" t="s">
        <v>77</v>
      </c>
      <c r="F12" s="6">
        <v>11</v>
      </c>
      <c r="G12" s="9">
        <v>1E-4</v>
      </c>
      <c r="I12" s="6" t="s">
        <v>102</v>
      </c>
      <c r="J12" s="6">
        <v>6</v>
      </c>
      <c r="K12" s="9">
        <v>1E-4</v>
      </c>
      <c r="M12" s="6" t="s">
        <v>7</v>
      </c>
      <c r="N12" s="6">
        <v>30</v>
      </c>
      <c r="O12" s="9">
        <v>1E-3</v>
      </c>
      <c r="Q12" s="6" t="s">
        <v>86</v>
      </c>
      <c r="R12" s="6">
        <v>2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158</v>
      </c>
      <c r="AA12" s="9">
        <v>2.3999999999999998E-3</v>
      </c>
      <c r="AC12" s="6" t="s">
        <v>77</v>
      </c>
      <c r="AD12" s="6">
        <v>11</v>
      </c>
      <c r="AE12" s="9">
        <v>2.0000000000000001E-4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138</v>
      </c>
      <c r="C13" s="9">
        <v>1.4E-3</v>
      </c>
      <c r="E13" s="6" t="s">
        <v>79</v>
      </c>
      <c r="F13" s="6">
        <v>13</v>
      </c>
      <c r="G13" s="9">
        <v>1E-4</v>
      </c>
      <c r="I13" s="6" t="s">
        <v>113</v>
      </c>
      <c r="J13" s="6">
        <v>6</v>
      </c>
      <c r="K13" s="9">
        <v>1E-4</v>
      </c>
      <c r="M13" s="6" t="s">
        <v>46</v>
      </c>
      <c r="N13" s="6">
        <v>19</v>
      </c>
      <c r="O13" s="9">
        <v>5.9999999999999995E-4</v>
      </c>
      <c r="Q13" s="6" t="s">
        <v>74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8</v>
      </c>
      <c r="Z13" s="6">
        <v>134</v>
      </c>
      <c r="AA13" s="9">
        <v>2.0999999999999999E-3</v>
      </c>
      <c r="AC13" s="6" t="s">
        <v>86</v>
      </c>
      <c r="AD13" s="6">
        <v>11</v>
      </c>
      <c r="AE13" s="9">
        <v>2.0000000000000001E-4</v>
      </c>
      <c r="AG13" s="6" t="s">
        <v>113</v>
      </c>
      <c r="AH13" s="6">
        <v>5</v>
      </c>
      <c r="AI13" s="9">
        <v>1E-4</v>
      </c>
    </row>
    <row r="14" spans="1:35">
      <c r="A14" s="6" t="s">
        <v>5</v>
      </c>
      <c r="B14" s="6">
        <v>68</v>
      </c>
      <c r="C14" s="9">
        <v>6.9999999999999999E-4</v>
      </c>
      <c r="E14" s="6" t="s">
        <v>86</v>
      </c>
      <c r="F14" s="6">
        <v>13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14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5</v>
      </c>
      <c r="Z14" s="6">
        <v>63</v>
      </c>
      <c r="AA14" s="9">
        <v>1E-3</v>
      </c>
      <c r="AC14" s="6" t="s">
        <v>76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64</v>
      </c>
      <c r="C15" s="9">
        <v>6.9999999999999999E-4</v>
      </c>
      <c r="E15" s="6" t="s">
        <v>75</v>
      </c>
      <c r="F15" s="6">
        <v>9</v>
      </c>
      <c r="G15" s="9">
        <v>1E-4</v>
      </c>
      <c r="I15" s="6" t="s">
        <v>123</v>
      </c>
      <c r="J15" s="6">
        <v>1</v>
      </c>
      <c r="K15" s="30">
        <v>0</v>
      </c>
      <c r="M15" s="6" t="s">
        <v>9</v>
      </c>
      <c r="N15" s="6">
        <v>11</v>
      </c>
      <c r="O15" s="9">
        <v>4.0000000000000002E-4</v>
      </c>
      <c r="U15" s="6" t="s">
        <v>113</v>
      </c>
      <c r="V15" s="6">
        <v>1</v>
      </c>
      <c r="W15" s="30">
        <v>0</v>
      </c>
      <c r="Y15" s="6" t="s">
        <v>11</v>
      </c>
      <c r="Z15" s="6">
        <v>50</v>
      </c>
      <c r="AA15" s="9">
        <v>8.0000000000000004E-4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63</v>
      </c>
      <c r="C16" s="9">
        <v>6.9999999999999999E-4</v>
      </c>
      <c r="E16" s="6" t="s">
        <v>74</v>
      </c>
      <c r="F16" s="6">
        <v>6</v>
      </c>
      <c r="G16" s="9">
        <v>1E-4</v>
      </c>
      <c r="I16" s="6" t="s">
        <v>103</v>
      </c>
      <c r="J16" s="6">
        <v>1</v>
      </c>
      <c r="K16" s="30">
        <v>0</v>
      </c>
      <c r="M16" s="6" t="s">
        <v>10</v>
      </c>
      <c r="N16" s="6">
        <v>8</v>
      </c>
      <c r="O16" s="9">
        <v>2.9999999999999997E-4</v>
      </c>
      <c r="Y16" s="6" t="s">
        <v>41</v>
      </c>
      <c r="Z16" s="6">
        <v>33</v>
      </c>
      <c r="AA16" s="9">
        <v>5.0000000000000001E-4</v>
      </c>
      <c r="AC16" s="6" t="s">
        <v>78</v>
      </c>
      <c r="AD16" s="6">
        <v>4</v>
      </c>
      <c r="AE16" s="9">
        <v>1E-4</v>
      </c>
    </row>
    <row r="17" spans="1:31">
      <c r="A17" s="6" t="s">
        <v>41</v>
      </c>
      <c r="B17" s="6">
        <v>42</v>
      </c>
      <c r="C17" s="9">
        <v>4.0000000000000002E-4</v>
      </c>
      <c r="E17" s="6" t="s">
        <v>80</v>
      </c>
      <c r="F17" s="6">
        <v>1</v>
      </c>
      <c r="G17" s="30">
        <v>0</v>
      </c>
      <c r="M17" s="6" t="s">
        <v>41</v>
      </c>
      <c r="N17" s="6">
        <v>9</v>
      </c>
      <c r="O17" s="9">
        <v>2.9999999999999997E-4</v>
      </c>
      <c r="Y17" s="6" t="s">
        <v>7</v>
      </c>
      <c r="Z17" s="6">
        <v>33</v>
      </c>
      <c r="AA17" s="9">
        <v>5.0000000000000001E-4</v>
      </c>
      <c r="AC17" s="6" t="s">
        <v>74</v>
      </c>
      <c r="AD17" s="6">
        <v>4</v>
      </c>
      <c r="AE17" s="9">
        <v>1E-4</v>
      </c>
    </row>
    <row r="18" spans="1:31">
      <c r="A18" s="6" t="s">
        <v>17</v>
      </c>
      <c r="B18" s="6">
        <v>25</v>
      </c>
      <c r="C18" s="9">
        <v>2.9999999999999997E-4</v>
      </c>
      <c r="E18" s="6" t="s">
        <v>92</v>
      </c>
      <c r="F18" s="6">
        <v>3</v>
      </c>
      <c r="G18" s="30">
        <v>0</v>
      </c>
      <c r="M18" s="6" t="s">
        <v>43</v>
      </c>
      <c r="N18" s="6">
        <v>8</v>
      </c>
      <c r="O18" s="9">
        <v>2.9999999999999997E-4</v>
      </c>
      <c r="Y18" s="6" t="s">
        <v>17</v>
      </c>
      <c r="Z18" s="6">
        <v>23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46</v>
      </c>
      <c r="B19" s="6">
        <v>19</v>
      </c>
      <c r="C19" s="9">
        <v>2.0000000000000001E-4</v>
      </c>
      <c r="E19" s="6" t="s">
        <v>81</v>
      </c>
      <c r="F19" s="6">
        <v>1</v>
      </c>
      <c r="G19" s="30">
        <v>0</v>
      </c>
      <c r="M19" s="6" t="s">
        <v>49</v>
      </c>
      <c r="N19" s="6">
        <v>8</v>
      </c>
      <c r="O19" s="9">
        <v>2.9999999999999997E-4</v>
      </c>
      <c r="Y19" s="6" t="s">
        <v>31</v>
      </c>
      <c r="Z19" s="6">
        <v>17</v>
      </c>
      <c r="AA19" s="9">
        <v>2.9999999999999997E-4</v>
      </c>
      <c r="AC19" s="6" t="s">
        <v>81</v>
      </c>
      <c r="AD19" s="6">
        <v>1</v>
      </c>
      <c r="AE19" s="30">
        <v>0</v>
      </c>
    </row>
    <row r="20" spans="1:31">
      <c r="A20" s="6" t="s">
        <v>37</v>
      </c>
      <c r="B20" s="6">
        <v>18</v>
      </c>
      <c r="C20" s="9">
        <v>2.0000000000000001E-4</v>
      </c>
      <c r="E20" s="6" t="s">
        <v>78</v>
      </c>
      <c r="F20" s="6">
        <v>4</v>
      </c>
      <c r="G20" s="30">
        <v>0</v>
      </c>
      <c r="M20" s="6" t="s">
        <v>5</v>
      </c>
      <c r="N20" s="6">
        <v>5</v>
      </c>
      <c r="O20" s="9">
        <v>2.0000000000000001E-4</v>
      </c>
      <c r="Y20" s="6" t="s">
        <v>37</v>
      </c>
      <c r="Z20" s="6">
        <v>13</v>
      </c>
      <c r="AA20" s="9">
        <v>2.0000000000000001E-4</v>
      </c>
      <c r="AC20" s="6" t="s">
        <v>84</v>
      </c>
      <c r="AD20" s="6">
        <v>2</v>
      </c>
      <c r="AE20" s="30">
        <v>0</v>
      </c>
    </row>
    <row r="21" spans="1:31">
      <c r="A21" s="6" t="s">
        <v>31</v>
      </c>
      <c r="B21" s="6">
        <v>22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21</v>
      </c>
      <c r="N21" s="6">
        <v>5</v>
      </c>
      <c r="O21" s="9">
        <v>2.0000000000000001E-4</v>
      </c>
      <c r="Y21" s="6" t="s">
        <v>14</v>
      </c>
      <c r="Z21" s="6">
        <v>16</v>
      </c>
      <c r="AA21" s="9">
        <v>2.0000000000000001E-4</v>
      </c>
      <c r="AC21" s="6" t="s">
        <v>82</v>
      </c>
      <c r="AD21" s="6">
        <v>1</v>
      </c>
      <c r="AE21" s="30">
        <v>0</v>
      </c>
    </row>
    <row r="22" spans="1:31">
      <c r="A22" s="6" t="s">
        <v>10</v>
      </c>
      <c r="B22" s="6">
        <v>16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38</v>
      </c>
      <c r="N22" s="6">
        <v>7</v>
      </c>
      <c r="O22" s="9">
        <v>2.0000000000000001E-4</v>
      </c>
      <c r="Y22" s="6" t="s">
        <v>18</v>
      </c>
      <c r="Z22" s="6">
        <v>11</v>
      </c>
      <c r="AA22" s="9">
        <v>2.0000000000000001E-4</v>
      </c>
      <c r="AC22" s="6" t="s">
        <v>127</v>
      </c>
      <c r="AD22" s="6">
        <v>1</v>
      </c>
      <c r="AE22" s="30">
        <v>0</v>
      </c>
    </row>
    <row r="23" spans="1:31">
      <c r="A23" s="6" t="s">
        <v>14</v>
      </c>
      <c r="B23" s="6">
        <v>17</v>
      </c>
      <c r="C23" s="9">
        <v>2.0000000000000001E-4</v>
      </c>
      <c r="E23" s="6" t="s">
        <v>127</v>
      </c>
      <c r="F23" s="6">
        <v>1</v>
      </c>
      <c r="G23" s="30">
        <v>0</v>
      </c>
      <c r="M23" s="6" t="s">
        <v>22</v>
      </c>
      <c r="N23" s="6">
        <v>6</v>
      </c>
      <c r="O23" s="9">
        <v>2.0000000000000001E-4</v>
      </c>
      <c r="Y23" s="6" t="s">
        <v>19</v>
      </c>
      <c r="Z23" s="6">
        <v>9</v>
      </c>
      <c r="AA23" s="9">
        <v>1E-4</v>
      </c>
    </row>
    <row r="24" spans="1:31">
      <c r="A24" s="6" t="s">
        <v>18</v>
      </c>
      <c r="B24" s="6">
        <v>15</v>
      </c>
      <c r="C24" s="9">
        <v>2.0000000000000001E-4</v>
      </c>
      <c r="M24" s="6" t="s">
        <v>37</v>
      </c>
      <c r="N24" s="6">
        <v>5</v>
      </c>
      <c r="O24" s="9">
        <v>2.0000000000000001E-4</v>
      </c>
      <c r="Y24" s="6" t="s">
        <v>21</v>
      </c>
      <c r="Z24" s="6">
        <v>6</v>
      </c>
      <c r="AA24" s="9">
        <v>1E-4</v>
      </c>
    </row>
    <row r="25" spans="1:31">
      <c r="A25" s="6" t="s">
        <v>19</v>
      </c>
      <c r="B25" s="6">
        <v>10</v>
      </c>
      <c r="C25" s="9">
        <v>1E-4</v>
      </c>
      <c r="M25" s="6" t="s">
        <v>30</v>
      </c>
      <c r="N25" s="6">
        <v>5</v>
      </c>
      <c r="O25" s="9">
        <v>2.0000000000000001E-4</v>
      </c>
      <c r="Y25" s="6" t="s">
        <v>34</v>
      </c>
      <c r="Z25" s="6">
        <v>5</v>
      </c>
      <c r="AA25" s="9">
        <v>1E-4</v>
      </c>
    </row>
    <row r="26" spans="1:31">
      <c r="A26" s="6" t="s">
        <v>21</v>
      </c>
      <c r="B26" s="6">
        <v>11</v>
      </c>
      <c r="C26" s="9">
        <v>1E-4</v>
      </c>
      <c r="M26" s="6" t="s">
        <v>31</v>
      </c>
      <c r="N26" s="6">
        <v>5</v>
      </c>
      <c r="O26" s="9">
        <v>2.0000000000000001E-4</v>
      </c>
      <c r="Y26" s="6" t="s">
        <v>45</v>
      </c>
      <c r="Z26" s="6">
        <v>5</v>
      </c>
      <c r="AA26" s="9">
        <v>1E-4</v>
      </c>
    </row>
    <row r="27" spans="1:31">
      <c r="A27" s="6" t="s">
        <v>34</v>
      </c>
      <c r="B27" s="6">
        <v>5</v>
      </c>
      <c r="C27" s="9">
        <v>1E-4</v>
      </c>
      <c r="M27" s="6" t="s">
        <v>20</v>
      </c>
      <c r="N27" s="6">
        <v>2</v>
      </c>
      <c r="O27" s="9">
        <v>1E-4</v>
      </c>
      <c r="Y27" s="6" t="s">
        <v>16</v>
      </c>
      <c r="Z27" s="6">
        <v>5</v>
      </c>
      <c r="AA27" s="9">
        <v>1E-4</v>
      </c>
    </row>
    <row r="28" spans="1:31">
      <c r="A28" s="6" t="s">
        <v>45</v>
      </c>
      <c r="B28" s="6">
        <v>5</v>
      </c>
      <c r="C28" s="9">
        <v>1E-4</v>
      </c>
      <c r="M28" s="6" t="s">
        <v>12</v>
      </c>
      <c r="N28" s="6">
        <v>3</v>
      </c>
      <c r="O28" s="9">
        <v>1E-4</v>
      </c>
      <c r="Y28" s="6" t="s">
        <v>36</v>
      </c>
      <c r="Z28" s="6">
        <v>5</v>
      </c>
      <c r="AA28" s="9">
        <v>1E-4</v>
      </c>
    </row>
    <row r="29" spans="1:31">
      <c r="A29" s="6" t="s">
        <v>36</v>
      </c>
      <c r="B29" s="6">
        <v>5</v>
      </c>
      <c r="C29" s="9">
        <v>1E-4</v>
      </c>
      <c r="M29" s="6" t="s">
        <v>24</v>
      </c>
      <c r="N29" s="6">
        <v>4</v>
      </c>
      <c r="O29" s="9">
        <v>1E-4</v>
      </c>
      <c r="Y29" s="6" t="s">
        <v>10</v>
      </c>
      <c r="Z29" s="6">
        <v>8</v>
      </c>
      <c r="AA29" s="9">
        <v>1E-4</v>
      </c>
    </row>
    <row r="30" spans="1:31">
      <c r="A30" s="6" t="s">
        <v>22</v>
      </c>
      <c r="B30" s="6">
        <v>9</v>
      </c>
      <c r="C30" s="9">
        <v>1E-4</v>
      </c>
      <c r="M30" s="6" t="s">
        <v>58</v>
      </c>
      <c r="N30" s="6">
        <v>3</v>
      </c>
      <c r="O30" s="9">
        <v>1E-4</v>
      </c>
      <c r="Y30" s="6" t="s">
        <v>30</v>
      </c>
      <c r="Z30" s="6">
        <v>7</v>
      </c>
      <c r="AA30" s="9">
        <v>1E-4</v>
      </c>
    </row>
    <row r="31" spans="1:31">
      <c r="A31" s="6" t="s">
        <v>30</v>
      </c>
      <c r="B31" s="6">
        <v>12</v>
      </c>
      <c r="C31" s="9">
        <v>1E-4</v>
      </c>
      <c r="M31" s="6" t="s">
        <v>18</v>
      </c>
      <c r="N31" s="6">
        <v>4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17</v>
      </c>
      <c r="N32" s="6">
        <v>2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12</v>
      </c>
      <c r="B33" s="6">
        <v>8</v>
      </c>
      <c r="C33" s="9">
        <v>1E-4</v>
      </c>
      <c r="M33" s="6" t="s">
        <v>8</v>
      </c>
      <c r="N33" s="6">
        <v>4</v>
      </c>
      <c r="O33" s="9">
        <v>1E-4</v>
      </c>
      <c r="Y33" s="6" t="s">
        <v>40</v>
      </c>
      <c r="Z33" s="6">
        <v>4</v>
      </c>
      <c r="AA33" s="9">
        <v>1E-4</v>
      </c>
    </row>
    <row r="34" spans="1:27">
      <c r="A34" s="6" t="s">
        <v>24</v>
      </c>
      <c r="B34" s="6">
        <v>6</v>
      </c>
      <c r="C34" s="9">
        <v>1E-4</v>
      </c>
      <c r="M34" s="6" t="s">
        <v>40</v>
      </c>
      <c r="N34" s="6">
        <v>2</v>
      </c>
      <c r="O34" s="9">
        <v>1E-4</v>
      </c>
      <c r="Y34" s="6" t="s">
        <v>58</v>
      </c>
      <c r="Z34" s="6">
        <v>5</v>
      </c>
      <c r="AA34" s="9">
        <v>1E-4</v>
      </c>
    </row>
    <row r="35" spans="1:27">
      <c r="A35" s="6" t="s">
        <v>58</v>
      </c>
      <c r="B35" s="6">
        <v>8</v>
      </c>
      <c r="C35" s="9">
        <v>1E-4</v>
      </c>
      <c r="M35" s="6" t="s">
        <v>29</v>
      </c>
      <c r="N35" s="6">
        <v>3</v>
      </c>
      <c r="O35" s="9">
        <v>1E-4</v>
      </c>
      <c r="Y35" s="6" t="s">
        <v>12</v>
      </c>
      <c r="Z35" s="6">
        <v>5</v>
      </c>
      <c r="AA35" s="9">
        <v>1E-4</v>
      </c>
    </row>
    <row r="36" spans="1:27">
      <c r="A36" s="6" t="s">
        <v>29</v>
      </c>
      <c r="B36" s="6">
        <v>10</v>
      </c>
      <c r="C36" s="9">
        <v>1E-4</v>
      </c>
      <c r="M36" s="6" t="s">
        <v>26</v>
      </c>
      <c r="N36" s="6">
        <v>2</v>
      </c>
      <c r="O36" s="9">
        <v>1E-4</v>
      </c>
      <c r="Y36" s="6" t="s">
        <v>39</v>
      </c>
      <c r="Z36" s="6">
        <v>4</v>
      </c>
      <c r="AA36" s="9">
        <v>1E-4</v>
      </c>
    </row>
    <row r="37" spans="1:27">
      <c r="A37" s="6" t="s">
        <v>40</v>
      </c>
      <c r="B37" s="6">
        <v>6</v>
      </c>
      <c r="C37" s="9">
        <v>1E-4</v>
      </c>
      <c r="M37" s="6" t="s">
        <v>156</v>
      </c>
      <c r="N37" s="6">
        <v>2</v>
      </c>
      <c r="O37" s="9">
        <v>1E-4</v>
      </c>
      <c r="Y37" s="6" t="s">
        <v>20</v>
      </c>
      <c r="Z37" s="6">
        <v>2</v>
      </c>
      <c r="AA37" s="30">
        <v>0</v>
      </c>
    </row>
    <row r="38" spans="1:27">
      <c r="A38" s="6" t="s">
        <v>26</v>
      </c>
      <c r="B38" s="6">
        <v>9</v>
      </c>
      <c r="C38" s="9">
        <v>1E-4</v>
      </c>
      <c r="M38" s="6" t="s">
        <v>19</v>
      </c>
      <c r="N38" s="6">
        <v>1</v>
      </c>
      <c r="O38" s="30">
        <v>0</v>
      </c>
      <c r="Y38" s="6" t="s">
        <v>24</v>
      </c>
      <c r="Z38" s="6">
        <v>2</v>
      </c>
      <c r="AA38" s="30">
        <v>0</v>
      </c>
    </row>
    <row r="39" spans="1:27">
      <c r="A39" s="6" t="s">
        <v>43</v>
      </c>
      <c r="B39" s="6">
        <v>8</v>
      </c>
      <c r="C39" s="9">
        <v>1E-4</v>
      </c>
      <c r="M39" s="6" t="s">
        <v>65</v>
      </c>
      <c r="N39" s="6">
        <v>1</v>
      </c>
      <c r="O39" s="30">
        <v>0</v>
      </c>
      <c r="Y39" s="6" t="s">
        <v>22</v>
      </c>
      <c r="Z39" s="6">
        <v>3</v>
      </c>
      <c r="AA39" s="30">
        <v>0</v>
      </c>
    </row>
    <row r="40" spans="1:27">
      <c r="A40" s="6" t="s">
        <v>38</v>
      </c>
      <c r="B40" s="6">
        <v>7</v>
      </c>
      <c r="C40" s="9">
        <v>1E-4</v>
      </c>
      <c r="M40" s="6" t="s">
        <v>67</v>
      </c>
      <c r="N40" s="6">
        <v>1</v>
      </c>
      <c r="O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49</v>
      </c>
      <c r="B41" s="6">
        <v>8</v>
      </c>
      <c r="C41" s="9">
        <v>1E-4</v>
      </c>
      <c r="M41" s="6" t="s">
        <v>16</v>
      </c>
      <c r="N41" s="6">
        <v>1</v>
      </c>
      <c r="O41" s="30">
        <v>0</v>
      </c>
      <c r="Y41" s="6" t="s">
        <v>48</v>
      </c>
      <c r="Z41" s="6">
        <v>2</v>
      </c>
      <c r="AA41" s="30">
        <v>0</v>
      </c>
    </row>
    <row r="42" spans="1:27">
      <c r="A42" s="6" t="s">
        <v>39</v>
      </c>
      <c r="B42" s="6">
        <v>5</v>
      </c>
      <c r="C42" s="9">
        <v>1E-4</v>
      </c>
      <c r="M42" s="6" t="s">
        <v>47</v>
      </c>
      <c r="N42" s="6">
        <v>1</v>
      </c>
      <c r="O42" s="30">
        <v>0</v>
      </c>
      <c r="Y42" s="6" t="s">
        <v>15</v>
      </c>
      <c r="Z42" s="6">
        <v>2</v>
      </c>
      <c r="AA42" s="30">
        <v>0</v>
      </c>
    </row>
    <row r="43" spans="1:27">
      <c r="A43" s="6" t="s">
        <v>65</v>
      </c>
      <c r="B43" s="6">
        <v>1</v>
      </c>
      <c r="C43" s="30">
        <v>0</v>
      </c>
      <c r="M43" s="6" t="s">
        <v>124</v>
      </c>
      <c r="N43" s="6">
        <v>1</v>
      </c>
      <c r="O43" s="30">
        <v>0</v>
      </c>
      <c r="Y43" s="6" t="s">
        <v>33</v>
      </c>
      <c r="Z43" s="6">
        <v>3</v>
      </c>
      <c r="AA43" s="30">
        <v>0</v>
      </c>
    </row>
    <row r="44" spans="1:27">
      <c r="A44" s="6" t="s">
        <v>20</v>
      </c>
      <c r="B44" s="6">
        <v>4</v>
      </c>
      <c r="C44" s="30">
        <v>0</v>
      </c>
      <c r="M44" s="6" t="s">
        <v>23</v>
      </c>
      <c r="N44" s="6">
        <v>1</v>
      </c>
      <c r="O44" s="30">
        <v>0</v>
      </c>
      <c r="Y44" s="6" t="s">
        <v>60</v>
      </c>
      <c r="Z44" s="6">
        <v>2</v>
      </c>
      <c r="AA44" s="30">
        <v>0</v>
      </c>
    </row>
    <row r="45" spans="1:27">
      <c r="A45" s="6" t="s">
        <v>67</v>
      </c>
      <c r="B45" s="6">
        <v>1</v>
      </c>
      <c r="C45" s="30">
        <v>0</v>
      </c>
      <c r="M45" s="6" t="s">
        <v>150</v>
      </c>
      <c r="N45" s="6">
        <v>1</v>
      </c>
      <c r="O45" s="30">
        <v>0</v>
      </c>
      <c r="Y45" s="6" t="s">
        <v>69</v>
      </c>
      <c r="Z45" s="6">
        <v>1</v>
      </c>
      <c r="AA45" s="30">
        <v>0</v>
      </c>
    </row>
    <row r="46" spans="1:27">
      <c r="A46" s="6" t="s">
        <v>51</v>
      </c>
      <c r="B46" s="6">
        <v>1</v>
      </c>
      <c r="C46" s="30">
        <v>0</v>
      </c>
      <c r="M46" s="6" t="s">
        <v>14</v>
      </c>
      <c r="N46" s="6">
        <v>1</v>
      </c>
      <c r="O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48</v>
      </c>
      <c r="B47" s="6">
        <v>2</v>
      </c>
      <c r="C47" s="30">
        <v>0</v>
      </c>
      <c r="M47" s="6" t="s">
        <v>33</v>
      </c>
      <c r="N47" s="6">
        <v>1</v>
      </c>
      <c r="O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M48" s="6" t="s">
        <v>27</v>
      </c>
      <c r="N48" s="6">
        <v>1</v>
      </c>
      <c r="O48" s="30">
        <v>0</v>
      </c>
      <c r="Y48" s="6" t="s">
        <v>129</v>
      </c>
      <c r="Z48" s="6">
        <v>1</v>
      </c>
      <c r="AA48" s="30">
        <v>0</v>
      </c>
    </row>
    <row r="49" spans="1:27">
      <c r="A49" s="6" t="s">
        <v>33</v>
      </c>
      <c r="B49" s="6">
        <v>4</v>
      </c>
      <c r="C49" s="30">
        <v>0</v>
      </c>
      <c r="M49" s="6" t="s">
        <v>39</v>
      </c>
      <c r="N49" s="6">
        <v>1</v>
      </c>
      <c r="O49" s="30">
        <v>0</v>
      </c>
      <c r="Y49" s="6" t="s">
        <v>25</v>
      </c>
      <c r="Z49" s="6">
        <v>1</v>
      </c>
      <c r="AA49" s="30">
        <v>0</v>
      </c>
    </row>
    <row r="50" spans="1:27">
      <c r="A50" s="6" t="s">
        <v>47</v>
      </c>
      <c r="B50" s="6">
        <v>1</v>
      </c>
      <c r="C50" s="30">
        <v>0</v>
      </c>
    </row>
    <row r="51" spans="1:27">
      <c r="A51" s="6" t="s">
        <v>27</v>
      </c>
      <c r="B51" s="6">
        <v>1</v>
      </c>
      <c r="C51" s="30">
        <v>0</v>
      </c>
    </row>
    <row r="52" spans="1:27">
      <c r="A52" s="6" t="s">
        <v>60</v>
      </c>
      <c r="B52" s="6">
        <v>2</v>
      </c>
      <c r="C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64</v>
      </c>
      <c r="B54" s="6">
        <v>1</v>
      </c>
      <c r="C54" s="30">
        <v>0</v>
      </c>
    </row>
    <row r="55" spans="1:27">
      <c r="A55" s="6" t="s">
        <v>124</v>
      </c>
      <c r="B55" s="6">
        <v>1</v>
      </c>
      <c r="C55" s="30">
        <v>0</v>
      </c>
    </row>
    <row r="56" spans="1:27">
      <c r="A56" s="6" t="s">
        <v>156</v>
      </c>
      <c r="B56" s="6">
        <v>2</v>
      </c>
      <c r="C56" s="30">
        <v>0</v>
      </c>
    </row>
    <row r="57" spans="1:27">
      <c r="A57" s="6" t="s">
        <v>28</v>
      </c>
      <c r="B57" s="6">
        <v>1</v>
      </c>
      <c r="C57" s="30">
        <v>0</v>
      </c>
    </row>
    <row r="58" spans="1:27">
      <c r="A58" s="6" t="s">
        <v>150</v>
      </c>
      <c r="B58" s="6">
        <v>1</v>
      </c>
      <c r="C58" s="30">
        <v>0</v>
      </c>
    </row>
    <row r="59" spans="1:27">
      <c r="A59" s="6" t="s">
        <v>23</v>
      </c>
      <c r="B59" s="6">
        <v>1</v>
      </c>
      <c r="C59" s="30">
        <v>0</v>
      </c>
    </row>
    <row r="60" spans="1:27">
      <c r="A60" s="6" t="s">
        <v>25</v>
      </c>
      <c r="B60" s="6">
        <v>1</v>
      </c>
      <c r="C60" s="30">
        <v>0</v>
      </c>
    </row>
    <row r="61" spans="1:27">
      <c r="A61" s="6" t="s">
        <v>129</v>
      </c>
      <c r="B61" s="6">
        <v>1</v>
      </c>
      <c r="C61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6ACD2-3B4F-4148-AEE9-066779E8C0BF}">
  <sheetPr codeName="Sheet21"/>
  <dimension ref="A1:AI54"/>
  <sheetViews>
    <sheetView topLeftCell="W4" workbookViewId="0">
      <selection activeCell="AG16" sqref="AG16:AI1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99895</v>
      </c>
      <c r="E2" s="41" t="s">
        <v>4</v>
      </c>
      <c r="F2" s="23" t="s">
        <v>105</v>
      </c>
      <c r="G2" s="23">
        <f>G3+G4</f>
        <v>94740</v>
      </c>
      <c r="H2" s="22"/>
      <c r="I2" s="41" t="s">
        <v>6</v>
      </c>
      <c r="J2" s="23" t="s">
        <v>105</v>
      </c>
      <c r="K2" s="23">
        <f>K3+K4</f>
        <v>94412</v>
      </c>
      <c r="M2" s="41" t="s">
        <v>104</v>
      </c>
      <c r="N2" s="23" t="s">
        <v>105</v>
      </c>
      <c r="O2" s="23">
        <f>O3+O4</f>
        <v>35886</v>
      </c>
      <c r="Q2" s="41" t="s">
        <v>4</v>
      </c>
      <c r="R2" s="23" t="s">
        <v>105</v>
      </c>
      <c r="S2" s="23">
        <f>S3+S4</f>
        <v>33496</v>
      </c>
      <c r="T2" s="22"/>
      <c r="U2" s="41" t="s">
        <v>6</v>
      </c>
      <c r="V2" s="23" t="s">
        <v>105</v>
      </c>
      <c r="W2" s="23">
        <f>W3+W4</f>
        <v>34191</v>
      </c>
      <c r="Y2" s="41" t="s">
        <v>104</v>
      </c>
      <c r="Z2" s="23" t="s">
        <v>105</v>
      </c>
      <c r="AA2" s="23">
        <f>AA3+AA4</f>
        <v>64000</v>
      </c>
      <c r="AC2" s="41" t="s">
        <v>4</v>
      </c>
      <c r="AD2" s="23" t="s">
        <v>105</v>
      </c>
      <c r="AE2" s="23">
        <f>AE3+AE4</f>
        <v>61245</v>
      </c>
      <c r="AF2" s="22"/>
      <c r="AG2" s="41" t="s">
        <v>6</v>
      </c>
      <c r="AH2" s="23" t="s">
        <v>105</v>
      </c>
      <c r="AI2" s="23">
        <f>AI3+AI4</f>
        <v>60223</v>
      </c>
    </row>
    <row r="3" spans="1:35">
      <c r="A3" s="42"/>
      <c r="B3" s="24" t="s">
        <v>106</v>
      </c>
      <c r="C3" s="24">
        <f>B8</f>
        <v>97897</v>
      </c>
      <c r="E3" s="42"/>
      <c r="F3" s="24" t="s">
        <v>106</v>
      </c>
      <c r="G3" s="24">
        <f>F8</f>
        <v>94434</v>
      </c>
      <c r="H3" s="22"/>
      <c r="I3" s="42"/>
      <c r="J3" s="24" t="s">
        <v>106</v>
      </c>
      <c r="K3" s="24">
        <f>J8</f>
        <v>94318</v>
      </c>
      <c r="M3" s="42"/>
      <c r="N3" s="24" t="s">
        <v>106</v>
      </c>
      <c r="O3" s="24">
        <f>N8</f>
        <v>35452</v>
      </c>
      <c r="Q3" s="42"/>
      <c r="R3" s="24" t="s">
        <v>106</v>
      </c>
      <c r="S3" s="24">
        <f>R8</f>
        <v>33410</v>
      </c>
      <c r="T3" s="22"/>
      <c r="U3" s="42"/>
      <c r="V3" s="24" t="s">
        <v>106</v>
      </c>
      <c r="W3" s="24">
        <f>V8</f>
        <v>34154</v>
      </c>
      <c r="Y3" s="42"/>
      <c r="Z3" s="24" t="s">
        <v>106</v>
      </c>
      <c r="AA3" s="24">
        <f>Z8</f>
        <v>62445</v>
      </c>
      <c r="AC3" s="42"/>
      <c r="AD3" s="24" t="s">
        <v>106</v>
      </c>
      <c r="AE3" s="24">
        <f>AD8</f>
        <v>61024</v>
      </c>
      <c r="AF3" s="22"/>
      <c r="AG3" s="42"/>
      <c r="AH3" s="24" t="s">
        <v>106</v>
      </c>
      <c r="AI3" s="24">
        <f>AH8</f>
        <v>60164</v>
      </c>
    </row>
    <row r="4" spans="1:35">
      <c r="A4" s="42"/>
      <c r="B4" s="25" t="s">
        <v>107</v>
      </c>
      <c r="C4" s="25">
        <f>SUM(B9:B66)</f>
        <v>1998</v>
      </c>
      <c r="E4" s="42"/>
      <c r="F4" s="25" t="s">
        <v>107</v>
      </c>
      <c r="G4" s="25">
        <f>SUM(F9:F33)</f>
        <v>306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434</v>
      </c>
      <c r="Q4" s="42"/>
      <c r="R4" s="25" t="s">
        <v>107</v>
      </c>
      <c r="S4" s="25">
        <f>SUM(R9:R33)</f>
        <v>86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1555</v>
      </c>
      <c r="AC4" s="42"/>
      <c r="AD4" s="25" t="s">
        <v>107</v>
      </c>
      <c r="AE4" s="25">
        <f>SUM(AD9:AD29)</f>
        <v>221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1.9999999999999983E-2</v>
      </c>
      <c r="E5" s="43"/>
      <c r="F5" s="23" t="s">
        <v>108</v>
      </c>
      <c r="G5" s="26">
        <f>SUM(G9:G33)</f>
        <v>3.0999999999999995E-3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1.1999999999999997E-2</v>
      </c>
      <c r="Q5" s="43"/>
      <c r="R5" s="23" t="s">
        <v>108</v>
      </c>
      <c r="S5" s="26">
        <f>SUM(S9:S33)</f>
        <v>2.6999999999999997E-3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2.4099999999999986E-2</v>
      </c>
      <c r="AC5" s="43"/>
      <c r="AD5" s="23" t="s">
        <v>108</v>
      </c>
      <c r="AE5" s="26">
        <f>SUM(AE9:AE29)</f>
        <v>3.4999999999999992E-3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97897</v>
      </c>
      <c r="C8" s="30">
        <v>0.98</v>
      </c>
      <c r="E8" s="6" t="s">
        <v>112</v>
      </c>
      <c r="F8" s="29">
        <v>94434</v>
      </c>
      <c r="G8" s="9">
        <v>0.99680000000000002</v>
      </c>
      <c r="I8" s="6" t="s">
        <v>112</v>
      </c>
      <c r="J8" s="29">
        <v>94318</v>
      </c>
      <c r="K8" s="9">
        <v>0.999</v>
      </c>
      <c r="M8" s="6" t="s">
        <v>112</v>
      </c>
      <c r="N8" s="29">
        <v>35452</v>
      </c>
      <c r="O8" s="9">
        <v>0.9879</v>
      </c>
      <c r="Q8" s="6" t="s">
        <v>112</v>
      </c>
      <c r="R8" s="29">
        <v>33410</v>
      </c>
      <c r="S8" s="9">
        <v>0.99739999999999995</v>
      </c>
      <c r="U8" s="6" t="s">
        <v>112</v>
      </c>
      <c r="V8" s="29">
        <v>34154</v>
      </c>
      <c r="W8" s="9">
        <v>0.99890000000000001</v>
      </c>
      <c r="Y8" s="6" t="s">
        <v>112</v>
      </c>
      <c r="Z8" s="29">
        <v>62445</v>
      </c>
      <c r="AA8" s="9">
        <v>0.97560000000000002</v>
      </c>
      <c r="AC8" s="6" t="s">
        <v>112</v>
      </c>
      <c r="AD8" s="29">
        <v>61024</v>
      </c>
      <c r="AE8" s="9">
        <v>0.99639999999999995</v>
      </c>
      <c r="AG8" s="6" t="s">
        <v>112</v>
      </c>
      <c r="AH8" s="29">
        <v>60164</v>
      </c>
      <c r="AI8" s="9">
        <v>0.999</v>
      </c>
    </row>
    <row r="9" spans="1:35">
      <c r="A9" s="6" t="s">
        <v>2</v>
      </c>
      <c r="B9" s="6">
        <v>482</v>
      </c>
      <c r="C9" s="9">
        <v>4.7999999999999996E-3</v>
      </c>
      <c r="E9" s="6" t="s">
        <v>122</v>
      </c>
      <c r="F9" s="6">
        <v>192</v>
      </c>
      <c r="G9" s="9">
        <v>2E-3</v>
      </c>
      <c r="I9" s="6" t="s">
        <v>2</v>
      </c>
      <c r="J9" s="6">
        <v>40</v>
      </c>
      <c r="K9" s="9">
        <v>4.0000000000000002E-4</v>
      </c>
      <c r="M9" s="6" t="s">
        <v>2</v>
      </c>
      <c r="N9" s="6">
        <v>160</v>
      </c>
      <c r="O9" s="9">
        <v>4.4999999999999997E-3</v>
      </c>
      <c r="Q9" s="6" t="s">
        <v>122</v>
      </c>
      <c r="R9" s="6">
        <v>59</v>
      </c>
      <c r="S9" s="9">
        <v>1.8E-3</v>
      </c>
      <c r="U9" s="6" t="s">
        <v>98</v>
      </c>
      <c r="V9" s="6">
        <v>15</v>
      </c>
      <c r="W9" s="9">
        <v>4.0000000000000002E-4</v>
      </c>
      <c r="Y9" s="6" t="s">
        <v>121</v>
      </c>
      <c r="Z9" s="6">
        <v>405</v>
      </c>
      <c r="AA9" s="9">
        <v>6.3E-3</v>
      </c>
      <c r="AC9" s="6" t="s">
        <v>122</v>
      </c>
      <c r="AD9" s="6">
        <v>133</v>
      </c>
      <c r="AE9" s="9">
        <v>2.2000000000000001E-3</v>
      </c>
      <c r="AG9" s="6" t="s">
        <v>2</v>
      </c>
      <c r="AH9" s="6">
        <v>31</v>
      </c>
      <c r="AI9" s="9">
        <v>5.0000000000000001E-4</v>
      </c>
    </row>
    <row r="10" spans="1:35">
      <c r="A10" s="6" t="s">
        <v>121</v>
      </c>
      <c r="B10" s="6">
        <v>406</v>
      </c>
      <c r="C10" s="9">
        <v>4.1000000000000003E-3</v>
      </c>
      <c r="E10" s="6" t="s">
        <v>83</v>
      </c>
      <c r="F10" s="6">
        <v>42</v>
      </c>
      <c r="G10" s="9">
        <v>4.0000000000000002E-4</v>
      </c>
      <c r="I10" s="6" t="s">
        <v>98</v>
      </c>
      <c r="J10" s="6">
        <v>25</v>
      </c>
      <c r="K10" s="9">
        <v>2.9999999999999997E-4</v>
      </c>
      <c r="M10" s="6" t="s">
        <v>3</v>
      </c>
      <c r="N10" s="6">
        <v>93</v>
      </c>
      <c r="O10" s="9">
        <v>2.5999999999999999E-3</v>
      </c>
      <c r="Q10" s="6" t="s">
        <v>76</v>
      </c>
      <c r="R10" s="6">
        <v>13</v>
      </c>
      <c r="S10" s="9">
        <v>4.0000000000000002E-4</v>
      </c>
      <c r="U10" s="6" t="s">
        <v>2</v>
      </c>
      <c r="V10" s="6">
        <v>9</v>
      </c>
      <c r="W10" s="9">
        <v>2.9999999999999997E-4</v>
      </c>
      <c r="Y10" s="6" t="s">
        <v>2</v>
      </c>
      <c r="Z10" s="6">
        <v>322</v>
      </c>
      <c r="AA10" s="9">
        <v>5.0000000000000001E-3</v>
      </c>
      <c r="AC10" s="6" t="s">
        <v>83</v>
      </c>
      <c r="AD10" s="6">
        <v>42</v>
      </c>
      <c r="AE10" s="9">
        <v>6.9999999999999999E-4</v>
      </c>
      <c r="AG10" s="6" t="s">
        <v>98</v>
      </c>
      <c r="AH10" s="6">
        <v>10</v>
      </c>
      <c r="AI10" s="9">
        <v>2.0000000000000001E-4</v>
      </c>
    </row>
    <row r="11" spans="1:35">
      <c r="A11" s="6" t="s">
        <v>3</v>
      </c>
      <c r="B11" s="6">
        <v>242</v>
      </c>
      <c r="C11" s="9">
        <v>2.3999999999999998E-3</v>
      </c>
      <c r="E11" s="6" t="s">
        <v>76</v>
      </c>
      <c r="F11" s="6">
        <v>19</v>
      </c>
      <c r="G11" s="9">
        <v>2.0000000000000001E-4</v>
      </c>
      <c r="I11" s="6" t="s">
        <v>99</v>
      </c>
      <c r="J11" s="6">
        <v>17</v>
      </c>
      <c r="K11" s="9">
        <v>2.0000000000000001E-4</v>
      </c>
      <c r="M11" s="6" t="s">
        <v>7</v>
      </c>
      <c r="N11" s="6">
        <v>42</v>
      </c>
      <c r="O11" s="9">
        <v>1.1999999999999999E-3</v>
      </c>
      <c r="Q11" s="6" t="s">
        <v>74</v>
      </c>
      <c r="R11" s="6">
        <v>6</v>
      </c>
      <c r="S11" s="9">
        <v>2.0000000000000001E-4</v>
      </c>
      <c r="U11" s="6" t="s">
        <v>99</v>
      </c>
      <c r="V11" s="6">
        <v>8</v>
      </c>
      <c r="W11" s="9">
        <v>2.0000000000000001E-4</v>
      </c>
      <c r="Y11" s="6" t="s">
        <v>9</v>
      </c>
      <c r="Z11" s="6">
        <v>204</v>
      </c>
      <c r="AA11" s="9">
        <v>3.2000000000000002E-3</v>
      </c>
      <c r="AC11" s="6" t="s">
        <v>76</v>
      </c>
      <c r="AD11" s="6">
        <v>6</v>
      </c>
      <c r="AE11" s="9">
        <v>1E-4</v>
      </c>
      <c r="AG11" s="6" t="s">
        <v>99</v>
      </c>
      <c r="AH11" s="6">
        <v>9</v>
      </c>
      <c r="AI11" s="9">
        <v>1E-4</v>
      </c>
    </row>
    <row r="12" spans="1:35">
      <c r="A12" s="6" t="s">
        <v>9</v>
      </c>
      <c r="B12" s="6">
        <v>215</v>
      </c>
      <c r="C12" s="9">
        <v>2.2000000000000001E-3</v>
      </c>
      <c r="E12" s="6" t="s">
        <v>74</v>
      </c>
      <c r="F12" s="6">
        <v>13</v>
      </c>
      <c r="G12" s="9">
        <v>1E-4</v>
      </c>
      <c r="I12" s="6" t="s">
        <v>113</v>
      </c>
      <c r="J12" s="6">
        <v>7</v>
      </c>
      <c r="K12" s="9">
        <v>1E-4</v>
      </c>
      <c r="M12" s="6" t="s">
        <v>11</v>
      </c>
      <c r="N12" s="6">
        <v>22</v>
      </c>
      <c r="O12" s="9">
        <v>5.9999999999999995E-4</v>
      </c>
      <c r="Q12" s="6" t="s">
        <v>92</v>
      </c>
      <c r="R12" s="6">
        <v>2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149</v>
      </c>
      <c r="AA12" s="9">
        <v>2.3E-3</v>
      </c>
      <c r="AC12" s="6" t="s">
        <v>75</v>
      </c>
      <c r="AD12" s="6">
        <v>8</v>
      </c>
      <c r="AE12" s="9">
        <v>1E-4</v>
      </c>
      <c r="AG12" s="6" t="s">
        <v>113</v>
      </c>
      <c r="AH12" s="6">
        <v>4</v>
      </c>
      <c r="AI12" s="9">
        <v>1E-4</v>
      </c>
    </row>
    <row r="13" spans="1:35">
      <c r="A13" s="6" t="s">
        <v>8</v>
      </c>
      <c r="B13" s="6">
        <v>98</v>
      </c>
      <c r="C13" s="9">
        <v>1E-3</v>
      </c>
      <c r="E13" s="6" t="s">
        <v>75</v>
      </c>
      <c r="F13" s="6">
        <v>8</v>
      </c>
      <c r="G13" s="9">
        <v>1E-4</v>
      </c>
      <c r="I13" s="6" t="s">
        <v>102</v>
      </c>
      <c r="J13" s="6">
        <v>3</v>
      </c>
      <c r="K13" s="30">
        <v>0</v>
      </c>
      <c r="M13" s="6" t="s">
        <v>9</v>
      </c>
      <c r="N13" s="6">
        <v>11</v>
      </c>
      <c r="O13" s="9">
        <v>2.9999999999999997E-4</v>
      </c>
      <c r="Q13" s="6" t="s">
        <v>80</v>
      </c>
      <c r="R13" s="6">
        <v>2</v>
      </c>
      <c r="S13" s="9">
        <v>1E-4</v>
      </c>
      <c r="U13" s="6" t="s">
        <v>102</v>
      </c>
      <c r="V13" s="6">
        <v>1</v>
      </c>
      <c r="W13" s="30">
        <v>0</v>
      </c>
      <c r="Y13" s="6" t="s">
        <v>8</v>
      </c>
      <c r="Z13" s="6">
        <v>89</v>
      </c>
      <c r="AA13" s="9">
        <v>1.4E-3</v>
      </c>
      <c r="AC13" s="6" t="s">
        <v>74</v>
      </c>
      <c r="AD13" s="6">
        <v>7</v>
      </c>
      <c r="AE13" s="9">
        <v>1E-4</v>
      </c>
      <c r="AG13" s="6" t="s">
        <v>102</v>
      </c>
      <c r="AH13" s="6">
        <v>3</v>
      </c>
      <c r="AI13" s="30">
        <v>0</v>
      </c>
    </row>
    <row r="14" spans="1:35">
      <c r="A14" s="6" t="s">
        <v>5</v>
      </c>
      <c r="B14" s="6">
        <v>91</v>
      </c>
      <c r="C14" s="9">
        <v>8.9999999999999998E-4</v>
      </c>
      <c r="E14" s="6" t="s">
        <v>77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41</v>
      </c>
      <c r="N14" s="6">
        <v>9</v>
      </c>
      <c r="O14" s="9">
        <v>2.9999999999999997E-4</v>
      </c>
      <c r="Q14" s="6" t="s">
        <v>77</v>
      </c>
      <c r="R14" s="6">
        <v>3</v>
      </c>
      <c r="S14" s="9">
        <v>1E-4</v>
      </c>
      <c r="U14" s="6" t="s">
        <v>123</v>
      </c>
      <c r="V14" s="6">
        <v>1</v>
      </c>
      <c r="W14" s="30">
        <v>0</v>
      </c>
      <c r="Y14" s="6" t="s">
        <v>5</v>
      </c>
      <c r="Z14" s="6">
        <v>83</v>
      </c>
      <c r="AA14" s="9">
        <v>1.2999999999999999E-3</v>
      </c>
      <c r="AC14" s="6" t="s">
        <v>79</v>
      </c>
      <c r="AD14" s="6">
        <v>6</v>
      </c>
      <c r="AE14" s="9">
        <v>1E-4</v>
      </c>
      <c r="AG14" s="6" t="s">
        <v>103</v>
      </c>
      <c r="AH14" s="6">
        <v>1</v>
      </c>
      <c r="AI14" s="30">
        <v>0</v>
      </c>
    </row>
    <row r="15" spans="1:35">
      <c r="A15" s="6" t="s">
        <v>7</v>
      </c>
      <c r="B15" s="6">
        <v>91</v>
      </c>
      <c r="C15" s="9">
        <v>8.9999999999999998E-4</v>
      </c>
      <c r="E15" s="6" t="s">
        <v>79</v>
      </c>
      <c r="F15" s="6">
        <v>6</v>
      </c>
      <c r="G15" s="9">
        <v>1E-4</v>
      </c>
      <c r="I15" s="6" t="s">
        <v>103</v>
      </c>
      <c r="J15" s="6">
        <v>1</v>
      </c>
      <c r="K15" s="30">
        <v>0</v>
      </c>
      <c r="M15" s="6" t="s">
        <v>8</v>
      </c>
      <c r="N15" s="6">
        <v>9</v>
      </c>
      <c r="O15" s="9">
        <v>2.9999999999999997E-4</v>
      </c>
      <c r="Q15" s="6" t="s">
        <v>91</v>
      </c>
      <c r="R15" s="6">
        <v>1</v>
      </c>
      <c r="S15" s="30">
        <v>0</v>
      </c>
      <c r="Y15" s="6" t="s">
        <v>7</v>
      </c>
      <c r="Z15" s="6">
        <v>49</v>
      </c>
      <c r="AA15" s="9">
        <v>8.0000000000000004E-4</v>
      </c>
      <c r="AC15" s="6" t="s">
        <v>78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60</v>
      </c>
      <c r="C16" s="9">
        <v>5.9999999999999995E-4</v>
      </c>
      <c r="E16" s="6" t="s">
        <v>78</v>
      </c>
      <c r="F16" s="6">
        <v>5</v>
      </c>
      <c r="G16" s="9">
        <v>1E-4</v>
      </c>
      <c r="M16" s="6" t="s">
        <v>5</v>
      </c>
      <c r="N16" s="6">
        <v>8</v>
      </c>
      <c r="O16" s="9">
        <v>2.0000000000000001E-4</v>
      </c>
      <c r="Y16" s="6" t="s">
        <v>11</v>
      </c>
      <c r="Z16" s="6">
        <v>38</v>
      </c>
      <c r="AA16" s="9">
        <v>5.9999999999999995E-4</v>
      </c>
      <c r="AC16" s="6" t="s">
        <v>77</v>
      </c>
      <c r="AD16" s="6">
        <v>4</v>
      </c>
      <c r="AE16" s="9">
        <v>1E-4</v>
      </c>
    </row>
    <row r="17" spans="1:31">
      <c r="A17" s="6" t="s">
        <v>41</v>
      </c>
      <c r="B17" s="6">
        <v>37</v>
      </c>
      <c r="C17" s="9">
        <v>4.0000000000000002E-4</v>
      </c>
      <c r="E17" s="6" t="s">
        <v>92</v>
      </c>
      <c r="F17" s="6">
        <v>3</v>
      </c>
      <c r="G17" s="30">
        <v>0</v>
      </c>
      <c r="M17" s="6" t="s">
        <v>18</v>
      </c>
      <c r="N17" s="6">
        <v>8</v>
      </c>
      <c r="O17" s="9">
        <v>2.0000000000000001E-4</v>
      </c>
      <c r="Y17" s="6" t="s">
        <v>41</v>
      </c>
      <c r="Z17" s="6">
        <v>28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17</v>
      </c>
      <c r="B18" s="6">
        <v>22</v>
      </c>
      <c r="C18" s="9">
        <v>2.0000000000000001E-4</v>
      </c>
      <c r="E18" s="6" t="s">
        <v>80</v>
      </c>
      <c r="F18" s="6">
        <v>2</v>
      </c>
      <c r="G18" s="30">
        <v>0</v>
      </c>
      <c r="M18" s="6" t="s">
        <v>10</v>
      </c>
      <c r="N18" s="6">
        <v>8</v>
      </c>
      <c r="O18" s="9">
        <v>2.0000000000000001E-4</v>
      </c>
      <c r="Y18" s="6" t="s">
        <v>14</v>
      </c>
      <c r="Z18" s="6">
        <v>21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10</v>
      </c>
      <c r="B19" s="6">
        <v>24</v>
      </c>
      <c r="C19" s="9">
        <v>2.0000000000000001E-4</v>
      </c>
      <c r="E19" s="6" t="s">
        <v>87</v>
      </c>
      <c r="F19" s="6">
        <v>1</v>
      </c>
      <c r="G19" s="30">
        <v>0</v>
      </c>
      <c r="M19" s="6" t="s">
        <v>31</v>
      </c>
      <c r="N19" s="6">
        <v>8</v>
      </c>
      <c r="O19" s="9">
        <v>2.0000000000000001E-4</v>
      </c>
      <c r="Y19" s="6" t="s">
        <v>17</v>
      </c>
      <c r="Z19" s="6">
        <v>16</v>
      </c>
      <c r="AA19" s="9">
        <v>2.0000000000000001E-4</v>
      </c>
      <c r="AC19" s="6" t="s">
        <v>87</v>
      </c>
      <c r="AD19" s="6">
        <v>1</v>
      </c>
      <c r="AE19" s="30">
        <v>0</v>
      </c>
    </row>
    <row r="20" spans="1:31">
      <c r="A20" s="6" t="s">
        <v>18</v>
      </c>
      <c r="B20" s="6">
        <v>20</v>
      </c>
      <c r="C20" s="9">
        <v>2.0000000000000001E-4</v>
      </c>
      <c r="E20" s="6" t="s">
        <v>81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10</v>
      </c>
      <c r="Z20" s="6">
        <v>16</v>
      </c>
      <c r="AA20" s="9">
        <v>2.0000000000000001E-4</v>
      </c>
      <c r="AC20" s="6" t="s">
        <v>81</v>
      </c>
      <c r="AD20" s="6">
        <v>1</v>
      </c>
      <c r="AE20" s="30">
        <v>0</v>
      </c>
    </row>
    <row r="21" spans="1:31">
      <c r="A21" s="6" t="s">
        <v>37</v>
      </c>
      <c r="B21" s="6">
        <v>20</v>
      </c>
      <c r="C21" s="9">
        <v>2.0000000000000001E-4</v>
      </c>
      <c r="E21" s="6" t="s">
        <v>84</v>
      </c>
      <c r="F21" s="6">
        <v>3</v>
      </c>
      <c r="G21" s="30">
        <v>0</v>
      </c>
      <c r="M21" s="6" t="s">
        <v>37</v>
      </c>
      <c r="N21" s="6">
        <v>6</v>
      </c>
      <c r="O21" s="9">
        <v>2.0000000000000001E-4</v>
      </c>
      <c r="Y21" s="6" t="s">
        <v>37</v>
      </c>
      <c r="Z21" s="6">
        <v>14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14</v>
      </c>
      <c r="B22" s="6">
        <v>21</v>
      </c>
      <c r="C22" s="9">
        <v>2.0000000000000001E-4</v>
      </c>
      <c r="E22" s="6" t="s">
        <v>86</v>
      </c>
      <c r="F22" s="6">
        <v>2</v>
      </c>
      <c r="G22" s="30">
        <v>0</v>
      </c>
      <c r="M22" s="6" t="s">
        <v>21</v>
      </c>
      <c r="N22" s="6">
        <v>4</v>
      </c>
      <c r="O22" s="9">
        <v>1E-4</v>
      </c>
      <c r="Y22" s="6" t="s">
        <v>18</v>
      </c>
      <c r="Z22" s="6">
        <v>12</v>
      </c>
      <c r="AA22" s="9">
        <v>2.0000000000000001E-4</v>
      </c>
      <c r="AC22" s="6" t="s">
        <v>86</v>
      </c>
      <c r="AD22" s="6">
        <v>2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91</v>
      </c>
      <c r="F23" s="6">
        <v>2</v>
      </c>
      <c r="G23" s="30">
        <v>0</v>
      </c>
      <c r="M23" s="6" t="s">
        <v>20</v>
      </c>
      <c r="N23" s="6">
        <v>5</v>
      </c>
      <c r="O23" s="9">
        <v>1E-4</v>
      </c>
      <c r="Y23" s="6" t="s">
        <v>31</v>
      </c>
      <c r="Z23" s="6">
        <v>11</v>
      </c>
      <c r="AA23" s="9">
        <v>2.0000000000000001E-4</v>
      </c>
      <c r="AC23" s="6" t="s">
        <v>91</v>
      </c>
      <c r="AD23" s="6">
        <v>1</v>
      </c>
      <c r="AE23" s="30">
        <v>0</v>
      </c>
    </row>
    <row r="24" spans="1:31">
      <c r="A24" s="6" t="s">
        <v>19</v>
      </c>
      <c r="B24" s="6">
        <v>7</v>
      </c>
      <c r="C24" s="9">
        <v>1E-4</v>
      </c>
      <c r="M24" s="6" t="s">
        <v>22</v>
      </c>
      <c r="N24" s="6">
        <v>5</v>
      </c>
      <c r="O24" s="9">
        <v>1E-4</v>
      </c>
      <c r="Y24" s="6" t="s">
        <v>29</v>
      </c>
      <c r="Z24" s="6">
        <v>10</v>
      </c>
      <c r="AA24" s="9">
        <v>2.0000000000000001E-4</v>
      </c>
    </row>
    <row r="25" spans="1:31">
      <c r="A25" s="6" t="s">
        <v>21</v>
      </c>
      <c r="B25" s="6">
        <v>10</v>
      </c>
      <c r="C25" s="9">
        <v>1E-4</v>
      </c>
      <c r="M25" s="6" t="s">
        <v>43</v>
      </c>
      <c r="N25" s="6">
        <v>4</v>
      </c>
      <c r="O25" s="9">
        <v>1E-4</v>
      </c>
      <c r="Y25" s="6" t="s">
        <v>26</v>
      </c>
      <c r="Z25" s="6">
        <v>10</v>
      </c>
      <c r="AA25" s="9">
        <v>2.0000000000000001E-4</v>
      </c>
    </row>
    <row r="26" spans="1:31">
      <c r="A26" s="6" t="s">
        <v>20</v>
      </c>
      <c r="B26" s="6">
        <v>11</v>
      </c>
      <c r="C26" s="9">
        <v>1E-4</v>
      </c>
      <c r="M26" s="6" t="s">
        <v>36</v>
      </c>
      <c r="N26" s="6">
        <v>2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29</v>
      </c>
      <c r="B27" s="6">
        <v>12</v>
      </c>
      <c r="C27" s="9">
        <v>1E-4</v>
      </c>
      <c r="M27" s="6" t="s">
        <v>24</v>
      </c>
      <c r="N27" s="6">
        <v>4</v>
      </c>
      <c r="O27" s="9">
        <v>1E-4</v>
      </c>
      <c r="Y27" s="6" t="s">
        <v>21</v>
      </c>
      <c r="Z27" s="6">
        <v>6</v>
      </c>
      <c r="AA27" s="9">
        <v>1E-4</v>
      </c>
    </row>
    <row r="28" spans="1:31">
      <c r="A28" s="6" t="s">
        <v>24</v>
      </c>
      <c r="B28" s="6">
        <v>13</v>
      </c>
      <c r="C28" s="9">
        <v>1E-4</v>
      </c>
      <c r="M28" s="6" t="s">
        <v>29</v>
      </c>
      <c r="N28" s="6">
        <v>2</v>
      </c>
      <c r="O28" s="9">
        <v>1E-4</v>
      </c>
      <c r="Y28" s="6" t="s">
        <v>20</v>
      </c>
      <c r="Z28" s="6">
        <v>6</v>
      </c>
      <c r="AA28" s="9">
        <v>1E-4</v>
      </c>
    </row>
    <row r="29" spans="1:31">
      <c r="A29" s="6" t="s">
        <v>12</v>
      </c>
      <c r="B29" s="6">
        <v>8</v>
      </c>
      <c r="C29" s="9">
        <v>1E-4</v>
      </c>
      <c r="M29" s="6" t="s">
        <v>39</v>
      </c>
      <c r="N29" s="6">
        <v>4</v>
      </c>
      <c r="O29" s="9">
        <v>1E-4</v>
      </c>
      <c r="Y29" s="6" t="s">
        <v>12</v>
      </c>
      <c r="Z29" s="6">
        <v>8</v>
      </c>
      <c r="AA29" s="9">
        <v>1E-4</v>
      </c>
    </row>
    <row r="30" spans="1:31">
      <c r="A30" s="6" t="s">
        <v>26</v>
      </c>
      <c r="B30" s="6">
        <v>10</v>
      </c>
      <c r="C30" s="9">
        <v>1E-4</v>
      </c>
      <c r="M30" s="6" t="s">
        <v>58</v>
      </c>
      <c r="N30" s="6">
        <v>2</v>
      </c>
      <c r="O30" s="9">
        <v>1E-4</v>
      </c>
      <c r="Y30" s="6" t="s">
        <v>24</v>
      </c>
      <c r="Z30" s="6">
        <v>9</v>
      </c>
      <c r="AA30" s="9">
        <v>1E-4</v>
      </c>
    </row>
    <row r="31" spans="1:31">
      <c r="A31" s="6" t="s">
        <v>16</v>
      </c>
      <c r="B31" s="6">
        <v>5</v>
      </c>
      <c r="C31" s="9">
        <v>1E-4</v>
      </c>
      <c r="M31" s="6" t="s">
        <v>25</v>
      </c>
      <c r="N31" s="6">
        <v>2</v>
      </c>
      <c r="O31" s="9">
        <v>1E-4</v>
      </c>
      <c r="Y31" s="6" t="s">
        <v>40</v>
      </c>
      <c r="Z31" s="6">
        <v>7</v>
      </c>
      <c r="AA31" s="9">
        <v>1E-4</v>
      </c>
    </row>
    <row r="32" spans="1:31">
      <c r="A32" s="6" t="s">
        <v>40</v>
      </c>
      <c r="B32" s="6">
        <v>8</v>
      </c>
      <c r="C32" s="9">
        <v>1E-4</v>
      </c>
      <c r="M32" s="6" t="s">
        <v>45</v>
      </c>
      <c r="N32" s="6">
        <v>1</v>
      </c>
      <c r="O32" s="30">
        <v>0</v>
      </c>
      <c r="Y32" s="6" t="s">
        <v>15</v>
      </c>
      <c r="Z32" s="6">
        <v>4</v>
      </c>
      <c r="AA32" s="9">
        <v>1E-4</v>
      </c>
    </row>
    <row r="33" spans="1:27">
      <c r="A33" s="6" t="s">
        <v>22</v>
      </c>
      <c r="B33" s="6">
        <v>6</v>
      </c>
      <c r="C33" s="9">
        <v>1E-4</v>
      </c>
      <c r="M33" s="6" t="s">
        <v>16</v>
      </c>
      <c r="N33" s="6">
        <v>1</v>
      </c>
      <c r="O33" s="30">
        <v>0</v>
      </c>
      <c r="Y33" s="6" t="s">
        <v>16</v>
      </c>
      <c r="Z33" s="6">
        <v>4</v>
      </c>
      <c r="AA33" s="9">
        <v>1E-4</v>
      </c>
    </row>
    <row r="34" spans="1:27">
      <c r="A34" s="6" t="s">
        <v>27</v>
      </c>
      <c r="B34" s="6">
        <v>5</v>
      </c>
      <c r="C34" s="9">
        <v>1E-4</v>
      </c>
      <c r="M34" s="6" t="s">
        <v>27</v>
      </c>
      <c r="N34" s="6">
        <v>1</v>
      </c>
      <c r="O34" s="30">
        <v>0</v>
      </c>
      <c r="Y34" s="6" t="s">
        <v>30</v>
      </c>
      <c r="Z34" s="6">
        <v>4</v>
      </c>
      <c r="AA34" s="9">
        <v>1E-4</v>
      </c>
    </row>
    <row r="35" spans="1:27">
      <c r="A35" s="6" t="s">
        <v>43</v>
      </c>
      <c r="B35" s="6">
        <v>6</v>
      </c>
      <c r="C35" s="9">
        <v>1E-4</v>
      </c>
      <c r="M35" s="6" t="s">
        <v>40</v>
      </c>
      <c r="N35" s="6">
        <v>1</v>
      </c>
      <c r="O35" s="30">
        <v>0</v>
      </c>
      <c r="Y35" s="6" t="s">
        <v>27</v>
      </c>
      <c r="Z35" s="6">
        <v>4</v>
      </c>
      <c r="AA35" s="9">
        <v>1E-4</v>
      </c>
    </row>
    <row r="36" spans="1:27">
      <c r="A36" s="6" t="s">
        <v>30</v>
      </c>
      <c r="B36" s="6">
        <v>5</v>
      </c>
      <c r="C36" s="9">
        <v>1E-4</v>
      </c>
      <c r="M36" s="6" t="s">
        <v>121</v>
      </c>
      <c r="N36" s="6">
        <v>1</v>
      </c>
      <c r="O36" s="30">
        <v>0</v>
      </c>
      <c r="Y36" s="6" t="s">
        <v>58</v>
      </c>
      <c r="Z36" s="6">
        <v>4</v>
      </c>
      <c r="AA36" s="9">
        <v>1E-4</v>
      </c>
    </row>
    <row r="37" spans="1:27">
      <c r="A37" s="6" t="s">
        <v>58</v>
      </c>
      <c r="B37" s="6">
        <v>6</v>
      </c>
      <c r="C37" s="9">
        <v>1E-4</v>
      </c>
      <c r="M37" s="6" t="s">
        <v>30</v>
      </c>
      <c r="N37" s="6">
        <v>1</v>
      </c>
      <c r="O37" s="30">
        <v>0</v>
      </c>
      <c r="Y37" s="6" t="s">
        <v>13</v>
      </c>
      <c r="Z37" s="6">
        <v>2</v>
      </c>
      <c r="AA37" s="30">
        <v>0</v>
      </c>
    </row>
    <row r="38" spans="1:27">
      <c r="A38" s="6" t="s">
        <v>39</v>
      </c>
      <c r="B38" s="6">
        <v>6</v>
      </c>
      <c r="C38" s="9">
        <v>1E-4</v>
      </c>
      <c r="M38" s="6" t="s">
        <v>59</v>
      </c>
      <c r="N38" s="6">
        <v>1</v>
      </c>
      <c r="O38" s="30">
        <v>0</v>
      </c>
      <c r="Y38" s="6" t="s">
        <v>34</v>
      </c>
      <c r="Z38" s="6">
        <v>1</v>
      </c>
      <c r="AA38" s="30">
        <v>0</v>
      </c>
    </row>
    <row r="39" spans="1:27">
      <c r="A39" s="6" t="s">
        <v>45</v>
      </c>
      <c r="B39" s="6">
        <v>3</v>
      </c>
      <c r="C39" s="30">
        <v>0</v>
      </c>
      <c r="M39" s="6" t="s">
        <v>38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34</v>
      </c>
      <c r="B40" s="6">
        <v>1</v>
      </c>
      <c r="C40" s="30">
        <v>0</v>
      </c>
      <c r="M40" s="6" t="s">
        <v>53</v>
      </c>
      <c r="N40" s="6">
        <v>1</v>
      </c>
      <c r="O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13</v>
      </c>
      <c r="B41" s="6">
        <v>2</v>
      </c>
      <c r="C41" s="30">
        <v>0</v>
      </c>
      <c r="M41" s="6" t="s">
        <v>33</v>
      </c>
      <c r="N41" s="6">
        <v>1</v>
      </c>
      <c r="O41" s="30">
        <v>0</v>
      </c>
      <c r="Y41" s="6" t="s">
        <v>22</v>
      </c>
      <c r="Z41" s="6">
        <v>1</v>
      </c>
      <c r="AA41" s="30">
        <v>0</v>
      </c>
    </row>
    <row r="42" spans="1:27">
      <c r="A42" s="6" t="s">
        <v>36</v>
      </c>
      <c r="B42" s="6">
        <v>4</v>
      </c>
      <c r="C42" s="30">
        <v>0</v>
      </c>
      <c r="Y42" s="6" t="s">
        <v>48</v>
      </c>
      <c r="Z42" s="6">
        <v>1</v>
      </c>
      <c r="AA42" s="30">
        <v>0</v>
      </c>
    </row>
    <row r="43" spans="1:27">
      <c r="A43" s="6" t="s">
        <v>66</v>
      </c>
      <c r="B43" s="6">
        <v>1</v>
      </c>
      <c r="C43" s="30">
        <v>0</v>
      </c>
      <c r="Y43" s="6" t="s">
        <v>43</v>
      </c>
      <c r="Z43" s="6">
        <v>2</v>
      </c>
      <c r="AA43" s="30">
        <v>0</v>
      </c>
    </row>
    <row r="44" spans="1:27">
      <c r="A44" s="6" t="s">
        <v>15</v>
      </c>
      <c r="B44" s="6">
        <v>4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39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50</v>
      </c>
      <c r="Z46" s="6">
        <v>1</v>
      </c>
      <c r="AA46" s="30">
        <v>0</v>
      </c>
    </row>
    <row r="47" spans="1:27">
      <c r="A47" s="6" t="s">
        <v>59</v>
      </c>
      <c r="B47" s="6">
        <v>1</v>
      </c>
      <c r="C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25</v>
      </c>
      <c r="B48" s="6">
        <v>4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42</v>
      </c>
      <c r="B49" s="6">
        <v>1</v>
      </c>
      <c r="C49" s="30">
        <v>0</v>
      </c>
      <c r="Y49" s="6" t="s">
        <v>33</v>
      </c>
      <c r="Z49" s="6">
        <v>2</v>
      </c>
      <c r="AA49" s="30">
        <v>0</v>
      </c>
    </row>
    <row r="50" spans="1:27">
      <c r="A50" s="6" t="s">
        <v>33</v>
      </c>
      <c r="B50" s="6">
        <v>3</v>
      </c>
      <c r="C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50</v>
      </c>
      <c r="B51" s="6">
        <v>1</v>
      </c>
      <c r="C51" s="30">
        <v>0</v>
      </c>
      <c r="Y51" s="6" t="s">
        <v>25</v>
      </c>
      <c r="Z51" s="6">
        <v>2</v>
      </c>
      <c r="AA51" s="30">
        <v>0</v>
      </c>
    </row>
    <row r="52" spans="1:27">
      <c r="A52" s="6" t="s">
        <v>32</v>
      </c>
      <c r="B52" s="6">
        <v>1</v>
      </c>
      <c r="C52" s="30">
        <v>0</v>
      </c>
      <c r="Y52" s="6" t="s">
        <v>66</v>
      </c>
      <c r="Z52" s="6">
        <v>1</v>
      </c>
      <c r="AA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53</v>
      </c>
      <c r="B54" s="6">
        <v>1</v>
      </c>
      <c r="C5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F204-7E8E-430C-A5A8-247BA019754F}">
  <sheetPr codeName="Sheet22"/>
  <dimension ref="A1:AI55"/>
  <sheetViews>
    <sheetView topLeftCell="W1" workbookViewId="0">
      <selection activeCell="AB31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96439</v>
      </c>
      <c r="E2" s="41" t="s">
        <v>4</v>
      </c>
      <c r="F2" s="23" t="s">
        <v>105</v>
      </c>
      <c r="G2" s="23">
        <f>G3+G4</f>
        <v>96348</v>
      </c>
      <c r="H2" s="22"/>
      <c r="I2" s="41" t="s">
        <v>6</v>
      </c>
      <c r="J2" s="23" t="s">
        <v>105</v>
      </c>
      <c r="K2" s="23">
        <f>K3+K4</f>
        <v>97475</v>
      </c>
      <c r="M2" s="41" t="s">
        <v>104</v>
      </c>
      <c r="N2" s="23" t="s">
        <v>105</v>
      </c>
      <c r="O2" s="23">
        <f>O3+O4</f>
        <v>36316</v>
      </c>
      <c r="Q2" s="41" t="s">
        <v>4</v>
      </c>
      <c r="R2" s="23" t="s">
        <v>105</v>
      </c>
      <c r="S2" s="23">
        <f>S3+S4</f>
        <v>36722</v>
      </c>
      <c r="T2" s="22"/>
      <c r="U2" s="41" t="s">
        <v>6</v>
      </c>
      <c r="V2" s="23" t="s">
        <v>105</v>
      </c>
      <c r="W2" s="23">
        <f>W3+W4</f>
        <v>39504</v>
      </c>
      <c r="Y2" s="41" t="s">
        <v>104</v>
      </c>
      <c r="Z2" s="23" t="s">
        <v>105</v>
      </c>
      <c r="AA2" s="23">
        <f>AA3+AA4</f>
        <v>60119</v>
      </c>
      <c r="AC2" s="41" t="s">
        <v>4</v>
      </c>
      <c r="AD2" s="23" t="s">
        <v>105</v>
      </c>
      <c r="AE2" s="23">
        <f>AE3+AE4</f>
        <v>59628</v>
      </c>
      <c r="AF2" s="22"/>
      <c r="AG2" s="41" t="s">
        <v>6</v>
      </c>
      <c r="AH2" s="23" t="s">
        <v>105</v>
      </c>
      <c r="AI2" s="23">
        <f>AI3+AI4</f>
        <v>57973</v>
      </c>
    </row>
    <row r="3" spans="1:35">
      <c r="A3" s="42"/>
      <c r="B3" s="24" t="s">
        <v>106</v>
      </c>
      <c r="C3" s="24">
        <f>B8</f>
        <v>94896</v>
      </c>
      <c r="E3" s="42"/>
      <c r="F3" s="24" t="s">
        <v>106</v>
      </c>
      <c r="G3" s="24">
        <f>F8</f>
        <v>96080</v>
      </c>
      <c r="H3" s="22"/>
      <c r="I3" s="42"/>
      <c r="J3" s="24" t="s">
        <v>106</v>
      </c>
      <c r="K3" s="24">
        <f>J8</f>
        <v>97397</v>
      </c>
      <c r="M3" s="42"/>
      <c r="N3" s="24" t="s">
        <v>106</v>
      </c>
      <c r="O3" s="24">
        <f>N8</f>
        <v>35910</v>
      </c>
      <c r="Q3" s="42"/>
      <c r="R3" s="24" t="s">
        <v>106</v>
      </c>
      <c r="S3" s="24">
        <f>R8</f>
        <v>36624</v>
      </c>
      <c r="T3" s="22"/>
      <c r="U3" s="42"/>
      <c r="V3" s="24" t="s">
        <v>106</v>
      </c>
      <c r="W3" s="24">
        <f>V8</f>
        <v>39476</v>
      </c>
      <c r="Y3" s="42"/>
      <c r="Z3" s="24" t="s">
        <v>106</v>
      </c>
      <c r="AA3" s="24">
        <f>Z8</f>
        <v>58986</v>
      </c>
      <c r="AC3" s="42"/>
      <c r="AD3" s="24" t="s">
        <v>106</v>
      </c>
      <c r="AE3" s="24">
        <f>AD8</f>
        <v>59456</v>
      </c>
      <c r="AF3" s="22"/>
      <c r="AG3" s="42"/>
      <c r="AH3" s="24" t="s">
        <v>106</v>
      </c>
      <c r="AI3" s="24">
        <f>AH8</f>
        <v>57921</v>
      </c>
    </row>
    <row r="4" spans="1:35">
      <c r="A4" s="42"/>
      <c r="B4" s="25" t="s">
        <v>107</v>
      </c>
      <c r="C4" s="25">
        <f>SUM(B9:B66)</f>
        <v>1543</v>
      </c>
      <c r="E4" s="42"/>
      <c r="F4" s="25" t="s">
        <v>107</v>
      </c>
      <c r="G4" s="25">
        <f>SUM(F9:F33)</f>
        <v>268</v>
      </c>
      <c r="H4" s="22"/>
      <c r="I4" s="42"/>
      <c r="J4" s="25" t="s">
        <v>107</v>
      </c>
      <c r="K4" s="25">
        <f>SUM(J9:J31)</f>
        <v>78</v>
      </c>
      <c r="M4" s="42"/>
      <c r="N4" s="25" t="s">
        <v>107</v>
      </c>
      <c r="O4" s="25">
        <f>SUM(N9:N66)</f>
        <v>406</v>
      </c>
      <c r="Q4" s="42"/>
      <c r="R4" s="25" t="s">
        <v>107</v>
      </c>
      <c r="S4" s="25">
        <f>SUM(R9:R33)</f>
        <v>98</v>
      </c>
      <c r="T4" s="22"/>
      <c r="U4" s="42"/>
      <c r="V4" s="25" t="s">
        <v>107</v>
      </c>
      <c r="W4" s="25">
        <f>SUM(V9:V31)</f>
        <v>28</v>
      </c>
      <c r="Y4" s="42"/>
      <c r="Z4" s="25" t="s">
        <v>107</v>
      </c>
      <c r="AA4" s="25">
        <f>SUM(Z9:Z45)</f>
        <v>1133</v>
      </c>
      <c r="AC4" s="42"/>
      <c r="AD4" s="25" t="s">
        <v>107</v>
      </c>
      <c r="AE4" s="25">
        <f>SUM(AD9:AD29)</f>
        <v>172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1.5699999999999992E-2</v>
      </c>
      <c r="E5" s="43"/>
      <c r="F5" s="23" t="s">
        <v>108</v>
      </c>
      <c r="G5" s="26">
        <f>SUM(G9:G33)</f>
        <v>2.7999999999999991E-3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1.139999999999999E-2</v>
      </c>
      <c r="Q5" s="43"/>
      <c r="R5" s="23" t="s">
        <v>108</v>
      </c>
      <c r="S5" s="26">
        <f>SUM(S9:S33)</f>
        <v>2.4999999999999996E-3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1.8599999999999992E-2</v>
      </c>
      <c r="AC5" s="43"/>
      <c r="AD5" s="23" t="s">
        <v>108</v>
      </c>
      <c r="AE5" s="26">
        <f>SUM(AE9:AE29)</f>
        <v>2.8999999999999994E-3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94896</v>
      </c>
      <c r="C8" s="9">
        <v>0.98399999999999999</v>
      </c>
      <c r="E8" s="6" t="s">
        <v>112</v>
      </c>
      <c r="F8" s="29">
        <v>96080</v>
      </c>
      <c r="G8" s="9">
        <v>0.99719999999999998</v>
      </c>
      <c r="I8" s="6" t="s">
        <v>112</v>
      </c>
      <c r="J8" s="29">
        <v>97397</v>
      </c>
      <c r="K8" s="9">
        <v>0.99919999999999998</v>
      </c>
      <c r="M8" s="6" t="s">
        <v>112</v>
      </c>
      <c r="N8" s="29">
        <v>35910</v>
      </c>
      <c r="O8" s="9">
        <v>0.98880000000000001</v>
      </c>
      <c r="Q8" s="6" t="s">
        <v>112</v>
      </c>
      <c r="R8" s="29">
        <v>36624</v>
      </c>
      <c r="S8" s="9">
        <v>0.99729999999999996</v>
      </c>
      <c r="U8" s="6" t="s">
        <v>112</v>
      </c>
      <c r="V8" s="29">
        <v>39476</v>
      </c>
      <c r="W8" s="9">
        <v>0.99929999999999997</v>
      </c>
      <c r="Y8" s="6" t="s">
        <v>112</v>
      </c>
      <c r="Z8" s="29">
        <v>58986</v>
      </c>
      <c r="AA8" s="9">
        <v>0.98109999999999997</v>
      </c>
      <c r="AC8" s="6" t="s">
        <v>112</v>
      </c>
      <c r="AD8" s="29">
        <v>59456</v>
      </c>
      <c r="AE8" s="9">
        <v>0.99709999999999999</v>
      </c>
      <c r="AG8" s="6" t="s">
        <v>112</v>
      </c>
      <c r="AH8" s="29">
        <v>57921</v>
      </c>
      <c r="AI8" s="9">
        <v>0.99909999999999999</v>
      </c>
    </row>
    <row r="9" spans="1:35">
      <c r="A9" s="6" t="s">
        <v>2</v>
      </c>
      <c r="B9" s="6">
        <v>427</v>
      </c>
      <c r="C9" s="9">
        <v>4.4000000000000003E-3</v>
      </c>
      <c r="E9" s="6" t="s">
        <v>122</v>
      </c>
      <c r="F9" s="6">
        <v>189</v>
      </c>
      <c r="G9" s="9">
        <v>2E-3</v>
      </c>
      <c r="I9" s="6" t="s">
        <v>2</v>
      </c>
      <c r="J9" s="6">
        <v>36</v>
      </c>
      <c r="K9" s="9">
        <v>4.0000000000000002E-4</v>
      </c>
      <c r="M9" s="6" t="s">
        <v>2</v>
      </c>
      <c r="N9" s="6">
        <v>126</v>
      </c>
      <c r="O9" s="9">
        <v>3.5000000000000001E-3</v>
      </c>
      <c r="Q9" s="6" t="s">
        <v>122</v>
      </c>
      <c r="R9" s="6">
        <v>84</v>
      </c>
      <c r="S9" s="9">
        <v>2.3E-3</v>
      </c>
      <c r="U9" s="6" t="s">
        <v>2</v>
      </c>
      <c r="V9" s="6">
        <v>8</v>
      </c>
      <c r="W9" s="9">
        <v>2.0000000000000001E-4</v>
      </c>
      <c r="Y9" s="6" t="s">
        <v>2</v>
      </c>
      <c r="Z9" s="6">
        <v>301</v>
      </c>
      <c r="AA9" s="9">
        <v>5.0000000000000001E-3</v>
      </c>
      <c r="AC9" s="6" t="s">
        <v>122</v>
      </c>
      <c r="AD9" s="6">
        <v>105</v>
      </c>
      <c r="AE9" s="9">
        <v>1.8E-3</v>
      </c>
      <c r="AG9" s="6" t="s">
        <v>2</v>
      </c>
      <c r="AH9" s="6">
        <v>28</v>
      </c>
      <c r="AI9" s="9">
        <v>5.0000000000000001E-4</v>
      </c>
    </row>
    <row r="10" spans="1:35">
      <c r="A10" s="6" t="s">
        <v>3</v>
      </c>
      <c r="B10" s="6">
        <v>244</v>
      </c>
      <c r="C10" s="9">
        <v>2.5000000000000001E-3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8</v>
      </c>
      <c r="K10" s="9">
        <v>1E-4</v>
      </c>
      <c r="M10" s="6" t="s">
        <v>3</v>
      </c>
      <c r="N10" s="6">
        <v>106</v>
      </c>
      <c r="O10" s="9">
        <v>2.8999999999999998E-3</v>
      </c>
      <c r="Q10" s="6" t="s">
        <v>76</v>
      </c>
      <c r="R10" s="6">
        <v>5</v>
      </c>
      <c r="S10" s="9">
        <v>1E-4</v>
      </c>
      <c r="U10" s="6" t="s">
        <v>102</v>
      </c>
      <c r="V10" s="6">
        <v>4</v>
      </c>
      <c r="W10" s="9">
        <v>1E-4</v>
      </c>
      <c r="Y10" s="6" t="s">
        <v>5</v>
      </c>
      <c r="Z10" s="6">
        <v>160</v>
      </c>
      <c r="AA10" s="9">
        <v>2.7000000000000001E-3</v>
      </c>
      <c r="AC10" s="6" t="s">
        <v>83</v>
      </c>
      <c r="AD10" s="6">
        <v>31</v>
      </c>
      <c r="AE10" s="9">
        <v>5.0000000000000001E-4</v>
      </c>
      <c r="AG10" s="6" t="s">
        <v>98</v>
      </c>
      <c r="AH10" s="6">
        <v>4</v>
      </c>
      <c r="AI10" s="9">
        <v>1E-4</v>
      </c>
    </row>
    <row r="11" spans="1:35">
      <c r="A11" s="6" t="s">
        <v>5</v>
      </c>
      <c r="B11" s="6">
        <v>167</v>
      </c>
      <c r="C11" s="9">
        <v>1.6999999999999999E-3</v>
      </c>
      <c r="E11" s="6" t="s">
        <v>76</v>
      </c>
      <c r="F11" s="6">
        <v>9</v>
      </c>
      <c r="G11" s="9">
        <v>1E-4</v>
      </c>
      <c r="I11" s="6" t="s">
        <v>99</v>
      </c>
      <c r="J11" s="6">
        <v>13</v>
      </c>
      <c r="K11" s="9">
        <v>1E-4</v>
      </c>
      <c r="M11" s="6" t="s">
        <v>7</v>
      </c>
      <c r="N11" s="6">
        <v>38</v>
      </c>
      <c r="O11" s="9">
        <v>1E-3</v>
      </c>
      <c r="Q11" s="6" t="s">
        <v>74</v>
      </c>
      <c r="R11" s="6">
        <v>5</v>
      </c>
      <c r="S11" s="9">
        <v>1E-4</v>
      </c>
      <c r="U11" s="6" t="s">
        <v>98</v>
      </c>
      <c r="V11" s="6">
        <v>4</v>
      </c>
      <c r="W11" s="9">
        <v>1E-4</v>
      </c>
      <c r="Y11" s="6" t="s">
        <v>3</v>
      </c>
      <c r="Z11" s="6">
        <v>138</v>
      </c>
      <c r="AA11" s="9">
        <v>2.3E-3</v>
      </c>
      <c r="AC11" s="6" t="s">
        <v>77</v>
      </c>
      <c r="AD11" s="6">
        <v>9</v>
      </c>
      <c r="AE11" s="9">
        <v>2.0000000000000001E-4</v>
      </c>
      <c r="AG11" s="6" t="s">
        <v>99</v>
      </c>
      <c r="AH11" s="6">
        <v>8</v>
      </c>
      <c r="AI11" s="9">
        <v>1E-4</v>
      </c>
    </row>
    <row r="12" spans="1:35">
      <c r="A12" s="6" t="s">
        <v>9</v>
      </c>
      <c r="B12" s="6">
        <v>141</v>
      </c>
      <c r="C12" s="9">
        <v>1.5E-3</v>
      </c>
      <c r="E12" s="6" t="s">
        <v>77</v>
      </c>
      <c r="F12" s="6">
        <v>10</v>
      </c>
      <c r="G12" s="9">
        <v>1E-4</v>
      </c>
      <c r="I12" s="6" t="s">
        <v>113</v>
      </c>
      <c r="J12" s="6">
        <v>11</v>
      </c>
      <c r="K12" s="9">
        <v>1E-4</v>
      </c>
      <c r="M12" s="6" t="s">
        <v>11</v>
      </c>
      <c r="N12" s="6">
        <v>26</v>
      </c>
      <c r="O12" s="9">
        <v>6.9999999999999999E-4</v>
      </c>
      <c r="Q12" s="6" t="s">
        <v>80</v>
      </c>
      <c r="R12" s="6">
        <v>1</v>
      </c>
      <c r="S12" s="30">
        <v>0</v>
      </c>
      <c r="U12" s="6" t="s">
        <v>99</v>
      </c>
      <c r="V12" s="6">
        <v>5</v>
      </c>
      <c r="W12" s="9">
        <v>1E-4</v>
      </c>
      <c r="Y12" s="6" t="s">
        <v>9</v>
      </c>
      <c r="Z12" s="6">
        <v>130</v>
      </c>
      <c r="AA12" s="9">
        <v>2.2000000000000001E-3</v>
      </c>
      <c r="AC12" s="6" t="s">
        <v>76</v>
      </c>
      <c r="AD12" s="6">
        <v>4</v>
      </c>
      <c r="AE12" s="9">
        <v>1E-4</v>
      </c>
      <c r="AG12" s="6" t="s">
        <v>113</v>
      </c>
      <c r="AH12" s="6">
        <v>7</v>
      </c>
      <c r="AI12" s="9">
        <v>1E-4</v>
      </c>
    </row>
    <row r="13" spans="1:35">
      <c r="A13" s="6" t="s">
        <v>8</v>
      </c>
      <c r="B13" s="6">
        <v>100</v>
      </c>
      <c r="C13" s="9">
        <v>1E-3</v>
      </c>
      <c r="E13" s="6" t="s">
        <v>74</v>
      </c>
      <c r="F13" s="6">
        <v>10</v>
      </c>
      <c r="G13" s="9">
        <v>1E-4</v>
      </c>
      <c r="I13" s="6" t="s">
        <v>102</v>
      </c>
      <c r="J13" s="6">
        <v>3</v>
      </c>
      <c r="K13" s="30">
        <v>0</v>
      </c>
      <c r="M13" s="6" t="s">
        <v>41</v>
      </c>
      <c r="N13" s="6">
        <v>14</v>
      </c>
      <c r="O13" s="9">
        <v>4.0000000000000002E-4</v>
      </c>
      <c r="Q13" s="6" t="s">
        <v>86</v>
      </c>
      <c r="R13" s="6">
        <v>1</v>
      </c>
      <c r="S13" s="30">
        <v>0</v>
      </c>
      <c r="U13" s="6" t="s">
        <v>103</v>
      </c>
      <c r="V13" s="6">
        <v>2</v>
      </c>
      <c r="W13" s="9">
        <v>1E-4</v>
      </c>
      <c r="Y13" s="6" t="s">
        <v>8</v>
      </c>
      <c r="Z13" s="6">
        <v>96</v>
      </c>
      <c r="AA13" s="9">
        <v>1.6000000000000001E-3</v>
      </c>
      <c r="AC13" s="6" t="s">
        <v>75</v>
      </c>
      <c r="AD13" s="6">
        <v>8</v>
      </c>
      <c r="AE13" s="9">
        <v>1E-4</v>
      </c>
      <c r="AG13" s="6" t="s">
        <v>117</v>
      </c>
      <c r="AH13" s="6">
        <v>2</v>
      </c>
      <c r="AI13" s="30">
        <v>0</v>
      </c>
    </row>
    <row r="14" spans="1:35">
      <c r="A14" s="6" t="s">
        <v>7</v>
      </c>
      <c r="B14" s="6">
        <v>80</v>
      </c>
      <c r="C14" s="9">
        <v>8.0000000000000004E-4</v>
      </c>
      <c r="E14" s="6" t="s">
        <v>75</v>
      </c>
      <c r="F14" s="6">
        <v>8</v>
      </c>
      <c r="G14" s="9">
        <v>1E-4</v>
      </c>
      <c r="I14" s="6" t="s">
        <v>117</v>
      </c>
      <c r="J14" s="6">
        <v>2</v>
      </c>
      <c r="K14" s="30">
        <v>0</v>
      </c>
      <c r="M14" s="6" t="s">
        <v>9</v>
      </c>
      <c r="N14" s="6">
        <v>11</v>
      </c>
      <c r="O14" s="9">
        <v>2.9999999999999997E-4</v>
      </c>
      <c r="Q14" s="6" t="s">
        <v>77</v>
      </c>
      <c r="R14" s="6">
        <v>1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46</v>
      </c>
      <c r="AA14" s="9">
        <v>8.0000000000000004E-4</v>
      </c>
      <c r="AC14" s="6" t="s">
        <v>79</v>
      </c>
      <c r="AD14" s="6">
        <v>7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11</v>
      </c>
      <c r="B15" s="6">
        <v>72</v>
      </c>
      <c r="C15" s="9">
        <v>6.9999999999999999E-4</v>
      </c>
      <c r="E15" s="6" t="s">
        <v>79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5</v>
      </c>
      <c r="N15" s="6">
        <v>7</v>
      </c>
      <c r="O15" s="9">
        <v>2.0000000000000001E-4</v>
      </c>
      <c r="Q15" s="6" t="s">
        <v>75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7</v>
      </c>
      <c r="Z15" s="6">
        <v>42</v>
      </c>
      <c r="AA15" s="9">
        <v>6.9999999999999999E-4</v>
      </c>
      <c r="AC15" s="6" t="s">
        <v>74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41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4</v>
      </c>
      <c r="K16" s="30">
        <v>0</v>
      </c>
      <c r="M16" s="6" t="s">
        <v>18</v>
      </c>
      <c r="N16" s="6">
        <v>8</v>
      </c>
      <c r="O16" s="9">
        <v>2.0000000000000001E-4</v>
      </c>
      <c r="Y16" s="6" t="s">
        <v>14</v>
      </c>
      <c r="Z16" s="6">
        <v>34</v>
      </c>
      <c r="AA16" s="9">
        <v>5.9999999999999995E-4</v>
      </c>
      <c r="AC16" s="6" t="s">
        <v>80</v>
      </c>
      <c r="AD16" s="6">
        <v>1</v>
      </c>
      <c r="AE16" s="30">
        <v>0</v>
      </c>
    </row>
    <row r="17" spans="1:31">
      <c r="A17" s="6" t="s">
        <v>14</v>
      </c>
      <c r="B17" s="6">
        <v>34</v>
      </c>
      <c r="C17" s="9">
        <v>4.0000000000000002E-4</v>
      </c>
      <c r="E17" s="6" t="s">
        <v>135</v>
      </c>
      <c r="F17" s="6">
        <v>1</v>
      </c>
      <c r="G17" s="30">
        <v>0</v>
      </c>
      <c r="M17" s="6" t="s">
        <v>17</v>
      </c>
      <c r="N17" s="6">
        <v>6</v>
      </c>
      <c r="O17" s="9">
        <v>2.0000000000000001E-4</v>
      </c>
      <c r="Y17" s="6" t="s">
        <v>41</v>
      </c>
      <c r="Z17" s="6">
        <v>27</v>
      </c>
      <c r="AA17" s="9">
        <v>4.0000000000000002E-4</v>
      </c>
      <c r="AC17" s="6" t="s">
        <v>135</v>
      </c>
      <c r="AD17" s="6">
        <v>1</v>
      </c>
      <c r="AE17" s="30">
        <v>0</v>
      </c>
    </row>
    <row r="18" spans="1:31">
      <c r="A18" s="6" t="s">
        <v>17</v>
      </c>
      <c r="B18" s="6">
        <v>27</v>
      </c>
      <c r="C18" s="9">
        <v>2.9999999999999997E-4</v>
      </c>
      <c r="E18" s="6" t="s">
        <v>78</v>
      </c>
      <c r="F18" s="6">
        <v>1</v>
      </c>
      <c r="G18" s="30">
        <v>0</v>
      </c>
      <c r="M18" s="6" t="s">
        <v>10</v>
      </c>
      <c r="N18" s="6">
        <v>6</v>
      </c>
      <c r="O18" s="9">
        <v>2.0000000000000001E-4</v>
      </c>
      <c r="Y18" s="6" t="s">
        <v>17</v>
      </c>
      <c r="Z18" s="6">
        <v>21</v>
      </c>
      <c r="AA18" s="9">
        <v>2.9999999999999997E-4</v>
      </c>
      <c r="AC18" s="6" t="s">
        <v>78</v>
      </c>
      <c r="AD18" s="6">
        <v>1</v>
      </c>
      <c r="AE18" s="30">
        <v>0</v>
      </c>
    </row>
    <row r="19" spans="1:31">
      <c r="A19" s="6" t="s">
        <v>37</v>
      </c>
      <c r="B19" s="6">
        <v>16</v>
      </c>
      <c r="C19" s="9">
        <v>2.0000000000000001E-4</v>
      </c>
      <c r="E19" s="6" t="s">
        <v>86</v>
      </c>
      <c r="F19" s="6">
        <v>1</v>
      </c>
      <c r="G19" s="30">
        <v>0</v>
      </c>
      <c r="M19" s="6" t="s">
        <v>20</v>
      </c>
      <c r="N19" s="6">
        <v>3</v>
      </c>
      <c r="O19" s="9">
        <v>1E-4</v>
      </c>
      <c r="Y19" s="6" t="s">
        <v>37</v>
      </c>
      <c r="Z19" s="6">
        <v>13</v>
      </c>
      <c r="AA19" s="9">
        <v>2.0000000000000001E-4</v>
      </c>
    </row>
    <row r="20" spans="1:31">
      <c r="A20" s="6" t="s">
        <v>18</v>
      </c>
      <c r="B20" s="6">
        <v>17</v>
      </c>
      <c r="C20" s="9">
        <v>2.0000000000000001E-4</v>
      </c>
      <c r="M20" s="6" t="s">
        <v>45</v>
      </c>
      <c r="N20" s="6">
        <v>2</v>
      </c>
      <c r="O20" s="9">
        <v>1E-4</v>
      </c>
      <c r="Y20" s="6" t="s">
        <v>12</v>
      </c>
      <c r="Z20" s="6">
        <v>11</v>
      </c>
      <c r="AA20" s="9">
        <v>2.0000000000000001E-4</v>
      </c>
    </row>
    <row r="21" spans="1:31">
      <c r="A21" s="6" t="s">
        <v>10</v>
      </c>
      <c r="B21" s="6">
        <v>16</v>
      </c>
      <c r="C21" s="9">
        <v>2.0000000000000001E-4</v>
      </c>
      <c r="M21" s="6" t="s">
        <v>26</v>
      </c>
      <c r="N21" s="6">
        <v>5</v>
      </c>
      <c r="O21" s="9">
        <v>1E-4</v>
      </c>
      <c r="Y21" s="6" t="s">
        <v>31</v>
      </c>
      <c r="Z21" s="6">
        <v>12</v>
      </c>
      <c r="AA21" s="9">
        <v>2.0000000000000001E-4</v>
      </c>
    </row>
    <row r="22" spans="1:31">
      <c r="A22" s="6" t="s">
        <v>31</v>
      </c>
      <c r="B22" s="6">
        <v>16</v>
      </c>
      <c r="C22" s="9">
        <v>2.0000000000000001E-4</v>
      </c>
      <c r="M22" s="6" t="s">
        <v>12</v>
      </c>
      <c r="N22" s="6">
        <v>2</v>
      </c>
      <c r="O22" s="9">
        <v>1E-4</v>
      </c>
      <c r="Y22" s="6" t="s">
        <v>10</v>
      </c>
      <c r="Z22" s="6">
        <v>10</v>
      </c>
      <c r="AA22" s="9">
        <v>2.0000000000000001E-4</v>
      </c>
    </row>
    <row r="23" spans="1:31">
      <c r="A23" s="6" t="s">
        <v>20</v>
      </c>
      <c r="B23" s="6">
        <v>9</v>
      </c>
      <c r="C23" s="9">
        <v>1E-4</v>
      </c>
      <c r="M23" s="6" t="s">
        <v>8</v>
      </c>
      <c r="N23" s="6">
        <v>4</v>
      </c>
      <c r="O23" s="9">
        <v>1E-4</v>
      </c>
      <c r="Y23" s="6" t="s">
        <v>20</v>
      </c>
      <c r="Z23" s="6">
        <v>6</v>
      </c>
      <c r="AA23" s="9">
        <v>1E-4</v>
      </c>
    </row>
    <row r="24" spans="1:31">
      <c r="A24" s="6" t="s">
        <v>12</v>
      </c>
      <c r="B24" s="6">
        <v>13</v>
      </c>
      <c r="C24" s="9">
        <v>1E-4</v>
      </c>
      <c r="M24" s="6" t="s">
        <v>43</v>
      </c>
      <c r="N24" s="6">
        <v>4</v>
      </c>
      <c r="O24" s="9">
        <v>1E-4</v>
      </c>
      <c r="Y24" s="6" t="s">
        <v>21</v>
      </c>
      <c r="Z24" s="6">
        <v>4</v>
      </c>
      <c r="AA24" s="9">
        <v>1E-4</v>
      </c>
    </row>
    <row r="25" spans="1:31">
      <c r="A25" s="6" t="s">
        <v>16</v>
      </c>
      <c r="B25" s="6">
        <v>8</v>
      </c>
      <c r="C25" s="9">
        <v>1E-4</v>
      </c>
      <c r="M25" s="6" t="s">
        <v>22</v>
      </c>
      <c r="N25" s="6">
        <v>2</v>
      </c>
      <c r="O25" s="9">
        <v>1E-4</v>
      </c>
      <c r="Y25" s="6" t="s">
        <v>18</v>
      </c>
      <c r="Z25" s="6">
        <v>9</v>
      </c>
      <c r="AA25" s="9">
        <v>1E-4</v>
      </c>
    </row>
    <row r="26" spans="1:31">
      <c r="A26" s="6" t="s">
        <v>30</v>
      </c>
      <c r="B26" s="6">
        <v>13</v>
      </c>
      <c r="C26" s="9">
        <v>1E-4</v>
      </c>
      <c r="M26" s="6" t="s">
        <v>16</v>
      </c>
      <c r="N26" s="6">
        <v>2</v>
      </c>
      <c r="O26" s="9">
        <v>1E-4</v>
      </c>
      <c r="Y26" s="6" t="s">
        <v>16</v>
      </c>
      <c r="Z26" s="6">
        <v>6</v>
      </c>
      <c r="AA26" s="9">
        <v>1E-4</v>
      </c>
    </row>
    <row r="27" spans="1:31">
      <c r="A27" s="6" t="s">
        <v>22</v>
      </c>
      <c r="B27" s="6">
        <v>7</v>
      </c>
      <c r="C27" s="9">
        <v>1E-4</v>
      </c>
      <c r="M27" s="6" t="s">
        <v>30</v>
      </c>
      <c r="N27" s="6">
        <v>5</v>
      </c>
      <c r="O27" s="9">
        <v>1E-4</v>
      </c>
      <c r="Y27" s="6" t="s">
        <v>30</v>
      </c>
      <c r="Z27" s="6">
        <v>8</v>
      </c>
      <c r="AA27" s="9">
        <v>1E-4</v>
      </c>
    </row>
    <row r="28" spans="1:31">
      <c r="A28" s="6" t="s">
        <v>26</v>
      </c>
      <c r="B28" s="6">
        <v>10</v>
      </c>
      <c r="C28" s="9">
        <v>1E-4</v>
      </c>
      <c r="M28" s="6" t="s">
        <v>37</v>
      </c>
      <c r="N28" s="6">
        <v>3</v>
      </c>
      <c r="O28" s="9">
        <v>1E-4</v>
      </c>
      <c r="Y28" s="6" t="s">
        <v>22</v>
      </c>
      <c r="Z28" s="6">
        <v>5</v>
      </c>
      <c r="AA28" s="9">
        <v>1E-4</v>
      </c>
    </row>
    <row r="29" spans="1:31">
      <c r="A29" s="6" t="s">
        <v>29</v>
      </c>
      <c r="B29" s="6">
        <v>9</v>
      </c>
      <c r="C29" s="9">
        <v>1E-4</v>
      </c>
      <c r="M29" s="6" t="s">
        <v>31</v>
      </c>
      <c r="N29" s="6">
        <v>4</v>
      </c>
      <c r="O29" s="9">
        <v>1E-4</v>
      </c>
      <c r="Y29" s="6" t="s">
        <v>40</v>
      </c>
      <c r="Z29" s="6">
        <v>6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29</v>
      </c>
      <c r="N30" s="6">
        <v>3</v>
      </c>
      <c r="O30" s="9">
        <v>1E-4</v>
      </c>
      <c r="Y30" s="6" t="s">
        <v>29</v>
      </c>
      <c r="Z30" s="6">
        <v>6</v>
      </c>
      <c r="AA30" s="9">
        <v>1E-4</v>
      </c>
    </row>
    <row r="31" spans="1:31">
      <c r="A31" s="6" t="s">
        <v>24</v>
      </c>
      <c r="B31" s="6">
        <v>6</v>
      </c>
      <c r="C31" s="9">
        <v>1E-4</v>
      </c>
      <c r="M31" s="6" t="s">
        <v>40</v>
      </c>
      <c r="N31" s="6">
        <v>3</v>
      </c>
      <c r="O31" s="9">
        <v>1E-4</v>
      </c>
      <c r="Y31" s="6" t="s">
        <v>24</v>
      </c>
      <c r="Z31" s="6">
        <v>6</v>
      </c>
      <c r="AA31" s="9">
        <v>1E-4</v>
      </c>
    </row>
    <row r="32" spans="1:31">
      <c r="A32" s="6" t="s">
        <v>15</v>
      </c>
      <c r="B32" s="6">
        <v>6</v>
      </c>
      <c r="C32" s="9">
        <v>1E-4</v>
      </c>
      <c r="M32" s="6" t="s">
        <v>58</v>
      </c>
      <c r="N32" s="6">
        <v>3</v>
      </c>
      <c r="O32" s="9">
        <v>1E-4</v>
      </c>
      <c r="Y32" s="6" t="s">
        <v>15</v>
      </c>
      <c r="Z32" s="6">
        <v>4</v>
      </c>
      <c r="AA32" s="9">
        <v>1E-4</v>
      </c>
    </row>
    <row r="33" spans="1:27">
      <c r="A33" s="6" t="s">
        <v>58</v>
      </c>
      <c r="B33" s="6">
        <v>5</v>
      </c>
      <c r="C33" s="9">
        <v>1E-4</v>
      </c>
      <c r="M33" s="6" t="s">
        <v>15</v>
      </c>
      <c r="N33" s="6">
        <v>2</v>
      </c>
      <c r="O33" s="9">
        <v>1E-4</v>
      </c>
      <c r="Y33" s="6" t="s">
        <v>26</v>
      </c>
      <c r="Z33" s="6">
        <v>5</v>
      </c>
      <c r="AA33" s="9">
        <v>1E-4</v>
      </c>
    </row>
    <row r="34" spans="1:27">
      <c r="A34" s="6" t="s">
        <v>39</v>
      </c>
      <c r="B34" s="6">
        <v>9</v>
      </c>
      <c r="C34" s="9">
        <v>1E-4</v>
      </c>
      <c r="M34" s="6" t="s">
        <v>49</v>
      </c>
      <c r="N34" s="6">
        <v>2</v>
      </c>
      <c r="O34" s="9">
        <v>1E-4</v>
      </c>
      <c r="Y34" s="6" t="s">
        <v>39</v>
      </c>
      <c r="Z34" s="6">
        <v>7</v>
      </c>
      <c r="AA34" s="9">
        <v>1E-4</v>
      </c>
    </row>
    <row r="35" spans="1:27">
      <c r="A35" s="6" t="s">
        <v>19</v>
      </c>
      <c r="B35" s="6">
        <v>3</v>
      </c>
      <c r="C35" s="30">
        <v>0</v>
      </c>
      <c r="M35" s="6" t="s">
        <v>25</v>
      </c>
      <c r="N35" s="6">
        <v>2</v>
      </c>
      <c r="O35" s="9">
        <v>1E-4</v>
      </c>
      <c r="Y35" s="6" t="s">
        <v>19</v>
      </c>
      <c r="Z35" s="6">
        <v>3</v>
      </c>
      <c r="AA35" s="30">
        <v>0</v>
      </c>
    </row>
    <row r="36" spans="1:27">
      <c r="A36" s="6" t="s">
        <v>21</v>
      </c>
      <c r="B36" s="6">
        <v>4</v>
      </c>
      <c r="C36" s="30">
        <v>0</v>
      </c>
      <c r="M36" s="6" t="s">
        <v>39</v>
      </c>
      <c r="N36" s="6">
        <v>2</v>
      </c>
      <c r="O36" s="9">
        <v>1E-4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115</v>
      </c>
      <c r="N37" s="6">
        <v>1</v>
      </c>
      <c r="O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45</v>
      </c>
      <c r="B38" s="6">
        <v>2</v>
      </c>
      <c r="C38" s="30">
        <v>0</v>
      </c>
      <c r="M38" s="6" t="s">
        <v>13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34</v>
      </c>
      <c r="B39" s="6">
        <v>1</v>
      </c>
      <c r="C39" s="30">
        <v>0</v>
      </c>
      <c r="M39" s="6" t="s">
        <v>36</v>
      </c>
      <c r="N39" s="6">
        <v>1</v>
      </c>
      <c r="O39" s="30">
        <v>0</v>
      </c>
      <c r="Y39" s="6" t="s">
        <v>51</v>
      </c>
      <c r="Z39" s="6">
        <v>1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59</v>
      </c>
      <c r="N40" s="6">
        <v>1</v>
      </c>
      <c r="O40" s="30">
        <v>0</v>
      </c>
      <c r="Y40" s="6" t="s">
        <v>58</v>
      </c>
      <c r="Z40" s="6">
        <v>2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33</v>
      </c>
      <c r="N41" s="6">
        <v>1</v>
      </c>
      <c r="O41" s="30">
        <v>0</v>
      </c>
      <c r="Y41" s="6" t="s">
        <v>48</v>
      </c>
      <c r="Z41" s="6">
        <v>1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Y42" s="6" t="s">
        <v>27</v>
      </c>
      <c r="Z42" s="6">
        <v>1</v>
      </c>
      <c r="AA42" s="30">
        <v>0</v>
      </c>
    </row>
    <row r="43" spans="1:27">
      <c r="A43" s="6" t="s">
        <v>43</v>
      </c>
      <c r="B43" s="6">
        <v>4</v>
      </c>
      <c r="C43" s="30">
        <v>0</v>
      </c>
      <c r="Y43" s="6" t="s">
        <v>32</v>
      </c>
      <c r="Z43" s="6">
        <v>3</v>
      </c>
      <c r="AA43" s="30">
        <v>0</v>
      </c>
    </row>
    <row r="44" spans="1:27">
      <c r="A44" s="6" t="s">
        <v>27</v>
      </c>
      <c r="B44" s="6">
        <v>1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68</v>
      </c>
      <c r="Z45" s="6">
        <v>2</v>
      </c>
      <c r="AA45" s="30">
        <v>0</v>
      </c>
    </row>
    <row r="46" spans="1:27">
      <c r="A46" s="6" t="s">
        <v>32</v>
      </c>
      <c r="B46" s="6">
        <v>3</v>
      </c>
      <c r="C46" s="30">
        <v>0</v>
      </c>
      <c r="Y46" s="6" t="s">
        <v>155</v>
      </c>
      <c r="Z46" s="6">
        <v>1</v>
      </c>
      <c r="AA46" s="30">
        <v>0</v>
      </c>
    </row>
    <row r="47" spans="1:27">
      <c r="A47" s="6" t="s">
        <v>38</v>
      </c>
      <c r="B47" s="6">
        <v>2</v>
      </c>
      <c r="C47" s="30">
        <v>0</v>
      </c>
      <c r="Y47" s="6" t="s">
        <v>60</v>
      </c>
      <c r="Z47" s="6">
        <v>1</v>
      </c>
      <c r="AA47" s="30">
        <v>0</v>
      </c>
    </row>
    <row r="48" spans="1:27">
      <c r="A48" s="6" t="s">
        <v>49</v>
      </c>
      <c r="B48" s="6">
        <v>2</v>
      </c>
      <c r="C48" s="30">
        <v>0</v>
      </c>
      <c r="Y48" s="6" t="s">
        <v>33</v>
      </c>
      <c r="Z48" s="6">
        <v>1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28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</row>
    <row r="51" spans="1:27">
      <c r="A51" s="6" t="s">
        <v>68</v>
      </c>
      <c r="B51" s="6">
        <v>2</v>
      </c>
      <c r="C51" s="30">
        <v>0</v>
      </c>
    </row>
    <row r="52" spans="1:27">
      <c r="A52" s="6" t="s">
        <v>60</v>
      </c>
      <c r="B52" s="6">
        <v>1</v>
      </c>
      <c r="C52" s="30">
        <v>0</v>
      </c>
    </row>
    <row r="53" spans="1:27">
      <c r="A53" s="6" t="s">
        <v>28</v>
      </c>
      <c r="B53" s="6">
        <v>1</v>
      </c>
      <c r="C53" s="30">
        <v>0</v>
      </c>
    </row>
    <row r="54" spans="1:27">
      <c r="A54" s="6" t="s">
        <v>25</v>
      </c>
      <c r="B54" s="6">
        <v>2</v>
      </c>
      <c r="C54" s="30">
        <v>0</v>
      </c>
    </row>
    <row r="55" spans="1:27">
      <c r="A55" s="6" t="s">
        <v>59</v>
      </c>
      <c r="B55" s="6">
        <v>1</v>
      </c>
      <c r="C55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239B-3FAB-46FC-B265-E8D0B3F05A41}">
  <sheetPr codeName="Sheet23"/>
  <dimension ref="A1:AI61"/>
  <sheetViews>
    <sheetView topLeftCell="U1" workbookViewId="0">
      <selection activeCell="V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99599</v>
      </c>
      <c r="E2" s="41" t="s">
        <v>4</v>
      </c>
      <c r="F2" s="23" t="s">
        <v>105</v>
      </c>
      <c r="G2" s="23">
        <f>G3+G4</f>
        <v>96486</v>
      </c>
      <c r="H2" s="22"/>
      <c r="I2" s="41" t="s">
        <v>6</v>
      </c>
      <c r="J2" s="23" t="s">
        <v>105</v>
      </c>
      <c r="K2" s="23">
        <f>K3+K4</f>
        <v>92763</v>
      </c>
      <c r="M2" s="41" t="s">
        <v>104</v>
      </c>
      <c r="N2" s="23" t="s">
        <v>105</v>
      </c>
      <c r="O2" s="23">
        <f>O3+O4</f>
        <v>26473</v>
      </c>
      <c r="Q2" s="41" t="s">
        <v>4</v>
      </c>
      <c r="R2" s="23" t="s">
        <v>105</v>
      </c>
      <c r="S2" s="23">
        <f>S3+S4</f>
        <v>20612</v>
      </c>
      <c r="T2" s="22"/>
      <c r="U2" s="41" t="s">
        <v>6</v>
      </c>
      <c r="V2" s="23" t="s">
        <v>105</v>
      </c>
      <c r="W2" s="23">
        <f>W3+W4</f>
        <v>18387</v>
      </c>
      <c r="Y2" s="41" t="s">
        <v>104</v>
      </c>
      <c r="Z2" s="23" t="s">
        <v>105</v>
      </c>
      <c r="AA2" s="23">
        <f>AA3+AA4</f>
        <v>73109</v>
      </c>
      <c r="AC2" s="41" t="s">
        <v>4</v>
      </c>
      <c r="AD2" s="23" t="s">
        <v>105</v>
      </c>
      <c r="AE2" s="23">
        <f>AE3+AE4</f>
        <v>75875</v>
      </c>
      <c r="AF2" s="22"/>
      <c r="AG2" s="41" t="s">
        <v>6</v>
      </c>
      <c r="AH2" s="23" t="s">
        <v>105</v>
      </c>
      <c r="AI2" s="23">
        <f>AI3+AI4</f>
        <v>74378</v>
      </c>
    </row>
    <row r="3" spans="1:35">
      <c r="A3" s="42"/>
      <c r="B3" s="24" t="s">
        <v>106</v>
      </c>
      <c r="C3" s="24">
        <f>B8</f>
        <v>97969</v>
      </c>
      <c r="E3" s="42"/>
      <c r="F3" s="24" t="s">
        <v>106</v>
      </c>
      <c r="G3" s="24">
        <f>F8</f>
        <v>96196</v>
      </c>
      <c r="H3" s="22"/>
      <c r="I3" s="42"/>
      <c r="J3" s="24" t="s">
        <v>106</v>
      </c>
      <c r="K3" s="24">
        <f>J8</f>
        <v>92669</v>
      </c>
      <c r="M3" s="42"/>
      <c r="N3" s="24" t="s">
        <v>106</v>
      </c>
      <c r="O3" s="24">
        <f>N8</f>
        <v>26215</v>
      </c>
      <c r="Q3" s="42"/>
      <c r="R3" s="24" t="s">
        <v>106</v>
      </c>
      <c r="S3" s="24">
        <f>R8</f>
        <v>20566</v>
      </c>
      <c r="T3" s="22"/>
      <c r="U3" s="42"/>
      <c r="V3" s="24" t="s">
        <v>106</v>
      </c>
      <c r="W3" s="24">
        <f>V8</f>
        <v>18369</v>
      </c>
      <c r="Y3" s="42"/>
      <c r="Z3" s="24" t="s">
        <v>106</v>
      </c>
      <c r="AA3" s="24">
        <f>Z8</f>
        <v>71754</v>
      </c>
      <c r="AC3" s="42"/>
      <c r="AD3" s="24" t="s">
        <v>106</v>
      </c>
      <c r="AE3" s="24">
        <f>AD8</f>
        <v>75630</v>
      </c>
      <c r="AF3" s="22"/>
      <c r="AG3" s="42"/>
      <c r="AH3" s="24" t="s">
        <v>106</v>
      </c>
      <c r="AI3" s="24">
        <f>AH8</f>
        <v>74300</v>
      </c>
    </row>
    <row r="4" spans="1:35">
      <c r="A4" s="42"/>
      <c r="B4" s="25" t="s">
        <v>107</v>
      </c>
      <c r="C4" s="25">
        <f>SUM(B9:B66)</f>
        <v>1630</v>
      </c>
      <c r="E4" s="42"/>
      <c r="F4" s="25" t="s">
        <v>107</v>
      </c>
      <c r="G4" s="25">
        <f>SUM(F9:F33)</f>
        <v>290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258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18</v>
      </c>
      <c r="Y4" s="42"/>
      <c r="Z4" s="25" t="s">
        <v>107</v>
      </c>
      <c r="AA4" s="25">
        <f>SUM(Z9:Z45)</f>
        <v>1355</v>
      </c>
      <c r="AC4" s="42"/>
      <c r="AD4" s="25" t="s">
        <v>107</v>
      </c>
      <c r="AE4" s="25">
        <f>SUM(AD9:AD29)</f>
        <v>245</v>
      </c>
      <c r="AF4" s="22"/>
      <c r="AG4" s="42"/>
      <c r="AH4" s="25" t="s">
        <v>107</v>
      </c>
      <c r="AI4" s="25">
        <f>SUM(AH9:AH29)</f>
        <v>78</v>
      </c>
    </row>
    <row r="5" spans="1:35">
      <c r="A5" s="43"/>
      <c r="B5" s="23" t="s">
        <v>108</v>
      </c>
      <c r="C5" s="26">
        <f>SUM(C9:C179)</f>
        <v>1.6199999999999999E-2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9.3999999999999952E-3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1.8299999999999993E-2</v>
      </c>
      <c r="AC5" s="43"/>
      <c r="AD5" s="23" t="s">
        <v>108</v>
      </c>
      <c r="AE5" s="26">
        <f>SUM(AE9:AE29)</f>
        <v>3.1999999999999993E-3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97969</v>
      </c>
      <c r="C8" s="9">
        <v>0.98360000000000003</v>
      </c>
      <c r="E8" s="6" t="s">
        <v>112</v>
      </c>
      <c r="F8" s="29">
        <v>96196</v>
      </c>
      <c r="G8" s="9">
        <v>0.997</v>
      </c>
      <c r="I8" s="6" t="s">
        <v>112</v>
      </c>
      <c r="J8" s="29">
        <v>92669</v>
      </c>
      <c r="K8" s="9">
        <v>0.999</v>
      </c>
      <c r="M8" s="6" t="s">
        <v>112</v>
      </c>
      <c r="N8" s="29">
        <v>26215</v>
      </c>
      <c r="O8" s="9">
        <v>0.99029999999999996</v>
      </c>
      <c r="Q8" s="6" t="s">
        <v>112</v>
      </c>
      <c r="R8" s="29">
        <v>20566</v>
      </c>
      <c r="S8" s="9">
        <v>0.99780000000000002</v>
      </c>
      <c r="U8" s="6" t="s">
        <v>112</v>
      </c>
      <c r="V8" s="29">
        <v>18369</v>
      </c>
      <c r="W8" s="9">
        <v>0.999</v>
      </c>
      <c r="Y8" s="6" t="s">
        <v>112</v>
      </c>
      <c r="Z8" s="29">
        <v>71754</v>
      </c>
      <c r="AA8" s="9">
        <v>0.98119999999999996</v>
      </c>
      <c r="AC8" s="6" t="s">
        <v>112</v>
      </c>
      <c r="AD8" s="29">
        <v>75630</v>
      </c>
      <c r="AE8" s="9">
        <v>0.99680000000000002</v>
      </c>
      <c r="AG8" s="6" t="s">
        <v>112</v>
      </c>
      <c r="AH8" s="29">
        <v>74300</v>
      </c>
      <c r="AI8" s="9">
        <v>0.999</v>
      </c>
    </row>
    <row r="9" spans="1:35">
      <c r="A9" s="6" t="s">
        <v>2</v>
      </c>
      <c r="B9" s="6">
        <v>346</v>
      </c>
      <c r="C9" s="9">
        <v>3.5000000000000001E-3</v>
      </c>
      <c r="E9" s="6" t="s">
        <v>122</v>
      </c>
      <c r="F9" s="6">
        <v>185</v>
      </c>
      <c r="G9" s="9">
        <v>1.9E-3</v>
      </c>
      <c r="I9" s="6" t="s">
        <v>2</v>
      </c>
      <c r="J9" s="6">
        <v>34</v>
      </c>
      <c r="K9" s="9">
        <v>4.0000000000000002E-4</v>
      </c>
      <c r="M9" s="6" t="s">
        <v>2</v>
      </c>
      <c r="N9" s="6">
        <v>72</v>
      </c>
      <c r="O9" s="9">
        <v>2.7000000000000001E-3</v>
      </c>
      <c r="Q9" s="6" t="s">
        <v>122</v>
      </c>
      <c r="R9" s="6">
        <v>38</v>
      </c>
      <c r="S9" s="9">
        <v>1.8E-3</v>
      </c>
      <c r="U9" s="6" t="s">
        <v>99</v>
      </c>
      <c r="V9" s="6">
        <v>5</v>
      </c>
      <c r="W9" s="9">
        <v>2.9999999999999997E-4</v>
      </c>
      <c r="Y9" s="6" t="s">
        <v>2</v>
      </c>
      <c r="Z9" s="6">
        <v>274</v>
      </c>
      <c r="AA9" s="9">
        <v>3.7000000000000002E-3</v>
      </c>
      <c r="AC9" s="6" t="s">
        <v>122</v>
      </c>
      <c r="AD9" s="6">
        <v>147</v>
      </c>
      <c r="AE9" s="9">
        <v>1.9E-3</v>
      </c>
      <c r="AG9" s="6" t="s">
        <v>2</v>
      </c>
      <c r="AH9" s="6">
        <v>29</v>
      </c>
      <c r="AI9" s="9">
        <v>4.0000000000000002E-4</v>
      </c>
    </row>
    <row r="10" spans="1:35">
      <c r="A10" s="6" t="s">
        <v>9</v>
      </c>
      <c r="B10" s="6">
        <v>252</v>
      </c>
      <c r="C10" s="9">
        <v>2.5000000000000001E-3</v>
      </c>
      <c r="E10" s="6" t="s">
        <v>83</v>
      </c>
      <c r="F10" s="6">
        <v>44</v>
      </c>
      <c r="G10" s="9">
        <v>5.0000000000000001E-4</v>
      </c>
      <c r="I10" s="6" t="s">
        <v>98</v>
      </c>
      <c r="J10" s="6">
        <v>25</v>
      </c>
      <c r="K10" s="9">
        <v>2.9999999999999997E-4</v>
      </c>
      <c r="M10" s="6" t="s">
        <v>3</v>
      </c>
      <c r="N10" s="6">
        <v>56</v>
      </c>
      <c r="O10" s="9">
        <v>2.0999999999999999E-3</v>
      </c>
      <c r="Q10" s="6" t="s">
        <v>76</v>
      </c>
      <c r="R10" s="6">
        <v>4</v>
      </c>
      <c r="S10" s="9">
        <v>2.0000000000000001E-4</v>
      </c>
      <c r="U10" s="6" t="s">
        <v>2</v>
      </c>
      <c r="V10" s="6">
        <v>5</v>
      </c>
      <c r="W10" s="9">
        <v>2.9999999999999997E-4</v>
      </c>
      <c r="Y10" s="6" t="s">
        <v>9</v>
      </c>
      <c r="Z10" s="6">
        <v>246</v>
      </c>
      <c r="AA10" s="9">
        <v>3.3999999999999998E-3</v>
      </c>
      <c r="AC10" s="6" t="s">
        <v>83</v>
      </c>
      <c r="AD10" s="6">
        <v>44</v>
      </c>
      <c r="AE10" s="9">
        <v>5.9999999999999995E-4</v>
      </c>
      <c r="AG10" s="6" t="s">
        <v>98</v>
      </c>
      <c r="AH10" s="6">
        <v>22</v>
      </c>
      <c r="AI10" s="9">
        <v>2.9999999999999997E-4</v>
      </c>
    </row>
    <row r="11" spans="1:35">
      <c r="A11" s="6" t="s">
        <v>3</v>
      </c>
      <c r="B11" s="6">
        <v>238</v>
      </c>
      <c r="C11" s="9">
        <v>2.3999999999999998E-3</v>
      </c>
      <c r="E11" s="6" t="s">
        <v>76</v>
      </c>
      <c r="F11" s="6">
        <v>9</v>
      </c>
      <c r="G11" s="9">
        <v>1E-4</v>
      </c>
      <c r="I11" s="6" t="s">
        <v>99</v>
      </c>
      <c r="J11" s="6">
        <v>19</v>
      </c>
      <c r="K11" s="9">
        <v>2.0000000000000001E-4</v>
      </c>
      <c r="M11" s="6" t="s">
        <v>11</v>
      </c>
      <c r="N11" s="6">
        <v>13</v>
      </c>
      <c r="O11" s="9">
        <v>5.0000000000000001E-4</v>
      </c>
      <c r="Q11" s="6" t="s">
        <v>92</v>
      </c>
      <c r="R11" s="6">
        <v>1</v>
      </c>
      <c r="S11" s="30">
        <v>0</v>
      </c>
      <c r="U11" s="6" t="s">
        <v>102</v>
      </c>
      <c r="V11" s="6">
        <v>3</v>
      </c>
      <c r="W11" s="9">
        <v>2.0000000000000001E-4</v>
      </c>
      <c r="Y11" s="6" t="s">
        <v>3</v>
      </c>
      <c r="Z11" s="6">
        <v>182</v>
      </c>
      <c r="AA11" s="9">
        <v>2.5000000000000001E-3</v>
      </c>
      <c r="AC11" s="6" t="s">
        <v>74</v>
      </c>
      <c r="AD11" s="6">
        <v>13</v>
      </c>
      <c r="AE11" s="9">
        <v>2.0000000000000001E-4</v>
      </c>
      <c r="AG11" s="6" t="s">
        <v>99</v>
      </c>
      <c r="AH11" s="6">
        <v>14</v>
      </c>
      <c r="AI11" s="9">
        <v>2.0000000000000001E-4</v>
      </c>
    </row>
    <row r="12" spans="1:35">
      <c r="A12" s="6" t="s">
        <v>5</v>
      </c>
      <c r="B12" s="6">
        <v>160</v>
      </c>
      <c r="C12" s="9">
        <v>1.6000000000000001E-3</v>
      </c>
      <c r="E12" s="6" t="s">
        <v>74</v>
      </c>
      <c r="F12" s="6">
        <v>14</v>
      </c>
      <c r="G12" s="9">
        <v>1E-4</v>
      </c>
      <c r="I12" s="6" t="s">
        <v>102</v>
      </c>
      <c r="J12" s="6">
        <v>7</v>
      </c>
      <c r="K12" s="9">
        <v>1E-4</v>
      </c>
      <c r="M12" s="6" t="s">
        <v>7</v>
      </c>
      <c r="N12" s="6">
        <v>13</v>
      </c>
      <c r="O12" s="9">
        <v>5.0000000000000001E-4</v>
      </c>
      <c r="Q12" s="6" t="s">
        <v>77</v>
      </c>
      <c r="R12" s="6">
        <v>1</v>
      </c>
      <c r="S12" s="30">
        <v>0</v>
      </c>
      <c r="U12" s="6" t="s">
        <v>98</v>
      </c>
      <c r="V12" s="6">
        <v>3</v>
      </c>
      <c r="W12" s="9">
        <v>2.0000000000000001E-4</v>
      </c>
      <c r="Y12" s="6" t="s">
        <v>5</v>
      </c>
      <c r="Z12" s="6">
        <v>151</v>
      </c>
      <c r="AA12" s="9">
        <v>2.0999999999999999E-3</v>
      </c>
      <c r="AC12" s="6" t="s">
        <v>76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110</v>
      </c>
      <c r="C13" s="9">
        <v>1.1000000000000001E-3</v>
      </c>
      <c r="E13" s="6" t="s">
        <v>77</v>
      </c>
      <c r="F13" s="6">
        <v>12</v>
      </c>
      <c r="G13" s="9">
        <v>1E-4</v>
      </c>
      <c r="I13" s="6" t="s">
        <v>117</v>
      </c>
      <c r="J13" s="6">
        <v>1</v>
      </c>
      <c r="K13" s="30">
        <v>0</v>
      </c>
      <c r="M13" s="6" t="s">
        <v>21</v>
      </c>
      <c r="N13" s="6">
        <v>7</v>
      </c>
      <c r="O13" s="9">
        <v>2.9999999999999997E-4</v>
      </c>
      <c r="Q13" s="6" t="s">
        <v>74</v>
      </c>
      <c r="R13" s="6">
        <v>1</v>
      </c>
      <c r="S13" s="30">
        <v>0</v>
      </c>
      <c r="U13" s="6" t="s">
        <v>117</v>
      </c>
      <c r="V13" s="6">
        <v>1</v>
      </c>
      <c r="W13" s="9">
        <v>1E-4</v>
      </c>
      <c r="Y13" s="6" t="s">
        <v>8</v>
      </c>
      <c r="Z13" s="6">
        <v>109</v>
      </c>
      <c r="AA13" s="9">
        <v>1.5E-3</v>
      </c>
      <c r="AC13" s="6" t="s">
        <v>77</v>
      </c>
      <c r="AD13" s="6">
        <v>11</v>
      </c>
      <c r="AE13" s="9">
        <v>1E-4</v>
      </c>
      <c r="AG13" s="6" t="s">
        <v>113</v>
      </c>
      <c r="AH13" s="6">
        <v>4</v>
      </c>
      <c r="AI13" s="9">
        <v>1E-4</v>
      </c>
    </row>
    <row r="14" spans="1:35">
      <c r="A14" s="6" t="s">
        <v>11</v>
      </c>
      <c r="B14" s="6">
        <v>59</v>
      </c>
      <c r="C14" s="9">
        <v>5.9999999999999995E-4</v>
      </c>
      <c r="E14" s="6" t="s">
        <v>79</v>
      </c>
      <c r="F14" s="6">
        <v>10</v>
      </c>
      <c r="G14" s="9">
        <v>1E-4</v>
      </c>
      <c r="I14" s="6" t="s">
        <v>103</v>
      </c>
      <c r="J14" s="6">
        <v>3</v>
      </c>
      <c r="K14" s="30">
        <v>0</v>
      </c>
      <c r="M14" s="6" t="s">
        <v>5</v>
      </c>
      <c r="N14" s="6">
        <v>9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9">
        <v>1E-4</v>
      </c>
      <c r="Y14" s="6" t="s">
        <v>11</v>
      </c>
      <c r="Z14" s="6">
        <v>46</v>
      </c>
      <c r="AA14" s="9">
        <v>5.9999999999999995E-4</v>
      </c>
      <c r="AC14" s="6" t="s">
        <v>79</v>
      </c>
      <c r="AD14" s="6">
        <v>10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52</v>
      </c>
      <c r="C15" s="9">
        <v>5.0000000000000001E-4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31</v>
      </c>
      <c r="N15" s="6">
        <v>8</v>
      </c>
      <c r="O15" s="9">
        <v>2.9999999999999997E-4</v>
      </c>
      <c r="Y15" s="6" t="s">
        <v>37</v>
      </c>
      <c r="Z15" s="6">
        <v>36</v>
      </c>
      <c r="AA15" s="9">
        <v>5.0000000000000001E-4</v>
      </c>
      <c r="AC15" s="6" t="s">
        <v>75</v>
      </c>
      <c r="AD15" s="6">
        <v>8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37</v>
      </c>
      <c r="C16" s="9">
        <v>4.0000000000000002E-4</v>
      </c>
      <c r="E16" s="6" t="s">
        <v>92</v>
      </c>
      <c r="F16" s="6">
        <v>1</v>
      </c>
      <c r="G16" s="30">
        <v>0</v>
      </c>
      <c r="I16" s="6" t="s">
        <v>113</v>
      </c>
      <c r="J16" s="6">
        <v>4</v>
      </c>
      <c r="K16" s="30">
        <v>0</v>
      </c>
      <c r="M16" s="6" t="s">
        <v>30</v>
      </c>
      <c r="N16" s="6">
        <v>7</v>
      </c>
      <c r="O16" s="9">
        <v>2.9999999999999997E-4</v>
      </c>
      <c r="Y16" s="6" t="s">
        <v>41</v>
      </c>
      <c r="Z16" s="6">
        <v>35</v>
      </c>
      <c r="AA16" s="9">
        <v>5.0000000000000001E-4</v>
      </c>
      <c r="AC16" s="6" t="s">
        <v>78</v>
      </c>
      <c r="AD16" s="6">
        <v>4</v>
      </c>
      <c r="AE16" s="9">
        <v>1E-4</v>
      </c>
      <c r="AG16" s="6" t="s">
        <v>103</v>
      </c>
      <c r="AH16" s="6">
        <v>3</v>
      </c>
      <c r="AI16" s="30">
        <v>0</v>
      </c>
    </row>
    <row r="17" spans="1:31">
      <c r="A17" s="6" t="s">
        <v>41</v>
      </c>
      <c r="B17" s="6">
        <v>41</v>
      </c>
      <c r="C17" s="9">
        <v>4.0000000000000002E-4</v>
      </c>
      <c r="E17" s="6" t="s">
        <v>116</v>
      </c>
      <c r="F17" s="6">
        <v>1</v>
      </c>
      <c r="G17" s="30">
        <v>0</v>
      </c>
      <c r="M17" s="6" t="s">
        <v>9</v>
      </c>
      <c r="N17" s="6">
        <v>6</v>
      </c>
      <c r="O17" s="9">
        <v>2.0000000000000001E-4</v>
      </c>
      <c r="Y17" s="6" t="s">
        <v>7</v>
      </c>
      <c r="Z17" s="6">
        <v>39</v>
      </c>
      <c r="AA17" s="9">
        <v>5.0000000000000001E-4</v>
      </c>
      <c r="AC17" s="6" t="s">
        <v>116</v>
      </c>
      <c r="AD17" s="6">
        <v>1</v>
      </c>
      <c r="AE17" s="30">
        <v>0</v>
      </c>
    </row>
    <row r="18" spans="1:31">
      <c r="A18" s="6" t="s">
        <v>17</v>
      </c>
      <c r="B18" s="6">
        <v>29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10</v>
      </c>
      <c r="N18" s="6">
        <v>6</v>
      </c>
      <c r="O18" s="9">
        <v>2.0000000000000001E-4</v>
      </c>
      <c r="Y18" s="6" t="s">
        <v>14</v>
      </c>
      <c r="Z18" s="6">
        <v>25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25</v>
      </c>
      <c r="C19" s="9">
        <v>2.9999999999999997E-4</v>
      </c>
      <c r="E19" s="6" t="s">
        <v>78</v>
      </c>
      <c r="F19" s="6">
        <v>4</v>
      </c>
      <c r="G19" s="30">
        <v>0</v>
      </c>
      <c r="M19" s="6" t="s">
        <v>41</v>
      </c>
      <c r="N19" s="6">
        <v>6</v>
      </c>
      <c r="O19" s="9">
        <v>2.0000000000000001E-4</v>
      </c>
      <c r="Y19" s="6" t="s">
        <v>17</v>
      </c>
      <c r="Z19" s="6">
        <v>23</v>
      </c>
      <c r="AA19" s="9">
        <v>2.9999999999999997E-4</v>
      </c>
      <c r="AC19" s="6" t="s">
        <v>89</v>
      </c>
      <c r="AD19" s="6">
        <v>1</v>
      </c>
      <c r="AE19" s="30">
        <v>0</v>
      </c>
    </row>
    <row r="20" spans="1:31">
      <c r="A20" s="6" t="s">
        <v>31</v>
      </c>
      <c r="B20" s="6">
        <v>28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10</v>
      </c>
      <c r="Z20" s="6">
        <v>22</v>
      </c>
      <c r="AA20" s="9">
        <v>2.9999999999999997E-4</v>
      </c>
    </row>
    <row r="21" spans="1:31">
      <c r="A21" s="6" t="s">
        <v>10</v>
      </c>
      <c r="B21" s="6">
        <v>28</v>
      </c>
      <c r="C21" s="9">
        <v>2.9999999999999997E-4</v>
      </c>
      <c r="M21" s="6" t="s">
        <v>29</v>
      </c>
      <c r="N21" s="6">
        <v>5</v>
      </c>
      <c r="O21" s="9">
        <v>2.0000000000000001E-4</v>
      </c>
      <c r="Y21" s="6" t="s">
        <v>31</v>
      </c>
      <c r="Z21" s="6">
        <v>20</v>
      </c>
      <c r="AA21" s="9">
        <v>2.9999999999999997E-4</v>
      </c>
    </row>
    <row r="22" spans="1:31">
      <c r="A22" s="6" t="s">
        <v>21</v>
      </c>
      <c r="B22" s="6">
        <v>16</v>
      </c>
      <c r="C22" s="9">
        <v>2.0000000000000001E-4</v>
      </c>
      <c r="M22" s="6" t="s">
        <v>38</v>
      </c>
      <c r="N22" s="6">
        <v>4</v>
      </c>
      <c r="O22" s="9">
        <v>2.0000000000000001E-4</v>
      </c>
      <c r="Y22" s="6" t="s">
        <v>18</v>
      </c>
      <c r="Z22" s="6">
        <v>15</v>
      </c>
      <c r="AA22" s="9">
        <v>2.0000000000000001E-4</v>
      </c>
    </row>
    <row r="23" spans="1:31">
      <c r="A23" s="6" t="s">
        <v>12</v>
      </c>
      <c r="B23" s="6">
        <v>17</v>
      </c>
      <c r="C23" s="9">
        <v>2.0000000000000001E-4</v>
      </c>
      <c r="M23" s="6" t="s">
        <v>24</v>
      </c>
      <c r="N23" s="6">
        <v>5</v>
      </c>
      <c r="O23" s="9">
        <v>2.0000000000000001E-4</v>
      </c>
      <c r="Y23" s="6" t="s">
        <v>12</v>
      </c>
      <c r="Z23" s="6">
        <v>16</v>
      </c>
      <c r="AA23" s="9">
        <v>2.0000000000000001E-4</v>
      </c>
    </row>
    <row r="24" spans="1:31">
      <c r="A24" s="6" t="s">
        <v>18</v>
      </c>
      <c r="B24" s="6">
        <v>18</v>
      </c>
      <c r="C24" s="9">
        <v>2.0000000000000001E-4</v>
      </c>
      <c r="M24" s="6" t="s">
        <v>19</v>
      </c>
      <c r="N24" s="6">
        <v>3</v>
      </c>
      <c r="O24" s="9">
        <v>1E-4</v>
      </c>
      <c r="Y24" s="6" t="s">
        <v>40</v>
      </c>
      <c r="Z24" s="6">
        <v>15</v>
      </c>
      <c r="AA24" s="9">
        <v>2.0000000000000001E-4</v>
      </c>
    </row>
    <row r="25" spans="1:31">
      <c r="A25" s="6" t="s">
        <v>30</v>
      </c>
      <c r="B25" s="6">
        <v>21</v>
      </c>
      <c r="C25" s="9">
        <v>2.0000000000000001E-4</v>
      </c>
      <c r="M25" s="6" t="s">
        <v>22</v>
      </c>
      <c r="N25" s="6">
        <v>3</v>
      </c>
      <c r="O25" s="9">
        <v>1E-4</v>
      </c>
      <c r="Y25" s="6" t="s">
        <v>30</v>
      </c>
      <c r="Z25" s="6">
        <v>14</v>
      </c>
      <c r="AA25" s="9">
        <v>2.0000000000000001E-4</v>
      </c>
    </row>
    <row r="26" spans="1:31">
      <c r="A26" s="6" t="s">
        <v>40</v>
      </c>
      <c r="B26" s="6">
        <v>16</v>
      </c>
      <c r="C26" s="9">
        <v>2.0000000000000001E-4</v>
      </c>
      <c r="M26" s="6" t="s">
        <v>43</v>
      </c>
      <c r="N26" s="6">
        <v>3</v>
      </c>
      <c r="O26" s="9">
        <v>1E-4</v>
      </c>
      <c r="Y26" s="6" t="s">
        <v>29</v>
      </c>
      <c r="Z26" s="6">
        <v>11</v>
      </c>
      <c r="AA26" s="9">
        <v>2.0000000000000001E-4</v>
      </c>
    </row>
    <row r="27" spans="1:31">
      <c r="A27" s="6" t="s">
        <v>29</v>
      </c>
      <c r="B27" s="6">
        <v>16</v>
      </c>
      <c r="C27" s="9">
        <v>2.0000000000000001E-4</v>
      </c>
      <c r="M27" s="6" t="s">
        <v>18</v>
      </c>
      <c r="N27" s="6">
        <v>3</v>
      </c>
      <c r="O27" s="9">
        <v>1E-4</v>
      </c>
      <c r="Y27" s="6" t="s">
        <v>19</v>
      </c>
      <c r="Z27" s="6">
        <v>5</v>
      </c>
      <c r="AA27" s="9">
        <v>1E-4</v>
      </c>
    </row>
    <row r="28" spans="1:31">
      <c r="A28" s="6" t="s">
        <v>19</v>
      </c>
      <c r="B28" s="6">
        <v>8</v>
      </c>
      <c r="C28" s="9">
        <v>1E-4</v>
      </c>
      <c r="M28" s="6" t="s">
        <v>26</v>
      </c>
      <c r="N28" s="6">
        <v>3</v>
      </c>
      <c r="O28" s="9">
        <v>1E-4</v>
      </c>
      <c r="Y28" s="6" t="s">
        <v>21</v>
      </c>
      <c r="Z28" s="6">
        <v>9</v>
      </c>
      <c r="AA28" s="9">
        <v>1E-4</v>
      </c>
    </row>
    <row r="29" spans="1:31">
      <c r="A29" s="6" t="s">
        <v>20</v>
      </c>
      <c r="B29" s="6">
        <v>10</v>
      </c>
      <c r="C29" s="9">
        <v>1E-4</v>
      </c>
      <c r="M29" s="6" t="s">
        <v>48</v>
      </c>
      <c r="N29" s="6">
        <v>2</v>
      </c>
      <c r="O29" s="9">
        <v>1E-4</v>
      </c>
      <c r="Y29" s="6" t="s">
        <v>20</v>
      </c>
      <c r="Z29" s="6">
        <v>8</v>
      </c>
      <c r="AA29" s="9">
        <v>1E-4</v>
      </c>
    </row>
    <row r="30" spans="1:31">
      <c r="A30" s="6" t="s">
        <v>45</v>
      </c>
      <c r="B30" s="6">
        <v>6</v>
      </c>
      <c r="C30" s="9">
        <v>1E-4</v>
      </c>
      <c r="M30" s="6" t="s">
        <v>49</v>
      </c>
      <c r="N30" s="6">
        <v>3</v>
      </c>
      <c r="O30" s="9">
        <v>1E-4</v>
      </c>
      <c r="Y30" s="6" t="s">
        <v>45</v>
      </c>
      <c r="Z30" s="6">
        <v>6</v>
      </c>
      <c r="AA30" s="9">
        <v>1E-4</v>
      </c>
    </row>
    <row r="31" spans="1:31">
      <c r="A31" s="6" t="s">
        <v>38</v>
      </c>
      <c r="B31" s="6">
        <v>13</v>
      </c>
      <c r="C31" s="9">
        <v>1E-4</v>
      </c>
      <c r="M31" s="6" t="s">
        <v>60</v>
      </c>
      <c r="N31" s="6">
        <v>2</v>
      </c>
      <c r="O31" s="9">
        <v>1E-4</v>
      </c>
      <c r="Y31" s="6" t="s">
        <v>16</v>
      </c>
      <c r="Z31" s="6">
        <v>5</v>
      </c>
      <c r="AA31" s="9">
        <v>1E-4</v>
      </c>
    </row>
    <row r="32" spans="1:31">
      <c r="A32" s="6" t="s">
        <v>26</v>
      </c>
      <c r="B32" s="6">
        <v>12</v>
      </c>
      <c r="C32" s="9">
        <v>1E-4</v>
      </c>
      <c r="M32" s="6" t="s">
        <v>20</v>
      </c>
      <c r="N32" s="6">
        <v>2</v>
      </c>
      <c r="O32" s="9">
        <v>1E-4</v>
      </c>
      <c r="Y32" s="6" t="s">
        <v>26</v>
      </c>
      <c r="Z32" s="6">
        <v>9</v>
      </c>
      <c r="AA32" s="9">
        <v>1E-4</v>
      </c>
    </row>
    <row r="33" spans="1:27">
      <c r="A33" s="6" t="s">
        <v>16</v>
      </c>
      <c r="B33" s="6">
        <v>6</v>
      </c>
      <c r="C33" s="9">
        <v>1E-4</v>
      </c>
      <c r="M33" s="6" t="s">
        <v>39</v>
      </c>
      <c r="N33" s="6">
        <v>2</v>
      </c>
      <c r="O33" s="9">
        <v>1E-4</v>
      </c>
      <c r="Y33" s="6" t="s">
        <v>38</v>
      </c>
      <c r="Z33" s="6">
        <v>9</v>
      </c>
      <c r="AA33" s="9">
        <v>1E-4</v>
      </c>
    </row>
    <row r="34" spans="1:27">
      <c r="A34" s="6" t="s">
        <v>24</v>
      </c>
      <c r="B34" s="6">
        <v>10</v>
      </c>
      <c r="C34" s="9">
        <v>1E-4</v>
      </c>
      <c r="M34" s="6" t="s">
        <v>12</v>
      </c>
      <c r="N34" s="6">
        <v>1</v>
      </c>
      <c r="O34" s="30">
        <v>0</v>
      </c>
      <c r="Y34" s="6" t="s">
        <v>24</v>
      </c>
      <c r="Z34" s="6">
        <v>5</v>
      </c>
      <c r="AA34" s="9">
        <v>1E-4</v>
      </c>
    </row>
    <row r="35" spans="1:27">
      <c r="A35" s="6" t="s">
        <v>39</v>
      </c>
      <c r="B35" s="6">
        <v>5</v>
      </c>
      <c r="C35" s="9">
        <v>1E-4</v>
      </c>
      <c r="M35" s="6" t="s">
        <v>16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40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8</v>
      </c>
      <c r="N37" s="6">
        <v>1</v>
      </c>
      <c r="O37" s="30">
        <v>0</v>
      </c>
      <c r="Y37" s="6" t="s">
        <v>13</v>
      </c>
      <c r="Z37" s="6">
        <v>3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37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13</v>
      </c>
      <c r="B39" s="6">
        <v>3</v>
      </c>
      <c r="C39" s="30">
        <v>0</v>
      </c>
      <c r="M39" s="6" t="s">
        <v>27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36</v>
      </c>
      <c r="B40" s="6">
        <v>3</v>
      </c>
      <c r="C40" s="30">
        <v>0</v>
      </c>
      <c r="M40" s="6" t="s">
        <v>64</v>
      </c>
      <c r="N40" s="6">
        <v>1</v>
      </c>
      <c r="O40" s="30">
        <v>0</v>
      </c>
      <c r="Y40" s="6" t="s">
        <v>32</v>
      </c>
      <c r="Z40" s="6">
        <v>3</v>
      </c>
      <c r="AA40" s="30">
        <v>0</v>
      </c>
    </row>
    <row r="41" spans="1:27">
      <c r="A41" s="6" t="s">
        <v>65</v>
      </c>
      <c r="B41" s="6">
        <v>1</v>
      </c>
      <c r="C41" s="30">
        <v>0</v>
      </c>
      <c r="M41" s="6" t="s">
        <v>33</v>
      </c>
      <c r="N41" s="6">
        <v>1</v>
      </c>
      <c r="O41" s="30">
        <v>0</v>
      </c>
      <c r="Y41" s="6" t="s">
        <v>27</v>
      </c>
      <c r="Z41" s="6">
        <v>2</v>
      </c>
      <c r="AA41" s="30">
        <v>0</v>
      </c>
    </row>
    <row r="42" spans="1:27">
      <c r="A42" s="6" t="s">
        <v>22</v>
      </c>
      <c r="B42" s="6">
        <v>4</v>
      </c>
      <c r="C42" s="30">
        <v>0</v>
      </c>
      <c r="M42" s="6" t="s">
        <v>25</v>
      </c>
      <c r="N42" s="6">
        <v>1</v>
      </c>
      <c r="O42" s="30">
        <v>0</v>
      </c>
      <c r="Y42" s="6" t="s">
        <v>15</v>
      </c>
      <c r="Z42" s="6">
        <v>2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Y43" s="6" t="s">
        <v>47</v>
      </c>
      <c r="Z43" s="6">
        <v>1</v>
      </c>
      <c r="AA43" s="30">
        <v>0</v>
      </c>
    </row>
    <row r="44" spans="1:27">
      <c r="A44" s="6" t="s">
        <v>27</v>
      </c>
      <c r="B44" s="6">
        <v>3</v>
      </c>
      <c r="C44" s="30">
        <v>0</v>
      </c>
      <c r="Y44" s="6" t="s">
        <v>62</v>
      </c>
      <c r="Z44" s="6">
        <v>2</v>
      </c>
      <c r="AA44" s="30">
        <v>0</v>
      </c>
    </row>
    <row r="45" spans="1:27">
      <c r="A45" s="6" t="s">
        <v>43</v>
      </c>
      <c r="B45" s="6">
        <v>3</v>
      </c>
      <c r="C45" s="30">
        <v>0</v>
      </c>
      <c r="Y45" s="6" t="s">
        <v>65</v>
      </c>
      <c r="Z45" s="6">
        <v>1</v>
      </c>
      <c r="AA45" s="30">
        <v>0</v>
      </c>
    </row>
    <row r="46" spans="1:27">
      <c r="A46" s="6" t="s">
        <v>62</v>
      </c>
      <c r="B46" s="6">
        <v>2</v>
      </c>
      <c r="C46" s="30">
        <v>0</v>
      </c>
      <c r="Y46" s="6" t="s">
        <v>59</v>
      </c>
      <c r="Z46" s="6">
        <v>2</v>
      </c>
      <c r="AA46" s="30">
        <v>0</v>
      </c>
    </row>
    <row r="47" spans="1:27">
      <c r="A47" s="6" t="s">
        <v>47</v>
      </c>
      <c r="B47" s="6">
        <v>1</v>
      </c>
      <c r="C47" s="30">
        <v>0</v>
      </c>
      <c r="Y47" s="6" t="s">
        <v>22</v>
      </c>
      <c r="Z47" s="6">
        <v>1</v>
      </c>
      <c r="AA47" s="30">
        <v>0</v>
      </c>
    </row>
    <row r="48" spans="1:27">
      <c r="A48" s="6" t="s">
        <v>60</v>
      </c>
      <c r="B48" s="6">
        <v>3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32</v>
      </c>
      <c r="B49" s="6">
        <v>3</v>
      </c>
      <c r="C49" s="30">
        <v>0</v>
      </c>
      <c r="Y49" s="6" t="s">
        <v>58</v>
      </c>
      <c r="Z49" s="6">
        <v>1</v>
      </c>
      <c r="AA49" s="30">
        <v>0</v>
      </c>
    </row>
    <row r="50" spans="1:27">
      <c r="A50" s="6" t="s">
        <v>15</v>
      </c>
      <c r="B50" s="6">
        <v>2</v>
      </c>
      <c r="C50" s="30">
        <v>0</v>
      </c>
      <c r="Y50" s="6" t="s">
        <v>39</v>
      </c>
      <c r="Z50" s="6">
        <v>3</v>
      </c>
      <c r="AA50" s="30">
        <v>0</v>
      </c>
    </row>
    <row r="51" spans="1:27">
      <c r="A51" s="6" t="s">
        <v>59</v>
      </c>
      <c r="B51" s="6">
        <v>2</v>
      </c>
      <c r="C51" s="30">
        <v>0</v>
      </c>
      <c r="Y51" s="6" t="s">
        <v>28</v>
      </c>
      <c r="Z51" s="6">
        <v>2</v>
      </c>
      <c r="AA51" s="30">
        <v>0</v>
      </c>
    </row>
    <row r="52" spans="1:27">
      <c r="A52" s="6" t="s">
        <v>49</v>
      </c>
      <c r="B52" s="6">
        <v>3</v>
      </c>
      <c r="C52" s="30">
        <v>0</v>
      </c>
      <c r="Y52" s="6" t="s">
        <v>25</v>
      </c>
      <c r="Z52" s="6">
        <v>2</v>
      </c>
      <c r="AA52" s="30">
        <v>0</v>
      </c>
    </row>
    <row r="53" spans="1:27">
      <c r="A53" s="6" t="s">
        <v>58</v>
      </c>
      <c r="B53" s="6">
        <v>1</v>
      </c>
      <c r="C53" s="30">
        <v>0</v>
      </c>
      <c r="Y53" s="6" t="s">
        <v>57</v>
      </c>
      <c r="Z53" s="6">
        <v>1</v>
      </c>
      <c r="AA53" s="30">
        <v>0</v>
      </c>
    </row>
    <row r="54" spans="1:27">
      <c r="A54" s="6" t="s">
        <v>28</v>
      </c>
      <c r="B54" s="6">
        <v>2</v>
      </c>
      <c r="C54" s="30">
        <v>0</v>
      </c>
      <c r="Y54" s="6" t="s">
        <v>33</v>
      </c>
      <c r="Z54" s="6">
        <v>1</v>
      </c>
      <c r="AA54" s="30">
        <v>0</v>
      </c>
    </row>
    <row r="55" spans="1:27">
      <c r="A55" s="6" t="s">
        <v>25</v>
      </c>
      <c r="B55" s="6">
        <v>3</v>
      </c>
      <c r="C55" s="30">
        <v>0</v>
      </c>
      <c r="Y55" s="6" t="s">
        <v>42</v>
      </c>
      <c r="Z55" s="6">
        <v>1</v>
      </c>
      <c r="AA55" s="30">
        <v>0</v>
      </c>
    </row>
    <row r="56" spans="1:27">
      <c r="A56" s="6" t="s">
        <v>33</v>
      </c>
      <c r="B56" s="6">
        <v>2</v>
      </c>
      <c r="C56" s="30">
        <v>0</v>
      </c>
      <c r="Y56" s="6" t="s">
        <v>69</v>
      </c>
      <c r="Z56" s="6">
        <v>1</v>
      </c>
      <c r="AA56" s="30">
        <v>0</v>
      </c>
    </row>
    <row r="57" spans="1:27">
      <c r="A57" s="6" t="s">
        <v>42</v>
      </c>
      <c r="B57" s="6">
        <v>1</v>
      </c>
      <c r="C57" s="30">
        <v>0</v>
      </c>
      <c r="Y57" s="6" t="s">
        <v>53</v>
      </c>
      <c r="Z57" s="6">
        <v>1</v>
      </c>
      <c r="AA57" s="30">
        <v>0</v>
      </c>
    </row>
    <row r="58" spans="1:27">
      <c r="A58" s="6" t="s">
        <v>57</v>
      </c>
      <c r="B58" s="6">
        <v>1</v>
      </c>
      <c r="C58" s="30">
        <v>0</v>
      </c>
    </row>
    <row r="59" spans="1:27">
      <c r="A59" s="6" t="s">
        <v>64</v>
      </c>
      <c r="B59" s="6">
        <v>1</v>
      </c>
      <c r="C59" s="30">
        <v>0</v>
      </c>
    </row>
    <row r="60" spans="1:27">
      <c r="A60" s="6" t="s">
        <v>69</v>
      </c>
      <c r="B60" s="6">
        <v>1</v>
      </c>
      <c r="C60" s="30">
        <v>0</v>
      </c>
    </row>
    <row r="61" spans="1:27">
      <c r="A61" s="6" t="s">
        <v>53</v>
      </c>
      <c r="B61" s="6">
        <v>1</v>
      </c>
      <c r="C61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4246-6A77-477E-96F7-78E177897366}">
  <sheetPr codeName="Sheet24"/>
  <dimension ref="A1:AI56"/>
  <sheetViews>
    <sheetView topLeftCell="R1" workbookViewId="0">
      <selection activeCell="W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96092</v>
      </c>
      <c r="E2" s="41" t="s">
        <v>4</v>
      </c>
      <c r="F2" s="23" t="s">
        <v>105</v>
      </c>
      <c r="G2" s="23">
        <f>G3+G4</f>
        <v>89547</v>
      </c>
      <c r="H2" s="22"/>
      <c r="I2" s="41" t="s">
        <v>6</v>
      </c>
      <c r="J2" s="23" t="s">
        <v>105</v>
      </c>
      <c r="K2" s="23">
        <f>K3+K4</f>
        <v>91075</v>
      </c>
      <c r="M2" s="41" t="s">
        <v>104</v>
      </c>
      <c r="N2" s="23" t="s">
        <v>105</v>
      </c>
      <c r="O2" s="23">
        <f>O3+O4</f>
        <v>37024</v>
      </c>
      <c r="Q2" s="41" t="s">
        <v>4</v>
      </c>
      <c r="R2" s="23" t="s">
        <v>105</v>
      </c>
      <c r="S2" s="23">
        <f>S3+S4</f>
        <v>35232</v>
      </c>
      <c r="T2" s="22"/>
      <c r="U2" s="41" t="s">
        <v>6</v>
      </c>
      <c r="V2" s="23" t="s">
        <v>105</v>
      </c>
      <c r="W2" s="23">
        <f>W3+W4</f>
        <v>37779</v>
      </c>
      <c r="Y2" s="41" t="s">
        <v>104</v>
      </c>
      <c r="Z2" s="23" t="s">
        <v>105</v>
      </c>
      <c r="AA2" s="23">
        <f>AA3+AA4</f>
        <v>59076</v>
      </c>
      <c r="AC2" s="41" t="s">
        <v>4</v>
      </c>
      <c r="AD2" s="23" t="s">
        <v>105</v>
      </c>
      <c r="AE2" s="23">
        <f>AE3+AE4</f>
        <v>54316</v>
      </c>
      <c r="AF2" s="22"/>
      <c r="AG2" s="41" t="s">
        <v>6</v>
      </c>
      <c r="AH2" s="23" t="s">
        <v>105</v>
      </c>
      <c r="AI2" s="23">
        <f>AI3+AI4</f>
        <v>53298</v>
      </c>
    </row>
    <row r="3" spans="1:35">
      <c r="A3" s="42"/>
      <c r="B3" s="24" t="s">
        <v>106</v>
      </c>
      <c r="C3" s="24">
        <f>B8</f>
        <v>94697</v>
      </c>
      <c r="E3" s="42"/>
      <c r="F3" s="24" t="s">
        <v>106</v>
      </c>
      <c r="G3" s="24">
        <f>F8</f>
        <v>89314</v>
      </c>
      <c r="H3" s="22"/>
      <c r="I3" s="42"/>
      <c r="J3" s="24" t="s">
        <v>106</v>
      </c>
      <c r="K3" s="24">
        <f>J8</f>
        <v>90981</v>
      </c>
      <c r="M3" s="42"/>
      <c r="N3" s="24" t="s">
        <v>106</v>
      </c>
      <c r="O3" s="24">
        <f>N8</f>
        <v>36595</v>
      </c>
      <c r="Q3" s="42"/>
      <c r="R3" s="24" t="s">
        <v>106</v>
      </c>
      <c r="S3" s="24">
        <f>R8</f>
        <v>35172</v>
      </c>
      <c r="T3" s="22"/>
      <c r="U3" s="42"/>
      <c r="V3" s="24" t="s">
        <v>106</v>
      </c>
      <c r="W3" s="24">
        <f>V8</f>
        <v>37733</v>
      </c>
      <c r="Y3" s="42"/>
      <c r="Z3" s="24" t="s">
        <v>106</v>
      </c>
      <c r="AA3" s="24">
        <f>Z8</f>
        <v>58102</v>
      </c>
      <c r="AC3" s="42"/>
      <c r="AD3" s="24" t="s">
        <v>106</v>
      </c>
      <c r="AE3" s="24">
        <f>AD8</f>
        <v>54142</v>
      </c>
      <c r="AF3" s="22"/>
      <c r="AG3" s="42"/>
      <c r="AH3" s="24" t="s">
        <v>106</v>
      </c>
      <c r="AI3" s="24">
        <f>AH8</f>
        <v>53248</v>
      </c>
    </row>
    <row r="4" spans="1:35">
      <c r="A4" s="42"/>
      <c r="B4" s="25" t="s">
        <v>107</v>
      </c>
      <c r="C4" s="25">
        <f>SUM(B9:B66)</f>
        <v>1395</v>
      </c>
      <c r="E4" s="42"/>
      <c r="F4" s="25" t="s">
        <v>107</v>
      </c>
      <c r="G4" s="25">
        <f>SUM(F9:F33)</f>
        <v>233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429</v>
      </c>
      <c r="Q4" s="42"/>
      <c r="R4" s="25" t="s">
        <v>107</v>
      </c>
      <c r="S4" s="25">
        <f>SUM(R9:R33)</f>
        <v>60</v>
      </c>
      <c r="T4" s="22"/>
      <c r="U4" s="42"/>
      <c r="V4" s="25" t="s">
        <v>107</v>
      </c>
      <c r="W4" s="25">
        <f>SUM(V9:V31)</f>
        <v>46</v>
      </c>
      <c r="Y4" s="42"/>
      <c r="Z4" s="25" t="s">
        <v>107</v>
      </c>
      <c r="AA4" s="25">
        <f>SUM(Z9:Z45)</f>
        <v>974</v>
      </c>
      <c r="AC4" s="42"/>
      <c r="AD4" s="25" t="s">
        <v>107</v>
      </c>
      <c r="AE4" s="25">
        <f>SUM(AD9:AD29)</f>
        <v>174</v>
      </c>
      <c r="AF4" s="22"/>
      <c r="AG4" s="42"/>
      <c r="AH4" s="25" t="s">
        <v>107</v>
      </c>
      <c r="AI4" s="25">
        <f>SUM(AH9:AH29)</f>
        <v>50</v>
      </c>
    </row>
    <row r="5" spans="1:35">
      <c r="A5" s="43"/>
      <c r="B5" s="23" t="s">
        <v>108</v>
      </c>
      <c r="C5" s="26">
        <f>SUM(C9:C179)</f>
        <v>1.4199999999999996E-2</v>
      </c>
      <c r="E5" s="43"/>
      <c r="F5" s="23" t="s">
        <v>108</v>
      </c>
      <c r="G5" s="26">
        <f>SUM(G9:G33)</f>
        <v>2.3999999999999994E-3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1.1600000000000001E-2</v>
      </c>
      <c r="Q5" s="43"/>
      <c r="R5" s="23" t="s">
        <v>108</v>
      </c>
      <c r="S5" s="26">
        <f>SUM(S9:S33)</f>
        <v>1.6000000000000001E-3</v>
      </c>
      <c r="T5" s="22"/>
      <c r="U5" s="43"/>
      <c r="V5" s="23" t="s">
        <v>108</v>
      </c>
      <c r="W5" s="26">
        <f>SUM(W9:W31)</f>
        <v>1.3000000000000002E-3</v>
      </c>
      <c r="Y5" s="43"/>
      <c r="Z5" s="23" t="s">
        <v>108</v>
      </c>
      <c r="AA5" s="26">
        <f>SUM(AA9:AA158)</f>
        <v>1.6699999999999993E-2</v>
      </c>
      <c r="AC5" s="43"/>
      <c r="AD5" s="23" t="s">
        <v>108</v>
      </c>
      <c r="AE5" s="26">
        <f>SUM(AE9:AE29)</f>
        <v>3.1999999999999989E-3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94697</v>
      </c>
      <c r="C8" s="9">
        <v>0.98550000000000004</v>
      </c>
      <c r="E8" s="6" t="s">
        <v>112</v>
      </c>
      <c r="F8" s="29">
        <v>89314</v>
      </c>
      <c r="G8" s="9">
        <v>0.99739999999999995</v>
      </c>
      <c r="I8" s="6" t="s">
        <v>112</v>
      </c>
      <c r="J8" s="29">
        <v>90981</v>
      </c>
      <c r="K8" s="9">
        <v>0.999</v>
      </c>
      <c r="M8" s="6" t="s">
        <v>112</v>
      </c>
      <c r="N8" s="29">
        <v>36595</v>
      </c>
      <c r="O8" s="9">
        <v>0.98839999999999995</v>
      </c>
      <c r="Q8" s="6" t="s">
        <v>112</v>
      </c>
      <c r="R8" s="29">
        <v>35172</v>
      </c>
      <c r="S8" s="9">
        <v>0.99829999999999997</v>
      </c>
      <c r="U8" s="6" t="s">
        <v>112</v>
      </c>
      <c r="V8" s="29">
        <v>37733</v>
      </c>
      <c r="W8" s="9">
        <v>0.99880000000000002</v>
      </c>
      <c r="Y8" s="6" t="s">
        <v>112</v>
      </c>
      <c r="Z8" s="29">
        <v>58102</v>
      </c>
      <c r="AA8" s="9">
        <v>0.98340000000000005</v>
      </c>
      <c r="AC8" s="6" t="s">
        <v>112</v>
      </c>
      <c r="AD8" s="29">
        <v>54142</v>
      </c>
      <c r="AE8" s="9">
        <v>0.99680000000000002</v>
      </c>
      <c r="AG8" s="6" t="s">
        <v>112</v>
      </c>
      <c r="AH8" s="29">
        <v>53248</v>
      </c>
      <c r="AI8" s="9">
        <v>0.99909999999999999</v>
      </c>
    </row>
    <row r="9" spans="1:35">
      <c r="A9" s="6" t="s">
        <v>2</v>
      </c>
      <c r="B9" s="6">
        <v>288</v>
      </c>
      <c r="C9" s="9">
        <v>3.0000000000000001E-3</v>
      </c>
      <c r="E9" s="6" t="s">
        <v>122</v>
      </c>
      <c r="F9" s="6">
        <v>164</v>
      </c>
      <c r="G9" s="9">
        <v>1.8E-3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130</v>
      </c>
      <c r="O9" s="9">
        <v>3.5000000000000001E-3</v>
      </c>
      <c r="Q9" s="6" t="s">
        <v>122</v>
      </c>
      <c r="R9" s="6">
        <v>50</v>
      </c>
      <c r="S9" s="9">
        <v>1.4E-3</v>
      </c>
      <c r="U9" s="6" t="s">
        <v>2</v>
      </c>
      <c r="V9" s="6">
        <v>14</v>
      </c>
      <c r="W9" s="9">
        <v>4.0000000000000002E-4</v>
      </c>
      <c r="Y9" s="6" t="s">
        <v>2</v>
      </c>
      <c r="Z9" s="6">
        <v>158</v>
      </c>
      <c r="AA9" s="9">
        <v>2.7000000000000001E-3</v>
      </c>
      <c r="AC9" s="6" t="s">
        <v>122</v>
      </c>
      <c r="AD9" s="6">
        <v>114</v>
      </c>
      <c r="AE9" s="9">
        <v>2.0999999999999999E-3</v>
      </c>
      <c r="AG9" s="6" t="s">
        <v>2</v>
      </c>
      <c r="AH9" s="6">
        <v>21</v>
      </c>
      <c r="AI9" s="9">
        <v>4.0000000000000002E-4</v>
      </c>
    </row>
    <row r="10" spans="1:35">
      <c r="A10" s="6" t="s">
        <v>3</v>
      </c>
      <c r="B10" s="6">
        <v>262</v>
      </c>
      <c r="C10" s="9">
        <v>2.7000000000000001E-3</v>
      </c>
      <c r="E10" s="6" t="s">
        <v>83</v>
      </c>
      <c r="F10" s="6">
        <v>30</v>
      </c>
      <c r="G10" s="9">
        <v>2.9999999999999997E-4</v>
      </c>
      <c r="I10" s="6" t="s">
        <v>98</v>
      </c>
      <c r="J10" s="6">
        <v>22</v>
      </c>
      <c r="K10" s="9">
        <v>2.0000000000000001E-4</v>
      </c>
      <c r="M10" s="6" t="s">
        <v>3</v>
      </c>
      <c r="N10" s="6">
        <v>110</v>
      </c>
      <c r="O10" s="9">
        <v>3.0000000000000001E-3</v>
      </c>
      <c r="Q10" s="6" t="s">
        <v>76</v>
      </c>
      <c r="R10" s="6">
        <v>5</v>
      </c>
      <c r="S10" s="9">
        <v>1E-4</v>
      </c>
      <c r="U10" s="6" t="s">
        <v>98</v>
      </c>
      <c r="V10" s="6">
        <v>13</v>
      </c>
      <c r="W10" s="9">
        <v>2.9999999999999997E-4</v>
      </c>
      <c r="Y10" s="6" t="s">
        <v>3</v>
      </c>
      <c r="Z10" s="6">
        <v>152</v>
      </c>
      <c r="AA10" s="9">
        <v>2.5999999999999999E-3</v>
      </c>
      <c r="AC10" s="6" t="s">
        <v>83</v>
      </c>
      <c r="AD10" s="6">
        <v>30</v>
      </c>
      <c r="AE10" s="9">
        <v>5.9999999999999995E-4</v>
      </c>
      <c r="AG10" s="6" t="s">
        <v>98</v>
      </c>
      <c r="AH10" s="6">
        <v>9</v>
      </c>
      <c r="AI10" s="9">
        <v>2.0000000000000001E-4</v>
      </c>
    </row>
    <row r="11" spans="1:35">
      <c r="A11" s="6" t="s">
        <v>9</v>
      </c>
      <c r="B11" s="6">
        <v>162</v>
      </c>
      <c r="C11" s="9">
        <v>1.6999999999999999E-3</v>
      </c>
      <c r="E11" s="6" t="s">
        <v>76</v>
      </c>
      <c r="F11" s="6">
        <v>11</v>
      </c>
      <c r="G11" s="9">
        <v>1E-4</v>
      </c>
      <c r="I11" s="6" t="s">
        <v>99</v>
      </c>
      <c r="J11" s="6">
        <v>21</v>
      </c>
      <c r="K11" s="9">
        <v>2.0000000000000001E-4</v>
      </c>
      <c r="M11" s="6" t="s">
        <v>7</v>
      </c>
      <c r="N11" s="6">
        <v>32</v>
      </c>
      <c r="O11" s="9">
        <v>8.9999999999999998E-4</v>
      </c>
      <c r="Q11" s="6" t="s">
        <v>77</v>
      </c>
      <c r="R11" s="6">
        <v>2</v>
      </c>
      <c r="S11" s="9">
        <v>1E-4</v>
      </c>
      <c r="U11" s="6" t="s">
        <v>99</v>
      </c>
      <c r="V11" s="6">
        <v>10</v>
      </c>
      <c r="W11" s="9">
        <v>2.9999999999999997E-4</v>
      </c>
      <c r="Y11" s="6" t="s">
        <v>9</v>
      </c>
      <c r="Z11" s="6">
        <v>149</v>
      </c>
      <c r="AA11" s="9">
        <v>2.5000000000000001E-3</v>
      </c>
      <c r="AC11" s="6" t="s">
        <v>76</v>
      </c>
      <c r="AD11" s="6">
        <v>6</v>
      </c>
      <c r="AE11" s="9">
        <v>1E-4</v>
      </c>
      <c r="AG11" s="6" t="s">
        <v>99</v>
      </c>
      <c r="AH11" s="6">
        <v>11</v>
      </c>
      <c r="AI11" s="9">
        <v>2.0000000000000001E-4</v>
      </c>
    </row>
    <row r="12" spans="1:35">
      <c r="A12" s="6" t="s">
        <v>8</v>
      </c>
      <c r="B12" s="6">
        <v>125</v>
      </c>
      <c r="C12" s="9">
        <v>1.2999999999999999E-3</v>
      </c>
      <c r="E12" s="6" t="s">
        <v>77</v>
      </c>
      <c r="F12" s="6">
        <v>7</v>
      </c>
      <c r="G12" s="9">
        <v>1E-4</v>
      </c>
      <c r="I12" s="6" t="s">
        <v>102</v>
      </c>
      <c r="J12" s="6">
        <v>5</v>
      </c>
      <c r="K12" s="9">
        <v>1E-4</v>
      </c>
      <c r="M12" s="6" t="s">
        <v>9</v>
      </c>
      <c r="N12" s="6">
        <v>28</v>
      </c>
      <c r="O12" s="9">
        <v>8.0000000000000004E-4</v>
      </c>
      <c r="Q12" s="6" t="s">
        <v>79</v>
      </c>
      <c r="R12" s="6">
        <v>1</v>
      </c>
      <c r="S12" s="30">
        <v>0</v>
      </c>
      <c r="U12" s="6" t="s">
        <v>102</v>
      </c>
      <c r="V12" s="6">
        <v>2</v>
      </c>
      <c r="W12" s="9">
        <v>1E-4</v>
      </c>
      <c r="Y12" s="6" t="s">
        <v>8</v>
      </c>
      <c r="Z12" s="6">
        <v>118</v>
      </c>
      <c r="AA12" s="9">
        <v>2E-3</v>
      </c>
      <c r="AC12" s="6" t="s">
        <v>77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74</v>
      </c>
      <c r="C13" s="9">
        <v>8.0000000000000004E-4</v>
      </c>
      <c r="E13" s="6" t="s">
        <v>79</v>
      </c>
      <c r="F13" s="6">
        <v>5</v>
      </c>
      <c r="G13" s="9">
        <v>1E-4</v>
      </c>
      <c r="I13" s="6" t="s">
        <v>113</v>
      </c>
      <c r="J13" s="6">
        <v>7</v>
      </c>
      <c r="K13" s="9">
        <v>1E-4</v>
      </c>
      <c r="M13" s="6" t="s">
        <v>11</v>
      </c>
      <c r="N13" s="6">
        <v>17</v>
      </c>
      <c r="O13" s="9">
        <v>5.0000000000000001E-4</v>
      </c>
      <c r="Q13" s="6" t="s">
        <v>74</v>
      </c>
      <c r="R13" s="6">
        <v>1</v>
      </c>
      <c r="S13" s="30">
        <v>0</v>
      </c>
      <c r="U13" s="6" t="s">
        <v>117</v>
      </c>
      <c r="V13" s="6">
        <v>2</v>
      </c>
      <c r="W13" s="9">
        <v>1E-4</v>
      </c>
      <c r="Y13" s="6" t="s">
        <v>5</v>
      </c>
      <c r="Z13" s="6">
        <v>71</v>
      </c>
      <c r="AA13" s="9">
        <v>1.1999999999999999E-3</v>
      </c>
      <c r="AC13" s="6" t="s">
        <v>79</v>
      </c>
      <c r="AD13" s="6">
        <v>4</v>
      </c>
      <c r="AE13" s="9">
        <v>1E-4</v>
      </c>
      <c r="AG13" s="6" t="s">
        <v>113</v>
      </c>
      <c r="AH13" s="6">
        <v>4</v>
      </c>
      <c r="AI13" s="9">
        <v>1E-4</v>
      </c>
    </row>
    <row r="14" spans="1:35">
      <c r="A14" s="6" t="s">
        <v>11</v>
      </c>
      <c r="B14" s="6">
        <v>67</v>
      </c>
      <c r="C14" s="9">
        <v>6.9999999999999999E-4</v>
      </c>
      <c r="E14" s="6" t="s">
        <v>92</v>
      </c>
      <c r="F14" s="6">
        <v>1</v>
      </c>
      <c r="G14" s="30">
        <v>0</v>
      </c>
      <c r="I14" s="6" t="s">
        <v>117</v>
      </c>
      <c r="J14" s="6">
        <v>2</v>
      </c>
      <c r="K14" s="30">
        <v>0</v>
      </c>
      <c r="M14" s="6" t="s">
        <v>31</v>
      </c>
      <c r="N14" s="6">
        <v>13</v>
      </c>
      <c r="O14" s="9">
        <v>4.0000000000000002E-4</v>
      </c>
      <c r="Q14" s="6" t="s">
        <v>157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50</v>
      </c>
      <c r="AA14" s="9">
        <v>8.0000000000000004E-4</v>
      </c>
      <c r="AC14" s="6" t="s">
        <v>78</v>
      </c>
      <c r="AD14" s="6">
        <v>3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65</v>
      </c>
      <c r="C15" s="9">
        <v>6.9999999999999999E-4</v>
      </c>
      <c r="E15" s="6" t="s">
        <v>116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18</v>
      </c>
      <c r="N15" s="6">
        <v>6</v>
      </c>
      <c r="O15" s="9">
        <v>2.0000000000000001E-4</v>
      </c>
      <c r="U15" s="6" t="s">
        <v>103</v>
      </c>
      <c r="V15" s="6">
        <v>1</v>
      </c>
      <c r="W15" s="30">
        <v>0</v>
      </c>
      <c r="Y15" s="6" t="s">
        <v>37</v>
      </c>
      <c r="Z15" s="6">
        <v>41</v>
      </c>
      <c r="AA15" s="9">
        <v>6.9999999999999999E-4</v>
      </c>
      <c r="AC15" s="6" t="s">
        <v>74</v>
      </c>
      <c r="AD15" s="6">
        <v>3</v>
      </c>
      <c r="AE15" s="9">
        <v>1E-4</v>
      </c>
    </row>
    <row r="16" spans="1:35">
      <c r="A16" s="6" t="s">
        <v>37</v>
      </c>
      <c r="B16" s="6">
        <v>41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1</v>
      </c>
      <c r="K16" s="30">
        <v>0</v>
      </c>
      <c r="M16" s="6" t="s">
        <v>12</v>
      </c>
      <c r="N16" s="6">
        <v>9</v>
      </c>
      <c r="O16" s="9">
        <v>2.0000000000000001E-4</v>
      </c>
      <c r="U16" s="6" t="s">
        <v>123</v>
      </c>
      <c r="V16" s="6">
        <v>1</v>
      </c>
      <c r="W16" s="30">
        <v>0</v>
      </c>
      <c r="Y16" s="6" t="s">
        <v>7</v>
      </c>
      <c r="Z16" s="6">
        <v>33</v>
      </c>
      <c r="AA16" s="9">
        <v>5.9999999999999995E-4</v>
      </c>
      <c r="AC16" s="6" t="s">
        <v>92</v>
      </c>
      <c r="AD16" s="6">
        <v>1</v>
      </c>
      <c r="AE16" s="30">
        <v>0</v>
      </c>
    </row>
    <row r="17" spans="1:31">
      <c r="A17" s="6" t="s">
        <v>41</v>
      </c>
      <c r="B17" s="6">
        <v>35</v>
      </c>
      <c r="C17" s="9">
        <v>4.0000000000000002E-4</v>
      </c>
      <c r="E17" s="6" t="s">
        <v>74</v>
      </c>
      <c r="F17" s="6">
        <v>4</v>
      </c>
      <c r="G17" s="30">
        <v>0</v>
      </c>
      <c r="M17" s="6" t="s">
        <v>22</v>
      </c>
      <c r="N17" s="6">
        <v>7</v>
      </c>
      <c r="O17" s="9">
        <v>2.0000000000000001E-4</v>
      </c>
      <c r="Y17" s="6" t="s">
        <v>41</v>
      </c>
      <c r="Z17" s="6">
        <v>26</v>
      </c>
      <c r="AA17" s="9">
        <v>4.0000000000000002E-4</v>
      </c>
      <c r="AC17" s="6" t="s">
        <v>116</v>
      </c>
      <c r="AD17" s="6">
        <v>2</v>
      </c>
      <c r="AE17" s="30">
        <v>0</v>
      </c>
    </row>
    <row r="18" spans="1:31">
      <c r="A18" s="6" t="s">
        <v>17</v>
      </c>
      <c r="B18" s="6">
        <v>28</v>
      </c>
      <c r="C18" s="9">
        <v>2.9999999999999997E-4</v>
      </c>
      <c r="E18" s="6" t="s">
        <v>85</v>
      </c>
      <c r="F18" s="6">
        <v>1</v>
      </c>
      <c r="G18" s="30">
        <v>0</v>
      </c>
      <c r="M18" s="6" t="s">
        <v>40</v>
      </c>
      <c r="N18" s="6">
        <v>8</v>
      </c>
      <c r="O18" s="9">
        <v>2.0000000000000001E-4</v>
      </c>
      <c r="Y18" s="6" t="s">
        <v>17</v>
      </c>
      <c r="Z18" s="6">
        <v>21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78</v>
      </c>
      <c r="F19" s="6">
        <v>3</v>
      </c>
      <c r="G19" s="30">
        <v>0</v>
      </c>
      <c r="M19" s="6" t="s">
        <v>10</v>
      </c>
      <c r="N19" s="6">
        <v>6</v>
      </c>
      <c r="O19" s="9">
        <v>2.0000000000000001E-4</v>
      </c>
      <c r="Y19" s="6" t="s">
        <v>18</v>
      </c>
      <c r="Z19" s="6">
        <v>17</v>
      </c>
      <c r="AA19" s="9">
        <v>2.9999999999999997E-4</v>
      </c>
      <c r="AC19" s="6" t="s">
        <v>85</v>
      </c>
      <c r="AD19" s="6">
        <v>1</v>
      </c>
      <c r="AE19" s="30">
        <v>0</v>
      </c>
    </row>
    <row r="20" spans="1:31">
      <c r="A20" s="6" t="s">
        <v>18</v>
      </c>
      <c r="B20" s="6">
        <v>23</v>
      </c>
      <c r="C20" s="9">
        <v>2.0000000000000001E-4</v>
      </c>
      <c r="E20" s="6" t="s">
        <v>75</v>
      </c>
      <c r="F20" s="6">
        <v>1</v>
      </c>
      <c r="G20" s="30">
        <v>0</v>
      </c>
      <c r="M20" s="6" t="s">
        <v>8</v>
      </c>
      <c r="N20" s="6">
        <v>8</v>
      </c>
      <c r="O20" s="9">
        <v>2.0000000000000001E-4</v>
      </c>
      <c r="Y20" s="6" t="s">
        <v>14</v>
      </c>
      <c r="Z20" s="6">
        <v>15</v>
      </c>
      <c r="AA20" s="9">
        <v>2.9999999999999997E-4</v>
      </c>
      <c r="AC20" s="6" t="s">
        <v>86</v>
      </c>
      <c r="AD20" s="6">
        <v>1</v>
      </c>
      <c r="AE20" s="30">
        <v>0</v>
      </c>
    </row>
    <row r="21" spans="1:31">
      <c r="A21" s="6" t="s">
        <v>31</v>
      </c>
      <c r="B21" s="6">
        <v>21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17</v>
      </c>
      <c r="N21" s="6">
        <v>7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75</v>
      </c>
      <c r="AD21" s="6">
        <v>1</v>
      </c>
      <c r="AE21" s="30">
        <v>0</v>
      </c>
    </row>
    <row r="22" spans="1:31">
      <c r="A22" s="6" t="s">
        <v>12</v>
      </c>
      <c r="B22" s="6">
        <v>21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41</v>
      </c>
      <c r="N22" s="6">
        <v>9</v>
      </c>
      <c r="O22" s="9">
        <v>2.0000000000000001E-4</v>
      </c>
      <c r="Y22" s="6" t="s">
        <v>46</v>
      </c>
      <c r="Z22" s="6">
        <v>10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14</v>
      </c>
      <c r="B23" s="6">
        <v>15</v>
      </c>
      <c r="C23" s="9">
        <v>2.0000000000000001E-4</v>
      </c>
      <c r="E23" s="6" t="s">
        <v>95</v>
      </c>
      <c r="F23" s="6">
        <v>1</v>
      </c>
      <c r="G23" s="30">
        <v>0</v>
      </c>
      <c r="M23" s="6" t="s">
        <v>26</v>
      </c>
      <c r="N23" s="6">
        <v>6</v>
      </c>
      <c r="O23" s="9">
        <v>2.0000000000000001E-4</v>
      </c>
      <c r="Y23" s="6" t="s">
        <v>29</v>
      </c>
      <c r="Z23" s="6">
        <v>11</v>
      </c>
      <c r="AA23" s="9">
        <v>2.0000000000000001E-4</v>
      </c>
      <c r="AC23" s="6" t="s">
        <v>95</v>
      </c>
      <c r="AD23" s="6">
        <v>1</v>
      </c>
      <c r="AE23" s="30">
        <v>0</v>
      </c>
    </row>
    <row r="24" spans="1:31">
      <c r="A24" s="6" t="s">
        <v>40</v>
      </c>
      <c r="B24" s="6">
        <v>17</v>
      </c>
      <c r="C24" s="9">
        <v>2.0000000000000001E-4</v>
      </c>
      <c r="M24" s="6" t="s">
        <v>21</v>
      </c>
      <c r="N24" s="6">
        <v>4</v>
      </c>
      <c r="O24" s="9">
        <v>1E-4</v>
      </c>
      <c r="Y24" s="6" t="s">
        <v>30</v>
      </c>
      <c r="Z24" s="6">
        <v>10</v>
      </c>
      <c r="AA24" s="9">
        <v>2.0000000000000001E-4</v>
      </c>
    </row>
    <row r="25" spans="1:31">
      <c r="A25" s="6" t="s">
        <v>29</v>
      </c>
      <c r="B25" s="6">
        <v>16</v>
      </c>
      <c r="C25" s="9">
        <v>2.0000000000000001E-4</v>
      </c>
      <c r="M25" s="6" t="s">
        <v>5</v>
      </c>
      <c r="N25" s="6">
        <v>3</v>
      </c>
      <c r="O25" s="9">
        <v>1E-4</v>
      </c>
      <c r="Y25" s="6" t="s">
        <v>12</v>
      </c>
      <c r="Z25" s="6">
        <v>12</v>
      </c>
      <c r="AA25" s="9">
        <v>2.0000000000000001E-4</v>
      </c>
    </row>
    <row r="26" spans="1:31">
      <c r="A26" s="6" t="s">
        <v>46</v>
      </c>
      <c r="B26" s="6">
        <v>10</v>
      </c>
      <c r="C26" s="9">
        <v>1E-4</v>
      </c>
      <c r="M26" s="6" t="s">
        <v>29</v>
      </c>
      <c r="N26" s="6">
        <v>5</v>
      </c>
      <c r="O26" s="9">
        <v>1E-4</v>
      </c>
      <c r="Y26" s="6" t="s">
        <v>40</v>
      </c>
      <c r="Z26" s="6">
        <v>9</v>
      </c>
      <c r="AA26" s="9">
        <v>2.0000000000000001E-4</v>
      </c>
    </row>
    <row r="27" spans="1:31">
      <c r="A27" s="6" t="s">
        <v>20</v>
      </c>
      <c r="B27" s="6">
        <v>6</v>
      </c>
      <c r="C27" s="9">
        <v>1E-4</v>
      </c>
      <c r="M27" s="6" t="s">
        <v>16</v>
      </c>
      <c r="N27" s="6">
        <v>3</v>
      </c>
      <c r="O27" s="9">
        <v>1E-4</v>
      </c>
      <c r="Y27" s="6" t="s">
        <v>19</v>
      </c>
      <c r="Z27" s="6">
        <v>3</v>
      </c>
      <c r="AA27" s="9">
        <v>1E-4</v>
      </c>
    </row>
    <row r="28" spans="1:31">
      <c r="A28" s="6" t="s">
        <v>30</v>
      </c>
      <c r="B28" s="6">
        <v>14</v>
      </c>
      <c r="C28" s="9">
        <v>1E-4</v>
      </c>
      <c r="M28" s="6" t="s">
        <v>30</v>
      </c>
      <c r="N28" s="6">
        <v>4</v>
      </c>
      <c r="O28" s="9">
        <v>1E-4</v>
      </c>
      <c r="Y28" s="6" t="s">
        <v>20</v>
      </c>
      <c r="Z28" s="6">
        <v>6</v>
      </c>
      <c r="AA28" s="9">
        <v>1E-4</v>
      </c>
    </row>
    <row r="29" spans="1:31">
      <c r="A29" s="6" t="s">
        <v>10</v>
      </c>
      <c r="B29" s="6">
        <v>9</v>
      </c>
      <c r="C29" s="9">
        <v>1E-4</v>
      </c>
      <c r="M29" s="6" t="s">
        <v>38</v>
      </c>
      <c r="N29" s="6">
        <v>2</v>
      </c>
      <c r="O29" s="9">
        <v>1E-4</v>
      </c>
      <c r="Y29" s="6" t="s">
        <v>16</v>
      </c>
      <c r="Z29" s="6">
        <v>3</v>
      </c>
      <c r="AA29" s="9">
        <v>1E-4</v>
      </c>
    </row>
    <row r="30" spans="1:31">
      <c r="A30" s="6" t="s">
        <v>22</v>
      </c>
      <c r="B30" s="6">
        <v>11</v>
      </c>
      <c r="C30" s="9">
        <v>1E-4</v>
      </c>
      <c r="M30" s="6" t="s">
        <v>33</v>
      </c>
      <c r="N30" s="6">
        <v>2</v>
      </c>
      <c r="O30" s="9">
        <v>1E-4</v>
      </c>
      <c r="Y30" s="6" t="s">
        <v>31</v>
      </c>
      <c r="Z30" s="6">
        <v>8</v>
      </c>
      <c r="AA30" s="9">
        <v>1E-4</v>
      </c>
    </row>
    <row r="31" spans="1:31">
      <c r="A31" s="6" t="s">
        <v>16</v>
      </c>
      <c r="B31" s="6">
        <v>6</v>
      </c>
      <c r="C31" s="9">
        <v>1E-4</v>
      </c>
      <c r="M31" s="6" t="s">
        <v>19</v>
      </c>
      <c r="N31" s="6">
        <v>1</v>
      </c>
      <c r="O31" s="30">
        <v>0</v>
      </c>
      <c r="Y31" s="6" t="s">
        <v>38</v>
      </c>
      <c r="Z31" s="6">
        <v>6</v>
      </c>
      <c r="AA31" s="9">
        <v>1E-4</v>
      </c>
    </row>
    <row r="32" spans="1:31">
      <c r="A32" s="6" t="s">
        <v>26</v>
      </c>
      <c r="B32" s="6">
        <v>11</v>
      </c>
      <c r="C32" s="9">
        <v>1E-4</v>
      </c>
      <c r="M32" s="6" t="s">
        <v>36</v>
      </c>
      <c r="N32" s="6">
        <v>1</v>
      </c>
      <c r="O32" s="30">
        <v>0</v>
      </c>
      <c r="Y32" s="6" t="s">
        <v>26</v>
      </c>
      <c r="Z32" s="6">
        <v>5</v>
      </c>
      <c r="AA32" s="9">
        <v>1E-4</v>
      </c>
    </row>
    <row r="33" spans="1:27">
      <c r="A33" s="6" t="s">
        <v>38</v>
      </c>
      <c r="B33" s="6">
        <v>8</v>
      </c>
      <c r="C33" s="9">
        <v>1E-4</v>
      </c>
      <c r="M33" s="6" t="s">
        <v>43</v>
      </c>
      <c r="N33" s="6">
        <v>1</v>
      </c>
      <c r="O33" s="30">
        <v>0</v>
      </c>
      <c r="Y33" s="6" t="s">
        <v>10</v>
      </c>
      <c r="Z33" s="6">
        <v>3</v>
      </c>
      <c r="AA33" s="9">
        <v>1E-4</v>
      </c>
    </row>
    <row r="34" spans="1:27">
      <c r="A34" s="6" t="s">
        <v>19</v>
      </c>
      <c r="B34" s="6">
        <v>4</v>
      </c>
      <c r="C34" s="30">
        <v>0</v>
      </c>
      <c r="M34" s="6" t="s">
        <v>64</v>
      </c>
      <c r="N34" s="6">
        <v>1</v>
      </c>
      <c r="O34" s="30">
        <v>0</v>
      </c>
      <c r="Y34" s="6" t="s">
        <v>22</v>
      </c>
      <c r="Z34" s="6">
        <v>4</v>
      </c>
      <c r="AA34" s="9">
        <v>1E-4</v>
      </c>
    </row>
    <row r="35" spans="1:27">
      <c r="A35" s="6" t="s">
        <v>34</v>
      </c>
      <c r="B35" s="6">
        <v>1</v>
      </c>
      <c r="C35" s="30">
        <v>0</v>
      </c>
      <c r="M35" s="6" t="s">
        <v>27</v>
      </c>
      <c r="N35" s="6">
        <v>1</v>
      </c>
      <c r="O35" s="30">
        <v>0</v>
      </c>
      <c r="Y35" s="6" t="s">
        <v>60</v>
      </c>
      <c r="Z35" s="6">
        <v>3</v>
      </c>
      <c r="AA35" s="9">
        <v>1E-4</v>
      </c>
    </row>
    <row r="36" spans="1:27">
      <c r="A36" s="6" t="s">
        <v>13</v>
      </c>
      <c r="B36" s="6">
        <v>2</v>
      </c>
      <c r="C36" s="30">
        <v>0</v>
      </c>
      <c r="M36" s="6" t="s">
        <v>60</v>
      </c>
      <c r="N36" s="6">
        <v>1</v>
      </c>
      <c r="O36" s="30">
        <v>0</v>
      </c>
      <c r="Y36" s="6" t="s">
        <v>25</v>
      </c>
      <c r="Z36" s="6">
        <v>4</v>
      </c>
      <c r="AA36" s="9">
        <v>1E-4</v>
      </c>
    </row>
    <row r="37" spans="1:27">
      <c r="A37" s="6" t="s">
        <v>45</v>
      </c>
      <c r="B37" s="6">
        <v>1</v>
      </c>
      <c r="C37" s="30">
        <v>0</v>
      </c>
      <c r="M37" s="6" t="s">
        <v>68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36</v>
      </c>
      <c r="B38" s="6">
        <v>3</v>
      </c>
      <c r="C38" s="30">
        <v>0</v>
      </c>
      <c r="M38" s="6" t="s">
        <v>32</v>
      </c>
      <c r="N38" s="6">
        <v>1</v>
      </c>
      <c r="O38" s="30">
        <v>0</v>
      </c>
      <c r="Y38" s="6" t="s">
        <v>13</v>
      </c>
      <c r="Z38" s="6">
        <v>2</v>
      </c>
      <c r="AA38" s="30">
        <v>0</v>
      </c>
    </row>
    <row r="39" spans="1:27">
      <c r="A39" s="6" t="s">
        <v>65</v>
      </c>
      <c r="B39" s="6">
        <v>1</v>
      </c>
      <c r="C39" s="30">
        <v>0</v>
      </c>
      <c r="M39" s="6" t="s">
        <v>53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60</v>
      </c>
      <c r="B40" s="6">
        <v>4</v>
      </c>
      <c r="C40" s="30">
        <v>0</v>
      </c>
      <c r="M40" s="6" t="s">
        <v>39</v>
      </c>
      <c r="N40" s="6">
        <v>1</v>
      </c>
      <c r="O40" s="30">
        <v>0</v>
      </c>
      <c r="Y40" s="6" t="s">
        <v>65</v>
      </c>
      <c r="Z40" s="6">
        <v>1</v>
      </c>
      <c r="AA40" s="30">
        <v>0</v>
      </c>
    </row>
    <row r="41" spans="1:27">
      <c r="A41" s="6" t="s">
        <v>48</v>
      </c>
      <c r="B41" s="6">
        <v>2</v>
      </c>
      <c r="C41" s="30">
        <v>0</v>
      </c>
      <c r="Y41" s="6" t="s">
        <v>48</v>
      </c>
      <c r="Z41" s="6">
        <v>2</v>
      </c>
      <c r="AA41" s="30">
        <v>0</v>
      </c>
    </row>
    <row r="42" spans="1:27">
      <c r="A42" s="6" t="s">
        <v>47</v>
      </c>
      <c r="B42" s="6">
        <v>1</v>
      </c>
      <c r="C42" s="30">
        <v>0</v>
      </c>
      <c r="Y42" s="6" t="s">
        <v>45</v>
      </c>
      <c r="Z42" s="6">
        <v>1</v>
      </c>
      <c r="AA42" s="30">
        <v>0</v>
      </c>
    </row>
    <row r="43" spans="1:27">
      <c r="A43" s="6" t="s">
        <v>27</v>
      </c>
      <c r="B43" s="6">
        <v>2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33</v>
      </c>
      <c r="B44" s="6">
        <v>3</v>
      </c>
      <c r="C44" s="30">
        <v>0</v>
      </c>
      <c r="Y44" s="6" t="s">
        <v>58</v>
      </c>
      <c r="Z44" s="6">
        <v>2</v>
      </c>
      <c r="AA44" s="30">
        <v>0</v>
      </c>
    </row>
    <row r="45" spans="1:27">
      <c r="A45" s="6" t="s">
        <v>15</v>
      </c>
      <c r="B45" s="6">
        <v>1</v>
      </c>
      <c r="C45" s="30">
        <v>0</v>
      </c>
      <c r="Y45" s="6" t="s">
        <v>27</v>
      </c>
      <c r="Z45" s="6">
        <v>1</v>
      </c>
      <c r="AA45" s="30">
        <v>0</v>
      </c>
    </row>
    <row r="46" spans="1:27">
      <c r="A46" s="6" t="s">
        <v>25</v>
      </c>
      <c r="B46" s="6">
        <v>4</v>
      </c>
      <c r="C46" s="30">
        <v>0</v>
      </c>
      <c r="Y46" s="6" t="s">
        <v>155</v>
      </c>
      <c r="Z46" s="6">
        <v>1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59</v>
      </c>
      <c r="Z47" s="6">
        <v>1</v>
      </c>
      <c r="AA47" s="30">
        <v>0</v>
      </c>
    </row>
    <row r="48" spans="1:27">
      <c r="A48" s="6" t="s">
        <v>43</v>
      </c>
      <c r="B48" s="6">
        <v>1</v>
      </c>
      <c r="C48" s="30">
        <v>0</v>
      </c>
      <c r="Y48" s="6" t="s">
        <v>24</v>
      </c>
      <c r="Z48" s="6">
        <v>2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33</v>
      </c>
      <c r="Z49" s="6">
        <v>1</v>
      </c>
      <c r="AA49" s="30">
        <v>0</v>
      </c>
    </row>
    <row r="50" spans="1:27">
      <c r="A50" s="6" t="s">
        <v>53</v>
      </c>
      <c r="B50" s="6">
        <v>2</v>
      </c>
      <c r="C50" s="30">
        <v>0</v>
      </c>
      <c r="Y50" s="6" t="s">
        <v>47</v>
      </c>
      <c r="Z50" s="6">
        <v>1</v>
      </c>
      <c r="AA50" s="30">
        <v>0</v>
      </c>
    </row>
    <row r="51" spans="1:27">
      <c r="A51" s="6" t="s">
        <v>64</v>
      </c>
      <c r="B51" s="6">
        <v>1</v>
      </c>
      <c r="C51" s="30">
        <v>0</v>
      </c>
      <c r="Y51" s="6" t="s">
        <v>39</v>
      </c>
      <c r="Z51" s="6">
        <v>1</v>
      </c>
      <c r="AA51" s="30">
        <v>0</v>
      </c>
    </row>
    <row r="52" spans="1:27">
      <c r="A52" s="6" t="s">
        <v>39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68</v>
      </c>
      <c r="B53" s="6">
        <v>1</v>
      </c>
      <c r="C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24</v>
      </c>
      <c r="B55" s="6">
        <v>2</v>
      </c>
      <c r="C55" s="30">
        <v>0</v>
      </c>
    </row>
    <row r="56" spans="1:27">
      <c r="A56" s="6" t="s">
        <v>32</v>
      </c>
      <c r="B56" s="6">
        <v>1</v>
      </c>
      <c r="C56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143C2-B9F6-411E-AC22-BCB3B13B5948}">
  <sheetPr codeName="Sheet25"/>
  <dimension ref="A1:AI53"/>
  <sheetViews>
    <sheetView topLeftCell="R1" workbookViewId="0">
      <selection activeCell="V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98428</v>
      </c>
      <c r="E2" s="41" t="s">
        <v>4</v>
      </c>
      <c r="F2" s="23" t="s">
        <v>105</v>
      </c>
      <c r="G2" s="23">
        <f>G3+G4</f>
        <v>92868</v>
      </c>
      <c r="H2" s="22"/>
      <c r="I2" s="41" t="s">
        <v>6</v>
      </c>
      <c r="J2" s="23" t="s">
        <v>105</v>
      </c>
      <c r="K2" s="23">
        <f>K3+K4</f>
        <v>92829</v>
      </c>
      <c r="M2" s="41" t="s">
        <v>104</v>
      </c>
      <c r="N2" s="23" t="s">
        <v>105</v>
      </c>
      <c r="O2" s="23">
        <f>O3+O4</f>
        <v>22568</v>
      </c>
      <c r="Q2" s="41" t="s">
        <v>4</v>
      </c>
      <c r="R2" s="23" t="s">
        <v>105</v>
      </c>
      <c r="S2" s="23">
        <f>S3+S4</f>
        <v>20208</v>
      </c>
      <c r="T2" s="22"/>
      <c r="U2" s="41" t="s">
        <v>6</v>
      </c>
      <c r="V2" s="23" t="s">
        <v>105</v>
      </c>
      <c r="W2" s="23">
        <f>W3+W4</f>
        <v>19539</v>
      </c>
      <c r="Y2" s="41" t="s">
        <v>104</v>
      </c>
      <c r="Z2" s="23" t="s">
        <v>105</v>
      </c>
      <c r="AA2" s="23">
        <f>AA3+AA4</f>
        <v>75851</v>
      </c>
      <c r="AC2" s="41" t="s">
        <v>4</v>
      </c>
      <c r="AD2" s="23" t="s">
        <v>105</v>
      </c>
      <c r="AE2" s="23">
        <f>AE3+AE4</f>
        <v>72661</v>
      </c>
      <c r="AF2" s="22"/>
      <c r="AG2" s="41" t="s">
        <v>6</v>
      </c>
      <c r="AH2" s="23" t="s">
        <v>105</v>
      </c>
      <c r="AI2" s="23">
        <f>AI3+AI4</f>
        <v>73292</v>
      </c>
    </row>
    <row r="3" spans="1:35">
      <c r="A3" s="42"/>
      <c r="B3" s="24" t="s">
        <v>106</v>
      </c>
      <c r="C3" s="24">
        <f>B8</f>
        <v>96974</v>
      </c>
      <c r="E3" s="42"/>
      <c r="F3" s="24" t="s">
        <v>106</v>
      </c>
      <c r="G3" s="24">
        <f>F8</f>
        <v>92594</v>
      </c>
      <c r="H3" s="22"/>
      <c r="I3" s="42"/>
      <c r="J3" s="24" t="s">
        <v>106</v>
      </c>
      <c r="K3" s="24">
        <f>J8</f>
        <v>92754</v>
      </c>
      <c r="M3" s="42"/>
      <c r="N3" s="24" t="s">
        <v>106</v>
      </c>
      <c r="O3" s="24">
        <f>N8</f>
        <v>22254</v>
      </c>
      <c r="Q3" s="42"/>
      <c r="R3" s="24" t="s">
        <v>106</v>
      </c>
      <c r="S3" s="24">
        <f>R8</f>
        <v>20169</v>
      </c>
      <c r="T3" s="22"/>
      <c r="U3" s="42"/>
      <c r="V3" s="24" t="s">
        <v>106</v>
      </c>
      <c r="W3" s="24">
        <f>V8</f>
        <v>19524</v>
      </c>
      <c r="Y3" s="42"/>
      <c r="Z3" s="24" t="s">
        <v>106</v>
      </c>
      <c r="AA3" s="24">
        <f>Z8</f>
        <v>74720</v>
      </c>
      <c r="AC3" s="42"/>
      <c r="AD3" s="24" t="s">
        <v>106</v>
      </c>
      <c r="AE3" s="24">
        <f>AD8</f>
        <v>72425</v>
      </c>
      <c r="AF3" s="22"/>
      <c r="AG3" s="42"/>
      <c r="AH3" s="24" t="s">
        <v>106</v>
      </c>
      <c r="AI3" s="24">
        <f>AH8</f>
        <v>73230</v>
      </c>
    </row>
    <row r="4" spans="1:35">
      <c r="A4" s="42"/>
      <c r="B4" s="25" t="s">
        <v>107</v>
      </c>
      <c r="C4" s="25">
        <f>SUM(B9:B66)</f>
        <v>1454</v>
      </c>
      <c r="E4" s="42"/>
      <c r="F4" s="25" t="s">
        <v>107</v>
      </c>
      <c r="G4" s="25">
        <f>SUM(F9:F33)</f>
        <v>274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314</v>
      </c>
      <c r="Q4" s="42"/>
      <c r="R4" s="25" t="s">
        <v>107</v>
      </c>
      <c r="S4" s="25">
        <f>SUM(R9:R33)</f>
        <v>39</v>
      </c>
      <c r="T4" s="22"/>
      <c r="U4" s="42"/>
      <c r="V4" s="25" t="s">
        <v>107</v>
      </c>
      <c r="W4" s="25">
        <f>SUM(V9:V31)</f>
        <v>15</v>
      </c>
      <c r="Y4" s="42"/>
      <c r="Z4" s="25" t="s">
        <v>107</v>
      </c>
      <c r="AA4" s="25">
        <f>SUM(Z9:Z45)</f>
        <v>1131</v>
      </c>
      <c r="AC4" s="42"/>
      <c r="AD4" s="25" t="s">
        <v>107</v>
      </c>
      <c r="AE4" s="25">
        <f>SUM(AD9:AD29)</f>
        <v>236</v>
      </c>
      <c r="AF4" s="22"/>
      <c r="AG4" s="42"/>
      <c r="AH4" s="25" t="s">
        <v>107</v>
      </c>
      <c r="AI4" s="25">
        <f>SUM(AH9:AH29)</f>
        <v>62</v>
      </c>
    </row>
    <row r="5" spans="1:35">
      <c r="A5" s="43"/>
      <c r="B5" s="23" t="s">
        <v>108</v>
      </c>
      <c r="C5" s="26">
        <f>SUM(C9:C179)</f>
        <v>1.4599999999999998E-2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1.3399999999999997E-2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1.5099999999999995E-2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96974</v>
      </c>
      <c r="C8" s="9">
        <v>0.98519999999999996</v>
      </c>
      <c r="E8" s="6" t="s">
        <v>112</v>
      </c>
      <c r="F8" s="29">
        <v>92594</v>
      </c>
      <c r="G8" s="9">
        <v>0.997</v>
      </c>
      <c r="I8" s="6" t="s">
        <v>112</v>
      </c>
      <c r="J8" s="29">
        <v>92754</v>
      </c>
      <c r="K8" s="9">
        <v>0.99919999999999998</v>
      </c>
      <c r="M8" s="6" t="s">
        <v>112</v>
      </c>
      <c r="N8" s="29">
        <v>22254</v>
      </c>
      <c r="O8" s="9">
        <v>0.98609999999999998</v>
      </c>
      <c r="Q8" s="6" t="s">
        <v>112</v>
      </c>
      <c r="R8" s="29">
        <v>20169</v>
      </c>
      <c r="S8" s="9">
        <v>0.99809999999999999</v>
      </c>
      <c r="U8" s="6" t="s">
        <v>112</v>
      </c>
      <c r="V8" s="29">
        <v>19524</v>
      </c>
      <c r="W8" s="9">
        <v>0.99919999999999998</v>
      </c>
      <c r="Y8" s="6" t="s">
        <v>112</v>
      </c>
      <c r="Z8" s="29">
        <v>74720</v>
      </c>
      <c r="AA8" s="9">
        <v>0.98499999999999999</v>
      </c>
      <c r="AC8" s="6" t="s">
        <v>112</v>
      </c>
      <c r="AD8" s="29">
        <v>72425</v>
      </c>
      <c r="AE8" s="9">
        <v>0.99680000000000002</v>
      </c>
      <c r="AG8" s="6" t="s">
        <v>112</v>
      </c>
      <c r="AH8" s="29">
        <v>73230</v>
      </c>
      <c r="AI8" s="9">
        <v>0.99919999999999998</v>
      </c>
    </row>
    <row r="9" spans="1:35">
      <c r="A9" s="6" t="s">
        <v>2</v>
      </c>
      <c r="B9" s="6">
        <v>317</v>
      </c>
      <c r="C9" s="9">
        <v>3.2000000000000002E-3</v>
      </c>
      <c r="E9" s="6" t="s">
        <v>122</v>
      </c>
      <c r="F9" s="6">
        <v>189</v>
      </c>
      <c r="G9" s="9">
        <v>2E-3</v>
      </c>
      <c r="I9" s="6" t="s">
        <v>98</v>
      </c>
      <c r="J9" s="6">
        <v>15</v>
      </c>
      <c r="K9" s="9">
        <v>2.0000000000000001E-4</v>
      </c>
      <c r="M9" s="6" t="s">
        <v>2</v>
      </c>
      <c r="N9" s="6">
        <v>92</v>
      </c>
      <c r="O9" s="9">
        <v>4.1000000000000003E-3</v>
      </c>
      <c r="Q9" s="6" t="s">
        <v>122</v>
      </c>
      <c r="R9" s="6">
        <v>29</v>
      </c>
      <c r="S9" s="9">
        <v>1.4E-3</v>
      </c>
      <c r="U9" s="6" t="s">
        <v>2</v>
      </c>
      <c r="V9" s="6">
        <v>5</v>
      </c>
      <c r="W9" s="9">
        <v>2.9999999999999997E-4</v>
      </c>
      <c r="Y9" s="6" t="s">
        <v>2</v>
      </c>
      <c r="Z9" s="6">
        <v>225</v>
      </c>
      <c r="AA9" s="9">
        <v>3.0000000000000001E-3</v>
      </c>
      <c r="AC9" s="6" t="s">
        <v>122</v>
      </c>
      <c r="AD9" s="6">
        <v>160</v>
      </c>
      <c r="AE9" s="9">
        <v>2.2000000000000001E-3</v>
      </c>
      <c r="AG9" s="6" t="s">
        <v>98</v>
      </c>
      <c r="AH9" s="6">
        <v>12</v>
      </c>
      <c r="AI9" s="9">
        <v>2.0000000000000001E-4</v>
      </c>
    </row>
    <row r="10" spans="1:35">
      <c r="A10" s="6" t="s">
        <v>8</v>
      </c>
      <c r="B10" s="6">
        <v>204</v>
      </c>
      <c r="C10" s="9">
        <v>2.0999999999999999E-3</v>
      </c>
      <c r="E10" s="6" t="s">
        <v>83</v>
      </c>
      <c r="F10" s="6">
        <v>33</v>
      </c>
      <c r="G10" s="9">
        <v>4.0000000000000002E-4</v>
      </c>
      <c r="I10" s="6" t="s">
        <v>99</v>
      </c>
      <c r="J10" s="6">
        <v>17</v>
      </c>
      <c r="K10" s="9">
        <v>2.0000000000000001E-4</v>
      </c>
      <c r="M10" s="6" t="s">
        <v>3</v>
      </c>
      <c r="N10" s="6">
        <v>62</v>
      </c>
      <c r="O10" s="9">
        <v>2.7000000000000001E-3</v>
      </c>
      <c r="Q10" s="6" t="s">
        <v>76</v>
      </c>
      <c r="R10" s="6">
        <v>5</v>
      </c>
      <c r="S10" s="9">
        <v>2.0000000000000001E-4</v>
      </c>
      <c r="U10" s="6" t="s">
        <v>102</v>
      </c>
      <c r="V10" s="6">
        <v>3</v>
      </c>
      <c r="W10" s="9">
        <v>2.0000000000000001E-4</v>
      </c>
      <c r="Y10" s="6" t="s">
        <v>8</v>
      </c>
      <c r="Z10" s="6">
        <v>203</v>
      </c>
      <c r="AA10" s="9">
        <v>2.7000000000000001E-3</v>
      </c>
      <c r="AC10" s="6" t="s">
        <v>83</v>
      </c>
      <c r="AD10" s="6">
        <v>33</v>
      </c>
      <c r="AE10" s="9">
        <v>5.0000000000000001E-4</v>
      </c>
      <c r="AG10" s="6" t="s">
        <v>99</v>
      </c>
      <c r="AH10" s="6">
        <v>16</v>
      </c>
      <c r="AI10" s="9">
        <v>2.0000000000000001E-4</v>
      </c>
    </row>
    <row r="11" spans="1:35">
      <c r="A11" s="6" t="s">
        <v>3</v>
      </c>
      <c r="B11" s="6">
        <v>209</v>
      </c>
      <c r="C11" s="9">
        <v>2.0999999999999999E-3</v>
      </c>
      <c r="E11" s="6" t="s">
        <v>76</v>
      </c>
      <c r="F11" s="6">
        <v>18</v>
      </c>
      <c r="G11" s="9">
        <v>2.0000000000000001E-4</v>
      </c>
      <c r="I11" s="6" t="s">
        <v>2</v>
      </c>
      <c r="J11" s="6">
        <v>23</v>
      </c>
      <c r="K11" s="9">
        <v>2.0000000000000001E-4</v>
      </c>
      <c r="M11" s="6" t="s">
        <v>7</v>
      </c>
      <c r="N11" s="6">
        <v>40</v>
      </c>
      <c r="O11" s="9">
        <v>1.8E-3</v>
      </c>
      <c r="Q11" s="6" t="s">
        <v>74</v>
      </c>
      <c r="R11" s="6">
        <v>2</v>
      </c>
      <c r="S11" s="9">
        <v>1E-4</v>
      </c>
      <c r="U11" s="6" t="s">
        <v>98</v>
      </c>
      <c r="V11" s="6">
        <v>3</v>
      </c>
      <c r="W11" s="9">
        <v>2.0000000000000001E-4</v>
      </c>
      <c r="Y11" s="6" t="s">
        <v>3</v>
      </c>
      <c r="Z11" s="6">
        <v>147</v>
      </c>
      <c r="AA11" s="9">
        <v>1.9E-3</v>
      </c>
      <c r="AC11" s="6" t="s">
        <v>76</v>
      </c>
      <c r="AD11" s="6">
        <v>13</v>
      </c>
      <c r="AE11" s="9">
        <v>2.0000000000000001E-4</v>
      </c>
      <c r="AG11" s="6" t="s">
        <v>2</v>
      </c>
      <c r="AH11" s="6">
        <v>18</v>
      </c>
      <c r="AI11" s="9">
        <v>2.0000000000000001E-4</v>
      </c>
    </row>
    <row r="12" spans="1:35">
      <c r="A12" s="6" t="s">
        <v>9</v>
      </c>
      <c r="B12" s="6">
        <v>135</v>
      </c>
      <c r="C12" s="9">
        <v>1.4E-3</v>
      </c>
      <c r="E12" s="6" t="s">
        <v>77</v>
      </c>
      <c r="F12" s="6">
        <v>10</v>
      </c>
      <c r="G12" s="9">
        <v>1E-4</v>
      </c>
      <c r="I12" s="6" t="s">
        <v>102</v>
      </c>
      <c r="J12" s="6">
        <v>9</v>
      </c>
      <c r="K12" s="9">
        <v>1E-4</v>
      </c>
      <c r="M12" s="6" t="s">
        <v>9</v>
      </c>
      <c r="N12" s="6">
        <v>24</v>
      </c>
      <c r="O12" s="9">
        <v>1.1000000000000001E-3</v>
      </c>
      <c r="Q12" s="6" t="s">
        <v>77</v>
      </c>
      <c r="R12" s="6">
        <v>1</v>
      </c>
      <c r="S12" s="30">
        <v>0</v>
      </c>
      <c r="U12" s="6" t="s">
        <v>123</v>
      </c>
      <c r="V12" s="6">
        <v>1</v>
      </c>
      <c r="W12" s="9">
        <v>1E-4</v>
      </c>
      <c r="Y12" s="6" t="s">
        <v>9</v>
      </c>
      <c r="Z12" s="6">
        <v>111</v>
      </c>
      <c r="AA12" s="9">
        <v>1.5E-3</v>
      </c>
      <c r="AC12" s="6" t="s">
        <v>77</v>
      </c>
      <c r="AD12" s="6">
        <v>9</v>
      </c>
      <c r="AE12" s="9">
        <v>1E-4</v>
      </c>
      <c r="AG12" s="6" t="s">
        <v>102</v>
      </c>
      <c r="AH12" s="6">
        <v>7</v>
      </c>
      <c r="AI12" s="9">
        <v>1E-4</v>
      </c>
    </row>
    <row r="13" spans="1:35">
      <c r="A13" s="6" t="s">
        <v>11</v>
      </c>
      <c r="B13" s="6">
        <v>79</v>
      </c>
      <c r="C13" s="9">
        <v>8.0000000000000004E-4</v>
      </c>
      <c r="E13" s="6" t="s">
        <v>74</v>
      </c>
      <c r="F13" s="6">
        <v>10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20</v>
      </c>
      <c r="O13" s="9">
        <v>8.9999999999999998E-4</v>
      </c>
      <c r="Q13" s="6" t="s">
        <v>86</v>
      </c>
      <c r="R13" s="6">
        <v>1</v>
      </c>
      <c r="S13" s="30">
        <v>0</v>
      </c>
      <c r="U13" s="6" t="s">
        <v>99</v>
      </c>
      <c r="V13" s="6">
        <v>1</v>
      </c>
      <c r="W13" s="9">
        <v>1E-4</v>
      </c>
      <c r="Y13" s="6" t="s">
        <v>5</v>
      </c>
      <c r="Z13" s="6">
        <v>67</v>
      </c>
      <c r="AA13" s="9">
        <v>8.9999999999999998E-4</v>
      </c>
      <c r="AC13" s="6" t="s">
        <v>74</v>
      </c>
      <c r="AD13" s="6">
        <v>8</v>
      </c>
      <c r="AE13" s="9">
        <v>1E-4</v>
      </c>
      <c r="AG13" s="6" t="s">
        <v>113</v>
      </c>
      <c r="AH13" s="6">
        <v>7</v>
      </c>
      <c r="AI13" s="9">
        <v>1E-4</v>
      </c>
    </row>
    <row r="14" spans="1:35">
      <c r="A14" s="6" t="s">
        <v>7</v>
      </c>
      <c r="B14" s="6">
        <v>77</v>
      </c>
      <c r="C14" s="9">
        <v>8.0000000000000004E-4</v>
      </c>
      <c r="E14" s="6" t="s">
        <v>92</v>
      </c>
      <c r="F14" s="6">
        <v>1</v>
      </c>
      <c r="G14" s="30">
        <v>0</v>
      </c>
      <c r="I14" s="6" t="s">
        <v>123</v>
      </c>
      <c r="J14" s="6">
        <v>1</v>
      </c>
      <c r="K14" s="30">
        <v>0</v>
      </c>
      <c r="M14" s="6" t="s">
        <v>49</v>
      </c>
      <c r="N14" s="6">
        <v>10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113</v>
      </c>
      <c r="V14" s="6">
        <v>2</v>
      </c>
      <c r="W14" s="9">
        <v>1E-4</v>
      </c>
      <c r="Y14" s="6" t="s">
        <v>11</v>
      </c>
      <c r="Z14" s="6">
        <v>59</v>
      </c>
      <c r="AA14" s="9">
        <v>8.0000000000000004E-4</v>
      </c>
      <c r="AC14" s="6" t="s">
        <v>75</v>
      </c>
      <c r="AD14" s="6">
        <v>4</v>
      </c>
      <c r="AE14" s="9">
        <v>1E-4</v>
      </c>
      <c r="AG14" s="6" t="s">
        <v>103</v>
      </c>
      <c r="AH14" s="6">
        <v>1</v>
      </c>
      <c r="AI14" s="30">
        <v>0</v>
      </c>
    </row>
    <row r="15" spans="1:35">
      <c r="A15" s="6" t="s">
        <v>5</v>
      </c>
      <c r="B15" s="6">
        <v>68</v>
      </c>
      <c r="C15" s="9">
        <v>6.9999999999999999E-4</v>
      </c>
      <c r="E15" s="6" t="s">
        <v>85</v>
      </c>
      <c r="F15" s="6">
        <v>1</v>
      </c>
      <c r="G15" s="30">
        <v>0</v>
      </c>
      <c r="I15" s="6" t="s">
        <v>103</v>
      </c>
      <c r="J15" s="6">
        <v>1</v>
      </c>
      <c r="K15" s="30">
        <v>0</v>
      </c>
      <c r="M15" s="6" t="s">
        <v>10</v>
      </c>
      <c r="N15" s="6">
        <v>7</v>
      </c>
      <c r="O15" s="9">
        <v>2.9999999999999997E-4</v>
      </c>
      <c r="Y15" s="6" t="s">
        <v>37</v>
      </c>
      <c r="Z15" s="6">
        <v>50</v>
      </c>
      <c r="AA15" s="9">
        <v>6.9999999999999999E-4</v>
      </c>
      <c r="AC15" s="6" t="s">
        <v>79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53</v>
      </c>
      <c r="C16" s="9">
        <v>5.0000000000000001E-4</v>
      </c>
      <c r="E16" s="6" t="s">
        <v>80</v>
      </c>
      <c r="F16" s="6">
        <v>1</v>
      </c>
      <c r="G16" s="30">
        <v>0</v>
      </c>
      <c r="M16" s="6" t="s">
        <v>30</v>
      </c>
      <c r="N16" s="6">
        <v>6</v>
      </c>
      <c r="O16" s="9">
        <v>2.9999999999999997E-4</v>
      </c>
      <c r="Y16" s="6" t="s">
        <v>7</v>
      </c>
      <c r="Z16" s="6">
        <v>37</v>
      </c>
      <c r="AA16" s="9">
        <v>5.0000000000000001E-4</v>
      </c>
      <c r="AC16" s="6" t="s">
        <v>92</v>
      </c>
      <c r="AD16" s="6">
        <v>1</v>
      </c>
      <c r="AE16" s="30">
        <v>0</v>
      </c>
    </row>
    <row r="17" spans="1:31">
      <c r="A17" s="6" t="s">
        <v>17</v>
      </c>
      <c r="B17" s="6">
        <v>26</v>
      </c>
      <c r="C17" s="9">
        <v>2.9999999999999997E-4</v>
      </c>
      <c r="E17" s="6" t="s">
        <v>75</v>
      </c>
      <c r="F17" s="6">
        <v>4</v>
      </c>
      <c r="G17" s="30">
        <v>0</v>
      </c>
      <c r="M17" s="6" t="s">
        <v>21</v>
      </c>
      <c r="N17" s="6">
        <v>5</v>
      </c>
      <c r="O17" s="9">
        <v>2.0000000000000001E-4</v>
      </c>
      <c r="Y17" s="6" t="s">
        <v>41</v>
      </c>
      <c r="Z17" s="6">
        <v>27</v>
      </c>
      <c r="AA17" s="9">
        <v>4.0000000000000002E-4</v>
      </c>
      <c r="AC17" s="6" t="s">
        <v>85</v>
      </c>
      <c r="AD17" s="6">
        <v>1</v>
      </c>
      <c r="AE17" s="30">
        <v>0</v>
      </c>
    </row>
    <row r="18" spans="1:31">
      <c r="A18" s="6" t="s">
        <v>41</v>
      </c>
      <c r="B18" s="6">
        <v>31</v>
      </c>
      <c r="C18" s="9">
        <v>2.9999999999999997E-4</v>
      </c>
      <c r="E18" s="6" t="s">
        <v>84</v>
      </c>
      <c r="F18" s="6">
        <v>2</v>
      </c>
      <c r="G18" s="30">
        <v>0</v>
      </c>
      <c r="M18" s="6" t="s">
        <v>18</v>
      </c>
      <c r="N18" s="6">
        <v>5</v>
      </c>
      <c r="O18" s="9">
        <v>2.0000000000000001E-4</v>
      </c>
      <c r="Y18" s="6" t="s">
        <v>17</v>
      </c>
      <c r="Z18" s="6">
        <v>23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18</v>
      </c>
      <c r="B19" s="6">
        <v>21</v>
      </c>
      <c r="C19" s="9">
        <v>2.0000000000000001E-4</v>
      </c>
      <c r="E19" s="6" t="s">
        <v>79</v>
      </c>
      <c r="F19" s="6">
        <v>4</v>
      </c>
      <c r="G19" s="30">
        <v>0</v>
      </c>
      <c r="M19" s="6" t="s">
        <v>22</v>
      </c>
      <c r="N19" s="6">
        <v>4</v>
      </c>
      <c r="O19" s="9">
        <v>2.0000000000000001E-4</v>
      </c>
      <c r="Y19" s="6" t="s">
        <v>12</v>
      </c>
      <c r="Z19" s="6">
        <v>20</v>
      </c>
      <c r="AA19" s="9">
        <v>2.9999999999999997E-4</v>
      </c>
      <c r="AC19" s="6" t="s">
        <v>84</v>
      </c>
      <c r="AD19" s="6">
        <v>2</v>
      </c>
      <c r="AE19" s="30">
        <v>0</v>
      </c>
    </row>
    <row r="20" spans="1:31">
      <c r="A20" s="6" t="s">
        <v>12</v>
      </c>
      <c r="B20" s="6">
        <v>23</v>
      </c>
      <c r="C20" s="9">
        <v>2.0000000000000001E-4</v>
      </c>
      <c r="E20" s="6" t="s">
        <v>86</v>
      </c>
      <c r="F20" s="6">
        <v>1</v>
      </c>
      <c r="G20" s="30">
        <v>0</v>
      </c>
      <c r="M20" s="6" t="s">
        <v>29</v>
      </c>
      <c r="N20" s="6">
        <v>5</v>
      </c>
      <c r="O20" s="9">
        <v>2.0000000000000001E-4</v>
      </c>
      <c r="Y20" s="6" t="s">
        <v>18</v>
      </c>
      <c r="Z20" s="6">
        <v>16</v>
      </c>
      <c r="AA20" s="9">
        <v>2.0000000000000001E-4</v>
      </c>
    </row>
    <row r="21" spans="1:31">
      <c r="A21" s="6" t="s">
        <v>10</v>
      </c>
      <c r="B21" s="6">
        <v>18</v>
      </c>
      <c r="C21" s="9">
        <v>2.0000000000000001E-4</v>
      </c>
      <c r="M21" s="6" t="s">
        <v>41</v>
      </c>
      <c r="N21" s="6">
        <v>4</v>
      </c>
      <c r="O21" s="9">
        <v>2.0000000000000001E-4</v>
      </c>
      <c r="Y21" s="6" t="s">
        <v>14</v>
      </c>
      <c r="Z21" s="6">
        <v>17</v>
      </c>
      <c r="AA21" s="9">
        <v>2.0000000000000001E-4</v>
      </c>
    </row>
    <row r="22" spans="1:31">
      <c r="A22" s="6" t="s">
        <v>29</v>
      </c>
      <c r="B22" s="6">
        <v>19</v>
      </c>
      <c r="C22" s="9">
        <v>2.0000000000000001E-4</v>
      </c>
      <c r="M22" s="6" t="s">
        <v>12</v>
      </c>
      <c r="N22" s="6">
        <v>3</v>
      </c>
      <c r="O22" s="9">
        <v>1E-4</v>
      </c>
      <c r="Y22" s="6" t="s">
        <v>16</v>
      </c>
      <c r="Z22" s="6">
        <v>13</v>
      </c>
      <c r="AA22" s="9">
        <v>2.0000000000000001E-4</v>
      </c>
    </row>
    <row r="23" spans="1:31">
      <c r="A23" s="6" t="s">
        <v>14</v>
      </c>
      <c r="B23" s="6">
        <v>17</v>
      </c>
      <c r="C23" s="9">
        <v>2.0000000000000001E-4</v>
      </c>
      <c r="M23" s="6" t="s">
        <v>17</v>
      </c>
      <c r="N23" s="6">
        <v>3</v>
      </c>
      <c r="O23" s="9">
        <v>1E-4</v>
      </c>
      <c r="Y23" s="6" t="s">
        <v>29</v>
      </c>
      <c r="Z23" s="6">
        <v>14</v>
      </c>
      <c r="AA23" s="9">
        <v>2.0000000000000001E-4</v>
      </c>
    </row>
    <row r="24" spans="1:31">
      <c r="A24" s="6" t="s">
        <v>31</v>
      </c>
      <c r="B24" s="6">
        <v>15</v>
      </c>
      <c r="C24" s="9">
        <v>2.0000000000000001E-4</v>
      </c>
      <c r="M24" s="6" t="s">
        <v>36</v>
      </c>
      <c r="N24" s="6">
        <v>2</v>
      </c>
      <c r="O24" s="9">
        <v>1E-4</v>
      </c>
      <c r="Y24" s="6" t="s">
        <v>31</v>
      </c>
      <c r="Z24" s="6">
        <v>12</v>
      </c>
      <c r="AA24" s="9">
        <v>2.0000000000000001E-4</v>
      </c>
    </row>
    <row r="25" spans="1:31">
      <c r="A25" s="6" t="s">
        <v>30</v>
      </c>
      <c r="B25" s="6">
        <v>16</v>
      </c>
      <c r="C25" s="9">
        <v>2.0000000000000001E-4</v>
      </c>
      <c r="M25" s="6" t="s">
        <v>15</v>
      </c>
      <c r="N25" s="6">
        <v>3</v>
      </c>
      <c r="O25" s="9">
        <v>1E-4</v>
      </c>
      <c r="Y25" s="6" t="s">
        <v>21</v>
      </c>
      <c r="Z25" s="6">
        <v>4</v>
      </c>
      <c r="AA25" s="9">
        <v>1E-4</v>
      </c>
    </row>
    <row r="26" spans="1:31">
      <c r="A26" s="6" t="s">
        <v>21</v>
      </c>
      <c r="B26" s="6">
        <v>9</v>
      </c>
      <c r="C26" s="9">
        <v>1E-4</v>
      </c>
      <c r="M26" s="6" t="s">
        <v>31</v>
      </c>
      <c r="N26" s="6">
        <v>3</v>
      </c>
      <c r="O26" s="9">
        <v>1E-4</v>
      </c>
      <c r="Y26" s="6" t="s">
        <v>15</v>
      </c>
      <c r="Z26" s="6">
        <v>10</v>
      </c>
      <c r="AA26" s="9">
        <v>1E-4</v>
      </c>
    </row>
    <row r="27" spans="1:31">
      <c r="A27" s="6" t="s">
        <v>15</v>
      </c>
      <c r="B27" s="6">
        <v>13</v>
      </c>
      <c r="C27" s="9">
        <v>1E-4</v>
      </c>
      <c r="M27" s="6" t="s">
        <v>37</v>
      </c>
      <c r="N27" s="6">
        <v>3</v>
      </c>
      <c r="O27" s="9">
        <v>1E-4</v>
      </c>
      <c r="Y27" s="6" t="s">
        <v>10</v>
      </c>
      <c r="Z27" s="6">
        <v>11</v>
      </c>
      <c r="AA27" s="9">
        <v>1E-4</v>
      </c>
    </row>
    <row r="28" spans="1:31">
      <c r="A28" s="6" t="s">
        <v>16</v>
      </c>
      <c r="B28" s="6">
        <v>13</v>
      </c>
      <c r="C28" s="9">
        <v>1E-4</v>
      </c>
      <c r="M28" s="6" t="s">
        <v>38</v>
      </c>
      <c r="N28" s="6">
        <v>2</v>
      </c>
      <c r="O28" s="9">
        <v>1E-4</v>
      </c>
      <c r="Y28" s="6" t="s">
        <v>40</v>
      </c>
      <c r="Z28" s="6">
        <v>10</v>
      </c>
      <c r="AA28" s="9">
        <v>1E-4</v>
      </c>
    </row>
    <row r="29" spans="1:31">
      <c r="A29" s="6" t="s">
        <v>36</v>
      </c>
      <c r="B29" s="6">
        <v>6</v>
      </c>
      <c r="C29" s="9">
        <v>1E-4</v>
      </c>
      <c r="M29" s="6" t="s">
        <v>33</v>
      </c>
      <c r="N29" s="6">
        <v>2</v>
      </c>
      <c r="O29" s="9">
        <v>1E-4</v>
      </c>
      <c r="Y29" s="6" t="s">
        <v>36</v>
      </c>
      <c r="Z29" s="6">
        <v>4</v>
      </c>
      <c r="AA29" s="9">
        <v>1E-4</v>
      </c>
    </row>
    <row r="30" spans="1:31">
      <c r="A30" s="6" t="s">
        <v>22</v>
      </c>
      <c r="B30" s="6">
        <v>9</v>
      </c>
      <c r="C30" s="9">
        <v>1E-4</v>
      </c>
      <c r="M30" s="6" t="s">
        <v>19</v>
      </c>
      <c r="N30" s="6">
        <v>1</v>
      </c>
      <c r="O30" s="30">
        <v>0</v>
      </c>
      <c r="Y30" s="6" t="s">
        <v>30</v>
      </c>
      <c r="Z30" s="6">
        <v>10</v>
      </c>
      <c r="AA30" s="9">
        <v>1E-4</v>
      </c>
    </row>
    <row r="31" spans="1:31">
      <c r="A31" s="6" t="s">
        <v>40</v>
      </c>
      <c r="B31" s="6">
        <v>10</v>
      </c>
      <c r="C31" s="9">
        <v>1E-4</v>
      </c>
      <c r="M31" s="6" t="s">
        <v>45</v>
      </c>
      <c r="N31" s="6">
        <v>1</v>
      </c>
      <c r="O31" s="30">
        <v>0</v>
      </c>
      <c r="Y31" s="6" t="s">
        <v>22</v>
      </c>
      <c r="Z31" s="6">
        <v>5</v>
      </c>
      <c r="AA31" s="9">
        <v>1E-4</v>
      </c>
    </row>
    <row r="32" spans="1:31">
      <c r="A32" s="6" t="s">
        <v>26</v>
      </c>
      <c r="B32" s="6">
        <v>5</v>
      </c>
      <c r="C32" s="9">
        <v>1E-4</v>
      </c>
      <c r="M32" s="6" t="s">
        <v>5</v>
      </c>
      <c r="N32" s="6">
        <v>1</v>
      </c>
      <c r="O32" s="30">
        <v>0</v>
      </c>
      <c r="Y32" s="6" t="s">
        <v>26</v>
      </c>
      <c r="Z32" s="6">
        <v>4</v>
      </c>
      <c r="AA32" s="9">
        <v>1E-4</v>
      </c>
    </row>
    <row r="33" spans="1:27">
      <c r="A33" s="6" t="s">
        <v>38</v>
      </c>
      <c r="B33" s="6">
        <v>6</v>
      </c>
      <c r="C33" s="9">
        <v>1E-4</v>
      </c>
      <c r="M33" s="6" t="s">
        <v>60</v>
      </c>
      <c r="N33" s="6">
        <v>1</v>
      </c>
      <c r="O33" s="30">
        <v>0</v>
      </c>
      <c r="Y33" s="6" t="s">
        <v>25</v>
      </c>
      <c r="Z33" s="6">
        <v>6</v>
      </c>
      <c r="AA33" s="9">
        <v>1E-4</v>
      </c>
    </row>
    <row r="34" spans="1:27">
      <c r="A34" s="6" t="s">
        <v>25</v>
      </c>
      <c r="B34" s="6">
        <v>7</v>
      </c>
      <c r="C34" s="9">
        <v>1E-4</v>
      </c>
      <c r="M34" s="6" t="s">
        <v>57</v>
      </c>
      <c r="N34" s="6">
        <v>1</v>
      </c>
      <c r="O34" s="30">
        <v>0</v>
      </c>
      <c r="Y34" s="6" t="s">
        <v>38</v>
      </c>
      <c r="Z34" s="6">
        <v>4</v>
      </c>
      <c r="AA34" s="9">
        <v>1E-4</v>
      </c>
    </row>
    <row r="35" spans="1:27">
      <c r="A35" s="6" t="s">
        <v>49</v>
      </c>
      <c r="B35" s="6">
        <v>10</v>
      </c>
      <c r="C35" s="9">
        <v>1E-4</v>
      </c>
      <c r="M35" s="6" t="s">
        <v>8</v>
      </c>
      <c r="N35" s="6">
        <v>1</v>
      </c>
      <c r="O35" s="30">
        <v>0</v>
      </c>
      <c r="Y35" s="6" t="s">
        <v>27</v>
      </c>
      <c r="Z35" s="6">
        <v>4</v>
      </c>
      <c r="AA35" s="9">
        <v>1E-4</v>
      </c>
    </row>
    <row r="36" spans="1:27">
      <c r="A36" s="6" t="s">
        <v>19</v>
      </c>
      <c r="B36" s="6">
        <v>2</v>
      </c>
      <c r="C36" s="30">
        <v>0</v>
      </c>
      <c r="M36" s="6" t="s">
        <v>26</v>
      </c>
      <c r="N36" s="6">
        <v>1</v>
      </c>
      <c r="O36" s="30">
        <v>0</v>
      </c>
      <c r="Y36" s="6" t="s">
        <v>19</v>
      </c>
      <c r="Z36" s="6">
        <v>1</v>
      </c>
      <c r="AA36" s="30">
        <v>0</v>
      </c>
    </row>
    <row r="37" spans="1:27">
      <c r="A37" s="6" t="s">
        <v>45</v>
      </c>
      <c r="B37" s="6">
        <v>2</v>
      </c>
      <c r="C37" s="30">
        <v>0</v>
      </c>
      <c r="M37" s="6" t="s">
        <v>25</v>
      </c>
      <c r="N37" s="6">
        <v>1</v>
      </c>
      <c r="O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34</v>
      </c>
      <c r="B38" s="6">
        <v>2</v>
      </c>
      <c r="C38" s="30">
        <v>0</v>
      </c>
      <c r="M38" s="6" t="s">
        <v>39</v>
      </c>
      <c r="N38" s="6">
        <v>1</v>
      </c>
      <c r="O38" s="30">
        <v>0</v>
      </c>
      <c r="Y38" s="6" t="s">
        <v>34</v>
      </c>
      <c r="Z38" s="6">
        <v>2</v>
      </c>
      <c r="AA38" s="30">
        <v>0</v>
      </c>
    </row>
    <row r="39" spans="1:27">
      <c r="A39" s="6" t="s">
        <v>13</v>
      </c>
      <c r="B39" s="6">
        <v>2</v>
      </c>
      <c r="C39" s="30">
        <v>0</v>
      </c>
      <c r="Y39" s="6" t="s">
        <v>13</v>
      </c>
      <c r="Z39" s="6">
        <v>2</v>
      </c>
      <c r="AA39" s="30">
        <v>0</v>
      </c>
    </row>
    <row r="40" spans="1:27">
      <c r="A40" s="6" t="s">
        <v>20</v>
      </c>
      <c r="B40" s="6">
        <v>3</v>
      </c>
      <c r="C40" s="30">
        <v>0</v>
      </c>
      <c r="Y40" s="6" t="s">
        <v>20</v>
      </c>
      <c r="Z40" s="6">
        <v>3</v>
      </c>
      <c r="AA40" s="30">
        <v>0</v>
      </c>
    </row>
    <row r="41" spans="1:27">
      <c r="A41" s="6" t="s">
        <v>67</v>
      </c>
      <c r="B41" s="6">
        <v>1</v>
      </c>
      <c r="C41" s="30">
        <v>0</v>
      </c>
      <c r="Y41" s="6" t="s">
        <v>24</v>
      </c>
      <c r="Z41" s="6">
        <v>1</v>
      </c>
      <c r="AA41" s="30">
        <v>0</v>
      </c>
    </row>
    <row r="42" spans="1:27">
      <c r="A42" s="6" t="s">
        <v>24</v>
      </c>
      <c r="B42" s="6">
        <v>1</v>
      </c>
      <c r="C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Y43" s="6" t="s">
        <v>48</v>
      </c>
      <c r="Z43" s="6">
        <v>3</v>
      </c>
      <c r="AA43" s="30">
        <v>0</v>
      </c>
    </row>
    <row r="44" spans="1:27">
      <c r="A44" s="6" t="s">
        <v>58</v>
      </c>
      <c r="B44" s="6">
        <v>2</v>
      </c>
      <c r="C44" s="30">
        <v>0</v>
      </c>
      <c r="Y44" s="6" t="s">
        <v>58</v>
      </c>
      <c r="Z44" s="6">
        <v>2</v>
      </c>
      <c r="AA44" s="30">
        <v>0</v>
      </c>
    </row>
    <row r="45" spans="1:27">
      <c r="A45" s="6" t="s">
        <v>60</v>
      </c>
      <c r="B45" s="6">
        <v>3</v>
      </c>
      <c r="C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27</v>
      </c>
      <c r="B46" s="6">
        <v>4</v>
      </c>
      <c r="C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64</v>
      </c>
      <c r="B47" s="6">
        <v>2</v>
      </c>
      <c r="C47" s="30">
        <v>0</v>
      </c>
      <c r="Y47" s="6" t="s">
        <v>39</v>
      </c>
      <c r="Z47" s="6">
        <v>3</v>
      </c>
      <c r="AA47" s="30">
        <v>0</v>
      </c>
    </row>
    <row r="48" spans="1:27">
      <c r="A48" s="6" t="s">
        <v>57</v>
      </c>
      <c r="B48" s="6">
        <v>2</v>
      </c>
      <c r="C48" s="30">
        <v>0</v>
      </c>
      <c r="Y48" s="6" t="s">
        <v>68</v>
      </c>
      <c r="Z48" s="6">
        <v>1</v>
      </c>
      <c r="AA48" s="30">
        <v>0</v>
      </c>
    </row>
    <row r="49" spans="1:27">
      <c r="A49" s="6" t="s">
        <v>39</v>
      </c>
      <c r="B49" s="6">
        <v>4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  <c r="Y50" s="6" t="s">
        <v>28</v>
      </c>
      <c r="Z50" s="6">
        <v>1</v>
      </c>
      <c r="AA50" s="30">
        <v>0</v>
      </c>
    </row>
    <row r="51" spans="1:27">
      <c r="A51" s="6" t="s">
        <v>68</v>
      </c>
      <c r="B51" s="6">
        <v>1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28</v>
      </c>
      <c r="B52" s="6">
        <v>1</v>
      </c>
      <c r="C52" s="30">
        <v>0</v>
      </c>
    </row>
    <row r="53" spans="1:27">
      <c r="A53" s="6" t="s">
        <v>66</v>
      </c>
      <c r="B53" s="6">
        <v>1</v>
      </c>
      <c r="C5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B8B1B-8C5C-4E4C-BE5C-65A1ABC516DF}">
  <sheetPr codeName="Sheet26"/>
  <dimension ref="A1:AI56"/>
  <sheetViews>
    <sheetView topLeftCell="U1" workbookViewId="0">
      <selection activeCell="AD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103491</v>
      </c>
      <c r="E2" s="41" t="s">
        <v>4</v>
      </c>
      <c r="F2" s="23" t="s">
        <v>105</v>
      </c>
      <c r="G2" s="23">
        <f>G3+G4</f>
        <v>92299</v>
      </c>
      <c r="H2" s="22"/>
      <c r="I2" s="41" t="s">
        <v>6</v>
      </c>
      <c r="J2" s="23" t="s">
        <v>105</v>
      </c>
      <c r="K2" s="23">
        <f>K3+K4</f>
        <v>95737</v>
      </c>
      <c r="M2" s="41" t="s">
        <v>104</v>
      </c>
      <c r="N2" s="23" t="s">
        <v>105</v>
      </c>
      <c r="O2" s="23">
        <f>O3+O4</f>
        <v>35081</v>
      </c>
      <c r="Q2" s="41" t="s">
        <v>4</v>
      </c>
      <c r="R2" s="23" t="s">
        <v>105</v>
      </c>
      <c r="S2" s="23">
        <f>S3+S4</f>
        <v>31676</v>
      </c>
      <c r="T2" s="22"/>
      <c r="U2" s="41" t="s">
        <v>6</v>
      </c>
      <c r="V2" s="23" t="s">
        <v>105</v>
      </c>
      <c r="W2" s="23">
        <f>W3+W4</f>
        <v>33056</v>
      </c>
      <c r="Y2" s="41" t="s">
        <v>104</v>
      </c>
      <c r="Z2" s="23" t="s">
        <v>105</v>
      </c>
      <c r="AA2" s="23">
        <f>AA3+AA4</f>
        <v>68333</v>
      </c>
      <c r="AC2" s="41" t="s">
        <v>4</v>
      </c>
      <c r="AD2" s="23" t="s">
        <v>105</v>
      </c>
      <c r="AE2" s="23">
        <f>AE3+AE4</f>
        <v>60624</v>
      </c>
      <c r="AF2" s="22"/>
      <c r="AG2" s="41" t="s">
        <v>6</v>
      </c>
      <c r="AH2" s="23" t="s">
        <v>105</v>
      </c>
      <c r="AI2" s="23">
        <f>AI3+AI4</f>
        <v>62683</v>
      </c>
    </row>
    <row r="3" spans="1:35">
      <c r="A3" s="42"/>
      <c r="B3" s="24" t="s">
        <v>106</v>
      </c>
      <c r="C3" s="24">
        <f>B8</f>
        <v>101863</v>
      </c>
      <c r="E3" s="42"/>
      <c r="F3" s="24" t="s">
        <v>106</v>
      </c>
      <c r="G3" s="24">
        <f>F8</f>
        <v>92040</v>
      </c>
      <c r="H3" s="22"/>
      <c r="I3" s="42"/>
      <c r="J3" s="24" t="s">
        <v>106</v>
      </c>
      <c r="K3" s="24">
        <f>J8</f>
        <v>95652</v>
      </c>
      <c r="M3" s="42"/>
      <c r="N3" s="24" t="s">
        <v>106</v>
      </c>
      <c r="O3" s="24">
        <f>N8</f>
        <v>34580</v>
      </c>
      <c r="Q3" s="42"/>
      <c r="R3" s="24" t="s">
        <v>106</v>
      </c>
      <c r="S3" s="24">
        <f>R8</f>
        <v>31615</v>
      </c>
      <c r="T3" s="22"/>
      <c r="U3" s="42"/>
      <c r="V3" s="24" t="s">
        <v>106</v>
      </c>
      <c r="W3" s="24">
        <f>V8</f>
        <v>33020</v>
      </c>
      <c r="Y3" s="42"/>
      <c r="Z3" s="24" t="s">
        <v>106</v>
      </c>
      <c r="AA3" s="24">
        <f>Z8</f>
        <v>67213</v>
      </c>
      <c r="AC3" s="42"/>
      <c r="AD3" s="24" t="s">
        <v>106</v>
      </c>
      <c r="AE3" s="24">
        <f>AD8</f>
        <v>60425</v>
      </c>
      <c r="AF3" s="22"/>
      <c r="AG3" s="42"/>
      <c r="AH3" s="24" t="s">
        <v>106</v>
      </c>
      <c r="AI3" s="24">
        <f>AH8</f>
        <v>62632</v>
      </c>
    </row>
    <row r="4" spans="1:35">
      <c r="A4" s="42"/>
      <c r="B4" s="25" t="s">
        <v>107</v>
      </c>
      <c r="C4" s="25">
        <f>SUM(B9:B66)</f>
        <v>1628</v>
      </c>
      <c r="E4" s="42"/>
      <c r="F4" s="25" t="s">
        <v>107</v>
      </c>
      <c r="G4" s="25">
        <f>SUM(F9:F33)</f>
        <v>259</v>
      </c>
      <c r="H4" s="22"/>
      <c r="I4" s="42"/>
      <c r="J4" s="25" t="s">
        <v>107</v>
      </c>
      <c r="K4" s="25">
        <f>SUM(J9:J31)</f>
        <v>85</v>
      </c>
      <c r="M4" s="42"/>
      <c r="N4" s="25" t="s">
        <v>107</v>
      </c>
      <c r="O4" s="25">
        <f>SUM(N9:N66)</f>
        <v>501</v>
      </c>
      <c r="Q4" s="42"/>
      <c r="R4" s="25" t="s">
        <v>107</v>
      </c>
      <c r="S4" s="25">
        <f>SUM(R9:R33)</f>
        <v>61</v>
      </c>
      <c r="T4" s="22"/>
      <c r="U4" s="42"/>
      <c r="V4" s="25" t="s">
        <v>107</v>
      </c>
      <c r="W4" s="25">
        <f>SUM(V9:V31)</f>
        <v>36</v>
      </c>
      <c r="Y4" s="42"/>
      <c r="Z4" s="25" t="s">
        <v>107</v>
      </c>
      <c r="AA4" s="25">
        <f>SUM(Z9:Z45)</f>
        <v>1120</v>
      </c>
      <c r="AC4" s="42"/>
      <c r="AD4" s="25" t="s">
        <v>107</v>
      </c>
      <c r="AE4" s="25">
        <f>SUM(AD9:AD29)</f>
        <v>199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1.5399999999999994E-2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1.4699999999999993E-2</v>
      </c>
      <c r="Q5" s="43"/>
      <c r="R5" s="23" t="s">
        <v>108</v>
      </c>
      <c r="S5" s="26">
        <f>SUM(S9:S33)</f>
        <v>1.9000000000000002E-3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1.6399999999999994E-2</v>
      </c>
      <c r="AC5" s="43"/>
      <c r="AD5" s="23" t="s">
        <v>108</v>
      </c>
      <c r="AE5" s="26">
        <f>SUM(AE9:AE29)</f>
        <v>3.0999999999999999E-3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101863</v>
      </c>
      <c r="C8" s="9">
        <v>0.98429999999999995</v>
      </c>
      <c r="E8" s="6" t="s">
        <v>112</v>
      </c>
      <c r="F8" s="29">
        <v>92040</v>
      </c>
      <c r="G8" s="9">
        <v>0.99719999999999998</v>
      </c>
      <c r="I8" s="6" t="s">
        <v>112</v>
      </c>
      <c r="J8" s="29">
        <v>95652</v>
      </c>
      <c r="K8" s="9">
        <v>0.99909999999999999</v>
      </c>
      <c r="M8" s="6" t="s">
        <v>112</v>
      </c>
      <c r="N8" s="29">
        <v>34580</v>
      </c>
      <c r="O8" s="9">
        <v>0.98570000000000002</v>
      </c>
      <c r="Q8" s="6" t="s">
        <v>112</v>
      </c>
      <c r="R8" s="29">
        <v>31615</v>
      </c>
      <c r="S8" s="9">
        <v>0.99809999999999999</v>
      </c>
      <c r="U8" s="6" t="s">
        <v>112</v>
      </c>
      <c r="V8" s="29">
        <v>33020</v>
      </c>
      <c r="W8" s="9">
        <v>0.99890000000000001</v>
      </c>
      <c r="Y8" s="6" t="s">
        <v>112</v>
      </c>
      <c r="Z8" s="29">
        <v>67213</v>
      </c>
      <c r="AA8" s="9">
        <v>0.98350000000000004</v>
      </c>
      <c r="AC8" s="6" t="s">
        <v>112</v>
      </c>
      <c r="AD8" s="29">
        <v>60425</v>
      </c>
      <c r="AE8" s="9">
        <v>0.99670000000000003</v>
      </c>
      <c r="AG8" s="6" t="s">
        <v>112</v>
      </c>
      <c r="AH8" s="29">
        <v>62632</v>
      </c>
      <c r="AI8" s="9">
        <v>0.99919999999999998</v>
      </c>
    </row>
    <row r="9" spans="1:35">
      <c r="A9" s="6" t="s">
        <v>2</v>
      </c>
      <c r="B9" s="6">
        <v>358</v>
      </c>
      <c r="C9" s="9">
        <v>3.5000000000000001E-3</v>
      </c>
      <c r="E9" s="6" t="s">
        <v>122</v>
      </c>
      <c r="F9" s="6">
        <v>143</v>
      </c>
      <c r="G9" s="9">
        <v>1.5E-3</v>
      </c>
      <c r="I9" s="6" t="s">
        <v>2</v>
      </c>
      <c r="J9" s="6">
        <v>33</v>
      </c>
      <c r="K9" s="9">
        <v>2.9999999999999997E-4</v>
      </c>
      <c r="M9" s="6" t="s">
        <v>2</v>
      </c>
      <c r="N9" s="6">
        <v>136</v>
      </c>
      <c r="O9" s="9">
        <v>3.8999999999999998E-3</v>
      </c>
      <c r="Q9" s="6" t="s">
        <v>122</v>
      </c>
      <c r="R9" s="6">
        <v>46</v>
      </c>
      <c r="S9" s="9">
        <v>1.5E-3</v>
      </c>
      <c r="U9" s="6" t="s">
        <v>2</v>
      </c>
      <c r="V9" s="6">
        <v>13</v>
      </c>
      <c r="W9" s="9">
        <v>4.0000000000000002E-4</v>
      </c>
      <c r="Y9" s="6" t="s">
        <v>8</v>
      </c>
      <c r="Z9" s="6">
        <v>280</v>
      </c>
      <c r="AA9" s="9">
        <v>4.1000000000000003E-3</v>
      </c>
      <c r="AC9" s="6" t="s">
        <v>122</v>
      </c>
      <c r="AD9" s="6">
        <v>97</v>
      </c>
      <c r="AE9" s="9">
        <v>1.6000000000000001E-3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8</v>
      </c>
      <c r="B10" s="6">
        <v>289</v>
      </c>
      <c r="C10" s="9">
        <v>2.8E-3</v>
      </c>
      <c r="E10" s="6" t="s">
        <v>83</v>
      </c>
      <c r="F10" s="6">
        <v>47</v>
      </c>
      <c r="G10" s="9">
        <v>5.0000000000000001E-4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118</v>
      </c>
      <c r="O10" s="9">
        <v>3.3999999999999998E-3</v>
      </c>
      <c r="Q10" s="6" t="s">
        <v>76</v>
      </c>
      <c r="R10" s="6">
        <v>6</v>
      </c>
      <c r="S10" s="9">
        <v>2.0000000000000001E-4</v>
      </c>
      <c r="U10" s="6" t="s">
        <v>102</v>
      </c>
      <c r="V10" s="6">
        <v>6</v>
      </c>
      <c r="W10" s="9">
        <v>2.0000000000000001E-4</v>
      </c>
      <c r="Y10" s="6" t="s">
        <v>2</v>
      </c>
      <c r="Z10" s="6">
        <v>222</v>
      </c>
      <c r="AA10" s="9">
        <v>3.2000000000000002E-3</v>
      </c>
      <c r="AC10" s="6" t="s">
        <v>83</v>
      </c>
      <c r="AD10" s="6">
        <v>47</v>
      </c>
      <c r="AE10" s="9">
        <v>8.0000000000000004E-4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3</v>
      </c>
      <c r="B11" s="6">
        <v>241</v>
      </c>
      <c r="C11" s="9">
        <v>2.3E-3</v>
      </c>
      <c r="E11" s="6" t="s">
        <v>76</v>
      </c>
      <c r="F11" s="6">
        <v>15</v>
      </c>
      <c r="G11" s="9">
        <v>2.0000000000000001E-4</v>
      </c>
      <c r="I11" s="6" t="s">
        <v>102</v>
      </c>
      <c r="J11" s="6">
        <v>9</v>
      </c>
      <c r="K11" s="9">
        <v>1E-4</v>
      </c>
      <c r="M11" s="6" t="s">
        <v>7</v>
      </c>
      <c r="N11" s="6">
        <v>38</v>
      </c>
      <c r="O11" s="9">
        <v>1.1000000000000001E-3</v>
      </c>
      <c r="Q11" s="6" t="s">
        <v>74</v>
      </c>
      <c r="R11" s="6">
        <v>4</v>
      </c>
      <c r="S11" s="9">
        <v>1E-4</v>
      </c>
      <c r="U11" s="6" t="s">
        <v>98</v>
      </c>
      <c r="V11" s="6">
        <v>7</v>
      </c>
      <c r="W11" s="9">
        <v>2.0000000000000001E-4</v>
      </c>
      <c r="Y11" s="6" t="s">
        <v>3</v>
      </c>
      <c r="Z11" s="6">
        <v>123</v>
      </c>
      <c r="AA11" s="9">
        <v>1.8E-3</v>
      </c>
      <c r="AC11" s="6" t="s">
        <v>79</v>
      </c>
      <c r="AD11" s="6">
        <v>15</v>
      </c>
      <c r="AE11" s="9">
        <v>2.0000000000000001E-4</v>
      </c>
      <c r="AG11" s="6" t="s">
        <v>102</v>
      </c>
      <c r="AH11" s="6">
        <v>4</v>
      </c>
      <c r="AI11" s="9">
        <v>1E-4</v>
      </c>
    </row>
    <row r="12" spans="1:35">
      <c r="A12" s="6" t="s">
        <v>9</v>
      </c>
      <c r="B12" s="6">
        <v>132</v>
      </c>
      <c r="C12" s="9">
        <v>1.2999999999999999E-3</v>
      </c>
      <c r="E12" s="6" t="s">
        <v>79</v>
      </c>
      <c r="F12" s="6">
        <v>15</v>
      </c>
      <c r="G12" s="9">
        <v>2.0000000000000001E-4</v>
      </c>
      <c r="I12" s="6" t="s">
        <v>99</v>
      </c>
      <c r="J12" s="6">
        <v>13</v>
      </c>
      <c r="K12" s="9">
        <v>1E-4</v>
      </c>
      <c r="M12" s="6" t="s">
        <v>11</v>
      </c>
      <c r="N12" s="6">
        <v>30</v>
      </c>
      <c r="O12" s="9">
        <v>8.9999999999999998E-4</v>
      </c>
      <c r="Q12" s="6" t="s">
        <v>77</v>
      </c>
      <c r="R12" s="6">
        <v>2</v>
      </c>
      <c r="S12" s="9">
        <v>1E-4</v>
      </c>
      <c r="U12" s="6" t="s">
        <v>99</v>
      </c>
      <c r="V12" s="6">
        <v>5</v>
      </c>
      <c r="W12" s="9">
        <v>2.0000000000000001E-4</v>
      </c>
      <c r="Y12" s="6" t="s">
        <v>9</v>
      </c>
      <c r="Z12" s="6">
        <v>118</v>
      </c>
      <c r="AA12" s="9">
        <v>1.6999999999999999E-3</v>
      </c>
      <c r="AC12" s="6" t="s">
        <v>74</v>
      </c>
      <c r="AD12" s="6">
        <v>11</v>
      </c>
      <c r="AE12" s="9">
        <v>2.0000000000000001E-4</v>
      </c>
      <c r="AG12" s="6" t="s">
        <v>99</v>
      </c>
      <c r="AH12" s="6">
        <v>8</v>
      </c>
      <c r="AI12" s="9">
        <v>1E-4</v>
      </c>
    </row>
    <row r="13" spans="1:35">
      <c r="A13" s="6" t="s">
        <v>11</v>
      </c>
      <c r="B13" s="6">
        <v>77</v>
      </c>
      <c r="C13" s="9">
        <v>6.9999999999999999E-4</v>
      </c>
      <c r="E13" s="6" t="s">
        <v>74</v>
      </c>
      <c r="F13" s="6">
        <v>15</v>
      </c>
      <c r="G13" s="9">
        <v>2.0000000000000001E-4</v>
      </c>
      <c r="I13" s="6" t="s">
        <v>113</v>
      </c>
      <c r="J13" s="6">
        <v>7</v>
      </c>
      <c r="K13" s="9">
        <v>1E-4</v>
      </c>
      <c r="M13" s="6" t="s">
        <v>21</v>
      </c>
      <c r="N13" s="6">
        <v>13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61</v>
      </c>
      <c r="AA13" s="9">
        <v>8.9999999999999998E-4</v>
      </c>
      <c r="AC13" s="6" t="s">
        <v>76</v>
      </c>
      <c r="AD13" s="6">
        <v>9</v>
      </c>
      <c r="AE13" s="9">
        <v>1E-4</v>
      </c>
      <c r="AG13" s="6" t="s">
        <v>113</v>
      </c>
      <c r="AH13" s="6">
        <v>5</v>
      </c>
      <c r="AI13" s="9">
        <v>1E-4</v>
      </c>
    </row>
    <row r="14" spans="1:35">
      <c r="A14" s="6" t="s">
        <v>7</v>
      </c>
      <c r="B14" s="6">
        <v>70</v>
      </c>
      <c r="C14" s="9">
        <v>6.9999999999999999E-4</v>
      </c>
      <c r="E14" s="6" t="s">
        <v>77</v>
      </c>
      <c r="F14" s="6">
        <v>9</v>
      </c>
      <c r="G14" s="9">
        <v>1E-4</v>
      </c>
      <c r="I14" s="6" t="s">
        <v>117</v>
      </c>
      <c r="J14" s="6">
        <v>2</v>
      </c>
      <c r="K14" s="30">
        <v>0</v>
      </c>
      <c r="M14" s="6" t="s">
        <v>18</v>
      </c>
      <c r="N14" s="6">
        <v>13</v>
      </c>
      <c r="O14" s="9">
        <v>4.0000000000000002E-4</v>
      </c>
      <c r="Q14" s="6" t="s">
        <v>86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11</v>
      </c>
      <c r="Z14" s="6">
        <v>47</v>
      </c>
      <c r="AA14" s="9">
        <v>6.9999999999999999E-4</v>
      </c>
      <c r="AC14" s="6" t="s">
        <v>77</v>
      </c>
      <c r="AD14" s="6">
        <v>7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5</v>
      </c>
      <c r="B15" s="6">
        <v>67</v>
      </c>
      <c r="C15" s="9">
        <v>5.9999999999999995E-4</v>
      </c>
      <c r="E15" s="6" t="s">
        <v>75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16</v>
      </c>
      <c r="N15" s="6">
        <v>15</v>
      </c>
      <c r="O15" s="9">
        <v>4.0000000000000002E-4</v>
      </c>
      <c r="Q15" s="6" t="s">
        <v>158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37</v>
      </c>
      <c r="Z15" s="6">
        <v>31</v>
      </c>
      <c r="AA15" s="9">
        <v>5.0000000000000001E-4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43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2</v>
      </c>
      <c r="K16" s="30">
        <v>0</v>
      </c>
      <c r="M16" s="6" t="s">
        <v>9</v>
      </c>
      <c r="N16" s="6">
        <v>14</v>
      </c>
      <c r="O16" s="9">
        <v>4.0000000000000002E-4</v>
      </c>
      <c r="U16" s="6" t="s">
        <v>103</v>
      </c>
      <c r="V16" s="6">
        <v>1</v>
      </c>
      <c r="W16" s="30">
        <v>0</v>
      </c>
      <c r="Y16" s="6" t="s">
        <v>12</v>
      </c>
      <c r="Z16" s="6">
        <v>31</v>
      </c>
      <c r="AA16" s="9">
        <v>5.0000000000000001E-4</v>
      </c>
      <c r="AC16" s="6" t="s">
        <v>80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1">
      <c r="A17" s="6" t="s">
        <v>16</v>
      </c>
      <c r="B17" s="6">
        <v>28</v>
      </c>
      <c r="C17" s="9">
        <v>2.9999999999999997E-4</v>
      </c>
      <c r="E17" s="6" t="s">
        <v>81</v>
      </c>
      <c r="F17" s="6">
        <v>1</v>
      </c>
      <c r="G17" s="30">
        <v>0</v>
      </c>
      <c r="M17" s="6" t="s">
        <v>22</v>
      </c>
      <c r="N17" s="6">
        <v>14</v>
      </c>
      <c r="O17" s="9">
        <v>4.0000000000000002E-4</v>
      </c>
      <c r="Y17" s="6" t="s">
        <v>41</v>
      </c>
      <c r="Z17" s="6">
        <v>33</v>
      </c>
      <c r="AA17" s="9">
        <v>5.0000000000000001E-4</v>
      </c>
      <c r="AC17" s="6" t="s">
        <v>81</v>
      </c>
      <c r="AD17" s="6">
        <v>1</v>
      </c>
      <c r="AE17" s="30">
        <v>0</v>
      </c>
    </row>
    <row r="18" spans="1:31">
      <c r="A18" s="6" t="s">
        <v>37</v>
      </c>
      <c r="B18" s="6">
        <v>33</v>
      </c>
      <c r="C18" s="9">
        <v>2.9999999999999997E-4</v>
      </c>
      <c r="E18" s="6" t="s">
        <v>78</v>
      </c>
      <c r="F18" s="6">
        <v>3</v>
      </c>
      <c r="G18" s="30">
        <v>0</v>
      </c>
      <c r="M18" s="6" t="s">
        <v>17</v>
      </c>
      <c r="N18" s="6">
        <v>9</v>
      </c>
      <c r="O18" s="9">
        <v>2.9999999999999997E-4</v>
      </c>
      <c r="Y18" s="6" t="s">
        <v>7</v>
      </c>
      <c r="Z18" s="6">
        <v>32</v>
      </c>
      <c r="AA18" s="9">
        <v>5.0000000000000001E-4</v>
      </c>
      <c r="AC18" s="6" t="s">
        <v>78</v>
      </c>
      <c r="AD18" s="6">
        <v>3</v>
      </c>
      <c r="AE18" s="30">
        <v>0</v>
      </c>
    </row>
    <row r="19" spans="1:31">
      <c r="A19" s="6" t="s">
        <v>12</v>
      </c>
      <c r="B19" s="6">
        <v>35</v>
      </c>
      <c r="C19" s="9">
        <v>2.9999999999999997E-4</v>
      </c>
      <c r="E19" s="6" t="s">
        <v>86</v>
      </c>
      <c r="F19" s="6">
        <v>2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16</v>
      </c>
      <c r="Z19" s="6">
        <v>13</v>
      </c>
      <c r="AA19" s="9">
        <v>2.0000000000000001E-4</v>
      </c>
      <c r="AC19" s="6" t="s">
        <v>159</v>
      </c>
      <c r="AD19" s="6">
        <v>1</v>
      </c>
      <c r="AE19" s="30">
        <v>0</v>
      </c>
    </row>
    <row r="20" spans="1:31">
      <c r="A20" s="6" t="s">
        <v>21</v>
      </c>
      <c r="B20" s="6">
        <v>21</v>
      </c>
      <c r="C20" s="9">
        <v>2.0000000000000001E-4</v>
      </c>
      <c r="E20" s="6" t="s">
        <v>84</v>
      </c>
      <c r="F20" s="6">
        <v>1</v>
      </c>
      <c r="G20" s="30">
        <v>0</v>
      </c>
      <c r="M20" s="6" t="s">
        <v>41</v>
      </c>
      <c r="N20" s="6">
        <v>10</v>
      </c>
      <c r="O20" s="9">
        <v>2.9999999999999997E-4</v>
      </c>
      <c r="Y20" s="6" t="s">
        <v>10</v>
      </c>
      <c r="Z20" s="6">
        <v>11</v>
      </c>
      <c r="AA20" s="9">
        <v>2.0000000000000001E-4</v>
      </c>
      <c r="AC20" s="6" t="s">
        <v>86</v>
      </c>
      <c r="AD20" s="6">
        <v>1</v>
      </c>
      <c r="AE20" s="30">
        <v>0</v>
      </c>
    </row>
    <row r="21" spans="1:31">
      <c r="A21" s="6" t="s">
        <v>18</v>
      </c>
      <c r="B21" s="6">
        <v>21</v>
      </c>
      <c r="C21" s="9">
        <v>2.0000000000000001E-4</v>
      </c>
      <c r="E21" s="6" t="s">
        <v>158</v>
      </c>
      <c r="F21" s="6">
        <v>1</v>
      </c>
      <c r="G21" s="30">
        <v>0</v>
      </c>
      <c r="M21" s="6" t="s">
        <v>69</v>
      </c>
      <c r="N21" s="6">
        <v>9</v>
      </c>
      <c r="O21" s="9">
        <v>2.9999999999999997E-4</v>
      </c>
      <c r="Y21" s="6" t="s">
        <v>14</v>
      </c>
      <c r="Z21" s="6">
        <v>12</v>
      </c>
      <c r="AA21" s="9">
        <v>2.0000000000000001E-4</v>
      </c>
      <c r="AC21" s="6" t="s">
        <v>84</v>
      </c>
      <c r="AD21" s="6">
        <v>1</v>
      </c>
      <c r="AE21" s="30">
        <v>0</v>
      </c>
    </row>
    <row r="22" spans="1:31">
      <c r="A22" s="6" t="s">
        <v>22</v>
      </c>
      <c r="B22" s="6">
        <v>21</v>
      </c>
      <c r="C22" s="9">
        <v>2.0000000000000001E-4</v>
      </c>
      <c r="E22" s="6" t="s">
        <v>159</v>
      </c>
      <c r="F22" s="6">
        <v>1</v>
      </c>
      <c r="G22" s="30">
        <v>0</v>
      </c>
      <c r="M22" s="6" t="s">
        <v>40</v>
      </c>
      <c r="N22" s="6">
        <v>9</v>
      </c>
      <c r="O22" s="9">
        <v>2.9999999999999997E-4</v>
      </c>
      <c r="Y22" s="6" t="s">
        <v>19</v>
      </c>
      <c r="Z22" s="6">
        <v>4</v>
      </c>
      <c r="AA22" s="9">
        <v>1E-4</v>
      </c>
    </row>
    <row r="23" spans="1:31">
      <c r="A23" s="6" t="s">
        <v>17</v>
      </c>
      <c r="B23" s="6">
        <v>16</v>
      </c>
      <c r="C23" s="9">
        <v>2.0000000000000001E-4</v>
      </c>
      <c r="M23" s="6" t="s">
        <v>5</v>
      </c>
      <c r="N23" s="6">
        <v>6</v>
      </c>
      <c r="O23" s="9">
        <v>2.0000000000000001E-4</v>
      </c>
      <c r="Y23" s="6" t="s">
        <v>21</v>
      </c>
      <c r="Z23" s="6">
        <v>8</v>
      </c>
      <c r="AA23" s="9">
        <v>1E-4</v>
      </c>
    </row>
    <row r="24" spans="1:31">
      <c r="A24" s="6" t="s">
        <v>10</v>
      </c>
      <c r="B24" s="6">
        <v>19</v>
      </c>
      <c r="C24" s="9">
        <v>2.0000000000000001E-4</v>
      </c>
      <c r="M24" s="6" t="s">
        <v>20</v>
      </c>
      <c r="N24" s="6">
        <v>7</v>
      </c>
      <c r="O24" s="9">
        <v>2.0000000000000001E-4</v>
      </c>
      <c r="Y24" s="6" t="s">
        <v>18</v>
      </c>
      <c r="Z24" s="6">
        <v>8</v>
      </c>
      <c r="AA24" s="9">
        <v>1E-4</v>
      </c>
    </row>
    <row r="25" spans="1:31">
      <c r="A25" s="6" t="s">
        <v>31</v>
      </c>
      <c r="B25" s="6">
        <v>16</v>
      </c>
      <c r="C25" s="9">
        <v>2.0000000000000001E-4</v>
      </c>
      <c r="M25" s="6" t="s">
        <v>10</v>
      </c>
      <c r="N25" s="6">
        <v>8</v>
      </c>
      <c r="O25" s="9">
        <v>2.0000000000000001E-4</v>
      </c>
      <c r="Y25" s="6" t="s">
        <v>36</v>
      </c>
      <c r="Z25" s="6">
        <v>5</v>
      </c>
      <c r="AA25" s="9">
        <v>1E-4</v>
      </c>
    </row>
    <row r="26" spans="1:31">
      <c r="A26" s="6" t="s">
        <v>45</v>
      </c>
      <c r="B26" s="6">
        <v>7</v>
      </c>
      <c r="C26" s="9">
        <v>1E-4</v>
      </c>
      <c r="M26" s="6" t="s">
        <v>31</v>
      </c>
      <c r="N26" s="6">
        <v>6</v>
      </c>
      <c r="O26" s="9">
        <v>2.0000000000000001E-4</v>
      </c>
      <c r="Y26" s="6" t="s">
        <v>17</v>
      </c>
      <c r="Z26" s="6">
        <v>7</v>
      </c>
      <c r="AA26" s="9">
        <v>1E-4</v>
      </c>
    </row>
    <row r="27" spans="1:31">
      <c r="A27" s="6" t="s">
        <v>20</v>
      </c>
      <c r="B27" s="6">
        <v>10</v>
      </c>
      <c r="C27" s="9">
        <v>1E-4</v>
      </c>
      <c r="M27" s="6" t="s">
        <v>29</v>
      </c>
      <c r="N27" s="6">
        <v>6</v>
      </c>
      <c r="O27" s="9">
        <v>2.0000000000000001E-4</v>
      </c>
      <c r="Y27" s="6" t="s">
        <v>31</v>
      </c>
      <c r="Z27" s="6">
        <v>10</v>
      </c>
      <c r="AA27" s="9">
        <v>1E-4</v>
      </c>
    </row>
    <row r="28" spans="1:31">
      <c r="A28" s="6" t="s">
        <v>36</v>
      </c>
      <c r="B28" s="6">
        <v>8</v>
      </c>
      <c r="C28" s="9">
        <v>1E-4</v>
      </c>
      <c r="M28" s="6" t="s">
        <v>45</v>
      </c>
      <c r="N28" s="6">
        <v>3</v>
      </c>
      <c r="O28" s="9">
        <v>1E-4</v>
      </c>
      <c r="Y28" s="6" t="s">
        <v>22</v>
      </c>
      <c r="Z28" s="6">
        <v>7</v>
      </c>
      <c r="AA28" s="9">
        <v>1E-4</v>
      </c>
    </row>
    <row r="29" spans="1:31">
      <c r="A29" s="6" t="s">
        <v>40</v>
      </c>
      <c r="B29" s="6">
        <v>13</v>
      </c>
      <c r="C29" s="9">
        <v>1E-4</v>
      </c>
      <c r="M29" s="6" t="s">
        <v>36</v>
      </c>
      <c r="N29" s="6">
        <v>3</v>
      </c>
      <c r="O29" s="9">
        <v>1E-4</v>
      </c>
      <c r="Y29" s="6" t="s">
        <v>45</v>
      </c>
      <c r="Z29" s="6">
        <v>4</v>
      </c>
      <c r="AA29" s="9">
        <v>1E-4</v>
      </c>
    </row>
    <row r="30" spans="1:31">
      <c r="A30" s="6" t="s">
        <v>29</v>
      </c>
      <c r="B30" s="6">
        <v>13</v>
      </c>
      <c r="C30" s="9">
        <v>1E-4</v>
      </c>
      <c r="M30" s="6" t="s">
        <v>12</v>
      </c>
      <c r="N30" s="6">
        <v>4</v>
      </c>
      <c r="O30" s="9">
        <v>1E-4</v>
      </c>
      <c r="Y30" s="6" t="s">
        <v>15</v>
      </c>
      <c r="Z30" s="6">
        <v>4</v>
      </c>
      <c r="AA30" s="9">
        <v>1E-4</v>
      </c>
    </row>
    <row r="31" spans="1:31">
      <c r="A31" s="6" t="s">
        <v>14</v>
      </c>
      <c r="B31" s="6">
        <v>12</v>
      </c>
      <c r="C31" s="9">
        <v>1E-4</v>
      </c>
      <c r="M31" s="6" t="s">
        <v>43</v>
      </c>
      <c r="N31" s="6">
        <v>3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69</v>
      </c>
      <c r="B32" s="6">
        <v>10</v>
      </c>
      <c r="C32" s="9">
        <v>1E-4</v>
      </c>
      <c r="M32" s="6" t="s">
        <v>30</v>
      </c>
      <c r="N32" s="6">
        <v>2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30</v>
      </c>
      <c r="B33" s="6">
        <v>7</v>
      </c>
      <c r="C33" s="9">
        <v>1E-4</v>
      </c>
      <c r="M33" s="6" t="s">
        <v>26</v>
      </c>
      <c r="N33" s="6">
        <v>2</v>
      </c>
      <c r="O33" s="9">
        <v>1E-4</v>
      </c>
      <c r="Y33" s="6" t="s">
        <v>30</v>
      </c>
      <c r="Z33" s="6">
        <v>5</v>
      </c>
      <c r="AA33" s="9">
        <v>1E-4</v>
      </c>
    </row>
    <row r="34" spans="1:27">
      <c r="A34" s="6" t="s">
        <v>26</v>
      </c>
      <c r="B34" s="6">
        <v>9</v>
      </c>
      <c r="C34" s="9">
        <v>1E-4</v>
      </c>
      <c r="M34" s="6" t="s">
        <v>38</v>
      </c>
      <c r="N34" s="6">
        <v>2</v>
      </c>
      <c r="O34" s="9">
        <v>1E-4</v>
      </c>
      <c r="Y34" s="6" t="s">
        <v>40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60</v>
      </c>
      <c r="N35" s="6">
        <v>2</v>
      </c>
      <c r="O35" s="9">
        <v>1E-4</v>
      </c>
      <c r="Y35" s="6" t="s">
        <v>27</v>
      </c>
      <c r="Z35" s="6">
        <v>5</v>
      </c>
      <c r="AA35" s="9">
        <v>1E-4</v>
      </c>
    </row>
    <row r="36" spans="1:27">
      <c r="A36" s="6" t="s">
        <v>19</v>
      </c>
      <c r="B36" s="6">
        <v>4</v>
      </c>
      <c r="C36" s="30">
        <v>0</v>
      </c>
      <c r="M36" s="6" t="s">
        <v>39</v>
      </c>
      <c r="N36" s="6">
        <v>2</v>
      </c>
      <c r="O36" s="9">
        <v>1E-4</v>
      </c>
      <c r="Y36" s="6" t="s">
        <v>115</v>
      </c>
      <c r="Z36" s="6">
        <v>3</v>
      </c>
      <c r="AA36" s="30">
        <v>0</v>
      </c>
    </row>
    <row r="37" spans="1:27">
      <c r="A37" s="6" t="s">
        <v>115</v>
      </c>
      <c r="B37" s="6">
        <v>3</v>
      </c>
      <c r="C37" s="30">
        <v>0</v>
      </c>
      <c r="M37" s="6" t="s">
        <v>13</v>
      </c>
      <c r="N37" s="6">
        <v>1</v>
      </c>
      <c r="O37" s="30">
        <v>0</v>
      </c>
      <c r="Y37" s="6" t="s">
        <v>34</v>
      </c>
      <c r="Z37" s="6">
        <v>2</v>
      </c>
      <c r="AA37" s="30">
        <v>0</v>
      </c>
    </row>
    <row r="38" spans="1:27">
      <c r="A38" s="6" t="s">
        <v>34</v>
      </c>
      <c r="B38" s="6">
        <v>3</v>
      </c>
      <c r="C38" s="30">
        <v>0</v>
      </c>
      <c r="M38" s="6" t="s">
        <v>34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13</v>
      </c>
      <c r="B39" s="6">
        <v>1</v>
      </c>
      <c r="C39" s="30">
        <v>0</v>
      </c>
      <c r="M39" s="6" t="s">
        <v>48</v>
      </c>
      <c r="N39" s="6">
        <v>1</v>
      </c>
      <c r="O39" s="30">
        <v>0</v>
      </c>
      <c r="Y39" s="6" t="s">
        <v>24</v>
      </c>
      <c r="Z39" s="6">
        <v>2</v>
      </c>
      <c r="AA39" s="30">
        <v>0</v>
      </c>
    </row>
    <row r="40" spans="1:27">
      <c r="A40" s="6" t="s">
        <v>15</v>
      </c>
      <c r="B40" s="6">
        <v>5</v>
      </c>
      <c r="C40" s="30">
        <v>0</v>
      </c>
      <c r="M40" s="6" t="s">
        <v>37</v>
      </c>
      <c r="N40" s="6">
        <v>1</v>
      </c>
      <c r="O40" s="30">
        <v>0</v>
      </c>
      <c r="Y40" s="6" t="s">
        <v>51</v>
      </c>
      <c r="Z40" s="6">
        <v>2</v>
      </c>
      <c r="AA40" s="30">
        <v>0</v>
      </c>
    </row>
    <row r="41" spans="1:27">
      <c r="A41" s="6" t="s">
        <v>51</v>
      </c>
      <c r="B41" s="6">
        <v>2</v>
      </c>
      <c r="C41" s="30">
        <v>0</v>
      </c>
      <c r="M41" s="6" t="s">
        <v>15</v>
      </c>
      <c r="N41" s="6">
        <v>1</v>
      </c>
      <c r="O41" s="30">
        <v>0</v>
      </c>
      <c r="Y41" s="6" t="s">
        <v>68</v>
      </c>
      <c r="Z41" s="6">
        <v>2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27</v>
      </c>
      <c r="N42" s="6">
        <v>1</v>
      </c>
      <c r="O42" s="30">
        <v>0</v>
      </c>
      <c r="Y42" s="6" t="s">
        <v>32</v>
      </c>
      <c r="Z42" s="6">
        <v>3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58</v>
      </c>
      <c r="N43" s="6">
        <v>1</v>
      </c>
      <c r="O43" s="30">
        <v>0</v>
      </c>
      <c r="Y43" s="6" t="s">
        <v>38</v>
      </c>
      <c r="Z43" s="6">
        <v>1</v>
      </c>
      <c r="AA43" s="30">
        <v>0</v>
      </c>
    </row>
    <row r="44" spans="1:27">
      <c r="A44" s="6" t="s">
        <v>38</v>
      </c>
      <c r="B44" s="6">
        <v>3</v>
      </c>
      <c r="C44" s="30">
        <v>0</v>
      </c>
      <c r="M44" s="6" t="s">
        <v>55</v>
      </c>
      <c r="N44" s="6">
        <v>1</v>
      </c>
      <c r="O44" s="30">
        <v>0</v>
      </c>
      <c r="Y44" s="6" t="s">
        <v>61</v>
      </c>
      <c r="Z44" s="6">
        <v>2</v>
      </c>
      <c r="AA44" s="30">
        <v>0</v>
      </c>
    </row>
    <row r="45" spans="1:27">
      <c r="A45" s="6" t="s">
        <v>68</v>
      </c>
      <c r="B45" s="6">
        <v>2</v>
      </c>
      <c r="C45" s="30">
        <v>0</v>
      </c>
      <c r="Y45" s="6" t="s">
        <v>60</v>
      </c>
      <c r="Z45" s="6">
        <v>1</v>
      </c>
      <c r="AA45" s="30">
        <v>0</v>
      </c>
    </row>
    <row r="46" spans="1:27">
      <c r="A46" s="6" t="s">
        <v>60</v>
      </c>
      <c r="B46" s="6">
        <v>3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43</v>
      </c>
      <c r="B47" s="6">
        <v>3</v>
      </c>
      <c r="C47" s="30">
        <v>0</v>
      </c>
      <c r="Y47" s="6" t="s">
        <v>69</v>
      </c>
      <c r="Z47" s="6">
        <v>1</v>
      </c>
      <c r="AA47" s="30">
        <v>0</v>
      </c>
    </row>
    <row r="48" spans="1:27">
      <c r="A48" s="6" t="s">
        <v>32</v>
      </c>
      <c r="B48" s="6">
        <v>3</v>
      </c>
      <c r="C48" s="30">
        <v>0</v>
      </c>
      <c r="Y48" s="6" t="s">
        <v>64</v>
      </c>
      <c r="Z48" s="6">
        <v>1</v>
      </c>
      <c r="AA48" s="30">
        <v>0</v>
      </c>
    </row>
    <row r="49" spans="1:27">
      <c r="A49" s="6" t="s">
        <v>33</v>
      </c>
      <c r="B49" s="6">
        <v>2</v>
      </c>
      <c r="C49" s="30">
        <v>0</v>
      </c>
      <c r="Y49" s="6" t="s">
        <v>25</v>
      </c>
      <c r="Z49" s="6">
        <v>1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Y50" s="6" t="s">
        <v>129</v>
      </c>
      <c r="Z50" s="6">
        <v>1</v>
      </c>
      <c r="AA50" s="30">
        <v>0</v>
      </c>
    </row>
    <row r="51" spans="1:27">
      <c r="A51" s="6" t="s">
        <v>61</v>
      </c>
      <c r="B51" s="6">
        <v>2</v>
      </c>
      <c r="C51" s="30">
        <v>0</v>
      </c>
      <c r="Y51"/>
      <c r="Z51"/>
      <c r="AA51"/>
    </row>
    <row r="52" spans="1:27">
      <c r="A52" s="6" t="s">
        <v>39</v>
      </c>
      <c r="B52" s="6">
        <v>2</v>
      </c>
      <c r="C52" s="30">
        <v>0</v>
      </c>
      <c r="Y52"/>
      <c r="Z52"/>
      <c r="AA52"/>
    </row>
    <row r="53" spans="1:27">
      <c r="A53" s="6" t="s">
        <v>58</v>
      </c>
      <c r="B53" s="6">
        <v>1</v>
      </c>
      <c r="C53" s="30">
        <v>0</v>
      </c>
    </row>
    <row r="54" spans="1:27">
      <c r="A54" s="6" t="s">
        <v>64</v>
      </c>
      <c r="B54" s="6">
        <v>1</v>
      </c>
      <c r="C54" s="30">
        <v>0</v>
      </c>
    </row>
    <row r="55" spans="1:27">
      <c r="A55" s="6" t="s">
        <v>25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77DA-45C6-47D5-B23E-F5565330FC6E}">
  <sheetPr codeName="Sheet27"/>
  <dimension ref="A1:AI54"/>
  <sheetViews>
    <sheetView topLeftCell="R1" workbookViewId="0">
      <selection activeCell="AG15" sqref="AG15:AI1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96839</v>
      </c>
      <c r="E2" s="41" t="s">
        <v>4</v>
      </c>
      <c r="F2" s="23" t="s">
        <v>105</v>
      </c>
      <c r="G2" s="23">
        <f>G3+G4</f>
        <v>97834</v>
      </c>
      <c r="H2" s="22"/>
      <c r="I2" s="41" t="s">
        <v>6</v>
      </c>
      <c r="J2" s="23" t="s">
        <v>105</v>
      </c>
      <c r="K2" s="23">
        <f>K3+K4</f>
        <v>95435</v>
      </c>
      <c r="M2" s="41" t="s">
        <v>104</v>
      </c>
      <c r="N2" s="23" t="s">
        <v>105</v>
      </c>
      <c r="O2" s="23">
        <f>O3+O4</f>
        <v>32360</v>
      </c>
      <c r="Q2" s="41" t="s">
        <v>4</v>
      </c>
      <c r="R2" s="23" t="s">
        <v>105</v>
      </c>
      <c r="S2" s="23">
        <f>S3+S4</f>
        <v>33281</v>
      </c>
      <c r="T2" s="22"/>
      <c r="U2" s="41" t="s">
        <v>6</v>
      </c>
      <c r="V2" s="23" t="s">
        <v>105</v>
      </c>
      <c r="W2" s="23">
        <f>W3+W4</f>
        <v>31984</v>
      </c>
      <c r="Y2" s="41" t="s">
        <v>104</v>
      </c>
      <c r="Z2" s="23" t="s">
        <v>105</v>
      </c>
      <c r="AA2" s="23">
        <f>AA3+AA4</f>
        <v>64485</v>
      </c>
      <c r="AC2" s="41" t="s">
        <v>4</v>
      </c>
      <c r="AD2" s="23" t="s">
        <v>105</v>
      </c>
      <c r="AE2" s="23">
        <f>AE3+AE4</f>
        <v>64554</v>
      </c>
      <c r="AF2" s="22"/>
      <c r="AG2" s="41" t="s">
        <v>6</v>
      </c>
      <c r="AH2" s="23" t="s">
        <v>105</v>
      </c>
      <c r="AI2" s="23">
        <f>AI3+AI4</f>
        <v>63453</v>
      </c>
    </row>
    <row r="3" spans="1:35">
      <c r="A3" s="42"/>
      <c r="B3" s="24" t="s">
        <v>106</v>
      </c>
      <c r="C3" s="24">
        <f>B8</f>
        <v>95409</v>
      </c>
      <c r="E3" s="42"/>
      <c r="F3" s="24" t="s">
        <v>106</v>
      </c>
      <c r="G3" s="24">
        <f>F8</f>
        <v>97565</v>
      </c>
      <c r="H3" s="22"/>
      <c r="I3" s="42"/>
      <c r="J3" s="24" t="s">
        <v>106</v>
      </c>
      <c r="K3" s="24">
        <f>J8</f>
        <v>95351</v>
      </c>
      <c r="M3" s="42"/>
      <c r="N3" s="24" t="s">
        <v>106</v>
      </c>
      <c r="O3" s="24">
        <f>N8</f>
        <v>31915</v>
      </c>
      <c r="Q3" s="42"/>
      <c r="R3" s="24" t="s">
        <v>106</v>
      </c>
      <c r="S3" s="24">
        <f>R8</f>
        <v>33223</v>
      </c>
      <c r="T3" s="22"/>
      <c r="U3" s="42"/>
      <c r="V3" s="24" t="s">
        <v>106</v>
      </c>
      <c r="W3" s="24">
        <f>V8</f>
        <v>31947</v>
      </c>
      <c r="Y3" s="42"/>
      <c r="Z3" s="24" t="s">
        <v>106</v>
      </c>
      <c r="AA3" s="24">
        <f>Z8</f>
        <v>63494</v>
      </c>
      <c r="AC3" s="42"/>
      <c r="AD3" s="24" t="s">
        <v>106</v>
      </c>
      <c r="AE3" s="24">
        <f>AD8</f>
        <v>64342</v>
      </c>
      <c r="AF3" s="22"/>
      <c r="AG3" s="42"/>
      <c r="AH3" s="24" t="s">
        <v>106</v>
      </c>
      <c r="AI3" s="24">
        <f>AH8</f>
        <v>63404</v>
      </c>
    </row>
    <row r="4" spans="1:35">
      <c r="A4" s="42"/>
      <c r="B4" s="25" t="s">
        <v>107</v>
      </c>
      <c r="C4" s="25">
        <f>SUM(B9:B66)</f>
        <v>1430</v>
      </c>
      <c r="E4" s="42"/>
      <c r="F4" s="25" t="s">
        <v>107</v>
      </c>
      <c r="G4" s="25">
        <f>SUM(F9:F33)</f>
        <v>269</v>
      </c>
      <c r="H4" s="22"/>
      <c r="I4" s="42"/>
      <c r="J4" s="25" t="s">
        <v>107</v>
      </c>
      <c r="K4" s="25">
        <f>SUM(J9:J31)</f>
        <v>84</v>
      </c>
      <c r="M4" s="42"/>
      <c r="N4" s="25" t="s">
        <v>107</v>
      </c>
      <c r="O4" s="25">
        <f>SUM(N9:N66)</f>
        <v>445</v>
      </c>
      <c r="Q4" s="42"/>
      <c r="R4" s="25" t="s">
        <v>107</v>
      </c>
      <c r="S4" s="25">
        <f>SUM(R9:R33)</f>
        <v>58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991</v>
      </c>
      <c r="AC4" s="42"/>
      <c r="AD4" s="25" t="s">
        <v>107</v>
      </c>
      <c r="AE4" s="25">
        <f>SUM(AD9:AD29)</f>
        <v>212</v>
      </c>
      <c r="AF4" s="22"/>
      <c r="AG4" s="42"/>
      <c r="AH4" s="25" t="s">
        <v>107</v>
      </c>
      <c r="AI4" s="25">
        <f>SUM(AH9:AH29)</f>
        <v>49</v>
      </c>
    </row>
    <row r="5" spans="1:35">
      <c r="A5" s="43"/>
      <c r="B5" s="23" t="s">
        <v>108</v>
      </c>
      <c r="C5" s="26">
        <f>SUM(C9:C179)</f>
        <v>1.4399999999999996E-2</v>
      </c>
      <c r="E5" s="43"/>
      <c r="F5" s="23" t="s">
        <v>108</v>
      </c>
      <c r="G5" s="26">
        <f>SUM(G9:G33)</f>
        <v>2.5999999999999994E-3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1.3699999999999997E-2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1.5299999999999998E-2</v>
      </c>
      <c r="AC5" s="43"/>
      <c r="AD5" s="23" t="s">
        <v>108</v>
      </c>
      <c r="AE5" s="26">
        <f>SUM(AE9:AE29)</f>
        <v>3.2000000000000002E-3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95409</v>
      </c>
      <c r="C8" s="9">
        <v>0.98519999999999996</v>
      </c>
      <c r="E8" s="6" t="s">
        <v>112</v>
      </c>
      <c r="F8" s="29">
        <v>97565</v>
      </c>
      <c r="G8" s="9">
        <v>0.99729999999999996</v>
      </c>
      <c r="I8" s="6" t="s">
        <v>112</v>
      </c>
      <c r="J8" s="29">
        <v>95351</v>
      </c>
      <c r="K8" s="9">
        <v>0.99909999999999999</v>
      </c>
      <c r="M8" s="6" t="s">
        <v>112</v>
      </c>
      <c r="N8" s="29">
        <v>31915</v>
      </c>
      <c r="O8" s="9">
        <v>0.98619999999999997</v>
      </c>
      <c r="Q8" s="6" t="s">
        <v>112</v>
      </c>
      <c r="R8" s="29">
        <v>33223</v>
      </c>
      <c r="S8" s="9">
        <v>0.99829999999999997</v>
      </c>
      <c r="U8" s="6" t="s">
        <v>112</v>
      </c>
      <c r="V8" s="29">
        <v>31947</v>
      </c>
      <c r="W8" s="9">
        <v>0.99880000000000002</v>
      </c>
      <c r="Y8" s="6" t="s">
        <v>112</v>
      </c>
      <c r="Z8" s="29">
        <v>63494</v>
      </c>
      <c r="AA8" s="9">
        <v>0.98460000000000003</v>
      </c>
      <c r="AC8" s="6" t="s">
        <v>112</v>
      </c>
      <c r="AD8" s="29">
        <v>64342</v>
      </c>
      <c r="AE8" s="9">
        <v>0.99670000000000003</v>
      </c>
      <c r="AG8" s="6" t="s">
        <v>112</v>
      </c>
      <c r="AH8" s="29">
        <v>63404</v>
      </c>
      <c r="AI8" s="9">
        <v>0.99919999999999998</v>
      </c>
    </row>
    <row r="9" spans="1:35">
      <c r="A9" s="6" t="s">
        <v>2</v>
      </c>
      <c r="B9" s="6">
        <v>312</v>
      </c>
      <c r="C9" s="9">
        <v>3.2000000000000002E-3</v>
      </c>
      <c r="E9" s="6" t="s">
        <v>122</v>
      </c>
      <c r="F9" s="6">
        <v>165</v>
      </c>
      <c r="G9" s="9">
        <v>1.6999999999999999E-3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123</v>
      </c>
      <c r="O9" s="9">
        <v>3.8E-3</v>
      </c>
      <c r="Q9" s="6" t="s">
        <v>122</v>
      </c>
      <c r="R9" s="6">
        <v>41</v>
      </c>
      <c r="S9" s="9">
        <v>1.1999999999999999E-3</v>
      </c>
      <c r="U9" s="6" t="s">
        <v>2</v>
      </c>
      <c r="V9" s="6">
        <v>15</v>
      </c>
      <c r="W9" s="9">
        <v>5.0000000000000001E-4</v>
      </c>
      <c r="Y9" s="6" t="s">
        <v>2</v>
      </c>
      <c r="Z9" s="6">
        <v>189</v>
      </c>
      <c r="AA9" s="9">
        <v>2.8999999999999998E-3</v>
      </c>
      <c r="AC9" s="6" t="s">
        <v>122</v>
      </c>
      <c r="AD9" s="6">
        <v>124</v>
      </c>
      <c r="AE9" s="9">
        <v>1.9E-3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3</v>
      </c>
      <c r="B10" s="6">
        <v>231</v>
      </c>
      <c r="C10" s="9">
        <v>2.3999999999999998E-3</v>
      </c>
      <c r="E10" s="6" t="s">
        <v>83</v>
      </c>
      <c r="F10" s="6">
        <v>30</v>
      </c>
      <c r="G10" s="9">
        <v>2.9999999999999997E-4</v>
      </c>
      <c r="I10" s="6" t="s">
        <v>98</v>
      </c>
      <c r="J10" s="6">
        <v>15</v>
      </c>
      <c r="K10" s="9">
        <v>2.0000000000000001E-4</v>
      </c>
      <c r="M10" s="6" t="s">
        <v>3</v>
      </c>
      <c r="N10" s="6">
        <v>104</v>
      </c>
      <c r="O10" s="9">
        <v>3.2000000000000002E-3</v>
      </c>
      <c r="Q10" s="6" t="s">
        <v>76</v>
      </c>
      <c r="R10" s="6">
        <v>7</v>
      </c>
      <c r="S10" s="9">
        <v>2.0000000000000001E-4</v>
      </c>
      <c r="U10" s="6" t="s">
        <v>102</v>
      </c>
      <c r="V10" s="6">
        <v>5</v>
      </c>
      <c r="W10" s="9">
        <v>2.0000000000000001E-4</v>
      </c>
      <c r="Y10" s="6" t="s">
        <v>8</v>
      </c>
      <c r="Z10" s="6">
        <v>171</v>
      </c>
      <c r="AA10" s="9">
        <v>2.7000000000000001E-3</v>
      </c>
      <c r="AC10" s="6" t="s">
        <v>83</v>
      </c>
      <c r="AD10" s="6">
        <v>30</v>
      </c>
      <c r="AE10" s="9">
        <v>5.0000000000000001E-4</v>
      </c>
      <c r="AG10" s="6" t="s">
        <v>102</v>
      </c>
      <c r="AH10" s="6">
        <v>7</v>
      </c>
      <c r="AI10" s="9">
        <v>1E-4</v>
      </c>
    </row>
    <row r="11" spans="1:35">
      <c r="A11" s="6" t="s">
        <v>8</v>
      </c>
      <c r="B11" s="6">
        <v>180</v>
      </c>
      <c r="C11" s="9">
        <v>1.9E-3</v>
      </c>
      <c r="E11" s="6" t="s">
        <v>76</v>
      </c>
      <c r="F11" s="6">
        <v>16</v>
      </c>
      <c r="G11" s="9">
        <v>2.0000000000000001E-4</v>
      </c>
      <c r="I11" s="6" t="s">
        <v>102</v>
      </c>
      <c r="J11" s="6">
        <v>12</v>
      </c>
      <c r="K11" s="9">
        <v>1E-4</v>
      </c>
      <c r="M11" s="6" t="s">
        <v>11</v>
      </c>
      <c r="N11" s="6">
        <v>32</v>
      </c>
      <c r="O11" s="9">
        <v>1E-3</v>
      </c>
      <c r="Q11" s="6" t="s">
        <v>77</v>
      </c>
      <c r="R11" s="6">
        <v>2</v>
      </c>
      <c r="S11" s="9">
        <v>1E-4</v>
      </c>
      <c r="U11" s="6" t="s">
        <v>98</v>
      </c>
      <c r="V11" s="6">
        <v>6</v>
      </c>
      <c r="W11" s="9">
        <v>2.0000000000000001E-4</v>
      </c>
      <c r="Y11" s="6" t="s">
        <v>3</v>
      </c>
      <c r="Z11" s="6">
        <v>127</v>
      </c>
      <c r="AA11" s="9">
        <v>2E-3</v>
      </c>
      <c r="AC11" s="6" t="s">
        <v>77</v>
      </c>
      <c r="AD11" s="6">
        <v>11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121</v>
      </c>
      <c r="C12" s="9">
        <v>1.1999999999999999E-3</v>
      </c>
      <c r="E12" s="6" t="s">
        <v>77</v>
      </c>
      <c r="F12" s="6">
        <v>13</v>
      </c>
      <c r="G12" s="9">
        <v>1E-4</v>
      </c>
      <c r="I12" s="6" t="s">
        <v>99</v>
      </c>
      <c r="J12" s="6">
        <v>14</v>
      </c>
      <c r="K12" s="9">
        <v>1E-4</v>
      </c>
      <c r="M12" s="6" t="s">
        <v>7</v>
      </c>
      <c r="N12" s="6">
        <v>23</v>
      </c>
      <c r="O12" s="9">
        <v>6.9999999999999999E-4</v>
      </c>
      <c r="Q12" s="6" t="s">
        <v>75</v>
      </c>
      <c r="R12" s="6">
        <v>2</v>
      </c>
      <c r="S12" s="9">
        <v>1E-4</v>
      </c>
      <c r="U12" s="6" t="s">
        <v>99</v>
      </c>
      <c r="V12" s="6">
        <v>6</v>
      </c>
      <c r="W12" s="9">
        <v>2.0000000000000001E-4</v>
      </c>
      <c r="Y12" s="6" t="s">
        <v>9</v>
      </c>
      <c r="Z12" s="6">
        <v>110</v>
      </c>
      <c r="AA12" s="9">
        <v>1.6999999999999999E-3</v>
      </c>
      <c r="AC12" s="6" t="s">
        <v>79</v>
      </c>
      <c r="AD12" s="6">
        <v>11</v>
      </c>
      <c r="AE12" s="9">
        <v>2.0000000000000001E-4</v>
      </c>
      <c r="AG12" s="6" t="s">
        <v>99</v>
      </c>
      <c r="AH12" s="6">
        <v>8</v>
      </c>
      <c r="AI12" s="9">
        <v>1E-4</v>
      </c>
    </row>
    <row r="13" spans="1:35">
      <c r="A13" s="6" t="s">
        <v>11</v>
      </c>
      <c r="B13" s="6">
        <v>90</v>
      </c>
      <c r="C13" s="9">
        <v>8.9999999999999998E-4</v>
      </c>
      <c r="E13" s="6" t="s">
        <v>79</v>
      </c>
      <c r="F13" s="6">
        <v>11</v>
      </c>
      <c r="G13" s="9">
        <v>1E-4</v>
      </c>
      <c r="I13" s="6" t="s">
        <v>113</v>
      </c>
      <c r="J13" s="6">
        <v>5</v>
      </c>
      <c r="K13" s="9">
        <v>1E-4</v>
      </c>
      <c r="M13" s="6" t="s">
        <v>148</v>
      </c>
      <c r="N13" s="6">
        <v>18</v>
      </c>
      <c r="O13" s="9">
        <v>5.9999999999999995E-4</v>
      </c>
      <c r="Q13" s="6" t="s">
        <v>74</v>
      </c>
      <c r="R13" s="6">
        <v>2</v>
      </c>
      <c r="S13" s="9">
        <v>1E-4</v>
      </c>
      <c r="U13" s="6" t="s">
        <v>103</v>
      </c>
      <c r="V13" s="6">
        <v>2</v>
      </c>
      <c r="W13" s="9">
        <v>1E-4</v>
      </c>
      <c r="Y13" s="6" t="s">
        <v>5</v>
      </c>
      <c r="Z13" s="6">
        <v>66</v>
      </c>
      <c r="AA13" s="9">
        <v>1E-3</v>
      </c>
      <c r="AC13" s="6" t="s">
        <v>75</v>
      </c>
      <c r="AD13" s="6">
        <v>10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5</v>
      </c>
      <c r="B14" s="6">
        <v>72</v>
      </c>
      <c r="C14" s="9">
        <v>6.9999999999999999E-4</v>
      </c>
      <c r="E14" s="6" t="s">
        <v>75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22</v>
      </c>
      <c r="N14" s="6">
        <v>15</v>
      </c>
      <c r="O14" s="9">
        <v>5.0000000000000001E-4</v>
      </c>
      <c r="Q14" s="6" t="s">
        <v>92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11</v>
      </c>
      <c r="Z14" s="6">
        <v>58</v>
      </c>
      <c r="AA14" s="9">
        <v>8.9999999999999998E-4</v>
      </c>
      <c r="AC14" s="6" t="s">
        <v>76</v>
      </c>
      <c r="AD14" s="6">
        <v>9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57</v>
      </c>
      <c r="C15" s="9">
        <v>5.9999999999999995E-4</v>
      </c>
      <c r="E15" s="6" t="s">
        <v>74</v>
      </c>
      <c r="F15" s="6">
        <v>10</v>
      </c>
      <c r="G15" s="9">
        <v>1E-4</v>
      </c>
      <c r="I15" s="6" t="s">
        <v>103</v>
      </c>
      <c r="J15" s="6">
        <v>2</v>
      </c>
      <c r="K15" s="30">
        <v>0</v>
      </c>
      <c r="M15" s="6" t="s">
        <v>18</v>
      </c>
      <c r="N15" s="6">
        <v>14</v>
      </c>
      <c r="O15" s="9">
        <v>4.0000000000000002E-4</v>
      </c>
      <c r="Q15" s="6" t="s">
        <v>91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36</v>
      </c>
      <c r="AA15" s="9">
        <v>5.9999999999999995E-4</v>
      </c>
      <c r="AC15" s="6" t="s">
        <v>74</v>
      </c>
      <c r="AD15" s="6">
        <v>8</v>
      </c>
      <c r="AE15" s="9">
        <v>1E-4</v>
      </c>
    </row>
    <row r="16" spans="1:35">
      <c r="A16" s="6" t="s">
        <v>41</v>
      </c>
      <c r="B16" s="6">
        <v>48</v>
      </c>
      <c r="C16" s="9">
        <v>5.0000000000000001E-4</v>
      </c>
      <c r="E16" s="6" t="s">
        <v>92</v>
      </c>
      <c r="F16" s="6">
        <v>1</v>
      </c>
      <c r="G16" s="30">
        <v>0</v>
      </c>
      <c r="M16" s="6" t="s">
        <v>41</v>
      </c>
      <c r="N16" s="6">
        <v>12</v>
      </c>
      <c r="O16" s="9">
        <v>4.0000000000000002E-4</v>
      </c>
      <c r="Q16" s="6" t="s">
        <v>86</v>
      </c>
      <c r="R16" s="6">
        <v>1</v>
      </c>
      <c r="S16" s="30">
        <v>0</v>
      </c>
      <c r="U16" s="6" t="s">
        <v>113</v>
      </c>
      <c r="V16" s="6">
        <v>1</v>
      </c>
      <c r="W16" s="30">
        <v>0</v>
      </c>
      <c r="Y16" s="6" t="s">
        <v>12</v>
      </c>
      <c r="Z16" s="6">
        <v>32</v>
      </c>
      <c r="AA16" s="9">
        <v>5.0000000000000001E-4</v>
      </c>
      <c r="AC16" s="6" t="s">
        <v>116</v>
      </c>
      <c r="AD16" s="6">
        <v>1</v>
      </c>
      <c r="AE16" s="30">
        <v>0</v>
      </c>
    </row>
    <row r="17" spans="1:31">
      <c r="A17" s="6" t="s">
        <v>12</v>
      </c>
      <c r="B17" s="6">
        <v>33</v>
      </c>
      <c r="C17" s="9">
        <v>2.9999999999999997E-4</v>
      </c>
      <c r="E17" s="6" t="s">
        <v>116</v>
      </c>
      <c r="F17" s="6">
        <v>1</v>
      </c>
      <c r="G17" s="30">
        <v>0</v>
      </c>
      <c r="M17" s="6" t="s">
        <v>46</v>
      </c>
      <c r="N17" s="6">
        <v>12</v>
      </c>
      <c r="O17" s="9">
        <v>4.0000000000000002E-4</v>
      </c>
      <c r="Q17" s="6" t="s">
        <v>157</v>
      </c>
      <c r="R17" s="6">
        <v>1</v>
      </c>
      <c r="S17" s="30">
        <v>0</v>
      </c>
      <c r="Y17" s="6" t="s">
        <v>7</v>
      </c>
      <c r="Z17" s="6">
        <v>34</v>
      </c>
      <c r="AA17" s="9">
        <v>5.0000000000000001E-4</v>
      </c>
      <c r="AC17" s="6" t="s">
        <v>93</v>
      </c>
      <c r="AD17" s="6">
        <v>1</v>
      </c>
      <c r="AE17" s="30">
        <v>0</v>
      </c>
    </row>
    <row r="18" spans="1:31">
      <c r="A18" s="6" t="s">
        <v>18</v>
      </c>
      <c r="B18" s="6">
        <v>24</v>
      </c>
      <c r="C18" s="9">
        <v>2.0000000000000001E-4</v>
      </c>
      <c r="E18" s="6" t="s">
        <v>93</v>
      </c>
      <c r="F18" s="6">
        <v>1</v>
      </c>
      <c r="G18" s="30">
        <v>0</v>
      </c>
      <c r="M18" s="6" t="s">
        <v>9</v>
      </c>
      <c r="N18" s="6">
        <v>11</v>
      </c>
      <c r="O18" s="9">
        <v>2.9999999999999997E-4</v>
      </c>
      <c r="Y18" s="6" t="s">
        <v>37</v>
      </c>
      <c r="Z18" s="6">
        <v>24</v>
      </c>
      <c r="AA18" s="9">
        <v>4.0000000000000002E-4</v>
      </c>
      <c r="AC18" s="6" t="s">
        <v>82</v>
      </c>
      <c r="AD18" s="6">
        <v>2</v>
      </c>
      <c r="AE18" s="30">
        <v>0</v>
      </c>
    </row>
    <row r="19" spans="1:31">
      <c r="A19" s="6" t="s">
        <v>37</v>
      </c>
      <c r="B19" s="6">
        <v>24</v>
      </c>
      <c r="C19" s="9">
        <v>2.0000000000000001E-4</v>
      </c>
      <c r="E19" s="6" t="s">
        <v>82</v>
      </c>
      <c r="F19" s="6">
        <v>2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18</v>
      </c>
      <c r="Z19" s="6">
        <v>10</v>
      </c>
      <c r="AA19" s="9">
        <v>2.0000000000000001E-4</v>
      </c>
      <c r="AC19" s="6" t="s">
        <v>125</v>
      </c>
      <c r="AD19" s="6">
        <v>1</v>
      </c>
      <c r="AE19" s="30">
        <v>0</v>
      </c>
    </row>
    <row r="20" spans="1:31">
      <c r="A20" s="6" t="s">
        <v>22</v>
      </c>
      <c r="B20" s="6">
        <v>19</v>
      </c>
      <c r="C20" s="9">
        <v>2.0000000000000001E-4</v>
      </c>
      <c r="E20" s="6" t="s">
        <v>125</v>
      </c>
      <c r="F20" s="6">
        <v>1</v>
      </c>
      <c r="G20" s="30">
        <v>0</v>
      </c>
      <c r="M20" s="6" t="s">
        <v>29</v>
      </c>
      <c r="N20" s="6">
        <v>9</v>
      </c>
      <c r="O20" s="9">
        <v>2.9999999999999997E-4</v>
      </c>
      <c r="Y20" s="6" t="s">
        <v>17</v>
      </c>
      <c r="Z20" s="6">
        <v>11</v>
      </c>
      <c r="AA20" s="9">
        <v>2.0000000000000001E-4</v>
      </c>
      <c r="AC20" s="6" t="s">
        <v>84</v>
      </c>
      <c r="AD20" s="6">
        <v>1</v>
      </c>
      <c r="AE20" s="30">
        <v>0</v>
      </c>
    </row>
    <row r="21" spans="1:31">
      <c r="A21" s="6" t="s">
        <v>10</v>
      </c>
      <c r="B21" s="6">
        <v>17</v>
      </c>
      <c r="C21" s="9">
        <v>2.0000000000000001E-4</v>
      </c>
      <c r="E21" s="6" t="s">
        <v>84</v>
      </c>
      <c r="F21" s="6">
        <v>1</v>
      </c>
      <c r="G21" s="30">
        <v>0</v>
      </c>
      <c r="M21" s="6" t="s">
        <v>5</v>
      </c>
      <c r="N21" s="6">
        <v>6</v>
      </c>
      <c r="O21" s="9">
        <v>2.0000000000000001E-4</v>
      </c>
      <c r="Y21" s="6" t="s">
        <v>14</v>
      </c>
      <c r="Z21" s="6">
        <v>15</v>
      </c>
      <c r="AA21" s="9">
        <v>2.0000000000000001E-4</v>
      </c>
      <c r="AC21" s="6" t="s">
        <v>78</v>
      </c>
      <c r="AD21" s="6">
        <v>2</v>
      </c>
      <c r="AE21" s="30">
        <v>0</v>
      </c>
    </row>
    <row r="22" spans="1:31">
      <c r="A22" s="6" t="s">
        <v>29</v>
      </c>
      <c r="B22" s="6">
        <v>23</v>
      </c>
      <c r="C22" s="9">
        <v>2.0000000000000001E-4</v>
      </c>
      <c r="E22" s="6" t="s">
        <v>78</v>
      </c>
      <c r="F22" s="6">
        <v>2</v>
      </c>
      <c r="G22" s="30">
        <v>0</v>
      </c>
      <c r="M22" s="6" t="s">
        <v>21</v>
      </c>
      <c r="N22" s="6">
        <v>8</v>
      </c>
      <c r="O22" s="9">
        <v>2.0000000000000001E-4</v>
      </c>
      <c r="Y22" s="6" t="s">
        <v>10</v>
      </c>
      <c r="Z22" s="6">
        <v>11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31</v>
      </c>
      <c r="B23" s="6">
        <v>20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10</v>
      </c>
      <c r="N23" s="6">
        <v>6</v>
      </c>
      <c r="O23" s="9">
        <v>2.0000000000000001E-4</v>
      </c>
      <c r="Y23" s="6" t="s">
        <v>31</v>
      </c>
      <c r="Z23" s="6">
        <v>13</v>
      </c>
      <c r="AA23" s="9">
        <v>2.0000000000000001E-4</v>
      </c>
    </row>
    <row r="24" spans="1:31">
      <c r="A24" s="6" t="s">
        <v>148</v>
      </c>
      <c r="B24" s="6">
        <v>22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31</v>
      </c>
      <c r="N24" s="6">
        <v>7</v>
      </c>
      <c r="O24" s="9">
        <v>2.0000000000000001E-4</v>
      </c>
      <c r="Y24" s="6" t="s">
        <v>29</v>
      </c>
      <c r="Z24" s="6">
        <v>14</v>
      </c>
      <c r="AA24" s="9">
        <v>2.0000000000000001E-4</v>
      </c>
    </row>
    <row r="25" spans="1:31">
      <c r="A25" s="6" t="s">
        <v>14</v>
      </c>
      <c r="B25" s="6">
        <v>15</v>
      </c>
      <c r="C25" s="9">
        <v>2.0000000000000001E-4</v>
      </c>
      <c r="E25" s="6" t="s">
        <v>86</v>
      </c>
      <c r="F25" s="6">
        <v>1</v>
      </c>
      <c r="G25" s="30">
        <v>0</v>
      </c>
      <c r="M25" s="6" t="s">
        <v>43</v>
      </c>
      <c r="N25" s="6">
        <v>5</v>
      </c>
      <c r="O25" s="9">
        <v>2.0000000000000001E-4</v>
      </c>
      <c r="Y25" s="6" t="s">
        <v>19</v>
      </c>
      <c r="Z25" s="6">
        <v>5</v>
      </c>
      <c r="AA25" s="9">
        <v>1E-4</v>
      </c>
    </row>
    <row r="26" spans="1:31">
      <c r="A26" s="6" t="s">
        <v>19</v>
      </c>
      <c r="B26" s="6">
        <v>6</v>
      </c>
      <c r="C26" s="9">
        <v>1E-4</v>
      </c>
      <c r="M26" s="6" t="s">
        <v>27</v>
      </c>
      <c r="N26" s="6">
        <v>5</v>
      </c>
      <c r="O26" s="9">
        <v>2.0000000000000001E-4</v>
      </c>
      <c r="Y26" s="6" t="s">
        <v>21</v>
      </c>
      <c r="Z26" s="6">
        <v>6</v>
      </c>
      <c r="AA26" s="9">
        <v>1E-4</v>
      </c>
    </row>
    <row r="27" spans="1:31">
      <c r="A27" s="6" t="s">
        <v>21</v>
      </c>
      <c r="B27" s="6">
        <v>14</v>
      </c>
      <c r="C27" s="9">
        <v>1E-4</v>
      </c>
      <c r="M27" s="6" t="s">
        <v>45</v>
      </c>
      <c r="N27" s="6">
        <v>2</v>
      </c>
      <c r="O27" s="9">
        <v>1E-4</v>
      </c>
      <c r="Y27" s="6" t="s">
        <v>20</v>
      </c>
      <c r="Z27" s="6">
        <v>4</v>
      </c>
      <c r="AA27" s="9">
        <v>1E-4</v>
      </c>
    </row>
    <row r="28" spans="1:31">
      <c r="A28" s="6" t="s">
        <v>20</v>
      </c>
      <c r="B28" s="6">
        <v>5</v>
      </c>
      <c r="C28" s="9">
        <v>1E-4</v>
      </c>
      <c r="M28" s="6" t="s">
        <v>17</v>
      </c>
      <c r="N28" s="6">
        <v>2</v>
      </c>
      <c r="O28" s="9">
        <v>1E-4</v>
      </c>
      <c r="Y28" s="6" t="s">
        <v>45</v>
      </c>
      <c r="Z28" s="6">
        <v>4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16</v>
      </c>
      <c r="N29" s="6">
        <v>2</v>
      </c>
      <c r="O29" s="9">
        <v>1E-4</v>
      </c>
      <c r="Y29" s="6" t="s">
        <v>26</v>
      </c>
      <c r="Z29" s="6">
        <v>9</v>
      </c>
      <c r="AA29" s="9">
        <v>1E-4</v>
      </c>
    </row>
    <row r="30" spans="1:31">
      <c r="A30" s="6" t="s">
        <v>45</v>
      </c>
      <c r="B30" s="6">
        <v>6</v>
      </c>
      <c r="C30" s="9">
        <v>1E-4</v>
      </c>
      <c r="M30" s="6" t="s">
        <v>40</v>
      </c>
      <c r="N30" s="6">
        <v>3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26</v>
      </c>
      <c r="B31" s="6">
        <v>10</v>
      </c>
      <c r="C31" s="9">
        <v>1E-4</v>
      </c>
      <c r="M31" s="6" t="s">
        <v>39</v>
      </c>
      <c r="N31" s="6">
        <v>2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30</v>
      </c>
      <c r="B32" s="6">
        <v>9</v>
      </c>
      <c r="C32" s="9">
        <v>1E-4</v>
      </c>
      <c r="M32" s="6" t="s">
        <v>33</v>
      </c>
      <c r="N32" s="6">
        <v>2</v>
      </c>
      <c r="O32" s="9">
        <v>1E-4</v>
      </c>
      <c r="Y32" s="6" t="s">
        <v>27</v>
      </c>
      <c r="Z32" s="6">
        <v>4</v>
      </c>
      <c r="AA32" s="9">
        <v>1E-4</v>
      </c>
    </row>
    <row r="33" spans="1:27">
      <c r="A33" s="6" t="s">
        <v>43</v>
      </c>
      <c r="B33" s="6">
        <v>5</v>
      </c>
      <c r="C33" s="9">
        <v>1E-4</v>
      </c>
      <c r="M33" s="6" t="s">
        <v>19</v>
      </c>
      <c r="N33" s="6">
        <v>1</v>
      </c>
      <c r="O33" s="30">
        <v>0</v>
      </c>
      <c r="Y33" s="6" t="s">
        <v>148</v>
      </c>
      <c r="Z33" s="6">
        <v>4</v>
      </c>
      <c r="AA33" s="9">
        <v>1E-4</v>
      </c>
    </row>
    <row r="34" spans="1:27">
      <c r="A34" s="6" t="s">
        <v>40</v>
      </c>
      <c r="B34" s="6">
        <v>5</v>
      </c>
      <c r="C34" s="9">
        <v>1E-4</v>
      </c>
      <c r="M34" s="6" t="s">
        <v>67</v>
      </c>
      <c r="N34" s="6">
        <v>1</v>
      </c>
      <c r="O34" s="30">
        <v>0</v>
      </c>
      <c r="Y34" s="6" t="s">
        <v>16</v>
      </c>
      <c r="Z34" s="6">
        <v>2</v>
      </c>
      <c r="AA34" s="30">
        <v>0</v>
      </c>
    </row>
    <row r="35" spans="1:27">
      <c r="A35" s="6" t="s">
        <v>27</v>
      </c>
      <c r="B35" s="6">
        <v>9</v>
      </c>
      <c r="C35" s="9">
        <v>1E-4</v>
      </c>
      <c r="M35" s="6" t="s">
        <v>20</v>
      </c>
      <c r="N35" s="6">
        <v>1</v>
      </c>
      <c r="O35" s="30">
        <v>0</v>
      </c>
      <c r="Y35" s="6" t="s">
        <v>36</v>
      </c>
      <c r="Z35" s="6">
        <v>1</v>
      </c>
      <c r="AA35" s="30">
        <v>0</v>
      </c>
    </row>
    <row r="36" spans="1:27">
      <c r="A36" s="6" t="s">
        <v>33</v>
      </c>
      <c r="B36" s="6">
        <v>5</v>
      </c>
      <c r="C36" s="9">
        <v>1E-4</v>
      </c>
      <c r="M36" s="6" t="s">
        <v>13</v>
      </c>
      <c r="N36" s="6">
        <v>1</v>
      </c>
      <c r="O36" s="30">
        <v>0</v>
      </c>
      <c r="Y36" s="6" t="s">
        <v>24</v>
      </c>
      <c r="Z36" s="6">
        <v>1</v>
      </c>
      <c r="AA36" s="30">
        <v>0</v>
      </c>
    </row>
    <row r="37" spans="1:27">
      <c r="A37" s="6" t="s">
        <v>46</v>
      </c>
      <c r="B37" s="6">
        <v>4</v>
      </c>
      <c r="C37" s="30">
        <v>0</v>
      </c>
      <c r="M37" s="6" t="s">
        <v>48</v>
      </c>
      <c r="N37" s="6">
        <v>1</v>
      </c>
      <c r="O37" s="30">
        <v>0</v>
      </c>
      <c r="Y37" s="6" t="s">
        <v>68</v>
      </c>
      <c r="Z37" s="6">
        <v>3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24</v>
      </c>
      <c r="N38" s="6">
        <v>1</v>
      </c>
      <c r="O38" s="30">
        <v>0</v>
      </c>
      <c r="Y38" s="6" t="s">
        <v>40</v>
      </c>
      <c r="Z38" s="6">
        <v>2</v>
      </c>
      <c r="AA38" s="30">
        <v>0</v>
      </c>
    </row>
    <row r="39" spans="1:27">
      <c r="A39" s="6" t="s">
        <v>13</v>
      </c>
      <c r="B39" s="6">
        <v>1</v>
      </c>
      <c r="C39" s="30">
        <v>0</v>
      </c>
      <c r="M39" s="6" t="s">
        <v>160</v>
      </c>
      <c r="N39" s="6">
        <v>1</v>
      </c>
      <c r="O39" s="30">
        <v>0</v>
      </c>
      <c r="Y39" s="6" t="s">
        <v>38</v>
      </c>
      <c r="Z39" s="6">
        <v>3</v>
      </c>
      <c r="AA39" s="30">
        <v>0</v>
      </c>
    </row>
    <row r="40" spans="1:27">
      <c r="A40" s="6" t="s">
        <v>16</v>
      </c>
      <c r="B40" s="6">
        <v>4</v>
      </c>
      <c r="C40" s="30">
        <v>0</v>
      </c>
      <c r="M40" s="6" t="s">
        <v>26</v>
      </c>
      <c r="N40" s="6">
        <v>1</v>
      </c>
      <c r="O40" s="30">
        <v>0</v>
      </c>
      <c r="Y40" s="6" t="s">
        <v>15</v>
      </c>
      <c r="Z40" s="6">
        <v>1</v>
      </c>
      <c r="AA40" s="30">
        <v>0</v>
      </c>
    </row>
    <row r="41" spans="1:27">
      <c r="A41" s="6" t="s">
        <v>36</v>
      </c>
      <c r="B41" s="6">
        <v>1</v>
      </c>
      <c r="C41" s="30">
        <v>0</v>
      </c>
      <c r="M41" s="6" t="s">
        <v>68</v>
      </c>
      <c r="N41" s="6">
        <v>1</v>
      </c>
      <c r="O41" s="30">
        <v>0</v>
      </c>
      <c r="Y41" s="6" t="s">
        <v>33</v>
      </c>
      <c r="Z41" s="6">
        <v>3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12</v>
      </c>
      <c r="N42" s="6">
        <v>1</v>
      </c>
      <c r="O42" s="30">
        <v>0</v>
      </c>
      <c r="Y42" s="6" t="s">
        <v>69</v>
      </c>
      <c r="Z42" s="6">
        <v>1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64</v>
      </c>
      <c r="N43" s="6">
        <v>1</v>
      </c>
      <c r="O43" s="30">
        <v>0</v>
      </c>
      <c r="Y43" s="6" t="s">
        <v>60</v>
      </c>
      <c r="Z43" s="6">
        <v>1</v>
      </c>
      <c r="AA43" s="30">
        <v>0</v>
      </c>
    </row>
    <row r="44" spans="1:27">
      <c r="A44" s="6" t="s">
        <v>68</v>
      </c>
      <c r="B44" s="6">
        <v>4</v>
      </c>
      <c r="C44" s="30">
        <v>0</v>
      </c>
      <c r="M44" s="6" t="s">
        <v>30</v>
      </c>
      <c r="N44" s="6">
        <v>1</v>
      </c>
      <c r="O44" s="30">
        <v>0</v>
      </c>
      <c r="Y44" s="6" t="s">
        <v>28</v>
      </c>
      <c r="Z44" s="6">
        <v>1</v>
      </c>
      <c r="AA44" s="30">
        <v>0</v>
      </c>
    </row>
    <row r="45" spans="1:27">
      <c r="A45" s="6" t="s">
        <v>38</v>
      </c>
      <c r="B45" s="6">
        <v>3</v>
      </c>
      <c r="C45" s="30">
        <v>0</v>
      </c>
      <c r="M45" s="6" t="s">
        <v>60</v>
      </c>
      <c r="N45" s="6">
        <v>1</v>
      </c>
      <c r="O45" s="30">
        <v>0</v>
      </c>
      <c r="Y45" s="6" t="s">
        <v>129</v>
      </c>
      <c r="Z45" s="6">
        <v>3</v>
      </c>
      <c r="AA45" s="30">
        <v>0</v>
      </c>
    </row>
    <row r="46" spans="1:27">
      <c r="A46" s="6" t="s">
        <v>15</v>
      </c>
      <c r="B46" s="6">
        <v>1</v>
      </c>
      <c r="C46" s="30">
        <v>0</v>
      </c>
      <c r="Y46" s="6" t="s">
        <v>39</v>
      </c>
      <c r="Z46" s="6">
        <v>1</v>
      </c>
      <c r="AA46" s="30">
        <v>0</v>
      </c>
    </row>
    <row r="47" spans="1:27">
      <c r="A47" s="6" t="s">
        <v>160</v>
      </c>
      <c r="B47" s="6">
        <v>1</v>
      </c>
      <c r="C47" s="30">
        <v>0</v>
      </c>
      <c r="Y47" s="6" t="s">
        <v>53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</row>
    <row r="49" spans="1:3">
      <c r="A49" s="6" t="s">
        <v>39</v>
      </c>
      <c r="B49" s="6">
        <v>3</v>
      </c>
      <c r="C49" s="30">
        <v>0</v>
      </c>
    </row>
    <row r="50" spans="1:3">
      <c r="A50" s="6" t="s">
        <v>129</v>
      </c>
      <c r="B50" s="6">
        <v>3</v>
      </c>
      <c r="C50" s="30">
        <v>0</v>
      </c>
    </row>
    <row r="51" spans="1:3">
      <c r="A51" s="6" t="s">
        <v>69</v>
      </c>
      <c r="B51" s="6">
        <v>1</v>
      </c>
      <c r="C51" s="30">
        <v>0</v>
      </c>
    </row>
    <row r="52" spans="1:3">
      <c r="A52" s="6" t="s">
        <v>28</v>
      </c>
      <c r="B52" s="6">
        <v>1</v>
      </c>
      <c r="C52" s="30">
        <v>0</v>
      </c>
    </row>
    <row r="53" spans="1:3">
      <c r="A53" s="6" t="s">
        <v>64</v>
      </c>
      <c r="B53" s="6">
        <v>1</v>
      </c>
      <c r="C53" s="30">
        <v>0</v>
      </c>
    </row>
    <row r="54" spans="1:3">
      <c r="A54" s="6" t="s">
        <v>53</v>
      </c>
      <c r="B54" s="6">
        <v>1</v>
      </c>
      <c r="C5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4 AI19:AI2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23FC-2FDB-4108-921C-817DAC6598D1}">
  <sheetPr codeName="Sheet28"/>
  <dimension ref="A1:AI52"/>
  <sheetViews>
    <sheetView topLeftCell="R1" workbookViewId="0">
      <selection activeCell="AC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95589</v>
      </c>
      <c r="E2" s="41" t="s">
        <v>4</v>
      </c>
      <c r="F2" s="23" t="s">
        <v>105</v>
      </c>
      <c r="G2" s="23">
        <f>G3+G4</f>
        <v>97137</v>
      </c>
      <c r="H2" s="22"/>
      <c r="I2" s="41" t="s">
        <v>6</v>
      </c>
      <c r="J2" s="23" t="s">
        <v>105</v>
      </c>
      <c r="K2" s="23">
        <f>K3+K4</f>
        <v>96632</v>
      </c>
      <c r="M2" s="41" t="s">
        <v>104</v>
      </c>
      <c r="N2" s="23" t="s">
        <v>105</v>
      </c>
      <c r="O2" s="23">
        <f>O3+O4</f>
        <v>39146</v>
      </c>
      <c r="Q2" s="41" t="s">
        <v>4</v>
      </c>
      <c r="R2" s="23" t="s">
        <v>105</v>
      </c>
      <c r="S2" s="23">
        <f>S3+S4</f>
        <v>36506</v>
      </c>
      <c r="T2" s="22"/>
      <c r="U2" s="41" t="s">
        <v>6</v>
      </c>
      <c r="V2" s="23" t="s">
        <v>105</v>
      </c>
      <c r="W2" s="23">
        <f>W3+W4</f>
        <v>35817</v>
      </c>
      <c r="Y2" s="41" t="s">
        <v>104</v>
      </c>
      <c r="Z2" s="23" t="s">
        <v>105</v>
      </c>
      <c r="AA2" s="23">
        <f>AA3+AA4</f>
        <v>56442</v>
      </c>
      <c r="AC2" s="41" t="s">
        <v>4</v>
      </c>
      <c r="AD2" s="23" t="s">
        <v>105</v>
      </c>
      <c r="AE2" s="23">
        <f>AE3+AE4</f>
        <v>60632</v>
      </c>
      <c r="AF2" s="22"/>
      <c r="AG2" s="41" t="s">
        <v>6</v>
      </c>
      <c r="AH2" s="23" t="s">
        <v>105</v>
      </c>
      <c r="AI2" s="23">
        <f>AI3+AI4</f>
        <v>60817</v>
      </c>
    </row>
    <row r="3" spans="1:35">
      <c r="A3" s="42"/>
      <c r="B3" s="24" t="s">
        <v>106</v>
      </c>
      <c r="C3" s="24">
        <f>B8</f>
        <v>94279</v>
      </c>
      <c r="E3" s="42"/>
      <c r="F3" s="24" t="s">
        <v>106</v>
      </c>
      <c r="G3" s="24">
        <f>F8</f>
        <v>96877</v>
      </c>
      <c r="H3" s="22"/>
      <c r="I3" s="42"/>
      <c r="J3" s="24" t="s">
        <v>106</v>
      </c>
      <c r="K3" s="24">
        <f>J8</f>
        <v>96557</v>
      </c>
      <c r="M3" s="42"/>
      <c r="N3" s="24" t="s">
        <v>106</v>
      </c>
      <c r="O3" s="24">
        <f>N8</f>
        <v>38742</v>
      </c>
      <c r="Q3" s="42"/>
      <c r="R3" s="24" t="s">
        <v>106</v>
      </c>
      <c r="S3" s="24">
        <f>R8</f>
        <v>36434</v>
      </c>
      <c r="T3" s="22"/>
      <c r="U3" s="42"/>
      <c r="V3" s="24" t="s">
        <v>106</v>
      </c>
      <c r="W3" s="24">
        <f>V8</f>
        <v>35788</v>
      </c>
      <c r="Y3" s="42"/>
      <c r="Z3" s="24" t="s">
        <v>106</v>
      </c>
      <c r="AA3" s="24">
        <f>Z8</f>
        <v>55537</v>
      </c>
      <c r="AC3" s="42"/>
      <c r="AD3" s="24" t="s">
        <v>106</v>
      </c>
      <c r="AE3" s="24">
        <f>AD8</f>
        <v>60443</v>
      </c>
      <c r="AF3" s="22"/>
      <c r="AG3" s="42"/>
      <c r="AH3" s="24" t="s">
        <v>106</v>
      </c>
      <c r="AI3" s="24">
        <f>AH8</f>
        <v>60769</v>
      </c>
    </row>
    <row r="4" spans="1:35">
      <c r="A4" s="42"/>
      <c r="B4" s="25" t="s">
        <v>107</v>
      </c>
      <c r="C4" s="25">
        <f>SUM(B9:B66)</f>
        <v>1310</v>
      </c>
      <c r="E4" s="42"/>
      <c r="F4" s="25" t="s">
        <v>107</v>
      </c>
      <c r="G4" s="25">
        <f>SUM(F9:F33)</f>
        <v>260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404</v>
      </c>
      <c r="Q4" s="42"/>
      <c r="R4" s="25" t="s">
        <v>107</v>
      </c>
      <c r="S4" s="25">
        <f>SUM(R9:R33)</f>
        <v>72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905</v>
      </c>
      <c r="AC4" s="42"/>
      <c r="AD4" s="25" t="s">
        <v>107</v>
      </c>
      <c r="AE4" s="25">
        <f>SUM(AD9:AD29)</f>
        <v>189</v>
      </c>
      <c r="AF4" s="22"/>
      <c r="AG4" s="42"/>
      <c r="AH4" s="25" t="s">
        <v>107</v>
      </c>
      <c r="AI4" s="25">
        <f>SUM(AH9:AH29)</f>
        <v>48</v>
      </c>
    </row>
    <row r="5" spans="1:35">
      <c r="A5" s="43"/>
      <c r="B5" s="23" t="s">
        <v>108</v>
      </c>
      <c r="C5" s="26">
        <f>SUM(C9:C179)</f>
        <v>1.3699999999999992E-2</v>
      </c>
      <c r="E5" s="43"/>
      <c r="F5" s="23" t="s">
        <v>108</v>
      </c>
      <c r="G5" s="26">
        <f>SUM(G9:G33)</f>
        <v>2.6999999999999993E-3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1.0399999999999994E-2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1.5799999999999995E-2</v>
      </c>
      <c r="AC5" s="43"/>
      <c r="AD5" s="23" t="s">
        <v>108</v>
      </c>
      <c r="AE5" s="26">
        <f>SUM(AE9:AE29)</f>
        <v>3.0999999999999999E-3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94279</v>
      </c>
      <c r="C8" s="9">
        <v>0.98629999999999995</v>
      </c>
      <c r="E8" s="6" t="s">
        <v>112</v>
      </c>
      <c r="F8" s="29">
        <v>96877</v>
      </c>
      <c r="G8" s="9">
        <v>0.99729999999999996</v>
      </c>
      <c r="I8" s="6" t="s">
        <v>112</v>
      </c>
      <c r="J8" s="29">
        <v>96557</v>
      </c>
      <c r="K8" s="9">
        <v>0.99919999999999998</v>
      </c>
      <c r="M8" s="6" t="s">
        <v>112</v>
      </c>
      <c r="N8" s="29">
        <v>38742</v>
      </c>
      <c r="O8" s="9">
        <v>0.98970000000000002</v>
      </c>
      <c r="Q8" s="6" t="s">
        <v>112</v>
      </c>
      <c r="R8" s="29">
        <v>36434</v>
      </c>
      <c r="S8" s="9">
        <v>0.998</v>
      </c>
      <c r="U8" s="6" t="s">
        <v>112</v>
      </c>
      <c r="V8" s="29">
        <v>35788</v>
      </c>
      <c r="W8" s="9">
        <v>0.99919999999999998</v>
      </c>
      <c r="Y8" s="6" t="s">
        <v>112</v>
      </c>
      <c r="Z8" s="29">
        <v>55537</v>
      </c>
      <c r="AA8" s="9">
        <v>0.9839</v>
      </c>
      <c r="AC8" s="6" t="s">
        <v>112</v>
      </c>
      <c r="AD8" s="29">
        <v>60443</v>
      </c>
      <c r="AE8" s="9">
        <v>0.99690000000000001</v>
      </c>
      <c r="AG8" s="6" t="s">
        <v>112</v>
      </c>
      <c r="AH8" s="29">
        <v>60769</v>
      </c>
      <c r="AI8" s="9">
        <v>0.99919999999999998</v>
      </c>
    </row>
    <row r="9" spans="1:35">
      <c r="A9" s="6" t="s">
        <v>2</v>
      </c>
      <c r="B9" s="6">
        <v>296</v>
      </c>
      <c r="C9" s="9">
        <v>3.0999999999999999E-3</v>
      </c>
      <c r="E9" s="6" t="s">
        <v>122</v>
      </c>
      <c r="F9" s="6">
        <v>171</v>
      </c>
      <c r="G9" s="9">
        <v>1.8E-3</v>
      </c>
      <c r="I9" s="6" t="s">
        <v>2</v>
      </c>
      <c r="J9" s="6">
        <v>34</v>
      </c>
      <c r="K9" s="9">
        <v>4.0000000000000002E-4</v>
      </c>
      <c r="M9" s="6" t="s">
        <v>2</v>
      </c>
      <c r="N9" s="6">
        <v>114</v>
      </c>
      <c r="O9" s="9">
        <v>2.8999999999999998E-3</v>
      </c>
      <c r="Q9" s="6" t="s">
        <v>122</v>
      </c>
      <c r="R9" s="6">
        <v>57</v>
      </c>
      <c r="S9" s="9">
        <v>1.6000000000000001E-3</v>
      </c>
      <c r="U9" s="6" t="s">
        <v>2</v>
      </c>
      <c r="V9" s="6">
        <v>13</v>
      </c>
      <c r="W9" s="9">
        <v>4.0000000000000002E-4</v>
      </c>
      <c r="Y9" s="6" t="s">
        <v>8</v>
      </c>
      <c r="Z9" s="6">
        <v>184</v>
      </c>
      <c r="AA9" s="9">
        <v>3.3E-3</v>
      </c>
      <c r="AC9" s="6" t="s">
        <v>122</v>
      </c>
      <c r="AD9" s="6">
        <v>114</v>
      </c>
      <c r="AE9" s="9">
        <v>1.9E-3</v>
      </c>
      <c r="AG9" s="6" t="s">
        <v>2</v>
      </c>
      <c r="AH9" s="6">
        <v>21</v>
      </c>
      <c r="AI9" s="9">
        <v>2.9999999999999997E-4</v>
      </c>
    </row>
    <row r="10" spans="1:35">
      <c r="A10" s="6" t="s">
        <v>8</v>
      </c>
      <c r="B10" s="6">
        <v>189</v>
      </c>
      <c r="C10" s="9">
        <v>2E-3</v>
      </c>
      <c r="E10" s="6" t="s">
        <v>83</v>
      </c>
      <c r="F10" s="6">
        <v>29</v>
      </c>
      <c r="G10" s="9">
        <v>2.9999999999999997E-4</v>
      </c>
      <c r="I10" s="6" t="s">
        <v>102</v>
      </c>
      <c r="J10" s="6">
        <v>11</v>
      </c>
      <c r="K10" s="9">
        <v>1E-4</v>
      </c>
      <c r="M10" s="6" t="s">
        <v>3</v>
      </c>
      <c r="N10" s="6">
        <v>80</v>
      </c>
      <c r="O10" s="9">
        <v>2E-3</v>
      </c>
      <c r="Q10" s="6" t="s">
        <v>92</v>
      </c>
      <c r="R10" s="6">
        <v>3</v>
      </c>
      <c r="S10" s="9">
        <v>1E-4</v>
      </c>
      <c r="U10" s="6" t="s">
        <v>102</v>
      </c>
      <c r="V10" s="6">
        <v>6</v>
      </c>
      <c r="W10" s="9">
        <v>2.0000000000000001E-4</v>
      </c>
      <c r="Y10" s="6" t="s">
        <v>2</v>
      </c>
      <c r="Z10" s="6">
        <v>182</v>
      </c>
      <c r="AA10" s="9">
        <v>3.2000000000000002E-3</v>
      </c>
      <c r="AC10" s="6" t="s">
        <v>83</v>
      </c>
      <c r="AD10" s="6">
        <v>29</v>
      </c>
      <c r="AE10" s="9">
        <v>5.0000000000000001E-4</v>
      </c>
      <c r="AG10" s="6" t="s">
        <v>102</v>
      </c>
      <c r="AH10" s="6">
        <v>6</v>
      </c>
      <c r="AI10" s="9">
        <v>1E-4</v>
      </c>
    </row>
    <row r="11" spans="1:35">
      <c r="A11" s="6" t="s">
        <v>3</v>
      </c>
      <c r="B11" s="6">
        <v>186</v>
      </c>
      <c r="C11" s="9">
        <v>1.9E-3</v>
      </c>
      <c r="E11" s="6" t="s">
        <v>77</v>
      </c>
      <c r="F11" s="6">
        <v>15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11</v>
      </c>
      <c r="N11" s="6">
        <v>26</v>
      </c>
      <c r="O11" s="9">
        <v>6.9999999999999999E-4</v>
      </c>
      <c r="Q11" s="6" t="s">
        <v>76</v>
      </c>
      <c r="R11" s="6">
        <v>3</v>
      </c>
      <c r="S11" s="9">
        <v>1E-4</v>
      </c>
      <c r="U11" s="6" t="s">
        <v>98</v>
      </c>
      <c r="V11" s="6">
        <v>3</v>
      </c>
      <c r="W11" s="9">
        <v>1E-4</v>
      </c>
      <c r="Y11" s="6" t="s">
        <v>9</v>
      </c>
      <c r="Z11" s="6">
        <v>109</v>
      </c>
      <c r="AA11" s="9">
        <v>1.9E-3</v>
      </c>
      <c r="AC11" s="6" t="s">
        <v>77</v>
      </c>
      <c r="AD11" s="6">
        <v>11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121</v>
      </c>
      <c r="C12" s="9">
        <v>1.2999999999999999E-3</v>
      </c>
      <c r="E12" s="6" t="s">
        <v>76</v>
      </c>
      <c r="F12" s="6">
        <v>7</v>
      </c>
      <c r="G12" s="9">
        <v>1E-4</v>
      </c>
      <c r="I12" s="6" t="s">
        <v>117</v>
      </c>
      <c r="J12" s="6">
        <v>5</v>
      </c>
      <c r="K12" s="9">
        <v>1E-4</v>
      </c>
      <c r="M12" s="6" t="s">
        <v>7</v>
      </c>
      <c r="N12" s="6">
        <v>28</v>
      </c>
      <c r="O12" s="9">
        <v>6.9999999999999999E-4</v>
      </c>
      <c r="Q12" s="6" t="s">
        <v>77</v>
      </c>
      <c r="R12" s="6">
        <v>4</v>
      </c>
      <c r="S12" s="9">
        <v>1E-4</v>
      </c>
      <c r="U12" s="6" t="s">
        <v>99</v>
      </c>
      <c r="V12" s="6">
        <v>3</v>
      </c>
      <c r="W12" s="9">
        <v>1E-4</v>
      </c>
      <c r="Y12" s="6" t="s">
        <v>3</v>
      </c>
      <c r="Z12" s="6">
        <v>106</v>
      </c>
      <c r="AA12" s="9">
        <v>1.9E-3</v>
      </c>
      <c r="AC12" s="6" t="s">
        <v>79</v>
      </c>
      <c r="AD12" s="6">
        <v>10</v>
      </c>
      <c r="AE12" s="9">
        <v>2.0000000000000001E-4</v>
      </c>
      <c r="AG12" s="6" t="s">
        <v>117</v>
      </c>
      <c r="AH12" s="6">
        <v>5</v>
      </c>
      <c r="AI12" s="9">
        <v>1E-4</v>
      </c>
    </row>
    <row r="13" spans="1:35">
      <c r="A13" s="6" t="s">
        <v>11</v>
      </c>
      <c r="B13" s="6">
        <v>73</v>
      </c>
      <c r="C13" s="9">
        <v>8.0000000000000004E-4</v>
      </c>
      <c r="E13" s="6" t="s">
        <v>79</v>
      </c>
      <c r="F13" s="6">
        <v>10</v>
      </c>
      <c r="G13" s="9">
        <v>1E-4</v>
      </c>
      <c r="I13" s="6" t="s">
        <v>99</v>
      </c>
      <c r="J13" s="6">
        <v>7</v>
      </c>
      <c r="K13" s="9">
        <v>1E-4</v>
      </c>
      <c r="M13" s="6" t="s">
        <v>18</v>
      </c>
      <c r="N13" s="6">
        <v>14</v>
      </c>
      <c r="O13" s="9">
        <v>4.0000000000000002E-4</v>
      </c>
      <c r="Q13" s="6" t="s">
        <v>74</v>
      </c>
      <c r="R13" s="6">
        <v>3</v>
      </c>
      <c r="S13" s="9">
        <v>1E-4</v>
      </c>
      <c r="U13" s="6" t="s">
        <v>113</v>
      </c>
      <c r="V13" s="6">
        <v>3</v>
      </c>
      <c r="W13" s="9">
        <v>1E-4</v>
      </c>
      <c r="Y13" s="6" t="s">
        <v>11</v>
      </c>
      <c r="Z13" s="6">
        <v>47</v>
      </c>
      <c r="AA13" s="9">
        <v>8.0000000000000004E-4</v>
      </c>
      <c r="AC13" s="6" t="s">
        <v>76</v>
      </c>
      <c r="AD13" s="6">
        <v>4</v>
      </c>
      <c r="AE13" s="9">
        <v>1E-4</v>
      </c>
      <c r="AG13" s="6" t="s">
        <v>99</v>
      </c>
      <c r="AH13" s="6">
        <v>4</v>
      </c>
      <c r="AI13" s="9">
        <v>1E-4</v>
      </c>
    </row>
    <row r="14" spans="1:35">
      <c r="A14" s="6" t="s">
        <v>7</v>
      </c>
      <c r="B14" s="6">
        <v>62</v>
      </c>
      <c r="C14" s="9">
        <v>5.9999999999999995E-4</v>
      </c>
      <c r="E14" s="6" t="s">
        <v>74</v>
      </c>
      <c r="F14" s="6">
        <v>7</v>
      </c>
      <c r="G14" s="9">
        <v>1E-4</v>
      </c>
      <c r="I14" s="6" t="s">
        <v>113</v>
      </c>
      <c r="J14" s="6">
        <v>5</v>
      </c>
      <c r="K14" s="9">
        <v>1E-4</v>
      </c>
      <c r="M14" s="6" t="s">
        <v>22</v>
      </c>
      <c r="N14" s="6">
        <v>11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5</v>
      </c>
      <c r="Z14" s="6">
        <v>34</v>
      </c>
      <c r="AA14" s="9">
        <v>5.9999999999999995E-4</v>
      </c>
      <c r="AC14" s="6" t="s">
        <v>75</v>
      </c>
      <c r="AD14" s="6">
        <v>8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5</v>
      </c>
      <c r="B15" s="6">
        <v>41</v>
      </c>
      <c r="C15" s="9">
        <v>4.0000000000000002E-4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9</v>
      </c>
      <c r="N15" s="6">
        <v>12</v>
      </c>
      <c r="O15" s="9">
        <v>2.9999999999999997E-4</v>
      </c>
      <c r="Q15" s="6" t="s">
        <v>86</v>
      </c>
      <c r="R15" s="6">
        <v>1</v>
      </c>
      <c r="S15" s="30">
        <v>0</v>
      </c>
      <c r="Y15" s="6" t="s">
        <v>37</v>
      </c>
      <c r="Z15" s="6">
        <v>36</v>
      </c>
      <c r="AA15" s="9">
        <v>5.9999999999999995E-4</v>
      </c>
      <c r="AC15" s="6" t="s">
        <v>74</v>
      </c>
      <c r="AD15" s="6">
        <v>4</v>
      </c>
      <c r="AE15" s="9">
        <v>1E-4</v>
      </c>
      <c r="AG15" s="6" t="s">
        <v>113</v>
      </c>
      <c r="AH15" s="6">
        <v>2</v>
      </c>
      <c r="AI15" s="30">
        <v>0</v>
      </c>
    </row>
    <row r="16" spans="1:35">
      <c r="A16" s="6" t="s">
        <v>37</v>
      </c>
      <c r="B16" s="6">
        <v>39</v>
      </c>
      <c r="C16" s="9">
        <v>4.0000000000000002E-4</v>
      </c>
      <c r="E16" s="6" t="s">
        <v>92</v>
      </c>
      <c r="F16" s="6">
        <v>4</v>
      </c>
      <c r="G16" s="30">
        <v>0</v>
      </c>
      <c r="M16" s="6" t="s">
        <v>40</v>
      </c>
      <c r="N16" s="6">
        <v>11</v>
      </c>
      <c r="O16" s="9">
        <v>2.9999999999999997E-4</v>
      </c>
      <c r="Y16" s="6" t="s">
        <v>41</v>
      </c>
      <c r="Z16" s="6">
        <v>33</v>
      </c>
      <c r="AA16" s="9">
        <v>5.9999999999999995E-4</v>
      </c>
      <c r="AC16" s="6" t="s">
        <v>92</v>
      </c>
      <c r="AD16" s="6">
        <v>1</v>
      </c>
      <c r="AE16" s="30">
        <v>0</v>
      </c>
    </row>
    <row r="17" spans="1:31">
      <c r="A17" s="6" t="s">
        <v>18</v>
      </c>
      <c r="B17" s="6">
        <v>36</v>
      </c>
      <c r="C17" s="9">
        <v>4.0000000000000002E-4</v>
      </c>
      <c r="E17" s="6" t="s">
        <v>82</v>
      </c>
      <c r="F17" s="6">
        <v>2</v>
      </c>
      <c r="G17" s="30">
        <v>0</v>
      </c>
      <c r="M17" s="6" t="s">
        <v>5</v>
      </c>
      <c r="N17" s="6">
        <v>7</v>
      </c>
      <c r="O17" s="9">
        <v>2.0000000000000001E-4</v>
      </c>
      <c r="Y17" s="6" t="s">
        <v>7</v>
      </c>
      <c r="Z17" s="6">
        <v>34</v>
      </c>
      <c r="AA17" s="9">
        <v>5.9999999999999995E-4</v>
      </c>
      <c r="AC17" s="6" t="s">
        <v>82</v>
      </c>
      <c r="AD17" s="6">
        <v>2</v>
      </c>
      <c r="AE17" s="30">
        <v>0</v>
      </c>
    </row>
    <row r="18" spans="1:31">
      <c r="A18" s="6" t="s">
        <v>41</v>
      </c>
      <c r="B18" s="6">
        <v>42</v>
      </c>
      <c r="C18" s="9">
        <v>4.0000000000000002E-4</v>
      </c>
      <c r="E18" s="6" t="s">
        <v>80</v>
      </c>
      <c r="F18" s="6">
        <v>1</v>
      </c>
      <c r="G18" s="30">
        <v>0</v>
      </c>
      <c r="M18" s="6" t="s">
        <v>10</v>
      </c>
      <c r="N18" s="6">
        <v>8</v>
      </c>
      <c r="O18" s="9">
        <v>2.0000000000000001E-4</v>
      </c>
      <c r="Y18" s="6" t="s">
        <v>18</v>
      </c>
      <c r="Z18" s="6">
        <v>22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17</v>
      </c>
      <c r="B19" s="6">
        <v>20</v>
      </c>
      <c r="C19" s="9">
        <v>2.0000000000000001E-4</v>
      </c>
      <c r="E19" s="6" t="s">
        <v>78</v>
      </c>
      <c r="F19" s="6">
        <v>2</v>
      </c>
      <c r="G19" s="30">
        <v>0</v>
      </c>
      <c r="M19" s="6" t="s">
        <v>29</v>
      </c>
      <c r="N19" s="6">
        <v>9</v>
      </c>
      <c r="O19" s="9">
        <v>2.0000000000000001E-4</v>
      </c>
      <c r="Y19" s="6" t="s">
        <v>17</v>
      </c>
      <c r="Z19" s="6">
        <v>15</v>
      </c>
      <c r="AA19" s="9">
        <v>2.9999999999999997E-4</v>
      </c>
      <c r="AC19" s="6" t="s">
        <v>78</v>
      </c>
      <c r="AD19" s="6">
        <v>2</v>
      </c>
      <c r="AE19" s="30">
        <v>0</v>
      </c>
    </row>
    <row r="20" spans="1:31">
      <c r="A20" s="6" t="s">
        <v>10</v>
      </c>
      <c r="B20" s="6">
        <v>16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41</v>
      </c>
      <c r="N20" s="6">
        <v>9</v>
      </c>
      <c r="O20" s="9">
        <v>2.0000000000000001E-4</v>
      </c>
      <c r="Y20" s="6" t="s">
        <v>21</v>
      </c>
      <c r="Z20" s="6">
        <v>9</v>
      </c>
      <c r="AA20" s="9">
        <v>2.0000000000000001E-4</v>
      </c>
      <c r="AC20" s="6" t="s">
        <v>89</v>
      </c>
      <c r="AD20" s="6">
        <v>1</v>
      </c>
      <c r="AE20" s="30">
        <v>0</v>
      </c>
    </row>
    <row r="21" spans="1:31">
      <c r="A21" s="6" t="s">
        <v>40</v>
      </c>
      <c r="B21" s="6">
        <v>15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43</v>
      </c>
      <c r="N21" s="6">
        <v>6</v>
      </c>
      <c r="O21" s="9">
        <v>2.0000000000000001E-4</v>
      </c>
      <c r="Y21" s="6" t="s">
        <v>12</v>
      </c>
      <c r="Z21" s="6">
        <v>14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1">
      <c r="A22" s="6" t="s">
        <v>12</v>
      </c>
      <c r="B22" s="6">
        <v>15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24</v>
      </c>
      <c r="N22" s="6">
        <v>6</v>
      </c>
      <c r="O22" s="9">
        <v>2.0000000000000001E-4</v>
      </c>
      <c r="Y22" s="6" t="s">
        <v>10</v>
      </c>
      <c r="Z22" s="6">
        <v>8</v>
      </c>
      <c r="AA22" s="9">
        <v>1E-4</v>
      </c>
      <c r="AC22" s="6" t="s">
        <v>127</v>
      </c>
      <c r="AD22" s="6">
        <v>1</v>
      </c>
      <c r="AE22" s="30">
        <v>0</v>
      </c>
    </row>
    <row r="23" spans="1:31">
      <c r="A23" s="6" t="s">
        <v>29</v>
      </c>
      <c r="B23" s="6">
        <v>16</v>
      </c>
      <c r="C23" s="9">
        <v>2.0000000000000001E-4</v>
      </c>
      <c r="E23" s="6" t="s">
        <v>127</v>
      </c>
      <c r="F23" s="6">
        <v>1</v>
      </c>
      <c r="G23" s="30">
        <v>0</v>
      </c>
      <c r="M23" s="6" t="s">
        <v>27</v>
      </c>
      <c r="N23" s="6">
        <v>7</v>
      </c>
      <c r="O23" s="9">
        <v>2.0000000000000001E-4</v>
      </c>
      <c r="Y23" s="6" t="s">
        <v>14</v>
      </c>
      <c r="Z23" s="6">
        <v>7</v>
      </c>
      <c r="AA23" s="9">
        <v>1E-4</v>
      </c>
    </row>
    <row r="24" spans="1:31">
      <c r="A24" s="6" t="s">
        <v>20</v>
      </c>
      <c r="B24" s="6">
        <v>6</v>
      </c>
      <c r="C24" s="9">
        <v>1E-4</v>
      </c>
      <c r="M24" s="6" t="s">
        <v>19</v>
      </c>
      <c r="N24" s="6">
        <v>2</v>
      </c>
      <c r="O24" s="9">
        <v>1E-4</v>
      </c>
      <c r="Y24" s="6" t="s">
        <v>26</v>
      </c>
      <c r="Z24" s="6">
        <v>6</v>
      </c>
      <c r="AA24" s="9">
        <v>1E-4</v>
      </c>
    </row>
    <row r="25" spans="1:31">
      <c r="A25" s="6" t="s">
        <v>21</v>
      </c>
      <c r="B25" s="6">
        <v>13</v>
      </c>
      <c r="C25" s="9">
        <v>1E-4</v>
      </c>
      <c r="M25" s="6" t="s">
        <v>21</v>
      </c>
      <c r="N25" s="6">
        <v>4</v>
      </c>
      <c r="O25" s="9">
        <v>1E-4</v>
      </c>
      <c r="Y25" s="6" t="s">
        <v>31</v>
      </c>
      <c r="Z25" s="6">
        <v>6</v>
      </c>
      <c r="AA25" s="9">
        <v>1E-4</v>
      </c>
    </row>
    <row r="26" spans="1:31">
      <c r="A26" s="6" t="s">
        <v>22</v>
      </c>
      <c r="B26" s="6">
        <v>13</v>
      </c>
      <c r="C26" s="9">
        <v>1E-4</v>
      </c>
      <c r="M26" s="6" t="s">
        <v>20</v>
      </c>
      <c r="N26" s="6">
        <v>4</v>
      </c>
      <c r="O26" s="9">
        <v>1E-4</v>
      </c>
      <c r="Y26" s="6" t="s">
        <v>29</v>
      </c>
      <c r="Z26" s="6">
        <v>7</v>
      </c>
      <c r="AA26" s="9">
        <v>1E-4</v>
      </c>
    </row>
    <row r="27" spans="1:31">
      <c r="A27" s="6" t="s">
        <v>31</v>
      </c>
      <c r="B27" s="6">
        <v>11</v>
      </c>
      <c r="C27" s="9">
        <v>1E-4</v>
      </c>
      <c r="M27" s="6" t="s">
        <v>17</v>
      </c>
      <c r="N27" s="6">
        <v>5</v>
      </c>
      <c r="O27" s="9">
        <v>1E-4</v>
      </c>
      <c r="Y27" s="6" t="s">
        <v>16</v>
      </c>
      <c r="Z27" s="6">
        <v>3</v>
      </c>
      <c r="AA27" s="9">
        <v>1E-4</v>
      </c>
    </row>
    <row r="28" spans="1:31">
      <c r="A28" s="6" t="s">
        <v>16</v>
      </c>
      <c r="B28" s="6">
        <v>6</v>
      </c>
      <c r="C28" s="9">
        <v>1E-4</v>
      </c>
      <c r="M28" s="6" t="s">
        <v>8</v>
      </c>
      <c r="N28" s="6">
        <v>5</v>
      </c>
      <c r="O28" s="9">
        <v>1E-4</v>
      </c>
      <c r="Y28" s="6" t="s">
        <v>30</v>
      </c>
      <c r="Z28" s="6">
        <v>6</v>
      </c>
      <c r="AA28" s="9">
        <v>1E-4</v>
      </c>
    </row>
    <row r="29" spans="1:31">
      <c r="A29" s="6" t="s">
        <v>30</v>
      </c>
      <c r="B29" s="6">
        <v>10</v>
      </c>
      <c r="C29" s="9">
        <v>1E-4</v>
      </c>
      <c r="M29" s="6" t="s">
        <v>31</v>
      </c>
      <c r="N29" s="6">
        <v>5</v>
      </c>
      <c r="O29" s="9">
        <v>1E-4</v>
      </c>
      <c r="Y29" s="6" t="s">
        <v>40</v>
      </c>
      <c r="Z29" s="6">
        <v>4</v>
      </c>
      <c r="AA29" s="9">
        <v>1E-4</v>
      </c>
    </row>
    <row r="30" spans="1:31">
      <c r="A30" s="6" t="s">
        <v>26</v>
      </c>
      <c r="B30" s="6">
        <v>8</v>
      </c>
      <c r="C30" s="9">
        <v>1E-4</v>
      </c>
      <c r="M30" s="6" t="s">
        <v>16</v>
      </c>
      <c r="N30" s="6">
        <v>3</v>
      </c>
      <c r="O30" s="9">
        <v>1E-4</v>
      </c>
      <c r="Y30" s="6" t="s">
        <v>15</v>
      </c>
      <c r="Z30" s="6">
        <v>5</v>
      </c>
      <c r="AA30" s="9">
        <v>1E-4</v>
      </c>
    </row>
    <row r="31" spans="1:31">
      <c r="A31" s="6" t="s">
        <v>14</v>
      </c>
      <c r="B31" s="6">
        <v>7</v>
      </c>
      <c r="C31" s="9">
        <v>1E-4</v>
      </c>
      <c r="M31" s="6" t="s">
        <v>30</v>
      </c>
      <c r="N31" s="6">
        <v>4</v>
      </c>
      <c r="O31" s="9">
        <v>1E-4</v>
      </c>
      <c r="Y31" s="6" t="s">
        <v>25</v>
      </c>
      <c r="Z31" s="6">
        <v>4</v>
      </c>
      <c r="AA31" s="9">
        <v>1E-4</v>
      </c>
    </row>
    <row r="32" spans="1:31">
      <c r="A32" s="6" t="s">
        <v>15</v>
      </c>
      <c r="B32" s="6">
        <v>7</v>
      </c>
      <c r="C32" s="9">
        <v>1E-4</v>
      </c>
      <c r="M32" s="6" t="s">
        <v>37</v>
      </c>
      <c r="N32" s="6">
        <v>3</v>
      </c>
      <c r="O32" s="9">
        <v>1E-4</v>
      </c>
      <c r="Y32" s="6" t="s">
        <v>24</v>
      </c>
      <c r="Z32" s="6">
        <v>3</v>
      </c>
      <c r="AA32" s="9">
        <v>1E-4</v>
      </c>
    </row>
    <row r="33" spans="1:27">
      <c r="A33" s="6" t="s">
        <v>43</v>
      </c>
      <c r="B33" s="6">
        <v>6</v>
      </c>
      <c r="C33" s="9">
        <v>1E-4</v>
      </c>
      <c r="M33" s="6" t="s">
        <v>26</v>
      </c>
      <c r="N33" s="6">
        <v>2</v>
      </c>
      <c r="O33" s="9">
        <v>1E-4</v>
      </c>
      <c r="Y33" s="6" t="s">
        <v>33</v>
      </c>
      <c r="Z33" s="6">
        <v>3</v>
      </c>
      <c r="AA33" s="9">
        <v>1E-4</v>
      </c>
    </row>
    <row r="34" spans="1:27">
      <c r="A34" s="6" t="s">
        <v>24</v>
      </c>
      <c r="B34" s="6">
        <v>9</v>
      </c>
      <c r="C34" s="9">
        <v>1E-4</v>
      </c>
      <c r="M34" s="6" t="s">
        <v>39</v>
      </c>
      <c r="N34" s="6">
        <v>5</v>
      </c>
      <c r="O34" s="9">
        <v>1E-4</v>
      </c>
      <c r="Y34" s="6" t="s">
        <v>19</v>
      </c>
      <c r="Z34" s="6">
        <v>2</v>
      </c>
      <c r="AA34" s="30">
        <v>0</v>
      </c>
    </row>
    <row r="35" spans="1:27">
      <c r="A35" s="6" t="s">
        <v>27</v>
      </c>
      <c r="B35" s="6">
        <v>8</v>
      </c>
      <c r="C35" s="9">
        <v>1E-4</v>
      </c>
      <c r="M35" s="6" t="s">
        <v>15</v>
      </c>
      <c r="N35" s="6">
        <v>2</v>
      </c>
      <c r="O35" s="9">
        <v>1E-4</v>
      </c>
      <c r="Y35" s="6" t="s">
        <v>20</v>
      </c>
      <c r="Z35" s="6">
        <v>2</v>
      </c>
      <c r="AA35" s="30">
        <v>0</v>
      </c>
    </row>
    <row r="36" spans="1:27">
      <c r="A36" s="6" t="s">
        <v>25</v>
      </c>
      <c r="B36" s="6">
        <v>6</v>
      </c>
      <c r="C36" s="9">
        <v>1E-4</v>
      </c>
      <c r="M36" s="6" t="s">
        <v>38</v>
      </c>
      <c r="N36" s="6">
        <v>2</v>
      </c>
      <c r="O36" s="9">
        <v>1E-4</v>
      </c>
      <c r="Y36" s="6" t="s">
        <v>48</v>
      </c>
      <c r="Z36" s="6">
        <v>2</v>
      </c>
      <c r="AA36" s="30">
        <v>0</v>
      </c>
    </row>
    <row r="37" spans="1:27">
      <c r="A37" s="6" t="s">
        <v>39</v>
      </c>
      <c r="B37" s="6">
        <v>6</v>
      </c>
      <c r="C37" s="9">
        <v>1E-4</v>
      </c>
      <c r="M37" s="6" t="s">
        <v>25</v>
      </c>
      <c r="N37" s="6">
        <v>2</v>
      </c>
      <c r="O37" s="9">
        <v>1E-4</v>
      </c>
      <c r="Y37" s="6" t="s">
        <v>22</v>
      </c>
      <c r="Z37" s="6">
        <v>2</v>
      </c>
      <c r="AA37" s="30">
        <v>0</v>
      </c>
    </row>
    <row r="38" spans="1:27">
      <c r="A38" s="6" t="s">
        <v>19</v>
      </c>
      <c r="B38" s="6">
        <v>4</v>
      </c>
      <c r="C38" s="30">
        <v>0</v>
      </c>
      <c r="M38" s="6" t="s">
        <v>115</v>
      </c>
      <c r="N38" s="6">
        <v>1</v>
      </c>
      <c r="O38" s="30">
        <v>0</v>
      </c>
      <c r="Y38" s="6" t="s">
        <v>45</v>
      </c>
      <c r="Z38" s="6">
        <v>2</v>
      </c>
      <c r="AA38" s="30">
        <v>0</v>
      </c>
    </row>
    <row r="39" spans="1:27">
      <c r="A39" s="6" t="s">
        <v>115</v>
      </c>
      <c r="B39" s="6">
        <v>1</v>
      </c>
      <c r="C39" s="30">
        <v>0</v>
      </c>
      <c r="M39" s="6" t="s">
        <v>67</v>
      </c>
      <c r="N39" s="6">
        <v>1</v>
      </c>
      <c r="O39" s="30">
        <v>0</v>
      </c>
      <c r="Y39" s="6" t="s">
        <v>38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36</v>
      </c>
      <c r="N40" s="6">
        <v>1</v>
      </c>
      <c r="O40" s="30">
        <v>0</v>
      </c>
      <c r="Y40" s="6" t="s">
        <v>27</v>
      </c>
      <c r="Z40" s="6">
        <v>1</v>
      </c>
      <c r="AA40" s="30">
        <v>0</v>
      </c>
    </row>
    <row r="41" spans="1:27">
      <c r="A41" s="6" t="s">
        <v>36</v>
      </c>
      <c r="B41" s="6">
        <v>1</v>
      </c>
      <c r="C41" s="30">
        <v>0</v>
      </c>
      <c r="M41" s="6" t="s">
        <v>48</v>
      </c>
      <c r="N41" s="6">
        <v>1</v>
      </c>
      <c r="O41" s="30">
        <v>0</v>
      </c>
      <c r="Y41" s="6" t="s">
        <v>68</v>
      </c>
      <c r="Z41" s="6">
        <v>1</v>
      </c>
      <c r="AA41" s="30">
        <v>0</v>
      </c>
    </row>
    <row r="42" spans="1:27">
      <c r="A42" s="6" t="s">
        <v>45</v>
      </c>
      <c r="B42" s="6">
        <v>2</v>
      </c>
      <c r="C42" s="30">
        <v>0</v>
      </c>
      <c r="M42" s="6" t="s">
        <v>12</v>
      </c>
      <c r="N42" s="6">
        <v>1</v>
      </c>
      <c r="O42" s="30">
        <v>0</v>
      </c>
      <c r="Y42" s="6" t="s">
        <v>64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M43" s="6" t="s">
        <v>58</v>
      </c>
      <c r="N43" s="6">
        <v>1</v>
      </c>
      <c r="O43" s="30">
        <v>0</v>
      </c>
      <c r="Y43" s="6" t="s">
        <v>58</v>
      </c>
      <c r="Z43" s="6">
        <v>1</v>
      </c>
      <c r="AA43" s="30">
        <v>0</v>
      </c>
    </row>
    <row r="44" spans="1:27">
      <c r="A44" s="6" t="s">
        <v>38</v>
      </c>
      <c r="B44" s="6">
        <v>3</v>
      </c>
      <c r="C44" s="30">
        <v>0</v>
      </c>
      <c r="M44" s="6" t="s">
        <v>60</v>
      </c>
      <c r="N44" s="6">
        <v>1</v>
      </c>
      <c r="O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58</v>
      </c>
      <c r="B45" s="6">
        <v>2</v>
      </c>
      <c r="C45" s="30">
        <v>0</v>
      </c>
      <c r="M45" s="6" t="s">
        <v>32</v>
      </c>
      <c r="N45" s="6">
        <v>1</v>
      </c>
      <c r="O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33</v>
      </c>
      <c r="B46" s="6">
        <v>3</v>
      </c>
      <c r="C46" s="30">
        <v>0</v>
      </c>
      <c r="Y46" s="6" t="s">
        <v>124</v>
      </c>
      <c r="Z46" s="6">
        <v>1</v>
      </c>
      <c r="AA46" s="30">
        <v>0</v>
      </c>
    </row>
    <row r="47" spans="1:27">
      <c r="A47" s="6" t="s">
        <v>68</v>
      </c>
      <c r="B47" s="6">
        <v>1</v>
      </c>
      <c r="C47" s="30">
        <v>0</v>
      </c>
    </row>
    <row r="48" spans="1:27">
      <c r="A48" s="6" t="s">
        <v>42</v>
      </c>
      <c r="B48" s="6">
        <v>2</v>
      </c>
      <c r="C48" s="30">
        <v>0</v>
      </c>
    </row>
    <row r="49" spans="1:3">
      <c r="A49" s="6" t="s">
        <v>64</v>
      </c>
      <c r="B49" s="6">
        <v>1</v>
      </c>
      <c r="C49" s="30">
        <v>0</v>
      </c>
    </row>
    <row r="50" spans="1:3">
      <c r="A50" s="6" t="s">
        <v>32</v>
      </c>
      <c r="B50" s="6">
        <v>1</v>
      </c>
      <c r="C50" s="30">
        <v>0</v>
      </c>
    </row>
    <row r="51" spans="1:3">
      <c r="A51" s="6" t="s">
        <v>60</v>
      </c>
      <c r="B51" s="6">
        <v>1</v>
      </c>
      <c r="C51" s="30">
        <v>0</v>
      </c>
    </row>
    <row r="52" spans="1:3">
      <c r="A52" s="6" t="s">
        <v>124</v>
      </c>
      <c r="B52" s="6">
        <v>1</v>
      </c>
      <c r="C52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:W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D0463-882D-4E90-B9AC-6A8CFB3EDD74}">
  <sheetPr codeName="Sheet29"/>
  <dimension ref="A1:AI54"/>
  <sheetViews>
    <sheetView workbookViewId="0">
      <selection activeCell="B39" sqref="B3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92818</v>
      </c>
      <c r="E2" s="41" t="s">
        <v>4</v>
      </c>
      <c r="F2" s="23" t="s">
        <v>105</v>
      </c>
      <c r="G2" s="23">
        <f>G3+G4</f>
        <v>93380</v>
      </c>
      <c r="H2" s="22"/>
      <c r="I2" s="41" t="s">
        <v>6</v>
      </c>
      <c r="J2" s="23" t="s">
        <v>105</v>
      </c>
      <c r="K2" s="23">
        <f>K3+K4</f>
        <v>93372</v>
      </c>
      <c r="M2" s="41" t="s">
        <v>104</v>
      </c>
      <c r="N2" s="23" t="s">
        <v>105</v>
      </c>
      <c r="O2" s="23">
        <f>O3+O4</f>
        <v>29704</v>
      </c>
      <c r="Q2" s="41" t="s">
        <v>4</v>
      </c>
      <c r="R2" s="23" t="s">
        <v>105</v>
      </c>
      <c r="S2" s="23">
        <f>S3+S4</f>
        <v>34968</v>
      </c>
      <c r="T2" s="22"/>
      <c r="U2" s="41" t="s">
        <v>6</v>
      </c>
      <c r="V2" s="23" t="s">
        <v>105</v>
      </c>
      <c r="W2" s="23">
        <f>W3+W4</f>
        <v>36779</v>
      </c>
      <c r="Y2" s="41" t="s">
        <v>104</v>
      </c>
      <c r="Z2" s="23" t="s">
        <v>105</v>
      </c>
      <c r="AA2" s="23">
        <f>AA3+AA4</f>
        <v>63111</v>
      </c>
      <c r="AC2" s="41" t="s">
        <v>4</v>
      </c>
      <c r="AD2" s="23" t="s">
        <v>105</v>
      </c>
      <c r="AE2" s="23">
        <f>AE3+AE4</f>
        <v>58413</v>
      </c>
      <c r="AF2" s="22"/>
      <c r="AG2" s="41" t="s">
        <v>6</v>
      </c>
      <c r="AH2" s="23" t="s">
        <v>105</v>
      </c>
      <c r="AI2" s="23">
        <f>AI3+AI4</f>
        <v>56595</v>
      </c>
    </row>
    <row r="3" spans="1:35">
      <c r="A3" s="42"/>
      <c r="B3" s="24" t="s">
        <v>106</v>
      </c>
      <c r="C3" s="24">
        <f>B8</f>
        <v>91185</v>
      </c>
      <c r="E3" s="42"/>
      <c r="F3" s="24" t="s">
        <v>106</v>
      </c>
      <c r="G3" s="24">
        <f>F8</f>
        <v>93065</v>
      </c>
      <c r="H3" s="22"/>
      <c r="I3" s="42"/>
      <c r="J3" s="24" t="s">
        <v>106</v>
      </c>
      <c r="K3" s="24">
        <f>J8</f>
        <v>93300</v>
      </c>
      <c r="M3" s="42"/>
      <c r="N3" s="24" t="s">
        <v>106</v>
      </c>
      <c r="O3" s="24">
        <f>N8</f>
        <v>29361</v>
      </c>
      <c r="Q3" s="42"/>
      <c r="R3" s="24" t="s">
        <v>106</v>
      </c>
      <c r="S3" s="24">
        <f>R8</f>
        <v>34892</v>
      </c>
      <c r="T3" s="22"/>
      <c r="U3" s="42"/>
      <c r="V3" s="24" t="s">
        <v>106</v>
      </c>
      <c r="W3" s="24">
        <f>V8</f>
        <v>36753</v>
      </c>
      <c r="Y3" s="42"/>
      <c r="Z3" s="24" t="s">
        <v>106</v>
      </c>
      <c r="AA3" s="24">
        <f>Z8</f>
        <v>61824</v>
      </c>
      <c r="AC3" s="42"/>
      <c r="AD3" s="24" t="s">
        <v>106</v>
      </c>
      <c r="AE3" s="24">
        <f>AD8</f>
        <v>58173</v>
      </c>
      <c r="AF3" s="22"/>
      <c r="AG3" s="42"/>
      <c r="AH3" s="24" t="s">
        <v>106</v>
      </c>
      <c r="AI3" s="24">
        <f>AH8</f>
        <v>56547</v>
      </c>
    </row>
    <row r="4" spans="1:35">
      <c r="A4" s="42"/>
      <c r="B4" s="25" t="s">
        <v>107</v>
      </c>
      <c r="C4" s="25">
        <f>SUM(B9:B66)</f>
        <v>1633</v>
      </c>
      <c r="E4" s="42"/>
      <c r="F4" s="25" t="s">
        <v>107</v>
      </c>
      <c r="G4" s="25">
        <f>SUM(F9:F33)</f>
        <v>315</v>
      </c>
      <c r="H4" s="22"/>
      <c r="I4" s="42"/>
      <c r="J4" s="25" t="s">
        <v>107</v>
      </c>
      <c r="K4" s="25">
        <f>SUM(J9:J31)</f>
        <v>72</v>
      </c>
      <c r="M4" s="42"/>
      <c r="N4" s="25" t="s">
        <v>107</v>
      </c>
      <c r="O4" s="25">
        <f>SUM(N9:N66)</f>
        <v>343</v>
      </c>
      <c r="Q4" s="42"/>
      <c r="R4" s="25" t="s">
        <v>107</v>
      </c>
      <c r="S4" s="25">
        <f>SUM(R9:R33)</f>
        <v>76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1287</v>
      </c>
      <c r="AC4" s="42"/>
      <c r="AD4" s="25" t="s">
        <v>107</v>
      </c>
      <c r="AE4" s="25">
        <f>SUM(AD9:AD29)</f>
        <v>240</v>
      </c>
      <c r="AF4" s="22"/>
      <c r="AG4" s="42"/>
      <c r="AH4" s="25" t="s">
        <v>107</v>
      </c>
      <c r="AI4" s="25">
        <f>SUM(AH9:AH29)</f>
        <v>48</v>
      </c>
    </row>
    <row r="5" spans="1:35">
      <c r="A5" s="43"/>
      <c r="B5" s="23" t="s">
        <v>108</v>
      </c>
      <c r="C5" s="26">
        <f>SUM(C9:C179)</f>
        <v>1.7499999999999988E-2</v>
      </c>
      <c r="E5" s="43"/>
      <c r="F5" s="23" t="s">
        <v>108</v>
      </c>
      <c r="G5" s="26">
        <f>SUM(G9:G33)</f>
        <v>3.2999999999999987E-3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1.1199999999999995E-2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2.0399999999999995E-2</v>
      </c>
      <c r="AC5" s="43"/>
      <c r="AD5" s="23" t="s">
        <v>108</v>
      </c>
      <c r="AE5" s="26">
        <f>SUM(AE9:AE29)</f>
        <v>3.9999999999999992E-3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91185</v>
      </c>
      <c r="C8" s="9">
        <v>0.98240000000000005</v>
      </c>
      <c r="E8" s="6" t="s">
        <v>112</v>
      </c>
      <c r="F8" s="29">
        <v>93065</v>
      </c>
      <c r="G8" s="9">
        <v>0.99660000000000004</v>
      </c>
      <c r="I8" s="6" t="s">
        <v>112</v>
      </c>
      <c r="J8" s="29">
        <v>93300</v>
      </c>
      <c r="K8" s="9">
        <v>0.99919999999999998</v>
      </c>
      <c r="M8" s="6" t="s">
        <v>112</v>
      </c>
      <c r="N8" s="29">
        <v>29361</v>
      </c>
      <c r="O8" s="9">
        <v>0.98850000000000005</v>
      </c>
      <c r="Q8" s="6" t="s">
        <v>112</v>
      </c>
      <c r="R8" s="29">
        <v>34892</v>
      </c>
      <c r="S8" s="9">
        <v>0.99780000000000002</v>
      </c>
      <c r="U8" s="6" t="s">
        <v>112</v>
      </c>
      <c r="V8" s="29">
        <v>36753</v>
      </c>
      <c r="W8" s="9">
        <v>0.99929999999999997</v>
      </c>
      <c r="Y8" s="6" t="s">
        <v>112</v>
      </c>
      <c r="Z8" s="29">
        <v>61824</v>
      </c>
      <c r="AA8" s="9">
        <v>0.97960000000000003</v>
      </c>
      <c r="AC8" s="6" t="s">
        <v>112</v>
      </c>
      <c r="AD8" s="29">
        <v>58173</v>
      </c>
      <c r="AE8" s="9">
        <v>0.99590000000000001</v>
      </c>
      <c r="AG8" s="6" t="s">
        <v>112</v>
      </c>
      <c r="AH8" s="29">
        <v>56547</v>
      </c>
      <c r="AI8" s="9">
        <v>0.99919999999999998</v>
      </c>
    </row>
    <row r="9" spans="1:35">
      <c r="A9" s="6" t="s">
        <v>8</v>
      </c>
      <c r="B9" s="6">
        <v>326</v>
      </c>
      <c r="C9" s="9">
        <v>3.5000000000000001E-3</v>
      </c>
      <c r="E9" s="6" t="s">
        <v>122</v>
      </c>
      <c r="F9" s="6">
        <v>227</v>
      </c>
      <c r="G9" s="9">
        <v>2.3999999999999998E-3</v>
      </c>
      <c r="I9" s="6" t="s">
        <v>2</v>
      </c>
      <c r="J9" s="6">
        <v>24</v>
      </c>
      <c r="K9" s="9">
        <v>2.9999999999999997E-4</v>
      </c>
      <c r="M9" s="6" t="s">
        <v>2</v>
      </c>
      <c r="N9" s="6">
        <v>108</v>
      </c>
      <c r="O9" s="9">
        <v>3.5999999999999999E-3</v>
      </c>
      <c r="Q9" s="6" t="s">
        <v>122</v>
      </c>
      <c r="R9" s="6">
        <v>62</v>
      </c>
      <c r="S9" s="9">
        <v>1.8E-3</v>
      </c>
      <c r="U9" s="6" t="s">
        <v>98</v>
      </c>
      <c r="V9" s="6">
        <v>6</v>
      </c>
      <c r="W9" s="9">
        <v>2.0000000000000001E-4</v>
      </c>
      <c r="Y9" s="6" t="s">
        <v>8</v>
      </c>
      <c r="Z9" s="6">
        <v>323</v>
      </c>
      <c r="AA9" s="9">
        <v>5.1000000000000004E-3</v>
      </c>
      <c r="AC9" s="6" t="s">
        <v>122</v>
      </c>
      <c r="AD9" s="6">
        <v>165</v>
      </c>
      <c r="AE9" s="9">
        <v>2.8E-3</v>
      </c>
      <c r="AG9" s="6" t="s">
        <v>2</v>
      </c>
      <c r="AH9" s="6">
        <v>17</v>
      </c>
      <c r="AI9" s="9">
        <v>2.9999999999999997E-4</v>
      </c>
    </row>
    <row r="10" spans="1:35">
      <c r="A10" s="6" t="s">
        <v>9</v>
      </c>
      <c r="B10" s="6">
        <v>287</v>
      </c>
      <c r="C10" s="9">
        <v>3.0999999999999999E-3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19</v>
      </c>
      <c r="K10" s="9">
        <v>2.0000000000000001E-4</v>
      </c>
      <c r="M10" s="6" t="s">
        <v>3</v>
      </c>
      <c r="N10" s="6">
        <v>74</v>
      </c>
      <c r="O10" s="9">
        <v>2.5000000000000001E-3</v>
      </c>
      <c r="Q10" s="6" t="s">
        <v>92</v>
      </c>
      <c r="R10" s="6">
        <v>5</v>
      </c>
      <c r="S10" s="9">
        <v>1E-4</v>
      </c>
      <c r="U10" s="6" t="s">
        <v>99</v>
      </c>
      <c r="V10" s="6">
        <v>7</v>
      </c>
      <c r="W10" s="9">
        <v>2.0000000000000001E-4</v>
      </c>
      <c r="Y10" s="6" t="s">
        <v>9</v>
      </c>
      <c r="Z10" s="6">
        <v>281</v>
      </c>
      <c r="AA10" s="9">
        <v>4.4999999999999997E-3</v>
      </c>
      <c r="AC10" s="6" t="s">
        <v>83</v>
      </c>
      <c r="AD10" s="6">
        <v>31</v>
      </c>
      <c r="AE10" s="9">
        <v>5.0000000000000001E-4</v>
      </c>
      <c r="AG10" s="6" t="s">
        <v>98</v>
      </c>
      <c r="AH10" s="6">
        <v>13</v>
      </c>
      <c r="AI10" s="9">
        <v>2.0000000000000001E-4</v>
      </c>
    </row>
    <row r="11" spans="1:35">
      <c r="A11" s="6" t="s">
        <v>2</v>
      </c>
      <c r="B11" s="6">
        <v>290</v>
      </c>
      <c r="C11" s="9">
        <v>3.0999999999999999E-3</v>
      </c>
      <c r="E11" s="6" t="s">
        <v>92</v>
      </c>
      <c r="F11" s="6">
        <v>5</v>
      </c>
      <c r="G11" s="9">
        <v>1E-4</v>
      </c>
      <c r="I11" s="6" t="s">
        <v>99</v>
      </c>
      <c r="J11" s="6">
        <v>16</v>
      </c>
      <c r="K11" s="9">
        <v>2.0000000000000001E-4</v>
      </c>
      <c r="M11" s="6" t="s">
        <v>11</v>
      </c>
      <c r="N11" s="6">
        <v>27</v>
      </c>
      <c r="O11" s="9">
        <v>8.9999999999999998E-4</v>
      </c>
      <c r="Q11" s="6" t="s">
        <v>76</v>
      </c>
      <c r="R11" s="6">
        <v>4</v>
      </c>
      <c r="S11" s="9">
        <v>1E-4</v>
      </c>
      <c r="U11" s="6" t="s">
        <v>2</v>
      </c>
      <c r="V11" s="6">
        <v>7</v>
      </c>
      <c r="W11" s="9">
        <v>2.0000000000000001E-4</v>
      </c>
      <c r="Y11" s="6" t="s">
        <v>2</v>
      </c>
      <c r="Z11" s="6">
        <v>182</v>
      </c>
      <c r="AA11" s="9">
        <v>2.8999999999999998E-3</v>
      </c>
      <c r="AC11" s="6" t="s">
        <v>75</v>
      </c>
      <c r="AD11" s="6">
        <v>11</v>
      </c>
      <c r="AE11" s="9">
        <v>2.0000000000000001E-4</v>
      </c>
      <c r="AG11" s="6" t="s">
        <v>99</v>
      </c>
      <c r="AH11" s="6">
        <v>9</v>
      </c>
      <c r="AI11" s="9">
        <v>2.0000000000000001E-4</v>
      </c>
    </row>
    <row r="12" spans="1:35">
      <c r="A12" s="6" t="s">
        <v>3</v>
      </c>
      <c r="B12" s="6">
        <v>167</v>
      </c>
      <c r="C12" s="9">
        <v>1.8E-3</v>
      </c>
      <c r="E12" s="6" t="s">
        <v>76</v>
      </c>
      <c r="F12" s="6">
        <v>9</v>
      </c>
      <c r="G12" s="9">
        <v>1E-4</v>
      </c>
      <c r="I12" s="6" t="s">
        <v>102</v>
      </c>
      <c r="J12" s="6">
        <v>6</v>
      </c>
      <c r="K12" s="9">
        <v>1E-4</v>
      </c>
      <c r="M12" s="6" t="s">
        <v>7</v>
      </c>
      <c r="N12" s="6">
        <v>21</v>
      </c>
      <c r="O12" s="9">
        <v>6.9999999999999999E-4</v>
      </c>
      <c r="Q12" s="6" t="s">
        <v>74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93</v>
      </c>
      <c r="AA12" s="9">
        <v>1.5E-3</v>
      </c>
      <c r="AC12" s="6" t="s">
        <v>76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87</v>
      </c>
      <c r="C13" s="9">
        <v>8.9999999999999998E-4</v>
      </c>
      <c r="E13" s="6" t="s">
        <v>75</v>
      </c>
      <c r="F13" s="6">
        <v>11</v>
      </c>
      <c r="G13" s="9">
        <v>1E-4</v>
      </c>
      <c r="I13" s="6" t="s">
        <v>113</v>
      </c>
      <c r="J13" s="6">
        <v>5</v>
      </c>
      <c r="K13" s="9">
        <v>1E-4</v>
      </c>
      <c r="M13" s="6" t="s">
        <v>5</v>
      </c>
      <c r="N13" s="6">
        <v>9</v>
      </c>
      <c r="O13" s="9">
        <v>2.9999999999999997E-4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78</v>
      </c>
      <c r="AA13" s="9">
        <v>1.1999999999999999E-3</v>
      </c>
      <c r="AC13" s="6" t="s">
        <v>77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11</v>
      </c>
      <c r="B14" s="6">
        <v>78</v>
      </c>
      <c r="C14" s="9">
        <v>8.0000000000000004E-4</v>
      </c>
      <c r="E14" s="6" t="s">
        <v>77</v>
      </c>
      <c r="F14" s="6">
        <v>6</v>
      </c>
      <c r="G14" s="9">
        <v>1E-4</v>
      </c>
      <c r="I14" s="6" t="s">
        <v>117</v>
      </c>
      <c r="J14" s="6">
        <v>1</v>
      </c>
      <c r="K14" s="30">
        <v>0</v>
      </c>
      <c r="M14" s="6" t="s">
        <v>22</v>
      </c>
      <c r="N14" s="6">
        <v>9</v>
      </c>
      <c r="O14" s="9">
        <v>2.9999999999999997E-4</v>
      </c>
      <c r="Q14" s="6" t="s">
        <v>86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51</v>
      </c>
      <c r="AA14" s="9">
        <v>8.0000000000000004E-4</v>
      </c>
      <c r="AC14" s="6" t="s">
        <v>78</v>
      </c>
      <c r="AD14" s="6">
        <v>6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52</v>
      </c>
      <c r="C15" s="9">
        <v>5.9999999999999995E-4</v>
      </c>
      <c r="E15" s="6" t="s">
        <v>74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31</v>
      </c>
      <c r="N15" s="6">
        <v>10</v>
      </c>
      <c r="O15" s="9">
        <v>2.9999999999999997E-4</v>
      </c>
      <c r="Y15" s="6" t="s">
        <v>37</v>
      </c>
      <c r="Z15" s="6">
        <v>39</v>
      </c>
      <c r="AA15" s="9">
        <v>5.9999999999999995E-4</v>
      </c>
      <c r="AC15" s="6" t="s">
        <v>74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42</v>
      </c>
      <c r="C16" s="9">
        <v>5.0000000000000001E-4</v>
      </c>
      <c r="E16" s="6" t="s">
        <v>78</v>
      </c>
      <c r="F16" s="6">
        <v>6</v>
      </c>
      <c r="G16" s="9">
        <v>1E-4</v>
      </c>
      <c r="M16" s="6" t="s">
        <v>18</v>
      </c>
      <c r="N16" s="6">
        <v>8</v>
      </c>
      <c r="O16" s="9">
        <v>2.9999999999999997E-4</v>
      </c>
      <c r="Y16" s="6" t="s">
        <v>41</v>
      </c>
      <c r="Z16" s="6">
        <v>33</v>
      </c>
      <c r="AA16" s="9">
        <v>5.0000000000000001E-4</v>
      </c>
      <c r="AC16" s="6" t="s">
        <v>79</v>
      </c>
      <c r="AD16" s="6">
        <v>4</v>
      </c>
      <c r="AE16" s="9">
        <v>1E-4</v>
      </c>
    </row>
    <row r="17" spans="1:31">
      <c r="A17" s="6" t="s">
        <v>41</v>
      </c>
      <c r="B17" s="6">
        <v>36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21</v>
      </c>
      <c r="N17" s="6">
        <v>6</v>
      </c>
      <c r="O17" s="9">
        <v>2.0000000000000001E-4</v>
      </c>
      <c r="Y17" s="6" t="s">
        <v>7</v>
      </c>
      <c r="Z17" s="6">
        <v>31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18</v>
      </c>
      <c r="B18" s="6">
        <v>31</v>
      </c>
      <c r="C18" s="9">
        <v>2.9999999999999997E-4</v>
      </c>
      <c r="E18" s="6" t="s">
        <v>81</v>
      </c>
      <c r="F18" s="6">
        <v>2</v>
      </c>
      <c r="G18" s="30">
        <v>0</v>
      </c>
      <c r="M18" s="6" t="s">
        <v>9</v>
      </c>
      <c r="N18" s="6">
        <v>6</v>
      </c>
      <c r="O18" s="9">
        <v>2.0000000000000001E-4</v>
      </c>
      <c r="Y18" s="6" t="s">
        <v>18</v>
      </c>
      <c r="Z18" s="6">
        <v>23</v>
      </c>
      <c r="AA18" s="9">
        <v>4.0000000000000002E-4</v>
      </c>
      <c r="AC18" s="6" t="s">
        <v>81</v>
      </c>
      <c r="AD18" s="6">
        <v>2</v>
      </c>
      <c r="AE18" s="30">
        <v>0</v>
      </c>
    </row>
    <row r="19" spans="1:31">
      <c r="A19" s="6" t="s">
        <v>12</v>
      </c>
      <c r="B19" s="6">
        <v>29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10</v>
      </c>
      <c r="N19" s="6">
        <v>7</v>
      </c>
      <c r="O19" s="9">
        <v>2.0000000000000001E-4</v>
      </c>
      <c r="Y19" s="6" t="s">
        <v>12</v>
      </c>
      <c r="Z19" s="6">
        <v>25</v>
      </c>
      <c r="AA19" s="9">
        <v>4.0000000000000002E-4</v>
      </c>
      <c r="AC19" s="6" t="s">
        <v>82</v>
      </c>
      <c r="AD19" s="6">
        <v>1</v>
      </c>
      <c r="AE19" s="30">
        <v>0</v>
      </c>
    </row>
    <row r="20" spans="1:31">
      <c r="A20" s="6" t="s">
        <v>21</v>
      </c>
      <c r="B20" s="6">
        <v>16</v>
      </c>
      <c r="C20" s="9">
        <v>2.0000000000000001E-4</v>
      </c>
      <c r="E20" s="6" t="s">
        <v>79</v>
      </c>
      <c r="F20" s="6">
        <v>4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14</v>
      </c>
      <c r="Z20" s="6">
        <v>18</v>
      </c>
      <c r="AA20" s="9">
        <v>2.9999999999999997E-4</v>
      </c>
      <c r="AC20" s="6" t="s">
        <v>161</v>
      </c>
      <c r="AD20" s="6">
        <v>1</v>
      </c>
      <c r="AE20" s="30">
        <v>0</v>
      </c>
    </row>
    <row r="21" spans="1:31">
      <c r="A21" s="6" t="s">
        <v>17</v>
      </c>
      <c r="B21" s="6">
        <v>19</v>
      </c>
      <c r="C21" s="9">
        <v>2.0000000000000001E-4</v>
      </c>
      <c r="E21" s="6" t="s">
        <v>161</v>
      </c>
      <c r="F21" s="6">
        <v>1</v>
      </c>
      <c r="G21" s="30">
        <v>0</v>
      </c>
      <c r="M21" s="6" t="s">
        <v>29</v>
      </c>
      <c r="N21" s="6">
        <v>6</v>
      </c>
      <c r="O21" s="9">
        <v>2.0000000000000001E-4</v>
      </c>
      <c r="Y21" s="6" t="s">
        <v>21</v>
      </c>
      <c r="Z21" s="6">
        <v>10</v>
      </c>
      <c r="AA21" s="9">
        <v>2.0000000000000001E-4</v>
      </c>
      <c r="AC21" s="6" t="s">
        <v>120</v>
      </c>
      <c r="AD21" s="6">
        <v>1</v>
      </c>
      <c r="AE21" s="30">
        <v>0</v>
      </c>
    </row>
    <row r="22" spans="1:31">
      <c r="A22" s="6" t="s">
        <v>14</v>
      </c>
      <c r="B22" s="6">
        <v>18</v>
      </c>
      <c r="C22" s="9">
        <v>2.0000000000000001E-4</v>
      </c>
      <c r="E22" s="6" t="s">
        <v>120</v>
      </c>
      <c r="F22" s="6">
        <v>1</v>
      </c>
      <c r="G22" s="30">
        <v>0</v>
      </c>
      <c r="M22" s="6" t="s">
        <v>20</v>
      </c>
      <c r="N22" s="6">
        <v>2</v>
      </c>
      <c r="O22" s="9">
        <v>1E-4</v>
      </c>
      <c r="Y22" s="6" t="s">
        <v>17</v>
      </c>
      <c r="Z22" s="6">
        <v>13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16</v>
      </c>
      <c r="N23" s="6">
        <v>3</v>
      </c>
      <c r="O23" s="9">
        <v>1E-4</v>
      </c>
      <c r="Y23" s="6" t="s">
        <v>29</v>
      </c>
      <c r="Z23" s="6">
        <v>10</v>
      </c>
      <c r="AA23" s="9">
        <v>2.0000000000000001E-4</v>
      </c>
    </row>
    <row r="24" spans="1:31">
      <c r="A24" s="6" t="s">
        <v>10</v>
      </c>
      <c r="B24" s="6">
        <v>14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37</v>
      </c>
      <c r="N24" s="6">
        <v>3</v>
      </c>
      <c r="O24" s="9">
        <v>1E-4</v>
      </c>
      <c r="Y24" s="6" t="s">
        <v>19</v>
      </c>
      <c r="Z24" s="6">
        <v>4</v>
      </c>
      <c r="AA24" s="9">
        <v>1E-4</v>
      </c>
    </row>
    <row r="25" spans="1:31">
      <c r="A25" s="6" t="s">
        <v>29</v>
      </c>
      <c r="B25" s="6">
        <v>16</v>
      </c>
      <c r="C25" s="9">
        <v>2.0000000000000001E-4</v>
      </c>
      <c r="M25" s="6" t="s">
        <v>12</v>
      </c>
      <c r="N25" s="6">
        <v>4</v>
      </c>
      <c r="O25" s="9">
        <v>1E-4</v>
      </c>
      <c r="Y25" s="6" t="s">
        <v>16</v>
      </c>
      <c r="Z25" s="6">
        <v>7</v>
      </c>
      <c r="AA25" s="9">
        <v>1E-4</v>
      </c>
    </row>
    <row r="26" spans="1:31">
      <c r="A26" s="6" t="s">
        <v>22</v>
      </c>
      <c r="B26" s="6">
        <v>11</v>
      </c>
      <c r="C26" s="9">
        <v>1E-4</v>
      </c>
      <c r="M26" s="6" t="s">
        <v>43</v>
      </c>
      <c r="N26" s="6">
        <v>4</v>
      </c>
      <c r="O26" s="9">
        <v>1E-4</v>
      </c>
      <c r="Y26" s="6" t="s">
        <v>10</v>
      </c>
      <c r="Z26" s="6">
        <v>7</v>
      </c>
      <c r="AA26" s="9">
        <v>1E-4</v>
      </c>
    </row>
    <row r="27" spans="1:31">
      <c r="A27" s="6" t="s">
        <v>16</v>
      </c>
      <c r="B27" s="6">
        <v>10</v>
      </c>
      <c r="C27" s="9">
        <v>1E-4</v>
      </c>
      <c r="M27" s="6" t="s">
        <v>8</v>
      </c>
      <c r="N27" s="6">
        <v>3</v>
      </c>
      <c r="O27" s="9">
        <v>1E-4</v>
      </c>
      <c r="Y27" s="6" t="s">
        <v>31</v>
      </c>
      <c r="Z27" s="6">
        <v>9</v>
      </c>
      <c r="AA27" s="9">
        <v>1E-4</v>
      </c>
    </row>
    <row r="28" spans="1:31">
      <c r="A28" s="6" t="s">
        <v>40</v>
      </c>
      <c r="B28" s="6">
        <v>7</v>
      </c>
      <c r="C28" s="9">
        <v>1E-4</v>
      </c>
      <c r="M28" s="6" t="s">
        <v>26</v>
      </c>
      <c r="N28" s="6">
        <v>4</v>
      </c>
      <c r="O28" s="9">
        <v>1E-4</v>
      </c>
      <c r="Y28" s="6" t="s">
        <v>40</v>
      </c>
      <c r="Z28" s="6">
        <v>5</v>
      </c>
      <c r="AA28" s="9">
        <v>1E-4</v>
      </c>
    </row>
    <row r="29" spans="1:31">
      <c r="A29" s="6" t="s">
        <v>30</v>
      </c>
      <c r="B29" s="6">
        <v>8</v>
      </c>
      <c r="C29" s="9">
        <v>1E-4</v>
      </c>
      <c r="M29" s="6" t="s">
        <v>41</v>
      </c>
      <c r="N29" s="6">
        <v>3</v>
      </c>
      <c r="O29" s="9">
        <v>1E-4</v>
      </c>
      <c r="Y29" s="6" t="s">
        <v>30</v>
      </c>
      <c r="Z29" s="6">
        <v>7</v>
      </c>
      <c r="AA29" s="9">
        <v>1E-4</v>
      </c>
    </row>
    <row r="30" spans="1:31">
      <c r="A30" s="6" t="s">
        <v>15</v>
      </c>
      <c r="B30" s="6">
        <v>5</v>
      </c>
      <c r="C30" s="9">
        <v>1E-4</v>
      </c>
      <c r="M30" s="6" t="s">
        <v>40</v>
      </c>
      <c r="N30" s="6">
        <v>2</v>
      </c>
      <c r="O30" s="9">
        <v>1E-4</v>
      </c>
      <c r="Y30" s="6" t="s">
        <v>15</v>
      </c>
      <c r="Z30" s="6">
        <v>4</v>
      </c>
      <c r="AA30" s="9">
        <v>1E-4</v>
      </c>
    </row>
    <row r="31" spans="1:31">
      <c r="A31" s="6" t="s">
        <v>26</v>
      </c>
      <c r="B31" s="6">
        <v>8</v>
      </c>
      <c r="C31" s="9">
        <v>1E-4</v>
      </c>
      <c r="M31" s="6" t="s">
        <v>58</v>
      </c>
      <c r="N31" s="6">
        <v>2</v>
      </c>
      <c r="O31" s="9">
        <v>1E-4</v>
      </c>
      <c r="Y31" s="6" t="s">
        <v>24</v>
      </c>
      <c r="Z31" s="6">
        <v>5</v>
      </c>
      <c r="AA31" s="9">
        <v>1E-4</v>
      </c>
    </row>
    <row r="32" spans="1:31">
      <c r="A32" s="6" t="s">
        <v>24</v>
      </c>
      <c r="B32" s="6">
        <v>5</v>
      </c>
      <c r="C32" s="9">
        <v>1E-4</v>
      </c>
      <c r="M32" s="6" t="s">
        <v>32</v>
      </c>
      <c r="N32" s="6">
        <v>2</v>
      </c>
      <c r="O32" s="9">
        <v>1E-4</v>
      </c>
      <c r="Y32" s="6" t="s">
        <v>26</v>
      </c>
      <c r="Z32" s="6">
        <v>4</v>
      </c>
      <c r="AA32" s="9">
        <v>1E-4</v>
      </c>
    </row>
    <row r="33" spans="1:27">
      <c r="A33" s="6" t="s">
        <v>38</v>
      </c>
      <c r="B33" s="6">
        <v>5</v>
      </c>
      <c r="C33" s="9">
        <v>1E-4</v>
      </c>
      <c r="M33" s="6" t="s">
        <v>27</v>
      </c>
      <c r="N33" s="6">
        <v>2</v>
      </c>
      <c r="O33" s="9">
        <v>1E-4</v>
      </c>
      <c r="Y33" s="6" t="s">
        <v>38</v>
      </c>
      <c r="Z33" s="6">
        <v>4</v>
      </c>
      <c r="AA33" s="9">
        <v>1E-4</v>
      </c>
    </row>
    <row r="34" spans="1:27">
      <c r="A34" s="6" t="s">
        <v>32</v>
      </c>
      <c r="B34" s="6">
        <v>5</v>
      </c>
      <c r="C34" s="9">
        <v>1E-4</v>
      </c>
      <c r="M34" s="6" t="s">
        <v>33</v>
      </c>
      <c r="N34" s="6">
        <v>2</v>
      </c>
      <c r="O34" s="9">
        <v>1E-4</v>
      </c>
      <c r="Y34" s="6" t="s">
        <v>27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45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19</v>
      </c>
      <c r="B36" s="6">
        <v>4</v>
      </c>
      <c r="C36" s="30">
        <v>0</v>
      </c>
      <c r="M36" s="6" t="s">
        <v>36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48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60</v>
      </c>
      <c r="N38" s="6">
        <v>1</v>
      </c>
      <c r="O38" s="30">
        <v>0</v>
      </c>
      <c r="Y38" s="6" t="s">
        <v>13</v>
      </c>
      <c r="Z38" s="6">
        <v>1</v>
      </c>
      <c r="AA38" s="30">
        <v>0</v>
      </c>
    </row>
    <row r="39" spans="1:27">
      <c r="A39" s="6" t="s">
        <v>45</v>
      </c>
      <c r="B39" s="6">
        <v>1</v>
      </c>
      <c r="C39" s="30">
        <v>0</v>
      </c>
      <c r="M39" s="6" t="s">
        <v>30</v>
      </c>
      <c r="N39" s="6">
        <v>1</v>
      </c>
      <c r="O39" s="30">
        <v>0</v>
      </c>
      <c r="Y39" s="6" t="s">
        <v>20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57</v>
      </c>
      <c r="N40" s="6">
        <v>1</v>
      </c>
      <c r="O40" s="30">
        <v>0</v>
      </c>
      <c r="Y40" s="6" t="s">
        <v>67</v>
      </c>
      <c r="Z40" s="6">
        <v>1</v>
      </c>
      <c r="AA40" s="30">
        <v>0</v>
      </c>
    </row>
    <row r="41" spans="1:27">
      <c r="A41" s="6" t="s">
        <v>20</v>
      </c>
      <c r="B41" s="6">
        <v>3</v>
      </c>
      <c r="C41" s="30">
        <v>0</v>
      </c>
      <c r="M41" s="6" t="s">
        <v>15</v>
      </c>
      <c r="N41" s="6">
        <v>1</v>
      </c>
      <c r="O41" s="30">
        <v>0</v>
      </c>
      <c r="Y41" s="6" t="s">
        <v>32</v>
      </c>
      <c r="Z41" s="6">
        <v>3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39</v>
      </c>
      <c r="N42" s="6">
        <v>1</v>
      </c>
      <c r="O42" s="30">
        <v>0</v>
      </c>
      <c r="Y42" s="6" t="s">
        <v>68</v>
      </c>
      <c r="Z42" s="6">
        <v>2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28</v>
      </c>
      <c r="N43" s="6">
        <v>1</v>
      </c>
      <c r="O43" s="30">
        <v>0</v>
      </c>
      <c r="Y43" s="6" t="s">
        <v>39</v>
      </c>
      <c r="Z43" s="6">
        <v>1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M44" s="6" t="s">
        <v>38</v>
      </c>
      <c r="N44" s="6">
        <v>1</v>
      </c>
      <c r="O44" s="30">
        <v>0</v>
      </c>
      <c r="Y44" s="6" t="s">
        <v>22</v>
      </c>
      <c r="Z44" s="6">
        <v>2</v>
      </c>
      <c r="AA44" s="30">
        <v>0</v>
      </c>
    </row>
    <row r="45" spans="1:27">
      <c r="A45" s="6" t="s">
        <v>43</v>
      </c>
      <c r="B45" s="6">
        <v>4</v>
      </c>
      <c r="C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39</v>
      </c>
      <c r="B46" s="6">
        <v>2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68</v>
      </c>
      <c r="B47" s="6">
        <v>2</v>
      </c>
      <c r="C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42</v>
      </c>
      <c r="B48" s="6">
        <v>2</v>
      </c>
      <c r="C48" s="30">
        <v>0</v>
      </c>
      <c r="Y48" s="6" t="s">
        <v>25</v>
      </c>
      <c r="Z48" s="6">
        <v>1</v>
      </c>
      <c r="AA48" s="30">
        <v>0</v>
      </c>
    </row>
    <row r="49" spans="1:3">
      <c r="A49" s="6" t="s">
        <v>33</v>
      </c>
      <c r="B49" s="6">
        <v>3</v>
      </c>
      <c r="C49" s="30">
        <v>0</v>
      </c>
    </row>
    <row r="50" spans="1:3">
      <c r="A50" s="6" t="s">
        <v>28</v>
      </c>
      <c r="B50" s="6">
        <v>2</v>
      </c>
      <c r="C50" s="30">
        <v>0</v>
      </c>
    </row>
    <row r="51" spans="1:3">
      <c r="A51" s="6" t="s">
        <v>58</v>
      </c>
      <c r="B51" s="6">
        <v>2</v>
      </c>
      <c r="C51" s="30">
        <v>0</v>
      </c>
    </row>
    <row r="52" spans="1:3">
      <c r="A52" s="6" t="s">
        <v>60</v>
      </c>
      <c r="B52" s="6">
        <v>1</v>
      </c>
      <c r="C52" s="30">
        <v>0</v>
      </c>
    </row>
    <row r="53" spans="1:3">
      <c r="A53" s="6" t="s">
        <v>57</v>
      </c>
      <c r="B53" s="6">
        <v>1</v>
      </c>
      <c r="C53" s="30">
        <v>0</v>
      </c>
    </row>
    <row r="54" spans="1:3">
      <c r="A54" s="6" t="s">
        <v>25</v>
      </c>
      <c r="B54" s="6">
        <v>1</v>
      </c>
      <c r="C5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:W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CC9A8-2A12-4D30-84A5-E622D5AE0D65}">
  <sheetPr codeName="Sheet30"/>
  <dimension ref="A1:AI52"/>
  <sheetViews>
    <sheetView topLeftCell="R1" workbookViewId="0">
      <selection activeCell="V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93607</v>
      </c>
      <c r="E2" s="41" t="s">
        <v>4</v>
      </c>
      <c r="F2" s="23" t="s">
        <v>105</v>
      </c>
      <c r="G2" s="23">
        <f>G3+G4</f>
        <v>93648</v>
      </c>
      <c r="H2" s="22"/>
      <c r="I2" s="41" t="s">
        <v>6</v>
      </c>
      <c r="J2" s="23" t="s">
        <v>105</v>
      </c>
      <c r="K2" s="23">
        <f>K3+K4</f>
        <v>96813</v>
      </c>
      <c r="M2" s="41" t="s">
        <v>104</v>
      </c>
      <c r="N2" s="23" t="s">
        <v>105</v>
      </c>
      <c r="O2" s="23">
        <f>O3+O4</f>
        <v>33198</v>
      </c>
      <c r="Q2" s="41" t="s">
        <v>4</v>
      </c>
      <c r="R2" s="23" t="s">
        <v>105</v>
      </c>
      <c r="S2" s="23">
        <f>S3+S4</f>
        <v>29017</v>
      </c>
      <c r="T2" s="22"/>
      <c r="U2" s="41" t="s">
        <v>6</v>
      </c>
      <c r="V2" s="23" t="s">
        <v>105</v>
      </c>
      <c r="W2" s="23">
        <f>W3+W4</f>
        <v>29084</v>
      </c>
      <c r="Y2" s="41" t="s">
        <v>104</v>
      </c>
      <c r="Z2" s="23" t="s">
        <v>105</v>
      </c>
      <c r="AA2" s="23">
        <f>AA3+AA4</f>
        <v>60407</v>
      </c>
      <c r="AC2" s="41" t="s">
        <v>4</v>
      </c>
      <c r="AD2" s="23" t="s">
        <v>105</v>
      </c>
      <c r="AE2" s="23">
        <f>AE3+AE4</f>
        <v>64632</v>
      </c>
      <c r="AF2" s="22"/>
      <c r="AG2" s="41" t="s">
        <v>6</v>
      </c>
      <c r="AH2" s="23" t="s">
        <v>105</v>
      </c>
      <c r="AI2" s="23">
        <f>AI3+AI4</f>
        <v>67730</v>
      </c>
    </row>
    <row r="3" spans="1:35">
      <c r="A3" s="42"/>
      <c r="B3" s="24" t="s">
        <v>106</v>
      </c>
      <c r="C3" s="24">
        <f>B8</f>
        <v>92189</v>
      </c>
      <c r="E3" s="42"/>
      <c r="F3" s="24" t="s">
        <v>106</v>
      </c>
      <c r="G3" s="24">
        <f>F8</f>
        <v>93373</v>
      </c>
      <c r="H3" s="22"/>
      <c r="I3" s="42"/>
      <c r="J3" s="24" t="s">
        <v>106</v>
      </c>
      <c r="K3" s="24">
        <f>J8</f>
        <v>96718</v>
      </c>
      <c r="M3" s="42"/>
      <c r="N3" s="24" t="s">
        <v>106</v>
      </c>
      <c r="O3" s="24">
        <f>N8</f>
        <v>32838</v>
      </c>
      <c r="Q3" s="42"/>
      <c r="R3" s="24" t="s">
        <v>106</v>
      </c>
      <c r="S3" s="24">
        <f>R8</f>
        <v>28963</v>
      </c>
      <c r="T3" s="22"/>
      <c r="U3" s="42"/>
      <c r="V3" s="24" t="s">
        <v>106</v>
      </c>
      <c r="W3" s="24">
        <f>V8</f>
        <v>29050</v>
      </c>
      <c r="Y3" s="42"/>
      <c r="Z3" s="24" t="s">
        <v>106</v>
      </c>
      <c r="AA3" s="24">
        <f>Z8</f>
        <v>59354</v>
      </c>
      <c r="AC3" s="42"/>
      <c r="AD3" s="24" t="s">
        <v>106</v>
      </c>
      <c r="AE3" s="24">
        <f>AD8</f>
        <v>64410</v>
      </c>
      <c r="AF3" s="22"/>
      <c r="AG3" s="42"/>
      <c r="AH3" s="24" t="s">
        <v>106</v>
      </c>
      <c r="AI3" s="24">
        <f>AH8</f>
        <v>67668</v>
      </c>
    </row>
    <row r="4" spans="1:35">
      <c r="A4" s="42"/>
      <c r="B4" s="25" t="s">
        <v>107</v>
      </c>
      <c r="C4" s="25">
        <f>SUM(B9:B66)</f>
        <v>1418</v>
      </c>
      <c r="E4" s="42"/>
      <c r="F4" s="25" t="s">
        <v>107</v>
      </c>
      <c r="G4" s="25">
        <f>SUM(F9:F33)</f>
        <v>275</v>
      </c>
      <c r="H4" s="22"/>
      <c r="I4" s="42"/>
      <c r="J4" s="25" t="s">
        <v>107</v>
      </c>
      <c r="K4" s="25">
        <f>SUM(J9:J31)</f>
        <v>95</v>
      </c>
      <c r="M4" s="42"/>
      <c r="N4" s="25" t="s">
        <v>107</v>
      </c>
      <c r="O4" s="25">
        <f>SUM(N9:N66)</f>
        <v>360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34</v>
      </c>
      <c r="Y4" s="42"/>
      <c r="Z4" s="25" t="s">
        <v>107</v>
      </c>
      <c r="AA4" s="25">
        <f>SUM(Z9:Z45)</f>
        <v>1053</v>
      </c>
      <c r="AC4" s="42"/>
      <c r="AD4" s="25" t="s">
        <v>107</v>
      </c>
      <c r="AE4" s="25">
        <f>SUM(AD9:AD29)</f>
        <v>222</v>
      </c>
      <c r="AF4" s="22"/>
      <c r="AG4" s="42"/>
      <c r="AH4" s="25" t="s">
        <v>107</v>
      </c>
      <c r="AI4" s="25">
        <f>SUM(AH9:AH29)</f>
        <v>62</v>
      </c>
    </row>
    <row r="5" spans="1:35">
      <c r="A5" s="43"/>
      <c r="B5" s="23" t="s">
        <v>108</v>
      </c>
      <c r="C5" s="26">
        <f>SUM(C9:C179)</f>
        <v>1.5099999999999994E-2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1.0799999999999997E-2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1.709999999999999E-2</v>
      </c>
      <c r="AC5" s="43"/>
      <c r="AD5" s="23" t="s">
        <v>108</v>
      </c>
      <c r="AE5" s="26">
        <f>SUM(AE9:AE29)</f>
        <v>3.3999999999999994E-3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92189</v>
      </c>
      <c r="C8" s="9">
        <v>0.9849</v>
      </c>
      <c r="E8" s="6" t="s">
        <v>112</v>
      </c>
      <c r="F8" s="29">
        <v>93373</v>
      </c>
      <c r="G8" s="9">
        <v>0.99709999999999999</v>
      </c>
      <c r="I8" s="6" t="s">
        <v>112</v>
      </c>
      <c r="J8" s="29">
        <v>96718</v>
      </c>
      <c r="K8" s="9">
        <v>0.999</v>
      </c>
      <c r="M8" s="6" t="s">
        <v>112</v>
      </c>
      <c r="N8" s="29">
        <v>32838</v>
      </c>
      <c r="O8" s="9">
        <v>0.98919999999999997</v>
      </c>
      <c r="Q8" s="6" t="s">
        <v>112</v>
      </c>
      <c r="R8" s="29">
        <v>28963</v>
      </c>
      <c r="S8" s="9">
        <v>0.99809999999999999</v>
      </c>
      <c r="U8" s="6" t="s">
        <v>112</v>
      </c>
      <c r="V8" s="29">
        <v>29050</v>
      </c>
      <c r="W8" s="9">
        <v>0.99880000000000002</v>
      </c>
      <c r="Y8" s="6" t="s">
        <v>112</v>
      </c>
      <c r="Z8" s="29">
        <v>59354</v>
      </c>
      <c r="AA8" s="9">
        <v>0.98250000000000004</v>
      </c>
      <c r="AC8" s="6" t="s">
        <v>112</v>
      </c>
      <c r="AD8" s="29">
        <v>64410</v>
      </c>
      <c r="AE8" s="9">
        <v>0.99660000000000004</v>
      </c>
      <c r="AG8" s="6" t="s">
        <v>112</v>
      </c>
      <c r="AH8" s="29">
        <v>67668</v>
      </c>
      <c r="AI8" s="9">
        <v>0.99909999999999999</v>
      </c>
    </row>
    <row r="9" spans="1:35">
      <c r="A9" s="6" t="s">
        <v>9</v>
      </c>
      <c r="B9" s="6">
        <v>276</v>
      </c>
      <c r="C9" s="9">
        <v>2.8999999999999998E-3</v>
      </c>
      <c r="E9" s="6" t="s">
        <v>122</v>
      </c>
      <c r="F9" s="6">
        <v>165</v>
      </c>
      <c r="G9" s="9">
        <v>1.8E-3</v>
      </c>
      <c r="I9" s="6" t="s">
        <v>2</v>
      </c>
      <c r="J9" s="6">
        <v>41</v>
      </c>
      <c r="K9" s="9">
        <v>4.0000000000000002E-4</v>
      </c>
      <c r="M9" s="6" t="s">
        <v>2</v>
      </c>
      <c r="N9" s="6">
        <v>100</v>
      </c>
      <c r="O9" s="9">
        <v>3.0000000000000001E-3</v>
      </c>
      <c r="Q9" s="6" t="s">
        <v>122</v>
      </c>
      <c r="R9" s="6">
        <v>42</v>
      </c>
      <c r="S9" s="9">
        <v>1.4E-3</v>
      </c>
      <c r="U9" s="6" t="s">
        <v>99</v>
      </c>
      <c r="V9" s="6">
        <v>11</v>
      </c>
      <c r="W9" s="9">
        <v>4.0000000000000002E-4</v>
      </c>
      <c r="Y9" s="6" t="s">
        <v>9</v>
      </c>
      <c r="Z9" s="6">
        <v>257</v>
      </c>
      <c r="AA9" s="9">
        <v>4.3E-3</v>
      </c>
      <c r="AC9" s="6" t="s">
        <v>122</v>
      </c>
      <c r="AD9" s="6">
        <v>123</v>
      </c>
      <c r="AE9" s="9">
        <v>1.9E-3</v>
      </c>
      <c r="AG9" s="6" t="s">
        <v>2</v>
      </c>
      <c r="AH9" s="6">
        <v>31</v>
      </c>
      <c r="AI9" s="9">
        <v>5.0000000000000001E-4</v>
      </c>
    </row>
    <row r="10" spans="1:35">
      <c r="A10" s="6" t="s">
        <v>2</v>
      </c>
      <c r="B10" s="6">
        <v>257</v>
      </c>
      <c r="C10" s="9">
        <v>2.7000000000000001E-3</v>
      </c>
      <c r="E10" s="6" t="s">
        <v>83</v>
      </c>
      <c r="F10" s="6">
        <v>57</v>
      </c>
      <c r="G10" s="9">
        <v>5.9999999999999995E-4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69</v>
      </c>
      <c r="O10" s="9">
        <v>2.0999999999999999E-3</v>
      </c>
      <c r="Q10" s="6" t="s">
        <v>92</v>
      </c>
      <c r="R10" s="6">
        <v>2</v>
      </c>
      <c r="S10" s="9">
        <v>1E-4</v>
      </c>
      <c r="U10" s="6" t="s">
        <v>2</v>
      </c>
      <c r="V10" s="6">
        <v>10</v>
      </c>
      <c r="W10" s="9">
        <v>2.9999999999999997E-4</v>
      </c>
      <c r="Y10" s="6" t="s">
        <v>2</v>
      </c>
      <c r="Z10" s="6">
        <v>157</v>
      </c>
      <c r="AA10" s="9">
        <v>2.5999999999999999E-3</v>
      </c>
      <c r="AC10" s="6" t="s">
        <v>83</v>
      </c>
      <c r="AD10" s="6">
        <v>57</v>
      </c>
      <c r="AE10" s="9">
        <v>8.9999999999999998E-4</v>
      </c>
      <c r="AG10" s="6" t="s">
        <v>98</v>
      </c>
      <c r="AH10" s="6">
        <v>13</v>
      </c>
      <c r="AI10" s="9">
        <v>2.0000000000000001E-4</v>
      </c>
    </row>
    <row r="11" spans="1:35">
      <c r="A11" s="6" t="s">
        <v>3</v>
      </c>
      <c r="B11" s="6">
        <v>185</v>
      </c>
      <c r="C11" s="9">
        <v>2E-3</v>
      </c>
      <c r="E11" s="6" t="s">
        <v>76</v>
      </c>
      <c r="F11" s="6">
        <v>6</v>
      </c>
      <c r="G11" s="9">
        <v>1E-4</v>
      </c>
      <c r="I11" s="6" t="s">
        <v>99</v>
      </c>
      <c r="J11" s="6">
        <v>18</v>
      </c>
      <c r="K11" s="9">
        <v>2.0000000000000001E-4</v>
      </c>
      <c r="M11" s="6" t="s">
        <v>7</v>
      </c>
      <c r="N11" s="6">
        <v>30</v>
      </c>
      <c r="O11" s="9">
        <v>8.9999999999999998E-4</v>
      </c>
      <c r="Q11" s="6" t="s">
        <v>74</v>
      </c>
      <c r="R11" s="6">
        <v>4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8</v>
      </c>
      <c r="Z11" s="6">
        <v>127</v>
      </c>
      <c r="AA11" s="9">
        <v>2.0999999999999999E-3</v>
      </c>
      <c r="AC11" s="6" t="s">
        <v>77</v>
      </c>
      <c r="AD11" s="6">
        <v>11</v>
      </c>
      <c r="AE11" s="9">
        <v>2.0000000000000001E-4</v>
      </c>
      <c r="AG11" s="6" t="s">
        <v>102</v>
      </c>
      <c r="AH11" s="6">
        <v>6</v>
      </c>
      <c r="AI11" s="9">
        <v>1E-4</v>
      </c>
    </row>
    <row r="12" spans="1:35">
      <c r="A12" s="6" t="s">
        <v>8</v>
      </c>
      <c r="B12" s="6">
        <v>140</v>
      </c>
      <c r="C12" s="9">
        <v>1.5E-3</v>
      </c>
      <c r="E12" s="6" t="s">
        <v>77</v>
      </c>
      <c r="F12" s="6">
        <v>12</v>
      </c>
      <c r="G12" s="9">
        <v>1E-4</v>
      </c>
      <c r="I12" s="6" t="s">
        <v>102</v>
      </c>
      <c r="J12" s="6">
        <v>8</v>
      </c>
      <c r="K12" s="9">
        <v>1E-4</v>
      </c>
      <c r="M12" s="6" t="s">
        <v>11</v>
      </c>
      <c r="N12" s="6">
        <v>21</v>
      </c>
      <c r="O12" s="9">
        <v>5.9999999999999995E-4</v>
      </c>
      <c r="Q12" s="6" t="s">
        <v>86</v>
      </c>
      <c r="R12" s="6">
        <v>2</v>
      </c>
      <c r="S12" s="9">
        <v>1E-4</v>
      </c>
      <c r="U12" s="6" t="s">
        <v>102</v>
      </c>
      <c r="V12" s="6">
        <v>2</v>
      </c>
      <c r="W12" s="9">
        <v>1E-4</v>
      </c>
      <c r="Y12" s="6" t="s">
        <v>3</v>
      </c>
      <c r="Z12" s="6">
        <v>116</v>
      </c>
      <c r="AA12" s="9">
        <v>1.9E-3</v>
      </c>
      <c r="AC12" s="6" t="s">
        <v>76</v>
      </c>
      <c r="AD12" s="6">
        <v>6</v>
      </c>
      <c r="AE12" s="9">
        <v>1E-4</v>
      </c>
      <c r="AG12" s="6" t="s">
        <v>99</v>
      </c>
      <c r="AH12" s="6">
        <v>7</v>
      </c>
      <c r="AI12" s="9">
        <v>1E-4</v>
      </c>
    </row>
    <row r="13" spans="1:35">
      <c r="A13" s="6" t="s">
        <v>5</v>
      </c>
      <c r="B13" s="6">
        <v>84</v>
      </c>
      <c r="C13" s="9">
        <v>8.9999999999999998E-4</v>
      </c>
      <c r="E13" s="6" t="s">
        <v>74</v>
      </c>
      <c r="F13" s="6">
        <v>11</v>
      </c>
      <c r="G13" s="9">
        <v>1E-4</v>
      </c>
      <c r="I13" s="6" t="s">
        <v>113</v>
      </c>
      <c r="J13" s="6">
        <v>7</v>
      </c>
      <c r="K13" s="9">
        <v>1E-4</v>
      </c>
      <c r="M13" s="6" t="s">
        <v>9</v>
      </c>
      <c r="N13" s="6">
        <v>19</v>
      </c>
      <c r="O13" s="9">
        <v>5.9999999999999995E-4</v>
      </c>
      <c r="Q13" s="6" t="s">
        <v>154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5</v>
      </c>
      <c r="Z13" s="6">
        <v>75</v>
      </c>
      <c r="AA13" s="9">
        <v>1.1999999999999999E-3</v>
      </c>
      <c r="AC13" s="6" t="s">
        <v>74</v>
      </c>
      <c r="AD13" s="6">
        <v>7</v>
      </c>
      <c r="AE13" s="9">
        <v>1E-4</v>
      </c>
      <c r="AG13" s="6" t="s">
        <v>117</v>
      </c>
      <c r="AH13" s="6">
        <v>1</v>
      </c>
      <c r="AI13" s="30">
        <v>0</v>
      </c>
    </row>
    <row r="14" spans="1:35">
      <c r="A14" s="6" t="s">
        <v>7</v>
      </c>
      <c r="B14" s="6">
        <v>62</v>
      </c>
      <c r="C14" s="9">
        <v>6.9999999999999999E-4</v>
      </c>
      <c r="E14" s="6" t="s">
        <v>75</v>
      </c>
      <c r="F14" s="6">
        <v>6</v>
      </c>
      <c r="G14" s="9">
        <v>1E-4</v>
      </c>
      <c r="I14" s="6" t="s">
        <v>117</v>
      </c>
      <c r="J14" s="6">
        <v>1</v>
      </c>
      <c r="K14" s="30">
        <v>0</v>
      </c>
      <c r="M14" s="6" t="s">
        <v>18</v>
      </c>
      <c r="N14" s="6">
        <v>12</v>
      </c>
      <c r="O14" s="9">
        <v>4.0000000000000002E-4</v>
      </c>
      <c r="Q14" s="6" t="s">
        <v>81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37</v>
      </c>
      <c r="Z14" s="6">
        <v>42</v>
      </c>
      <c r="AA14" s="9">
        <v>6.9999999999999999E-4</v>
      </c>
      <c r="AC14" s="6" t="s">
        <v>75</v>
      </c>
      <c r="AD14" s="6">
        <v>6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11</v>
      </c>
      <c r="B15" s="6">
        <v>58</v>
      </c>
      <c r="C15" s="9">
        <v>5.9999999999999995E-4</v>
      </c>
      <c r="E15" s="6" t="s">
        <v>79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13</v>
      </c>
      <c r="O15" s="9">
        <v>4.0000000000000002E-4</v>
      </c>
      <c r="Q15" s="6" t="s">
        <v>77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11</v>
      </c>
      <c r="Z15" s="6">
        <v>37</v>
      </c>
      <c r="AA15" s="9">
        <v>5.9999999999999995E-4</v>
      </c>
      <c r="AC15" s="6" t="s">
        <v>79</v>
      </c>
      <c r="AD15" s="6">
        <v>5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37</v>
      </c>
      <c r="B16" s="6">
        <v>44</v>
      </c>
      <c r="C16" s="9">
        <v>5.0000000000000001E-4</v>
      </c>
      <c r="E16" s="6" t="s">
        <v>92</v>
      </c>
      <c r="F16" s="6">
        <v>3</v>
      </c>
      <c r="G16" s="30">
        <v>0</v>
      </c>
      <c r="I16" s="6" t="s">
        <v>103</v>
      </c>
      <c r="J16" s="6">
        <v>1</v>
      </c>
      <c r="K16" s="30">
        <v>0</v>
      </c>
      <c r="M16" s="6" t="s">
        <v>8</v>
      </c>
      <c r="N16" s="6">
        <v>13</v>
      </c>
      <c r="O16" s="9">
        <v>4.0000000000000002E-4</v>
      </c>
      <c r="Q16" s="6" t="s">
        <v>80</v>
      </c>
      <c r="R16" s="6">
        <v>1</v>
      </c>
      <c r="S16" s="30">
        <v>0</v>
      </c>
      <c r="Y16" s="6" t="s">
        <v>12</v>
      </c>
      <c r="Z16" s="6">
        <v>29</v>
      </c>
      <c r="AA16" s="9">
        <v>5.0000000000000001E-4</v>
      </c>
      <c r="AC16" s="6" t="s">
        <v>92</v>
      </c>
      <c r="AD16" s="6">
        <v>1</v>
      </c>
      <c r="AE16" s="30">
        <v>0</v>
      </c>
    </row>
    <row r="17" spans="1:31">
      <c r="A17" s="6" t="s">
        <v>41</v>
      </c>
      <c r="B17" s="6">
        <v>35</v>
      </c>
      <c r="C17" s="9">
        <v>4.0000000000000002E-4</v>
      </c>
      <c r="E17" s="6" t="s">
        <v>87</v>
      </c>
      <c r="F17" s="6">
        <v>1</v>
      </c>
      <c r="G17" s="30">
        <v>0</v>
      </c>
      <c r="M17" s="6" t="s">
        <v>5</v>
      </c>
      <c r="N17" s="6">
        <v>9</v>
      </c>
      <c r="O17" s="9">
        <v>2.9999999999999997E-4</v>
      </c>
      <c r="Y17" s="6" t="s">
        <v>7</v>
      </c>
      <c r="Z17" s="6">
        <v>32</v>
      </c>
      <c r="AA17" s="9">
        <v>5.0000000000000001E-4</v>
      </c>
      <c r="AC17" s="6" t="s">
        <v>87</v>
      </c>
      <c r="AD17" s="6">
        <v>1</v>
      </c>
      <c r="AE17" s="30">
        <v>0</v>
      </c>
    </row>
    <row r="18" spans="1:31">
      <c r="A18" s="6" t="s">
        <v>18</v>
      </c>
      <c r="B18" s="6">
        <v>26</v>
      </c>
      <c r="C18" s="9">
        <v>2.9999999999999997E-4</v>
      </c>
      <c r="E18" s="6" t="s">
        <v>80</v>
      </c>
      <c r="F18" s="6">
        <v>2</v>
      </c>
      <c r="G18" s="30">
        <v>0</v>
      </c>
      <c r="M18" s="6" t="s">
        <v>22</v>
      </c>
      <c r="N18" s="6">
        <v>8</v>
      </c>
      <c r="O18" s="9">
        <v>2.0000000000000001E-4</v>
      </c>
      <c r="Y18" s="6" t="s">
        <v>14</v>
      </c>
      <c r="Z18" s="6">
        <v>22</v>
      </c>
      <c r="AA18" s="9">
        <v>4.0000000000000002E-4</v>
      </c>
      <c r="AC18" s="6" t="s">
        <v>80</v>
      </c>
      <c r="AD18" s="6">
        <v>2</v>
      </c>
      <c r="AE18" s="30">
        <v>0</v>
      </c>
    </row>
    <row r="19" spans="1:31">
      <c r="A19" s="6" t="s">
        <v>12</v>
      </c>
      <c r="B19" s="6">
        <v>29</v>
      </c>
      <c r="C19" s="9">
        <v>2.9999999999999997E-4</v>
      </c>
      <c r="E19" s="6" t="s">
        <v>81</v>
      </c>
      <c r="F19" s="6">
        <v>1</v>
      </c>
      <c r="G19" s="30">
        <v>0</v>
      </c>
      <c r="M19" s="6" t="s">
        <v>10</v>
      </c>
      <c r="N19" s="6">
        <v>7</v>
      </c>
      <c r="O19" s="9">
        <v>2.0000000000000001E-4</v>
      </c>
      <c r="Y19" s="6" t="s">
        <v>41</v>
      </c>
      <c r="Z19" s="6">
        <v>22</v>
      </c>
      <c r="AA19" s="9">
        <v>4.0000000000000002E-4</v>
      </c>
      <c r="AC19" s="6" t="s">
        <v>89</v>
      </c>
      <c r="AD19" s="6">
        <v>1</v>
      </c>
      <c r="AE19" s="30">
        <v>0</v>
      </c>
    </row>
    <row r="20" spans="1:31">
      <c r="A20" s="6" t="s">
        <v>17</v>
      </c>
      <c r="B20" s="6">
        <v>21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17</v>
      </c>
      <c r="Z20" s="6">
        <v>15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14</v>
      </c>
      <c r="B21" s="6">
        <v>23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18</v>
      </c>
      <c r="Z21" s="6">
        <v>14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1">
      <c r="A22" s="6" t="s">
        <v>10</v>
      </c>
      <c r="B22" s="6">
        <v>15</v>
      </c>
      <c r="C22" s="9">
        <v>2.0000000000000001E-4</v>
      </c>
      <c r="E22" s="6" t="s">
        <v>154</v>
      </c>
      <c r="F22" s="6">
        <v>1</v>
      </c>
      <c r="G22" s="30">
        <v>0</v>
      </c>
      <c r="M22" s="6" t="s">
        <v>29</v>
      </c>
      <c r="N22" s="6">
        <v>6</v>
      </c>
      <c r="O22" s="9">
        <v>2.0000000000000001E-4</v>
      </c>
      <c r="Y22" s="6" t="s">
        <v>29</v>
      </c>
      <c r="Z22" s="6">
        <v>12</v>
      </c>
      <c r="AA22" s="9">
        <v>2.0000000000000001E-4</v>
      </c>
    </row>
    <row r="23" spans="1:31">
      <c r="A23" s="6" t="s">
        <v>22</v>
      </c>
      <c r="B23" s="6">
        <v>16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30</v>
      </c>
      <c r="N23" s="6">
        <v>6</v>
      </c>
      <c r="O23" s="9">
        <v>2.0000000000000001E-4</v>
      </c>
      <c r="Y23" s="6" t="s">
        <v>115</v>
      </c>
      <c r="Z23" s="6">
        <v>4</v>
      </c>
      <c r="AA23" s="9">
        <v>1E-4</v>
      </c>
    </row>
    <row r="24" spans="1:31">
      <c r="A24" s="6" t="s">
        <v>29</v>
      </c>
      <c r="B24" s="6">
        <v>18</v>
      </c>
      <c r="C24" s="9">
        <v>2.0000000000000001E-4</v>
      </c>
      <c r="E24" s="6" t="s">
        <v>78</v>
      </c>
      <c r="F24" s="6">
        <v>1</v>
      </c>
      <c r="G24" s="30">
        <v>0</v>
      </c>
      <c r="M24" s="6" t="s">
        <v>19</v>
      </c>
      <c r="N24" s="6">
        <v>4</v>
      </c>
      <c r="O24" s="9">
        <v>1E-4</v>
      </c>
      <c r="Y24" s="6" t="s">
        <v>21</v>
      </c>
      <c r="Z24" s="6">
        <v>9</v>
      </c>
      <c r="AA24" s="9">
        <v>1E-4</v>
      </c>
    </row>
    <row r="25" spans="1:31">
      <c r="A25" s="6" t="s">
        <v>19</v>
      </c>
      <c r="B25" s="6">
        <v>7</v>
      </c>
      <c r="C25" s="9">
        <v>1E-4</v>
      </c>
      <c r="M25" s="6" t="s">
        <v>21</v>
      </c>
      <c r="N25" s="6">
        <v>2</v>
      </c>
      <c r="O25" s="9">
        <v>1E-4</v>
      </c>
      <c r="Y25" s="6" t="s">
        <v>10</v>
      </c>
      <c r="Z25" s="6">
        <v>8</v>
      </c>
      <c r="AA25" s="9">
        <v>1E-4</v>
      </c>
    </row>
    <row r="26" spans="1:31">
      <c r="A26" s="6" t="s">
        <v>115</v>
      </c>
      <c r="B26" s="6">
        <v>5</v>
      </c>
      <c r="C26" s="9">
        <v>1E-4</v>
      </c>
      <c r="M26" s="6" t="s">
        <v>36</v>
      </c>
      <c r="N26" s="6">
        <v>2</v>
      </c>
      <c r="O26" s="9">
        <v>1E-4</v>
      </c>
      <c r="Y26" s="6" t="s">
        <v>16</v>
      </c>
      <c r="Z26" s="6">
        <v>5</v>
      </c>
      <c r="AA26" s="9">
        <v>1E-4</v>
      </c>
    </row>
    <row r="27" spans="1:31">
      <c r="A27" s="6" t="s">
        <v>21</v>
      </c>
      <c r="B27" s="6">
        <v>11</v>
      </c>
      <c r="C27" s="9">
        <v>1E-4</v>
      </c>
      <c r="M27" s="6" t="s">
        <v>37</v>
      </c>
      <c r="N27" s="6">
        <v>2</v>
      </c>
      <c r="O27" s="9">
        <v>1E-4</v>
      </c>
      <c r="Y27" s="6" t="s">
        <v>22</v>
      </c>
      <c r="Z27" s="6">
        <v>8</v>
      </c>
      <c r="AA27" s="9">
        <v>1E-4</v>
      </c>
    </row>
    <row r="28" spans="1:31">
      <c r="A28" s="6" t="s">
        <v>16</v>
      </c>
      <c r="B28" s="6">
        <v>7</v>
      </c>
      <c r="C28" s="9">
        <v>1E-4</v>
      </c>
      <c r="M28" s="6" t="s">
        <v>16</v>
      </c>
      <c r="N28" s="6">
        <v>2</v>
      </c>
      <c r="O28" s="9">
        <v>1E-4</v>
      </c>
      <c r="Y28" s="6" t="s">
        <v>24</v>
      </c>
      <c r="Z28" s="6">
        <v>7</v>
      </c>
      <c r="AA28" s="9">
        <v>1E-4</v>
      </c>
    </row>
    <row r="29" spans="1:31">
      <c r="A29" s="6" t="s">
        <v>36</v>
      </c>
      <c r="B29" s="6">
        <v>5</v>
      </c>
      <c r="C29" s="9">
        <v>1E-4</v>
      </c>
      <c r="M29" s="6" t="s">
        <v>40</v>
      </c>
      <c r="N29" s="6">
        <v>3</v>
      </c>
      <c r="O29" s="9">
        <v>1E-4</v>
      </c>
      <c r="Y29" s="6" t="s">
        <v>30</v>
      </c>
      <c r="Z29" s="6">
        <v>5</v>
      </c>
      <c r="AA29" s="9">
        <v>1E-4</v>
      </c>
    </row>
    <row r="30" spans="1:31">
      <c r="A30" s="6" t="s">
        <v>31</v>
      </c>
      <c r="B30" s="6">
        <v>13</v>
      </c>
      <c r="C30" s="9">
        <v>1E-4</v>
      </c>
      <c r="M30" s="6" t="s">
        <v>25</v>
      </c>
      <c r="N30" s="6">
        <v>4</v>
      </c>
      <c r="O30" s="9">
        <v>1E-4</v>
      </c>
      <c r="Y30" s="6" t="s">
        <v>31</v>
      </c>
      <c r="Z30" s="6">
        <v>6</v>
      </c>
      <c r="AA30" s="9">
        <v>1E-4</v>
      </c>
    </row>
    <row r="31" spans="1:31">
      <c r="A31" s="6" t="s">
        <v>30</v>
      </c>
      <c r="B31" s="6">
        <v>11</v>
      </c>
      <c r="C31" s="9">
        <v>1E-4</v>
      </c>
      <c r="M31" s="6" t="s">
        <v>32</v>
      </c>
      <c r="N31" s="6">
        <v>2</v>
      </c>
      <c r="O31" s="9">
        <v>1E-4</v>
      </c>
      <c r="Y31" s="6" t="s">
        <v>25</v>
      </c>
      <c r="Z31" s="6">
        <v>6</v>
      </c>
      <c r="AA31" s="9">
        <v>1E-4</v>
      </c>
    </row>
    <row r="32" spans="1:31">
      <c r="A32" s="6" t="s">
        <v>24</v>
      </c>
      <c r="B32" s="6">
        <v>8</v>
      </c>
      <c r="C32" s="9">
        <v>1E-4</v>
      </c>
      <c r="M32" s="6" t="s">
        <v>38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40</v>
      </c>
      <c r="B33" s="6">
        <v>6</v>
      </c>
      <c r="C33" s="9">
        <v>1E-4</v>
      </c>
      <c r="M33" s="6" t="s">
        <v>67</v>
      </c>
      <c r="N33" s="6">
        <v>1</v>
      </c>
      <c r="O33" s="30">
        <v>0</v>
      </c>
      <c r="Y33" s="6" t="s">
        <v>38</v>
      </c>
      <c r="Z33" s="6">
        <v>5</v>
      </c>
      <c r="AA33" s="9">
        <v>1E-4</v>
      </c>
    </row>
    <row r="34" spans="1:27">
      <c r="A34" s="6" t="s">
        <v>25</v>
      </c>
      <c r="B34" s="6">
        <v>10</v>
      </c>
      <c r="C34" s="9">
        <v>1E-4</v>
      </c>
      <c r="M34" s="6" t="s">
        <v>115</v>
      </c>
      <c r="N34" s="6">
        <v>1</v>
      </c>
      <c r="O34" s="30">
        <v>0</v>
      </c>
      <c r="Y34" s="6" t="s">
        <v>60</v>
      </c>
      <c r="Z34" s="6">
        <v>4</v>
      </c>
      <c r="AA34" s="9">
        <v>1E-4</v>
      </c>
    </row>
    <row r="35" spans="1:27">
      <c r="A35" s="6" t="s">
        <v>38</v>
      </c>
      <c r="B35" s="6">
        <v>7</v>
      </c>
      <c r="C35" s="9">
        <v>1E-4</v>
      </c>
      <c r="M35" s="6" t="s">
        <v>45</v>
      </c>
      <c r="N35" s="6">
        <v>1</v>
      </c>
      <c r="O35" s="30">
        <v>0</v>
      </c>
      <c r="Y35" s="6" t="s">
        <v>27</v>
      </c>
      <c r="Z35" s="6">
        <v>6</v>
      </c>
      <c r="AA35" s="9">
        <v>1E-4</v>
      </c>
    </row>
    <row r="36" spans="1:27">
      <c r="A36" s="6" t="s">
        <v>26</v>
      </c>
      <c r="B36" s="6">
        <v>6</v>
      </c>
      <c r="C36" s="9">
        <v>1E-4</v>
      </c>
      <c r="M36" s="6" t="s">
        <v>24</v>
      </c>
      <c r="N36" s="6">
        <v>1</v>
      </c>
      <c r="O36" s="30">
        <v>0</v>
      </c>
      <c r="Y36" s="6" t="s">
        <v>19</v>
      </c>
      <c r="Z36" s="6">
        <v>3</v>
      </c>
      <c r="AA36" s="30">
        <v>0</v>
      </c>
    </row>
    <row r="37" spans="1:27">
      <c r="A37" s="6" t="s">
        <v>27</v>
      </c>
      <c r="B37" s="6">
        <v>7</v>
      </c>
      <c r="C37" s="9">
        <v>1E-4</v>
      </c>
      <c r="M37" s="6" t="s">
        <v>15</v>
      </c>
      <c r="N37" s="6">
        <v>1</v>
      </c>
      <c r="O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20</v>
      </c>
      <c r="B38" s="6">
        <v>3</v>
      </c>
      <c r="C38" s="30">
        <v>0</v>
      </c>
      <c r="M38" s="6" t="s">
        <v>14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45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36</v>
      </c>
      <c r="Z39" s="6">
        <v>3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26</v>
      </c>
      <c r="N40" s="6">
        <v>1</v>
      </c>
      <c r="O40" s="30">
        <v>0</v>
      </c>
      <c r="Y40" s="6" t="s">
        <v>40</v>
      </c>
      <c r="Z40" s="6">
        <v>3</v>
      </c>
      <c r="AA40" s="30">
        <v>0</v>
      </c>
    </row>
    <row r="41" spans="1:27">
      <c r="A41" s="6" t="s">
        <v>15</v>
      </c>
      <c r="B41" s="6">
        <v>2</v>
      </c>
      <c r="C41" s="30">
        <v>0</v>
      </c>
      <c r="M41" s="6" t="s">
        <v>69</v>
      </c>
      <c r="N41" s="6">
        <v>1</v>
      </c>
      <c r="O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60</v>
      </c>
      <c r="B42" s="6">
        <v>4</v>
      </c>
      <c r="C42" s="30">
        <v>0</v>
      </c>
      <c r="M42" s="6" t="s">
        <v>39</v>
      </c>
      <c r="N42" s="6">
        <v>1</v>
      </c>
      <c r="O42" s="30">
        <v>0</v>
      </c>
      <c r="Y42" s="6" t="s">
        <v>65</v>
      </c>
      <c r="Z42" s="6">
        <v>1</v>
      </c>
      <c r="AA42" s="30">
        <v>0</v>
      </c>
    </row>
    <row r="43" spans="1:27">
      <c r="A43" s="6" t="s">
        <v>62</v>
      </c>
      <c r="B43" s="6">
        <v>1</v>
      </c>
      <c r="C43" s="30">
        <v>0</v>
      </c>
      <c r="M43" s="6" t="s">
        <v>27</v>
      </c>
      <c r="N43" s="6">
        <v>1</v>
      </c>
      <c r="O43" s="30">
        <v>0</v>
      </c>
      <c r="Y43" s="6" t="s">
        <v>62</v>
      </c>
      <c r="Z43" s="6">
        <v>1</v>
      </c>
      <c r="AA43" s="30">
        <v>0</v>
      </c>
    </row>
    <row r="44" spans="1:27">
      <c r="A44" s="6" t="s">
        <v>65</v>
      </c>
      <c r="B44" s="6">
        <v>1</v>
      </c>
      <c r="C44" s="30">
        <v>0</v>
      </c>
      <c r="Y44" s="6" t="s">
        <v>155</v>
      </c>
      <c r="Z44" s="6">
        <v>1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58</v>
      </c>
      <c r="Z45" s="6">
        <v>1</v>
      </c>
      <c r="AA45" s="30">
        <v>0</v>
      </c>
    </row>
    <row r="46" spans="1:27">
      <c r="A46" s="6" t="s">
        <v>32</v>
      </c>
      <c r="B46" s="6">
        <v>2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48</v>
      </c>
      <c r="Z47" s="6">
        <v>1</v>
      </c>
      <c r="AA47" s="30">
        <v>0</v>
      </c>
    </row>
    <row r="48" spans="1:27">
      <c r="A48" s="6" t="s">
        <v>39</v>
      </c>
      <c r="B48" s="6">
        <v>2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39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</row>
    <row r="51" spans="1:27">
      <c r="A51" s="6" t="s">
        <v>42</v>
      </c>
      <c r="B51" s="6">
        <v>1</v>
      </c>
      <c r="C51" s="30">
        <v>0</v>
      </c>
    </row>
    <row r="52" spans="1:27">
      <c r="A52" s="6" t="s">
        <v>69</v>
      </c>
      <c r="B52" s="6">
        <v>1</v>
      </c>
      <c r="C52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91EF9-360F-464A-B04A-3FB3D2A581C5}">
  <sheetPr codeName="Sheet31"/>
  <dimension ref="A1:AI54"/>
  <sheetViews>
    <sheetView topLeftCell="M1" workbookViewId="0">
      <selection activeCell="AC27" sqref="AC2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100470</v>
      </c>
      <c r="E2" s="41" t="s">
        <v>4</v>
      </c>
      <c r="F2" s="23" t="s">
        <v>105</v>
      </c>
      <c r="G2" s="23">
        <f>G3+G4</f>
        <v>98065</v>
      </c>
      <c r="H2" s="22"/>
      <c r="I2" s="41" t="s">
        <v>6</v>
      </c>
      <c r="J2" s="23" t="s">
        <v>105</v>
      </c>
      <c r="K2" s="23">
        <f>K3+K4</f>
        <v>94043</v>
      </c>
      <c r="M2" s="41" t="s">
        <v>104</v>
      </c>
      <c r="N2" s="23" t="s">
        <v>105</v>
      </c>
      <c r="O2" s="23">
        <f>O3+O4</f>
        <v>41851</v>
      </c>
      <c r="Q2" s="41" t="s">
        <v>4</v>
      </c>
      <c r="R2" s="23" t="s">
        <v>105</v>
      </c>
      <c r="S2" s="23">
        <f>S3+S4</f>
        <v>41706</v>
      </c>
      <c r="T2" s="22"/>
      <c r="U2" s="41" t="s">
        <v>6</v>
      </c>
      <c r="V2" s="23" t="s">
        <v>105</v>
      </c>
      <c r="W2" s="23">
        <f>W3+W4</f>
        <v>40918</v>
      </c>
      <c r="Y2" s="41" t="s">
        <v>104</v>
      </c>
      <c r="Z2" s="23" t="s">
        <v>105</v>
      </c>
      <c r="AA2" s="23">
        <f>AA3+AA4</f>
        <v>58616</v>
      </c>
      <c r="AC2" s="41" t="s">
        <v>4</v>
      </c>
      <c r="AD2" s="23" t="s">
        <v>105</v>
      </c>
      <c r="AE2" s="23">
        <f>AE3+AE4</f>
        <v>56360</v>
      </c>
      <c r="AF2" s="22"/>
      <c r="AG2" s="41" t="s">
        <v>6</v>
      </c>
      <c r="AH2" s="23" t="s">
        <v>105</v>
      </c>
      <c r="AI2" s="23">
        <f>AI3+AI4</f>
        <v>53127</v>
      </c>
    </row>
    <row r="3" spans="1:35">
      <c r="A3" s="42"/>
      <c r="B3" s="24" t="s">
        <v>106</v>
      </c>
      <c r="C3" s="24">
        <f>B8</f>
        <v>99073</v>
      </c>
      <c r="E3" s="42"/>
      <c r="F3" s="24" t="s">
        <v>106</v>
      </c>
      <c r="G3" s="24">
        <f>F8</f>
        <v>97782</v>
      </c>
      <c r="H3" s="22"/>
      <c r="I3" s="42"/>
      <c r="J3" s="24" t="s">
        <v>106</v>
      </c>
      <c r="K3" s="24">
        <f>J8</f>
        <v>93962</v>
      </c>
      <c r="M3" s="42"/>
      <c r="N3" s="24" t="s">
        <v>106</v>
      </c>
      <c r="O3" s="24">
        <f>N8</f>
        <v>41372</v>
      </c>
      <c r="Q3" s="42"/>
      <c r="R3" s="24" t="s">
        <v>106</v>
      </c>
      <c r="S3" s="24">
        <f>R8</f>
        <v>41601</v>
      </c>
      <c r="T3" s="22"/>
      <c r="U3" s="42"/>
      <c r="V3" s="24" t="s">
        <v>106</v>
      </c>
      <c r="W3" s="24">
        <f>V8</f>
        <v>40886</v>
      </c>
      <c r="Y3" s="42"/>
      <c r="Z3" s="24" t="s">
        <v>106</v>
      </c>
      <c r="AA3" s="24">
        <f>Z8</f>
        <v>57701</v>
      </c>
      <c r="AC3" s="42"/>
      <c r="AD3" s="24" t="s">
        <v>106</v>
      </c>
      <c r="AE3" s="24">
        <f>AD8</f>
        <v>56181</v>
      </c>
      <c r="AF3" s="22"/>
      <c r="AG3" s="42"/>
      <c r="AH3" s="24" t="s">
        <v>106</v>
      </c>
      <c r="AI3" s="24">
        <f>AH8</f>
        <v>53076</v>
      </c>
    </row>
    <row r="4" spans="1:35">
      <c r="A4" s="42"/>
      <c r="B4" s="25" t="s">
        <v>107</v>
      </c>
      <c r="C4" s="25">
        <f>SUM(B9:B66)</f>
        <v>1397</v>
      </c>
      <c r="E4" s="42"/>
      <c r="F4" s="25" t="s">
        <v>107</v>
      </c>
      <c r="G4" s="25">
        <f>SUM(F9:F33)</f>
        <v>283</v>
      </c>
      <c r="H4" s="22"/>
      <c r="I4" s="42"/>
      <c r="J4" s="25" t="s">
        <v>107</v>
      </c>
      <c r="K4" s="25">
        <f>SUM(J9:J31)</f>
        <v>81</v>
      </c>
      <c r="M4" s="42"/>
      <c r="N4" s="25" t="s">
        <v>107</v>
      </c>
      <c r="O4" s="25">
        <f>SUM(N9:N66)</f>
        <v>479</v>
      </c>
      <c r="Q4" s="42"/>
      <c r="R4" s="25" t="s">
        <v>107</v>
      </c>
      <c r="S4" s="25">
        <f>SUM(R9:R33)</f>
        <v>105</v>
      </c>
      <c r="T4" s="22"/>
      <c r="U4" s="42"/>
      <c r="V4" s="25" t="s">
        <v>107</v>
      </c>
      <c r="W4" s="25">
        <f>SUM(V9:V31)</f>
        <v>32</v>
      </c>
      <c r="Y4" s="42"/>
      <c r="Z4" s="25" t="s">
        <v>107</v>
      </c>
      <c r="AA4" s="25">
        <f>SUM(Z9:Z45)</f>
        <v>915</v>
      </c>
      <c r="AC4" s="42"/>
      <c r="AD4" s="25" t="s">
        <v>107</v>
      </c>
      <c r="AE4" s="25">
        <f>SUM(AD9:AD29)</f>
        <v>179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1.3499999999999993E-2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1.0999999999999996E-2</v>
      </c>
      <c r="Q5" s="43"/>
      <c r="R5" s="23" t="s">
        <v>108</v>
      </c>
      <c r="S5" s="26">
        <f>SUM(S9:S33)</f>
        <v>2.3E-3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1.5599999999999992E-2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99073</v>
      </c>
      <c r="C8" s="9">
        <v>0.98609999999999998</v>
      </c>
      <c r="E8" s="6" t="s">
        <v>112</v>
      </c>
      <c r="F8" s="29">
        <v>97782</v>
      </c>
      <c r="G8" s="9">
        <v>0.99709999999999999</v>
      </c>
      <c r="I8" s="6" t="s">
        <v>112</v>
      </c>
      <c r="J8" s="29">
        <v>93962</v>
      </c>
      <c r="K8" s="9">
        <v>0.99909999999999999</v>
      </c>
      <c r="M8" s="6" t="s">
        <v>112</v>
      </c>
      <c r="N8" s="29">
        <v>41372</v>
      </c>
      <c r="O8" s="9">
        <v>0.98860000000000003</v>
      </c>
      <c r="Q8" s="6" t="s">
        <v>112</v>
      </c>
      <c r="R8" s="29">
        <v>41601</v>
      </c>
      <c r="S8" s="9">
        <v>0.99750000000000005</v>
      </c>
      <c r="U8" s="6" t="s">
        <v>112</v>
      </c>
      <c r="V8" s="29">
        <v>40886</v>
      </c>
      <c r="W8" s="9">
        <v>0.99919999999999998</v>
      </c>
      <c r="Y8" s="6" t="s">
        <v>112</v>
      </c>
      <c r="Z8" s="29">
        <v>57701</v>
      </c>
      <c r="AA8" s="9">
        <v>0.98429999999999995</v>
      </c>
      <c r="AC8" s="6" t="s">
        <v>112</v>
      </c>
      <c r="AD8" s="29">
        <v>56181</v>
      </c>
      <c r="AE8" s="9">
        <v>0.99680000000000002</v>
      </c>
      <c r="AG8" s="6" t="s">
        <v>112</v>
      </c>
      <c r="AH8" s="29">
        <v>53076</v>
      </c>
      <c r="AI8" s="9">
        <v>0.999</v>
      </c>
    </row>
    <row r="9" spans="1:35">
      <c r="A9" s="6" t="s">
        <v>2</v>
      </c>
      <c r="B9" s="6">
        <v>380</v>
      </c>
      <c r="C9" s="9">
        <v>3.8E-3</v>
      </c>
      <c r="E9" s="6" t="s">
        <v>122</v>
      </c>
      <c r="F9" s="6">
        <v>203</v>
      </c>
      <c r="G9" s="9">
        <v>2.0999999999999999E-3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178</v>
      </c>
      <c r="O9" s="9">
        <v>4.3E-3</v>
      </c>
      <c r="Q9" s="6" t="s">
        <v>122</v>
      </c>
      <c r="R9" s="6">
        <v>94</v>
      </c>
      <c r="S9" s="9">
        <v>2.3E-3</v>
      </c>
      <c r="U9" s="6" t="s">
        <v>2</v>
      </c>
      <c r="V9" s="6">
        <v>11</v>
      </c>
      <c r="W9" s="9">
        <v>2.9999999999999997E-4</v>
      </c>
      <c r="Y9" s="6" t="s">
        <v>2</v>
      </c>
      <c r="Z9" s="6">
        <v>202</v>
      </c>
      <c r="AA9" s="9">
        <v>3.3999999999999998E-3</v>
      </c>
      <c r="AC9" s="6" t="s">
        <v>122</v>
      </c>
      <c r="AD9" s="6">
        <v>109</v>
      </c>
      <c r="AE9" s="9">
        <v>1.9E-3</v>
      </c>
      <c r="AG9" s="6" t="s">
        <v>2</v>
      </c>
      <c r="AH9" s="6">
        <v>24</v>
      </c>
      <c r="AI9" s="9">
        <v>5.0000000000000001E-4</v>
      </c>
    </row>
    <row r="10" spans="1:35">
      <c r="A10" s="6" t="s">
        <v>3</v>
      </c>
      <c r="B10" s="6">
        <v>191</v>
      </c>
      <c r="C10" s="9">
        <v>1.9E-3</v>
      </c>
      <c r="E10" s="6" t="s">
        <v>83</v>
      </c>
      <c r="F10" s="6">
        <v>40</v>
      </c>
      <c r="G10" s="9">
        <v>4.0000000000000002E-4</v>
      </c>
      <c r="I10" s="6" t="s">
        <v>102</v>
      </c>
      <c r="J10" s="6">
        <v>9</v>
      </c>
      <c r="K10" s="9">
        <v>1E-4</v>
      </c>
      <c r="M10" s="6" t="s">
        <v>3</v>
      </c>
      <c r="N10" s="6">
        <v>90</v>
      </c>
      <c r="O10" s="9">
        <v>2.2000000000000001E-3</v>
      </c>
      <c r="Q10" s="6" t="s">
        <v>92</v>
      </c>
      <c r="R10" s="6">
        <v>2</v>
      </c>
      <c r="S10" s="30">
        <v>0</v>
      </c>
      <c r="U10" s="6" t="s">
        <v>102</v>
      </c>
      <c r="V10" s="6">
        <v>5</v>
      </c>
      <c r="W10" s="9">
        <v>1E-4</v>
      </c>
      <c r="Y10" s="6" t="s">
        <v>9</v>
      </c>
      <c r="Z10" s="6">
        <v>153</v>
      </c>
      <c r="AA10" s="9">
        <v>2.5999999999999999E-3</v>
      </c>
      <c r="AC10" s="6" t="s">
        <v>83</v>
      </c>
      <c r="AD10" s="6">
        <v>40</v>
      </c>
      <c r="AE10" s="9">
        <v>6.9999999999999999E-4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9</v>
      </c>
      <c r="B11" s="6">
        <v>164</v>
      </c>
      <c r="C11" s="9">
        <v>1.6000000000000001E-3</v>
      </c>
      <c r="E11" s="6" t="s">
        <v>76</v>
      </c>
      <c r="F11" s="6">
        <v>7</v>
      </c>
      <c r="G11" s="9">
        <v>1E-4</v>
      </c>
      <c r="I11" s="6" t="s">
        <v>98</v>
      </c>
      <c r="J11" s="6">
        <v>14</v>
      </c>
      <c r="K11" s="9">
        <v>1E-4</v>
      </c>
      <c r="M11" s="6" t="s">
        <v>7</v>
      </c>
      <c r="N11" s="6">
        <v>33</v>
      </c>
      <c r="O11" s="9">
        <v>8.0000000000000004E-4</v>
      </c>
      <c r="Q11" s="6" t="s">
        <v>76</v>
      </c>
      <c r="R11" s="6">
        <v>2</v>
      </c>
      <c r="S11" s="30">
        <v>0</v>
      </c>
      <c r="U11" s="6" t="s">
        <v>98</v>
      </c>
      <c r="V11" s="6">
        <v>3</v>
      </c>
      <c r="W11" s="9">
        <v>1E-4</v>
      </c>
      <c r="Y11" s="6" t="s">
        <v>8</v>
      </c>
      <c r="Z11" s="6">
        <v>151</v>
      </c>
      <c r="AA11" s="9">
        <v>2.5999999999999999E-3</v>
      </c>
      <c r="AC11" s="6" t="s">
        <v>76</v>
      </c>
      <c r="AD11" s="6">
        <v>5</v>
      </c>
      <c r="AE11" s="9">
        <v>1E-4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157</v>
      </c>
      <c r="C12" s="9">
        <v>1.6000000000000001E-3</v>
      </c>
      <c r="E12" s="6" t="s">
        <v>77</v>
      </c>
      <c r="F12" s="6">
        <v>6</v>
      </c>
      <c r="G12" s="9">
        <v>1E-4</v>
      </c>
      <c r="I12" s="6" t="s">
        <v>103</v>
      </c>
      <c r="J12" s="6">
        <v>5</v>
      </c>
      <c r="K12" s="9">
        <v>1E-4</v>
      </c>
      <c r="M12" s="6" t="s">
        <v>11</v>
      </c>
      <c r="N12" s="6">
        <v>24</v>
      </c>
      <c r="O12" s="9">
        <v>5.9999999999999995E-4</v>
      </c>
      <c r="Q12" s="6" t="s">
        <v>93</v>
      </c>
      <c r="R12" s="6">
        <v>1</v>
      </c>
      <c r="S12" s="30">
        <v>0</v>
      </c>
      <c r="U12" s="6" t="s">
        <v>103</v>
      </c>
      <c r="V12" s="6">
        <v>3</v>
      </c>
      <c r="W12" s="9">
        <v>1E-4</v>
      </c>
      <c r="Y12" s="6" t="s">
        <v>3</v>
      </c>
      <c r="Z12" s="6">
        <v>101</v>
      </c>
      <c r="AA12" s="9">
        <v>1.6999999999999999E-3</v>
      </c>
      <c r="AC12" s="6" t="s">
        <v>75</v>
      </c>
      <c r="AD12" s="6">
        <v>6</v>
      </c>
      <c r="AE12" s="9">
        <v>1E-4</v>
      </c>
      <c r="AG12" s="6" t="s">
        <v>99</v>
      </c>
      <c r="AH12" s="6">
        <v>3</v>
      </c>
      <c r="AI12" s="9">
        <v>1E-4</v>
      </c>
    </row>
    <row r="13" spans="1:35">
      <c r="A13" s="6" t="s">
        <v>11</v>
      </c>
      <c r="B13" s="6">
        <v>59</v>
      </c>
      <c r="C13" s="9">
        <v>5.9999999999999995E-4</v>
      </c>
      <c r="E13" s="6" t="s">
        <v>74</v>
      </c>
      <c r="F13" s="6">
        <v>7</v>
      </c>
      <c r="G13" s="9">
        <v>1E-4</v>
      </c>
      <c r="I13" s="6" t="s">
        <v>99</v>
      </c>
      <c r="J13" s="6">
        <v>7</v>
      </c>
      <c r="K13" s="9">
        <v>1E-4</v>
      </c>
      <c r="M13" s="6" t="s">
        <v>41</v>
      </c>
      <c r="N13" s="6">
        <v>15</v>
      </c>
      <c r="O13" s="9">
        <v>4.0000000000000002E-4</v>
      </c>
      <c r="Q13" s="6" t="s">
        <v>77</v>
      </c>
      <c r="R13" s="6">
        <v>2</v>
      </c>
      <c r="S13" s="30">
        <v>0</v>
      </c>
      <c r="U13" s="6" t="s">
        <v>99</v>
      </c>
      <c r="V13" s="6">
        <v>4</v>
      </c>
      <c r="W13" s="9">
        <v>1E-4</v>
      </c>
      <c r="Y13" s="6" t="s">
        <v>5</v>
      </c>
      <c r="Z13" s="6">
        <v>49</v>
      </c>
      <c r="AA13" s="9">
        <v>8.0000000000000004E-4</v>
      </c>
      <c r="AC13" s="6" t="s">
        <v>74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59</v>
      </c>
      <c r="C14" s="9">
        <v>5.9999999999999995E-4</v>
      </c>
      <c r="E14" s="6" t="s">
        <v>75</v>
      </c>
      <c r="F14" s="6">
        <v>6</v>
      </c>
      <c r="G14" s="9">
        <v>1E-4</v>
      </c>
      <c r="I14" s="6" t="s">
        <v>113</v>
      </c>
      <c r="J14" s="6">
        <v>6</v>
      </c>
      <c r="K14" s="9">
        <v>1E-4</v>
      </c>
      <c r="M14" s="6" t="s">
        <v>9</v>
      </c>
      <c r="N14" s="6">
        <v>11</v>
      </c>
      <c r="O14" s="9">
        <v>2.9999999999999997E-4</v>
      </c>
      <c r="Q14" s="6" t="s">
        <v>85</v>
      </c>
      <c r="R14" s="6">
        <v>2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35</v>
      </c>
      <c r="AA14" s="9">
        <v>5.9999999999999995E-4</v>
      </c>
      <c r="AC14" s="6" t="s">
        <v>77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5</v>
      </c>
      <c r="B15" s="6">
        <v>55</v>
      </c>
      <c r="C15" s="9">
        <v>5.0000000000000001E-4</v>
      </c>
      <c r="E15" s="6" t="s">
        <v>92</v>
      </c>
      <c r="F15" s="6">
        <v>2</v>
      </c>
      <c r="G15" s="30">
        <v>0</v>
      </c>
      <c r="I15" s="6" t="s">
        <v>117</v>
      </c>
      <c r="J15" s="6">
        <v>3</v>
      </c>
      <c r="K15" s="30">
        <v>0</v>
      </c>
      <c r="M15" s="6" t="s">
        <v>31</v>
      </c>
      <c r="N15" s="6">
        <v>12</v>
      </c>
      <c r="O15" s="9">
        <v>2.9999999999999997E-4</v>
      </c>
      <c r="Q15" s="6" t="s">
        <v>84</v>
      </c>
      <c r="R15" s="6">
        <v>1</v>
      </c>
      <c r="S15" s="30">
        <v>0</v>
      </c>
      <c r="U15" s="6" t="s">
        <v>117</v>
      </c>
      <c r="V15" s="6">
        <v>2</v>
      </c>
      <c r="W15" s="30">
        <v>0</v>
      </c>
      <c r="Y15" s="6" t="s">
        <v>41</v>
      </c>
      <c r="Z15" s="6">
        <v>25</v>
      </c>
      <c r="AA15" s="9">
        <v>4.0000000000000002E-4</v>
      </c>
      <c r="AC15" s="6" t="s">
        <v>80</v>
      </c>
      <c r="AD15" s="6">
        <v>1</v>
      </c>
      <c r="AE15" s="30">
        <v>0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40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  <c r="M16" s="6" t="s">
        <v>18</v>
      </c>
      <c r="N16" s="6">
        <v>9</v>
      </c>
      <c r="O16" s="9">
        <v>2.0000000000000001E-4</v>
      </c>
      <c r="Q16" s="6" t="s">
        <v>74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12</v>
      </c>
      <c r="Z16" s="6">
        <v>21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103</v>
      </c>
      <c r="AH16" s="6">
        <v>2</v>
      </c>
      <c r="AI16" s="30">
        <v>0</v>
      </c>
    </row>
    <row r="17" spans="1:35">
      <c r="A17" s="6" t="s">
        <v>18</v>
      </c>
      <c r="B17" s="6">
        <v>28</v>
      </c>
      <c r="C17" s="9">
        <v>2.9999999999999997E-4</v>
      </c>
      <c r="E17" s="6" t="s">
        <v>93</v>
      </c>
      <c r="F17" s="6">
        <v>1</v>
      </c>
      <c r="G17" s="30">
        <v>0</v>
      </c>
      <c r="I17" s="6" t="s">
        <v>132</v>
      </c>
      <c r="J17" s="6">
        <v>1</v>
      </c>
      <c r="K17" s="30">
        <v>0</v>
      </c>
      <c r="M17" s="6" t="s">
        <v>29</v>
      </c>
      <c r="N17" s="6">
        <v>10</v>
      </c>
      <c r="O17" s="9">
        <v>2.0000000000000001E-4</v>
      </c>
      <c r="Y17" s="6" t="s">
        <v>7</v>
      </c>
      <c r="Z17" s="6">
        <v>26</v>
      </c>
      <c r="AA17" s="9">
        <v>4.0000000000000002E-4</v>
      </c>
      <c r="AC17" s="6" t="s">
        <v>93</v>
      </c>
      <c r="AD17" s="6">
        <v>1</v>
      </c>
      <c r="AE17" s="30">
        <v>0</v>
      </c>
      <c r="AG17" s="6" t="s">
        <v>132</v>
      </c>
      <c r="AH17" s="6">
        <v>1</v>
      </c>
      <c r="AI17" s="30">
        <v>0</v>
      </c>
    </row>
    <row r="18" spans="1:35">
      <c r="A18" s="6" t="s">
        <v>12</v>
      </c>
      <c r="B18" s="6">
        <v>28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10</v>
      </c>
      <c r="N18" s="6">
        <v>7</v>
      </c>
      <c r="O18" s="9">
        <v>2.0000000000000001E-4</v>
      </c>
      <c r="Y18" s="6" t="s">
        <v>18</v>
      </c>
      <c r="Z18" s="6">
        <v>19</v>
      </c>
      <c r="AA18" s="9">
        <v>2.9999999999999997E-4</v>
      </c>
      <c r="AC18" s="6" t="s">
        <v>154</v>
      </c>
      <c r="AD18" s="6">
        <v>1</v>
      </c>
      <c r="AE18" s="30">
        <v>0</v>
      </c>
    </row>
    <row r="19" spans="1:35">
      <c r="A19" s="6" t="s">
        <v>37</v>
      </c>
      <c r="B19" s="6">
        <v>18</v>
      </c>
      <c r="C19" s="9">
        <v>2.0000000000000001E-4</v>
      </c>
      <c r="E19" s="6" t="s">
        <v>154</v>
      </c>
      <c r="F19" s="6">
        <v>1</v>
      </c>
      <c r="G19" s="30">
        <v>0</v>
      </c>
      <c r="M19" s="6" t="s">
        <v>12</v>
      </c>
      <c r="N19" s="6">
        <v>7</v>
      </c>
      <c r="O19" s="9">
        <v>2.0000000000000001E-4</v>
      </c>
      <c r="Y19" s="6" t="s">
        <v>37</v>
      </c>
      <c r="Z19" s="6">
        <v>16</v>
      </c>
      <c r="AA19" s="9">
        <v>2.9999999999999997E-4</v>
      </c>
      <c r="AC19" s="6" t="s">
        <v>89</v>
      </c>
      <c r="AD19" s="6">
        <v>1</v>
      </c>
      <c r="AE19" s="30">
        <v>0</v>
      </c>
    </row>
    <row r="20" spans="1:35">
      <c r="A20" s="6" t="s">
        <v>31</v>
      </c>
      <c r="B20" s="6">
        <v>22</v>
      </c>
      <c r="C20" s="9">
        <v>2.0000000000000001E-4</v>
      </c>
      <c r="E20" s="6" t="s">
        <v>85</v>
      </c>
      <c r="F20" s="6">
        <v>2</v>
      </c>
      <c r="G20" s="30">
        <v>0</v>
      </c>
      <c r="M20" s="6" t="s">
        <v>27</v>
      </c>
      <c r="N20" s="6">
        <v>8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79</v>
      </c>
      <c r="AD20" s="6">
        <v>2</v>
      </c>
      <c r="AE20" s="30">
        <v>0</v>
      </c>
    </row>
    <row r="21" spans="1:35">
      <c r="A21" s="6" t="s">
        <v>29</v>
      </c>
      <c r="B21" s="6">
        <v>20</v>
      </c>
      <c r="C21" s="9">
        <v>2.0000000000000001E-4</v>
      </c>
      <c r="E21" s="6" t="s">
        <v>89</v>
      </c>
      <c r="F21" s="6">
        <v>1</v>
      </c>
      <c r="G21" s="30">
        <v>0</v>
      </c>
      <c r="M21" s="6" t="s">
        <v>20</v>
      </c>
      <c r="N21" s="6">
        <v>5</v>
      </c>
      <c r="O21" s="9">
        <v>1E-4</v>
      </c>
      <c r="Y21" s="6" t="s">
        <v>14</v>
      </c>
      <c r="Z21" s="6">
        <v>9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5">
      <c r="A22" s="6" t="s">
        <v>20</v>
      </c>
      <c r="B22" s="6">
        <v>10</v>
      </c>
      <c r="C22" s="9">
        <v>1E-4</v>
      </c>
      <c r="E22" s="6" t="s">
        <v>79</v>
      </c>
      <c r="F22" s="6">
        <v>2</v>
      </c>
      <c r="G22" s="30">
        <v>0</v>
      </c>
      <c r="M22" s="6" t="s">
        <v>5</v>
      </c>
      <c r="N22" s="6">
        <v>6</v>
      </c>
      <c r="O22" s="9">
        <v>1E-4</v>
      </c>
      <c r="Y22" s="6" t="s">
        <v>31</v>
      </c>
      <c r="Z22" s="6">
        <v>10</v>
      </c>
      <c r="AA22" s="9">
        <v>2.0000000000000001E-4</v>
      </c>
      <c r="AC22" s="6" t="s">
        <v>78</v>
      </c>
      <c r="AD22" s="6">
        <v>1</v>
      </c>
      <c r="AE22" s="30">
        <v>0</v>
      </c>
    </row>
    <row r="23" spans="1:35">
      <c r="A23" s="6" t="s">
        <v>21</v>
      </c>
      <c r="B23" s="6">
        <v>11</v>
      </c>
      <c r="C23" s="9">
        <v>1E-4</v>
      </c>
      <c r="E23" s="6" t="s">
        <v>91</v>
      </c>
      <c r="F23" s="6">
        <v>1</v>
      </c>
      <c r="G23" s="30">
        <v>0</v>
      </c>
      <c r="M23" s="6" t="s">
        <v>21</v>
      </c>
      <c r="N23" s="6">
        <v>5</v>
      </c>
      <c r="O23" s="9">
        <v>1E-4</v>
      </c>
      <c r="Y23" s="6" t="s">
        <v>29</v>
      </c>
      <c r="Z23" s="6">
        <v>10</v>
      </c>
      <c r="AA23" s="9">
        <v>2.0000000000000001E-4</v>
      </c>
    </row>
    <row r="24" spans="1:35">
      <c r="A24" s="6" t="s">
        <v>10</v>
      </c>
      <c r="B24" s="6">
        <v>13</v>
      </c>
      <c r="C24" s="9">
        <v>1E-4</v>
      </c>
      <c r="E24" s="6" t="s">
        <v>78</v>
      </c>
      <c r="F24" s="6">
        <v>1</v>
      </c>
      <c r="G24" s="30">
        <v>0</v>
      </c>
      <c r="M24" s="6" t="s">
        <v>17</v>
      </c>
      <c r="N24" s="6">
        <v>6</v>
      </c>
      <c r="O24" s="9">
        <v>1E-4</v>
      </c>
      <c r="Y24" s="6" t="s">
        <v>20</v>
      </c>
      <c r="Z24" s="6">
        <v>5</v>
      </c>
      <c r="AA24" s="9">
        <v>1E-4</v>
      </c>
    </row>
    <row r="25" spans="1:35">
      <c r="A25" s="6" t="s">
        <v>17</v>
      </c>
      <c r="B25" s="6">
        <v>15</v>
      </c>
      <c r="C25" s="9">
        <v>1E-4</v>
      </c>
      <c r="E25" s="6" t="s">
        <v>84</v>
      </c>
      <c r="F25" s="6">
        <v>1</v>
      </c>
      <c r="G25" s="30">
        <v>0</v>
      </c>
      <c r="M25" s="6" t="s">
        <v>8</v>
      </c>
      <c r="N25" s="6">
        <v>6</v>
      </c>
      <c r="O25" s="9">
        <v>1E-4</v>
      </c>
      <c r="Y25" s="6" t="s">
        <v>21</v>
      </c>
      <c r="Z25" s="6">
        <v>6</v>
      </c>
      <c r="AA25" s="9">
        <v>1E-4</v>
      </c>
    </row>
    <row r="26" spans="1:35">
      <c r="A26" s="6" t="s">
        <v>24</v>
      </c>
      <c r="B26" s="6">
        <v>9</v>
      </c>
      <c r="C26" s="9">
        <v>1E-4</v>
      </c>
      <c r="M26" s="6" t="s">
        <v>16</v>
      </c>
      <c r="N26" s="6">
        <v>3</v>
      </c>
      <c r="O26" s="9">
        <v>1E-4</v>
      </c>
      <c r="Y26" s="6" t="s">
        <v>10</v>
      </c>
      <c r="Z26" s="6">
        <v>6</v>
      </c>
      <c r="AA26" s="9">
        <v>1E-4</v>
      </c>
    </row>
    <row r="27" spans="1:35">
      <c r="A27" s="6" t="s">
        <v>16</v>
      </c>
      <c r="B27" s="6">
        <v>7</v>
      </c>
      <c r="C27" s="9">
        <v>1E-4</v>
      </c>
      <c r="M27" s="6" t="s">
        <v>26</v>
      </c>
      <c r="N27" s="6">
        <v>5</v>
      </c>
      <c r="O27" s="9">
        <v>1E-4</v>
      </c>
      <c r="Y27" s="6" t="s">
        <v>34</v>
      </c>
      <c r="Z27" s="6">
        <v>3</v>
      </c>
      <c r="AA27" s="9">
        <v>1E-4</v>
      </c>
    </row>
    <row r="28" spans="1:35">
      <c r="A28" s="6" t="s">
        <v>26</v>
      </c>
      <c r="B28" s="6">
        <v>12</v>
      </c>
      <c r="C28" s="9">
        <v>1E-4</v>
      </c>
      <c r="M28" s="6" t="s">
        <v>24</v>
      </c>
      <c r="N28" s="6">
        <v>6</v>
      </c>
      <c r="O28" s="9">
        <v>1E-4</v>
      </c>
      <c r="Y28" s="6" t="s">
        <v>24</v>
      </c>
      <c r="Z28" s="6">
        <v>3</v>
      </c>
      <c r="AA28" s="9">
        <v>1E-4</v>
      </c>
    </row>
    <row r="29" spans="1:35">
      <c r="A29" s="6" t="s">
        <v>14</v>
      </c>
      <c r="B29" s="6">
        <v>10</v>
      </c>
      <c r="C29" s="9">
        <v>1E-4</v>
      </c>
      <c r="M29" s="6" t="s">
        <v>25</v>
      </c>
      <c r="N29" s="6">
        <v>5</v>
      </c>
      <c r="O29" s="9">
        <v>1E-4</v>
      </c>
      <c r="Y29" s="6" t="s">
        <v>16</v>
      </c>
      <c r="Z29" s="6">
        <v>4</v>
      </c>
      <c r="AA29" s="9">
        <v>1E-4</v>
      </c>
    </row>
    <row r="30" spans="1:35">
      <c r="A30" s="6" t="s">
        <v>22</v>
      </c>
      <c r="B30" s="6">
        <v>8</v>
      </c>
      <c r="C30" s="9">
        <v>1E-4</v>
      </c>
      <c r="M30" s="6" t="s">
        <v>43</v>
      </c>
      <c r="N30" s="6">
        <v>4</v>
      </c>
      <c r="O30" s="9">
        <v>1E-4</v>
      </c>
      <c r="Y30" s="6" t="s">
        <v>22</v>
      </c>
      <c r="Z30" s="6">
        <v>6</v>
      </c>
      <c r="AA30" s="9">
        <v>1E-4</v>
      </c>
    </row>
    <row r="31" spans="1:35">
      <c r="A31" s="6" t="s">
        <v>30</v>
      </c>
      <c r="B31" s="6">
        <v>9</v>
      </c>
      <c r="C31" s="9">
        <v>1E-4</v>
      </c>
      <c r="M31" s="6" t="s">
        <v>39</v>
      </c>
      <c r="N31" s="6">
        <v>3</v>
      </c>
      <c r="O31" s="9">
        <v>1E-4</v>
      </c>
      <c r="Y31" s="6" t="s">
        <v>30</v>
      </c>
      <c r="Z31" s="6">
        <v>7</v>
      </c>
      <c r="AA31" s="9">
        <v>1E-4</v>
      </c>
    </row>
    <row r="32" spans="1:35">
      <c r="A32" s="6" t="s">
        <v>25</v>
      </c>
      <c r="B32" s="6">
        <v>9</v>
      </c>
      <c r="C32" s="9">
        <v>1E-4</v>
      </c>
      <c r="M32" s="6" t="s">
        <v>19</v>
      </c>
      <c r="N32" s="6">
        <v>1</v>
      </c>
      <c r="O32" s="30">
        <v>0</v>
      </c>
      <c r="Y32" s="6" t="s">
        <v>26</v>
      </c>
      <c r="Z32" s="6">
        <v>7</v>
      </c>
      <c r="AA32" s="9">
        <v>1E-4</v>
      </c>
    </row>
    <row r="33" spans="1:27">
      <c r="A33" s="6" t="s">
        <v>27</v>
      </c>
      <c r="B33" s="6">
        <v>12</v>
      </c>
      <c r="C33" s="9">
        <v>1E-4</v>
      </c>
      <c r="M33" s="6" t="s">
        <v>67</v>
      </c>
      <c r="N33" s="6">
        <v>1</v>
      </c>
      <c r="O33" s="30">
        <v>0</v>
      </c>
      <c r="Y33" s="6" t="s">
        <v>38</v>
      </c>
      <c r="Z33" s="6">
        <v>6</v>
      </c>
      <c r="AA33" s="9">
        <v>1E-4</v>
      </c>
    </row>
    <row r="34" spans="1:27">
      <c r="A34" s="6" t="s">
        <v>38</v>
      </c>
      <c r="B34" s="6">
        <v>6</v>
      </c>
      <c r="C34" s="9">
        <v>1E-4</v>
      </c>
      <c r="M34" s="6" t="s">
        <v>22</v>
      </c>
      <c r="N34" s="6">
        <v>2</v>
      </c>
      <c r="O34" s="30">
        <v>0</v>
      </c>
      <c r="Y34" s="6" t="s">
        <v>58</v>
      </c>
      <c r="Z34" s="6">
        <v>4</v>
      </c>
      <c r="AA34" s="9">
        <v>1E-4</v>
      </c>
    </row>
    <row r="35" spans="1:27">
      <c r="A35" s="6" t="s">
        <v>19</v>
      </c>
      <c r="B35" s="6">
        <v>3</v>
      </c>
      <c r="C35" s="30">
        <v>0</v>
      </c>
      <c r="M35" s="6" t="s">
        <v>36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67</v>
      </c>
      <c r="B36" s="6">
        <v>1</v>
      </c>
      <c r="C36" s="30">
        <v>0</v>
      </c>
      <c r="M36" s="6" t="s">
        <v>37</v>
      </c>
      <c r="N36" s="6">
        <v>2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34</v>
      </c>
      <c r="B37" s="6">
        <v>3</v>
      </c>
      <c r="C37" s="30">
        <v>0</v>
      </c>
      <c r="M37" s="6" t="s">
        <v>40</v>
      </c>
      <c r="N37" s="6">
        <v>2</v>
      </c>
      <c r="O37" s="30">
        <v>0</v>
      </c>
      <c r="Y37" s="6" t="s">
        <v>19</v>
      </c>
      <c r="Z37" s="6">
        <v>2</v>
      </c>
      <c r="AA37" s="30">
        <v>0</v>
      </c>
    </row>
    <row r="38" spans="1:27">
      <c r="A38" s="6" t="s">
        <v>13</v>
      </c>
      <c r="B38" s="6">
        <v>1</v>
      </c>
      <c r="C38" s="30">
        <v>0</v>
      </c>
      <c r="M38" s="6" t="s">
        <v>45</v>
      </c>
      <c r="N38" s="6">
        <v>1</v>
      </c>
      <c r="O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47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45</v>
      </c>
      <c r="B40" s="6">
        <v>2</v>
      </c>
      <c r="C40" s="30">
        <v>0</v>
      </c>
      <c r="M40" s="6" t="s">
        <v>30</v>
      </c>
      <c r="N40" s="6">
        <v>2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40</v>
      </c>
      <c r="B41" s="6">
        <v>4</v>
      </c>
      <c r="C41" s="30">
        <v>0</v>
      </c>
      <c r="M41" s="6" t="s">
        <v>32</v>
      </c>
      <c r="N41" s="6">
        <v>2</v>
      </c>
      <c r="O41" s="30">
        <v>0</v>
      </c>
      <c r="Y41" s="6" t="s">
        <v>15</v>
      </c>
      <c r="Z41" s="6">
        <v>2</v>
      </c>
      <c r="AA41" s="30">
        <v>0</v>
      </c>
    </row>
    <row r="42" spans="1:27">
      <c r="A42" s="6" t="s">
        <v>58</v>
      </c>
      <c r="B42" s="6">
        <v>5</v>
      </c>
      <c r="C42" s="30">
        <v>0</v>
      </c>
      <c r="M42" s="6" t="s">
        <v>69</v>
      </c>
      <c r="N42" s="6">
        <v>1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15</v>
      </c>
      <c r="B43" s="6">
        <v>2</v>
      </c>
      <c r="C43" s="30">
        <v>0</v>
      </c>
      <c r="M43" s="6" t="s">
        <v>14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39</v>
      </c>
      <c r="B44" s="6">
        <v>5</v>
      </c>
      <c r="C44" s="30">
        <v>0</v>
      </c>
      <c r="M44" s="6" t="s">
        <v>58</v>
      </c>
      <c r="N44" s="6">
        <v>1</v>
      </c>
      <c r="O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M45" s="6" t="s">
        <v>53</v>
      </c>
      <c r="N45" s="6">
        <v>1</v>
      </c>
      <c r="O45" s="30">
        <v>0</v>
      </c>
      <c r="Y45" s="6" t="s">
        <v>69</v>
      </c>
      <c r="Z45" s="6">
        <v>2</v>
      </c>
      <c r="AA45" s="30">
        <v>0</v>
      </c>
    </row>
    <row r="46" spans="1:27">
      <c r="A46" s="6" t="s">
        <v>43</v>
      </c>
      <c r="B46" s="6">
        <v>4</v>
      </c>
      <c r="C46" s="30">
        <v>0</v>
      </c>
      <c r="M46" s="6" t="s">
        <v>57</v>
      </c>
      <c r="N46" s="6">
        <v>1</v>
      </c>
      <c r="O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69</v>
      </c>
      <c r="B47" s="6">
        <v>3</v>
      </c>
      <c r="C47" s="30">
        <v>0</v>
      </c>
      <c r="M47" s="6" t="s">
        <v>33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47</v>
      </c>
      <c r="B48" s="6">
        <v>1</v>
      </c>
      <c r="C48" s="30">
        <v>0</v>
      </c>
      <c r="Y48"/>
      <c r="Z48"/>
      <c r="AA48"/>
    </row>
    <row r="49" spans="1:27">
      <c r="A49" s="6" t="s">
        <v>60</v>
      </c>
      <c r="B49" s="6">
        <v>2</v>
      </c>
      <c r="C49" s="30">
        <v>0</v>
      </c>
      <c r="Y49"/>
      <c r="Z49"/>
      <c r="AA49"/>
    </row>
    <row r="50" spans="1:27">
      <c r="A50" s="6" t="s">
        <v>32</v>
      </c>
      <c r="B50" s="6">
        <v>2</v>
      </c>
      <c r="C50" s="30">
        <v>0</v>
      </c>
      <c r="Y50"/>
      <c r="Z50"/>
      <c r="AA50"/>
    </row>
    <row r="51" spans="1:27">
      <c r="A51" s="6" t="s">
        <v>68</v>
      </c>
      <c r="B51" s="6">
        <v>1</v>
      </c>
      <c r="C51" s="30">
        <v>0</v>
      </c>
    </row>
    <row r="52" spans="1:27">
      <c r="A52" s="6" t="s">
        <v>53</v>
      </c>
      <c r="B52" s="6">
        <v>1</v>
      </c>
      <c r="C52" s="30">
        <v>0</v>
      </c>
    </row>
    <row r="53" spans="1:27">
      <c r="A53" s="6" t="s">
        <v>57</v>
      </c>
      <c r="B53" s="6">
        <v>1</v>
      </c>
      <c r="C53" s="30">
        <v>0</v>
      </c>
    </row>
    <row r="54" spans="1:27">
      <c r="A54" s="6" t="s">
        <v>33</v>
      </c>
      <c r="B54" s="6">
        <v>1</v>
      </c>
      <c r="C5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6A71-205B-476A-962D-72DE7BE10AFB}">
  <sheetPr codeName="Sheet32"/>
  <dimension ref="A1:AI53"/>
  <sheetViews>
    <sheetView topLeftCell="T1" workbookViewId="0">
      <selection activeCell="AG17" sqref="AG17:AI20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63621</v>
      </c>
      <c r="E2" s="41" t="s">
        <v>4</v>
      </c>
      <c r="F2" s="23" t="s">
        <v>105</v>
      </c>
      <c r="G2" s="23">
        <f>G3+G4</f>
        <v>61892</v>
      </c>
      <c r="H2" s="22"/>
      <c r="I2" s="41" t="s">
        <v>6</v>
      </c>
      <c r="J2" s="23" t="s">
        <v>105</v>
      </c>
      <c r="K2" s="23">
        <f>K3+K4</f>
        <v>64720</v>
      </c>
      <c r="M2" s="41" t="s">
        <v>104</v>
      </c>
      <c r="N2" s="23" t="s">
        <v>105</v>
      </c>
      <c r="O2" s="23">
        <f>O3+O4</f>
        <v>19103</v>
      </c>
      <c r="Q2" s="41" t="s">
        <v>4</v>
      </c>
      <c r="R2" s="23" t="s">
        <v>105</v>
      </c>
      <c r="S2" s="23">
        <f>S3+S4</f>
        <v>20850</v>
      </c>
      <c r="T2" s="22"/>
      <c r="U2" s="41" t="s">
        <v>6</v>
      </c>
      <c r="V2" s="23" t="s">
        <v>105</v>
      </c>
      <c r="W2" s="23">
        <f>W3+W4</f>
        <v>21272</v>
      </c>
      <c r="Y2" s="41" t="s">
        <v>104</v>
      </c>
      <c r="Z2" s="23" t="s">
        <v>105</v>
      </c>
      <c r="AA2" s="23">
        <f>AA3+AA4</f>
        <v>44511</v>
      </c>
      <c r="AC2" s="41" t="s">
        <v>4</v>
      </c>
      <c r="AD2" s="23" t="s">
        <v>105</v>
      </c>
      <c r="AE2" s="23">
        <f>AE3+AE4</f>
        <v>41043</v>
      </c>
      <c r="AF2" s="22"/>
      <c r="AG2" s="41" t="s">
        <v>6</v>
      </c>
      <c r="AH2" s="23" t="s">
        <v>105</v>
      </c>
      <c r="AI2" s="23">
        <f>AI3+AI4</f>
        <v>43450</v>
      </c>
    </row>
    <row r="3" spans="1:35">
      <c r="A3" s="42"/>
      <c r="B3" s="24" t="s">
        <v>106</v>
      </c>
      <c r="C3" s="24">
        <f>B8</f>
        <v>62719</v>
      </c>
      <c r="E3" s="42"/>
      <c r="F3" s="24" t="s">
        <v>106</v>
      </c>
      <c r="G3" s="24">
        <f>F8</f>
        <v>61708</v>
      </c>
      <c r="H3" s="22"/>
      <c r="I3" s="42"/>
      <c r="J3" s="24" t="s">
        <v>106</v>
      </c>
      <c r="K3" s="24">
        <f>J8</f>
        <v>64658</v>
      </c>
      <c r="M3" s="42"/>
      <c r="N3" s="24" t="s">
        <v>106</v>
      </c>
      <c r="O3" s="24">
        <f>N8</f>
        <v>18912</v>
      </c>
      <c r="Q3" s="42"/>
      <c r="R3" s="24" t="s">
        <v>106</v>
      </c>
      <c r="S3" s="24">
        <f>R8</f>
        <v>20796</v>
      </c>
      <c r="T3" s="22"/>
      <c r="U3" s="42"/>
      <c r="V3" s="24" t="s">
        <v>106</v>
      </c>
      <c r="W3" s="24">
        <f>V8</f>
        <v>21251</v>
      </c>
      <c r="Y3" s="42"/>
      <c r="Z3" s="24" t="s">
        <v>106</v>
      </c>
      <c r="AA3" s="24">
        <f>Z8</f>
        <v>43807</v>
      </c>
      <c r="AC3" s="42"/>
      <c r="AD3" s="24" t="s">
        <v>106</v>
      </c>
      <c r="AE3" s="24">
        <f>AD8</f>
        <v>40912</v>
      </c>
      <c r="AF3" s="22"/>
      <c r="AG3" s="42"/>
      <c r="AH3" s="24" t="s">
        <v>106</v>
      </c>
      <c r="AI3" s="24">
        <f>AH8</f>
        <v>43407</v>
      </c>
    </row>
    <row r="4" spans="1:35">
      <c r="A4" s="42"/>
      <c r="B4" s="25" t="s">
        <v>107</v>
      </c>
      <c r="C4" s="25">
        <f>SUM(B9:B66)</f>
        <v>902</v>
      </c>
      <c r="E4" s="42"/>
      <c r="F4" s="25" t="s">
        <v>107</v>
      </c>
      <c r="G4" s="25">
        <f>SUM(F9:F33)</f>
        <v>184</v>
      </c>
      <c r="H4" s="22"/>
      <c r="I4" s="42"/>
      <c r="J4" s="25" t="s">
        <v>107</v>
      </c>
      <c r="K4" s="25">
        <f>SUM(J9:J31)</f>
        <v>62</v>
      </c>
      <c r="M4" s="42"/>
      <c r="N4" s="25" t="s">
        <v>107</v>
      </c>
      <c r="O4" s="25">
        <f>SUM(N9:N66)</f>
        <v>191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21</v>
      </c>
      <c r="Y4" s="42"/>
      <c r="Z4" s="25" t="s">
        <v>107</v>
      </c>
      <c r="AA4" s="25">
        <f>SUM(Z9:Z45)</f>
        <v>704</v>
      </c>
      <c r="AC4" s="42"/>
      <c r="AD4" s="25" t="s">
        <v>107</v>
      </c>
      <c r="AE4" s="25">
        <f>SUM(AD9:AD29)</f>
        <v>131</v>
      </c>
      <c r="AF4" s="22"/>
      <c r="AG4" s="42"/>
      <c r="AH4" s="25" t="s">
        <v>107</v>
      </c>
      <c r="AI4" s="25">
        <f>SUM(AH9:AH29)</f>
        <v>43</v>
      </c>
    </row>
    <row r="5" spans="1:35">
      <c r="A5" s="43"/>
      <c r="B5" s="23" t="s">
        <v>108</v>
      </c>
      <c r="C5" s="26">
        <f>SUM(C9:C179)</f>
        <v>1.3599999999999992E-2</v>
      </c>
      <c r="E5" s="43"/>
      <c r="F5" s="23" t="s">
        <v>108</v>
      </c>
      <c r="G5" s="26">
        <f>SUM(G9:G33)</f>
        <v>2.9999999999999992E-3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1.0599999999999995E-2</v>
      </c>
      <c r="Q5" s="43"/>
      <c r="R5" s="23" t="s">
        <v>108</v>
      </c>
      <c r="S5" s="26">
        <f>SUM(S9:S33)</f>
        <v>2.3999999999999998E-3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1.5499999999999995E-2</v>
      </c>
      <c r="AC5" s="43"/>
      <c r="AD5" s="23" t="s">
        <v>108</v>
      </c>
      <c r="AE5" s="26">
        <f>SUM(AE9:AE29)</f>
        <v>3.1999999999999993E-3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62719</v>
      </c>
      <c r="C8" s="9">
        <v>0.98580000000000001</v>
      </c>
      <c r="E8" s="6" t="s">
        <v>112</v>
      </c>
      <c r="F8" s="29">
        <v>61708</v>
      </c>
      <c r="G8" s="9">
        <v>0.997</v>
      </c>
      <c r="I8" s="6" t="s">
        <v>112</v>
      </c>
      <c r="J8" s="29">
        <v>64658</v>
      </c>
      <c r="K8" s="9">
        <v>0.999</v>
      </c>
      <c r="M8" s="6" t="s">
        <v>112</v>
      </c>
      <c r="N8" s="29">
        <v>18912</v>
      </c>
      <c r="O8" s="30">
        <v>0.99</v>
      </c>
      <c r="Q8" s="6" t="s">
        <v>112</v>
      </c>
      <c r="R8" s="29">
        <v>20796</v>
      </c>
      <c r="S8" s="9">
        <v>0.99739999999999995</v>
      </c>
      <c r="U8" s="6" t="s">
        <v>112</v>
      </c>
      <c r="V8" s="29">
        <v>21251</v>
      </c>
      <c r="W8" s="9">
        <v>0.999</v>
      </c>
      <c r="Y8" s="6" t="s">
        <v>112</v>
      </c>
      <c r="Z8" s="29">
        <v>43807</v>
      </c>
      <c r="AA8" s="9">
        <v>0.98399999999999999</v>
      </c>
      <c r="AC8" s="6" t="s">
        <v>112</v>
      </c>
      <c r="AD8" s="29">
        <v>40912</v>
      </c>
      <c r="AE8" s="9">
        <v>0.99680000000000002</v>
      </c>
      <c r="AG8" s="6" t="s">
        <v>112</v>
      </c>
      <c r="AH8" s="29">
        <v>43407</v>
      </c>
      <c r="AI8" s="9">
        <v>0.999</v>
      </c>
    </row>
    <row r="9" spans="1:35">
      <c r="A9" s="6" t="s">
        <v>2</v>
      </c>
      <c r="B9" s="6">
        <v>184</v>
      </c>
      <c r="C9" s="9">
        <v>2.8999999999999998E-3</v>
      </c>
      <c r="E9" s="6" t="s">
        <v>122</v>
      </c>
      <c r="F9" s="6">
        <v>118</v>
      </c>
      <c r="G9" s="9">
        <v>1.9E-3</v>
      </c>
      <c r="I9" s="6" t="s">
        <v>2</v>
      </c>
      <c r="J9" s="6">
        <v>22</v>
      </c>
      <c r="K9" s="9">
        <v>2.9999999999999997E-4</v>
      </c>
      <c r="M9" s="6" t="s">
        <v>2</v>
      </c>
      <c r="N9" s="6">
        <v>57</v>
      </c>
      <c r="O9" s="9">
        <v>3.0000000000000001E-3</v>
      </c>
      <c r="Q9" s="6" t="s">
        <v>122</v>
      </c>
      <c r="R9" s="6">
        <v>41</v>
      </c>
      <c r="S9" s="9">
        <v>2E-3</v>
      </c>
      <c r="U9" s="6" t="s">
        <v>99</v>
      </c>
      <c r="V9" s="6">
        <v>6</v>
      </c>
      <c r="W9" s="9">
        <v>2.9999999999999997E-4</v>
      </c>
      <c r="Y9" s="6" t="s">
        <v>2</v>
      </c>
      <c r="Z9" s="6">
        <v>127</v>
      </c>
      <c r="AA9" s="9">
        <v>2.8999999999999998E-3</v>
      </c>
      <c r="AC9" s="6" t="s">
        <v>122</v>
      </c>
      <c r="AD9" s="6">
        <v>77</v>
      </c>
      <c r="AE9" s="9">
        <v>1.9E-3</v>
      </c>
      <c r="AG9" s="6" t="s">
        <v>2</v>
      </c>
      <c r="AH9" s="6">
        <v>17</v>
      </c>
      <c r="AI9" s="9">
        <v>4.0000000000000002E-4</v>
      </c>
    </row>
    <row r="10" spans="1:35">
      <c r="A10" s="6" t="s">
        <v>3</v>
      </c>
      <c r="B10" s="6">
        <v>117</v>
      </c>
      <c r="C10" s="9">
        <v>1.8E-3</v>
      </c>
      <c r="E10" s="6" t="s">
        <v>83</v>
      </c>
      <c r="F10" s="6">
        <v>23</v>
      </c>
      <c r="G10" s="9">
        <v>4.0000000000000002E-4</v>
      </c>
      <c r="I10" s="6" t="s">
        <v>98</v>
      </c>
      <c r="J10" s="6">
        <v>16</v>
      </c>
      <c r="K10" s="9">
        <v>2.0000000000000001E-4</v>
      </c>
      <c r="M10" s="6" t="s">
        <v>3</v>
      </c>
      <c r="N10" s="6">
        <v>38</v>
      </c>
      <c r="O10" s="9">
        <v>2E-3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4</v>
      </c>
      <c r="W10" s="9">
        <v>2.0000000000000001E-4</v>
      </c>
      <c r="Y10" s="6" t="s">
        <v>9</v>
      </c>
      <c r="Z10" s="6">
        <v>104</v>
      </c>
      <c r="AA10" s="9">
        <v>2.3E-3</v>
      </c>
      <c r="AC10" s="6" t="s">
        <v>83</v>
      </c>
      <c r="AD10" s="6">
        <v>23</v>
      </c>
      <c r="AE10" s="9">
        <v>5.9999999999999995E-4</v>
      </c>
      <c r="AG10" s="6" t="s">
        <v>98</v>
      </c>
      <c r="AH10" s="6">
        <v>12</v>
      </c>
      <c r="AI10" s="9">
        <v>2.9999999999999997E-4</v>
      </c>
    </row>
    <row r="11" spans="1:35">
      <c r="A11" s="6" t="s">
        <v>9</v>
      </c>
      <c r="B11" s="6">
        <v>110</v>
      </c>
      <c r="C11" s="9">
        <v>1.6999999999999999E-3</v>
      </c>
      <c r="E11" s="6" t="s">
        <v>77</v>
      </c>
      <c r="F11" s="6">
        <v>10</v>
      </c>
      <c r="G11" s="9">
        <v>2.0000000000000001E-4</v>
      </c>
      <c r="I11" s="6" t="s">
        <v>99</v>
      </c>
      <c r="J11" s="6">
        <v>12</v>
      </c>
      <c r="K11" s="9">
        <v>2.0000000000000001E-4</v>
      </c>
      <c r="M11" s="6" t="s">
        <v>11</v>
      </c>
      <c r="N11" s="6">
        <v>15</v>
      </c>
      <c r="O11" s="9">
        <v>8.0000000000000004E-4</v>
      </c>
      <c r="Q11" s="6" t="s">
        <v>92</v>
      </c>
      <c r="R11" s="6">
        <v>2</v>
      </c>
      <c r="S11" s="9">
        <v>1E-4</v>
      </c>
      <c r="U11" s="6" t="s">
        <v>2</v>
      </c>
      <c r="V11" s="6">
        <v>5</v>
      </c>
      <c r="W11" s="9">
        <v>2.0000000000000001E-4</v>
      </c>
      <c r="Y11" s="6" t="s">
        <v>8</v>
      </c>
      <c r="Z11" s="6">
        <v>102</v>
      </c>
      <c r="AA11" s="9">
        <v>2.3E-3</v>
      </c>
      <c r="AC11" s="6" t="s">
        <v>77</v>
      </c>
      <c r="AD11" s="6">
        <v>9</v>
      </c>
      <c r="AE11" s="9">
        <v>2.0000000000000001E-4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8</v>
      </c>
      <c r="B12" s="6">
        <v>102</v>
      </c>
      <c r="C12" s="9">
        <v>1.6000000000000001E-3</v>
      </c>
      <c r="E12" s="6" t="s">
        <v>76</v>
      </c>
      <c r="F12" s="6">
        <v>7</v>
      </c>
      <c r="G12" s="9">
        <v>1E-4</v>
      </c>
      <c r="I12" s="6" t="s">
        <v>102</v>
      </c>
      <c r="J12" s="6">
        <v>4</v>
      </c>
      <c r="K12" s="9">
        <v>1E-4</v>
      </c>
      <c r="M12" s="6" t="s">
        <v>7</v>
      </c>
      <c r="N12" s="6">
        <v>10</v>
      </c>
      <c r="O12" s="9">
        <v>5.0000000000000001E-4</v>
      </c>
      <c r="Q12" s="6" t="s">
        <v>74</v>
      </c>
      <c r="R12" s="6">
        <v>2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79</v>
      </c>
      <c r="AA12" s="9">
        <v>1.8E-3</v>
      </c>
      <c r="AC12" s="6" t="s">
        <v>76</v>
      </c>
      <c r="AD12" s="6">
        <v>3</v>
      </c>
      <c r="AE12" s="9">
        <v>1E-4</v>
      </c>
      <c r="AG12" s="6" t="s">
        <v>113</v>
      </c>
      <c r="AH12" s="6">
        <v>3</v>
      </c>
      <c r="AI12" s="9">
        <v>1E-4</v>
      </c>
    </row>
    <row r="13" spans="1:35">
      <c r="A13" s="6" t="s">
        <v>5</v>
      </c>
      <c r="B13" s="6">
        <v>53</v>
      </c>
      <c r="C13" s="9">
        <v>8.0000000000000004E-4</v>
      </c>
      <c r="E13" s="6" t="s">
        <v>79</v>
      </c>
      <c r="F13" s="6">
        <v>4</v>
      </c>
      <c r="G13" s="9">
        <v>1E-4</v>
      </c>
      <c r="I13" s="6" t="s">
        <v>113</v>
      </c>
      <c r="J13" s="6">
        <v>5</v>
      </c>
      <c r="K13" s="9">
        <v>1E-4</v>
      </c>
      <c r="M13" s="6" t="s">
        <v>18</v>
      </c>
      <c r="N13" s="6">
        <v>8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47</v>
      </c>
      <c r="AA13" s="9">
        <v>1.1000000000000001E-3</v>
      </c>
      <c r="AC13" s="6" t="s">
        <v>79</v>
      </c>
      <c r="AD13" s="6">
        <v>4</v>
      </c>
      <c r="AE13" s="9">
        <v>1E-4</v>
      </c>
      <c r="AG13" s="6" t="s">
        <v>102</v>
      </c>
      <c r="AH13" s="6">
        <v>2</v>
      </c>
      <c r="AI13" s="30">
        <v>0</v>
      </c>
    </row>
    <row r="14" spans="1:35">
      <c r="A14" s="6" t="s">
        <v>11</v>
      </c>
      <c r="B14" s="6">
        <v>45</v>
      </c>
      <c r="C14" s="9">
        <v>6.9999999999999999E-4</v>
      </c>
      <c r="E14" s="6" t="s">
        <v>86</v>
      </c>
      <c r="F14" s="6">
        <v>4</v>
      </c>
      <c r="G14" s="9">
        <v>1E-4</v>
      </c>
      <c r="I14" s="6" t="s">
        <v>117</v>
      </c>
      <c r="J14" s="6">
        <v>1</v>
      </c>
      <c r="K14" s="30">
        <v>0</v>
      </c>
      <c r="M14" s="6" t="s">
        <v>22</v>
      </c>
      <c r="N14" s="6">
        <v>7</v>
      </c>
      <c r="O14" s="9">
        <v>4.0000000000000002E-4</v>
      </c>
      <c r="Q14" s="6" t="s">
        <v>77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30</v>
      </c>
      <c r="AA14" s="9">
        <v>6.9999999999999999E-4</v>
      </c>
      <c r="AC14" s="6" t="s">
        <v>89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38</v>
      </c>
      <c r="C15" s="9">
        <v>5.9999999999999995E-4</v>
      </c>
      <c r="E15" s="6" t="s">
        <v>74</v>
      </c>
      <c r="F15" s="6">
        <v>4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7</v>
      </c>
      <c r="O15" s="9">
        <v>4.0000000000000002E-4</v>
      </c>
      <c r="Q15" s="6" t="s">
        <v>86</v>
      </c>
      <c r="R15" s="6">
        <v>1</v>
      </c>
      <c r="S15" s="30">
        <v>0</v>
      </c>
      <c r="Y15" s="6" t="s">
        <v>17</v>
      </c>
      <c r="Z15" s="6">
        <v>27</v>
      </c>
      <c r="AA15" s="9">
        <v>5.9999999999999995E-4</v>
      </c>
      <c r="AC15" s="6" t="s">
        <v>86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17</v>
      </c>
      <c r="B16" s="6">
        <v>30</v>
      </c>
      <c r="C16" s="9">
        <v>5.0000000000000001E-4</v>
      </c>
      <c r="E16" s="6" t="s">
        <v>89</v>
      </c>
      <c r="F16" s="6">
        <v>4</v>
      </c>
      <c r="G16" s="9">
        <v>1E-4</v>
      </c>
      <c r="I16" s="6" t="s">
        <v>132</v>
      </c>
      <c r="J16" s="6">
        <v>1</v>
      </c>
      <c r="K16" s="30">
        <v>0</v>
      </c>
      <c r="M16" s="6" t="s">
        <v>5</v>
      </c>
      <c r="N16" s="6">
        <v>6</v>
      </c>
      <c r="O16" s="9">
        <v>2.9999999999999997E-4</v>
      </c>
      <c r="Q16" s="6" t="s">
        <v>167</v>
      </c>
      <c r="R16" s="6">
        <v>1</v>
      </c>
      <c r="S16" s="30">
        <v>0</v>
      </c>
      <c r="Y16" s="6" t="s">
        <v>41</v>
      </c>
      <c r="Z16" s="6">
        <v>25</v>
      </c>
      <c r="AA16" s="9">
        <v>5.9999999999999995E-4</v>
      </c>
      <c r="AC16" s="6" t="s">
        <v>78</v>
      </c>
      <c r="AD16" s="6">
        <v>3</v>
      </c>
      <c r="AE16" s="9">
        <v>1E-4</v>
      </c>
      <c r="AG16" s="6" t="s">
        <v>132</v>
      </c>
      <c r="AH16" s="6">
        <v>1</v>
      </c>
      <c r="AI16" s="30">
        <v>0</v>
      </c>
    </row>
    <row r="17" spans="1:31">
      <c r="A17" s="6" t="s">
        <v>41</v>
      </c>
      <c r="B17" s="6">
        <v>32</v>
      </c>
      <c r="C17" s="9">
        <v>5.0000000000000001E-4</v>
      </c>
      <c r="E17" s="6" t="s">
        <v>92</v>
      </c>
      <c r="F17" s="6">
        <v>2</v>
      </c>
      <c r="G17" s="30">
        <v>0</v>
      </c>
      <c r="M17" s="6" t="s">
        <v>9</v>
      </c>
      <c r="N17" s="6">
        <v>6</v>
      </c>
      <c r="O17" s="9">
        <v>2.9999999999999997E-4</v>
      </c>
      <c r="Q17" s="6" t="s">
        <v>145</v>
      </c>
      <c r="R17" s="6">
        <v>1</v>
      </c>
      <c r="S17" s="30">
        <v>0</v>
      </c>
      <c r="Y17" s="6" t="s">
        <v>7</v>
      </c>
      <c r="Z17" s="6">
        <v>28</v>
      </c>
      <c r="AA17" s="9">
        <v>5.9999999999999995E-4</v>
      </c>
      <c r="AC17" s="6" t="s">
        <v>80</v>
      </c>
      <c r="AD17" s="6">
        <v>1</v>
      </c>
      <c r="AE17" s="30">
        <v>0</v>
      </c>
    </row>
    <row r="18" spans="1:31">
      <c r="A18" s="6" t="s">
        <v>18</v>
      </c>
      <c r="B18" s="6">
        <v>23</v>
      </c>
      <c r="C18" s="9">
        <v>4.0000000000000002E-4</v>
      </c>
      <c r="E18" s="6" t="s">
        <v>80</v>
      </c>
      <c r="F18" s="6">
        <v>1</v>
      </c>
      <c r="G18" s="30">
        <v>0</v>
      </c>
      <c r="M18" s="6" t="s">
        <v>29</v>
      </c>
      <c r="N18" s="6">
        <v>6</v>
      </c>
      <c r="O18" s="9">
        <v>2.9999999999999997E-4</v>
      </c>
      <c r="Y18" s="6" t="s">
        <v>12</v>
      </c>
      <c r="Z18" s="6">
        <v>22</v>
      </c>
      <c r="AA18" s="9">
        <v>5.0000000000000001E-4</v>
      </c>
      <c r="AC18" s="6" t="s">
        <v>75</v>
      </c>
      <c r="AD18" s="6">
        <v>2</v>
      </c>
      <c r="AE18" s="30">
        <v>0</v>
      </c>
    </row>
    <row r="19" spans="1:31">
      <c r="A19" s="6" t="s">
        <v>12</v>
      </c>
      <c r="B19" s="6">
        <v>22</v>
      </c>
      <c r="C19" s="9">
        <v>2.9999999999999997E-4</v>
      </c>
      <c r="E19" s="6" t="s">
        <v>78</v>
      </c>
      <c r="F19" s="6">
        <v>3</v>
      </c>
      <c r="G19" s="30">
        <v>0</v>
      </c>
      <c r="M19" s="6" t="s">
        <v>31</v>
      </c>
      <c r="N19" s="6">
        <v>5</v>
      </c>
      <c r="O19" s="9">
        <v>2.9999999999999997E-4</v>
      </c>
      <c r="Y19" s="6" t="s">
        <v>18</v>
      </c>
      <c r="Z19" s="6">
        <v>15</v>
      </c>
      <c r="AA19" s="9">
        <v>2.9999999999999997E-4</v>
      </c>
      <c r="AC19" s="6" t="s">
        <v>74</v>
      </c>
      <c r="AD19" s="6">
        <v>2</v>
      </c>
      <c r="AE19" s="30">
        <v>0</v>
      </c>
    </row>
    <row r="20" spans="1:31">
      <c r="A20" s="6" t="s">
        <v>29</v>
      </c>
      <c r="B20" s="6">
        <v>16</v>
      </c>
      <c r="C20" s="9">
        <v>2.9999999999999997E-4</v>
      </c>
      <c r="E20" s="6" t="s">
        <v>75</v>
      </c>
      <c r="F20" s="6">
        <v>2</v>
      </c>
      <c r="G20" s="30">
        <v>0</v>
      </c>
      <c r="M20" s="6" t="s">
        <v>17</v>
      </c>
      <c r="N20" s="6">
        <v>3</v>
      </c>
      <c r="O20" s="9">
        <v>2.0000000000000001E-4</v>
      </c>
      <c r="Y20" s="6" t="s">
        <v>37</v>
      </c>
      <c r="Z20" s="6">
        <v>14</v>
      </c>
      <c r="AA20" s="9">
        <v>2.9999999999999997E-4</v>
      </c>
    </row>
    <row r="21" spans="1:31">
      <c r="A21" s="6" t="s">
        <v>37</v>
      </c>
      <c r="B21" s="6">
        <v>15</v>
      </c>
      <c r="C21" s="9">
        <v>2.0000000000000001E-4</v>
      </c>
      <c r="E21" s="6" t="s">
        <v>167</v>
      </c>
      <c r="F21" s="6">
        <v>1</v>
      </c>
      <c r="G21" s="30">
        <v>0</v>
      </c>
      <c r="M21" s="6" t="s">
        <v>10</v>
      </c>
      <c r="N21" s="6">
        <v>3</v>
      </c>
      <c r="O21" s="9">
        <v>2.0000000000000001E-4</v>
      </c>
      <c r="Y21" s="6" t="s">
        <v>21</v>
      </c>
      <c r="Z21" s="6">
        <v>7</v>
      </c>
      <c r="AA21" s="9">
        <v>2.0000000000000001E-4</v>
      </c>
    </row>
    <row r="22" spans="1:31">
      <c r="A22" s="6" t="s">
        <v>19</v>
      </c>
      <c r="B22" s="6">
        <v>6</v>
      </c>
      <c r="C22" s="9">
        <v>1E-4</v>
      </c>
      <c r="E22" s="6" t="s">
        <v>145</v>
      </c>
      <c r="F22" s="6">
        <v>1</v>
      </c>
      <c r="G22" s="30">
        <v>0</v>
      </c>
      <c r="M22" s="6" t="s">
        <v>27</v>
      </c>
      <c r="N22" s="6">
        <v>3</v>
      </c>
      <c r="O22" s="9">
        <v>2.0000000000000001E-4</v>
      </c>
      <c r="Y22" s="6" t="s">
        <v>29</v>
      </c>
      <c r="Z22" s="6">
        <v>10</v>
      </c>
      <c r="AA22" s="9">
        <v>2.0000000000000001E-4</v>
      </c>
    </row>
    <row r="23" spans="1:31">
      <c r="A23" s="6" t="s">
        <v>20</v>
      </c>
      <c r="B23" s="6">
        <v>6</v>
      </c>
      <c r="C23" s="9">
        <v>1E-4</v>
      </c>
      <c r="M23" s="6" t="s">
        <v>19</v>
      </c>
      <c r="N23" s="6">
        <v>1</v>
      </c>
      <c r="O23" s="9">
        <v>1E-4</v>
      </c>
      <c r="Y23" s="6" t="s">
        <v>14</v>
      </c>
      <c r="Z23" s="6">
        <v>7</v>
      </c>
      <c r="AA23" s="9">
        <v>2.0000000000000001E-4</v>
      </c>
    </row>
    <row r="24" spans="1:31">
      <c r="A24" s="6" t="s">
        <v>21</v>
      </c>
      <c r="B24" s="6">
        <v>9</v>
      </c>
      <c r="C24" s="9">
        <v>1E-4</v>
      </c>
      <c r="M24" s="6" t="s">
        <v>115</v>
      </c>
      <c r="N24" s="6">
        <v>1</v>
      </c>
      <c r="O24" s="9">
        <v>1E-4</v>
      </c>
      <c r="Y24" s="6" t="s">
        <v>19</v>
      </c>
      <c r="Z24" s="6">
        <v>5</v>
      </c>
      <c r="AA24" s="9">
        <v>1E-4</v>
      </c>
    </row>
    <row r="25" spans="1:31">
      <c r="A25" s="6" t="s">
        <v>22</v>
      </c>
      <c r="B25" s="6">
        <v>9</v>
      </c>
      <c r="C25" s="9">
        <v>1E-4</v>
      </c>
      <c r="M25" s="6" t="s">
        <v>21</v>
      </c>
      <c r="N25" s="6">
        <v>2</v>
      </c>
      <c r="O25" s="9">
        <v>1E-4</v>
      </c>
      <c r="Y25" s="6" t="s">
        <v>20</v>
      </c>
      <c r="Z25" s="6">
        <v>6</v>
      </c>
      <c r="AA25" s="9">
        <v>1E-4</v>
      </c>
    </row>
    <row r="26" spans="1:31">
      <c r="A26" s="6" t="s">
        <v>16</v>
      </c>
      <c r="B26" s="6">
        <v>5</v>
      </c>
      <c r="C26" s="9">
        <v>1E-4</v>
      </c>
      <c r="M26" s="6" t="s">
        <v>15</v>
      </c>
      <c r="N26" s="6">
        <v>2</v>
      </c>
      <c r="O26" s="9">
        <v>1E-4</v>
      </c>
      <c r="Y26" s="6" t="s">
        <v>16</v>
      </c>
      <c r="Z26" s="6">
        <v>5</v>
      </c>
      <c r="AA26" s="9">
        <v>1E-4</v>
      </c>
    </row>
    <row r="27" spans="1:31">
      <c r="A27" s="6" t="s">
        <v>31</v>
      </c>
      <c r="B27" s="6">
        <v>8</v>
      </c>
      <c r="C27" s="9">
        <v>1E-4</v>
      </c>
      <c r="M27" s="6" t="s">
        <v>40</v>
      </c>
      <c r="N27" s="6">
        <v>1</v>
      </c>
      <c r="O27" s="9">
        <v>1E-4</v>
      </c>
      <c r="Y27" s="6" t="s">
        <v>38</v>
      </c>
      <c r="Z27" s="6">
        <v>4</v>
      </c>
      <c r="AA27" s="9">
        <v>1E-4</v>
      </c>
    </row>
    <row r="28" spans="1:31">
      <c r="A28" s="6" t="s">
        <v>15</v>
      </c>
      <c r="B28" s="6">
        <v>4</v>
      </c>
      <c r="C28" s="9">
        <v>1E-4</v>
      </c>
      <c r="M28" s="6" t="s">
        <v>43</v>
      </c>
      <c r="N28" s="6">
        <v>2</v>
      </c>
      <c r="O28" s="9">
        <v>1E-4</v>
      </c>
      <c r="Y28" s="6" t="s">
        <v>58</v>
      </c>
      <c r="Z28" s="6">
        <v>4</v>
      </c>
      <c r="AA28" s="9">
        <v>1E-4</v>
      </c>
    </row>
    <row r="29" spans="1:31">
      <c r="A29" s="6" t="s">
        <v>10</v>
      </c>
      <c r="B29" s="6">
        <v>5</v>
      </c>
      <c r="C29" s="9">
        <v>1E-4</v>
      </c>
      <c r="M29" s="6" t="s">
        <v>37</v>
      </c>
      <c r="N29" s="6">
        <v>1</v>
      </c>
      <c r="O29" s="9">
        <v>1E-4</v>
      </c>
      <c r="Y29" s="6" t="s">
        <v>31</v>
      </c>
      <c r="Z29" s="6">
        <v>3</v>
      </c>
      <c r="AA29" s="9">
        <v>1E-4</v>
      </c>
    </row>
    <row r="30" spans="1:31">
      <c r="A30" s="6" t="s">
        <v>14</v>
      </c>
      <c r="B30" s="6">
        <v>7</v>
      </c>
      <c r="C30" s="9">
        <v>1E-4</v>
      </c>
      <c r="M30" s="6" t="s">
        <v>24</v>
      </c>
      <c r="N30" s="6">
        <v>2</v>
      </c>
      <c r="O30" s="9">
        <v>1E-4</v>
      </c>
      <c r="Y30" s="6" t="s">
        <v>30</v>
      </c>
      <c r="Z30" s="6">
        <v>3</v>
      </c>
      <c r="AA30" s="9">
        <v>1E-4</v>
      </c>
    </row>
    <row r="31" spans="1:31">
      <c r="A31" s="6" t="s">
        <v>38</v>
      </c>
      <c r="B31" s="6">
        <v>5</v>
      </c>
      <c r="C31" s="9">
        <v>1E-4</v>
      </c>
      <c r="M31" s="6" t="s">
        <v>26</v>
      </c>
      <c r="N31" s="6">
        <v>1</v>
      </c>
      <c r="O31" s="9">
        <v>1E-4</v>
      </c>
      <c r="Y31" s="6" t="s">
        <v>27</v>
      </c>
      <c r="Z31" s="6">
        <v>5</v>
      </c>
      <c r="AA31" s="9">
        <v>1E-4</v>
      </c>
    </row>
    <row r="32" spans="1:31">
      <c r="A32" s="6" t="s">
        <v>24</v>
      </c>
      <c r="B32" s="6">
        <v>4</v>
      </c>
      <c r="C32" s="9">
        <v>1E-4</v>
      </c>
      <c r="M32" s="6" t="s">
        <v>66</v>
      </c>
      <c r="N32" s="6">
        <v>1</v>
      </c>
      <c r="O32" s="9">
        <v>1E-4</v>
      </c>
      <c r="Y32" s="6" t="s">
        <v>39</v>
      </c>
      <c r="Z32" s="6">
        <v>3</v>
      </c>
      <c r="AA32" s="9">
        <v>1E-4</v>
      </c>
    </row>
    <row r="33" spans="1:27">
      <c r="A33" s="6" t="s">
        <v>58</v>
      </c>
      <c r="B33" s="6">
        <v>4</v>
      </c>
      <c r="C33" s="9">
        <v>1E-4</v>
      </c>
      <c r="M33" s="6" t="s">
        <v>69</v>
      </c>
      <c r="N33" s="6">
        <v>1</v>
      </c>
      <c r="O33" s="9">
        <v>1E-4</v>
      </c>
      <c r="Y33" s="6" t="s">
        <v>115</v>
      </c>
      <c r="Z33" s="6">
        <v>2</v>
      </c>
      <c r="AA33" s="30">
        <v>0</v>
      </c>
    </row>
    <row r="34" spans="1:27">
      <c r="A34" s="6" t="s">
        <v>27</v>
      </c>
      <c r="B34" s="6">
        <v>8</v>
      </c>
      <c r="C34" s="9">
        <v>1E-4</v>
      </c>
      <c r="M34" s="6" t="s">
        <v>25</v>
      </c>
      <c r="N34" s="6">
        <v>1</v>
      </c>
      <c r="O34" s="9">
        <v>1E-4</v>
      </c>
      <c r="Y34" s="6" t="s">
        <v>36</v>
      </c>
      <c r="Z34" s="6">
        <v>2</v>
      </c>
      <c r="AA34" s="30">
        <v>0</v>
      </c>
    </row>
    <row r="35" spans="1:27">
      <c r="A35" s="6" t="s">
        <v>115</v>
      </c>
      <c r="B35" s="6">
        <v>3</v>
      </c>
      <c r="C35" s="30">
        <v>0</v>
      </c>
      <c r="M35" s="6" t="s">
        <v>38</v>
      </c>
      <c r="N35" s="6">
        <v>1</v>
      </c>
      <c r="O35" s="9">
        <v>1E-4</v>
      </c>
      <c r="Y35" s="6" t="s">
        <v>121</v>
      </c>
      <c r="Z35" s="6">
        <v>1</v>
      </c>
      <c r="AA35" s="30">
        <v>0</v>
      </c>
    </row>
    <row r="36" spans="1:27">
      <c r="A36" s="6" t="s">
        <v>66</v>
      </c>
      <c r="B36" s="6">
        <v>1</v>
      </c>
      <c r="C36" s="30">
        <v>0</v>
      </c>
      <c r="Y36" s="6" t="s">
        <v>15</v>
      </c>
      <c r="Z36" s="6">
        <v>2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121</v>
      </c>
      <c r="B38" s="6">
        <v>1</v>
      </c>
      <c r="C38" s="30">
        <v>0</v>
      </c>
      <c r="Y38" s="6" t="s">
        <v>40</v>
      </c>
      <c r="Z38" s="6">
        <v>2</v>
      </c>
      <c r="AA38" s="30">
        <v>0</v>
      </c>
    </row>
    <row r="39" spans="1:27">
      <c r="A39" s="6" t="s">
        <v>40</v>
      </c>
      <c r="B39" s="6">
        <v>3</v>
      </c>
      <c r="C39" s="30">
        <v>0</v>
      </c>
      <c r="Y39" s="6" t="s">
        <v>10</v>
      </c>
      <c r="Z39" s="6">
        <v>2</v>
      </c>
      <c r="AA39" s="30">
        <v>0</v>
      </c>
    </row>
    <row r="40" spans="1:27">
      <c r="A40" s="6" t="s">
        <v>45</v>
      </c>
      <c r="B40" s="6">
        <v>1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39</v>
      </c>
      <c r="B41" s="6">
        <v>3</v>
      </c>
      <c r="C41" s="30">
        <v>0</v>
      </c>
      <c r="Y41" s="6" t="s">
        <v>68</v>
      </c>
      <c r="Z41" s="6">
        <v>2</v>
      </c>
      <c r="AA41" s="30">
        <v>0</v>
      </c>
    </row>
    <row r="42" spans="1:27">
      <c r="A42" s="6" t="s">
        <v>30</v>
      </c>
      <c r="B42" s="6">
        <v>3</v>
      </c>
      <c r="C42" s="30">
        <v>0</v>
      </c>
      <c r="Y42" s="6" t="s">
        <v>22</v>
      </c>
      <c r="Z42" s="6">
        <v>2</v>
      </c>
      <c r="AA42" s="30">
        <v>0</v>
      </c>
    </row>
    <row r="43" spans="1:27">
      <c r="A43" s="6" t="s">
        <v>68</v>
      </c>
      <c r="B43" s="6">
        <v>2</v>
      </c>
      <c r="C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43</v>
      </c>
      <c r="B44" s="6">
        <v>3</v>
      </c>
      <c r="C44" s="30">
        <v>0</v>
      </c>
      <c r="Y44" s="6" t="s">
        <v>25</v>
      </c>
      <c r="Z44" s="6">
        <v>2</v>
      </c>
      <c r="AA44" s="30">
        <v>0</v>
      </c>
    </row>
    <row r="45" spans="1:27">
      <c r="A45" s="6" t="s">
        <v>25</v>
      </c>
      <c r="B45" s="6">
        <v>3</v>
      </c>
      <c r="C45" s="30">
        <v>0</v>
      </c>
      <c r="Y45" s="6" t="s">
        <v>26</v>
      </c>
      <c r="Z45" s="6">
        <v>1</v>
      </c>
      <c r="AA45" s="30">
        <v>0</v>
      </c>
    </row>
    <row r="46" spans="1:27">
      <c r="A46" s="6" t="s">
        <v>48</v>
      </c>
      <c r="B46" s="6">
        <v>1</v>
      </c>
      <c r="C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26</v>
      </c>
      <c r="B47" s="6">
        <v>2</v>
      </c>
      <c r="C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60</v>
      </c>
      <c r="B48" s="6">
        <v>1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69</v>
      </c>
      <c r="B49" s="6">
        <v>2</v>
      </c>
      <c r="C49" s="30">
        <v>0</v>
      </c>
      <c r="Y49" s="6" t="s">
        <v>165</v>
      </c>
      <c r="Z49" s="6">
        <v>1</v>
      </c>
      <c r="AA49" s="30">
        <v>0</v>
      </c>
    </row>
    <row r="50" spans="1:27">
      <c r="A50" s="6" t="s">
        <v>32</v>
      </c>
      <c r="B50" s="6">
        <v>1</v>
      </c>
      <c r="C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59</v>
      </c>
      <c r="B51" s="6">
        <v>1</v>
      </c>
      <c r="C51" s="30">
        <v>0</v>
      </c>
      <c r="Y51" s="6" t="s">
        <v>53</v>
      </c>
      <c r="Z51" s="6">
        <v>1</v>
      </c>
      <c r="AA51" s="30">
        <v>0</v>
      </c>
    </row>
    <row r="52" spans="1:27">
      <c r="A52" s="6" t="s">
        <v>53</v>
      </c>
      <c r="B52" s="6">
        <v>1</v>
      </c>
      <c r="C52" s="30">
        <v>0</v>
      </c>
      <c r="Y52" s="6" t="s">
        <v>43</v>
      </c>
      <c r="Z52" s="6">
        <v>1</v>
      </c>
      <c r="AA52" s="30">
        <v>0</v>
      </c>
    </row>
    <row r="53" spans="1:27">
      <c r="A53" s="6" t="s">
        <v>165</v>
      </c>
      <c r="B53" s="6">
        <v>1</v>
      </c>
      <c r="C53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55C48-4057-4393-B046-4F4B860C2753}">
  <sheetPr codeName="Sheet33"/>
  <dimension ref="A1:AI55"/>
  <sheetViews>
    <sheetView topLeftCell="R1" workbookViewId="0">
      <selection activeCell="AG16" sqref="AG16:AI1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103402</v>
      </c>
      <c r="E2" s="41" t="s">
        <v>4</v>
      </c>
      <c r="F2" s="23" t="s">
        <v>105</v>
      </c>
      <c r="G2" s="23">
        <f>G3+G4</f>
        <v>93884</v>
      </c>
      <c r="H2" s="22"/>
      <c r="I2" s="41" t="s">
        <v>6</v>
      </c>
      <c r="J2" s="23" t="s">
        <v>105</v>
      </c>
      <c r="K2" s="23">
        <f>K3+K4</f>
        <v>95066</v>
      </c>
      <c r="M2" s="41" t="s">
        <v>104</v>
      </c>
      <c r="N2" s="23" t="s">
        <v>105</v>
      </c>
      <c r="O2" s="23">
        <f>O3+O4</f>
        <v>42453</v>
      </c>
      <c r="Q2" s="41" t="s">
        <v>4</v>
      </c>
      <c r="R2" s="23" t="s">
        <v>105</v>
      </c>
      <c r="S2" s="23">
        <f>S3+S4</f>
        <v>38548</v>
      </c>
      <c r="T2" s="22"/>
      <c r="U2" s="41" t="s">
        <v>6</v>
      </c>
      <c r="V2" s="23" t="s">
        <v>105</v>
      </c>
      <c r="W2" s="23">
        <f>W3+W4</f>
        <v>39251</v>
      </c>
      <c r="Y2" s="41" t="s">
        <v>104</v>
      </c>
      <c r="Z2" s="23" t="s">
        <v>105</v>
      </c>
      <c r="AA2" s="23">
        <f>AA3+AA4</f>
        <v>60942</v>
      </c>
      <c r="AC2" s="41" t="s">
        <v>4</v>
      </c>
      <c r="AD2" s="23" t="s">
        <v>105</v>
      </c>
      <c r="AE2" s="23">
        <f>AE3+AE4</f>
        <v>55337</v>
      </c>
      <c r="AF2" s="22"/>
      <c r="AG2" s="41" t="s">
        <v>6</v>
      </c>
      <c r="AH2" s="23" t="s">
        <v>105</v>
      </c>
      <c r="AI2" s="23">
        <f>AI3+AI4</f>
        <v>55817</v>
      </c>
    </row>
    <row r="3" spans="1:35">
      <c r="A3" s="42"/>
      <c r="B3" s="24" t="s">
        <v>106</v>
      </c>
      <c r="C3" s="24">
        <f>B8</f>
        <v>102028</v>
      </c>
      <c r="E3" s="42"/>
      <c r="F3" s="24" t="s">
        <v>106</v>
      </c>
      <c r="G3" s="24">
        <f>F8</f>
        <v>93603</v>
      </c>
      <c r="H3" s="22"/>
      <c r="I3" s="42"/>
      <c r="J3" s="24" t="s">
        <v>106</v>
      </c>
      <c r="K3" s="24">
        <f>J8</f>
        <v>94988</v>
      </c>
      <c r="M3" s="42"/>
      <c r="N3" s="24" t="s">
        <v>106</v>
      </c>
      <c r="O3" s="24">
        <f>N8</f>
        <v>41950</v>
      </c>
      <c r="Q3" s="42"/>
      <c r="R3" s="24" t="s">
        <v>106</v>
      </c>
      <c r="S3" s="24">
        <f>R8</f>
        <v>38466</v>
      </c>
      <c r="T3" s="22"/>
      <c r="U3" s="42"/>
      <c r="V3" s="24" t="s">
        <v>106</v>
      </c>
      <c r="W3" s="24">
        <f>V8</f>
        <v>39221</v>
      </c>
      <c r="Y3" s="42"/>
      <c r="Z3" s="24" t="s">
        <v>106</v>
      </c>
      <c r="AA3" s="24">
        <f>Z8</f>
        <v>60078</v>
      </c>
      <c r="AC3" s="42"/>
      <c r="AD3" s="24" t="s">
        <v>106</v>
      </c>
      <c r="AE3" s="24">
        <f>AD8</f>
        <v>55137</v>
      </c>
      <c r="AF3" s="22"/>
      <c r="AG3" s="42"/>
      <c r="AH3" s="24" t="s">
        <v>106</v>
      </c>
      <c r="AI3" s="24">
        <f>AH8</f>
        <v>55767</v>
      </c>
    </row>
    <row r="4" spans="1:35">
      <c r="A4" s="42"/>
      <c r="B4" s="25" t="s">
        <v>107</v>
      </c>
      <c r="C4" s="25">
        <f>SUM(B9:B66)</f>
        <v>1374</v>
      </c>
      <c r="E4" s="42"/>
      <c r="F4" s="25" t="s">
        <v>107</v>
      </c>
      <c r="G4" s="25">
        <f>SUM(F9:F33)</f>
        <v>281</v>
      </c>
      <c r="H4" s="22"/>
      <c r="I4" s="42"/>
      <c r="J4" s="25" t="s">
        <v>107</v>
      </c>
      <c r="K4" s="25">
        <f>SUM(J9:J31)</f>
        <v>78</v>
      </c>
      <c r="M4" s="42"/>
      <c r="N4" s="25" t="s">
        <v>107</v>
      </c>
      <c r="O4" s="25">
        <f>SUM(N9:N66)</f>
        <v>503</v>
      </c>
      <c r="Q4" s="42"/>
      <c r="R4" s="25" t="s">
        <v>107</v>
      </c>
      <c r="S4" s="25">
        <f>SUM(R9:R33)</f>
        <v>82</v>
      </c>
      <c r="T4" s="22"/>
      <c r="U4" s="42"/>
      <c r="V4" s="25" t="s">
        <v>107</v>
      </c>
      <c r="W4" s="25">
        <f>SUM(V9:V31)</f>
        <v>30</v>
      </c>
      <c r="Y4" s="42"/>
      <c r="Z4" s="25" t="s">
        <v>107</v>
      </c>
      <c r="AA4" s="25">
        <f>SUM(Z9:Z45)</f>
        <v>864</v>
      </c>
      <c r="AC4" s="42"/>
      <c r="AD4" s="25" t="s">
        <v>107</v>
      </c>
      <c r="AE4" s="25">
        <f>SUM(AD9:AD29)</f>
        <v>200</v>
      </c>
      <c r="AF4" s="22"/>
      <c r="AG4" s="42"/>
      <c r="AH4" s="25" t="s">
        <v>107</v>
      </c>
      <c r="AI4" s="25">
        <f>SUM(AH9:AH29)</f>
        <v>50</v>
      </c>
    </row>
    <row r="5" spans="1:35">
      <c r="A5" s="43"/>
      <c r="B5" s="23" t="s">
        <v>108</v>
      </c>
      <c r="C5" s="26">
        <f>SUM(C9:C179)</f>
        <v>1.2899999999999995E-2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8.0000000000000004E-4</v>
      </c>
      <c r="M5" s="43"/>
      <c r="N5" s="23" t="s">
        <v>108</v>
      </c>
      <c r="O5" s="26">
        <f>SUM(O9:O179)</f>
        <v>1.1599999999999991E-2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1.3499999999999996E-2</v>
      </c>
      <c r="AC5" s="43"/>
      <c r="AD5" s="23" t="s">
        <v>108</v>
      </c>
      <c r="AE5" s="26">
        <f>SUM(AE9:AE29)</f>
        <v>3.5999999999999999E-3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102028</v>
      </c>
      <c r="C8" s="9">
        <v>0.98670000000000002</v>
      </c>
      <c r="E8" s="6" t="s">
        <v>112</v>
      </c>
      <c r="F8" s="29">
        <v>93603</v>
      </c>
      <c r="G8" s="9">
        <v>0.997</v>
      </c>
      <c r="I8" s="6" t="s">
        <v>112</v>
      </c>
      <c r="J8" s="29">
        <v>94988</v>
      </c>
      <c r="K8" s="9">
        <v>0.99919999999999998</v>
      </c>
      <c r="M8" s="6" t="s">
        <v>112</v>
      </c>
      <c r="N8" s="29">
        <v>41950</v>
      </c>
      <c r="O8" s="9">
        <v>0.98819999999999997</v>
      </c>
      <c r="Q8" s="6" t="s">
        <v>112</v>
      </c>
      <c r="R8" s="29">
        <v>38466</v>
      </c>
      <c r="S8" s="9">
        <v>0.99790000000000001</v>
      </c>
      <c r="U8" s="6" t="s">
        <v>112</v>
      </c>
      <c r="V8" s="29">
        <v>39221</v>
      </c>
      <c r="W8" s="9">
        <v>0.99919999999999998</v>
      </c>
      <c r="Y8" s="6" t="s">
        <v>112</v>
      </c>
      <c r="Z8" s="29">
        <v>60078</v>
      </c>
      <c r="AA8" s="9">
        <v>0.98570000000000002</v>
      </c>
      <c r="AC8" s="6" t="s">
        <v>112</v>
      </c>
      <c r="AD8" s="29">
        <v>55137</v>
      </c>
      <c r="AE8" s="9">
        <v>0.99639999999999995</v>
      </c>
      <c r="AG8" s="6" t="s">
        <v>112</v>
      </c>
      <c r="AH8" s="29">
        <v>55767</v>
      </c>
      <c r="AI8" s="9">
        <v>0.99909999999999999</v>
      </c>
    </row>
    <row r="9" spans="1:35">
      <c r="A9" s="6" t="s">
        <v>2</v>
      </c>
      <c r="B9" s="6">
        <v>335</v>
      </c>
      <c r="C9" s="9">
        <v>3.2000000000000002E-3</v>
      </c>
      <c r="E9" s="6" t="s">
        <v>122</v>
      </c>
      <c r="F9" s="6">
        <v>187</v>
      </c>
      <c r="G9" s="9">
        <v>2E-3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166</v>
      </c>
      <c r="O9" s="9">
        <v>3.8999999999999998E-3</v>
      </c>
      <c r="Q9" s="6" t="s">
        <v>122</v>
      </c>
      <c r="R9" s="6">
        <v>66</v>
      </c>
      <c r="S9" s="9">
        <v>1.6999999999999999E-3</v>
      </c>
      <c r="U9" s="6" t="s">
        <v>98</v>
      </c>
      <c r="V9" s="6">
        <v>9</v>
      </c>
      <c r="W9" s="9">
        <v>2.0000000000000001E-4</v>
      </c>
      <c r="Y9" s="6" t="s">
        <v>2</v>
      </c>
      <c r="Z9" s="6">
        <v>169</v>
      </c>
      <c r="AA9" s="9">
        <v>2.8E-3</v>
      </c>
      <c r="AC9" s="6" t="s">
        <v>122</v>
      </c>
      <c r="AD9" s="6">
        <v>121</v>
      </c>
      <c r="AE9" s="9">
        <v>2.2000000000000001E-3</v>
      </c>
      <c r="AG9" s="6" t="s">
        <v>2</v>
      </c>
      <c r="AH9" s="6">
        <v>23</v>
      </c>
      <c r="AI9" s="9">
        <v>4.0000000000000002E-4</v>
      </c>
    </row>
    <row r="10" spans="1:35">
      <c r="A10" s="6" t="s">
        <v>3</v>
      </c>
      <c r="B10" s="6">
        <v>233</v>
      </c>
      <c r="C10" s="9">
        <v>2.3E-3</v>
      </c>
      <c r="E10" s="6" t="s">
        <v>77</v>
      </c>
      <c r="F10" s="6">
        <v>20</v>
      </c>
      <c r="G10" s="9">
        <v>2.0000000000000001E-4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104</v>
      </c>
      <c r="O10" s="9">
        <v>2.3999999999999998E-3</v>
      </c>
      <c r="Q10" s="6" t="s">
        <v>92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9</v>
      </c>
      <c r="Z10" s="6">
        <v>149</v>
      </c>
      <c r="AA10" s="9">
        <v>2.3999999999999998E-3</v>
      </c>
      <c r="AC10" s="6" t="s">
        <v>83</v>
      </c>
      <c r="AD10" s="6">
        <v>23</v>
      </c>
      <c r="AE10" s="9">
        <v>4.0000000000000002E-4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9</v>
      </c>
      <c r="B11" s="6">
        <v>160</v>
      </c>
      <c r="C11" s="9">
        <v>1.5E-3</v>
      </c>
      <c r="E11" s="6" t="s">
        <v>83</v>
      </c>
      <c r="F11" s="6">
        <v>23</v>
      </c>
      <c r="G11" s="9">
        <v>2.0000000000000001E-4</v>
      </c>
      <c r="I11" s="6" t="s">
        <v>99</v>
      </c>
      <c r="J11" s="6">
        <v>16</v>
      </c>
      <c r="K11" s="9">
        <v>2.0000000000000001E-4</v>
      </c>
      <c r="M11" s="6" t="s">
        <v>7</v>
      </c>
      <c r="N11" s="6">
        <v>42</v>
      </c>
      <c r="O11" s="9">
        <v>1E-3</v>
      </c>
      <c r="Q11" s="6" t="s">
        <v>76</v>
      </c>
      <c r="R11" s="6">
        <v>4</v>
      </c>
      <c r="S11" s="9">
        <v>1E-4</v>
      </c>
      <c r="U11" s="6" t="s">
        <v>2</v>
      </c>
      <c r="V11" s="6">
        <v>8</v>
      </c>
      <c r="W11" s="9">
        <v>2.0000000000000001E-4</v>
      </c>
      <c r="Y11" s="6" t="s">
        <v>3</v>
      </c>
      <c r="Z11" s="6">
        <v>129</v>
      </c>
      <c r="AA11" s="9">
        <v>2.0999999999999999E-3</v>
      </c>
      <c r="AC11" s="6" t="s">
        <v>77</v>
      </c>
      <c r="AD11" s="6">
        <v>17</v>
      </c>
      <c r="AE11" s="9">
        <v>2.9999999999999997E-4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109</v>
      </c>
      <c r="C12" s="9">
        <v>1.1000000000000001E-3</v>
      </c>
      <c r="E12" s="6" t="s">
        <v>76</v>
      </c>
      <c r="F12" s="6">
        <v>7</v>
      </c>
      <c r="G12" s="9">
        <v>1E-4</v>
      </c>
      <c r="I12" s="6" t="s">
        <v>102</v>
      </c>
      <c r="J12" s="6">
        <v>8</v>
      </c>
      <c r="K12" s="9">
        <v>1E-4</v>
      </c>
      <c r="M12" s="6" t="s">
        <v>11</v>
      </c>
      <c r="N12" s="6">
        <v>32</v>
      </c>
      <c r="O12" s="9">
        <v>8.0000000000000004E-4</v>
      </c>
      <c r="Q12" s="6" t="s">
        <v>77</v>
      </c>
      <c r="R12" s="6">
        <v>3</v>
      </c>
      <c r="S12" s="9">
        <v>1E-4</v>
      </c>
      <c r="U12" s="6" t="s">
        <v>102</v>
      </c>
      <c r="V12" s="6">
        <v>5</v>
      </c>
      <c r="W12" s="9">
        <v>1E-4</v>
      </c>
      <c r="Y12" s="6" t="s">
        <v>8</v>
      </c>
      <c r="Z12" s="6">
        <v>105</v>
      </c>
      <c r="AA12" s="9">
        <v>1.6999999999999999E-3</v>
      </c>
      <c r="AC12" s="6" t="s">
        <v>86</v>
      </c>
      <c r="AD12" s="6">
        <v>11</v>
      </c>
      <c r="AE12" s="9">
        <v>2.0000000000000001E-4</v>
      </c>
      <c r="AG12" s="6" t="s">
        <v>98</v>
      </c>
      <c r="AH12" s="6">
        <v>8</v>
      </c>
      <c r="AI12" s="9">
        <v>1E-4</v>
      </c>
    </row>
    <row r="13" spans="1:35">
      <c r="A13" s="6" t="s">
        <v>11</v>
      </c>
      <c r="B13" s="6">
        <v>74</v>
      </c>
      <c r="C13" s="9">
        <v>6.9999999999999999E-4</v>
      </c>
      <c r="E13" s="6" t="s">
        <v>86</v>
      </c>
      <c r="F13" s="6">
        <v>13</v>
      </c>
      <c r="G13" s="9">
        <v>1E-4</v>
      </c>
      <c r="I13" s="6" t="s">
        <v>117</v>
      </c>
      <c r="J13" s="6">
        <v>1</v>
      </c>
      <c r="K13" s="30">
        <v>0</v>
      </c>
      <c r="M13" s="6" t="s">
        <v>5</v>
      </c>
      <c r="N13" s="6">
        <v>15</v>
      </c>
      <c r="O13" s="9">
        <v>4.0000000000000002E-4</v>
      </c>
      <c r="Q13" s="6" t="s">
        <v>74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49</v>
      </c>
      <c r="AA13" s="9">
        <v>8.0000000000000004E-4</v>
      </c>
      <c r="AC13" s="6" t="s">
        <v>74</v>
      </c>
      <c r="AD13" s="6">
        <v>9</v>
      </c>
      <c r="AE13" s="9">
        <v>2.0000000000000001E-4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71</v>
      </c>
      <c r="C14" s="9">
        <v>6.9999999999999999E-4</v>
      </c>
      <c r="E14" s="6" t="s">
        <v>74</v>
      </c>
      <c r="F14" s="6">
        <v>11</v>
      </c>
      <c r="G14" s="9">
        <v>1E-4</v>
      </c>
      <c r="I14" s="6" t="s">
        <v>123</v>
      </c>
      <c r="J14" s="6">
        <v>1</v>
      </c>
      <c r="K14" s="30">
        <v>0</v>
      </c>
      <c r="M14" s="6" t="s">
        <v>31</v>
      </c>
      <c r="N14" s="6">
        <v>18</v>
      </c>
      <c r="O14" s="9">
        <v>4.0000000000000002E-4</v>
      </c>
      <c r="Q14" s="6" t="s">
        <v>86</v>
      </c>
      <c r="R14" s="6">
        <v>2</v>
      </c>
      <c r="S14" s="9">
        <v>1E-4</v>
      </c>
      <c r="U14" s="6" t="s">
        <v>103</v>
      </c>
      <c r="V14" s="6">
        <v>1</v>
      </c>
      <c r="W14" s="30">
        <v>0</v>
      </c>
      <c r="Y14" s="6" t="s">
        <v>11</v>
      </c>
      <c r="Z14" s="6">
        <v>42</v>
      </c>
      <c r="AA14" s="9">
        <v>6.9999999999999999E-4</v>
      </c>
      <c r="AC14" s="6" t="s">
        <v>76</v>
      </c>
      <c r="AD14" s="6">
        <v>3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5</v>
      </c>
      <c r="B15" s="6">
        <v>64</v>
      </c>
      <c r="C15" s="9">
        <v>5.9999999999999995E-4</v>
      </c>
      <c r="E15" s="6" t="s">
        <v>75</v>
      </c>
      <c r="F15" s="6">
        <v>7</v>
      </c>
      <c r="G15" s="9">
        <v>1E-4</v>
      </c>
      <c r="I15" s="6" t="s">
        <v>103</v>
      </c>
      <c r="J15" s="6">
        <v>1</v>
      </c>
      <c r="K15" s="30">
        <v>0</v>
      </c>
      <c r="M15" s="6" t="s">
        <v>41</v>
      </c>
      <c r="N15" s="6">
        <v>16</v>
      </c>
      <c r="O15" s="9">
        <v>4.0000000000000002E-4</v>
      </c>
      <c r="Q15" s="6" t="s">
        <v>80</v>
      </c>
      <c r="R15" s="6">
        <v>1</v>
      </c>
      <c r="S15" s="30">
        <v>0</v>
      </c>
      <c r="Y15" s="6" t="s">
        <v>41</v>
      </c>
      <c r="Z15" s="6">
        <v>32</v>
      </c>
      <c r="AA15" s="9">
        <v>5.0000000000000001E-4</v>
      </c>
      <c r="AC15" s="6" t="s">
        <v>75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48</v>
      </c>
      <c r="C16" s="9">
        <v>5.0000000000000001E-4</v>
      </c>
      <c r="E16" s="6" t="s">
        <v>79</v>
      </c>
      <c r="F16" s="6">
        <v>6</v>
      </c>
      <c r="G16" s="9">
        <v>1E-4</v>
      </c>
      <c r="I16" s="6" t="s">
        <v>113</v>
      </c>
      <c r="J16" s="6">
        <v>3</v>
      </c>
      <c r="K16" s="30">
        <v>0</v>
      </c>
      <c r="M16" s="6" t="s">
        <v>29</v>
      </c>
      <c r="N16" s="6">
        <v>16</v>
      </c>
      <c r="O16" s="9">
        <v>4.0000000000000002E-4</v>
      </c>
      <c r="Q16" s="6" t="s">
        <v>88</v>
      </c>
      <c r="R16" s="6">
        <v>1</v>
      </c>
      <c r="S16" s="30">
        <v>0</v>
      </c>
      <c r="Y16" s="6" t="s">
        <v>7</v>
      </c>
      <c r="Z16" s="6">
        <v>29</v>
      </c>
      <c r="AA16" s="9">
        <v>5.0000000000000001E-4</v>
      </c>
      <c r="AC16" s="6" t="s">
        <v>79</v>
      </c>
      <c r="AD16" s="6">
        <v>6</v>
      </c>
      <c r="AE16" s="9">
        <v>1E-4</v>
      </c>
    </row>
    <row r="17" spans="1:31">
      <c r="A17" s="6" t="s">
        <v>12</v>
      </c>
      <c r="B17" s="6">
        <v>30</v>
      </c>
      <c r="C17" s="9">
        <v>2.9999999999999997E-4</v>
      </c>
      <c r="E17" s="6" t="s">
        <v>92</v>
      </c>
      <c r="F17" s="6">
        <v>3</v>
      </c>
      <c r="G17" s="30">
        <v>0</v>
      </c>
      <c r="M17" s="6" t="s">
        <v>22</v>
      </c>
      <c r="N17" s="6">
        <v>11</v>
      </c>
      <c r="O17" s="9">
        <v>2.9999999999999997E-4</v>
      </c>
      <c r="Q17" s="6" t="s">
        <v>85</v>
      </c>
      <c r="R17" s="6">
        <v>1</v>
      </c>
      <c r="S17" s="30">
        <v>0</v>
      </c>
      <c r="Y17" s="6" t="s">
        <v>12</v>
      </c>
      <c r="Z17" s="6">
        <v>26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17</v>
      </c>
      <c r="B18" s="6">
        <v>27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9</v>
      </c>
      <c r="N18" s="6">
        <v>12</v>
      </c>
      <c r="O18" s="9">
        <v>2.9999999999999997E-4</v>
      </c>
      <c r="Y18" s="6" t="s">
        <v>17</v>
      </c>
      <c r="Z18" s="6">
        <v>21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18</v>
      </c>
      <c r="B19" s="6">
        <v>24</v>
      </c>
      <c r="C19" s="9">
        <v>2.0000000000000001E-4</v>
      </c>
      <c r="E19" s="6" t="s">
        <v>88</v>
      </c>
      <c r="F19" s="6">
        <v>1</v>
      </c>
      <c r="G19" s="30">
        <v>0</v>
      </c>
      <c r="M19" s="6" t="s">
        <v>18</v>
      </c>
      <c r="N19" s="6">
        <v>9</v>
      </c>
      <c r="O19" s="9">
        <v>2.0000000000000001E-4</v>
      </c>
      <c r="Y19" s="6" t="s">
        <v>18</v>
      </c>
      <c r="Z19" s="6">
        <v>15</v>
      </c>
      <c r="AA19" s="9">
        <v>2.0000000000000001E-4</v>
      </c>
      <c r="AC19" s="6" t="s">
        <v>95</v>
      </c>
      <c r="AD19" s="6">
        <v>1</v>
      </c>
      <c r="AE19" s="30">
        <v>0</v>
      </c>
    </row>
    <row r="20" spans="1:31">
      <c r="A20" s="6" t="s">
        <v>29</v>
      </c>
      <c r="B20" s="6">
        <v>24</v>
      </c>
      <c r="C20" s="9">
        <v>2.0000000000000001E-4</v>
      </c>
      <c r="E20" s="6" t="s">
        <v>85</v>
      </c>
      <c r="F20" s="6">
        <v>1</v>
      </c>
      <c r="G20" s="30">
        <v>0</v>
      </c>
      <c r="M20" s="6" t="s">
        <v>21</v>
      </c>
      <c r="N20" s="6">
        <v>5</v>
      </c>
      <c r="O20" s="9">
        <v>1E-4</v>
      </c>
      <c r="Y20" s="6" t="s">
        <v>37</v>
      </c>
      <c r="Z20" s="6">
        <v>14</v>
      </c>
      <c r="AA20" s="9">
        <v>2.0000000000000001E-4</v>
      </c>
    </row>
    <row r="21" spans="1:31">
      <c r="A21" s="6" t="s">
        <v>37</v>
      </c>
      <c r="B21" s="6">
        <v>17</v>
      </c>
      <c r="C21" s="9">
        <v>2.0000000000000001E-4</v>
      </c>
      <c r="E21" s="6" t="s">
        <v>95</v>
      </c>
      <c r="F21" s="6">
        <v>1</v>
      </c>
      <c r="G21" s="30">
        <v>0</v>
      </c>
      <c r="M21" s="6" t="s">
        <v>10</v>
      </c>
      <c r="N21" s="6">
        <v>3</v>
      </c>
      <c r="O21" s="9">
        <v>1E-4</v>
      </c>
      <c r="Y21" s="6" t="s">
        <v>14</v>
      </c>
      <c r="Z21" s="6">
        <v>11</v>
      </c>
      <c r="AA21" s="9">
        <v>2.0000000000000001E-4</v>
      </c>
    </row>
    <row r="22" spans="1:31">
      <c r="A22" s="6" t="s">
        <v>31</v>
      </c>
      <c r="B22" s="6">
        <v>23</v>
      </c>
      <c r="C22" s="9">
        <v>2.0000000000000001E-4</v>
      </c>
      <c r="M22" s="6" t="s">
        <v>40</v>
      </c>
      <c r="N22" s="6">
        <v>5</v>
      </c>
      <c r="O22" s="9">
        <v>1E-4</v>
      </c>
      <c r="Y22" s="6" t="s">
        <v>115</v>
      </c>
      <c r="Z22" s="6">
        <v>4</v>
      </c>
      <c r="AA22" s="9">
        <v>1E-4</v>
      </c>
    </row>
    <row r="23" spans="1:31">
      <c r="A23" s="6" t="s">
        <v>21</v>
      </c>
      <c r="B23" s="6">
        <v>8</v>
      </c>
      <c r="C23" s="9">
        <v>1E-4</v>
      </c>
      <c r="M23" s="6" t="s">
        <v>16</v>
      </c>
      <c r="N23" s="6">
        <v>4</v>
      </c>
      <c r="O23" s="9">
        <v>1E-4</v>
      </c>
      <c r="Y23" s="6" t="s">
        <v>10</v>
      </c>
      <c r="Z23" s="6">
        <v>6</v>
      </c>
      <c r="AA23" s="9">
        <v>1E-4</v>
      </c>
    </row>
    <row r="24" spans="1:31">
      <c r="A24" s="6" t="s">
        <v>10</v>
      </c>
      <c r="B24" s="6">
        <v>9</v>
      </c>
      <c r="C24" s="9">
        <v>1E-4</v>
      </c>
      <c r="M24" s="6" t="s">
        <v>8</v>
      </c>
      <c r="N24" s="6">
        <v>5</v>
      </c>
      <c r="O24" s="9">
        <v>1E-4</v>
      </c>
      <c r="Y24" s="6" t="s">
        <v>29</v>
      </c>
      <c r="Z24" s="6">
        <v>8</v>
      </c>
      <c r="AA24" s="9">
        <v>1E-4</v>
      </c>
    </row>
    <row r="25" spans="1:31">
      <c r="A25" s="6" t="s">
        <v>22</v>
      </c>
      <c r="B25" s="6">
        <v>15</v>
      </c>
      <c r="C25" s="9">
        <v>1E-4</v>
      </c>
      <c r="M25" s="6" t="s">
        <v>12</v>
      </c>
      <c r="N25" s="6">
        <v>4</v>
      </c>
      <c r="O25" s="9">
        <v>1E-4</v>
      </c>
      <c r="Y25" s="6" t="s">
        <v>22</v>
      </c>
      <c r="Z25" s="6">
        <v>4</v>
      </c>
      <c r="AA25" s="9">
        <v>1E-4</v>
      </c>
    </row>
    <row r="26" spans="1:31">
      <c r="A26" s="6" t="s">
        <v>40</v>
      </c>
      <c r="B26" s="6">
        <v>7</v>
      </c>
      <c r="C26" s="9">
        <v>1E-4</v>
      </c>
      <c r="M26" s="6" t="s">
        <v>17</v>
      </c>
      <c r="N26" s="6">
        <v>6</v>
      </c>
      <c r="O26" s="9">
        <v>1E-4</v>
      </c>
      <c r="Y26" s="6" t="s">
        <v>30</v>
      </c>
      <c r="Z26" s="6">
        <v>6</v>
      </c>
      <c r="AA26" s="9">
        <v>1E-4</v>
      </c>
    </row>
    <row r="27" spans="1:31">
      <c r="A27" s="6" t="s">
        <v>14</v>
      </c>
      <c r="B27" s="6">
        <v>11</v>
      </c>
      <c r="C27" s="9">
        <v>1E-4</v>
      </c>
      <c r="M27" s="6" t="s">
        <v>43</v>
      </c>
      <c r="N27" s="6">
        <v>6</v>
      </c>
      <c r="O27" s="9">
        <v>1E-4</v>
      </c>
      <c r="Y27" s="6" t="s">
        <v>31</v>
      </c>
      <c r="Z27" s="6">
        <v>5</v>
      </c>
      <c r="AA27" s="9">
        <v>1E-4</v>
      </c>
    </row>
    <row r="28" spans="1:31">
      <c r="A28" s="6" t="s">
        <v>30</v>
      </c>
      <c r="B28" s="6">
        <v>9</v>
      </c>
      <c r="C28" s="9">
        <v>1E-4</v>
      </c>
      <c r="M28" s="6" t="s">
        <v>37</v>
      </c>
      <c r="N28" s="6">
        <v>3</v>
      </c>
      <c r="O28" s="9">
        <v>1E-4</v>
      </c>
      <c r="Y28" s="6" t="s">
        <v>27</v>
      </c>
      <c r="Z28" s="6">
        <v>7</v>
      </c>
      <c r="AA28" s="9">
        <v>1E-4</v>
      </c>
    </row>
    <row r="29" spans="1:31">
      <c r="A29" s="6" t="s">
        <v>43</v>
      </c>
      <c r="B29" s="6">
        <v>7</v>
      </c>
      <c r="C29" s="9">
        <v>1E-4</v>
      </c>
      <c r="M29" s="6" t="s">
        <v>24</v>
      </c>
      <c r="N29" s="6">
        <v>4</v>
      </c>
      <c r="O29" s="9">
        <v>1E-4</v>
      </c>
      <c r="Y29" s="6" t="s">
        <v>19</v>
      </c>
      <c r="Z29" s="6">
        <v>3</v>
      </c>
      <c r="AA29" s="30">
        <v>0</v>
      </c>
    </row>
    <row r="30" spans="1:31">
      <c r="A30" s="6" t="s">
        <v>24</v>
      </c>
      <c r="B30" s="6">
        <v>6</v>
      </c>
      <c r="C30" s="9">
        <v>1E-4</v>
      </c>
      <c r="M30" s="6" t="s">
        <v>30</v>
      </c>
      <c r="N30" s="6">
        <v>3</v>
      </c>
      <c r="O30" s="9">
        <v>1E-4</v>
      </c>
      <c r="Y30" s="6" t="s">
        <v>20</v>
      </c>
      <c r="Z30" s="6">
        <v>2</v>
      </c>
      <c r="AA30" s="30">
        <v>0</v>
      </c>
    </row>
    <row r="31" spans="1:31">
      <c r="A31" s="6" t="s">
        <v>27</v>
      </c>
      <c r="B31" s="6">
        <v>8</v>
      </c>
      <c r="C31" s="9">
        <v>1E-4</v>
      </c>
      <c r="M31" s="6" t="s">
        <v>67</v>
      </c>
      <c r="N31" s="6">
        <v>1</v>
      </c>
      <c r="O31" s="30">
        <v>0</v>
      </c>
      <c r="Y31" s="6" t="s">
        <v>21</v>
      </c>
      <c r="Z31" s="6">
        <v>3</v>
      </c>
      <c r="AA31" s="30">
        <v>0</v>
      </c>
    </row>
    <row r="32" spans="1:31">
      <c r="A32" s="6" t="s">
        <v>19</v>
      </c>
      <c r="B32" s="6">
        <v>3</v>
      </c>
      <c r="C32" s="30">
        <v>0</v>
      </c>
      <c r="M32" s="6" t="s">
        <v>20</v>
      </c>
      <c r="N32" s="6">
        <v>1</v>
      </c>
      <c r="O32" s="30">
        <v>0</v>
      </c>
      <c r="Y32" s="6" t="s">
        <v>34</v>
      </c>
      <c r="Z32" s="6">
        <v>2</v>
      </c>
      <c r="AA32" s="30">
        <v>0</v>
      </c>
    </row>
    <row r="33" spans="1:27">
      <c r="A33" s="6" t="s">
        <v>115</v>
      </c>
      <c r="B33" s="6">
        <v>4</v>
      </c>
      <c r="C33" s="30">
        <v>0</v>
      </c>
      <c r="M33" s="6" t="s">
        <v>45</v>
      </c>
      <c r="N33" s="6">
        <v>1</v>
      </c>
      <c r="O33" s="30">
        <v>0</v>
      </c>
      <c r="Y33" s="6" t="s">
        <v>13</v>
      </c>
      <c r="Z33" s="6">
        <v>2</v>
      </c>
      <c r="AA33" s="30">
        <v>0</v>
      </c>
    </row>
    <row r="34" spans="1:27">
      <c r="A34" s="6" t="s">
        <v>20</v>
      </c>
      <c r="B34" s="6">
        <v>3</v>
      </c>
      <c r="C34" s="30">
        <v>0</v>
      </c>
      <c r="M34" s="6" t="s">
        <v>32</v>
      </c>
      <c r="N34" s="6">
        <v>2</v>
      </c>
      <c r="O34" s="30">
        <v>0</v>
      </c>
      <c r="Y34" s="6" t="s">
        <v>51</v>
      </c>
      <c r="Z34" s="6">
        <v>1</v>
      </c>
      <c r="AA34" s="30">
        <v>0</v>
      </c>
    </row>
    <row r="35" spans="1:27">
      <c r="A35" s="6" t="s">
        <v>67</v>
      </c>
      <c r="B35" s="6">
        <v>1</v>
      </c>
      <c r="C35" s="30">
        <v>0</v>
      </c>
      <c r="M35" s="6" t="s">
        <v>15</v>
      </c>
      <c r="N35" s="6">
        <v>1</v>
      </c>
      <c r="O35" s="30">
        <v>0</v>
      </c>
      <c r="Y35" s="6" t="s">
        <v>36</v>
      </c>
      <c r="Z35" s="6">
        <v>2</v>
      </c>
      <c r="AA35" s="30">
        <v>0</v>
      </c>
    </row>
    <row r="36" spans="1:27">
      <c r="A36" s="6" t="s">
        <v>34</v>
      </c>
      <c r="B36" s="6">
        <v>2</v>
      </c>
      <c r="C36" s="30">
        <v>0</v>
      </c>
      <c r="M36" s="6" t="s">
        <v>23</v>
      </c>
      <c r="N36" s="6">
        <v>2</v>
      </c>
      <c r="O36" s="30">
        <v>0</v>
      </c>
      <c r="Y36" s="6" t="s">
        <v>131</v>
      </c>
      <c r="Z36" s="6">
        <v>1</v>
      </c>
      <c r="AA36" s="30">
        <v>0</v>
      </c>
    </row>
    <row r="37" spans="1:27">
      <c r="A37" s="6" t="s">
        <v>13</v>
      </c>
      <c r="B37" s="6">
        <v>2</v>
      </c>
      <c r="C37" s="30">
        <v>0</v>
      </c>
      <c r="M37" s="6" t="s">
        <v>27</v>
      </c>
      <c r="N37" s="6">
        <v>1</v>
      </c>
      <c r="O37" s="30">
        <v>0</v>
      </c>
      <c r="Y37" s="6" t="s">
        <v>16</v>
      </c>
      <c r="Z37" s="6">
        <v>1</v>
      </c>
      <c r="AA37" s="30">
        <v>0</v>
      </c>
    </row>
    <row r="38" spans="1:27">
      <c r="A38" s="6" t="s">
        <v>16</v>
      </c>
      <c r="B38" s="6">
        <v>5</v>
      </c>
      <c r="C38" s="30">
        <v>0</v>
      </c>
      <c r="M38" s="6" t="s">
        <v>38</v>
      </c>
      <c r="N38" s="6">
        <v>1</v>
      </c>
      <c r="O38" s="30">
        <v>0</v>
      </c>
      <c r="Y38" s="6" t="s">
        <v>45</v>
      </c>
      <c r="Z38" s="6">
        <v>2</v>
      </c>
      <c r="AA38" s="30">
        <v>0</v>
      </c>
    </row>
    <row r="39" spans="1:27">
      <c r="A39" s="6" t="s">
        <v>51</v>
      </c>
      <c r="B39" s="6">
        <v>1</v>
      </c>
      <c r="C39" s="30">
        <v>0</v>
      </c>
      <c r="M39" s="6" t="s">
        <v>42</v>
      </c>
      <c r="N39" s="6">
        <v>1</v>
      </c>
      <c r="O39" s="30">
        <v>0</v>
      </c>
      <c r="Y39" s="6" t="s">
        <v>40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60</v>
      </c>
      <c r="N40" s="6">
        <v>1</v>
      </c>
      <c r="O40" s="30">
        <v>0</v>
      </c>
      <c r="Y40" s="6" t="s">
        <v>15</v>
      </c>
      <c r="Z40" s="6">
        <v>2</v>
      </c>
      <c r="AA40" s="30">
        <v>0</v>
      </c>
    </row>
    <row r="41" spans="1:27">
      <c r="A41" s="6" t="s">
        <v>131</v>
      </c>
      <c r="B41" s="6">
        <v>1</v>
      </c>
      <c r="C41" s="30">
        <v>0</v>
      </c>
      <c r="M41" s="6" t="s">
        <v>33</v>
      </c>
      <c r="N41" s="6">
        <v>1</v>
      </c>
      <c r="O41" s="30">
        <v>0</v>
      </c>
      <c r="Y41" s="6" t="s">
        <v>47</v>
      </c>
      <c r="Z41" s="6">
        <v>1</v>
      </c>
      <c r="AA41" s="30">
        <v>0</v>
      </c>
    </row>
    <row r="42" spans="1:27">
      <c r="A42" s="6" t="s">
        <v>45</v>
      </c>
      <c r="B42" s="6">
        <v>3</v>
      </c>
      <c r="C42" s="30">
        <v>0</v>
      </c>
      <c r="M42" s="6" t="s">
        <v>39</v>
      </c>
      <c r="N42" s="6">
        <v>1</v>
      </c>
      <c r="O42" s="30">
        <v>0</v>
      </c>
      <c r="Y42" s="6" t="s">
        <v>60</v>
      </c>
      <c r="Z42" s="6">
        <v>3</v>
      </c>
      <c r="AA42" s="30">
        <v>0</v>
      </c>
    </row>
    <row r="43" spans="1:27">
      <c r="A43" s="6" t="s">
        <v>47</v>
      </c>
      <c r="B43" s="6">
        <v>1</v>
      </c>
      <c r="C43" s="30">
        <v>0</v>
      </c>
      <c r="Y43" s="6" t="s">
        <v>58</v>
      </c>
      <c r="Z43" s="6">
        <v>2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32</v>
      </c>
      <c r="B45" s="6">
        <v>4</v>
      </c>
      <c r="C45" s="30">
        <v>0</v>
      </c>
      <c r="Y45" s="6" t="s">
        <v>24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32</v>
      </c>
      <c r="Z46" s="6">
        <v>2</v>
      </c>
      <c r="AA46" s="30">
        <v>0</v>
      </c>
    </row>
    <row r="47" spans="1:27">
      <c r="A47" s="6" t="s">
        <v>60</v>
      </c>
      <c r="B47" s="6">
        <v>4</v>
      </c>
      <c r="C47" s="30">
        <v>0</v>
      </c>
      <c r="Y47" s="6" t="s">
        <v>42</v>
      </c>
      <c r="Z47" s="6">
        <v>1</v>
      </c>
      <c r="AA47" s="30">
        <v>0</v>
      </c>
    </row>
    <row r="48" spans="1:27">
      <c r="A48" s="6" t="s">
        <v>58</v>
      </c>
      <c r="B48" s="6">
        <v>2</v>
      </c>
      <c r="C48" s="30">
        <v>0</v>
      </c>
      <c r="Y48" s="6" t="s">
        <v>33</v>
      </c>
      <c r="Z48" s="6">
        <v>2</v>
      </c>
      <c r="AA48" s="30">
        <v>0</v>
      </c>
    </row>
    <row r="49" spans="1:27">
      <c r="A49" s="6" t="s">
        <v>42</v>
      </c>
      <c r="B49" s="6">
        <v>2</v>
      </c>
      <c r="C49" s="30">
        <v>0</v>
      </c>
      <c r="Y49" s="6" t="s">
        <v>43</v>
      </c>
      <c r="Z49" s="6">
        <v>1</v>
      </c>
      <c r="AA49" s="30">
        <v>0</v>
      </c>
    </row>
    <row r="50" spans="1:27">
      <c r="A50" s="6" t="s">
        <v>23</v>
      </c>
      <c r="B50" s="6">
        <v>2</v>
      </c>
      <c r="C50" s="30">
        <v>0</v>
      </c>
      <c r="Y50" s="6" t="s">
        <v>26</v>
      </c>
      <c r="Z50" s="6">
        <v>1</v>
      </c>
      <c r="AA50" s="30">
        <v>0</v>
      </c>
    </row>
    <row r="51" spans="1:27">
      <c r="A51" s="6" t="s">
        <v>33</v>
      </c>
      <c r="B51" s="6">
        <v>3</v>
      </c>
      <c r="C51" s="30">
        <v>0</v>
      </c>
      <c r="Y51" s="6" t="s">
        <v>134</v>
      </c>
      <c r="Z51" s="6">
        <v>1</v>
      </c>
      <c r="AA51" s="30">
        <v>0</v>
      </c>
    </row>
    <row r="52" spans="1:27">
      <c r="A52" s="6" t="s">
        <v>26</v>
      </c>
      <c r="B52" s="6">
        <v>1</v>
      </c>
      <c r="C52" s="30">
        <v>0</v>
      </c>
      <c r="Y52" s="6" t="s">
        <v>25</v>
      </c>
      <c r="Z52" s="6">
        <v>1</v>
      </c>
      <c r="AA52" s="30">
        <v>0</v>
      </c>
    </row>
    <row r="53" spans="1:27">
      <c r="A53" s="6" t="s">
        <v>39</v>
      </c>
      <c r="B53" s="6">
        <v>1</v>
      </c>
      <c r="C53" s="30">
        <v>0</v>
      </c>
    </row>
    <row r="54" spans="1:27">
      <c r="A54" s="6" t="s">
        <v>25</v>
      </c>
      <c r="B54" s="6">
        <v>1</v>
      </c>
      <c r="C54" s="30">
        <v>0</v>
      </c>
    </row>
    <row r="55" spans="1:27">
      <c r="A55" s="6" t="s">
        <v>134</v>
      </c>
      <c r="B55" s="6">
        <v>1</v>
      </c>
      <c r="C55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05E1B-9C71-4B63-977D-149EB997DC36}">
  <sheetPr codeName="Sheet34"/>
  <dimension ref="A1:AI58"/>
  <sheetViews>
    <sheetView topLeftCell="R1" workbookViewId="0">
      <selection activeCell="AG16" sqref="AG16:AI1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95127</v>
      </c>
      <c r="E2" s="41" t="s">
        <v>4</v>
      </c>
      <c r="F2" s="23" t="s">
        <v>105</v>
      </c>
      <c r="G2" s="23">
        <f>G3+G4</f>
        <v>94655</v>
      </c>
      <c r="H2" s="22"/>
      <c r="I2" s="41" t="s">
        <v>6</v>
      </c>
      <c r="J2" s="23" t="s">
        <v>105</v>
      </c>
      <c r="K2" s="23">
        <f>K3+K4</f>
        <v>93974</v>
      </c>
      <c r="M2" s="41" t="s">
        <v>104</v>
      </c>
      <c r="N2" s="23" t="s">
        <v>105</v>
      </c>
      <c r="O2" s="23">
        <f>O3+O4</f>
        <v>69147</v>
      </c>
      <c r="Q2" s="41" t="s">
        <v>4</v>
      </c>
      <c r="R2" s="23" t="s">
        <v>105</v>
      </c>
      <c r="S2" s="23">
        <f>S3+S4</f>
        <v>26336</v>
      </c>
      <c r="T2" s="22"/>
      <c r="U2" s="41" t="s">
        <v>6</v>
      </c>
      <c r="V2" s="23" t="s">
        <v>105</v>
      </c>
      <c r="W2" s="23">
        <f>W3+W4</f>
        <v>27467</v>
      </c>
      <c r="Y2" s="41" t="s">
        <v>104</v>
      </c>
      <c r="Z2" s="23" t="s">
        <v>105</v>
      </c>
      <c r="AA2" s="23">
        <f>AA3+AA4</f>
        <v>58616</v>
      </c>
      <c r="AC2" s="41" t="s">
        <v>4</v>
      </c>
      <c r="AD2" s="23" t="s">
        <v>105</v>
      </c>
      <c r="AE2" s="23">
        <f>AE3+AE4</f>
        <v>68320</v>
      </c>
      <c r="AF2" s="22"/>
      <c r="AG2" s="41" t="s">
        <v>6</v>
      </c>
      <c r="AH2" s="23" t="s">
        <v>105</v>
      </c>
      <c r="AI2" s="23">
        <f>AI3+AI4</f>
        <v>66508</v>
      </c>
    </row>
    <row r="3" spans="1:35">
      <c r="A3" s="42"/>
      <c r="B3" s="24" t="s">
        <v>106</v>
      </c>
      <c r="C3" s="24">
        <f>B8</f>
        <v>93566</v>
      </c>
      <c r="E3" s="42"/>
      <c r="F3" s="24" t="s">
        <v>106</v>
      </c>
      <c r="G3" s="24">
        <f>F8</f>
        <v>94353</v>
      </c>
      <c r="H3" s="22"/>
      <c r="I3" s="42"/>
      <c r="J3" s="24" t="s">
        <v>106</v>
      </c>
      <c r="K3" s="24">
        <f>J8</f>
        <v>93907</v>
      </c>
      <c r="M3" s="42"/>
      <c r="N3" s="24" t="s">
        <v>106</v>
      </c>
      <c r="O3" s="24">
        <f>N8</f>
        <v>67893</v>
      </c>
      <c r="Q3" s="42"/>
      <c r="R3" s="24" t="s">
        <v>106</v>
      </c>
      <c r="S3" s="24">
        <f>R8</f>
        <v>26279</v>
      </c>
      <c r="T3" s="22"/>
      <c r="U3" s="42"/>
      <c r="V3" s="24" t="s">
        <v>106</v>
      </c>
      <c r="W3" s="24">
        <f>V8</f>
        <v>27446</v>
      </c>
      <c r="Y3" s="42"/>
      <c r="Z3" s="24" t="s">
        <v>106</v>
      </c>
      <c r="AA3" s="24">
        <f>Z8</f>
        <v>57701</v>
      </c>
      <c r="AC3" s="42"/>
      <c r="AD3" s="24" t="s">
        <v>106</v>
      </c>
      <c r="AE3" s="24">
        <f>AD8</f>
        <v>68074</v>
      </c>
      <c r="AF3" s="22"/>
      <c r="AG3" s="42"/>
      <c r="AH3" s="24" t="s">
        <v>106</v>
      </c>
      <c r="AI3" s="24">
        <f>AH8</f>
        <v>66461</v>
      </c>
    </row>
    <row r="4" spans="1:35">
      <c r="A4" s="42"/>
      <c r="B4" s="25" t="s">
        <v>107</v>
      </c>
      <c r="C4" s="25">
        <f>SUM(B9:B66)</f>
        <v>1561</v>
      </c>
      <c r="E4" s="42"/>
      <c r="F4" s="25" t="s">
        <v>107</v>
      </c>
      <c r="G4" s="25">
        <f>SUM(F9:F33)</f>
        <v>302</v>
      </c>
      <c r="H4" s="22"/>
      <c r="I4" s="42"/>
      <c r="J4" s="25" t="s">
        <v>107</v>
      </c>
      <c r="K4" s="25">
        <f>SUM(J9:J31)</f>
        <v>67</v>
      </c>
      <c r="M4" s="42"/>
      <c r="N4" s="25" t="s">
        <v>107</v>
      </c>
      <c r="O4" s="25">
        <f>SUM(N9:N66)</f>
        <v>1254</v>
      </c>
      <c r="Q4" s="42"/>
      <c r="R4" s="25" t="s">
        <v>107</v>
      </c>
      <c r="S4" s="25">
        <f>SUM(R9:R33)</f>
        <v>57</v>
      </c>
      <c r="T4" s="22"/>
      <c r="U4" s="42"/>
      <c r="V4" s="25" t="s">
        <v>107</v>
      </c>
      <c r="W4" s="25">
        <f>SUM(V9:V31)</f>
        <v>21</v>
      </c>
      <c r="Y4" s="42"/>
      <c r="Z4" s="25" t="s">
        <v>107</v>
      </c>
      <c r="AA4" s="25">
        <f>SUM(Z9:Z45)</f>
        <v>915</v>
      </c>
      <c r="AC4" s="42"/>
      <c r="AD4" s="25" t="s">
        <v>107</v>
      </c>
      <c r="AE4" s="25">
        <f>SUM(AD9:AD29)</f>
        <v>246</v>
      </c>
      <c r="AF4" s="22"/>
      <c r="AG4" s="42"/>
      <c r="AH4" s="25" t="s">
        <v>107</v>
      </c>
      <c r="AI4" s="25">
        <f>SUM(AH9:AH29)</f>
        <v>47</v>
      </c>
    </row>
    <row r="5" spans="1:35">
      <c r="A5" s="43"/>
      <c r="B5" s="23" t="s">
        <v>108</v>
      </c>
      <c r="C5" s="26">
        <f>SUM(C9:C179)</f>
        <v>1.5899999999999994E-2</v>
      </c>
      <c r="E5" s="43"/>
      <c r="F5" s="23" t="s">
        <v>108</v>
      </c>
      <c r="G5" s="26">
        <f>SUM(G9:G33)</f>
        <v>3.1999999999999989E-3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1.7999999999999985E-2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1.5599999999999992E-2</v>
      </c>
      <c r="AC5" s="43"/>
      <c r="AD5" s="23" t="s">
        <v>108</v>
      </c>
      <c r="AE5" s="26">
        <f>SUM(AE9:AE29)</f>
        <v>3.4999999999999992E-3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93566</v>
      </c>
      <c r="C8" s="9">
        <v>0.98360000000000003</v>
      </c>
      <c r="E8" s="6" t="s">
        <v>112</v>
      </c>
      <c r="F8" s="29">
        <v>94353</v>
      </c>
      <c r="G8" s="9">
        <v>0.99680000000000002</v>
      </c>
      <c r="I8" s="6" t="s">
        <v>112</v>
      </c>
      <c r="J8" s="29">
        <v>93907</v>
      </c>
      <c r="K8" s="9">
        <v>0.99929999999999997</v>
      </c>
      <c r="M8" s="6" t="s">
        <v>112</v>
      </c>
      <c r="N8" s="29">
        <v>67893</v>
      </c>
      <c r="O8" s="9">
        <v>0.9819</v>
      </c>
      <c r="Q8" s="6" t="s">
        <v>112</v>
      </c>
      <c r="R8" s="29">
        <v>26279</v>
      </c>
      <c r="S8" s="9">
        <v>0.99780000000000002</v>
      </c>
      <c r="U8" s="6" t="s">
        <v>112</v>
      </c>
      <c r="V8" s="29">
        <v>27446</v>
      </c>
      <c r="W8" s="9">
        <v>0.99919999999999998</v>
      </c>
      <c r="Y8" s="6" t="s">
        <v>112</v>
      </c>
      <c r="Z8" s="29">
        <v>57701</v>
      </c>
      <c r="AA8" s="9">
        <v>0.98429999999999995</v>
      </c>
      <c r="AC8" s="6" t="s">
        <v>112</v>
      </c>
      <c r="AD8" s="29">
        <v>68074</v>
      </c>
      <c r="AE8" s="9">
        <v>0.99639999999999995</v>
      </c>
      <c r="AG8" s="6" t="s">
        <v>112</v>
      </c>
      <c r="AH8" s="29">
        <v>66461</v>
      </c>
      <c r="AI8" s="9">
        <v>0.99929999999999997</v>
      </c>
    </row>
    <row r="9" spans="1:35">
      <c r="A9" s="6" t="s">
        <v>2</v>
      </c>
      <c r="B9" s="6">
        <v>288</v>
      </c>
      <c r="C9" s="9">
        <v>3.0000000000000001E-3</v>
      </c>
      <c r="E9" s="6" t="s">
        <v>122</v>
      </c>
      <c r="F9" s="6">
        <v>215</v>
      </c>
      <c r="G9" s="9">
        <v>2.3E-3</v>
      </c>
      <c r="I9" s="6" t="s">
        <v>2</v>
      </c>
      <c r="J9" s="6">
        <v>25</v>
      </c>
      <c r="K9" s="9">
        <v>2.9999999999999997E-4</v>
      </c>
      <c r="M9" s="6" t="s">
        <v>8</v>
      </c>
      <c r="N9" s="6">
        <v>260</v>
      </c>
      <c r="O9" s="9">
        <v>3.8E-3</v>
      </c>
      <c r="Q9" s="6" t="s">
        <v>122</v>
      </c>
      <c r="R9" s="6">
        <v>48</v>
      </c>
      <c r="S9" s="9">
        <v>1.8E-3</v>
      </c>
      <c r="U9" s="6" t="s">
        <v>98</v>
      </c>
      <c r="V9" s="6">
        <v>8</v>
      </c>
      <c r="W9" s="9">
        <v>2.9999999999999997E-4</v>
      </c>
      <c r="Y9" s="6" t="s">
        <v>2</v>
      </c>
      <c r="Z9" s="6">
        <v>202</v>
      </c>
      <c r="AA9" s="9">
        <v>3.3999999999999998E-3</v>
      </c>
      <c r="AC9" s="6" t="s">
        <v>122</v>
      </c>
      <c r="AD9" s="6">
        <v>167</v>
      </c>
      <c r="AE9" s="9">
        <v>2.3999999999999998E-3</v>
      </c>
      <c r="AG9" s="6" t="s">
        <v>2</v>
      </c>
      <c r="AH9" s="6">
        <v>18</v>
      </c>
      <c r="AI9" s="9">
        <v>2.9999999999999997E-4</v>
      </c>
    </row>
    <row r="10" spans="1:35">
      <c r="A10" s="6" t="s">
        <v>8</v>
      </c>
      <c r="B10" s="6">
        <v>263</v>
      </c>
      <c r="C10" s="9">
        <v>2.8E-3</v>
      </c>
      <c r="E10" s="6" t="s">
        <v>83</v>
      </c>
      <c r="F10" s="6">
        <v>28</v>
      </c>
      <c r="G10" s="9">
        <v>2.9999999999999997E-4</v>
      </c>
      <c r="I10" s="6" t="s">
        <v>98</v>
      </c>
      <c r="J10" s="6">
        <v>17</v>
      </c>
      <c r="K10" s="9">
        <v>2.0000000000000001E-4</v>
      </c>
      <c r="M10" s="6" t="s">
        <v>9</v>
      </c>
      <c r="N10" s="6">
        <v>225</v>
      </c>
      <c r="O10" s="9">
        <v>3.3E-3</v>
      </c>
      <c r="Q10" s="6" t="s">
        <v>92</v>
      </c>
      <c r="R10" s="6">
        <v>2</v>
      </c>
      <c r="S10" s="9">
        <v>1E-4</v>
      </c>
      <c r="U10" s="6" t="s">
        <v>2</v>
      </c>
      <c r="V10" s="6">
        <v>7</v>
      </c>
      <c r="W10" s="9">
        <v>2.9999999999999997E-4</v>
      </c>
      <c r="Y10" s="6" t="s">
        <v>9</v>
      </c>
      <c r="Z10" s="6">
        <v>153</v>
      </c>
      <c r="AA10" s="9">
        <v>2.5999999999999999E-3</v>
      </c>
      <c r="AC10" s="6" t="s">
        <v>83</v>
      </c>
      <c r="AD10" s="6">
        <v>28</v>
      </c>
      <c r="AE10" s="9">
        <v>4.0000000000000002E-4</v>
      </c>
      <c r="AG10" s="6" t="s">
        <v>102</v>
      </c>
      <c r="AH10" s="6">
        <v>6</v>
      </c>
      <c r="AI10" s="9">
        <v>1E-4</v>
      </c>
    </row>
    <row r="11" spans="1:35">
      <c r="A11" s="6" t="s">
        <v>3</v>
      </c>
      <c r="B11" s="6">
        <v>234</v>
      </c>
      <c r="C11" s="9">
        <v>2.5000000000000001E-3</v>
      </c>
      <c r="E11" s="6" t="s">
        <v>76</v>
      </c>
      <c r="F11" s="6">
        <v>7</v>
      </c>
      <c r="G11" s="9">
        <v>1E-4</v>
      </c>
      <c r="I11" s="6" t="s">
        <v>102</v>
      </c>
      <c r="J11" s="6">
        <v>7</v>
      </c>
      <c r="K11" s="9">
        <v>1E-4</v>
      </c>
      <c r="M11" s="6" t="s">
        <v>2</v>
      </c>
      <c r="N11" s="6">
        <v>213</v>
      </c>
      <c r="O11" s="9">
        <v>3.0999999999999999E-3</v>
      </c>
      <c r="Q11" s="6" t="s">
        <v>77</v>
      </c>
      <c r="R11" s="6">
        <v>2</v>
      </c>
      <c r="S11" s="9">
        <v>1E-4</v>
      </c>
      <c r="U11" s="6" t="s">
        <v>102</v>
      </c>
      <c r="V11" s="6">
        <v>2</v>
      </c>
      <c r="W11" s="9">
        <v>1E-4</v>
      </c>
      <c r="Y11" s="6" t="s">
        <v>8</v>
      </c>
      <c r="Z11" s="6">
        <v>151</v>
      </c>
      <c r="AA11" s="9">
        <v>2.5999999999999999E-3</v>
      </c>
      <c r="AC11" s="6" t="s">
        <v>79</v>
      </c>
      <c r="AD11" s="6">
        <v>13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228</v>
      </c>
      <c r="C12" s="9">
        <v>2.3999999999999998E-3</v>
      </c>
      <c r="E12" s="6" t="s">
        <v>77</v>
      </c>
      <c r="F12" s="6">
        <v>9</v>
      </c>
      <c r="G12" s="9">
        <v>1E-4</v>
      </c>
      <c r="I12" s="6" t="s">
        <v>99</v>
      </c>
      <c r="J12" s="6">
        <v>11</v>
      </c>
      <c r="K12" s="9">
        <v>1E-4</v>
      </c>
      <c r="M12" s="6" t="s">
        <v>3</v>
      </c>
      <c r="N12" s="6">
        <v>141</v>
      </c>
      <c r="O12" s="9">
        <v>2E-3</v>
      </c>
      <c r="Q12" s="6" t="s">
        <v>76</v>
      </c>
      <c r="R12" s="6">
        <v>1</v>
      </c>
      <c r="S12" s="30">
        <v>0</v>
      </c>
      <c r="U12" s="6" t="s">
        <v>99</v>
      </c>
      <c r="V12" s="6">
        <v>2</v>
      </c>
      <c r="W12" s="9">
        <v>1E-4</v>
      </c>
      <c r="Y12" s="6" t="s">
        <v>3</v>
      </c>
      <c r="Z12" s="6">
        <v>101</v>
      </c>
      <c r="AA12" s="9">
        <v>1.6999999999999999E-3</v>
      </c>
      <c r="AC12" s="6" t="s">
        <v>76</v>
      </c>
      <c r="AD12" s="6">
        <v>6</v>
      </c>
      <c r="AE12" s="9">
        <v>1E-4</v>
      </c>
      <c r="AG12" s="6" t="s">
        <v>99</v>
      </c>
      <c r="AH12" s="6">
        <v>9</v>
      </c>
      <c r="AI12" s="9">
        <v>1E-4</v>
      </c>
    </row>
    <row r="13" spans="1:35">
      <c r="A13" s="6" t="s">
        <v>11</v>
      </c>
      <c r="B13" s="6">
        <v>76</v>
      </c>
      <c r="C13" s="9">
        <v>8.0000000000000004E-4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5</v>
      </c>
      <c r="K13" s="9">
        <v>1E-4</v>
      </c>
      <c r="M13" s="6" t="s">
        <v>5</v>
      </c>
      <c r="N13" s="6">
        <v>61</v>
      </c>
      <c r="O13" s="9">
        <v>8.9999999999999998E-4</v>
      </c>
      <c r="Q13" s="6" t="s">
        <v>120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49</v>
      </c>
      <c r="AA13" s="9">
        <v>8.0000000000000004E-4</v>
      </c>
      <c r="AC13" s="6" t="s">
        <v>77</v>
      </c>
      <c r="AD13" s="6">
        <v>7</v>
      </c>
      <c r="AE13" s="9">
        <v>1E-4</v>
      </c>
      <c r="AG13" s="6" t="s">
        <v>117</v>
      </c>
      <c r="AH13" s="6">
        <v>1</v>
      </c>
      <c r="AI13" s="30">
        <v>0</v>
      </c>
    </row>
    <row r="14" spans="1:35">
      <c r="A14" s="6" t="s">
        <v>5</v>
      </c>
      <c r="B14" s="6">
        <v>71</v>
      </c>
      <c r="C14" s="9">
        <v>6.9999999999999999E-4</v>
      </c>
      <c r="E14" s="6" t="s">
        <v>75</v>
      </c>
      <c r="F14" s="6">
        <v>8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46</v>
      </c>
      <c r="O14" s="9">
        <v>6.9999999999999999E-4</v>
      </c>
      <c r="Q14" s="6" t="s">
        <v>74</v>
      </c>
      <c r="R14" s="6">
        <v>1</v>
      </c>
      <c r="S14" s="30">
        <v>0</v>
      </c>
      <c r="Y14" s="6" t="s">
        <v>11</v>
      </c>
      <c r="Z14" s="6">
        <v>35</v>
      </c>
      <c r="AA14" s="9">
        <v>5.9999999999999995E-4</v>
      </c>
      <c r="AC14" s="6" t="s">
        <v>75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58</v>
      </c>
      <c r="C15" s="9">
        <v>5.9999999999999995E-4</v>
      </c>
      <c r="E15" s="6" t="s">
        <v>78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12</v>
      </c>
      <c r="N15" s="6">
        <v>40</v>
      </c>
      <c r="O15" s="9">
        <v>5.9999999999999995E-4</v>
      </c>
      <c r="Q15" s="6" t="s">
        <v>75</v>
      </c>
      <c r="R15" s="6">
        <v>1</v>
      </c>
      <c r="S15" s="30">
        <v>0</v>
      </c>
      <c r="Y15" s="6" t="s">
        <v>41</v>
      </c>
      <c r="Z15" s="6">
        <v>25</v>
      </c>
      <c r="AA15" s="9">
        <v>4.0000000000000002E-4</v>
      </c>
      <c r="AC15" s="6" t="s">
        <v>78</v>
      </c>
      <c r="AD15" s="6">
        <v>5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41</v>
      </c>
      <c r="B16" s="6">
        <v>44</v>
      </c>
      <c r="C16" s="9">
        <v>5.0000000000000001E-4</v>
      </c>
      <c r="E16" s="6" t="s">
        <v>74</v>
      </c>
      <c r="F16" s="6">
        <v>5</v>
      </c>
      <c r="G16" s="9">
        <v>1E-4</v>
      </c>
      <c r="M16" s="6" t="s">
        <v>7</v>
      </c>
      <c r="N16" s="6">
        <v>41</v>
      </c>
      <c r="O16" s="9">
        <v>5.9999999999999995E-4</v>
      </c>
      <c r="Q16" s="6" t="s">
        <v>157</v>
      </c>
      <c r="R16" s="6">
        <v>1</v>
      </c>
      <c r="S16" s="30">
        <v>0</v>
      </c>
      <c r="Y16" s="6" t="s">
        <v>12</v>
      </c>
      <c r="Z16" s="6">
        <v>21</v>
      </c>
      <c r="AA16" s="9">
        <v>4.0000000000000002E-4</v>
      </c>
      <c r="AC16" s="6" t="s">
        <v>74</v>
      </c>
      <c r="AD16" s="6">
        <v>4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92</v>
      </c>
      <c r="F17" s="6">
        <v>2</v>
      </c>
      <c r="G17" s="30">
        <v>0</v>
      </c>
      <c r="M17" s="6" t="s">
        <v>41</v>
      </c>
      <c r="N17" s="6">
        <v>31</v>
      </c>
      <c r="O17" s="9">
        <v>4.0000000000000002E-4</v>
      </c>
      <c r="Y17" s="6" t="s">
        <v>7</v>
      </c>
      <c r="Z17" s="6">
        <v>26</v>
      </c>
      <c r="AA17" s="9">
        <v>4.0000000000000002E-4</v>
      </c>
      <c r="AC17" s="6" t="s">
        <v>81</v>
      </c>
      <c r="AD17" s="6">
        <v>1</v>
      </c>
      <c r="AE17" s="30">
        <v>0</v>
      </c>
    </row>
    <row r="18" spans="1:31">
      <c r="A18" s="6" t="s">
        <v>115</v>
      </c>
      <c r="B18" s="6">
        <v>20</v>
      </c>
      <c r="C18" s="9">
        <v>2.0000000000000001E-4</v>
      </c>
      <c r="E18" s="6" t="s">
        <v>81</v>
      </c>
      <c r="F18" s="6">
        <v>1</v>
      </c>
      <c r="G18" s="30">
        <v>0</v>
      </c>
      <c r="M18" s="6" t="s">
        <v>115</v>
      </c>
      <c r="N18" s="6">
        <v>18</v>
      </c>
      <c r="O18" s="9">
        <v>2.9999999999999997E-4</v>
      </c>
      <c r="Y18" s="6" t="s">
        <v>18</v>
      </c>
      <c r="Z18" s="6">
        <v>19</v>
      </c>
      <c r="AA18" s="9">
        <v>2.9999999999999997E-4</v>
      </c>
      <c r="AC18" s="6" t="s">
        <v>85</v>
      </c>
      <c r="AD18" s="6">
        <v>1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85</v>
      </c>
      <c r="F19" s="6">
        <v>1</v>
      </c>
      <c r="G19" s="30">
        <v>0</v>
      </c>
      <c r="M19" s="6" t="s">
        <v>19</v>
      </c>
      <c r="N19" s="6">
        <v>11</v>
      </c>
      <c r="O19" s="9">
        <v>2.0000000000000001E-4</v>
      </c>
      <c r="Y19" s="6" t="s">
        <v>37</v>
      </c>
      <c r="Z19" s="6">
        <v>16</v>
      </c>
      <c r="AA19" s="9">
        <v>2.9999999999999997E-4</v>
      </c>
      <c r="AC19" s="6" t="s">
        <v>154</v>
      </c>
      <c r="AD19" s="6">
        <v>1</v>
      </c>
      <c r="AE19" s="30">
        <v>0</v>
      </c>
    </row>
    <row r="20" spans="1:31">
      <c r="A20" s="6" t="s">
        <v>37</v>
      </c>
      <c r="B20" s="6">
        <v>15</v>
      </c>
      <c r="C20" s="9">
        <v>2.0000000000000001E-4</v>
      </c>
      <c r="E20" s="6" t="s">
        <v>82</v>
      </c>
      <c r="F20" s="6">
        <v>2</v>
      </c>
      <c r="G20" s="30">
        <v>0</v>
      </c>
      <c r="M20" s="6" t="s">
        <v>21</v>
      </c>
      <c r="N20" s="6">
        <v>16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82</v>
      </c>
      <c r="AD20" s="6">
        <v>2</v>
      </c>
      <c r="AE20" s="30">
        <v>0</v>
      </c>
    </row>
    <row r="21" spans="1:31">
      <c r="A21" s="6" t="s">
        <v>29</v>
      </c>
      <c r="B21" s="6">
        <v>19</v>
      </c>
      <c r="C21" s="9">
        <v>2.0000000000000001E-4</v>
      </c>
      <c r="E21" s="6" t="s">
        <v>154</v>
      </c>
      <c r="F21" s="6">
        <v>1</v>
      </c>
      <c r="G21" s="30">
        <v>0</v>
      </c>
      <c r="M21" s="6" t="s">
        <v>18</v>
      </c>
      <c r="N21" s="6">
        <v>12</v>
      </c>
      <c r="O21" s="9">
        <v>2.0000000000000001E-4</v>
      </c>
      <c r="Y21" s="6" t="s">
        <v>14</v>
      </c>
      <c r="Z21" s="6">
        <v>9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19</v>
      </c>
      <c r="B22" s="6">
        <v>11</v>
      </c>
      <c r="C22" s="9">
        <v>1E-4</v>
      </c>
      <c r="E22" s="6" t="s">
        <v>84</v>
      </c>
      <c r="F22" s="6">
        <v>3</v>
      </c>
      <c r="G22" s="30">
        <v>0</v>
      </c>
      <c r="M22" s="6" t="s">
        <v>17</v>
      </c>
      <c r="N22" s="6">
        <v>12</v>
      </c>
      <c r="O22" s="9">
        <v>2.0000000000000001E-4</v>
      </c>
      <c r="Y22" s="6" t="s">
        <v>31</v>
      </c>
      <c r="Z22" s="6">
        <v>10</v>
      </c>
      <c r="AA22" s="9">
        <v>2.0000000000000001E-4</v>
      </c>
      <c r="AC22" s="6" t="s">
        <v>93</v>
      </c>
      <c r="AD22" s="6">
        <v>1</v>
      </c>
      <c r="AE22" s="30">
        <v>0</v>
      </c>
    </row>
    <row r="23" spans="1:31">
      <c r="A23" s="6" t="s">
        <v>20</v>
      </c>
      <c r="B23" s="6">
        <v>13</v>
      </c>
      <c r="C23" s="9">
        <v>1E-4</v>
      </c>
      <c r="E23" s="6" t="s">
        <v>120</v>
      </c>
      <c r="F23" s="6">
        <v>1</v>
      </c>
      <c r="G23" s="30">
        <v>0</v>
      </c>
      <c r="M23" s="6" t="s">
        <v>37</v>
      </c>
      <c r="N23" s="6">
        <v>11</v>
      </c>
      <c r="O23" s="9">
        <v>2.0000000000000001E-4</v>
      </c>
      <c r="Y23" s="6" t="s">
        <v>29</v>
      </c>
      <c r="Z23" s="6">
        <v>10</v>
      </c>
      <c r="AA23" s="9">
        <v>2.0000000000000001E-4</v>
      </c>
    </row>
    <row r="24" spans="1:31">
      <c r="A24" s="6" t="s">
        <v>18</v>
      </c>
      <c r="B24" s="6">
        <v>14</v>
      </c>
      <c r="C24" s="9">
        <v>1E-4</v>
      </c>
      <c r="E24" s="6" t="s">
        <v>93</v>
      </c>
      <c r="F24" s="6">
        <v>1</v>
      </c>
      <c r="G24" s="30">
        <v>0</v>
      </c>
      <c r="M24" s="6" t="s">
        <v>14</v>
      </c>
      <c r="N24" s="6">
        <v>14</v>
      </c>
      <c r="O24" s="9">
        <v>2.0000000000000001E-4</v>
      </c>
      <c r="Y24" s="6" t="s">
        <v>20</v>
      </c>
      <c r="Z24" s="6">
        <v>5</v>
      </c>
      <c r="AA24" s="9">
        <v>1E-4</v>
      </c>
    </row>
    <row r="25" spans="1:31">
      <c r="A25" s="6" t="s">
        <v>10</v>
      </c>
      <c r="B25" s="6">
        <v>10</v>
      </c>
      <c r="C25" s="9">
        <v>1E-4</v>
      </c>
      <c r="M25" s="6" t="s">
        <v>26</v>
      </c>
      <c r="N25" s="6">
        <v>11</v>
      </c>
      <c r="O25" s="9">
        <v>2.0000000000000001E-4</v>
      </c>
      <c r="Y25" s="6" t="s">
        <v>21</v>
      </c>
      <c r="Z25" s="6">
        <v>6</v>
      </c>
      <c r="AA25" s="9">
        <v>1E-4</v>
      </c>
    </row>
    <row r="26" spans="1:31">
      <c r="A26" s="6" t="s">
        <v>16</v>
      </c>
      <c r="B26" s="6">
        <v>8</v>
      </c>
      <c r="C26" s="9">
        <v>1E-4</v>
      </c>
      <c r="M26" s="6" t="s">
        <v>20</v>
      </c>
      <c r="N26" s="6">
        <v>10</v>
      </c>
      <c r="O26" s="9">
        <v>1E-4</v>
      </c>
      <c r="Y26" s="6" t="s">
        <v>10</v>
      </c>
      <c r="Z26" s="6">
        <v>6</v>
      </c>
      <c r="AA26" s="9">
        <v>1E-4</v>
      </c>
    </row>
    <row r="27" spans="1:31">
      <c r="A27" s="6" t="s">
        <v>17</v>
      </c>
      <c r="B27" s="6">
        <v>13</v>
      </c>
      <c r="C27" s="9">
        <v>1E-4</v>
      </c>
      <c r="M27" s="6" t="s">
        <v>10</v>
      </c>
      <c r="N27" s="6">
        <v>9</v>
      </c>
      <c r="O27" s="9">
        <v>1E-4</v>
      </c>
      <c r="Y27" s="6" t="s">
        <v>34</v>
      </c>
      <c r="Z27" s="6">
        <v>3</v>
      </c>
      <c r="AA27" s="9">
        <v>1E-4</v>
      </c>
    </row>
    <row r="28" spans="1:31">
      <c r="A28" s="6" t="s">
        <v>22</v>
      </c>
      <c r="B28" s="6">
        <v>10</v>
      </c>
      <c r="C28" s="9">
        <v>1E-4</v>
      </c>
      <c r="M28" s="6" t="s">
        <v>16</v>
      </c>
      <c r="N28" s="6">
        <v>6</v>
      </c>
      <c r="O28" s="9">
        <v>1E-4</v>
      </c>
      <c r="Y28" s="6" t="s">
        <v>24</v>
      </c>
      <c r="Z28" s="6">
        <v>3</v>
      </c>
      <c r="AA28" s="9">
        <v>1E-4</v>
      </c>
    </row>
    <row r="29" spans="1:31">
      <c r="A29" s="6" t="s">
        <v>14</v>
      </c>
      <c r="B29" s="6">
        <v>14</v>
      </c>
      <c r="C29" s="9">
        <v>1E-4</v>
      </c>
      <c r="M29" s="6" t="s">
        <v>29</v>
      </c>
      <c r="N29" s="6">
        <v>10</v>
      </c>
      <c r="O29" s="9">
        <v>1E-4</v>
      </c>
      <c r="Y29" s="6" t="s">
        <v>16</v>
      </c>
      <c r="Z29" s="6">
        <v>4</v>
      </c>
      <c r="AA29" s="9">
        <v>1E-4</v>
      </c>
    </row>
    <row r="30" spans="1:31">
      <c r="A30" s="6" t="s">
        <v>31</v>
      </c>
      <c r="B30" s="6">
        <v>13</v>
      </c>
      <c r="C30" s="9">
        <v>1E-4</v>
      </c>
      <c r="M30" s="6" t="s">
        <v>31</v>
      </c>
      <c r="N30" s="6">
        <v>9</v>
      </c>
      <c r="O30" s="9">
        <v>1E-4</v>
      </c>
      <c r="Y30" s="6" t="s">
        <v>22</v>
      </c>
      <c r="Z30" s="6">
        <v>6</v>
      </c>
      <c r="AA30" s="9">
        <v>1E-4</v>
      </c>
    </row>
    <row r="31" spans="1:31">
      <c r="A31" s="6" t="s">
        <v>40</v>
      </c>
      <c r="B31" s="6">
        <v>9</v>
      </c>
      <c r="C31" s="9">
        <v>1E-4</v>
      </c>
      <c r="M31" s="6" t="s">
        <v>22</v>
      </c>
      <c r="N31" s="6">
        <v>4</v>
      </c>
      <c r="O31" s="9">
        <v>1E-4</v>
      </c>
      <c r="Y31" s="6" t="s">
        <v>30</v>
      </c>
      <c r="Z31" s="6">
        <v>7</v>
      </c>
      <c r="AA31" s="9">
        <v>1E-4</v>
      </c>
    </row>
    <row r="32" spans="1:31">
      <c r="A32" s="6" t="s">
        <v>26</v>
      </c>
      <c r="B32" s="6">
        <v>12</v>
      </c>
      <c r="C32" s="9">
        <v>1E-4</v>
      </c>
      <c r="M32" s="6" t="s">
        <v>40</v>
      </c>
      <c r="N32" s="6">
        <v>4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30</v>
      </c>
      <c r="B33" s="6">
        <v>6</v>
      </c>
      <c r="C33" s="9">
        <v>1E-4</v>
      </c>
      <c r="M33" s="6" t="s">
        <v>30</v>
      </c>
      <c r="N33" s="6">
        <v>5</v>
      </c>
      <c r="O33" s="9">
        <v>1E-4</v>
      </c>
      <c r="Y33" s="6" t="s">
        <v>38</v>
      </c>
      <c r="Z33" s="6">
        <v>6</v>
      </c>
      <c r="AA33" s="9">
        <v>1E-4</v>
      </c>
    </row>
    <row r="34" spans="1:27">
      <c r="A34" s="6" t="s">
        <v>58</v>
      </c>
      <c r="B34" s="6">
        <v>5</v>
      </c>
      <c r="C34" s="9">
        <v>1E-4</v>
      </c>
      <c r="M34" s="6" t="s">
        <v>58</v>
      </c>
      <c r="N34" s="6">
        <v>5</v>
      </c>
      <c r="O34" s="9">
        <v>1E-4</v>
      </c>
      <c r="Y34" s="6" t="s">
        <v>58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24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65</v>
      </c>
      <c r="B36" s="6">
        <v>2</v>
      </c>
      <c r="C36" s="30">
        <v>0</v>
      </c>
      <c r="M36" s="6" t="s">
        <v>45</v>
      </c>
      <c r="N36" s="6">
        <v>1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M37" s="6" t="s">
        <v>13</v>
      </c>
      <c r="N37" s="6">
        <v>1</v>
      </c>
      <c r="O37" s="30">
        <v>0</v>
      </c>
      <c r="Y37" s="6" t="s">
        <v>19</v>
      </c>
      <c r="Z37" s="6">
        <v>2</v>
      </c>
      <c r="AA37" s="30">
        <v>0</v>
      </c>
    </row>
    <row r="38" spans="1:27">
      <c r="A38" s="6" t="s">
        <v>24</v>
      </c>
      <c r="B38" s="6">
        <v>2</v>
      </c>
      <c r="C38" s="30">
        <v>0</v>
      </c>
      <c r="M38" s="6" t="s">
        <v>15</v>
      </c>
      <c r="N38" s="6">
        <v>2</v>
      </c>
      <c r="O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45</v>
      </c>
      <c r="B39" s="6">
        <v>1</v>
      </c>
      <c r="C39" s="30">
        <v>0</v>
      </c>
      <c r="M39" s="6" t="s">
        <v>160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36</v>
      </c>
      <c r="B40" s="6">
        <v>1</v>
      </c>
      <c r="C40" s="30">
        <v>0</v>
      </c>
      <c r="M40" s="6" t="s">
        <v>38</v>
      </c>
      <c r="N40" s="6">
        <v>3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15</v>
      </c>
      <c r="B41" s="6">
        <v>2</v>
      </c>
      <c r="C41" s="30">
        <v>0</v>
      </c>
      <c r="M41" s="6" t="s">
        <v>48</v>
      </c>
      <c r="N41" s="6">
        <v>1</v>
      </c>
      <c r="O41" s="30">
        <v>0</v>
      </c>
      <c r="Y41" s="6" t="s">
        <v>15</v>
      </c>
      <c r="Z41" s="6">
        <v>2</v>
      </c>
      <c r="AA41" s="30">
        <v>0</v>
      </c>
    </row>
    <row r="42" spans="1:27">
      <c r="A42" s="6" t="s">
        <v>43</v>
      </c>
      <c r="B42" s="6">
        <v>4</v>
      </c>
      <c r="C42" s="30">
        <v>0</v>
      </c>
      <c r="M42" s="6" t="s">
        <v>27</v>
      </c>
      <c r="N42" s="6">
        <v>3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160</v>
      </c>
      <c r="B43" s="6">
        <v>1</v>
      </c>
      <c r="C43" s="30">
        <v>0</v>
      </c>
      <c r="M43" s="6" t="s">
        <v>60</v>
      </c>
      <c r="N43" s="6">
        <v>2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55</v>
      </c>
      <c r="B44" s="6">
        <v>1</v>
      </c>
      <c r="C44" s="30">
        <v>0</v>
      </c>
      <c r="M44" s="6" t="s">
        <v>32</v>
      </c>
      <c r="N44" s="6">
        <v>2</v>
      </c>
      <c r="O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38</v>
      </c>
      <c r="B45" s="6">
        <v>3</v>
      </c>
      <c r="C45" s="30">
        <v>0</v>
      </c>
      <c r="M45" s="6" t="s">
        <v>64</v>
      </c>
      <c r="N45" s="6">
        <v>1</v>
      </c>
      <c r="O45" s="30">
        <v>0</v>
      </c>
      <c r="Y45" s="6" t="s">
        <v>69</v>
      </c>
      <c r="Z45" s="6">
        <v>2</v>
      </c>
      <c r="AA45" s="30">
        <v>0</v>
      </c>
    </row>
    <row r="46" spans="1:27">
      <c r="A46" s="6" t="s">
        <v>48</v>
      </c>
      <c r="B46" s="6">
        <v>1</v>
      </c>
      <c r="C46" s="30">
        <v>0</v>
      </c>
      <c r="M46" s="6" t="s">
        <v>39</v>
      </c>
      <c r="N46" s="6">
        <v>2</v>
      </c>
      <c r="O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42</v>
      </c>
      <c r="B47" s="6">
        <v>2</v>
      </c>
      <c r="C47" s="30">
        <v>0</v>
      </c>
      <c r="M47" s="6" t="s">
        <v>57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  <c r="M48" s="6" t="s">
        <v>42</v>
      </c>
      <c r="N48" s="6">
        <v>1</v>
      </c>
      <c r="O48" s="30">
        <v>0</v>
      </c>
      <c r="Y48"/>
      <c r="Z48"/>
      <c r="AA48"/>
    </row>
    <row r="49" spans="1:27">
      <c r="A49" s="6" t="s">
        <v>33</v>
      </c>
      <c r="B49" s="6">
        <v>4</v>
      </c>
      <c r="C49" s="30">
        <v>0</v>
      </c>
      <c r="M49" s="6" t="s">
        <v>33</v>
      </c>
      <c r="N49" s="6">
        <v>2</v>
      </c>
      <c r="O49" s="30">
        <v>0</v>
      </c>
      <c r="Y49"/>
      <c r="Z49"/>
      <c r="AA49"/>
    </row>
    <row r="50" spans="1:27">
      <c r="A50" s="6" t="s">
        <v>32</v>
      </c>
      <c r="B50" s="6">
        <v>2</v>
      </c>
      <c r="C50" s="30">
        <v>0</v>
      </c>
      <c r="M50" s="6" t="s">
        <v>61</v>
      </c>
      <c r="N50" s="6">
        <v>1</v>
      </c>
      <c r="O50" s="30">
        <v>0</v>
      </c>
      <c r="Y50"/>
      <c r="Z50"/>
      <c r="AA50"/>
    </row>
    <row r="51" spans="1:27">
      <c r="A51" s="6" t="s">
        <v>39</v>
      </c>
      <c r="B51" s="6">
        <v>4</v>
      </c>
      <c r="C51" s="30">
        <v>0</v>
      </c>
      <c r="M51" s="6" t="s">
        <v>68</v>
      </c>
      <c r="N51" s="6">
        <v>1</v>
      </c>
      <c r="O51" s="30">
        <v>0</v>
      </c>
    </row>
    <row r="52" spans="1:27">
      <c r="A52" s="6" t="s">
        <v>25</v>
      </c>
      <c r="B52" s="6">
        <v>2</v>
      </c>
      <c r="C52" s="30">
        <v>0</v>
      </c>
      <c r="M52" s="6" t="s">
        <v>25</v>
      </c>
      <c r="N52" s="6">
        <v>1</v>
      </c>
      <c r="O52" s="30">
        <v>0</v>
      </c>
    </row>
    <row r="53" spans="1:27">
      <c r="A53" s="6" t="s">
        <v>64</v>
      </c>
      <c r="B53" s="6">
        <v>1</v>
      </c>
      <c r="C53" s="30">
        <v>0</v>
      </c>
      <c r="M53" s="6" t="s">
        <v>69</v>
      </c>
      <c r="N53" s="6">
        <v>1</v>
      </c>
      <c r="O53" s="30">
        <v>0</v>
      </c>
    </row>
    <row r="54" spans="1:27">
      <c r="A54" s="6" t="s">
        <v>61</v>
      </c>
      <c r="B54" s="6">
        <v>1</v>
      </c>
      <c r="C54" s="30">
        <v>0</v>
      </c>
      <c r="M54" s="6" t="s">
        <v>165</v>
      </c>
      <c r="N54" s="6">
        <v>1</v>
      </c>
      <c r="O54" s="30">
        <v>0</v>
      </c>
    </row>
    <row r="55" spans="1:27">
      <c r="A55" s="6" t="s">
        <v>57</v>
      </c>
      <c r="B55" s="6">
        <v>1</v>
      </c>
      <c r="C55" s="30">
        <v>0</v>
      </c>
    </row>
    <row r="56" spans="1:27">
      <c r="A56" s="6" t="s">
        <v>68</v>
      </c>
      <c r="B56" s="6">
        <v>2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165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E906-A47C-457E-BE4E-1A262C7B5DAB}">
  <sheetPr codeName="Sheet35"/>
  <dimension ref="A1:AI60"/>
  <sheetViews>
    <sheetView topLeftCell="R1" workbookViewId="0">
      <selection activeCell="AC29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101094</v>
      </c>
      <c r="E2" s="41" t="s">
        <v>4</v>
      </c>
      <c r="F2" s="23" t="s">
        <v>105</v>
      </c>
      <c r="G2" s="23">
        <f>G3+G4</f>
        <v>99525</v>
      </c>
      <c r="H2" s="22"/>
      <c r="I2" s="41" t="s">
        <v>6</v>
      </c>
      <c r="J2" s="23" t="s">
        <v>105</v>
      </c>
      <c r="K2" s="23">
        <f>K3+K4</f>
        <v>95925</v>
      </c>
      <c r="M2" s="41" t="s">
        <v>104</v>
      </c>
      <c r="N2" s="23" t="s">
        <v>105</v>
      </c>
      <c r="O2" s="23">
        <f>O3+O4</f>
        <v>34336</v>
      </c>
      <c r="Q2" s="41" t="s">
        <v>4</v>
      </c>
      <c r="R2" s="23" t="s">
        <v>105</v>
      </c>
      <c r="S2" s="23">
        <f>S3+S4</f>
        <v>32261</v>
      </c>
      <c r="T2" s="22"/>
      <c r="U2" s="41" t="s">
        <v>6</v>
      </c>
      <c r="V2" s="23" t="s">
        <v>105</v>
      </c>
      <c r="W2" s="23">
        <f>W3+W4</f>
        <v>30734</v>
      </c>
      <c r="Y2" s="41" t="s">
        <v>104</v>
      </c>
      <c r="Z2" s="23" t="s">
        <v>105</v>
      </c>
      <c r="AA2" s="23">
        <f>AA3+AA4</f>
        <v>66707</v>
      </c>
      <c r="AC2" s="41" t="s">
        <v>4</v>
      </c>
      <c r="AD2" s="23" t="s">
        <v>105</v>
      </c>
      <c r="AE2" s="23">
        <f>AE3+AE4</f>
        <v>67265</v>
      </c>
      <c r="AF2" s="22"/>
      <c r="AG2" s="41" t="s">
        <v>6</v>
      </c>
      <c r="AH2" s="23" t="s">
        <v>105</v>
      </c>
      <c r="AI2" s="23">
        <f>AI3+AI4</f>
        <v>65193</v>
      </c>
    </row>
    <row r="3" spans="1:35">
      <c r="A3" s="42"/>
      <c r="B3" s="24" t="s">
        <v>106</v>
      </c>
      <c r="C3" s="24">
        <f>B8</f>
        <v>99730</v>
      </c>
      <c r="E3" s="42"/>
      <c r="F3" s="24" t="s">
        <v>106</v>
      </c>
      <c r="G3" s="24">
        <f>F8</f>
        <v>99186</v>
      </c>
      <c r="H3" s="22"/>
      <c r="I3" s="42"/>
      <c r="J3" s="24" t="s">
        <v>106</v>
      </c>
      <c r="K3" s="24">
        <f>J8</f>
        <v>95830</v>
      </c>
      <c r="M3" s="42"/>
      <c r="N3" s="24" t="s">
        <v>106</v>
      </c>
      <c r="O3" s="24">
        <f>N8</f>
        <v>33946</v>
      </c>
      <c r="Q3" s="42"/>
      <c r="R3" s="24" t="s">
        <v>106</v>
      </c>
      <c r="S3" s="24">
        <f>R8</f>
        <v>32186</v>
      </c>
      <c r="T3" s="22"/>
      <c r="U3" s="42"/>
      <c r="V3" s="24" t="s">
        <v>106</v>
      </c>
      <c r="W3" s="24">
        <f>V8</f>
        <v>30704</v>
      </c>
      <c r="Y3" s="42"/>
      <c r="Z3" s="24" t="s">
        <v>106</v>
      </c>
      <c r="AA3" s="24">
        <f>Z8</f>
        <v>65741</v>
      </c>
      <c r="AC3" s="42"/>
      <c r="AD3" s="24" t="s">
        <v>106</v>
      </c>
      <c r="AE3" s="24">
        <f>AD8</f>
        <v>67000</v>
      </c>
      <c r="AF3" s="22"/>
      <c r="AG3" s="42"/>
      <c r="AH3" s="24" t="s">
        <v>106</v>
      </c>
      <c r="AI3" s="24">
        <f>AH8</f>
        <v>65126</v>
      </c>
    </row>
    <row r="4" spans="1:35">
      <c r="A4" s="42"/>
      <c r="B4" s="25" t="s">
        <v>107</v>
      </c>
      <c r="C4" s="25">
        <f>SUM(B9:B66)</f>
        <v>1364</v>
      </c>
      <c r="E4" s="42"/>
      <c r="F4" s="25" t="s">
        <v>107</v>
      </c>
      <c r="G4" s="25">
        <f>SUM(F9:F33)</f>
        <v>339</v>
      </c>
      <c r="H4" s="22"/>
      <c r="I4" s="42"/>
      <c r="J4" s="25" t="s">
        <v>107</v>
      </c>
      <c r="K4" s="25">
        <f>SUM(J9:J31)</f>
        <v>95</v>
      </c>
      <c r="M4" s="42"/>
      <c r="N4" s="25" t="s">
        <v>107</v>
      </c>
      <c r="O4" s="25">
        <f>SUM(N9:N66)</f>
        <v>390</v>
      </c>
      <c r="Q4" s="42"/>
      <c r="R4" s="25" t="s">
        <v>107</v>
      </c>
      <c r="S4" s="25">
        <f>SUM(R9:R33)</f>
        <v>75</v>
      </c>
      <c r="T4" s="22"/>
      <c r="U4" s="42"/>
      <c r="V4" s="25" t="s">
        <v>107</v>
      </c>
      <c r="W4" s="25">
        <f>SUM(V9:V31)</f>
        <v>30</v>
      </c>
      <c r="Y4" s="42"/>
      <c r="Z4" s="25" t="s">
        <v>107</v>
      </c>
      <c r="AA4" s="25">
        <f>SUM(Z9:Z45)</f>
        <v>966</v>
      </c>
      <c r="AC4" s="42"/>
      <c r="AD4" s="25" t="s">
        <v>107</v>
      </c>
      <c r="AE4" s="25">
        <f>SUM(AD9:AD29)</f>
        <v>265</v>
      </c>
      <c r="AF4" s="22"/>
      <c r="AG4" s="42"/>
      <c r="AH4" s="25" t="s">
        <v>107</v>
      </c>
      <c r="AI4" s="25">
        <f>SUM(AH9:AH29)</f>
        <v>67</v>
      </c>
    </row>
    <row r="5" spans="1:35">
      <c r="A5" s="43"/>
      <c r="B5" s="23" t="s">
        <v>108</v>
      </c>
      <c r="C5" s="26">
        <f>SUM(C9:C179)</f>
        <v>1.3199999999999996E-2</v>
      </c>
      <c r="E5" s="43"/>
      <c r="F5" s="23" t="s">
        <v>108</v>
      </c>
      <c r="G5" s="26">
        <f>SUM(G9:G33)</f>
        <v>3.3999999999999985E-3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1.1299999999999994E-2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1.0000000000000002E-3</v>
      </c>
      <c r="Y5" s="43"/>
      <c r="Z5" s="23" t="s">
        <v>108</v>
      </c>
      <c r="AA5" s="26">
        <f>SUM(AA9:AA158)</f>
        <v>1.4299999999999993E-2</v>
      </c>
      <c r="AC5" s="43"/>
      <c r="AD5" s="23" t="s">
        <v>108</v>
      </c>
      <c r="AE5" s="26">
        <f>SUM(AE9:AE29)</f>
        <v>3.8E-3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99730</v>
      </c>
      <c r="C8" s="9">
        <v>0.98650000000000004</v>
      </c>
      <c r="E8" s="6" t="s">
        <v>112</v>
      </c>
      <c r="F8" s="29">
        <v>99186</v>
      </c>
      <c r="G8" s="9">
        <v>0.99660000000000004</v>
      </c>
      <c r="I8" s="6" t="s">
        <v>112</v>
      </c>
      <c r="J8" s="29">
        <v>95830</v>
      </c>
      <c r="K8" s="9">
        <v>0.999</v>
      </c>
      <c r="M8" s="6" t="s">
        <v>112</v>
      </c>
      <c r="N8" s="29">
        <v>33946</v>
      </c>
      <c r="O8" s="9">
        <v>0.98860000000000003</v>
      </c>
      <c r="Q8" s="6" t="s">
        <v>112</v>
      </c>
      <c r="R8" s="29">
        <v>32186</v>
      </c>
      <c r="S8" s="9">
        <v>0.99770000000000003</v>
      </c>
      <c r="U8" s="6" t="s">
        <v>112</v>
      </c>
      <c r="V8" s="29">
        <v>30704</v>
      </c>
      <c r="W8" s="9">
        <v>0.999</v>
      </c>
      <c r="Y8" s="6" t="s">
        <v>112</v>
      </c>
      <c r="Z8" s="29">
        <v>65741</v>
      </c>
      <c r="AA8" s="9">
        <v>0.98540000000000005</v>
      </c>
      <c r="AC8" s="6" t="s">
        <v>112</v>
      </c>
      <c r="AD8" s="29">
        <v>67000</v>
      </c>
      <c r="AE8" s="9">
        <v>0.99609999999999999</v>
      </c>
      <c r="AG8" s="6" t="s">
        <v>112</v>
      </c>
      <c r="AH8" s="29">
        <v>65126</v>
      </c>
      <c r="AI8" s="9">
        <v>0.999</v>
      </c>
    </row>
    <row r="9" spans="1:35">
      <c r="A9" s="6" t="s">
        <v>2</v>
      </c>
      <c r="B9" s="6">
        <v>288</v>
      </c>
      <c r="C9" s="9">
        <v>2.8E-3</v>
      </c>
      <c r="E9" s="6" t="s">
        <v>122</v>
      </c>
      <c r="F9" s="6">
        <v>234</v>
      </c>
      <c r="G9" s="9">
        <v>2.3999999999999998E-3</v>
      </c>
      <c r="I9" s="6" t="s">
        <v>2</v>
      </c>
      <c r="J9" s="6">
        <v>41</v>
      </c>
      <c r="K9" s="9">
        <v>4.0000000000000002E-4</v>
      </c>
      <c r="M9" s="6" t="s">
        <v>2</v>
      </c>
      <c r="N9" s="6">
        <v>102</v>
      </c>
      <c r="O9" s="9">
        <v>3.0000000000000001E-3</v>
      </c>
      <c r="Q9" s="6" t="s">
        <v>122</v>
      </c>
      <c r="R9" s="6">
        <v>67</v>
      </c>
      <c r="S9" s="9">
        <v>2.0999999999999999E-3</v>
      </c>
      <c r="U9" s="6" t="s">
        <v>2</v>
      </c>
      <c r="V9" s="6">
        <v>11</v>
      </c>
      <c r="W9" s="9">
        <v>4.0000000000000002E-4</v>
      </c>
      <c r="Y9" s="6" t="s">
        <v>2</v>
      </c>
      <c r="Z9" s="6">
        <v>186</v>
      </c>
      <c r="AA9" s="9">
        <v>2.8E-3</v>
      </c>
      <c r="AC9" s="6" t="s">
        <v>122</v>
      </c>
      <c r="AD9" s="6">
        <v>167</v>
      </c>
      <c r="AE9" s="9">
        <v>2.5000000000000001E-3</v>
      </c>
      <c r="AG9" s="6" t="s">
        <v>2</v>
      </c>
      <c r="AH9" s="6">
        <v>30</v>
      </c>
      <c r="AI9" s="9">
        <v>5.0000000000000001E-4</v>
      </c>
    </row>
    <row r="10" spans="1:35">
      <c r="A10" s="6" t="s">
        <v>3</v>
      </c>
      <c r="B10" s="6">
        <v>226</v>
      </c>
      <c r="C10" s="9">
        <v>2.2000000000000001E-3</v>
      </c>
      <c r="E10" s="6" t="s">
        <v>83</v>
      </c>
      <c r="F10" s="6">
        <v>29</v>
      </c>
      <c r="G10" s="9">
        <v>2.9999999999999997E-4</v>
      </c>
      <c r="I10" s="6" t="s">
        <v>99</v>
      </c>
      <c r="J10" s="6">
        <v>18</v>
      </c>
      <c r="K10" s="9">
        <v>2.0000000000000001E-4</v>
      </c>
      <c r="M10" s="6" t="s">
        <v>3</v>
      </c>
      <c r="N10" s="6">
        <v>82</v>
      </c>
      <c r="O10" s="9">
        <v>2.3999999999999998E-3</v>
      </c>
      <c r="Q10" s="6" t="s">
        <v>76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3</v>
      </c>
      <c r="Z10" s="6">
        <v>144</v>
      </c>
      <c r="AA10" s="9">
        <v>2.2000000000000001E-3</v>
      </c>
      <c r="AC10" s="6" t="s">
        <v>83</v>
      </c>
      <c r="AD10" s="6">
        <v>29</v>
      </c>
      <c r="AE10" s="9">
        <v>4.0000000000000002E-4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9</v>
      </c>
      <c r="B11" s="6">
        <v>129</v>
      </c>
      <c r="C11" s="9">
        <v>1.2999999999999999E-3</v>
      </c>
      <c r="E11" s="6" t="s">
        <v>76</v>
      </c>
      <c r="F11" s="6">
        <v>5</v>
      </c>
      <c r="G11" s="9">
        <v>1E-4</v>
      </c>
      <c r="I11" s="6" t="s">
        <v>102</v>
      </c>
      <c r="J11" s="6">
        <v>10</v>
      </c>
      <c r="K11" s="9">
        <v>1E-4</v>
      </c>
      <c r="M11" s="6" t="s">
        <v>7</v>
      </c>
      <c r="N11" s="6">
        <v>24</v>
      </c>
      <c r="O11" s="9">
        <v>6.9999999999999999E-4</v>
      </c>
      <c r="Q11" s="6" t="s">
        <v>80</v>
      </c>
      <c r="R11" s="6">
        <v>1</v>
      </c>
      <c r="S11" s="30">
        <v>0</v>
      </c>
      <c r="U11" s="6" t="s">
        <v>102</v>
      </c>
      <c r="V11" s="6">
        <v>4</v>
      </c>
      <c r="W11" s="9">
        <v>1E-4</v>
      </c>
      <c r="Y11" s="6" t="s">
        <v>9</v>
      </c>
      <c r="Z11" s="6">
        <v>119</v>
      </c>
      <c r="AA11" s="9">
        <v>1.8E-3</v>
      </c>
      <c r="AC11" s="6" t="s">
        <v>77</v>
      </c>
      <c r="AD11" s="6">
        <v>12</v>
      </c>
      <c r="AE11" s="9">
        <v>2.0000000000000001E-4</v>
      </c>
      <c r="AG11" s="6" t="s">
        <v>99</v>
      </c>
      <c r="AH11" s="6">
        <v>12</v>
      </c>
      <c r="AI11" s="9">
        <v>2.0000000000000001E-4</v>
      </c>
    </row>
    <row r="12" spans="1:35">
      <c r="A12" s="6" t="s">
        <v>5</v>
      </c>
      <c r="B12" s="6">
        <v>94</v>
      </c>
      <c r="C12" s="9">
        <v>8.9999999999999998E-4</v>
      </c>
      <c r="E12" s="6" t="s">
        <v>77</v>
      </c>
      <c r="F12" s="6">
        <v>13</v>
      </c>
      <c r="G12" s="9">
        <v>1E-4</v>
      </c>
      <c r="I12" s="6" t="s">
        <v>98</v>
      </c>
      <c r="J12" s="6">
        <v>13</v>
      </c>
      <c r="K12" s="9">
        <v>1E-4</v>
      </c>
      <c r="M12" s="6" t="s">
        <v>5</v>
      </c>
      <c r="N12" s="6">
        <v>20</v>
      </c>
      <c r="O12" s="9">
        <v>5.9999999999999995E-4</v>
      </c>
      <c r="Q12" s="6" t="s">
        <v>77</v>
      </c>
      <c r="R12" s="6">
        <v>1</v>
      </c>
      <c r="S12" s="30">
        <v>0</v>
      </c>
      <c r="U12" s="6" t="s">
        <v>98</v>
      </c>
      <c r="V12" s="6">
        <v>2</v>
      </c>
      <c r="W12" s="9">
        <v>1E-4</v>
      </c>
      <c r="Y12" s="6" t="s">
        <v>8</v>
      </c>
      <c r="Z12" s="6">
        <v>79</v>
      </c>
      <c r="AA12" s="9">
        <v>1.1999999999999999E-3</v>
      </c>
      <c r="AC12" s="6" t="s">
        <v>79</v>
      </c>
      <c r="AD12" s="6">
        <v>13</v>
      </c>
      <c r="AE12" s="9">
        <v>2.0000000000000001E-4</v>
      </c>
      <c r="AG12" s="6" t="s">
        <v>102</v>
      </c>
      <c r="AH12" s="6">
        <v>7</v>
      </c>
      <c r="AI12" s="9">
        <v>1E-4</v>
      </c>
    </row>
    <row r="13" spans="1:35">
      <c r="A13" s="6" t="s">
        <v>8</v>
      </c>
      <c r="B13" s="6">
        <v>88</v>
      </c>
      <c r="C13" s="9">
        <v>8.9999999999999998E-4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8</v>
      </c>
      <c r="K13" s="9">
        <v>1E-4</v>
      </c>
      <c r="M13" s="6" t="s">
        <v>29</v>
      </c>
      <c r="N13" s="6">
        <v>16</v>
      </c>
      <c r="O13" s="9">
        <v>5.0000000000000001E-4</v>
      </c>
      <c r="Q13" s="6" t="s">
        <v>120</v>
      </c>
      <c r="R13" s="6">
        <v>1</v>
      </c>
      <c r="S13" s="30">
        <v>0</v>
      </c>
      <c r="U13" s="6" t="s">
        <v>117</v>
      </c>
      <c r="V13" s="6">
        <v>2</v>
      </c>
      <c r="W13" s="9">
        <v>1E-4</v>
      </c>
      <c r="Y13" s="6" t="s">
        <v>5</v>
      </c>
      <c r="Z13" s="6">
        <v>74</v>
      </c>
      <c r="AA13" s="9">
        <v>1.1000000000000001E-3</v>
      </c>
      <c r="AC13" s="6" t="s">
        <v>75</v>
      </c>
      <c r="AD13" s="6">
        <v>11</v>
      </c>
      <c r="AE13" s="9">
        <v>2.0000000000000001E-4</v>
      </c>
      <c r="AG13" s="6" t="s">
        <v>113</v>
      </c>
      <c r="AH13" s="6">
        <v>5</v>
      </c>
      <c r="AI13" s="9">
        <v>1E-4</v>
      </c>
    </row>
    <row r="14" spans="1:35">
      <c r="A14" s="6" t="s">
        <v>11</v>
      </c>
      <c r="B14" s="6">
        <v>56</v>
      </c>
      <c r="C14" s="9">
        <v>5.9999999999999995E-4</v>
      </c>
      <c r="E14" s="6" t="s">
        <v>75</v>
      </c>
      <c r="F14" s="6">
        <v>11</v>
      </c>
      <c r="G14" s="9">
        <v>1E-4</v>
      </c>
      <c r="I14" s="6" t="s">
        <v>123</v>
      </c>
      <c r="J14" s="6">
        <v>1</v>
      </c>
      <c r="K14" s="30">
        <v>0</v>
      </c>
      <c r="M14" s="6" t="s">
        <v>31</v>
      </c>
      <c r="N14" s="6">
        <v>18</v>
      </c>
      <c r="O14" s="9">
        <v>5.0000000000000001E-4</v>
      </c>
      <c r="Q14" s="6" t="s">
        <v>86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43</v>
      </c>
      <c r="AA14" s="9">
        <v>5.9999999999999995E-4</v>
      </c>
      <c r="AC14" s="6" t="s">
        <v>86</v>
      </c>
      <c r="AD14" s="6">
        <v>8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41</v>
      </c>
      <c r="B15" s="6">
        <v>46</v>
      </c>
      <c r="C15" s="9">
        <v>5.0000000000000001E-4</v>
      </c>
      <c r="E15" s="6" t="s">
        <v>86</v>
      </c>
      <c r="F15" s="6">
        <v>9</v>
      </c>
      <c r="G15" s="9">
        <v>1E-4</v>
      </c>
      <c r="I15" s="6" t="s">
        <v>117</v>
      </c>
      <c r="J15" s="6">
        <v>2</v>
      </c>
      <c r="K15" s="30">
        <v>0</v>
      </c>
      <c r="M15" s="6" t="s">
        <v>11</v>
      </c>
      <c r="N15" s="6">
        <v>13</v>
      </c>
      <c r="O15" s="9">
        <v>4.0000000000000002E-4</v>
      </c>
      <c r="Q15" s="6" t="s">
        <v>74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34</v>
      </c>
      <c r="AA15" s="9">
        <v>5.0000000000000001E-4</v>
      </c>
      <c r="AC15" s="6" t="s">
        <v>74</v>
      </c>
      <c r="AD15" s="6">
        <v>8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7</v>
      </c>
      <c r="B16" s="6">
        <v>53</v>
      </c>
      <c r="C16" s="9">
        <v>5.0000000000000001E-4</v>
      </c>
      <c r="E16" s="6" t="s">
        <v>74</v>
      </c>
      <c r="F16" s="6">
        <v>9</v>
      </c>
      <c r="G16" s="9">
        <v>1E-4</v>
      </c>
      <c r="I16" s="6" t="s">
        <v>103</v>
      </c>
      <c r="J16" s="6">
        <v>2</v>
      </c>
      <c r="K16" s="30">
        <v>0</v>
      </c>
      <c r="M16" s="6" t="s">
        <v>9</v>
      </c>
      <c r="N16" s="6">
        <v>10</v>
      </c>
      <c r="O16" s="9">
        <v>2.9999999999999997E-4</v>
      </c>
      <c r="Q16" s="6" t="s">
        <v>91</v>
      </c>
      <c r="R16" s="6">
        <v>1</v>
      </c>
      <c r="S16" s="30">
        <v>0</v>
      </c>
      <c r="U16" s="6" t="s">
        <v>103</v>
      </c>
      <c r="V16" s="6">
        <v>1</v>
      </c>
      <c r="W16" s="30">
        <v>0</v>
      </c>
      <c r="Y16" s="6" t="s">
        <v>12</v>
      </c>
      <c r="Z16" s="6">
        <v>28</v>
      </c>
      <c r="AA16" s="9">
        <v>4.0000000000000002E-4</v>
      </c>
      <c r="AC16" s="6" t="s">
        <v>78</v>
      </c>
      <c r="AD16" s="6">
        <v>5</v>
      </c>
      <c r="AE16" s="9">
        <v>1E-4</v>
      </c>
    </row>
    <row r="17" spans="1:31">
      <c r="A17" s="6" t="s">
        <v>18</v>
      </c>
      <c r="B17" s="6">
        <v>28</v>
      </c>
      <c r="C17" s="9">
        <v>2.9999999999999997E-4</v>
      </c>
      <c r="E17" s="6" t="s">
        <v>78</v>
      </c>
      <c r="F17" s="6">
        <v>5</v>
      </c>
      <c r="G17" s="9">
        <v>1E-4</v>
      </c>
      <c r="M17" s="6" t="s">
        <v>22</v>
      </c>
      <c r="N17" s="6">
        <v>11</v>
      </c>
      <c r="O17" s="9">
        <v>2.9999999999999997E-4</v>
      </c>
      <c r="Y17" s="6" t="s">
        <v>44</v>
      </c>
      <c r="Z17" s="6">
        <v>29</v>
      </c>
      <c r="AA17" s="9">
        <v>4.0000000000000002E-4</v>
      </c>
      <c r="AC17" s="6" t="s">
        <v>76</v>
      </c>
      <c r="AD17" s="6">
        <v>3</v>
      </c>
      <c r="AE17" s="30">
        <v>0</v>
      </c>
    </row>
    <row r="18" spans="1:31">
      <c r="A18" s="6" t="s">
        <v>12</v>
      </c>
      <c r="B18" s="6">
        <v>29</v>
      </c>
      <c r="C18" s="9">
        <v>2.9999999999999997E-4</v>
      </c>
      <c r="E18" s="6" t="s">
        <v>87</v>
      </c>
      <c r="F18" s="6">
        <v>1</v>
      </c>
      <c r="G18" s="30">
        <v>0</v>
      </c>
      <c r="M18" s="6" t="s">
        <v>41</v>
      </c>
      <c r="N18" s="6">
        <v>12</v>
      </c>
      <c r="O18" s="9">
        <v>2.9999999999999997E-4</v>
      </c>
      <c r="Y18" s="6" t="s">
        <v>7</v>
      </c>
      <c r="Z18" s="6">
        <v>29</v>
      </c>
      <c r="AA18" s="9">
        <v>4.0000000000000002E-4</v>
      </c>
      <c r="AC18" s="6" t="s">
        <v>87</v>
      </c>
      <c r="AD18" s="6">
        <v>1</v>
      </c>
      <c r="AE18" s="30">
        <v>0</v>
      </c>
    </row>
    <row r="19" spans="1:31">
      <c r="A19" s="6" t="s">
        <v>31</v>
      </c>
      <c r="B19" s="6">
        <v>31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18</v>
      </c>
      <c r="Z19" s="6">
        <v>20</v>
      </c>
      <c r="AA19" s="9">
        <v>2.9999999999999997E-4</v>
      </c>
      <c r="AC19" s="6" t="s">
        <v>81</v>
      </c>
      <c r="AD19" s="6">
        <v>1</v>
      </c>
      <c r="AE19" s="30">
        <v>0</v>
      </c>
    </row>
    <row r="20" spans="1:31">
      <c r="A20" s="6" t="s">
        <v>44</v>
      </c>
      <c r="B20" s="6">
        <v>29</v>
      </c>
      <c r="C20" s="9">
        <v>2.9999999999999997E-4</v>
      </c>
      <c r="E20" s="6" t="s">
        <v>81</v>
      </c>
      <c r="F20" s="6">
        <v>1</v>
      </c>
      <c r="G20" s="30">
        <v>0</v>
      </c>
      <c r="M20" s="6" t="s">
        <v>18</v>
      </c>
      <c r="N20" s="6">
        <v>8</v>
      </c>
      <c r="O20" s="9">
        <v>2.0000000000000001E-4</v>
      </c>
      <c r="Y20" s="6" t="s">
        <v>21</v>
      </c>
      <c r="Z20" s="6">
        <v>21</v>
      </c>
      <c r="AA20" s="9">
        <v>2.9999999999999997E-4</v>
      </c>
      <c r="AC20" s="6" t="s">
        <v>80</v>
      </c>
      <c r="AD20" s="6">
        <v>1</v>
      </c>
      <c r="AE20" s="30">
        <v>0</v>
      </c>
    </row>
    <row r="21" spans="1:31">
      <c r="A21" s="6" t="s">
        <v>21</v>
      </c>
      <c r="B21" s="6">
        <v>25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43</v>
      </c>
      <c r="N21" s="6">
        <v>8</v>
      </c>
      <c r="O21" s="9">
        <v>2.0000000000000001E-4</v>
      </c>
      <c r="Y21" s="6" t="s">
        <v>19</v>
      </c>
      <c r="Z21" s="6">
        <v>11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29</v>
      </c>
      <c r="B22" s="6">
        <v>23</v>
      </c>
      <c r="C22" s="9">
        <v>2.0000000000000001E-4</v>
      </c>
      <c r="E22" s="6" t="s">
        <v>84</v>
      </c>
      <c r="F22" s="6">
        <v>3</v>
      </c>
      <c r="G22" s="30">
        <v>0</v>
      </c>
      <c r="M22" s="6" t="s">
        <v>24</v>
      </c>
      <c r="N22" s="6">
        <v>6</v>
      </c>
      <c r="O22" s="9">
        <v>2.0000000000000001E-4</v>
      </c>
      <c r="Y22" s="6" t="s">
        <v>14</v>
      </c>
      <c r="Z22" s="6">
        <v>16</v>
      </c>
      <c r="AA22" s="9">
        <v>2.0000000000000001E-4</v>
      </c>
      <c r="AC22" s="6" t="s">
        <v>82</v>
      </c>
      <c r="AD22" s="6">
        <v>1</v>
      </c>
      <c r="AE22" s="30">
        <v>0</v>
      </c>
    </row>
    <row r="23" spans="1:31">
      <c r="A23" s="6" t="s">
        <v>22</v>
      </c>
      <c r="B23" s="6">
        <v>20</v>
      </c>
      <c r="C23" s="9">
        <v>2.0000000000000001E-4</v>
      </c>
      <c r="E23" s="6" t="s">
        <v>164</v>
      </c>
      <c r="F23" s="6">
        <v>1</v>
      </c>
      <c r="G23" s="30">
        <v>0</v>
      </c>
      <c r="M23" s="6" t="s">
        <v>27</v>
      </c>
      <c r="N23" s="6">
        <v>6</v>
      </c>
      <c r="O23" s="9">
        <v>2.0000000000000001E-4</v>
      </c>
      <c r="Y23" s="6" t="s">
        <v>17</v>
      </c>
      <c r="Z23" s="6">
        <v>15</v>
      </c>
      <c r="AA23" s="9">
        <v>2.0000000000000001E-4</v>
      </c>
      <c r="AC23" s="6" t="s">
        <v>164</v>
      </c>
      <c r="AD23" s="6">
        <v>1</v>
      </c>
      <c r="AE23" s="30">
        <v>0</v>
      </c>
    </row>
    <row r="24" spans="1:31">
      <c r="A24" s="6" t="s">
        <v>17</v>
      </c>
      <c r="B24" s="6">
        <v>17</v>
      </c>
      <c r="C24" s="9">
        <v>2.0000000000000001E-4</v>
      </c>
      <c r="E24" s="6" t="s">
        <v>120</v>
      </c>
      <c r="F24" s="6">
        <v>1</v>
      </c>
      <c r="G24" s="30">
        <v>0</v>
      </c>
      <c r="M24" s="6" t="s">
        <v>19</v>
      </c>
      <c r="N24" s="6">
        <v>2</v>
      </c>
      <c r="O24" s="9">
        <v>1E-4</v>
      </c>
      <c r="Y24" s="6" t="s">
        <v>10</v>
      </c>
      <c r="Z24" s="6">
        <v>11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1">
      <c r="A25" s="6" t="s">
        <v>10</v>
      </c>
      <c r="B25" s="6">
        <v>16</v>
      </c>
      <c r="C25" s="9">
        <v>2.0000000000000001E-4</v>
      </c>
      <c r="E25" s="6" t="s">
        <v>145</v>
      </c>
      <c r="F25" s="6">
        <v>1</v>
      </c>
      <c r="G25" s="30">
        <v>0</v>
      </c>
      <c r="M25" s="6" t="s">
        <v>21</v>
      </c>
      <c r="N25" s="6">
        <v>4</v>
      </c>
      <c r="O25" s="9">
        <v>1E-4</v>
      </c>
      <c r="Y25" s="6" t="s">
        <v>31</v>
      </c>
      <c r="Z25" s="6">
        <v>13</v>
      </c>
      <c r="AA25" s="9">
        <v>2.0000000000000001E-4</v>
      </c>
    </row>
    <row r="26" spans="1:31">
      <c r="A26" s="6" t="s">
        <v>14</v>
      </c>
      <c r="B26" s="6">
        <v>16</v>
      </c>
      <c r="C26" s="9">
        <v>2.0000000000000001E-4</v>
      </c>
      <c r="E26" s="6" t="s">
        <v>91</v>
      </c>
      <c r="F26" s="6">
        <v>1</v>
      </c>
      <c r="G26" s="30">
        <v>0</v>
      </c>
      <c r="M26" s="6" t="s">
        <v>10</v>
      </c>
      <c r="N26" s="6">
        <v>5</v>
      </c>
      <c r="O26" s="9">
        <v>1E-4</v>
      </c>
      <c r="Y26" s="6" t="s">
        <v>20</v>
      </c>
      <c r="Z26" s="6">
        <v>4</v>
      </c>
      <c r="AA26" s="9">
        <v>1E-4</v>
      </c>
    </row>
    <row r="27" spans="1:31">
      <c r="A27" s="6" t="s">
        <v>19</v>
      </c>
      <c r="B27" s="6">
        <v>13</v>
      </c>
      <c r="C27" s="9">
        <v>1E-4</v>
      </c>
      <c r="M27" s="6" t="s">
        <v>45</v>
      </c>
      <c r="N27" s="6">
        <v>2</v>
      </c>
      <c r="O27" s="9">
        <v>1E-4</v>
      </c>
      <c r="Y27" s="6" t="s">
        <v>16</v>
      </c>
      <c r="Z27" s="6">
        <v>7</v>
      </c>
      <c r="AA27" s="9">
        <v>1E-4</v>
      </c>
    </row>
    <row r="28" spans="1:31">
      <c r="A28" s="6" t="s">
        <v>16</v>
      </c>
      <c r="B28" s="6">
        <v>7</v>
      </c>
      <c r="C28" s="9">
        <v>1E-4</v>
      </c>
      <c r="M28" s="6" t="s">
        <v>17</v>
      </c>
      <c r="N28" s="6">
        <v>2</v>
      </c>
      <c r="O28" s="9">
        <v>1E-4</v>
      </c>
      <c r="Y28" s="6" t="s">
        <v>37</v>
      </c>
      <c r="Z28" s="6">
        <v>8</v>
      </c>
      <c r="AA28" s="9">
        <v>1E-4</v>
      </c>
    </row>
    <row r="29" spans="1:31">
      <c r="A29" s="6" t="s">
        <v>37</v>
      </c>
      <c r="B29" s="6">
        <v>12</v>
      </c>
      <c r="C29" s="9">
        <v>1E-4</v>
      </c>
      <c r="M29" s="6" t="s">
        <v>37</v>
      </c>
      <c r="N29" s="6">
        <v>4</v>
      </c>
      <c r="O29" s="9">
        <v>1E-4</v>
      </c>
      <c r="Y29" s="6" t="s">
        <v>22</v>
      </c>
      <c r="Z29" s="6">
        <v>9</v>
      </c>
      <c r="AA29" s="9">
        <v>1E-4</v>
      </c>
    </row>
    <row r="30" spans="1:31">
      <c r="A30" s="6" t="s">
        <v>24</v>
      </c>
      <c r="B30" s="6">
        <v>14</v>
      </c>
      <c r="C30" s="9">
        <v>1E-4</v>
      </c>
      <c r="M30" s="6" t="s">
        <v>36</v>
      </c>
      <c r="N30" s="6">
        <v>2</v>
      </c>
      <c r="O30" s="9">
        <v>1E-4</v>
      </c>
      <c r="Y30" s="6" t="s">
        <v>24</v>
      </c>
      <c r="Z30" s="6">
        <v>8</v>
      </c>
      <c r="AA30" s="9">
        <v>1E-4</v>
      </c>
    </row>
    <row r="31" spans="1:31">
      <c r="A31" s="6" t="s">
        <v>40</v>
      </c>
      <c r="B31" s="6">
        <v>7</v>
      </c>
      <c r="C31" s="9">
        <v>1E-4</v>
      </c>
      <c r="M31" s="6" t="s">
        <v>26</v>
      </c>
      <c r="N31" s="6">
        <v>3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40</v>
      </c>
      <c r="N32" s="6">
        <v>2</v>
      </c>
      <c r="O32" s="9">
        <v>1E-4</v>
      </c>
      <c r="Y32" s="6" t="s">
        <v>40</v>
      </c>
      <c r="Z32" s="6">
        <v>5</v>
      </c>
      <c r="AA32" s="9">
        <v>1E-4</v>
      </c>
    </row>
    <row r="33" spans="1:27">
      <c r="A33" s="6" t="s">
        <v>26</v>
      </c>
      <c r="B33" s="6">
        <v>9</v>
      </c>
      <c r="C33" s="9">
        <v>1E-4</v>
      </c>
      <c r="M33" s="6" t="s">
        <v>30</v>
      </c>
      <c r="N33" s="6">
        <v>2</v>
      </c>
      <c r="O33" s="9">
        <v>1E-4</v>
      </c>
      <c r="Y33" s="6" t="s">
        <v>30</v>
      </c>
      <c r="Z33" s="6">
        <v>6</v>
      </c>
      <c r="AA33" s="9">
        <v>1E-4</v>
      </c>
    </row>
    <row r="34" spans="1:27">
      <c r="A34" s="6" t="s">
        <v>43</v>
      </c>
      <c r="B34" s="6">
        <v>8</v>
      </c>
      <c r="C34" s="9">
        <v>1E-4</v>
      </c>
      <c r="M34" s="6" t="s">
        <v>33</v>
      </c>
      <c r="N34" s="6">
        <v>2</v>
      </c>
      <c r="O34" s="9">
        <v>1E-4</v>
      </c>
      <c r="Y34" s="6" t="s">
        <v>26</v>
      </c>
      <c r="Z34" s="6">
        <v>6</v>
      </c>
      <c r="AA34" s="9">
        <v>1E-4</v>
      </c>
    </row>
    <row r="35" spans="1:27">
      <c r="A35" s="6" t="s">
        <v>27</v>
      </c>
      <c r="B35" s="6">
        <v>10</v>
      </c>
      <c r="C35" s="9">
        <v>1E-4</v>
      </c>
      <c r="M35" s="6" t="s">
        <v>25</v>
      </c>
      <c r="N35" s="6">
        <v>2</v>
      </c>
      <c r="O35" s="9">
        <v>1E-4</v>
      </c>
      <c r="Y35" s="6" t="s">
        <v>33</v>
      </c>
      <c r="Z35" s="6">
        <v>5</v>
      </c>
      <c r="AA35" s="9">
        <v>1E-4</v>
      </c>
    </row>
    <row r="36" spans="1:27">
      <c r="A36" s="6" t="s">
        <v>33</v>
      </c>
      <c r="B36" s="6">
        <v>7</v>
      </c>
      <c r="C36" s="9">
        <v>1E-4</v>
      </c>
      <c r="M36" s="6" t="s">
        <v>13</v>
      </c>
      <c r="N36" s="6">
        <v>1</v>
      </c>
      <c r="O36" s="30">
        <v>0</v>
      </c>
      <c r="Y36" s="6" t="s">
        <v>25</v>
      </c>
      <c r="Z36" s="6">
        <v>6</v>
      </c>
      <c r="AA36" s="9">
        <v>1E-4</v>
      </c>
    </row>
    <row r="37" spans="1:27">
      <c r="A37" s="6" t="s">
        <v>25</v>
      </c>
      <c r="B37" s="6">
        <v>8</v>
      </c>
      <c r="C37" s="9">
        <v>1E-4</v>
      </c>
      <c r="M37" s="6" t="s">
        <v>55</v>
      </c>
      <c r="N37" s="6">
        <v>1</v>
      </c>
      <c r="O37" s="30">
        <v>0</v>
      </c>
      <c r="Y37" s="6" t="s">
        <v>27</v>
      </c>
      <c r="Z37" s="6">
        <v>4</v>
      </c>
      <c r="AA37" s="9">
        <v>1E-4</v>
      </c>
    </row>
    <row r="38" spans="1:27">
      <c r="A38" s="6" t="s">
        <v>20</v>
      </c>
      <c r="B38" s="6">
        <v>4</v>
      </c>
      <c r="C38" s="30">
        <v>0</v>
      </c>
      <c r="M38" s="6" t="s">
        <v>60</v>
      </c>
      <c r="N38" s="6">
        <v>1</v>
      </c>
      <c r="O38" s="30">
        <v>0</v>
      </c>
      <c r="Y38" s="6" t="s">
        <v>39</v>
      </c>
      <c r="Z38" s="6">
        <v>4</v>
      </c>
      <c r="AA38" s="9">
        <v>1E-4</v>
      </c>
    </row>
    <row r="39" spans="1:27">
      <c r="A39" s="6" t="s">
        <v>45</v>
      </c>
      <c r="B39" s="6">
        <v>2</v>
      </c>
      <c r="C39" s="30">
        <v>0</v>
      </c>
      <c r="M39" s="6" t="s">
        <v>51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13</v>
      </c>
      <c r="B40" s="6">
        <v>1</v>
      </c>
      <c r="C40" s="30">
        <v>0</v>
      </c>
      <c r="M40" s="6" t="s">
        <v>38</v>
      </c>
      <c r="N40" s="6">
        <v>1</v>
      </c>
      <c r="O40" s="30">
        <v>0</v>
      </c>
      <c r="Y40" s="6" t="s">
        <v>48</v>
      </c>
      <c r="Z40" s="6">
        <v>3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39</v>
      </c>
      <c r="N41" s="6">
        <v>1</v>
      </c>
      <c r="O41" s="30">
        <v>0</v>
      </c>
      <c r="Y41" s="6" t="s">
        <v>38</v>
      </c>
      <c r="Z41" s="6">
        <v>3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57</v>
      </c>
      <c r="N42" s="6">
        <v>1</v>
      </c>
      <c r="O42" s="30">
        <v>0</v>
      </c>
      <c r="Y42" s="6" t="s">
        <v>15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M43" s="6" t="s">
        <v>49</v>
      </c>
      <c r="N43" s="6">
        <v>1</v>
      </c>
      <c r="O43" s="30">
        <v>0</v>
      </c>
      <c r="Y43" s="6" t="s">
        <v>42</v>
      </c>
      <c r="Z43" s="6">
        <v>2</v>
      </c>
      <c r="AA43" s="30">
        <v>0</v>
      </c>
    </row>
    <row r="44" spans="1:27">
      <c r="A44" s="6" t="s">
        <v>38</v>
      </c>
      <c r="B44" s="6">
        <v>4</v>
      </c>
      <c r="C44" s="30">
        <v>0</v>
      </c>
      <c r="M44" s="6" t="s">
        <v>12</v>
      </c>
      <c r="N44" s="6">
        <v>1</v>
      </c>
      <c r="O44" s="30">
        <v>0</v>
      </c>
      <c r="Y44" s="6" t="s">
        <v>53</v>
      </c>
      <c r="Z44" s="6">
        <v>2</v>
      </c>
      <c r="AA44" s="30">
        <v>0</v>
      </c>
    </row>
    <row r="45" spans="1:27">
      <c r="A45" s="6" t="s">
        <v>55</v>
      </c>
      <c r="B45" s="6">
        <v>1</v>
      </c>
      <c r="C45" s="30">
        <v>0</v>
      </c>
      <c r="M45" s="6" t="s">
        <v>129</v>
      </c>
      <c r="N45" s="6">
        <v>1</v>
      </c>
      <c r="O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39</v>
      </c>
      <c r="B46" s="6">
        <v>5</v>
      </c>
      <c r="C46" s="30">
        <v>0</v>
      </c>
      <c r="M46" s="6" t="s">
        <v>53</v>
      </c>
      <c r="N46" s="6">
        <v>1</v>
      </c>
      <c r="O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15</v>
      </c>
      <c r="B47" s="6">
        <v>1</v>
      </c>
      <c r="C47" s="30">
        <v>0</v>
      </c>
      <c r="M47" s="6" t="s">
        <v>166</v>
      </c>
      <c r="N47" s="6">
        <v>1</v>
      </c>
      <c r="O47" s="30">
        <v>0</v>
      </c>
      <c r="Y47" s="6" t="s">
        <v>57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  <c r="M48" s="6" t="s">
        <v>66</v>
      </c>
      <c r="N48" s="6">
        <v>1</v>
      </c>
      <c r="O48" s="30">
        <v>0</v>
      </c>
      <c r="Y48" s="6" t="s">
        <v>66</v>
      </c>
      <c r="Z48" s="6">
        <v>1</v>
      </c>
      <c r="AA48" s="30">
        <v>0</v>
      </c>
    </row>
    <row r="49" spans="1:27">
      <c r="A49" s="6" t="s">
        <v>42</v>
      </c>
      <c r="B49" s="6">
        <v>2</v>
      </c>
      <c r="C49" s="30">
        <v>0</v>
      </c>
      <c r="Y49" s="6" t="s">
        <v>32</v>
      </c>
      <c r="Z49" s="6">
        <v>1</v>
      </c>
      <c r="AA49" s="30">
        <v>0</v>
      </c>
    </row>
    <row r="50" spans="1:27">
      <c r="A50" s="6" t="s">
        <v>53</v>
      </c>
      <c r="B50" s="6">
        <v>3</v>
      </c>
      <c r="C50" s="30">
        <v>0</v>
      </c>
      <c r="Y50" s="6" t="s">
        <v>147</v>
      </c>
      <c r="Z50" s="6">
        <v>1</v>
      </c>
      <c r="AA50" s="30">
        <v>0</v>
      </c>
    </row>
    <row r="51" spans="1:27">
      <c r="A51" s="6" t="s">
        <v>57</v>
      </c>
      <c r="B51" s="6">
        <v>2</v>
      </c>
      <c r="C51" s="30">
        <v>0</v>
      </c>
      <c r="Y51" s="6" t="s">
        <v>60</v>
      </c>
      <c r="Z51" s="6">
        <v>1</v>
      </c>
      <c r="AA51" s="30">
        <v>0</v>
      </c>
    </row>
    <row r="52" spans="1:27">
      <c r="A52" s="6" t="s">
        <v>58</v>
      </c>
      <c r="B52" s="6">
        <v>2</v>
      </c>
      <c r="C52" s="30">
        <v>0</v>
      </c>
      <c r="Y52" s="6" t="s">
        <v>124</v>
      </c>
      <c r="Z52" s="6">
        <v>1</v>
      </c>
      <c r="AA52" s="30">
        <v>0</v>
      </c>
    </row>
    <row r="53" spans="1:27">
      <c r="A53" s="6" t="s">
        <v>66</v>
      </c>
      <c r="B53" s="6">
        <v>2</v>
      </c>
      <c r="C53" s="30">
        <v>0</v>
      </c>
      <c r="Y53" s="6" t="s">
        <v>129</v>
      </c>
      <c r="Z53" s="6">
        <v>1</v>
      </c>
      <c r="AA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49</v>
      </c>
      <c r="B55" s="6">
        <v>1</v>
      </c>
      <c r="C55" s="30">
        <v>0</v>
      </c>
    </row>
    <row r="56" spans="1:27">
      <c r="A56" s="6" t="s">
        <v>147</v>
      </c>
      <c r="B56" s="6">
        <v>1</v>
      </c>
      <c r="C56" s="30">
        <v>0</v>
      </c>
    </row>
    <row r="57" spans="1:27">
      <c r="A57" s="6" t="s">
        <v>32</v>
      </c>
      <c r="B57" s="6">
        <v>1</v>
      </c>
      <c r="C57" s="30">
        <v>0</v>
      </c>
    </row>
    <row r="58" spans="1:27">
      <c r="A58" s="6" t="s">
        <v>129</v>
      </c>
      <c r="B58" s="6">
        <v>2</v>
      </c>
      <c r="C58" s="30">
        <v>0</v>
      </c>
    </row>
    <row r="59" spans="1:27">
      <c r="A59" s="6" t="s">
        <v>124</v>
      </c>
      <c r="B59" s="6">
        <v>1</v>
      </c>
      <c r="C59" s="30">
        <v>0</v>
      </c>
    </row>
    <row r="60" spans="1:27">
      <c r="A60" s="6" t="s">
        <v>166</v>
      </c>
      <c r="B60" s="6">
        <v>1</v>
      </c>
      <c r="C60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91AA-E692-4997-85D0-3F07E0E6FB18}">
  <sheetPr codeName="Sheet36"/>
  <dimension ref="A1:AI59"/>
  <sheetViews>
    <sheetView topLeftCell="R1" workbookViewId="0">
      <selection activeCell="V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104546</v>
      </c>
      <c r="E2" s="41" t="s">
        <v>4</v>
      </c>
      <c r="F2" s="23" t="s">
        <v>105</v>
      </c>
      <c r="G2" s="23">
        <f>G3+G4</f>
        <v>94339</v>
      </c>
      <c r="H2" s="22"/>
      <c r="I2" s="41" t="s">
        <v>6</v>
      </c>
      <c r="J2" s="23" t="s">
        <v>105</v>
      </c>
      <c r="K2" s="23">
        <f>K3+K4</f>
        <v>96387</v>
      </c>
      <c r="M2" s="41" t="s">
        <v>104</v>
      </c>
      <c r="N2" s="23" t="s">
        <v>105</v>
      </c>
      <c r="O2" s="23">
        <f>O3+O4</f>
        <v>33245</v>
      </c>
      <c r="Q2" s="41" t="s">
        <v>4</v>
      </c>
      <c r="R2" s="23" t="s">
        <v>105</v>
      </c>
      <c r="S2" s="23">
        <f>S3+S4</f>
        <v>32538</v>
      </c>
      <c r="T2" s="22"/>
      <c r="U2" s="41" t="s">
        <v>6</v>
      </c>
      <c r="V2" s="23" t="s">
        <v>105</v>
      </c>
      <c r="W2" s="23">
        <f>W3+W4</f>
        <v>33523</v>
      </c>
      <c r="Y2" s="41" t="s">
        <v>104</v>
      </c>
      <c r="Z2" s="23" t="s">
        <v>105</v>
      </c>
      <c r="AA2" s="23">
        <f>AA3+AA4</f>
        <v>71283</v>
      </c>
      <c r="AC2" s="41" t="s">
        <v>4</v>
      </c>
      <c r="AD2" s="23" t="s">
        <v>105</v>
      </c>
      <c r="AE2" s="23">
        <f>AE3+AE4</f>
        <v>61802</v>
      </c>
      <c r="AF2" s="22"/>
      <c r="AG2" s="41" t="s">
        <v>6</v>
      </c>
      <c r="AH2" s="23" t="s">
        <v>105</v>
      </c>
      <c r="AI2" s="23">
        <f>AI3+AI4</f>
        <v>62866</v>
      </c>
    </row>
    <row r="3" spans="1:35">
      <c r="A3" s="42"/>
      <c r="B3" s="24" t="s">
        <v>106</v>
      </c>
      <c r="C3" s="24">
        <f>B8</f>
        <v>103046</v>
      </c>
      <c r="E3" s="42"/>
      <c r="F3" s="24" t="s">
        <v>106</v>
      </c>
      <c r="G3" s="24">
        <f>F8</f>
        <v>94005</v>
      </c>
      <c r="H3" s="22"/>
      <c r="I3" s="42"/>
      <c r="J3" s="24" t="s">
        <v>106</v>
      </c>
      <c r="K3" s="24">
        <f>J8</f>
        <v>96297</v>
      </c>
      <c r="M3" s="42"/>
      <c r="N3" s="24" t="s">
        <v>106</v>
      </c>
      <c r="O3" s="24">
        <f>N8</f>
        <v>32847</v>
      </c>
      <c r="Q3" s="42"/>
      <c r="R3" s="24" t="s">
        <v>106</v>
      </c>
      <c r="S3" s="24">
        <f>R8</f>
        <v>32430</v>
      </c>
      <c r="T3" s="22"/>
      <c r="U3" s="42"/>
      <c r="V3" s="24" t="s">
        <v>106</v>
      </c>
      <c r="W3" s="24">
        <f>V8</f>
        <v>33482</v>
      </c>
      <c r="Y3" s="42"/>
      <c r="Z3" s="24" t="s">
        <v>106</v>
      </c>
      <c r="AA3" s="24">
        <f>Z8</f>
        <v>70200</v>
      </c>
      <c r="AC3" s="42"/>
      <c r="AD3" s="24" t="s">
        <v>106</v>
      </c>
      <c r="AE3" s="24">
        <f>AD8</f>
        <v>61575</v>
      </c>
      <c r="AF3" s="22"/>
      <c r="AG3" s="42"/>
      <c r="AH3" s="24" t="s">
        <v>106</v>
      </c>
      <c r="AI3" s="24">
        <f>AH8</f>
        <v>62815</v>
      </c>
    </row>
    <row r="4" spans="1:35">
      <c r="A4" s="42"/>
      <c r="B4" s="25" t="s">
        <v>107</v>
      </c>
      <c r="C4" s="25">
        <f>SUM(B9:B66)</f>
        <v>1500</v>
      </c>
      <c r="E4" s="42"/>
      <c r="F4" s="25" t="s">
        <v>107</v>
      </c>
      <c r="G4" s="25">
        <f>SUM(F9:F33)</f>
        <v>334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398</v>
      </c>
      <c r="Q4" s="42"/>
      <c r="R4" s="25" t="s">
        <v>107</v>
      </c>
      <c r="S4" s="25">
        <f>SUM(R9:R33)</f>
        <v>108</v>
      </c>
      <c r="T4" s="22"/>
      <c r="U4" s="42"/>
      <c r="V4" s="25" t="s">
        <v>107</v>
      </c>
      <c r="W4" s="25">
        <f>SUM(V9:V31)</f>
        <v>41</v>
      </c>
      <c r="Y4" s="42"/>
      <c r="Z4" s="25" t="s">
        <v>107</v>
      </c>
      <c r="AA4" s="25">
        <f>SUM(Z9:Z45)</f>
        <v>1083</v>
      </c>
      <c r="AC4" s="42"/>
      <c r="AD4" s="25" t="s">
        <v>107</v>
      </c>
      <c r="AE4" s="25">
        <f>SUM(AD9:AD29)</f>
        <v>227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1.3899999999999994E-2</v>
      </c>
      <c r="E5" s="43"/>
      <c r="F5" s="23" t="s">
        <v>108</v>
      </c>
      <c r="G5" s="26">
        <f>SUM(G9:G33)</f>
        <v>3.4999999999999992E-3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1.2099999999999994E-2</v>
      </c>
      <c r="Q5" s="43"/>
      <c r="R5" s="23" t="s">
        <v>108</v>
      </c>
      <c r="S5" s="26">
        <f>SUM(S9:S33)</f>
        <v>3.1999999999999993E-3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1.5299999999999994E-2</v>
      </c>
      <c r="AC5" s="43"/>
      <c r="AD5" s="23" t="s">
        <v>108</v>
      </c>
      <c r="AE5" s="26">
        <f>SUM(AE9:AE29)</f>
        <v>3.599999999999999E-3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103046</v>
      </c>
      <c r="C8" s="9">
        <v>0.98570000000000002</v>
      </c>
      <c r="E8" s="6" t="s">
        <v>112</v>
      </c>
      <c r="F8" s="29">
        <v>94005</v>
      </c>
      <c r="G8" s="9">
        <v>0.99650000000000005</v>
      </c>
      <c r="I8" s="6" t="s">
        <v>112</v>
      </c>
      <c r="J8" s="29">
        <v>96297</v>
      </c>
      <c r="K8" s="9">
        <v>0.99909999999999999</v>
      </c>
      <c r="M8" s="6" t="s">
        <v>112</v>
      </c>
      <c r="N8" s="29">
        <v>32847</v>
      </c>
      <c r="O8" s="9">
        <v>0.98799999999999999</v>
      </c>
      <c r="Q8" s="6" t="s">
        <v>112</v>
      </c>
      <c r="R8" s="29">
        <v>32430</v>
      </c>
      <c r="S8" s="9">
        <v>0.99670000000000003</v>
      </c>
      <c r="U8" s="6" t="s">
        <v>112</v>
      </c>
      <c r="V8" s="29">
        <v>33482</v>
      </c>
      <c r="W8" s="9">
        <v>0.99880000000000002</v>
      </c>
      <c r="Y8" s="6" t="s">
        <v>112</v>
      </c>
      <c r="Z8" s="29">
        <v>70200</v>
      </c>
      <c r="AA8" s="9">
        <v>0.98450000000000004</v>
      </c>
      <c r="AC8" s="6" t="s">
        <v>112</v>
      </c>
      <c r="AD8" s="29">
        <v>61575</v>
      </c>
      <c r="AE8" s="9">
        <v>0.99629999999999996</v>
      </c>
      <c r="AG8" s="6" t="s">
        <v>112</v>
      </c>
      <c r="AH8" s="29">
        <v>62815</v>
      </c>
      <c r="AI8" s="9">
        <v>0.99919999999999998</v>
      </c>
    </row>
    <row r="9" spans="1:35">
      <c r="A9" s="6" t="s">
        <v>2</v>
      </c>
      <c r="B9" s="6">
        <v>310</v>
      </c>
      <c r="C9" s="9">
        <v>3.0000000000000001E-3</v>
      </c>
      <c r="E9" s="6" t="s">
        <v>122</v>
      </c>
      <c r="F9" s="6">
        <v>235</v>
      </c>
      <c r="G9" s="9">
        <v>2.5000000000000001E-3</v>
      </c>
      <c r="I9" s="6" t="s">
        <v>2</v>
      </c>
      <c r="J9" s="6">
        <v>44</v>
      </c>
      <c r="K9" s="9">
        <v>5.0000000000000001E-4</v>
      </c>
      <c r="M9" s="6" t="s">
        <v>2</v>
      </c>
      <c r="N9" s="6">
        <v>117</v>
      </c>
      <c r="O9" s="9">
        <v>3.5000000000000001E-3</v>
      </c>
      <c r="Q9" s="6" t="s">
        <v>122</v>
      </c>
      <c r="R9" s="6">
        <v>95</v>
      </c>
      <c r="S9" s="9">
        <v>2.8999999999999998E-3</v>
      </c>
      <c r="U9" s="6" t="s">
        <v>2</v>
      </c>
      <c r="V9" s="6">
        <v>14</v>
      </c>
      <c r="W9" s="9">
        <v>4.0000000000000002E-4</v>
      </c>
      <c r="Y9" s="6" t="s">
        <v>2</v>
      </c>
      <c r="Z9" s="6">
        <v>193</v>
      </c>
      <c r="AA9" s="9">
        <v>2.7000000000000001E-3</v>
      </c>
      <c r="AC9" s="6" t="s">
        <v>122</v>
      </c>
      <c r="AD9" s="6">
        <v>140</v>
      </c>
      <c r="AE9" s="9">
        <v>2.3E-3</v>
      </c>
      <c r="AG9" s="6" t="s">
        <v>2</v>
      </c>
      <c r="AH9" s="6">
        <v>30</v>
      </c>
      <c r="AI9" s="9">
        <v>5.0000000000000001E-4</v>
      </c>
    </row>
    <row r="10" spans="1:35">
      <c r="A10" s="6" t="s">
        <v>3</v>
      </c>
      <c r="B10" s="6">
        <v>268</v>
      </c>
      <c r="C10" s="9">
        <v>2.5999999999999999E-3</v>
      </c>
      <c r="E10" s="6" t="s">
        <v>83</v>
      </c>
      <c r="F10" s="6">
        <v>38</v>
      </c>
      <c r="G10" s="9">
        <v>4.0000000000000002E-4</v>
      </c>
      <c r="I10" s="6" t="s">
        <v>102</v>
      </c>
      <c r="J10" s="6">
        <v>8</v>
      </c>
      <c r="K10" s="9">
        <v>1E-4</v>
      </c>
      <c r="M10" s="6" t="s">
        <v>3</v>
      </c>
      <c r="N10" s="6">
        <v>99</v>
      </c>
      <c r="O10" s="9">
        <v>3.0000000000000001E-3</v>
      </c>
      <c r="Q10" s="6" t="s">
        <v>92</v>
      </c>
      <c r="R10" s="6">
        <v>3</v>
      </c>
      <c r="S10" s="9">
        <v>1E-4</v>
      </c>
      <c r="U10" s="6" t="s">
        <v>102</v>
      </c>
      <c r="V10" s="6">
        <v>7</v>
      </c>
      <c r="W10" s="9">
        <v>2.0000000000000001E-4</v>
      </c>
      <c r="Y10" s="6" t="s">
        <v>9</v>
      </c>
      <c r="Z10" s="6">
        <v>181</v>
      </c>
      <c r="AA10" s="9">
        <v>2.5000000000000001E-3</v>
      </c>
      <c r="AC10" s="6" t="s">
        <v>83</v>
      </c>
      <c r="AD10" s="6">
        <v>38</v>
      </c>
      <c r="AE10" s="9">
        <v>5.9999999999999995E-4</v>
      </c>
      <c r="AG10" s="6" t="s">
        <v>98</v>
      </c>
      <c r="AH10" s="6">
        <v>7</v>
      </c>
      <c r="AI10" s="9">
        <v>1E-4</v>
      </c>
    </row>
    <row r="11" spans="1:35">
      <c r="A11" s="6" t="s">
        <v>9</v>
      </c>
      <c r="B11" s="6">
        <v>189</v>
      </c>
      <c r="C11" s="9">
        <v>1.8E-3</v>
      </c>
      <c r="E11" s="6" t="s">
        <v>76</v>
      </c>
      <c r="F11" s="6">
        <v>10</v>
      </c>
      <c r="G11" s="9">
        <v>1E-4</v>
      </c>
      <c r="I11" s="6" t="s">
        <v>98</v>
      </c>
      <c r="J11" s="6">
        <v>12</v>
      </c>
      <c r="K11" s="9">
        <v>1E-4</v>
      </c>
      <c r="M11" s="6" t="s">
        <v>7</v>
      </c>
      <c r="N11" s="6">
        <v>26</v>
      </c>
      <c r="O11" s="9">
        <v>8.0000000000000004E-4</v>
      </c>
      <c r="Q11" s="6" t="s">
        <v>76</v>
      </c>
      <c r="R11" s="6">
        <v>4</v>
      </c>
      <c r="S11" s="9">
        <v>1E-4</v>
      </c>
      <c r="U11" s="6" t="s">
        <v>99</v>
      </c>
      <c r="V11" s="6">
        <v>6</v>
      </c>
      <c r="W11" s="9">
        <v>2.0000000000000001E-4</v>
      </c>
      <c r="Y11" s="6" t="s">
        <v>3</v>
      </c>
      <c r="Z11" s="6">
        <v>169</v>
      </c>
      <c r="AA11" s="9">
        <v>2.3999999999999998E-3</v>
      </c>
      <c r="AC11" s="6" t="s">
        <v>74</v>
      </c>
      <c r="AD11" s="6">
        <v>10</v>
      </c>
      <c r="AE11" s="9">
        <v>2.0000000000000001E-4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5</v>
      </c>
      <c r="B12" s="6">
        <v>94</v>
      </c>
      <c r="C12" s="9">
        <v>8.9999999999999998E-4</v>
      </c>
      <c r="E12" s="6" t="s">
        <v>77</v>
      </c>
      <c r="F12" s="6">
        <v>9</v>
      </c>
      <c r="G12" s="9">
        <v>1E-4</v>
      </c>
      <c r="I12" s="6" t="s">
        <v>99</v>
      </c>
      <c r="J12" s="6">
        <v>12</v>
      </c>
      <c r="K12" s="9">
        <v>1E-4</v>
      </c>
      <c r="M12" s="6" t="s">
        <v>11</v>
      </c>
      <c r="N12" s="6">
        <v>21</v>
      </c>
      <c r="O12" s="9">
        <v>5.9999999999999995E-4</v>
      </c>
      <c r="Q12" s="6" t="s">
        <v>77</v>
      </c>
      <c r="R12" s="6">
        <v>2</v>
      </c>
      <c r="S12" s="9">
        <v>1E-4</v>
      </c>
      <c r="U12" s="6" t="s">
        <v>98</v>
      </c>
      <c r="V12" s="6">
        <v>5</v>
      </c>
      <c r="W12" s="9">
        <v>1E-4</v>
      </c>
      <c r="Y12" s="6" t="s">
        <v>5</v>
      </c>
      <c r="Z12" s="6">
        <v>89</v>
      </c>
      <c r="AA12" s="9">
        <v>1.1999999999999999E-3</v>
      </c>
      <c r="AC12" s="6" t="s">
        <v>76</v>
      </c>
      <c r="AD12" s="6">
        <v>6</v>
      </c>
      <c r="AE12" s="9">
        <v>1E-4</v>
      </c>
      <c r="AG12" s="6" t="s">
        <v>102</v>
      </c>
      <c r="AH12" s="6">
        <v>2</v>
      </c>
      <c r="AI12" s="30">
        <v>0</v>
      </c>
    </row>
    <row r="13" spans="1:35">
      <c r="A13" s="6" t="s">
        <v>8</v>
      </c>
      <c r="B13" s="6">
        <v>85</v>
      </c>
      <c r="C13" s="9">
        <v>8.0000000000000004E-4</v>
      </c>
      <c r="E13" s="6" t="s">
        <v>74</v>
      </c>
      <c r="F13" s="6">
        <v>10</v>
      </c>
      <c r="G13" s="9">
        <v>1E-4</v>
      </c>
      <c r="I13" s="6" t="s">
        <v>113</v>
      </c>
      <c r="J13" s="6">
        <v>7</v>
      </c>
      <c r="K13" s="9">
        <v>1E-4</v>
      </c>
      <c r="M13" s="6" t="s">
        <v>31</v>
      </c>
      <c r="N13" s="6">
        <v>15</v>
      </c>
      <c r="O13" s="9">
        <v>5.0000000000000001E-4</v>
      </c>
      <c r="Q13" s="6" t="s">
        <v>93</v>
      </c>
      <c r="R13" s="6">
        <v>1</v>
      </c>
      <c r="S13" s="30">
        <v>0</v>
      </c>
      <c r="U13" s="6" t="s">
        <v>103</v>
      </c>
      <c r="V13" s="6">
        <v>4</v>
      </c>
      <c r="W13" s="9">
        <v>1E-4</v>
      </c>
      <c r="Y13" s="6" t="s">
        <v>8</v>
      </c>
      <c r="Z13" s="6">
        <v>82</v>
      </c>
      <c r="AA13" s="9">
        <v>1.1999999999999999E-3</v>
      </c>
      <c r="AC13" s="6" t="s">
        <v>77</v>
      </c>
      <c r="AD13" s="6">
        <v>7</v>
      </c>
      <c r="AE13" s="9">
        <v>1E-4</v>
      </c>
      <c r="AG13" s="6" t="s">
        <v>123</v>
      </c>
      <c r="AH13" s="6">
        <v>1</v>
      </c>
      <c r="AI13" s="30">
        <v>0</v>
      </c>
    </row>
    <row r="14" spans="1:35">
      <c r="A14" s="6" t="s">
        <v>11</v>
      </c>
      <c r="B14" s="6">
        <v>70</v>
      </c>
      <c r="C14" s="9">
        <v>6.9999999999999999E-4</v>
      </c>
      <c r="E14" s="6" t="s">
        <v>75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41</v>
      </c>
      <c r="N14" s="6">
        <v>14</v>
      </c>
      <c r="O14" s="9">
        <v>4.0000000000000002E-4</v>
      </c>
      <c r="Q14" s="6" t="s">
        <v>85</v>
      </c>
      <c r="R14" s="6">
        <v>1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49</v>
      </c>
      <c r="AA14" s="9">
        <v>6.9999999999999999E-4</v>
      </c>
      <c r="AC14" s="6" t="s">
        <v>75</v>
      </c>
      <c r="AD14" s="6">
        <v>8</v>
      </c>
      <c r="AE14" s="9">
        <v>1E-4</v>
      </c>
      <c r="AG14" s="6" t="s">
        <v>153</v>
      </c>
      <c r="AH14" s="6">
        <v>1</v>
      </c>
      <c r="AI14" s="30">
        <v>0</v>
      </c>
    </row>
    <row r="15" spans="1:35">
      <c r="A15" s="6" t="s">
        <v>7</v>
      </c>
      <c r="B15" s="6">
        <v>68</v>
      </c>
      <c r="C15" s="9">
        <v>6.9999999999999999E-4</v>
      </c>
      <c r="E15" s="6" t="s">
        <v>79</v>
      </c>
      <c r="F15" s="6">
        <v>8</v>
      </c>
      <c r="G15" s="9">
        <v>1E-4</v>
      </c>
      <c r="I15" s="6" t="s">
        <v>103</v>
      </c>
      <c r="J15" s="6">
        <v>4</v>
      </c>
      <c r="K15" s="30">
        <v>0</v>
      </c>
      <c r="M15" s="6" t="s">
        <v>29</v>
      </c>
      <c r="N15" s="6">
        <v>14</v>
      </c>
      <c r="O15" s="9">
        <v>4.0000000000000002E-4</v>
      </c>
      <c r="Q15" s="6" t="s">
        <v>145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12</v>
      </c>
      <c r="Z15" s="6">
        <v>40</v>
      </c>
      <c r="AA15" s="9">
        <v>5.9999999999999995E-4</v>
      </c>
      <c r="AC15" s="6" t="s">
        <v>79</v>
      </c>
      <c r="AD15" s="6">
        <v>8</v>
      </c>
      <c r="AE15" s="9">
        <v>1E-4</v>
      </c>
      <c r="AG15" s="6" t="s">
        <v>132</v>
      </c>
      <c r="AH15" s="6">
        <v>1</v>
      </c>
      <c r="AI15" s="30">
        <v>0</v>
      </c>
    </row>
    <row r="16" spans="1:35">
      <c r="A16" s="6" t="s">
        <v>12</v>
      </c>
      <c r="B16" s="6">
        <v>43</v>
      </c>
      <c r="C16" s="9">
        <v>4.0000000000000002E-4</v>
      </c>
      <c r="E16" s="6" t="s">
        <v>78</v>
      </c>
      <c r="F16" s="6">
        <v>5</v>
      </c>
      <c r="G16" s="9">
        <v>1E-4</v>
      </c>
      <c r="I16" s="6" t="s">
        <v>153</v>
      </c>
      <c r="J16" s="6">
        <v>1</v>
      </c>
      <c r="K16" s="30">
        <v>0</v>
      </c>
      <c r="M16" s="6" t="s">
        <v>18</v>
      </c>
      <c r="N16" s="6">
        <v>11</v>
      </c>
      <c r="O16" s="9">
        <v>2.9999999999999997E-4</v>
      </c>
      <c r="Q16" s="6" t="s">
        <v>78</v>
      </c>
      <c r="R16" s="6">
        <v>1</v>
      </c>
      <c r="S16" s="30">
        <v>0</v>
      </c>
      <c r="Y16" s="6" t="s">
        <v>7</v>
      </c>
      <c r="Z16" s="6">
        <v>42</v>
      </c>
      <c r="AA16" s="9">
        <v>5.9999999999999995E-4</v>
      </c>
      <c r="AC16" s="6" t="s">
        <v>78</v>
      </c>
      <c r="AD16" s="6">
        <v>4</v>
      </c>
      <c r="AE16" s="9">
        <v>1E-4</v>
      </c>
      <c r="AG16" s="6" t="s">
        <v>113</v>
      </c>
      <c r="AH16" s="6">
        <v>3</v>
      </c>
      <c r="AI16" s="30">
        <v>0</v>
      </c>
    </row>
    <row r="17" spans="1:31">
      <c r="A17" s="6" t="s">
        <v>41</v>
      </c>
      <c r="B17" s="6">
        <v>47</v>
      </c>
      <c r="C17" s="9">
        <v>4.0000000000000002E-4</v>
      </c>
      <c r="E17" s="6" t="s">
        <v>92</v>
      </c>
      <c r="F17" s="6">
        <v>4</v>
      </c>
      <c r="G17" s="30">
        <v>0</v>
      </c>
      <c r="I17" s="6" t="s">
        <v>132</v>
      </c>
      <c r="J17" s="6">
        <v>1</v>
      </c>
      <c r="K17" s="30">
        <v>0</v>
      </c>
      <c r="M17" s="6" t="s">
        <v>23</v>
      </c>
      <c r="N17" s="6">
        <v>11</v>
      </c>
      <c r="O17" s="9">
        <v>2.9999999999999997E-4</v>
      </c>
      <c r="Y17" s="6" t="s">
        <v>41</v>
      </c>
      <c r="Z17" s="6">
        <v>33</v>
      </c>
      <c r="AA17" s="9">
        <v>5.0000000000000001E-4</v>
      </c>
      <c r="AC17" s="6" t="s">
        <v>92</v>
      </c>
      <c r="AD17" s="6">
        <v>1</v>
      </c>
      <c r="AE17" s="30">
        <v>0</v>
      </c>
    </row>
    <row r="18" spans="1:31">
      <c r="A18" s="6" t="s">
        <v>31</v>
      </c>
      <c r="B18" s="6">
        <v>31</v>
      </c>
      <c r="C18" s="9">
        <v>2.9999999999999997E-4</v>
      </c>
      <c r="E18" s="6" t="s">
        <v>93</v>
      </c>
      <c r="F18" s="6">
        <v>1</v>
      </c>
      <c r="G18" s="30">
        <v>0</v>
      </c>
      <c r="M18" s="6" t="s">
        <v>5</v>
      </c>
      <c r="N18" s="6">
        <v>5</v>
      </c>
      <c r="O18" s="9">
        <v>2.0000000000000001E-4</v>
      </c>
      <c r="Y18" s="6" t="s">
        <v>14</v>
      </c>
      <c r="Z18" s="6">
        <v>30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30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22</v>
      </c>
      <c r="N19" s="6">
        <v>7</v>
      </c>
      <c r="O19" s="9">
        <v>2.0000000000000001E-4</v>
      </c>
      <c r="Y19" s="6" t="s">
        <v>10</v>
      </c>
      <c r="Z19" s="6">
        <v>12</v>
      </c>
      <c r="AA19" s="9">
        <v>2.0000000000000001E-4</v>
      </c>
      <c r="AC19" s="6" t="s">
        <v>82</v>
      </c>
      <c r="AD19" s="6">
        <v>2</v>
      </c>
      <c r="AE19" s="30">
        <v>0</v>
      </c>
    </row>
    <row r="20" spans="1:31">
      <c r="A20" s="6" t="s">
        <v>18</v>
      </c>
      <c r="B20" s="6">
        <v>25</v>
      </c>
      <c r="C20" s="9">
        <v>2.0000000000000001E-4</v>
      </c>
      <c r="E20" s="6" t="s">
        <v>85</v>
      </c>
      <c r="F20" s="6">
        <v>1</v>
      </c>
      <c r="G20" s="30">
        <v>0</v>
      </c>
      <c r="M20" s="6" t="s">
        <v>9</v>
      </c>
      <c r="N20" s="6">
        <v>8</v>
      </c>
      <c r="O20" s="9">
        <v>2.0000000000000001E-4</v>
      </c>
      <c r="Y20" s="6" t="s">
        <v>21</v>
      </c>
      <c r="Z20" s="6">
        <v>13</v>
      </c>
      <c r="AA20" s="9">
        <v>2.0000000000000001E-4</v>
      </c>
      <c r="AC20" s="6" t="s">
        <v>93</v>
      </c>
      <c r="AD20" s="6">
        <v>1</v>
      </c>
      <c r="AE20" s="30">
        <v>0</v>
      </c>
    </row>
    <row r="21" spans="1:31">
      <c r="A21" s="6" t="s">
        <v>21</v>
      </c>
      <c r="B21" s="6">
        <v>16</v>
      </c>
      <c r="C21" s="9">
        <v>2.0000000000000001E-4</v>
      </c>
      <c r="E21" s="6" t="s">
        <v>82</v>
      </c>
      <c r="F21" s="6">
        <v>2</v>
      </c>
      <c r="G21" s="30">
        <v>0</v>
      </c>
      <c r="M21" s="6" t="s">
        <v>40</v>
      </c>
      <c r="N21" s="6">
        <v>7</v>
      </c>
      <c r="O21" s="9">
        <v>2.0000000000000001E-4</v>
      </c>
      <c r="Y21" s="6" t="s">
        <v>18</v>
      </c>
      <c r="Z21" s="6">
        <v>14</v>
      </c>
      <c r="AA21" s="9">
        <v>2.0000000000000001E-4</v>
      </c>
      <c r="AC21" s="6" t="s">
        <v>135</v>
      </c>
      <c r="AD21" s="6">
        <v>1</v>
      </c>
      <c r="AE21" s="30">
        <v>0</v>
      </c>
    </row>
    <row r="22" spans="1:31">
      <c r="A22" s="6" t="s">
        <v>10</v>
      </c>
      <c r="B22" s="6">
        <v>17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10</v>
      </c>
      <c r="N22" s="6">
        <v>5</v>
      </c>
      <c r="O22" s="9">
        <v>2.0000000000000001E-4</v>
      </c>
      <c r="Y22" s="6" t="s">
        <v>17</v>
      </c>
      <c r="Z22" s="6">
        <v>12</v>
      </c>
      <c r="AA22" s="9">
        <v>2.0000000000000001E-4</v>
      </c>
    </row>
    <row r="23" spans="1:31">
      <c r="A23" s="6" t="s">
        <v>29</v>
      </c>
      <c r="B23" s="6">
        <v>24</v>
      </c>
      <c r="C23" s="9">
        <v>2.0000000000000001E-4</v>
      </c>
      <c r="E23" s="6" t="s">
        <v>135</v>
      </c>
      <c r="F23" s="6">
        <v>1</v>
      </c>
      <c r="G23" s="30">
        <v>0</v>
      </c>
      <c r="M23" s="6" t="s">
        <v>21</v>
      </c>
      <c r="N23" s="6">
        <v>3</v>
      </c>
      <c r="O23" s="9">
        <v>1E-4</v>
      </c>
      <c r="Y23" s="6" t="s">
        <v>31</v>
      </c>
      <c r="Z23" s="6">
        <v>16</v>
      </c>
      <c r="AA23" s="9">
        <v>2.0000000000000001E-4</v>
      </c>
    </row>
    <row r="24" spans="1:31">
      <c r="A24" s="6" t="s">
        <v>26</v>
      </c>
      <c r="B24" s="6">
        <v>17</v>
      </c>
      <c r="C24" s="9">
        <v>2.0000000000000001E-4</v>
      </c>
      <c r="M24" s="6" t="s">
        <v>34</v>
      </c>
      <c r="N24" s="6">
        <v>2</v>
      </c>
      <c r="O24" s="9">
        <v>1E-4</v>
      </c>
      <c r="Y24" s="6" t="s">
        <v>26</v>
      </c>
      <c r="Z24" s="6">
        <v>15</v>
      </c>
      <c r="AA24" s="9">
        <v>2.0000000000000001E-4</v>
      </c>
    </row>
    <row r="25" spans="1:31">
      <c r="A25" s="6" t="s">
        <v>19</v>
      </c>
      <c r="B25" s="6">
        <v>6</v>
      </c>
      <c r="C25" s="9">
        <v>1E-4</v>
      </c>
      <c r="M25" s="6" t="s">
        <v>20</v>
      </c>
      <c r="N25" s="6">
        <v>2</v>
      </c>
      <c r="O25" s="9">
        <v>1E-4</v>
      </c>
      <c r="Y25" s="6" t="s">
        <v>37</v>
      </c>
      <c r="Z25" s="6">
        <v>11</v>
      </c>
      <c r="AA25" s="9">
        <v>2.0000000000000001E-4</v>
      </c>
    </row>
    <row r="26" spans="1:31">
      <c r="A26" s="6" t="s">
        <v>45</v>
      </c>
      <c r="B26" s="6">
        <v>12</v>
      </c>
      <c r="C26" s="9">
        <v>1E-4</v>
      </c>
      <c r="M26" s="6" t="s">
        <v>12</v>
      </c>
      <c r="N26" s="6">
        <v>3</v>
      </c>
      <c r="O26" s="9">
        <v>1E-4</v>
      </c>
      <c r="Y26" s="6" t="s">
        <v>19</v>
      </c>
      <c r="Z26" s="6">
        <v>6</v>
      </c>
      <c r="AA26" s="9">
        <v>1E-4</v>
      </c>
    </row>
    <row r="27" spans="1:31">
      <c r="A27" s="6" t="s">
        <v>36</v>
      </c>
      <c r="B27" s="6">
        <v>8</v>
      </c>
      <c r="C27" s="9">
        <v>1E-4</v>
      </c>
      <c r="M27" s="6" t="s">
        <v>36</v>
      </c>
      <c r="N27" s="6">
        <v>2</v>
      </c>
      <c r="O27" s="9">
        <v>1E-4</v>
      </c>
      <c r="Y27" s="6" t="s">
        <v>45</v>
      </c>
      <c r="Z27" s="6">
        <v>10</v>
      </c>
      <c r="AA27" s="9">
        <v>1E-4</v>
      </c>
    </row>
    <row r="28" spans="1:31">
      <c r="A28" s="6" t="s">
        <v>17</v>
      </c>
      <c r="B28" s="6">
        <v>12</v>
      </c>
      <c r="C28" s="9">
        <v>1E-4</v>
      </c>
      <c r="M28" s="6" t="s">
        <v>37</v>
      </c>
      <c r="N28" s="6">
        <v>3</v>
      </c>
      <c r="O28" s="9">
        <v>1E-4</v>
      </c>
      <c r="Y28" s="6" t="s">
        <v>36</v>
      </c>
      <c r="Z28" s="6">
        <v>6</v>
      </c>
      <c r="AA28" s="9">
        <v>1E-4</v>
      </c>
    </row>
    <row r="29" spans="1:31">
      <c r="A29" s="6" t="s">
        <v>37</v>
      </c>
      <c r="B29" s="6">
        <v>14</v>
      </c>
      <c r="C29" s="9">
        <v>1E-4</v>
      </c>
      <c r="M29" s="6" t="s">
        <v>16</v>
      </c>
      <c r="N29" s="6">
        <v>3</v>
      </c>
      <c r="O29" s="9">
        <v>1E-4</v>
      </c>
      <c r="Y29" s="6" t="s">
        <v>29</v>
      </c>
      <c r="Z29" s="6">
        <v>10</v>
      </c>
      <c r="AA29" s="9">
        <v>1E-4</v>
      </c>
    </row>
    <row r="30" spans="1:31">
      <c r="A30" s="6" t="s">
        <v>22</v>
      </c>
      <c r="B30" s="6">
        <v>10</v>
      </c>
      <c r="C30" s="9">
        <v>1E-4</v>
      </c>
      <c r="M30" s="6" t="s">
        <v>24</v>
      </c>
      <c r="N30" s="6">
        <v>2</v>
      </c>
      <c r="O30" s="9">
        <v>1E-4</v>
      </c>
      <c r="Y30" s="6" t="s">
        <v>30</v>
      </c>
      <c r="Z30" s="6">
        <v>5</v>
      </c>
      <c r="AA30" s="9">
        <v>1E-4</v>
      </c>
    </row>
    <row r="31" spans="1:31">
      <c r="A31" s="6" t="s">
        <v>40</v>
      </c>
      <c r="B31" s="6">
        <v>12</v>
      </c>
      <c r="C31" s="9">
        <v>1E-4</v>
      </c>
      <c r="M31" s="6" t="s">
        <v>8</v>
      </c>
      <c r="N31" s="6">
        <v>3</v>
      </c>
      <c r="O31" s="9">
        <v>1E-4</v>
      </c>
      <c r="Y31" s="6" t="s">
        <v>40</v>
      </c>
      <c r="Z31" s="6">
        <v>5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43</v>
      </c>
      <c r="N32" s="6">
        <v>3</v>
      </c>
      <c r="O32" s="9">
        <v>1E-4</v>
      </c>
      <c r="Y32" s="6" t="s">
        <v>64</v>
      </c>
      <c r="Z32" s="6">
        <v>5</v>
      </c>
      <c r="AA32" s="9">
        <v>1E-4</v>
      </c>
    </row>
    <row r="33" spans="1:27">
      <c r="A33" s="6" t="s">
        <v>23</v>
      </c>
      <c r="B33" s="6">
        <v>11</v>
      </c>
      <c r="C33" s="9">
        <v>1E-4</v>
      </c>
      <c r="M33" s="6" t="s">
        <v>45</v>
      </c>
      <c r="N33" s="6">
        <v>2</v>
      </c>
      <c r="O33" s="9">
        <v>1E-4</v>
      </c>
      <c r="Y33" s="6" t="s">
        <v>38</v>
      </c>
      <c r="Z33" s="6">
        <v>5</v>
      </c>
      <c r="AA33" s="9">
        <v>1E-4</v>
      </c>
    </row>
    <row r="34" spans="1:27">
      <c r="A34" s="6" t="s">
        <v>30</v>
      </c>
      <c r="B34" s="6">
        <v>6</v>
      </c>
      <c r="C34" s="9">
        <v>1E-4</v>
      </c>
      <c r="M34" s="6" t="s">
        <v>26</v>
      </c>
      <c r="N34" s="6">
        <v>2</v>
      </c>
      <c r="O34" s="9">
        <v>1E-4</v>
      </c>
      <c r="Y34" s="6" t="s">
        <v>58</v>
      </c>
      <c r="Z34" s="6">
        <v>4</v>
      </c>
      <c r="AA34" s="9">
        <v>1E-4</v>
      </c>
    </row>
    <row r="35" spans="1:27">
      <c r="A35" s="6" t="s">
        <v>115</v>
      </c>
      <c r="B35" s="6">
        <v>3</v>
      </c>
      <c r="C35" s="30">
        <v>0</v>
      </c>
      <c r="M35" s="6" t="s">
        <v>39</v>
      </c>
      <c r="N35" s="6">
        <v>2</v>
      </c>
      <c r="O35" s="9">
        <v>1E-4</v>
      </c>
      <c r="Y35" s="6" t="s">
        <v>27</v>
      </c>
      <c r="Z35" s="6">
        <v>4</v>
      </c>
      <c r="AA35" s="9">
        <v>1E-4</v>
      </c>
    </row>
    <row r="36" spans="1:27">
      <c r="A36" s="6" t="s">
        <v>20</v>
      </c>
      <c r="B36" s="6">
        <v>4</v>
      </c>
      <c r="C36" s="30">
        <v>0</v>
      </c>
      <c r="M36" s="6" t="s">
        <v>67</v>
      </c>
      <c r="N36" s="6">
        <v>1</v>
      </c>
      <c r="O36" s="30">
        <v>0</v>
      </c>
      <c r="Y36" s="6" t="s">
        <v>25</v>
      </c>
      <c r="Z36" s="6">
        <v>4</v>
      </c>
      <c r="AA36" s="9">
        <v>1E-4</v>
      </c>
    </row>
    <row r="37" spans="1:27">
      <c r="A37" s="6" t="s">
        <v>34</v>
      </c>
      <c r="B37" s="6">
        <v>3</v>
      </c>
      <c r="C37" s="30">
        <v>0</v>
      </c>
      <c r="M37" s="6" t="s">
        <v>27</v>
      </c>
      <c r="N37" s="6">
        <v>1</v>
      </c>
      <c r="O37" s="30">
        <v>0</v>
      </c>
      <c r="Y37" s="6" t="s">
        <v>115</v>
      </c>
      <c r="Z37" s="6">
        <v>3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42</v>
      </c>
      <c r="N38" s="6">
        <v>1</v>
      </c>
      <c r="O38" s="30">
        <v>0</v>
      </c>
      <c r="Y38" s="6" t="s">
        <v>20</v>
      </c>
      <c r="Z38" s="6">
        <v>2</v>
      </c>
      <c r="AA38" s="30">
        <v>0</v>
      </c>
    </row>
    <row r="39" spans="1:27">
      <c r="A39" s="6" t="s">
        <v>13</v>
      </c>
      <c r="B39" s="6">
        <v>3</v>
      </c>
      <c r="C39" s="30">
        <v>0</v>
      </c>
      <c r="M39" s="6" t="s">
        <v>30</v>
      </c>
      <c r="N39" s="6">
        <v>1</v>
      </c>
      <c r="O39" s="30">
        <v>0</v>
      </c>
      <c r="Y39" s="6" t="s">
        <v>34</v>
      </c>
      <c r="Z39" s="6">
        <v>1</v>
      </c>
      <c r="AA39" s="30">
        <v>0</v>
      </c>
    </row>
    <row r="40" spans="1:27">
      <c r="A40" s="6" t="s">
        <v>124</v>
      </c>
      <c r="B40" s="6">
        <v>1</v>
      </c>
      <c r="C40" s="30">
        <v>0</v>
      </c>
      <c r="M40" s="6" t="s">
        <v>69</v>
      </c>
      <c r="N40" s="6">
        <v>1</v>
      </c>
      <c r="O40" s="30">
        <v>0</v>
      </c>
      <c r="Y40" s="6" t="s">
        <v>124</v>
      </c>
      <c r="Z40" s="6">
        <v>1</v>
      </c>
      <c r="AA40" s="30">
        <v>0</v>
      </c>
    </row>
    <row r="41" spans="1:27">
      <c r="A41" s="6" t="s">
        <v>24</v>
      </c>
      <c r="B41" s="6">
        <v>3</v>
      </c>
      <c r="C41" s="30">
        <v>0</v>
      </c>
      <c r="M41" s="6" t="s">
        <v>60</v>
      </c>
      <c r="N41" s="6">
        <v>1</v>
      </c>
      <c r="O41" s="30">
        <v>0</v>
      </c>
      <c r="Y41" s="6" t="s">
        <v>13</v>
      </c>
      <c r="Z41" s="6">
        <v>3</v>
      </c>
      <c r="AA41" s="30">
        <v>0</v>
      </c>
    </row>
    <row r="42" spans="1:27">
      <c r="A42" s="6" t="s">
        <v>33</v>
      </c>
      <c r="B42" s="6">
        <v>2</v>
      </c>
      <c r="C42" s="30">
        <v>0</v>
      </c>
      <c r="Y42" s="6" t="s">
        <v>16</v>
      </c>
      <c r="Z42" s="6">
        <v>3</v>
      </c>
      <c r="AA42" s="30">
        <v>0</v>
      </c>
    </row>
    <row r="43" spans="1:27">
      <c r="A43" s="6" t="s">
        <v>64</v>
      </c>
      <c r="B43" s="6">
        <v>5</v>
      </c>
      <c r="C43" s="30">
        <v>0</v>
      </c>
      <c r="Y43" s="6" t="s">
        <v>67</v>
      </c>
      <c r="Z43" s="6">
        <v>1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Y44" s="6" t="s">
        <v>24</v>
      </c>
      <c r="Z44" s="6">
        <v>1</v>
      </c>
      <c r="AA44" s="30">
        <v>0</v>
      </c>
    </row>
    <row r="45" spans="1:27">
      <c r="A45" s="6" t="s">
        <v>27</v>
      </c>
      <c r="B45" s="6">
        <v>5</v>
      </c>
      <c r="C45" s="30">
        <v>0</v>
      </c>
      <c r="Y45" s="6" t="s">
        <v>22</v>
      </c>
      <c r="Z45" s="6">
        <v>3</v>
      </c>
      <c r="AA45" s="30">
        <v>0</v>
      </c>
    </row>
    <row r="46" spans="1:27">
      <c r="A46" s="6" t="s">
        <v>38</v>
      </c>
      <c r="B46" s="6">
        <v>5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60</v>
      </c>
      <c r="B47" s="6">
        <v>3</v>
      </c>
      <c r="C47" s="30">
        <v>0</v>
      </c>
      <c r="Y47" s="6" t="s">
        <v>15</v>
      </c>
      <c r="Z47" s="6">
        <v>3</v>
      </c>
      <c r="AA47" s="30">
        <v>0</v>
      </c>
    </row>
    <row r="48" spans="1:27">
      <c r="A48" s="6" t="s">
        <v>58</v>
      </c>
      <c r="B48" s="6">
        <v>4</v>
      </c>
      <c r="C48" s="30">
        <v>0</v>
      </c>
      <c r="Y48" s="6" t="s">
        <v>32</v>
      </c>
      <c r="Z48" s="6">
        <v>3</v>
      </c>
      <c r="AA48" s="30">
        <v>0</v>
      </c>
    </row>
    <row r="49" spans="1:27">
      <c r="A49" s="6" t="s">
        <v>48</v>
      </c>
      <c r="B49" s="6">
        <v>1</v>
      </c>
      <c r="C49" s="30">
        <v>0</v>
      </c>
      <c r="Y49" s="6" t="s">
        <v>60</v>
      </c>
      <c r="Z49" s="6">
        <v>2</v>
      </c>
      <c r="AA49" s="30">
        <v>0</v>
      </c>
    </row>
    <row r="50" spans="1:27">
      <c r="A50" s="6" t="s">
        <v>43</v>
      </c>
      <c r="B50" s="6">
        <v>3</v>
      </c>
      <c r="C50" s="30">
        <v>0</v>
      </c>
      <c r="Y50" s="6" t="s">
        <v>147</v>
      </c>
      <c r="Z50" s="6">
        <v>1</v>
      </c>
      <c r="AA50" s="30">
        <v>0</v>
      </c>
    </row>
    <row r="51" spans="1:27">
      <c r="A51" s="6" t="s">
        <v>39</v>
      </c>
      <c r="B51" s="6">
        <v>5</v>
      </c>
      <c r="C51" s="30">
        <v>0</v>
      </c>
      <c r="Y51" s="6" t="s">
        <v>39</v>
      </c>
      <c r="Z51" s="6">
        <v>3</v>
      </c>
      <c r="AA51" s="30">
        <v>0</v>
      </c>
    </row>
    <row r="52" spans="1:27">
      <c r="A52" s="6" t="s">
        <v>32</v>
      </c>
      <c r="B52" s="6">
        <v>3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42</v>
      </c>
      <c r="B53" s="6">
        <v>2</v>
      </c>
      <c r="C53" s="30">
        <v>0</v>
      </c>
      <c r="Y53" s="6" t="s">
        <v>68</v>
      </c>
      <c r="Z53" s="6">
        <v>1</v>
      </c>
      <c r="AA53" s="30">
        <v>0</v>
      </c>
    </row>
    <row r="54" spans="1:27">
      <c r="A54" s="6" t="s">
        <v>25</v>
      </c>
      <c r="B54" s="6">
        <v>4</v>
      </c>
      <c r="C54" s="30">
        <v>0</v>
      </c>
      <c r="Y54" s="6" t="s">
        <v>48</v>
      </c>
      <c r="Z54" s="6">
        <v>1</v>
      </c>
      <c r="AA54" s="30">
        <v>0</v>
      </c>
    </row>
    <row r="55" spans="1:27">
      <c r="A55" s="6" t="s">
        <v>147</v>
      </c>
      <c r="B55" s="6">
        <v>1</v>
      </c>
      <c r="C55" s="30">
        <v>0</v>
      </c>
      <c r="Y55" s="6" t="s">
        <v>53</v>
      </c>
      <c r="Z55" s="6">
        <v>1</v>
      </c>
      <c r="AA55" s="30">
        <v>0</v>
      </c>
    </row>
    <row r="56" spans="1:27">
      <c r="A56" s="6" t="s">
        <v>68</v>
      </c>
      <c r="B56" s="6">
        <v>1</v>
      </c>
      <c r="C56" s="30">
        <v>0</v>
      </c>
      <c r="Y56" s="6" t="s">
        <v>57</v>
      </c>
      <c r="Z56" s="6">
        <v>1</v>
      </c>
      <c r="AA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53</v>
      </c>
      <c r="B58" s="6">
        <v>1</v>
      </c>
      <c r="C58" s="30">
        <v>0</v>
      </c>
    </row>
    <row r="59" spans="1:27">
      <c r="A59" s="6" t="s">
        <v>57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5168C-27EE-4AA8-B8BD-8E61E7C310AC}">
  <sheetPr codeName="Sheet37"/>
  <dimension ref="A1:AI56"/>
  <sheetViews>
    <sheetView topLeftCell="R1" workbookViewId="0">
      <selection activeCell="U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93645</v>
      </c>
      <c r="E2" s="41" t="s">
        <v>4</v>
      </c>
      <c r="F2" s="23" t="s">
        <v>105</v>
      </c>
      <c r="G2" s="23">
        <f>G3+G4</f>
        <v>97371</v>
      </c>
      <c r="H2" s="22"/>
      <c r="I2" s="41" t="s">
        <v>6</v>
      </c>
      <c r="J2" s="23" t="s">
        <v>105</v>
      </c>
      <c r="K2" s="23">
        <f>K3+K4</f>
        <v>97413</v>
      </c>
      <c r="M2" s="41" t="s">
        <v>104</v>
      </c>
      <c r="N2" s="23" t="s">
        <v>105</v>
      </c>
      <c r="O2" s="23">
        <f>O3+O4</f>
        <v>23302</v>
      </c>
      <c r="Q2" s="41" t="s">
        <v>4</v>
      </c>
      <c r="R2" s="23" t="s">
        <v>105</v>
      </c>
      <c r="S2" s="23">
        <f>S3+S4</f>
        <v>24568</v>
      </c>
      <c r="T2" s="22"/>
      <c r="U2" s="41" t="s">
        <v>6</v>
      </c>
      <c r="V2" s="23" t="s">
        <v>105</v>
      </c>
      <c r="W2" s="23">
        <f>W3+W4</f>
        <v>26409</v>
      </c>
      <c r="Y2" s="41" t="s">
        <v>104</v>
      </c>
      <c r="Z2" s="23" t="s">
        <v>105</v>
      </c>
      <c r="AA2" s="23">
        <f>AA3+AA4</f>
        <v>70326</v>
      </c>
      <c r="AC2" s="41" t="s">
        <v>4</v>
      </c>
      <c r="AD2" s="23" t="s">
        <v>105</v>
      </c>
      <c r="AE2" s="23">
        <f>AE3+AE4</f>
        <v>72804</v>
      </c>
      <c r="AF2" s="22"/>
      <c r="AG2" s="41" t="s">
        <v>6</v>
      </c>
      <c r="AH2" s="23" t="s">
        <v>105</v>
      </c>
      <c r="AI2" s="23">
        <f>AI3+AI4</f>
        <v>71006</v>
      </c>
    </row>
    <row r="3" spans="1:35">
      <c r="A3" s="42"/>
      <c r="B3" s="24" t="s">
        <v>106</v>
      </c>
      <c r="C3" s="24">
        <f>B8</f>
        <v>92201</v>
      </c>
      <c r="E3" s="42"/>
      <c r="F3" s="24" t="s">
        <v>106</v>
      </c>
      <c r="G3" s="24">
        <f>F8</f>
        <v>97016</v>
      </c>
      <c r="H3" s="22"/>
      <c r="I3" s="42"/>
      <c r="J3" s="24" t="s">
        <v>106</v>
      </c>
      <c r="K3" s="24">
        <f>J8</f>
        <v>97338</v>
      </c>
      <c r="M3" s="42"/>
      <c r="N3" s="24" t="s">
        <v>106</v>
      </c>
      <c r="O3" s="24">
        <f>N8</f>
        <v>23014</v>
      </c>
      <c r="Q3" s="42"/>
      <c r="R3" s="24" t="s">
        <v>106</v>
      </c>
      <c r="S3" s="24">
        <f>R8</f>
        <v>24504</v>
      </c>
      <c r="T3" s="22"/>
      <c r="U3" s="42"/>
      <c r="V3" s="24" t="s">
        <v>106</v>
      </c>
      <c r="W3" s="24">
        <f>V8</f>
        <v>26383</v>
      </c>
      <c r="Y3" s="42"/>
      <c r="Z3" s="24" t="s">
        <v>106</v>
      </c>
      <c r="AA3" s="24">
        <f>Z8</f>
        <v>69187</v>
      </c>
      <c r="AC3" s="42"/>
      <c r="AD3" s="24" t="s">
        <v>106</v>
      </c>
      <c r="AE3" s="24">
        <f>AD8</f>
        <v>72512</v>
      </c>
      <c r="AF3" s="22"/>
      <c r="AG3" s="42"/>
      <c r="AH3" s="24" t="s">
        <v>106</v>
      </c>
      <c r="AI3" s="24">
        <f>AH8</f>
        <v>70955</v>
      </c>
    </row>
    <row r="4" spans="1:35">
      <c r="A4" s="42"/>
      <c r="B4" s="25" t="s">
        <v>107</v>
      </c>
      <c r="C4" s="25">
        <f>SUM(B9:B66)</f>
        <v>1444</v>
      </c>
      <c r="E4" s="42"/>
      <c r="F4" s="25" t="s">
        <v>107</v>
      </c>
      <c r="G4" s="25">
        <f>SUM(F9:F33)</f>
        <v>355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288</v>
      </c>
      <c r="Q4" s="42"/>
      <c r="R4" s="25" t="s">
        <v>107</v>
      </c>
      <c r="S4" s="25">
        <f>SUM(R9:R33)</f>
        <v>64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1139</v>
      </c>
      <c r="AC4" s="42"/>
      <c r="AD4" s="25" t="s">
        <v>107</v>
      </c>
      <c r="AE4" s="25">
        <f>SUM(AD9:AD29)</f>
        <v>292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1.5299999999999992E-2</v>
      </c>
      <c r="E5" s="43"/>
      <c r="F5" s="23" t="s">
        <v>108</v>
      </c>
      <c r="G5" s="26">
        <f>SUM(G9:G33)</f>
        <v>3.3999999999999989E-3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1.1999999999999993E-2</v>
      </c>
      <c r="Q5" s="43"/>
      <c r="R5" s="23" t="s">
        <v>108</v>
      </c>
      <c r="S5" s="26">
        <f>SUM(S9:S33)</f>
        <v>2.4999999999999996E-3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1.5899999999999997E-2</v>
      </c>
      <c r="AC5" s="43"/>
      <c r="AD5" s="23" t="s">
        <v>108</v>
      </c>
      <c r="AE5" s="26">
        <f>SUM(AE9:AE29)</f>
        <v>4.0000000000000001E-3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92201</v>
      </c>
      <c r="C8" s="9">
        <v>0.98460000000000003</v>
      </c>
      <c r="E8" s="6" t="s">
        <v>112</v>
      </c>
      <c r="F8" s="29">
        <v>97016</v>
      </c>
      <c r="G8" s="9">
        <v>0.99639999999999995</v>
      </c>
      <c r="I8" s="6" t="s">
        <v>112</v>
      </c>
      <c r="J8" s="29">
        <v>97338</v>
      </c>
      <c r="K8" s="9">
        <v>0.99919999999999998</v>
      </c>
      <c r="M8" s="6" t="s">
        <v>112</v>
      </c>
      <c r="N8" s="29">
        <v>23014</v>
      </c>
      <c r="O8" s="9">
        <v>0.98760000000000003</v>
      </c>
      <c r="Q8" s="6" t="s">
        <v>112</v>
      </c>
      <c r="R8" s="29">
        <v>24504</v>
      </c>
      <c r="S8" s="9">
        <v>0.99739999999999995</v>
      </c>
      <c r="U8" s="6" t="s">
        <v>112</v>
      </c>
      <c r="V8" s="29">
        <v>26383</v>
      </c>
      <c r="W8" s="9">
        <v>0.999</v>
      </c>
      <c r="Y8" s="6" t="s">
        <v>112</v>
      </c>
      <c r="Z8" s="29">
        <v>69187</v>
      </c>
      <c r="AA8" s="9">
        <v>0.98360000000000003</v>
      </c>
      <c r="AC8" s="6" t="s">
        <v>112</v>
      </c>
      <c r="AD8" s="29">
        <v>72512</v>
      </c>
      <c r="AE8" s="9">
        <v>0.996</v>
      </c>
      <c r="AG8" s="6" t="s">
        <v>112</v>
      </c>
      <c r="AH8" s="29">
        <v>70955</v>
      </c>
      <c r="AI8" s="9">
        <v>0.99929999999999997</v>
      </c>
    </row>
    <row r="9" spans="1:35">
      <c r="A9" s="6" t="s">
        <v>9</v>
      </c>
      <c r="B9" s="6">
        <v>268</v>
      </c>
      <c r="C9" s="9">
        <v>2.8999999999999998E-3</v>
      </c>
      <c r="E9" s="6" t="s">
        <v>122</v>
      </c>
      <c r="F9" s="6">
        <v>256</v>
      </c>
      <c r="G9" s="9">
        <v>2.5999999999999999E-3</v>
      </c>
      <c r="I9" s="6" t="s">
        <v>2</v>
      </c>
      <c r="J9" s="6">
        <v>29</v>
      </c>
      <c r="K9" s="9">
        <v>2.9999999999999997E-4</v>
      </c>
      <c r="M9" s="6" t="s">
        <v>2</v>
      </c>
      <c r="N9" s="6">
        <v>71</v>
      </c>
      <c r="O9" s="9">
        <v>3.0000000000000001E-3</v>
      </c>
      <c r="Q9" s="6" t="s">
        <v>122</v>
      </c>
      <c r="R9" s="6">
        <v>55</v>
      </c>
      <c r="S9" s="9">
        <v>2.2000000000000001E-3</v>
      </c>
      <c r="U9" s="6" t="s">
        <v>98</v>
      </c>
      <c r="V9" s="6">
        <v>11</v>
      </c>
      <c r="W9" s="9">
        <v>4.0000000000000002E-4</v>
      </c>
      <c r="Y9" s="6" t="s">
        <v>9</v>
      </c>
      <c r="Z9" s="6">
        <v>263</v>
      </c>
      <c r="AA9" s="9">
        <v>3.7000000000000002E-3</v>
      </c>
      <c r="AC9" s="6" t="s">
        <v>122</v>
      </c>
      <c r="AD9" s="6">
        <v>201</v>
      </c>
      <c r="AE9" s="9">
        <v>2.8E-3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2</v>
      </c>
      <c r="B10" s="6">
        <v>264</v>
      </c>
      <c r="C10" s="9">
        <v>2.8E-3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69</v>
      </c>
      <c r="O10" s="9">
        <v>3.0000000000000001E-3</v>
      </c>
      <c r="Q10" s="6" t="s">
        <v>76</v>
      </c>
      <c r="R10" s="6">
        <v>2</v>
      </c>
      <c r="S10" s="9">
        <v>1E-4</v>
      </c>
      <c r="U10" s="6" t="s">
        <v>102</v>
      </c>
      <c r="V10" s="6">
        <v>4</v>
      </c>
      <c r="W10" s="9">
        <v>2.0000000000000001E-4</v>
      </c>
      <c r="Y10" s="6" t="s">
        <v>2</v>
      </c>
      <c r="Z10" s="6">
        <v>193</v>
      </c>
      <c r="AA10" s="9">
        <v>2.7000000000000001E-3</v>
      </c>
      <c r="AC10" s="6" t="s">
        <v>83</v>
      </c>
      <c r="AD10" s="6">
        <v>31</v>
      </c>
      <c r="AE10" s="9">
        <v>4.0000000000000002E-4</v>
      </c>
      <c r="AG10" s="6" t="s">
        <v>102</v>
      </c>
      <c r="AH10" s="6">
        <v>4</v>
      </c>
      <c r="AI10" s="9">
        <v>1E-4</v>
      </c>
    </row>
    <row r="11" spans="1:35">
      <c r="A11" s="6" t="s">
        <v>3</v>
      </c>
      <c r="B11" s="6">
        <v>201</v>
      </c>
      <c r="C11" s="9">
        <v>2.0999999999999999E-3</v>
      </c>
      <c r="E11" s="6" t="s">
        <v>76</v>
      </c>
      <c r="F11" s="6">
        <v>10</v>
      </c>
      <c r="G11" s="9">
        <v>1E-4</v>
      </c>
      <c r="I11" s="6" t="s">
        <v>102</v>
      </c>
      <c r="J11" s="6">
        <v>7</v>
      </c>
      <c r="K11" s="9">
        <v>1E-4</v>
      </c>
      <c r="M11" s="6" t="s">
        <v>23</v>
      </c>
      <c r="N11" s="6">
        <v>28</v>
      </c>
      <c r="O11" s="9">
        <v>1.1999999999999999E-3</v>
      </c>
      <c r="Q11" s="6" t="s">
        <v>74</v>
      </c>
      <c r="R11" s="6">
        <v>3</v>
      </c>
      <c r="S11" s="9">
        <v>1E-4</v>
      </c>
      <c r="U11" s="6" t="s">
        <v>113</v>
      </c>
      <c r="V11" s="6">
        <v>4</v>
      </c>
      <c r="W11" s="9">
        <v>2.0000000000000001E-4</v>
      </c>
      <c r="Y11" s="6" t="s">
        <v>3</v>
      </c>
      <c r="Z11" s="6">
        <v>132</v>
      </c>
      <c r="AA11" s="9">
        <v>1.9E-3</v>
      </c>
      <c r="AC11" s="6" t="s">
        <v>77</v>
      </c>
      <c r="AD11" s="6">
        <v>13</v>
      </c>
      <c r="AE11" s="9">
        <v>2.0000000000000001E-4</v>
      </c>
      <c r="AG11" s="6" t="s">
        <v>98</v>
      </c>
      <c r="AH11" s="6">
        <v>6</v>
      </c>
      <c r="AI11" s="9">
        <v>1E-4</v>
      </c>
    </row>
    <row r="12" spans="1:35">
      <c r="A12" s="6" t="s">
        <v>5</v>
      </c>
      <c r="B12" s="6">
        <v>88</v>
      </c>
      <c r="C12" s="9">
        <v>8.9999999999999998E-4</v>
      </c>
      <c r="E12" s="6" t="s">
        <v>77</v>
      </c>
      <c r="F12" s="6">
        <v>13</v>
      </c>
      <c r="G12" s="9">
        <v>1E-4</v>
      </c>
      <c r="I12" s="6" t="s">
        <v>99</v>
      </c>
      <c r="J12" s="6">
        <v>9</v>
      </c>
      <c r="K12" s="9">
        <v>1E-4</v>
      </c>
      <c r="M12" s="6" t="s">
        <v>7</v>
      </c>
      <c r="N12" s="6">
        <v>20</v>
      </c>
      <c r="O12" s="9">
        <v>8.9999999999999998E-4</v>
      </c>
      <c r="Q12" s="6" t="s">
        <v>79</v>
      </c>
      <c r="R12" s="6">
        <v>2</v>
      </c>
      <c r="S12" s="9">
        <v>1E-4</v>
      </c>
      <c r="U12" s="6" t="s">
        <v>99</v>
      </c>
      <c r="V12" s="6">
        <v>2</v>
      </c>
      <c r="W12" s="9">
        <v>1E-4</v>
      </c>
      <c r="Y12" s="6" t="s">
        <v>5</v>
      </c>
      <c r="Z12" s="6">
        <v>79</v>
      </c>
      <c r="AA12" s="9">
        <v>1.1000000000000001E-3</v>
      </c>
      <c r="AC12" s="6" t="s">
        <v>79</v>
      </c>
      <c r="AD12" s="6">
        <v>11</v>
      </c>
      <c r="AE12" s="9">
        <v>2.0000000000000001E-4</v>
      </c>
      <c r="AG12" s="6" t="s">
        <v>99</v>
      </c>
      <c r="AH12" s="6">
        <v>7</v>
      </c>
      <c r="AI12" s="9">
        <v>1E-4</v>
      </c>
    </row>
    <row r="13" spans="1:35">
      <c r="A13" s="6" t="s">
        <v>11</v>
      </c>
      <c r="B13" s="6">
        <v>72</v>
      </c>
      <c r="C13" s="9">
        <v>8.0000000000000004E-4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13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2</v>
      </c>
      <c r="V13" s="6">
        <v>3</v>
      </c>
      <c r="W13" s="9">
        <v>1E-4</v>
      </c>
      <c r="Y13" s="6" t="s">
        <v>8</v>
      </c>
      <c r="Z13" s="6">
        <v>66</v>
      </c>
      <c r="AA13" s="9">
        <v>8.9999999999999998E-4</v>
      </c>
      <c r="AC13" s="6" t="s">
        <v>76</v>
      </c>
      <c r="AD13" s="6">
        <v>8</v>
      </c>
      <c r="AE13" s="9">
        <v>1E-4</v>
      </c>
      <c r="AG13" s="6" t="s">
        <v>113</v>
      </c>
      <c r="AH13" s="6">
        <v>5</v>
      </c>
      <c r="AI13" s="9">
        <v>1E-4</v>
      </c>
    </row>
    <row r="14" spans="1:35">
      <c r="A14" s="6" t="s">
        <v>8</v>
      </c>
      <c r="B14" s="6">
        <v>69</v>
      </c>
      <c r="C14" s="9">
        <v>6.9999999999999999E-4</v>
      </c>
      <c r="E14" s="6" t="s">
        <v>74</v>
      </c>
      <c r="F14" s="6">
        <v>10</v>
      </c>
      <c r="G14" s="9">
        <v>1E-4</v>
      </c>
      <c r="I14" s="6" t="s">
        <v>123</v>
      </c>
      <c r="J14" s="6">
        <v>1</v>
      </c>
      <c r="K14" s="30">
        <v>0</v>
      </c>
      <c r="M14" s="6" t="s">
        <v>5</v>
      </c>
      <c r="N14" s="6">
        <v>9</v>
      </c>
      <c r="O14" s="9">
        <v>4.0000000000000002E-4</v>
      </c>
      <c r="Q14" s="6" t="s">
        <v>169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59</v>
      </c>
      <c r="AA14" s="9">
        <v>8.0000000000000004E-4</v>
      </c>
      <c r="AC14" s="6" t="s">
        <v>74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63</v>
      </c>
      <c r="C15" s="9">
        <v>6.9999999999999999E-4</v>
      </c>
      <c r="E15" s="6" t="s">
        <v>78</v>
      </c>
      <c r="F15" s="6">
        <v>5</v>
      </c>
      <c r="G15" s="9">
        <v>1E-4</v>
      </c>
      <c r="I15" s="6" t="s">
        <v>103</v>
      </c>
      <c r="J15" s="6">
        <v>2</v>
      </c>
      <c r="K15" s="30">
        <v>0</v>
      </c>
      <c r="M15" s="6" t="s">
        <v>31</v>
      </c>
      <c r="N15" s="6">
        <v>10</v>
      </c>
      <c r="O15" s="9">
        <v>4.0000000000000002E-4</v>
      </c>
      <c r="U15" s="6" t="s">
        <v>103</v>
      </c>
      <c r="V15" s="6">
        <v>1</v>
      </c>
      <c r="W15" s="30">
        <v>0</v>
      </c>
      <c r="Y15" s="6" t="s">
        <v>7</v>
      </c>
      <c r="Z15" s="6">
        <v>43</v>
      </c>
      <c r="AA15" s="9">
        <v>5.9999999999999995E-4</v>
      </c>
      <c r="AC15" s="6" t="s">
        <v>78</v>
      </c>
      <c r="AD15" s="6">
        <v>5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21</v>
      </c>
      <c r="B16" s="6">
        <v>35</v>
      </c>
      <c r="C16" s="9">
        <v>4.0000000000000002E-4</v>
      </c>
      <c r="E16" s="6" t="s">
        <v>87</v>
      </c>
      <c r="F16" s="6">
        <v>1</v>
      </c>
      <c r="G16" s="30">
        <v>0</v>
      </c>
      <c r="I16" s="6" t="s">
        <v>132</v>
      </c>
      <c r="J16" s="6">
        <v>1</v>
      </c>
      <c r="K16" s="30">
        <v>0</v>
      </c>
      <c r="M16" s="6" t="s">
        <v>29</v>
      </c>
      <c r="N16" s="6">
        <v>10</v>
      </c>
      <c r="O16" s="9">
        <v>4.0000000000000002E-4</v>
      </c>
      <c r="Y16" s="6" t="s">
        <v>41</v>
      </c>
      <c r="Z16" s="6">
        <v>35</v>
      </c>
      <c r="AA16" s="9">
        <v>5.0000000000000001E-4</v>
      </c>
      <c r="AC16" s="6" t="s">
        <v>75</v>
      </c>
      <c r="AD16" s="6">
        <v>4</v>
      </c>
      <c r="AE16" s="9">
        <v>1E-4</v>
      </c>
      <c r="AG16" s="6" t="s">
        <v>132</v>
      </c>
      <c r="AH16" s="6">
        <v>1</v>
      </c>
      <c r="AI16" s="30">
        <v>0</v>
      </c>
    </row>
    <row r="17" spans="1:31">
      <c r="A17" s="6" t="s">
        <v>41</v>
      </c>
      <c r="B17" s="6">
        <v>41</v>
      </c>
      <c r="C17" s="9">
        <v>4.0000000000000002E-4</v>
      </c>
      <c r="E17" s="6" t="s">
        <v>80</v>
      </c>
      <c r="F17" s="6">
        <v>1</v>
      </c>
      <c r="G17" s="30">
        <v>0</v>
      </c>
      <c r="M17" s="6" t="s">
        <v>21</v>
      </c>
      <c r="N17" s="6">
        <v>6</v>
      </c>
      <c r="O17" s="9">
        <v>2.9999999999999997E-4</v>
      </c>
      <c r="Y17" s="6" t="s">
        <v>21</v>
      </c>
      <c r="Z17" s="6">
        <v>29</v>
      </c>
      <c r="AA17" s="9">
        <v>4.0000000000000002E-4</v>
      </c>
      <c r="AC17" s="6" t="s">
        <v>87</v>
      </c>
      <c r="AD17" s="6">
        <v>1</v>
      </c>
      <c r="AE17" s="30">
        <v>0</v>
      </c>
    </row>
    <row r="18" spans="1:31">
      <c r="A18" s="6" t="s">
        <v>12</v>
      </c>
      <c r="B18" s="6">
        <v>31</v>
      </c>
      <c r="C18" s="9">
        <v>2.9999999999999997E-4</v>
      </c>
      <c r="E18" s="6" t="s">
        <v>89</v>
      </c>
      <c r="F18" s="6">
        <v>2</v>
      </c>
      <c r="G18" s="30">
        <v>0</v>
      </c>
      <c r="M18" s="6" t="s">
        <v>41</v>
      </c>
      <c r="N18" s="6">
        <v>6</v>
      </c>
      <c r="O18" s="9">
        <v>2.9999999999999997E-4</v>
      </c>
      <c r="Y18" s="6" t="s">
        <v>12</v>
      </c>
      <c r="Z18" s="6">
        <v>31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31</v>
      </c>
      <c r="B19" s="6">
        <v>26</v>
      </c>
      <c r="C19" s="9">
        <v>2.9999999999999997E-4</v>
      </c>
      <c r="E19" s="6" t="s">
        <v>81</v>
      </c>
      <c r="F19" s="6">
        <v>1</v>
      </c>
      <c r="G19" s="30">
        <v>0</v>
      </c>
      <c r="M19" s="6" t="s">
        <v>22</v>
      </c>
      <c r="N19" s="6">
        <v>5</v>
      </c>
      <c r="O19" s="9">
        <v>2.0000000000000001E-4</v>
      </c>
      <c r="Y19" s="6" t="s">
        <v>26</v>
      </c>
      <c r="Z19" s="6">
        <v>21</v>
      </c>
      <c r="AA19" s="9">
        <v>2.9999999999999997E-4</v>
      </c>
      <c r="AC19" s="6" t="s">
        <v>89</v>
      </c>
      <c r="AD19" s="6">
        <v>2</v>
      </c>
      <c r="AE19" s="30">
        <v>0</v>
      </c>
    </row>
    <row r="20" spans="1:31">
      <c r="A20" s="6" t="s">
        <v>23</v>
      </c>
      <c r="B20" s="6">
        <v>28</v>
      </c>
      <c r="C20" s="9">
        <v>2.9999999999999997E-4</v>
      </c>
      <c r="E20" s="6" t="s">
        <v>85</v>
      </c>
      <c r="F20" s="6">
        <v>2</v>
      </c>
      <c r="G20" s="30">
        <v>0</v>
      </c>
      <c r="M20" s="6" t="s">
        <v>9</v>
      </c>
      <c r="N20" s="6">
        <v>5</v>
      </c>
      <c r="O20" s="9">
        <v>2.0000000000000001E-4</v>
      </c>
      <c r="Y20" s="6" t="s">
        <v>10</v>
      </c>
      <c r="Z20" s="6">
        <v>17</v>
      </c>
      <c r="AA20" s="9">
        <v>2.0000000000000001E-4</v>
      </c>
      <c r="AC20" s="6" t="s">
        <v>85</v>
      </c>
      <c r="AD20" s="6">
        <v>2</v>
      </c>
      <c r="AE20" s="30">
        <v>0</v>
      </c>
    </row>
    <row r="21" spans="1:31">
      <c r="A21" s="6" t="s">
        <v>29</v>
      </c>
      <c r="B21" s="6">
        <v>24</v>
      </c>
      <c r="C21" s="9">
        <v>2.9999999999999997E-4</v>
      </c>
      <c r="E21" s="6" t="s">
        <v>75</v>
      </c>
      <c r="F21" s="6">
        <v>4</v>
      </c>
      <c r="G21" s="30">
        <v>0</v>
      </c>
      <c r="M21" s="6" t="s">
        <v>24</v>
      </c>
      <c r="N21" s="6">
        <v>4</v>
      </c>
      <c r="O21" s="9">
        <v>2.0000000000000001E-4</v>
      </c>
      <c r="Y21" s="6" t="s">
        <v>65</v>
      </c>
      <c r="Z21" s="6">
        <v>16</v>
      </c>
      <c r="AA21" s="9">
        <v>2.0000000000000001E-4</v>
      </c>
      <c r="AC21" s="6" t="s">
        <v>81</v>
      </c>
      <c r="AD21" s="6">
        <v>1</v>
      </c>
      <c r="AE21" s="30">
        <v>0</v>
      </c>
    </row>
    <row r="22" spans="1:31">
      <c r="A22" s="6" t="s">
        <v>26</v>
      </c>
      <c r="B22" s="6">
        <v>24</v>
      </c>
      <c r="C22" s="9">
        <v>2.9999999999999997E-4</v>
      </c>
      <c r="E22" s="6" t="s">
        <v>84</v>
      </c>
      <c r="F22" s="6">
        <v>3</v>
      </c>
      <c r="G22" s="30">
        <v>0</v>
      </c>
      <c r="M22" s="6" t="s">
        <v>18</v>
      </c>
      <c r="N22" s="6">
        <v>3</v>
      </c>
      <c r="O22" s="9">
        <v>1E-4</v>
      </c>
      <c r="Y22" s="6" t="s">
        <v>18</v>
      </c>
      <c r="Z22" s="6">
        <v>11</v>
      </c>
      <c r="AA22" s="9">
        <v>2.0000000000000001E-4</v>
      </c>
      <c r="AC22" s="6" t="s">
        <v>84</v>
      </c>
      <c r="AD22" s="6">
        <v>3</v>
      </c>
      <c r="AE22" s="30">
        <v>0</v>
      </c>
    </row>
    <row r="23" spans="1:31">
      <c r="A23" s="6" t="s">
        <v>10</v>
      </c>
      <c r="B23" s="6">
        <v>18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37</v>
      </c>
      <c r="N23" s="6">
        <v>2</v>
      </c>
      <c r="O23" s="9">
        <v>1E-4</v>
      </c>
      <c r="Y23" s="6" t="s">
        <v>14</v>
      </c>
      <c r="Z23" s="6">
        <v>15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65</v>
      </c>
      <c r="B24" s="6">
        <v>17</v>
      </c>
      <c r="C24" s="9">
        <v>2.0000000000000001E-4</v>
      </c>
      <c r="E24" s="6" t="s">
        <v>169</v>
      </c>
      <c r="F24" s="6">
        <v>1</v>
      </c>
      <c r="G24" s="30">
        <v>0</v>
      </c>
      <c r="M24" s="6" t="s">
        <v>17</v>
      </c>
      <c r="N24" s="6">
        <v>3</v>
      </c>
      <c r="O24" s="9">
        <v>1E-4</v>
      </c>
      <c r="Y24" s="6" t="s">
        <v>37</v>
      </c>
      <c r="Z24" s="6">
        <v>13</v>
      </c>
      <c r="AA24" s="9">
        <v>2.0000000000000001E-4</v>
      </c>
    </row>
    <row r="25" spans="1:31">
      <c r="A25" s="6" t="s">
        <v>22</v>
      </c>
      <c r="B25" s="6">
        <v>18</v>
      </c>
      <c r="C25" s="9">
        <v>2.0000000000000001E-4</v>
      </c>
      <c r="M25" s="6" t="s">
        <v>45</v>
      </c>
      <c r="N25" s="6">
        <v>2</v>
      </c>
      <c r="O25" s="9">
        <v>1E-4</v>
      </c>
      <c r="Y25" s="6" t="s">
        <v>31</v>
      </c>
      <c r="Z25" s="6">
        <v>16</v>
      </c>
      <c r="AA25" s="9">
        <v>2.0000000000000001E-4</v>
      </c>
    </row>
    <row r="26" spans="1:31">
      <c r="A26" s="6" t="s">
        <v>37</v>
      </c>
      <c r="B26" s="6">
        <v>15</v>
      </c>
      <c r="C26" s="9">
        <v>2.0000000000000001E-4</v>
      </c>
      <c r="M26" s="6" t="s">
        <v>8</v>
      </c>
      <c r="N26" s="6">
        <v>3</v>
      </c>
      <c r="O26" s="9">
        <v>1E-4</v>
      </c>
      <c r="Y26" s="6" t="s">
        <v>22</v>
      </c>
      <c r="Z26" s="6">
        <v>13</v>
      </c>
      <c r="AA26" s="9">
        <v>2.0000000000000001E-4</v>
      </c>
    </row>
    <row r="27" spans="1:31">
      <c r="A27" s="6" t="s">
        <v>14</v>
      </c>
      <c r="B27" s="6">
        <v>15</v>
      </c>
      <c r="C27" s="9">
        <v>2.0000000000000001E-4</v>
      </c>
      <c r="M27" s="6" t="s">
        <v>26</v>
      </c>
      <c r="N27" s="6">
        <v>3</v>
      </c>
      <c r="O27" s="9">
        <v>1E-4</v>
      </c>
      <c r="Y27" s="6" t="s">
        <v>29</v>
      </c>
      <c r="Z27" s="6">
        <v>14</v>
      </c>
      <c r="AA27" s="9">
        <v>2.0000000000000001E-4</v>
      </c>
    </row>
    <row r="28" spans="1:31">
      <c r="A28" s="6" t="s">
        <v>19</v>
      </c>
      <c r="B28" s="6">
        <v>6</v>
      </c>
      <c r="C28" s="9">
        <v>1E-4</v>
      </c>
      <c r="M28" s="6" t="s">
        <v>40</v>
      </c>
      <c r="N28" s="6">
        <v>2</v>
      </c>
      <c r="O28" s="9">
        <v>1E-4</v>
      </c>
      <c r="Y28" s="6" t="s">
        <v>19</v>
      </c>
      <c r="Z28" s="6">
        <v>5</v>
      </c>
      <c r="AA28" s="9">
        <v>1E-4</v>
      </c>
    </row>
    <row r="29" spans="1:31">
      <c r="A29" s="6" t="s">
        <v>20</v>
      </c>
      <c r="B29" s="6">
        <v>8</v>
      </c>
      <c r="C29" s="9">
        <v>1E-4</v>
      </c>
      <c r="M29" s="6" t="s">
        <v>33</v>
      </c>
      <c r="N29" s="6">
        <v>2</v>
      </c>
      <c r="O29" s="9">
        <v>1E-4</v>
      </c>
      <c r="Y29" s="6" t="s">
        <v>20</v>
      </c>
      <c r="Z29" s="6">
        <v>7</v>
      </c>
      <c r="AA29" s="9">
        <v>1E-4</v>
      </c>
    </row>
    <row r="30" spans="1:31">
      <c r="A30" s="6" t="s">
        <v>18</v>
      </c>
      <c r="B30" s="6">
        <v>14</v>
      </c>
      <c r="C30" s="9">
        <v>1E-4</v>
      </c>
      <c r="M30" s="6" t="s">
        <v>39</v>
      </c>
      <c r="N30" s="6">
        <v>3</v>
      </c>
      <c r="O30" s="9">
        <v>1E-4</v>
      </c>
      <c r="Y30" s="6" t="s">
        <v>45</v>
      </c>
      <c r="Z30" s="6">
        <v>6</v>
      </c>
      <c r="AA30" s="9">
        <v>1E-4</v>
      </c>
    </row>
    <row r="31" spans="1:31">
      <c r="A31" s="6" t="s">
        <v>45</v>
      </c>
      <c r="B31" s="6">
        <v>8</v>
      </c>
      <c r="C31" s="9">
        <v>1E-4</v>
      </c>
      <c r="M31" s="6" t="s">
        <v>20</v>
      </c>
      <c r="N31" s="6">
        <v>1</v>
      </c>
      <c r="O31" s="30">
        <v>0</v>
      </c>
      <c r="Y31" s="6" t="s">
        <v>36</v>
      </c>
      <c r="Z31" s="6">
        <v>4</v>
      </c>
      <c r="AA31" s="9">
        <v>1E-4</v>
      </c>
    </row>
    <row r="32" spans="1:31">
      <c r="A32" s="6" t="s">
        <v>17</v>
      </c>
      <c r="B32" s="6">
        <v>13</v>
      </c>
      <c r="C32" s="9">
        <v>1E-4</v>
      </c>
      <c r="M32" s="6" t="s">
        <v>19</v>
      </c>
      <c r="N32" s="6">
        <v>1</v>
      </c>
      <c r="O32" s="30">
        <v>0</v>
      </c>
      <c r="Y32" s="6" t="s">
        <v>17</v>
      </c>
      <c r="Z32" s="6">
        <v>10</v>
      </c>
      <c r="AA32" s="9">
        <v>1E-4</v>
      </c>
    </row>
    <row r="33" spans="1:27">
      <c r="A33" s="6" t="s">
        <v>36</v>
      </c>
      <c r="B33" s="6">
        <v>5</v>
      </c>
      <c r="C33" s="9">
        <v>1E-4</v>
      </c>
      <c r="M33" s="6" t="s">
        <v>67</v>
      </c>
      <c r="N33" s="6">
        <v>1</v>
      </c>
      <c r="O33" s="30">
        <v>0</v>
      </c>
      <c r="Y33" s="6" t="s">
        <v>15</v>
      </c>
      <c r="Z33" s="6">
        <v>6</v>
      </c>
      <c r="AA33" s="9">
        <v>1E-4</v>
      </c>
    </row>
    <row r="34" spans="1:27">
      <c r="A34" s="6" t="s">
        <v>15</v>
      </c>
      <c r="B34" s="6">
        <v>6</v>
      </c>
      <c r="C34" s="9">
        <v>1E-4</v>
      </c>
      <c r="M34" s="6" t="s">
        <v>10</v>
      </c>
      <c r="N34" s="6">
        <v>1</v>
      </c>
      <c r="O34" s="30">
        <v>0</v>
      </c>
      <c r="Y34" s="6" t="s">
        <v>40</v>
      </c>
      <c r="Z34" s="6">
        <v>6</v>
      </c>
      <c r="AA34" s="9">
        <v>1E-4</v>
      </c>
    </row>
    <row r="35" spans="1:27">
      <c r="A35" s="6" t="s">
        <v>24</v>
      </c>
      <c r="B35" s="6">
        <v>6</v>
      </c>
      <c r="C35" s="9">
        <v>1E-4</v>
      </c>
      <c r="M35" s="6" t="s">
        <v>36</v>
      </c>
      <c r="N35" s="6">
        <v>1</v>
      </c>
      <c r="O35" s="30">
        <v>0</v>
      </c>
      <c r="Y35" s="6" t="s">
        <v>58</v>
      </c>
      <c r="Z35" s="6">
        <v>6</v>
      </c>
      <c r="AA35" s="9">
        <v>1E-4</v>
      </c>
    </row>
    <row r="36" spans="1:27">
      <c r="A36" s="6" t="s">
        <v>40</v>
      </c>
      <c r="B36" s="6">
        <v>8</v>
      </c>
      <c r="C36" s="9">
        <v>1E-4</v>
      </c>
      <c r="M36" s="6" t="s">
        <v>65</v>
      </c>
      <c r="N36" s="6">
        <v>1</v>
      </c>
      <c r="O36" s="30">
        <v>0</v>
      </c>
      <c r="Y36" s="6" t="s">
        <v>32</v>
      </c>
      <c r="Z36" s="6">
        <v>4</v>
      </c>
      <c r="AA36" s="9">
        <v>1E-4</v>
      </c>
    </row>
    <row r="37" spans="1:27">
      <c r="A37" s="6" t="s">
        <v>58</v>
      </c>
      <c r="B37" s="6">
        <v>6</v>
      </c>
      <c r="C37" s="9">
        <v>1E-4</v>
      </c>
      <c r="M37" s="6" t="s">
        <v>16</v>
      </c>
      <c r="N37" s="6">
        <v>1</v>
      </c>
      <c r="O37" s="30">
        <v>0</v>
      </c>
      <c r="Y37" s="6" t="s">
        <v>39</v>
      </c>
      <c r="Z37" s="6">
        <v>5</v>
      </c>
      <c r="AA37" s="9">
        <v>1E-4</v>
      </c>
    </row>
    <row r="38" spans="1:27">
      <c r="A38" s="6" t="s">
        <v>39</v>
      </c>
      <c r="B38" s="6">
        <v>8</v>
      </c>
      <c r="C38" s="9">
        <v>1E-4</v>
      </c>
      <c r="M38" s="6" t="s">
        <v>27</v>
      </c>
      <c r="N38" s="6">
        <v>1</v>
      </c>
      <c r="O38" s="30">
        <v>0</v>
      </c>
      <c r="Y38" s="6" t="s">
        <v>131</v>
      </c>
      <c r="Z38" s="6">
        <v>3</v>
      </c>
      <c r="AA38" s="30">
        <v>0</v>
      </c>
    </row>
    <row r="39" spans="1:27">
      <c r="A39" s="6" t="s">
        <v>131</v>
      </c>
      <c r="B39" s="6">
        <v>3</v>
      </c>
      <c r="C39" s="30">
        <v>0</v>
      </c>
      <c r="M39" s="6" t="s">
        <v>25</v>
      </c>
      <c r="N39" s="6">
        <v>1</v>
      </c>
      <c r="O39" s="30">
        <v>0</v>
      </c>
      <c r="Y39" s="6" t="s">
        <v>13</v>
      </c>
      <c r="Z39" s="6">
        <v>1</v>
      </c>
      <c r="AA39" s="30">
        <v>0</v>
      </c>
    </row>
    <row r="40" spans="1:27">
      <c r="A40" s="6" t="s">
        <v>13</v>
      </c>
      <c r="B40" s="6">
        <v>1</v>
      </c>
      <c r="C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67</v>
      </c>
      <c r="B41" s="6">
        <v>2</v>
      </c>
      <c r="C41" s="30">
        <v>0</v>
      </c>
      <c r="Y41" s="6" t="s">
        <v>16</v>
      </c>
      <c r="Z41" s="6">
        <v>2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Y43" s="6" t="s">
        <v>24</v>
      </c>
      <c r="Z43" s="6">
        <v>2</v>
      </c>
      <c r="AA43" s="30">
        <v>0</v>
      </c>
    </row>
    <row r="44" spans="1:27">
      <c r="A44" s="6" t="s">
        <v>32</v>
      </c>
      <c r="B44" s="6">
        <v>4</v>
      </c>
      <c r="C44" s="30">
        <v>0</v>
      </c>
      <c r="Y44" s="6" t="s">
        <v>147</v>
      </c>
      <c r="Z44" s="6">
        <v>1</v>
      </c>
      <c r="AA44" s="30">
        <v>0</v>
      </c>
    </row>
    <row r="45" spans="1:27">
      <c r="A45" s="6" t="s">
        <v>27</v>
      </c>
      <c r="B45" s="6">
        <v>4</v>
      </c>
      <c r="C45" s="30">
        <v>0</v>
      </c>
      <c r="Y45" s="6" t="s">
        <v>27</v>
      </c>
      <c r="Z45" s="6">
        <v>3</v>
      </c>
      <c r="AA45" s="30">
        <v>0</v>
      </c>
    </row>
    <row r="46" spans="1:27">
      <c r="A46" s="6" t="s">
        <v>147</v>
      </c>
      <c r="B46" s="6">
        <v>1</v>
      </c>
      <c r="C46" s="30">
        <v>0</v>
      </c>
      <c r="Y46" s="6" t="s">
        <v>30</v>
      </c>
      <c r="Z46" s="6">
        <v>2</v>
      </c>
      <c r="AA46" s="30">
        <v>0</v>
      </c>
    </row>
    <row r="47" spans="1:27">
      <c r="A47" s="6" t="s">
        <v>30</v>
      </c>
      <c r="B47" s="6">
        <v>2</v>
      </c>
      <c r="C47" s="30">
        <v>0</v>
      </c>
      <c r="Y47" s="6" t="s">
        <v>160</v>
      </c>
      <c r="Z47" s="6">
        <v>1</v>
      </c>
      <c r="AA47" s="30">
        <v>0</v>
      </c>
    </row>
    <row r="48" spans="1:27">
      <c r="A48" s="6" t="s">
        <v>160</v>
      </c>
      <c r="B48" s="6">
        <v>1</v>
      </c>
      <c r="C48" s="30">
        <v>0</v>
      </c>
      <c r="Y48" s="6" t="s">
        <v>60</v>
      </c>
      <c r="Z48" s="6">
        <v>3</v>
      </c>
      <c r="AA48" s="30">
        <v>0</v>
      </c>
    </row>
    <row r="49" spans="1:27">
      <c r="A49" s="6" t="s">
        <v>33</v>
      </c>
      <c r="B49" s="6">
        <v>4</v>
      </c>
      <c r="C49" s="30">
        <v>0</v>
      </c>
      <c r="Y49" s="6" t="s">
        <v>38</v>
      </c>
      <c r="Z49" s="6">
        <v>1</v>
      </c>
      <c r="AA49" s="30">
        <v>0</v>
      </c>
    </row>
    <row r="50" spans="1:27">
      <c r="A50" s="6" t="s">
        <v>60</v>
      </c>
      <c r="B50" s="6">
        <v>3</v>
      </c>
      <c r="C50" s="30">
        <v>0</v>
      </c>
      <c r="Y50" s="6" t="s">
        <v>33</v>
      </c>
      <c r="Z50" s="6">
        <v>2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68</v>
      </c>
      <c r="Z51" s="6">
        <v>1</v>
      </c>
      <c r="AA51" s="30">
        <v>0</v>
      </c>
    </row>
    <row r="52" spans="1:27">
      <c r="A52" s="6" t="s">
        <v>68</v>
      </c>
      <c r="B52" s="6">
        <v>1</v>
      </c>
      <c r="C52" s="30">
        <v>0</v>
      </c>
      <c r="Y52" s="6" t="s">
        <v>148</v>
      </c>
      <c r="Z52" s="6">
        <v>2</v>
      </c>
      <c r="AA52" s="30">
        <v>0</v>
      </c>
    </row>
    <row r="53" spans="1:27">
      <c r="A53" s="6" t="s">
        <v>38</v>
      </c>
      <c r="B53" s="6">
        <v>1</v>
      </c>
      <c r="C53" s="30">
        <v>0</v>
      </c>
      <c r="Y53" s="6" t="s">
        <v>25</v>
      </c>
      <c r="Z53" s="6">
        <v>3</v>
      </c>
      <c r="AA53" s="30">
        <v>0</v>
      </c>
    </row>
    <row r="54" spans="1:27">
      <c r="A54" s="6" t="s">
        <v>148</v>
      </c>
      <c r="B54" s="6">
        <v>2</v>
      </c>
      <c r="C54" s="30">
        <v>0</v>
      </c>
      <c r="Y54" s="6" t="s">
        <v>69</v>
      </c>
      <c r="Z54" s="6">
        <v>1</v>
      </c>
      <c r="AA54" s="30">
        <v>0</v>
      </c>
    </row>
    <row r="55" spans="1:27">
      <c r="A55" s="6" t="s">
        <v>69</v>
      </c>
      <c r="B55" s="6">
        <v>1</v>
      </c>
      <c r="C55" s="30">
        <v>0</v>
      </c>
      <c r="Y55" s="6" t="s">
        <v>44</v>
      </c>
      <c r="Z55" s="6">
        <v>1</v>
      </c>
      <c r="AA55" s="30">
        <v>0</v>
      </c>
    </row>
    <row r="56" spans="1:27">
      <c r="A56" s="6" t="s">
        <v>44</v>
      </c>
      <c r="B56" s="6">
        <v>1</v>
      </c>
      <c r="C56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82AC-A29E-43CE-B427-891580778CE5}">
  <sheetPr codeName="Sheet38"/>
  <dimension ref="A1:AI57"/>
  <sheetViews>
    <sheetView topLeftCell="R1" workbookViewId="0">
      <selection activeCell="U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95750</v>
      </c>
      <c r="E2" s="41" t="s">
        <v>4</v>
      </c>
      <c r="F2" s="23" t="s">
        <v>105</v>
      </c>
      <c r="G2" s="23">
        <f>G3+G4</f>
        <v>97668</v>
      </c>
      <c r="H2" s="22"/>
      <c r="I2" s="41" t="s">
        <v>6</v>
      </c>
      <c r="J2" s="23" t="s">
        <v>105</v>
      </c>
      <c r="K2" s="23">
        <f>K3+K4</f>
        <v>99856</v>
      </c>
      <c r="M2" s="41" t="s">
        <v>104</v>
      </c>
      <c r="N2" s="23" t="s">
        <v>105</v>
      </c>
      <c r="O2" s="23">
        <f>O3+O4</f>
        <v>28470</v>
      </c>
      <c r="Q2" s="41" t="s">
        <v>4</v>
      </c>
      <c r="R2" s="23" t="s">
        <v>105</v>
      </c>
      <c r="S2" s="23">
        <f>S3+S4</f>
        <v>27386</v>
      </c>
      <c r="T2" s="22"/>
      <c r="U2" s="41" t="s">
        <v>6</v>
      </c>
      <c r="V2" s="23" t="s">
        <v>105</v>
      </c>
      <c r="W2" s="23">
        <f>W3+W4</f>
        <v>27560</v>
      </c>
      <c r="Y2" s="41" t="s">
        <v>104</v>
      </c>
      <c r="Z2" s="23" t="s">
        <v>105</v>
      </c>
      <c r="AA2" s="23">
        <f>AA3+AA4</f>
        <v>67270</v>
      </c>
      <c r="AC2" s="41" t="s">
        <v>4</v>
      </c>
      <c r="AD2" s="23" t="s">
        <v>105</v>
      </c>
      <c r="AE2" s="23">
        <f>AE3+AE4</f>
        <v>70283</v>
      </c>
      <c r="AF2" s="22"/>
      <c r="AG2" s="41" t="s">
        <v>6</v>
      </c>
      <c r="AH2" s="23" t="s">
        <v>105</v>
      </c>
      <c r="AI2" s="23">
        <f>AI3+AI4</f>
        <v>72298</v>
      </c>
    </row>
    <row r="3" spans="1:35">
      <c r="A3" s="42"/>
      <c r="B3" s="24" t="s">
        <v>106</v>
      </c>
      <c r="C3" s="24">
        <f>B8</f>
        <v>94195</v>
      </c>
      <c r="E3" s="42"/>
      <c r="F3" s="24" t="s">
        <v>106</v>
      </c>
      <c r="G3" s="24">
        <f>F8</f>
        <v>97234</v>
      </c>
      <c r="H3" s="22"/>
      <c r="I3" s="42"/>
      <c r="J3" s="24" t="s">
        <v>106</v>
      </c>
      <c r="K3" s="24">
        <f>J8</f>
        <v>99773</v>
      </c>
      <c r="M3" s="42"/>
      <c r="N3" s="24" t="s">
        <v>106</v>
      </c>
      <c r="O3" s="24">
        <f>N8</f>
        <v>28156</v>
      </c>
      <c r="Q3" s="42"/>
      <c r="R3" s="24" t="s">
        <v>106</v>
      </c>
      <c r="S3" s="24">
        <f>R8</f>
        <v>27305</v>
      </c>
      <c r="T3" s="22"/>
      <c r="U3" s="42"/>
      <c r="V3" s="24" t="s">
        <v>106</v>
      </c>
      <c r="W3" s="24">
        <f>V8</f>
        <v>27527</v>
      </c>
      <c r="Y3" s="42"/>
      <c r="Z3" s="24" t="s">
        <v>106</v>
      </c>
      <c r="AA3" s="24">
        <f>Z8</f>
        <v>66039</v>
      </c>
      <c r="AC3" s="42"/>
      <c r="AD3" s="24" t="s">
        <v>106</v>
      </c>
      <c r="AE3" s="24">
        <f>AD8</f>
        <v>69929</v>
      </c>
      <c r="AF3" s="22"/>
      <c r="AG3" s="42"/>
      <c r="AH3" s="24" t="s">
        <v>106</v>
      </c>
      <c r="AI3" s="24">
        <f>AH8</f>
        <v>72246</v>
      </c>
    </row>
    <row r="4" spans="1:35">
      <c r="A4" s="42"/>
      <c r="B4" s="25" t="s">
        <v>107</v>
      </c>
      <c r="C4" s="25">
        <f>SUM(B9:B66)</f>
        <v>1555</v>
      </c>
      <c r="E4" s="42"/>
      <c r="F4" s="25" t="s">
        <v>107</v>
      </c>
      <c r="G4" s="25">
        <f>SUM(F9:F33)</f>
        <v>434</v>
      </c>
      <c r="H4" s="22"/>
      <c r="I4" s="42"/>
      <c r="J4" s="25" t="s">
        <v>107</v>
      </c>
      <c r="K4" s="25">
        <f>SUM(J9:J31)</f>
        <v>83</v>
      </c>
      <c r="M4" s="42"/>
      <c r="N4" s="25" t="s">
        <v>107</v>
      </c>
      <c r="O4" s="25">
        <f>SUM(N9:N66)</f>
        <v>314</v>
      </c>
      <c r="Q4" s="42"/>
      <c r="R4" s="25" t="s">
        <v>107</v>
      </c>
      <c r="S4" s="25">
        <f>SUM(R9:R33)</f>
        <v>81</v>
      </c>
      <c r="T4" s="22"/>
      <c r="U4" s="42"/>
      <c r="V4" s="25" t="s">
        <v>107</v>
      </c>
      <c r="W4" s="25">
        <f>SUM(V9:V31)</f>
        <v>33</v>
      </c>
      <c r="Y4" s="42"/>
      <c r="Z4" s="25" t="s">
        <v>107</v>
      </c>
      <c r="AA4" s="25">
        <f>SUM(Z9:Z45)</f>
        <v>1231</v>
      </c>
      <c r="AC4" s="42"/>
      <c r="AD4" s="25" t="s">
        <v>107</v>
      </c>
      <c r="AE4" s="25">
        <f>SUM(AD9:AD29)</f>
        <v>354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1.6099999999999996E-2</v>
      </c>
      <c r="E5" s="43"/>
      <c r="F5" s="23" t="s">
        <v>108</v>
      </c>
      <c r="G5" s="26">
        <f>SUM(G9:G33)</f>
        <v>4.3000000000000009E-3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1.0599999999999998E-2</v>
      </c>
      <c r="Q5" s="43"/>
      <c r="R5" s="23" t="s">
        <v>108</v>
      </c>
      <c r="S5" s="26">
        <f>SUM(S9:S33)</f>
        <v>2.8E-3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1.8099999999999995E-2</v>
      </c>
      <c r="AC5" s="43"/>
      <c r="AD5" s="23" t="s">
        <v>108</v>
      </c>
      <c r="AE5" s="26">
        <f>SUM(AE9:AE29)</f>
        <v>5.0000000000000001E-3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94195</v>
      </c>
      <c r="C8" s="9">
        <v>0.98380000000000001</v>
      </c>
      <c r="E8" s="6" t="s">
        <v>112</v>
      </c>
      <c r="F8" s="29">
        <v>97234</v>
      </c>
      <c r="G8" s="9">
        <v>0.99560000000000004</v>
      </c>
      <c r="I8" s="6" t="s">
        <v>112</v>
      </c>
      <c r="J8" s="29">
        <v>99773</v>
      </c>
      <c r="K8" s="9">
        <v>0.99919999999999998</v>
      </c>
      <c r="M8" s="6" t="s">
        <v>112</v>
      </c>
      <c r="N8" s="29">
        <v>28156</v>
      </c>
      <c r="O8" s="9">
        <v>0.98899999999999999</v>
      </c>
      <c r="Q8" s="6" t="s">
        <v>112</v>
      </c>
      <c r="R8" s="29">
        <v>27305</v>
      </c>
      <c r="S8" s="9">
        <v>0.997</v>
      </c>
      <c r="U8" s="6" t="s">
        <v>112</v>
      </c>
      <c r="V8" s="29">
        <v>27527</v>
      </c>
      <c r="W8" s="9">
        <v>0.99880000000000002</v>
      </c>
      <c r="Y8" s="6" t="s">
        <v>112</v>
      </c>
      <c r="Z8" s="29">
        <v>66039</v>
      </c>
      <c r="AA8" s="9">
        <v>0.98160000000000003</v>
      </c>
      <c r="AC8" s="6" t="s">
        <v>112</v>
      </c>
      <c r="AD8" s="29">
        <v>69929</v>
      </c>
      <c r="AE8" s="9">
        <v>0.995</v>
      </c>
      <c r="AG8" s="6" t="s">
        <v>112</v>
      </c>
      <c r="AH8" s="29">
        <v>72246</v>
      </c>
      <c r="AI8" s="9">
        <v>0.99929999999999997</v>
      </c>
    </row>
    <row r="9" spans="1:35">
      <c r="A9" s="6" t="s">
        <v>9</v>
      </c>
      <c r="B9" s="6">
        <v>341</v>
      </c>
      <c r="C9" s="9">
        <v>3.5999999999999999E-3</v>
      </c>
      <c r="E9" s="6" t="s">
        <v>122</v>
      </c>
      <c r="F9" s="6">
        <v>259</v>
      </c>
      <c r="G9" s="9">
        <v>2.7000000000000001E-3</v>
      </c>
      <c r="I9" s="6" t="s">
        <v>98</v>
      </c>
      <c r="J9" s="6">
        <v>25</v>
      </c>
      <c r="K9" s="9">
        <v>2.9999999999999997E-4</v>
      </c>
      <c r="M9" s="6" t="s">
        <v>2</v>
      </c>
      <c r="N9" s="6">
        <v>84</v>
      </c>
      <c r="O9" s="9">
        <v>3.0000000000000001E-3</v>
      </c>
      <c r="Q9" s="6" t="s">
        <v>122</v>
      </c>
      <c r="R9" s="6">
        <v>74</v>
      </c>
      <c r="S9" s="9">
        <v>2.7000000000000001E-3</v>
      </c>
      <c r="U9" s="6" t="s">
        <v>98</v>
      </c>
      <c r="V9" s="6">
        <v>14</v>
      </c>
      <c r="W9" s="9">
        <v>5.0000000000000001E-4</v>
      </c>
      <c r="Y9" s="6" t="s">
        <v>9</v>
      </c>
      <c r="Z9" s="6">
        <v>332</v>
      </c>
      <c r="AA9" s="9">
        <v>4.8999999999999998E-3</v>
      </c>
      <c r="AC9" s="6" t="s">
        <v>122</v>
      </c>
      <c r="AD9" s="6">
        <v>185</v>
      </c>
      <c r="AE9" s="9">
        <v>2.5999999999999999E-3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2</v>
      </c>
      <c r="B10" s="6">
        <v>274</v>
      </c>
      <c r="C10" s="9">
        <v>2.8999999999999998E-3</v>
      </c>
      <c r="E10" s="6" t="s">
        <v>83</v>
      </c>
      <c r="F10" s="6">
        <v>76</v>
      </c>
      <c r="G10" s="9">
        <v>8.0000000000000004E-4</v>
      </c>
      <c r="I10" s="6" t="s">
        <v>2</v>
      </c>
      <c r="J10" s="6">
        <v>27</v>
      </c>
      <c r="K10" s="9">
        <v>2.9999999999999997E-4</v>
      </c>
      <c r="M10" s="6" t="s">
        <v>3</v>
      </c>
      <c r="N10" s="6">
        <v>70</v>
      </c>
      <c r="O10" s="9">
        <v>2.5000000000000001E-3</v>
      </c>
      <c r="Q10" s="6" t="s">
        <v>77</v>
      </c>
      <c r="R10" s="6">
        <v>2</v>
      </c>
      <c r="S10" s="9">
        <v>1E-4</v>
      </c>
      <c r="U10" s="6" t="s">
        <v>2</v>
      </c>
      <c r="V10" s="6">
        <v>7</v>
      </c>
      <c r="W10" s="9">
        <v>2.9999999999999997E-4</v>
      </c>
      <c r="Y10" s="6" t="s">
        <v>2</v>
      </c>
      <c r="Z10" s="6">
        <v>190</v>
      </c>
      <c r="AA10" s="9">
        <v>2.8E-3</v>
      </c>
      <c r="AC10" s="6" t="s">
        <v>83</v>
      </c>
      <c r="AD10" s="6">
        <v>76</v>
      </c>
      <c r="AE10" s="9">
        <v>1.1000000000000001E-3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3</v>
      </c>
      <c r="B11" s="6">
        <v>205</v>
      </c>
      <c r="C11" s="9">
        <v>2.0999999999999999E-3</v>
      </c>
      <c r="E11" s="6" t="s">
        <v>79</v>
      </c>
      <c r="F11" s="6">
        <v>28</v>
      </c>
      <c r="G11" s="9">
        <v>2.9999999999999997E-4</v>
      </c>
      <c r="I11" s="6" t="s">
        <v>99</v>
      </c>
      <c r="J11" s="6">
        <v>16</v>
      </c>
      <c r="K11" s="9">
        <v>2.0000000000000001E-4</v>
      </c>
      <c r="M11" s="6" t="s">
        <v>41</v>
      </c>
      <c r="N11" s="6">
        <v>22</v>
      </c>
      <c r="O11" s="9">
        <v>8.0000000000000004E-4</v>
      </c>
      <c r="Q11" s="6" t="s">
        <v>93</v>
      </c>
      <c r="R11" s="6">
        <v>1</v>
      </c>
      <c r="S11" s="30">
        <v>0</v>
      </c>
      <c r="U11" s="6" t="s">
        <v>99</v>
      </c>
      <c r="V11" s="6">
        <v>6</v>
      </c>
      <c r="W11" s="9">
        <v>2.0000000000000001E-4</v>
      </c>
      <c r="Y11" s="6" t="s">
        <v>8</v>
      </c>
      <c r="Z11" s="6">
        <v>151</v>
      </c>
      <c r="AA11" s="9">
        <v>2.2000000000000001E-3</v>
      </c>
      <c r="AC11" s="6" t="s">
        <v>79</v>
      </c>
      <c r="AD11" s="6">
        <v>28</v>
      </c>
      <c r="AE11" s="9">
        <v>4.0000000000000002E-4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156</v>
      </c>
      <c r="C12" s="9">
        <v>1.6000000000000001E-3</v>
      </c>
      <c r="E12" s="6" t="s">
        <v>76</v>
      </c>
      <c r="F12" s="6">
        <v>14</v>
      </c>
      <c r="G12" s="9">
        <v>1E-4</v>
      </c>
      <c r="I12" s="6" t="s">
        <v>102</v>
      </c>
      <c r="J12" s="6">
        <v>5</v>
      </c>
      <c r="K12" s="9">
        <v>1E-4</v>
      </c>
      <c r="M12" s="6" t="s">
        <v>11</v>
      </c>
      <c r="N12" s="6">
        <v>21</v>
      </c>
      <c r="O12" s="9">
        <v>6.9999999999999999E-4</v>
      </c>
      <c r="Q12" s="6" t="s">
        <v>76</v>
      </c>
      <c r="R12" s="6">
        <v>1</v>
      </c>
      <c r="S12" s="30">
        <v>0</v>
      </c>
      <c r="U12" s="6" t="s">
        <v>102</v>
      </c>
      <c r="V12" s="6">
        <v>2</v>
      </c>
      <c r="W12" s="9">
        <v>1E-4</v>
      </c>
      <c r="Y12" s="6" t="s">
        <v>3</v>
      </c>
      <c r="Z12" s="6">
        <v>135</v>
      </c>
      <c r="AA12" s="9">
        <v>2E-3</v>
      </c>
      <c r="AC12" s="6" t="s">
        <v>76</v>
      </c>
      <c r="AD12" s="6">
        <v>13</v>
      </c>
      <c r="AE12" s="9">
        <v>2.0000000000000001E-4</v>
      </c>
      <c r="AG12" s="6" t="s">
        <v>99</v>
      </c>
      <c r="AH12" s="6">
        <v>10</v>
      </c>
      <c r="AI12" s="9">
        <v>1E-4</v>
      </c>
    </row>
    <row r="13" spans="1:35">
      <c r="A13" s="6" t="s">
        <v>5</v>
      </c>
      <c r="B13" s="6">
        <v>78</v>
      </c>
      <c r="C13" s="9">
        <v>8.0000000000000004E-4</v>
      </c>
      <c r="E13" s="6" t="s">
        <v>77</v>
      </c>
      <c r="F13" s="6">
        <v>13</v>
      </c>
      <c r="G13" s="9">
        <v>1E-4</v>
      </c>
      <c r="I13" s="6" t="s">
        <v>113</v>
      </c>
      <c r="J13" s="6">
        <v>5</v>
      </c>
      <c r="K13" s="9">
        <v>1E-4</v>
      </c>
      <c r="M13" s="6" t="s">
        <v>7</v>
      </c>
      <c r="N13" s="6">
        <v>21</v>
      </c>
      <c r="O13" s="9">
        <v>6.9999999999999999E-4</v>
      </c>
      <c r="Q13" s="6" t="s">
        <v>75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71</v>
      </c>
      <c r="AA13" s="9">
        <v>1.1000000000000001E-3</v>
      </c>
      <c r="AC13" s="6" t="s">
        <v>77</v>
      </c>
      <c r="AD13" s="6">
        <v>11</v>
      </c>
      <c r="AE13" s="9">
        <v>2.0000000000000001E-4</v>
      </c>
      <c r="AG13" s="6" t="s">
        <v>123</v>
      </c>
      <c r="AH13" s="6">
        <v>1</v>
      </c>
      <c r="AI13" s="30">
        <v>0</v>
      </c>
    </row>
    <row r="14" spans="1:35">
      <c r="A14" s="6" t="s">
        <v>11</v>
      </c>
      <c r="B14" s="6">
        <v>74</v>
      </c>
      <c r="C14" s="9">
        <v>8.0000000000000004E-4</v>
      </c>
      <c r="E14" s="6" t="s">
        <v>75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29</v>
      </c>
      <c r="N14" s="6">
        <v>15</v>
      </c>
      <c r="O14" s="9">
        <v>5.0000000000000001E-4</v>
      </c>
      <c r="Q14" s="6" t="s">
        <v>74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53</v>
      </c>
      <c r="AA14" s="9">
        <v>8.0000000000000004E-4</v>
      </c>
      <c r="AC14" s="6" t="s">
        <v>75</v>
      </c>
      <c r="AD14" s="6">
        <v>11</v>
      </c>
      <c r="AE14" s="9">
        <v>2.0000000000000001E-4</v>
      </c>
      <c r="AG14" s="6" t="s">
        <v>117</v>
      </c>
      <c r="AH14" s="6">
        <v>3</v>
      </c>
      <c r="AI14" s="30">
        <v>0</v>
      </c>
    </row>
    <row r="15" spans="1:35">
      <c r="A15" s="6" t="s">
        <v>41</v>
      </c>
      <c r="B15" s="6">
        <v>53</v>
      </c>
      <c r="C15" s="9">
        <v>5.9999999999999995E-4</v>
      </c>
      <c r="E15" s="6" t="s">
        <v>74</v>
      </c>
      <c r="F15" s="6">
        <v>9</v>
      </c>
      <c r="G15" s="9">
        <v>1E-4</v>
      </c>
      <c r="I15" s="6" t="s">
        <v>117</v>
      </c>
      <c r="J15" s="6">
        <v>4</v>
      </c>
      <c r="K15" s="30">
        <v>0</v>
      </c>
      <c r="M15" s="6" t="s">
        <v>18</v>
      </c>
      <c r="N15" s="6">
        <v>10</v>
      </c>
      <c r="O15" s="9">
        <v>4.0000000000000002E-4</v>
      </c>
      <c r="Q15" s="6" t="s">
        <v>171</v>
      </c>
      <c r="R15" s="6">
        <v>1</v>
      </c>
      <c r="S15" s="30">
        <v>0</v>
      </c>
      <c r="U15" s="6" t="s">
        <v>117</v>
      </c>
      <c r="V15" s="6">
        <v>1</v>
      </c>
      <c r="W15" s="30">
        <v>0</v>
      </c>
      <c r="Y15" s="6" t="s">
        <v>12</v>
      </c>
      <c r="Z15" s="6">
        <v>32</v>
      </c>
      <c r="AA15" s="9">
        <v>5.0000000000000001E-4</v>
      </c>
      <c r="AC15" s="6" t="s">
        <v>74</v>
      </c>
      <c r="AD15" s="6">
        <v>8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7</v>
      </c>
      <c r="B16" s="6">
        <v>53</v>
      </c>
      <c r="C16" s="9">
        <v>5.9999999999999995E-4</v>
      </c>
      <c r="E16" s="6" t="s">
        <v>78</v>
      </c>
      <c r="F16" s="6">
        <v>8</v>
      </c>
      <c r="G16" s="9">
        <v>1E-4</v>
      </c>
      <c r="M16" s="6" t="s">
        <v>22</v>
      </c>
      <c r="N16" s="6">
        <v>9</v>
      </c>
      <c r="O16" s="9">
        <v>2.9999999999999997E-4</v>
      </c>
      <c r="Y16" s="6" t="s">
        <v>41</v>
      </c>
      <c r="Z16" s="6">
        <v>31</v>
      </c>
      <c r="AA16" s="9">
        <v>5.0000000000000001E-4</v>
      </c>
      <c r="AC16" s="6" t="s">
        <v>78</v>
      </c>
      <c r="AD16" s="6">
        <v>8</v>
      </c>
      <c r="AE16" s="9">
        <v>1E-4</v>
      </c>
    </row>
    <row r="17" spans="1:31">
      <c r="A17" s="6" t="s">
        <v>12</v>
      </c>
      <c r="B17" s="6">
        <v>32</v>
      </c>
      <c r="C17" s="9">
        <v>2.9999999999999997E-4</v>
      </c>
      <c r="E17" s="6" t="s">
        <v>92</v>
      </c>
      <c r="F17" s="6">
        <v>1</v>
      </c>
      <c r="G17" s="30">
        <v>0</v>
      </c>
      <c r="M17" s="6" t="s">
        <v>9</v>
      </c>
      <c r="N17" s="6">
        <v>9</v>
      </c>
      <c r="O17" s="9">
        <v>2.9999999999999997E-4</v>
      </c>
      <c r="Y17" s="6" t="s">
        <v>7</v>
      </c>
      <c r="Z17" s="6">
        <v>32</v>
      </c>
      <c r="AA17" s="9">
        <v>5.0000000000000001E-4</v>
      </c>
      <c r="AC17" s="6" t="s">
        <v>84</v>
      </c>
      <c r="AD17" s="6">
        <v>4</v>
      </c>
      <c r="AE17" s="9">
        <v>1E-4</v>
      </c>
    </row>
    <row r="18" spans="1:31">
      <c r="A18" s="6" t="s">
        <v>18</v>
      </c>
      <c r="B18" s="6">
        <v>30</v>
      </c>
      <c r="C18" s="9">
        <v>2.9999999999999997E-4</v>
      </c>
      <c r="E18" s="6" t="s">
        <v>93</v>
      </c>
      <c r="F18" s="6">
        <v>1</v>
      </c>
      <c r="G18" s="30">
        <v>0</v>
      </c>
      <c r="M18" s="6" t="s">
        <v>31</v>
      </c>
      <c r="N18" s="6">
        <v>9</v>
      </c>
      <c r="O18" s="9">
        <v>2.9999999999999997E-4</v>
      </c>
      <c r="Y18" s="6" t="s">
        <v>14</v>
      </c>
      <c r="Z18" s="6">
        <v>24</v>
      </c>
      <c r="AA18" s="9">
        <v>4.0000000000000002E-4</v>
      </c>
      <c r="AC18" s="6" t="s">
        <v>92</v>
      </c>
      <c r="AD18" s="6">
        <v>1</v>
      </c>
      <c r="AE18" s="30">
        <v>0</v>
      </c>
    </row>
    <row r="19" spans="1:31">
      <c r="A19" s="6" t="s">
        <v>26</v>
      </c>
      <c r="B19" s="6">
        <v>27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5</v>
      </c>
      <c r="N19" s="6">
        <v>7</v>
      </c>
      <c r="O19" s="9">
        <v>2.0000000000000001E-4</v>
      </c>
      <c r="Y19" s="6" t="s">
        <v>18</v>
      </c>
      <c r="Z19" s="6">
        <v>20</v>
      </c>
      <c r="AA19" s="9">
        <v>2.9999999999999997E-4</v>
      </c>
      <c r="AC19" s="6" t="s">
        <v>93</v>
      </c>
      <c r="AD19" s="6">
        <v>1</v>
      </c>
      <c r="AE19" s="30">
        <v>0</v>
      </c>
    </row>
    <row r="20" spans="1:31">
      <c r="A20" s="6" t="s">
        <v>29</v>
      </c>
      <c r="B20" s="6">
        <v>28</v>
      </c>
      <c r="C20" s="9">
        <v>2.9999999999999997E-4</v>
      </c>
      <c r="E20" s="6" t="s">
        <v>89</v>
      </c>
      <c r="F20" s="6">
        <v>2</v>
      </c>
      <c r="G20" s="30">
        <v>0</v>
      </c>
      <c r="M20" s="6" t="s">
        <v>17</v>
      </c>
      <c r="N20" s="6">
        <v>5</v>
      </c>
      <c r="O20" s="9">
        <v>2.0000000000000001E-4</v>
      </c>
      <c r="Y20" s="6" t="s">
        <v>26</v>
      </c>
      <c r="Z20" s="6">
        <v>23</v>
      </c>
      <c r="AA20" s="9">
        <v>2.9999999999999997E-4</v>
      </c>
      <c r="AC20" s="6" t="s">
        <v>80</v>
      </c>
      <c r="AD20" s="6">
        <v>1</v>
      </c>
      <c r="AE20" s="30">
        <v>0</v>
      </c>
    </row>
    <row r="21" spans="1:31">
      <c r="A21" s="6" t="s">
        <v>14</v>
      </c>
      <c r="B21" s="6">
        <v>24</v>
      </c>
      <c r="C21" s="9">
        <v>2.9999999999999997E-4</v>
      </c>
      <c r="E21" s="6" t="s">
        <v>81</v>
      </c>
      <c r="F21" s="6">
        <v>2</v>
      </c>
      <c r="G21" s="30">
        <v>0</v>
      </c>
      <c r="M21" s="6" t="s">
        <v>8</v>
      </c>
      <c r="N21" s="6">
        <v>5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89</v>
      </c>
      <c r="AD21" s="6">
        <v>2</v>
      </c>
      <c r="AE21" s="30">
        <v>0</v>
      </c>
    </row>
    <row r="22" spans="1:31">
      <c r="A22" s="6" t="s">
        <v>17</v>
      </c>
      <c r="B22" s="6">
        <v>16</v>
      </c>
      <c r="C22" s="9">
        <v>2.0000000000000001E-4</v>
      </c>
      <c r="E22" s="6" t="s">
        <v>84</v>
      </c>
      <c r="F22" s="6">
        <v>4</v>
      </c>
      <c r="G22" s="30">
        <v>0</v>
      </c>
      <c r="M22" s="6" t="s">
        <v>26</v>
      </c>
      <c r="N22" s="6">
        <v>4</v>
      </c>
      <c r="O22" s="9">
        <v>1E-4</v>
      </c>
      <c r="Y22" s="6" t="s">
        <v>10</v>
      </c>
      <c r="Z22" s="6">
        <v>13</v>
      </c>
      <c r="AA22" s="9">
        <v>2.0000000000000001E-4</v>
      </c>
      <c r="AC22" s="6" t="s">
        <v>81</v>
      </c>
      <c r="AD22" s="6">
        <v>2</v>
      </c>
      <c r="AE22" s="30">
        <v>0</v>
      </c>
    </row>
    <row r="23" spans="1:31">
      <c r="A23" s="6" t="s">
        <v>31</v>
      </c>
      <c r="B23" s="6">
        <v>17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37</v>
      </c>
      <c r="N23" s="6">
        <v>3</v>
      </c>
      <c r="O23" s="9">
        <v>1E-4</v>
      </c>
      <c r="Y23" s="6" t="s">
        <v>37</v>
      </c>
      <c r="Z23" s="6">
        <v>11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19</v>
      </c>
      <c r="B24" s="6">
        <v>10</v>
      </c>
      <c r="C24" s="9">
        <v>1E-4</v>
      </c>
      <c r="E24" s="6" t="s">
        <v>161</v>
      </c>
      <c r="F24" s="6">
        <v>1</v>
      </c>
      <c r="G24" s="30">
        <v>0</v>
      </c>
      <c r="M24" s="6" t="s">
        <v>43</v>
      </c>
      <c r="N24" s="6">
        <v>2</v>
      </c>
      <c r="O24" s="9">
        <v>1E-4</v>
      </c>
      <c r="Y24" s="6" t="s">
        <v>17</v>
      </c>
      <c r="Z24" s="6">
        <v>11</v>
      </c>
      <c r="AA24" s="9">
        <v>2.0000000000000001E-4</v>
      </c>
      <c r="AC24" s="6" t="s">
        <v>161</v>
      </c>
      <c r="AD24" s="6">
        <v>1</v>
      </c>
      <c r="AE24" s="30">
        <v>0</v>
      </c>
    </row>
    <row r="25" spans="1:31">
      <c r="A25" s="6" t="s">
        <v>21</v>
      </c>
      <c r="B25" s="6">
        <v>14</v>
      </c>
      <c r="C25" s="9">
        <v>1E-4</v>
      </c>
      <c r="E25" s="6" t="s">
        <v>171</v>
      </c>
      <c r="F25" s="6">
        <v>1</v>
      </c>
      <c r="G25" s="30">
        <v>0</v>
      </c>
      <c r="M25" s="6" t="s">
        <v>59</v>
      </c>
      <c r="N25" s="6">
        <v>2</v>
      </c>
      <c r="O25" s="9">
        <v>1E-4</v>
      </c>
      <c r="Y25" s="6" t="s">
        <v>29</v>
      </c>
      <c r="Z25" s="6">
        <v>13</v>
      </c>
      <c r="AA25" s="9">
        <v>2.0000000000000001E-4</v>
      </c>
    </row>
    <row r="26" spans="1:31">
      <c r="A26" s="6" t="s">
        <v>10</v>
      </c>
      <c r="B26" s="6">
        <v>14</v>
      </c>
      <c r="C26" s="9">
        <v>1E-4</v>
      </c>
      <c r="M26" s="6" t="s">
        <v>27</v>
      </c>
      <c r="N26" s="6">
        <v>3</v>
      </c>
      <c r="O26" s="9">
        <v>1E-4</v>
      </c>
      <c r="Y26" s="6" t="s">
        <v>19</v>
      </c>
      <c r="Z26" s="6">
        <v>10</v>
      </c>
      <c r="AA26" s="9">
        <v>1E-4</v>
      </c>
    </row>
    <row r="27" spans="1:31">
      <c r="A27" s="6" t="s">
        <v>37</v>
      </c>
      <c r="B27" s="6">
        <v>14</v>
      </c>
      <c r="C27" s="9">
        <v>1E-4</v>
      </c>
      <c r="M27" s="6" t="s">
        <v>67</v>
      </c>
      <c r="N27" s="6">
        <v>1</v>
      </c>
      <c r="O27" s="30">
        <v>0</v>
      </c>
      <c r="Y27" s="6" t="s">
        <v>40</v>
      </c>
      <c r="Z27" s="6">
        <v>9</v>
      </c>
      <c r="AA27" s="9">
        <v>1E-4</v>
      </c>
    </row>
    <row r="28" spans="1:31">
      <c r="A28" s="6" t="s">
        <v>22</v>
      </c>
      <c r="B28" s="6">
        <v>11</v>
      </c>
      <c r="C28" s="9">
        <v>1E-4</v>
      </c>
      <c r="M28" s="6" t="s">
        <v>21</v>
      </c>
      <c r="N28" s="6">
        <v>1</v>
      </c>
      <c r="O28" s="30">
        <v>0</v>
      </c>
      <c r="Y28" s="6" t="s">
        <v>31</v>
      </c>
      <c r="Z28" s="6">
        <v>8</v>
      </c>
      <c r="AA28" s="9">
        <v>1E-4</v>
      </c>
    </row>
    <row r="29" spans="1:31">
      <c r="A29" s="6" t="s">
        <v>40</v>
      </c>
      <c r="B29" s="6">
        <v>10</v>
      </c>
      <c r="C29" s="9">
        <v>1E-4</v>
      </c>
      <c r="M29" s="6" t="s">
        <v>10</v>
      </c>
      <c r="N29" s="6">
        <v>1</v>
      </c>
      <c r="O29" s="30">
        <v>0</v>
      </c>
      <c r="Y29" s="6" t="s">
        <v>15</v>
      </c>
      <c r="Z29" s="6">
        <v>6</v>
      </c>
      <c r="AA29" s="9">
        <v>1E-4</v>
      </c>
    </row>
    <row r="30" spans="1:31">
      <c r="A30" s="6" t="s">
        <v>24</v>
      </c>
      <c r="B30" s="6">
        <v>5</v>
      </c>
      <c r="C30" s="9">
        <v>1E-4</v>
      </c>
      <c r="M30" s="6" t="s">
        <v>48</v>
      </c>
      <c r="N30" s="6">
        <v>1</v>
      </c>
      <c r="O30" s="30">
        <v>0</v>
      </c>
      <c r="Y30" s="6" t="s">
        <v>24</v>
      </c>
      <c r="Z30" s="6">
        <v>5</v>
      </c>
      <c r="AA30" s="9">
        <v>1E-4</v>
      </c>
    </row>
    <row r="31" spans="1:31">
      <c r="A31" s="6" t="s">
        <v>15</v>
      </c>
      <c r="B31" s="6">
        <v>7</v>
      </c>
      <c r="C31" s="9">
        <v>1E-4</v>
      </c>
      <c r="M31" s="6" t="s">
        <v>40</v>
      </c>
      <c r="N31" s="6">
        <v>1</v>
      </c>
      <c r="O31" s="30">
        <v>0</v>
      </c>
      <c r="Y31" s="6" t="s">
        <v>58</v>
      </c>
      <c r="Z31" s="6">
        <v>5</v>
      </c>
      <c r="AA31" s="9">
        <v>1E-4</v>
      </c>
    </row>
    <row r="32" spans="1:31">
      <c r="A32" s="6" t="s">
        <v>32</v>
      </c>
      <c r="B32" s="6">
        <v>6</v>
      </c>
      <c r="C32" s="9">
        <v>1E-4</v>
      </c>
      <c r="M32" s="6" t="s">
        <v>15</v>
      </c>
      <c r="N32" s="6">
        <v>1</v>
      </c>
      <c r="O32" s="30">
        <v>0</v>
      </c>
      <c r="Y32" s="6" t="s">
        <v>32</v>
      </c>
      <c r="Z32" s="6">
        <v>5</v>
      </c>
      <c r="AA32" s="9">
        <v>1E-4</v>
      </c>
    </row>
    <row r="33" spans="1:27">
      <c r="A33" s="6" t="s">
        <v>58</v>
      </c>
      <c r="B33" s="6">
        <v>5</v>
      </c>
      <c r="C33" s="9">
        <v>1E-4</v>
      </c>
      <c r="M33" s="6" t="s">
        <v>16</v>
      </c>
      <c r="N33" s="6">
        <v>1</v>
      </c>
      <c r="O33" s="30">
        <v>0</v>
      </c>
      <c r="Y33" s="6" t="s">
        <v>39</v>
      </c>
      <c r="Z33" s="6">
        <v>5</v>
      </c>
      <c r="AA33" s="9">
        <v>1E-4</v>
      </c>
    </row>
    <row r="34" spans="1:27">
      <c r="A34" s="6" t="s">
        <v>27</v>
      </c>
      <c r="B34" s="6">
        <v>6</v>
      </c>
      <c r="C34" s="9">
        <v>1E-4</v>
      </c>
      <c r="M34" s="6" t="s">
        <v>38</v>
      </c>
      <c r="N34" s="6">
        <v>1</v>
      </c>
      <c r="O34" s="30">
        <v>0</v>
      </c>
      <c r="Y34" s="6" t="s">
        <v>115</v>
      </c>
      <c r="Z34" s="6">
        <v>2</v>
      </c>
      <c r="AA34" s="30">
        <v>0</v>
      </c>
    </row>
    <row r="35" spans="1:27">
      <c r="A35" s="6" t="s">
        <v>39</v>
      </c>
      <c r="B35" s="6">
        <v>5</v>
      </c>
      <c r="C35" s="9">
        <v>1E-4</v>
      </c>
      <c r="M35" s="6" t="s">
        <v>32</v>
      </c>
      <c r="N35" s="6">
        <v>1</v>
      </c>
      <c r="O35" s="30">
        <v>0</v>
      </c>
      <c r="Y35" s="6" t="s">
        <v>20</v>
      </c>
      <c r="Z35" s="6">
        <v>1</v>
      </c>
      <c r="AA35" s="30">
        <v>0</v>
      </c>
    </row>
    <row r="36" spans="1:27">
      <c r="A36" s="6" t="s">
        <v>115</v>
      </c>
      <c r="B36" s="6">
        <v>2</v>
      </c>
      <c r="C36" s="30">
        <v>0</v>
      </c>
      <c r="M36" s="6" t="s">
        <v>60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20</v>
      </c>
      <c r="B37" s="6">
        <v>1</v>
      </c>
      <c r="C37" s="30">
        <v>0</v>
      </c>
      <c r="M37" s="6" t="s">
        <v>30</v>
      </c>
      <c r="N37" s="6">
        <v>1</v>
      </c>
      <c r="O37" s="30">
        <v>0</v>
      </c>
      <c r="Y37" s="6" t="s">
        <v>45</v>
      </c>
      <c r="Z37" s="6">
        <v>3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23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67</v>
      </c>
      <c r="B39" s="6">
        <v>2</v>
      </c>
      <c r="C39" s="30">
        <v>0</v>
      </c>
      <c r="M39" s="6" t="s">
        <v>42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45</v>
      </c>
      <c r="B40" s="6">
        <v>3</v>
      </c>
      <c r="C40" s="30">
        <v>0</v>
      </c>
      <c r="Y40" s="6" t="s">
        <v>16</v>
      </c>
      <c r="Z40" s="6">
        <v>2</v>
      </c>
      <c r="AA40" s="30">
        <v>0</v>
      </c>
    </row>
    <row r="41" spans="1:27">
      <c r="A41" s="6" t="s">
        <v>36</v>
      </c>
      <c r="B41" s="6">
        <v>2</v>
      </c>
      <c r="C41" s="30">
        <v>0</v>
      </c>
      <c r="Y41" s="6" t="s">
        <v>65</v>
      </c>
      <c r="Z41" s="6">
        <v>1</v>
      </c>
      <c r="AA41" s="30">
        <v>0</v>
      </c>
    </row>
    <row r="42" spans="1:27">
      <c r="A42" s="6" t="s">
        <v>16</v>
      </c>
      <c r="B42" s="6">
        <v>3</v>
      </c>
      <c r="C42" s="30">
        <v>0</v>
      </c>
      <c r="Y42" s="6" t="s">
        <v>68</v>
      </c>
      <c r="Z42" s="6">
        <v>3</v>
      </c>
      <c r="AA42" s="30">
        <v>0</v>
      </c>
    </row>
    <row r="43" spans="1:27">
      <c r="A43" s="6" t="s">
        <v>65</v>
      </c>
      <c r="B43" s="6">
        <v>1</v>
      </c>
      <c r="C43" s="30">
        <v>0</v>
      </c>
      <c r="Y43" s="6" t="s">
        <v>22</v>
      </c>
      <c r="Z43" s="6">
        <v>2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Y44" s="6" t="s">
        <v>27</v>
      </c>
      <c r="Z44" s="6">
        <v>3</v>
      </c>
      <c r="AA44" s="30">
        <v>0</v>
      </c>
    </row>
    <row r="45" spans="1:27">
      <c r="A45" s="6" t="s">
        <v>68</v>
      </c>
      <c r="B45" s="6">
        <v>3</v>
      </c>
      <c r="C45" s="30">
        <v>0</v>
      </c>
      <c r="Y45" s="6" t="s">
        <v>30</v>
      </c>
      <c r="Z45" s="6">
        <v>2</v>
      </c>
      <c r="AA45" s="30">
        <v>0</v>
      </c>
    </row>
    <row r="46" spans="1:27">
      <c r="A46" s="6" t="s">
        <v>59</v>
      </c>
      <c r="B46" s="6">
        <v>3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43</v>
      </c>
      <c r="B47" s="6">
        <v>2</v>
      </c>
      <c r="C47" s="30">
        <v>0</v>
      </c>
      <c r="Y47" s="6" t="s">
        <v>42</v>
      </c>
      <c r="Z47" s="6">
        <v>2</v>
      </c>
      <c r="AA47" s="30">
        <v>0</v>
      </c>
    </row>
    <row r="48" spans="1:27">
      <c r="A48" s="6" t="s">
        <v>30</v>
      </c>
      <c r="B48" s="6">
        <v>3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60</v>
      </c>
      <c r="B49" s="6">
        <v>2</v>
      </c>
      <c r="C49" s="30">
        <v>0</v>
      </c>
      <c r="Y49" s="6" t="s">
        <v>60</v>
      </c>
      <c r="Z49" s="6">
        <v>1</v>
      </c>
      <c r="AA49" s="30">
        <v>0</v>
      </c>
    </row>
    <row r="50" spans="1:27">
      <c r="A50" s="6" t="s">
        <v>42</v>
      </c>
      <c r="B50" s="6">
        <v>3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33</v>
      </c>
      <c r="B51" s="6">
        <v>1</v>
      </c>
      <c r="C51" s="30">
        <v>0</v>
      </c>
      <c r="Y51" s="6" t="s">
        <v>64</v>
      </c>
      <c r="Z51" s="6">
        <v>1</v>
      </c>
      <c r="AA51" s="30">
        <v>0</v>
      </c>
    </row>
    <row r="52" spans="1:27">
      <c r="A52" s="6" t="s">
        <v>25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64</v>
      </c>
      <c r="B53" s="6">
        <v>1</v>
      </c>
      <c r="C53" s="30">
        <v>0</v>
      </c>
      <c r="Y53" s="6" t="s">
        <v>170</v>
      </c>
      <c r="Z53" s="6">
        <v>1</v>
      </c>
      <c r="AA53" s="30">
        <v>0</v>
      </c>
    </row>
    <row r="54" spans="1:27">
      <c r="A54" s="6" t="s">
        <v>38</v>
      </c>
      <c r="B54" s="6">
        <v>1</v>
      </c>
      <c r="C54" s="30">
        <v>0</v>
      </c>
    </row>
    <row r="55" spans="1:27">
      <c r="A55" s="6" t="s">
        <v>53</v>
      </c>
      <c r="B55" s="6">
        <v>1</v>
      </c>
      <c r="C55" s="30">
        <v>0</v>
      </c>
    </row>
    <row r="56" spans="1:27">
      <c r="A56" s="6" t="s">
        <v>23</v>
      </c>
      <c r="B56" s="6">
        <v>1</v>
      </c>
      <c r="C56" s="30">
        <v>0</v>
      </c>
    </row>
    <row r="57" spans="1:27">
      <c r="A57" s="6" t="s">
        <v>170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04D4F-0F9C-48F5-B793-E58A5B67156E}">
  <sheetPr codeName="Sheet39"/>
  <dimension ref="A1:AI57"/>
  <sheetViews>
    <sheetView topLeftCell="W1" zoomScale="130" zoomScaleNormal="130" workbookViewId="0">
      <selection activeCell="X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85710</v>
      </c>
      <c r="E2" s="41" t="s">
        <v>4</v>
      </c>
      <c r="F2" s="23" t="s">
        <v>105</v>
      </c>
      <c r="G2" s="23">
        <f>G3+G4</f>
        <v>90926</v>
      </c>
      <c r="H2" s="22"/>
      <c r="I2" s="41" t="s">
        <v>6</v>
      </c>
      <c r="J2" s="23" t="s">
        <v>105</v>
      </c>
      <c r="K2" s="23">
        <f>K3+K4</f>
        <v>96512</v>
      </c>
      <c r="M2" s="41" t="s">
        <v>104</v>
      </c>
      <c r="N2" s="23" t="s">
        <v>105</v>
      </c>
      <c r="O2" s="23">
        <f>O3+O4</f>
        <v>21935</v>
      </c>
      <c r="Q2" s="41" t="s">
        <v>4</v>
      </c>
      <c r="R2" s="23" t="s">
        <v>105</v>
      </c>
      <c r="S2" s="23">
        <f>S3+S4</f>
        <v>26406</v>
      </c>
      <c r="T2" s="22"/>
      <c r="U2" s="41" t="s">
        <v>6</v>
      </c>
      <c r="V2" s="23" t="s">
        <v>105</v>
      </c>
      <c r="W2" s="23">
        <f>W3+W4</f>
        <v>28122</v>
      </c>
      <c r="Y2" s="41" t="s">
        <v>104</v>
      </c>
      <c r="Z2" s="23" t="s">
        <v>105</v>
      </c>
      <c r="AA2" s="23">
        <f>AA3+AA4</f>
        <v>63766</v>
      </c>
      <c r="AC2" s="41" t="s">
        <v>4</v>
      </c>
      <c r="AD2" s="23" t="s">
        <v>105</v>
      </c>
      <c r="AE2" s="23">
        <f>AE3+AE4</f>
        <v>64522</v>
      </c>
      <c r="AF2" s="22"/>
      <c r="AG2" s="41" t="s">
        <v>6</v>
      </c>
      <c r="AH2" s="23" t="s">
        <v>105</v>
      </c>
      <c r="AI2" s="23">
        <f>AI3+AI4</f>
        <v>68392</v>
      </c>
    </row>
    <row r="3" spans="1:35">
      <c r="A3" s="42"/>
      <c r="B3" s="24" t="s">
        <v>106</v>
      </c>
      <c r="C3" s="24">
        <f>B8</f>
        <v>84438</v>
      </c>
      <c r="E3" s="42"/>
      <c r="F3" s="24" t="s">
        <v>106</v>
      </c>
      <c r="G3" s="24">
        <f>F8</f>
        <v>90645</v>
      </c>
      <c r="H3" s="22"/>
      <c r="I3" s="42"/>
      <c r="J3" s="24" t="s">
        <v>106</v>
      </c>
      <c r="K3" s="24">
        <f>J8</f>
        <v>96433</v>
      </c>
      <c r="M3" s="42"/>
      <c r="N3" s="24" t="s">
        <v>106</v>
      </c>
      <c r="O3" s="24">
        <f>N8</f>
        <v>21675</v>
      </c>
      <c r="Q3" s="42"/>
      <c r="R3" s="24" t="s">
        <v>106</v>
      </c>
      <c r="S3" s="24">
        <f>R8</f>
        <v>26347</v>
      </c>
      <c r="T3" s="22"/>
      <c r="U3" s="42"/>
      <c r="V3" s="24" t="s">
        <v>106</v>
      </c>
      <c r="W3" s="24">
        <f>V8</f>
        <v>28096</v>
      </c>
      <c r="Y3" s="42"/>
      <c r="Z3" s="24" t="s">
        <v>106</v>
      </c>
      <c r="AA3" s="24">
        <f>Z8</f>
        <v>62763</v>
      </c>
      <c r="AC3" s="42"/>
      <c r="AD3" s="24" t="s">
        <v>106</v>
      </c>
      <c r="AE3" s="24">
        <f>AD8</f>
        <v>64298</v>
      </c>
      <c r="AF3" s="22"/>
      <c r="AG3" s="42"/>
      <c r="AH3" s="24" t="s">
        <v>106</v>
      </c>
      <c r="AI3" s="24">
        <f>AH8</f>
        <v>68337</v>
      </c>
    </row>
    <row r="4" spans="1:35">
      <c r="A4" s="42"/>
      <c r="B4" s="25" t="s">
        <v>107</v>
      </c>
      <c r="C4" s="25">
        <f>SUM(B9:B66)</f>
        <v>1272</v>
      </c>
      <c r="E4" s="42"/>
      <c r="F4" s="25" t="s">
        <v>107</v>
      </c>
      <c r="G4" s="25">
        <f>SUM(F9:F33)</f>
        <v>281</v>
      </c>
      <c r="H4" s="22"/>
      <c r="I4" s="42"/>
      <c r="J4" s="25" t="s">
        <v>107</v>
      </c>
      <c r="K4" s="25">
        <f>SUM(J9:J31)</f>
        <v>79</v>
      </c>
      <c r="M4" s="42"/>
      <c r="N4" s="25" t="s">
        <v>107</v>
      </c>
      <c r="O4" s="25">
        <f>SUM(N9:N66)</f>
        <v>260</v>
      </c>
      <c r="Q4" s="42"/>
      <c r="R4" s="25" t="s">
        <v>107</v>
      </c>
      <c r="S4" s="25">
        <f>SUM(R9:R33)</f>
        <v>59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1003</v>
      </c>
      <c r="AC4" s="42"/>
      <c r="AD4" s="25" t="s">
        <v>107</v>
      </c>
      <c r="AE4" s="25">
        <f>SUM(AD9:AD29)</f>
        <v>224</v>
      </c>
      <c r="AF4" s="22"/>
      <c r="AG4" s="42"/>
      <c r="AH4" s="25" t="s">
        <v>107</v>
      </c>
      <c r="AI4" s="25">
        <f>SUM(AH9:AH29)</f>
        <v>55</v>
      </c>
    </row>
    <row r="5" spans="1:35">
      <c r="A5" s="43"/>
      <c r="B5" s="23" t="s">
        <v>108</v>
      </c>
      <c r="C5" s="26">
        <f>SUM(C9:C179)</f>
        <v>1.4399999999999991E-2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1.1199999999999998E-2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8.9999999999999998E-4</v>
      </c>
      <c r="Y5" s="43"/>
      <c r="Z5" s="23" t="s">
        <v>108</v>
      </c>
      <c r="AA5" s="26">
        <f>SUM(AA9:AA158)</f>
        <v>1.5399999999999994E-2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84438</v>
      </c>
      <c r="C8" s="9">
        <v>0.98519999999999996</v>
      </c>
      <c r="E8" s="6" t="s">
        <v>112</v>
      </c>
      <c r="F8" s="29">
        <v>90645</v>
      </c>
      <c r="G8" s="9">
        <v>0.99690000000000001</v>
      </c>
      <c r="I8" s="6" t="s">
        <v>112</v>
      </c>
      <c r="J8" s="29">
        <v>96433</v>
      </c>
      <c r="K8" s="9">
        <v>0.99919999999999998</v>
      </c>
      <c r="M8" s="6" t="s">
        <v>112</v>
      </c>
      <c r="N8" s="29">
        <v>21675</v>
      </c>
      <c r="O8" s="9">
        <v>0.98809999999999998</v>
      </c>
      <c r="Q8" s="6" t="s">
        <v>112</v>
      </c>
      <c r="R8" s="29">
        <v>26347</v>
      </c>
      <c r="S8" s="9">
        <v>0.99780000000000002</v>
      </c>
      <c r="U8" s="6" t="s">
        <v>112</v>
      </c>
      <c r="V8" s="29">
        <v>28096</v>
      </c>
      <c r="W8" s="9">
        <v>0.99909999999999999</v>
      </c>
      <c r="Y8" s="6" t="s">
        <v>112</v>
      </c>
      <c r="Z8" s="29">
        <v>62763</v>
      </c>
      <c r="AA8" s="9">
        <v>0.98409999999999997</v>
      </c>
      <c r="AC8" s="6" t="s">
        <v>112</v>
      </c>
      <c r="AD8" s="29">
        <v>64298</v>
      </c>
      <c r="AE8" s="9">
        <v>0.99650000000000005</v>
      </c>
      <c r="AG8" s="6" t="s">
        <v>112</v>
      </c>
      <c r="AH8" s="29">
        <v>68337</v>
      </c>
      <c r="AI8" s="9">
        <v>0.99919999999999998</v>
      </c>
    </row>
    <row r="9" spans="1:35">
      <c r="A9" s="6" t="s">
        <v>9</v>
      </c>
      <c r="B9" s="6">
        <v>254</v>
      </c>
      <c r="C9" s="9">
        <v>3.0000000000000001E-3</v>
      </c>
      <c r="E9" s="6" t="s">
        <v>122</v>
      </c>
      <c r="F9" s="6">
        <v>143</v>
      </c>
      <c r="G9" s="9">
        <v>1.6000000000000001E-3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70</v>
      </c>
      <c r="O9" s="9">
        <v>3.2000000000000002E-3</v>
      </c>
      <c r="Q9" s="6" t="s">
        <v>122</v>
      </c>
      <c r="R9" s="6">
        <v>50</v>
      </c>
      <c r="S9" s="9">
        <v>1.9E-3</v>
      </c>
      <c r="U9" s="6" t="s">
        <v>102</v>
      </c>
      <c r="V9" s="6">
        <v>8</v>
      </c>
      <c r="W9" s="9">
        <v>2.9999999999999997E-4</v>
      </c>
      <c r="Y9" s="6" t="s">
        <v>9</v>
      </c>
      <c r="Z9" s="6">
        <v>250</v>
      </c>
      <c r="AA9" s="9">
        <v>3.8999999999999998E-3</v>
      </c>
      <c r="AC9" s="6" t="s">
        <v>122</v>
      </c>
      <c r="AD9" s="6">
        <v>93</v>
      </c>
      <c r="AE9" s="9">
        <v>1.4E-3</v>
      </c>
      <c r="AG9" s="6" t="s">
        <v>2</v>
      </c>
      <c r="AH9" s="6">
        <v>23</v>
      </c>
      <c r="AI9" s="9">
        <v>2.9999999999999997E-4</v>
      </c>
    </row>
    <row r="10" spans="1:35">
      <c r="A10" s="6" t="s">
        <v>2</v>
      </c>
      <c r="B10" s="6">
        <v>242</v>
      </c>
      <c r="C10" s="9">
        <v>2.8E-3</v>
      </c>
      <c r="E10" s="6" t="s">
        <v>83</v>
      </c>
      <c r="F10" s="6">
        <v>56</v>
      </c>
      <c r="G10" s="9">
        <v>5.9999999999999995E-4</v>
      </c>
      <c r="I10" s="6" t="s">
        <v>99</v>
      </c>
      <c r="J10" s="6">
        <v>15</v>
      </c>
      <c r="K10" s="9">
        <v>2.0000000000000001E-4</v>
      </c>
      <c r="M10" s="6" t="s">
        <v>3</v>
      </c>
      <c r="N10" s="6">
        <v>43</v>
      </c>
      <c r="O10" s="9">
        <v>2E-3</v>
      </c>
      <c r="Q10" s="6" t="s">
        <v>80</v>
      </c>
      <c r="R10" s="6">
        <v>3</v>
      </c>
      <c r="S10" s="9">
        <v>1E-4</v>
      </c>
      <c r="U10" s="6" t="s">
        <v>2</v>
      </c>
      <c r="V10" s="6">
        <v>8</v>
      </c>
      <c r="W10" s="9">
        <v>2.9999999999999997E-4</v>
      </c>
      <c r="Y10" s="6" t="s">
        <v>2</v>
      </c>
      <c r="Z10" s="6">
        <v>172</v>
      </c>
      <c r="AA10" s="9">
        <v>2.7000000000000001E-3</v>
      </c>
      <c r="AC10" s="6" t="s">
        <v>83</v>
      </c>
      <c r="AD10" s="6">
        <v>56</v>
      </c>
      <c r="AE10" s="9">
        <v>8.9999999999999998E-4</v>
      </c>
      <c r="AG10" s="6" t="s">
        <v>99</v>
      </c>
      <c r="AH10" s="6">
        <v>12</v>
      </c>
      <c r="AI10" s="9">
        <v>2.0000000000000001E-4</v>
      </c>
    </row>
    <row r="11" spans="1:35">
      <c r="A11" s="6" t="s">
        <v>3</v>
      </c>
      <c r="B11" s="6">
        <v>166</v>
      </c>
      <c r="C11" s="9">
        <v>1.9E-3</v>
      </c>
      <c r="E11" s="6" t="s">
        <v>77</v>
      </c>
      <c r="F11" s="6">
        <v>17</v>
      </c>
      <c r="G11" s="9">
        <v>2.0000000000000001E-4</v>
      </c>
      <c r="I11" s="6" t="s">
        <v>102</v>
      </c>
      <c r="J11" s="6">
        <v>12</v>
      </c>
      <c r="K11" s="9">
        <v>1E-4</v>
      </c>
      <c r="M11" s="6" t="s">
        <v>11</v>
      </c>
      <c r="N11" s="6">
        <v>16</v>
      </c>
      <c r="O11" s="9">
        <v>6.9999999999999999E-4</v>
      </c>
      <c r="Q11" s="6" t="s">
        <v>77</v>
      </c>
      <c r="R11" s="6">
        <v>2</v>
      </c>
      <c r="S11" s="9">
        <v>1E-4</v>
      </c>
      <c r="U11" s="6" t="s">
        <v>113</v>
      </c>
      <c r="V11" s="6">
        <v>6</v>
      </c>
      <c r="W11" s="9">
        <v>2.0000000000000001E-4</v>
      </c>
      <c r="Y11" s="6" t="s">
        <v>3</v>
      </c>
      <c r="Z11" s="6">
        <v>123</v>
      </c>
      <c r="AA11" s="9">
        <v>1.9E-3</v>
      </c>
      <c r="AC11" s="6" t="s">
        <v>79</v>
      </c>
      <c r="AD11" s="6">
        <v>19</v>
      </c>
      <c r="AE11" s="9">
        <v>2.9999999999999997E-4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90</v>
      </c>
      <c r="C12" s="9">
        <v>1.1000000000000001E-3</v>
      </c>
      <c r="E12" s="6" t="s">
        <v>79</v>
      </c>
      <c r="F12" s="6">
        <v>19</v>
      </c>
      <c r="G12" s="9">
        <v>2.0000000000000001E-4</v>
      </c>
      <c r="I12" s="6" t="s">
        <v>98</v>
      </c>
      <c r="J12" s="6">
        <v>9</v>
      </c>
      <c r="K12" s="9">
        <v>1E-4</v>
      </c>
      <c r="M12" s="6" t="s">
        <v>7</v>
      </c>
      <c r="N12" s="6">
        <v>15</v>
      </c>
      <c r="O12" s="9">
        <v>6.9999999999999999E-4</v>
      </c>
      <c r="Q12" s="6" t="s">
        <v>76</v>
      </c>
      <c r="R12" s="6">
        <v>1</v>
      </c>
      <c r="S12" s="30">
        <v>0</v>
      </c>
      <c r="U12" s="6" t="s">
        <v>99</v>
      </c>
      <c r="V12" s="6">
        <v>3</v>
      </c>
      <c r="W12" s="9">
        <v>1E-4</v>
      </c>
      <c r="Y12" s="6" t="s">
        <v>8</v>
      </c>
      <c r="Z12" s="6">
        <v>87</v>
      </c>
      <c r="AA12" s="9">
        <v>1.4E-3</v>
      </c>
      <c r="AC12" s="6" t="s">
        <v>77</v>
      </c>
      <c r="AD12" s="6">
        <v>15</v>
      </c>
      <c r="AE12" s="9">
        <v>2.0000000000000001E-4</v>
      </c>
      <c r="AG12" s="6" t="s">
        <v>98</v>
      </c>
      <c r="AH12" s="6">
        <v>9</v>
      </c>
      <c r="AI12" s="9">
        <v>1E-4</v>
      </c>
    </row>
    <row r="13" spans="1:35">
      <c r="A13" s="6" t="s">
        <v>11</v>
      </c>
      <c r="B13" s="6">
        <v>73</v>
      </c>
      <c r="C13" s="9">
        <v>8.9999999999999998E-4</v>
      </c>
      <c r="E13" s="6" t="s">
        <v>76</v>
      </c>
      <c r="F13" s="6">
        <v>5</v>
      </c>
      <c r="G13" s="9">
        <v>1E-4</v>
      </c>
      <c r="I13" s="6" t="s">
        <v>113</v>
      </c>
      <c r="J13" s="6">
        <v>10</v>
      </c>
      <c r="K13" s="9">
        <v>1E-4</v>
      </c>
      <c r="M13" s="6" t="s">
        <v>20</v>
      </c>
      <c r="N13" s="6">
        <v>13</v>
      </c>
      <c r="O13" s="9">
        <v>5.9999999999999995E-4</v>
      </c>
      <c r="Q13" s="6" t="s">
        <v>81</v>
      </c>
      <c r="R13" s="6">
        <v>1</v>
      </c>
      <c r="S13" s="30">
        <v>0</v>
      </c>
      <c r="U13" s="6" t="s">
        <v>123</v>
      </c>
      <c r="V13" s="6">
        <v>1</v>
      </c>
      <c r="W13" s="30">
        <v>0</v>
      </c>
      <c r="Y13" s="6" t="s">
        <v>5</v>
      </c>
      <c r="Z13" s="6">
        <v>56</v>
      </c>
      <c r="AA13" s="9">
        <v>8.9999999999999998E-4</v>
      </c>
      <c r="AC13" s="6" t="s">
        <v>74</v>
      </c>
      <c r="AD13" s="6">
        <v>11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5</v>
      </c>
      <c r="B14" s="6">
        <v>67</v>
      </c>
      <c r="C14" s="9">
        <v>8.0000000000000004E-4</v>
      </c>
      <c r="E14" s="6" t="s">
        <v>74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5</v>
      </c>
      <c r="N14" s="6">
        <v>11</v>
      </c>
      <c r="O14" s="9">
        <v>5.0000000000000001E-4</v>
      </c>
      <c r="Q14" s="6" t="s">
        <v>74</v>
      </c>
      <c r="R14" s="6">
        <v>1</v>
      </c>
      <c r="S14" s="30">
        <v>0</v>
      </c>
      <c r="Y14" s="6" t="s">
        <v>11</v>
      </c>
      <c r="Z14" s="6">
        <v>57</v>
      </c>
      <c r="AA14" s="9">
        <v>8.9999999999999998E-4</v>
      </c>
      <c r="AC14" s="6" t="s">
        <v>76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45</v>
      </c>
      <c r="C15" s="9">
        <v>5.0000000000000001E-4</v>
      </c>
      <c r="E15" s="6" t="s">
        <v>75</v>
      </c>
      <c r="F15" s="6">
        <v>9</v>
      </c>
      <c r="G15" s="9">
        <v>1E-4</v>
      </c>
      <c r="I15" s="6" t="s">
        <v>117</v>
      </c>
      <c r="J15" s="6">
        <v>1</v>
      </c>
      <c r="K15" s="30">
        <v>0</v>
      </c>
      <c r="M15" s="6" t="s">
        <v>41</v>
      </c>
      <c r="N15" s="6">
        <v>11</v>
      </c>
      <c r="O15" s="9">
        <v>5.0000000000000001E-4</v>
      </c>
      <c r="Q15" s="6" t="s">
        <v>78</v>
      </c>
      <c r="R15" s="6">
        <v>1</v>
      </c>
      <c r="S15" s="30">
        <v>0</v>
      </c>
      <c r="Y15" s="6" t="s">
        <v>12</v>
      </c>
      <c r="Z15" s="6">
        <v>31</v>
      </c>
      <c r="AA15" s="9">
        <v>5.0000000000000001E-4</v>
      </c>
      <c r="AC15" s="6" t="s">
        <v>75</v>
      </c>
      <c r="AD15" s="6">
        <v>9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12</v>
      </c>
      <c r="B16" s="6">
        <v>32</v>
      </c>
      <c r="C16" s="9">
        <v>4.0000000000000002E-4</v>
      </c>
      <c r="E16" s="6" t="s">
        <v>78</v>
      </c>
      <c r="F16" s="6">
        <v>6</v>
      </c>
      <c r="G16" s="9">
        <v>1E-4</v>
      </c>
      <c r="M16" s="6" t="s">
        <v>23</v>
      </c>
      <c r="N16" s="6">
        <v>12</v>
      </c>
      <c r="O16" s="9">
        <v>5.0000000000000001E-4</v>
      </c>
      <c r="Y16" s="6" t="s">
        <v>7</v>
      </c>
      <c r="Z16" s="6">
        <v>30</v>
      </c>
      <c r="AA16" s="9">
        <v>5.0000000000000001E-4</v>
      </c>
      <c r="AC16" s="6" t="s">
        <v>78</v>
      </c>
      <c r="AD16" s="6">
        <v>5</v>
      </c>
      <c r="AE16" s="9">
        <v>1E-4</v>
      </c>
    </row>
    <row r="17" spans="1:31">
      <c r="A17" s="6" t="s">
        <v>41</v>
      </c>
      <c r="B17" s="6">
        <v>36</v>
      </c>
      <c r="C17" s="9">
        <v>4.0000000000000002E-4</v>
      </c>
      <c r="E17" s="6" t="s">
        <v>80</v>
      </c>
      <c r="F17" s="6">
        <v>3</v>
      </c>
      <c r="G17" s="30">
        <v>0</v>
      </c>
      <c r="M17" s="6" t="s">
        <v>29</v>
      </c>
      <c r="N17" s="6">
        <v>6</v>
      </c>
      <c r="O17" s="9">
        <v>2.9999999999999997E-4</v>
      </c>
      <c r="Y17" s="6" t="s">
        <v>41</v>
      </c>
      <c r="Z17" s="6">
        <v>25</v>
      </c>
      <c r="AA17" s="9">
        <v>4.0000000000000002E-4</v>
      </c>
      <c r="AC17" s="6" t="s">
        <v>80</v>
      </c>
      <c r="AD17" s="6">
        <v>2</v>
      </c>
      <c r="AE17" s="30">
        <v>0</v>
      </c>
    </row>
    <row r="18" spans="1:31">
      <c r="A18" s="6" t="s">
        <v>37</v>
      </c>
      <c r="B18" s="6">
        <v>24</v>
      </c>
      <c r="C18" s="9">
        <v>2.9999999999999997E-4</v>
      </c>
      <c r="E18" s="6" t="s">
        <v>87</v>
      </c>
      <c r="F18" s="6">
        <v>1</v>
      </c>
      <c r="G18" s="30">
        <v>0</v>
      </c>
      <c r="M18" s="6" t="s">
        <v>10</v>
      </c>
      <c r="N18" s="6">
        <v>5</v>
      </c>
      <c r="O18" s="9">
        <v>2.0000000000000001E-4</v>
      </c>
      <c r="Y18" s="6" t="s">
        <v>37</v>
      </c>
      <c r="Z18" s="6">
        <v>20</v>
      </c>
      <c r="AA18" s="9">
        <v>2.9999999999999997E-4</v>
      </c>
      <c r="AC18" s="6" t="s">
        <v>87</v>
      </c>
      <c r="AD18" s="6">
        <v>1</v>
      </c>
      <c r="AE18" s="30">
        <v>0</v>
      </c>
    </row>
    <row r="19" spans="1:31">
      <c r="A19" s="6" t="s">
        <v>20</v>
      </c>
      <c r="B19" s="6">
        <v>18</v>
      </c>
      <c r="C19" s="9">
        <v>2.0000000000000001E-4</v>
      </c>
      <c r="E19" s="6" t="s">
        <v>92</v>
      </c>
      <c r="F19" s="6">
        <v>1</v>
      </c>
      <c r="G19" s="30">
        <v>0</v>
      </c>
      <c r="M19" s="6" t="s">
        <v>21</v>
      </c>
      <c r="N19" s="6">
        <v>4</v>
      </c>
      <c r="O19" s="9">
        <v>2.0000000000000001E-4</v>
      </c>
      <c r="Y19" s="6" t="s">
        <v>31</v>
      </c>
      <c r="Z19" s="6">
        <v>16</v>
      </c>
      <c r="AA19" s="9">
        <v>2.9999999999999997E-4</v>
      </c>
      <c r="AC19" s="6" t="s">
        <v>154</v>
      </c>
      <c r="AD19" s="6">
        <v>1</v>
      </c>
      <c r="AE19" s="30">
        <v>0</v>
      </c>
    </row>
    <row r="20" spans="1:31">
      <c r="A20" s="6" t="s">
        <v>31</v>
      </c>
      <c r="B20" s="6">
        <v>19</v>
      </c>
      <c r="C20" s="9">
        <v>2.0000000000000001E-4</v>
      </c>
      <c r="E20" s="6" t="s">
        <v>154</v>
      </c>
      <c r="F20" s="6">
        <v>1</v>
      </c>
      <c r="G20" s="30">
        <v>0</v>
      </c>
      <c r="M20" s="6" t="s">
        <v>9</v>
      </c>
      <c r="N20" s="6">
        <v>4</v>
      </c>
      <c r="O20" s="9">
        <v>2.0000000000000001E-4</v>
      </c>
      <c r="Y20" s="6" t="s">
        <v>29</v>
      </c>
      <c r="Z20" s="6">
        <v>12</v>
      </c>
      <c r="AA20" s="9">
        <v>2.0000000000000001E-4</v>
      </c>
      <c r="AC20" s="6" t="s">
        <v>92</v>
      </c>
      <c r="AD20" s="6">
        <v>1</v>
      </c>
      <c r="AE20" s="30">
        <v>0</v>
      </c>
    </row>
    <row r="21" spans="1:31">
      <c r="A21" s="6" t="s">
        <v>29</v>
      </c>
      <c r="B21" s="6">
        <v>18</v>
      </c>
      <c r="C21" s="9">
        <v>2.0000000000000001E-4</v>
      </c>
      <c r="E21" s="6" t="s">
        <v>81</v>
      </c>
      <c r="F21" s="6">
        <v>3</v>
      </c>
      <c r="G21" s="30">
        <v>0</v>
      </c>
      <c r="M21" s="6" t="s">
        <v>37</v>
      </c>
      <c r="N21" s="6">
        <v>4</v>
      </c>
      <c r="O21" s="9">
        <v>2.0000000000000001E-4</v>
      </c>
      <c r="Y21" s="6" t="s">
        <v>26</v>
      </c>
      <c r="Z21" s="6">
        <v>11</v>
      </c>
      <c r="AA21" s="9">
        <v>2.0000000000000001E-4</v>
      </c>
      <c r="AC21" s="6" t="s">
        <v>89</v>
      </c>
      <c r="AD21" s="6">
        <v>1</v>
      </c>
      <c r="AE21" s="30">
        <v>0</v>
      </c>
    </row>
    <row r="22" spans="1:31">
      <c r="A22" s="6" t="s">
        <v>26</v>
      </c>
      <c r="B22" s="6">
        <v>15</v>
      </c>
      <c r="C22" s="9">
        <v>2.0000000000000001E-4</v>
      </c>
      <c r="E22" s="6" t="s">
        <v>89</v>
      </c>
      <c r="F22" s="6">
        <v>1</v>
      </c>
      <c r="G22" s="30">
        <v>0</v>
      </c>
      <c r="M22" s="6" t="s">
        <v>26</v>
      </c>
      <c r="N22" s="6">
        <v>4</v>
      </c>
      <c r="O22" s="9">
        <v>2.0000000000000001E-4</v>
      </c>
      <c r="Y22" s="6" t="s">
        <v>19</v>
      </c>
      <c r="Z22" s="6">
        <v>7</v>
      </c>
      <c r="AA22" s="9">
        <v>1E-4</v>
      </c>
      <c r="AC22" s="6" t="s">
        <v>81</v>
      </c>
      <c r="AD22" s="6">
        <v>2</v>
      </c>
      <c r="AE22" s="30">
        <v>0</v>
      </c>
    </row>
    <row r="23" spans="1:31">
      <c r="A23" s="6" t="s">
        <v>19</v>
      </c>
      <c r="B23" s="6">
        <v>8</v>
      </c>
      <c r="C23" s="9">
        <v>1E-4</v>
      </c>
      <c r="E23" s="6" t="s">
        <v>82</v>
      </c>
      <c r="F23" s="6">
        <v>1</v>
      </c>
      <c r="G23" s="30">
        <v>0</v>
      </c>
      <c r="M23" s="6" t="s">
        <v>27</v>
      </c>
      <c r="N23" s="6">
        <v>5</v>
      </c>
      <c r="O23" s="9">
        <v>2.0000000000000001E-4</v>
      </c>
      <c r="Y23" s="6" t="s">
        <v>21</v>
      </c>
      <c r="Z23" s="6">
        <v>7</v>
      </c>
      <c r="AA23" s="9">
        <v>1E-4</v>
      </c>
      <c r="AC23" s="6" t="s">
        <v>82</v>
      </c>
      <c r="AD23" s="6">
        <v>1</v>
      </c>
      <c r="AE23" s="30">
        <v>0</v>
      </c>
    </row>
    <row r="24" spans="1:31">
      <c r="A24" s="6" t="s">
        <v>18</v>
      </c>
      <c r="B24" s="6">
        <v>10</v>
      </c>
      <c r="C24" s="9">
        <v>1E-4</v>
      </c>
      <c r="E24" s="6" t="s">
        <v>85</v>
      </c>
      <c r="F24" s="6">
        <v>1</v>
      </c>
      <c r="G24" s="30">
        <v>0</v>
      </c>
      <c r="M24" s="6" t="s">
        <v>16</v>
      </c>
      <c r="N24" s="6">
        <v>2</v>
      </c>
      <c r="O24" s="9">
        <v>1E-4</v>
      </c>
      <c r="Y24" s="6" t="s">
        <v>18</v>
      </c>
      <c r="Z24" s="6">
        <v>9</v>
      </c>
      <c r="AA24" s="9">
        <v>1E-4</v>
      </c>
      <c r="AC24" s="6" t="s">
        <v>85</v>
      </c>
      <c r="AD24" s="6">
        <v>1</v>
      </c>
      <c r="AE24" s="30">
        <v>0</v>
      </c>
    </row>
    <row r="25" spans="1:31">
      <c r="A25" s="6" t="s">
        <v>21</v>
      </c>
      <c r="B25" s="6">
        <v>11</v>
      </c>
      <c r="C25" s="9">
        <v>1E-4</v>
      </c>
      <c r="E25" s="6" t="s">
        <v>84</v>
      </c>
      <c r="F25" s="6">
        <v>1</v>
      </c>
      <c r="G25" s="30">
        <v>0</v>
      </c>
      <c r="M25" s="6" t="s">
        <v>22</v>
      </c>
      <c r="N25" s="6">
        <v>3</v>
      </c>
      <c r="O25" s="9">
        <v>1E-4</v>
      </c>
      <c r="Y25" s="6" t="s">
        <v>10</v>
      </c>
      <c r="Z25" s="6">
        <v>7</v>
      </c>
      <c r="AA25" s="9">
        <v>1E-4</v>
      </c>
      <c r="AC25" s="6" t="s">
        <v>84</v>
      </c>
      <c r="AD25" s="6">
        <v>1</v>
      </c>
      <c r="AE25" s="30">
        <v>0</v>
      </c>
    </row>
    <row r="26" spans="1:31">
      <c r="A26" s="6" t="s">
        <v>10</v>
      </c>
      <c r="B26" s="6">
        <v>12</v>
      </c>
      <c r="C26" s="9">
        <v>1E-4</v>
      </c>
      <c r="E26" s="6" t="s">
        <v>86</v>
      </c>
      <c r="F26" s="6">
        <v>1</v>
      </c>
      <c r="G26" s="30">
        <v>0</v>
      </c>
      <c r="M26" s="6" t="s">
        <v>40</v>
      </c>
      <c r="N26" s="6">
        <v>2</v>
      </c>
      <c r="O26" s="9">
        <v>1E-4</v>
      </c>
      <c r="Y26" s="6" t="s">
        <v>20</v>
      </c>
      <c r="Z26" s="6">
        <v>5</v>
      </c>
      <c r="AA26" s="9">
        <v>1E-4</v>
      </c>
      <c r="AC26" s="6" t="s">
        <v>86</v>
      </c>
      <c r="AD26" s="6">
        <v>1</v>
      </c>
      <c r="AE26" s="30">
        <v>0</v>
      </c>
    </row>
    <row r="27" spans="1:31">
      <c r="A27" s="6" t="s">
        <v>22</v>
      </c>
      <c r="B27" s="6">
        <v>12</v>
      </c>
      <c r="C27" s="9">
        <v>1E-4</v>
      </c>
      <c r="M27" s="6" t="s">
        <v>8</v>
      </c>
      <c r="N27" s="6">
        <v>3</v>
      </c>
      <c r="O27" s="9">
        <v>1E-4</v>
      </c>
      <c r="Y27" s="6" t="s">
        <v>15</v>
      </c>
      <c r="Z27" s="6">
        <v>7</v>
      </c>
      <c r="AA27" s="9">
        <v>1E-4</v>
      </c>
    </row>
    <row r="28" spans="1:31">
      <c r="A28" s="6" t="s">
        <v>15</v>
      </c>
      <c r="B28" s="6">
        <v>8</v>
      </c>
      <c r="C28" s="9">
        <v>1E-4</v>
      </c>
      <c r="M28" s="6" t="s">
        <v>30</v>
      </c>
      <c r="N28" s="6">
        <v>3</v>
      </c>
      <c r="O28" s="9">
        <v>1E-4</v>
      </c>
      <c r="Y28" s="6" t="s">
        <v>22</v>
      </c>
      <c r="Z28" s="6">
        <v>9</v>
      </c>
      <c r="AA28" s="9">
        <v>1E-4</v>
      </c>
    </row>
    <row r="29" spans="1:31">
      <c r="A29" s="6" t="s">
        <v>17</v>
      </c>
      <c r="B29" s="6">
        <v>9</v>
      </c>
      <c r="C29" s="9">
        <v>1E-4</v>
      </c>
      <c r="M29" s="6" t="s">
        <v>31</v>
      </c>
      <c r="N29" s="6">
        <v>3</v>
      </c>
      <c r="O29" s="9">
        <v>1E-4</v>
      </c>
      <c r="Y29" s="6" t="s">
        <v>17</v>
      </c>
      <c r="Z29" s="6">
        <v>9</v>
      </c>
      <c r="AA29" s="9">
        <v>1E-4</v>
      </c>
    </row>
    <row r="30" spans="1:31">
      <c r="A30" s="6" t="s">
        <v>40</v>
      </c>
      <c r="B30" s="6">
        <v>8</v>
      </c>
      <c r="C30" s="9">
        <v>1E-4</v>
      </c>
      <c r="M30" s="6" t="s">
        <v>124</v>
      </c>
      <c r="N30" s="6">
        <v>2</v>
      </c>
      <c r="O30" s="9">
        <v>1E-4</v>
      </c>
      <c r="Y30" s="6" t="s">
        <v>58</v>
      </c>
      <c r="Z30" s="6">
        <v>7</v>
      </c>
      <c r="AA30" s="9">
        <v>1E-4</v>
      </c>
    </row>
    <row r="31" spans="1:31">
      <c r="A31" s="6" t="s">
        <v>24</v>
      </c>
      <c r="B31" s="6">
        <v>6</v>
      </c>
      <c r="C31" s="9">
        <v>1E-4</v>
      </c>
      <c r="M31" s="6" t="s">
        <v>68</v>
      </c>
      <c r="N31" s="6">
        <v>2</v>
      </c>
      <c r="O31" s="9">
        <v>1E-4</v>
      </c>
      <c r="Y31" s="6" t="s">
        <v>32</v>
      </c>
      <c r="Z31" s="6">
        <v>7</v>
      </c>
      <c r="AA31" s="9">
        <v>1E-4</v>
      </c>
    </row>
    <row r="32" spans="1:31">
      <c r="A32" s="6" t="s">
        <v>23</v>
      </c>
      <c r="B32" s="6">
        <v>12</v>
      </c>
      <c r="C32" s="9">
        <v>1E-4</v>
      </c>
      <c r="M32" s="6" t="s">
        <v>39</v>
      </c>
      <c r="N32" s="6">
        <v>3</v>
      </c>
      <c r="O32" s="9">
        <v>1E-4</v>
      </c>
      <c r="Y32" s="6" t="s">
        <v>40</v>
      </c>
      <c r="Z32" s="6">
        <v>6</v>
      </c>
      <c r="AA32" s="9">
        <v>1E-4</v>
      </c>
    </row>
    <row r="33" spans="1:27">
      <c r="A33" s="6" t="s">
        <v>32</v>
      </c>
      <c r="B33" s="6">
        <v>7</v>
      </c>
      <c r="C33" s="9">
        <v>1E-4</v>
      </c>
      <c r="M33" s="6" t="s">
        <v>25</v>
      </c>
      <c r="N33" s="6">
        <v>2</v>
      </c>
      <c r="O33" s="9">
        <v>1E-4</v>
      </c>
      <c r="Y33" s="6" t="s">
        <v>24</v>
      </c>
      <c r="Z33" s="6">
        <v>5</v>
      </c>
      <c r="AA33" s="9">
        <v>1E-4</v>
      </c>
    </row>
    <row r="34" spans="1:27">
      <c r="A34" s="6" t="s">
        <v>58</v>
      </c>
      <c r="B34" s="6">
        <v>7</v>
      </c>
      <c r="C34" s="9">
        <v>1E-4</v>
      </c>
      <c r="M34" s="6" t="s">
        <v>19</v>
      </c>
      <c r="N34" s="6">
        <v>1</v>
      </c>
      <c r="O34" s="30">
        <v>0</v>
      </c>
      <c r="Y34" s="6" t="s">
        <v>27</v>
      </c>
      <c r="Z34" s="6">
        <v>5</v>
      </c>
      <c r="AA34" s="9">
        <v>1E-4</v>
      </c>
    </row>
    <row r="35" spans="1:27">
      <c r="A35" s="6" t="s">
        <v>30</v>
      </c>
      <c r="B35" s="6">
        <v>6</v>
      </c>
      <c r="C35" s="9">
        <v>1E-4</v>
      </c>
      <c r="M35" s="6" t="s">
        <v>18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27</v>
      </c>
      <c r="B36" s="6">
        <v>10</v>
      </c>
      <c r="C36" s="9">
        <v>1E-4</v>
      </c>
      <c r="M36" s="6" t="s">
        <v>115</v>
      </c>
      <c r="N36" s="6">
        <v>1</v>
      </c>
      <c r="O36" s="30">
        <v>0</v>
      </c>
      <c r="Y36" s="6" t="s">
        <v>16</v>
      </c>
      <c r="Z36" s="6">
        <v>2</v>
      </c>
      <c r="AA36" s="30">
        <v>0</v>
      </c>
    </row>
    <row r="37" spans="1:27">
      <c r="A37" s="6" t="s">
        <v>39</v>
      </c>
      <c r="B37" s="6">
        <v>5</v>
      </c>
      <c r="C37" s="9">
        <v>1E-4</v>
      </c>
      <c r="M37" s="6" t="s">
        <v>48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115</v>
      </c>
      <c r="B38" s="6">
        <v>2</v>
      </c>
      <c r="C38" s="30">
        <v>0</v>
      </c>
      <c r="M38" s="6" t="s">
        <v>13</v>
      </c>
      <c r="N38" s="6">
        <v>1</v>
      </c>
      <c r="O38" s="30">
        <v>0</v>
      </c>
      <c r="Y38" s="6" t="s">
        <v>14</v>
      </c>
      <c r="Z38" s="6">
        <v>3</v>
      </c>
      <c r="AA38" s="30">
        <v>0</v>
      </c>
    </row>
    <row r="39" spans="1:27">
      <c r="A39" s="6" t="s">
        <v>16</v>
      </c>
      <c r="B39" s="6">
        <v>4</v>
      </c>
      <c r="C39" s="30">
        <v>0</v>
      </c>
      <c r="M39" s="6" t="s">
        <v>24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48</v>
      </c>
      <c r="B40" s="6">
        <v>2</v>
      </c>
      <c r="C40" s="30">
        <v>0</v>
      </c>
      <c r="M40" s="6" t="s">
        <v>36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13</v>
      </c>
      <c r="B41" s="6">
        <v>1</v>
      </c>
      <c r="C41" s="30">
        <v>0</v>
      </c>
      <c r="M41" s="6" t="s">
        <v>43</v>
      </c>
      <c r="N41" s="6">
        <v>1</v>
      </c>
      <c r="O41" s="30">
        <v>0</v>
      </c>
      <c r="Y41" s="6" t="s">
        <v>42</v>
      </c>
      <c r="Z41" s="6">
        <v>3</v>
      </c>
      <c r="AA41" s="30">
        <v>0</v>
      </c>
    </row>
    <row r="42" spans="1:27">
      <c r="A42" s="6" t="s">
        <v>36</v>
      </c>
      <c r="B42" s="6">
        <v>3</v>
      </c>
      <c r="C42" s="30">
        <v>0</v>
      </c>
      <c r="M42" s="6" t="s">
        <v>12</v>
      </c>
      <c r="N42" s="6">
        <v>1</v>
      </c>
      <c r="O42" s="30">
        <v>0</v>
      </c>
      <c r="Y42" s="6" t="s">
        <v>30</v>
      </c>
      <c r="Z42" s="6">
        <v>3</v>
      </c>
      <c r="AA42" s="30">
        <v>0</v>
      </c>
    </row>
    <row r="43" spans="1:27">
      <c r="A43" s="6" t="s">
        <v>45</v>
      </c>
      <c r="B43" s="6">
        <v>1</v>
      </c>
      <c r="C43" s="30">
        <v>0</v>
      </c>
      <c r="M43" s="6" t="s">
        <v>38</v>
      </c>
      <c r="N43" s="6">
        <v>1</v>
      </c>
      <c r="O43" s="30">
        <v>0</v>
      </c>
      <c r="Y43" s="6" t="s">
        <v>59</v>
      </c>
      <c r="Z43" s="6">
        <v>3</v>
      </c>
      <c r="AA43" s="30">
        <v>0</v>
      </c>
    </row>
    <row r="44" spans="1:27">
      <c r="A44" s="6" t="s">
        <v>14</v>
      </c>
      <c r="B44" s="6">
        <v>3</v>
      </c>
      <c r="C44" s="30">
        <v>0</v>
      </c>
      <c r="M44" s="6" t="s">
        <v>15</v>
      </c>
      <c r="N44" s="6">
        <v>1</v>
      </c>
      <c r="O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42</v>
      </c>
      <c r="B45" s="6">
        <v>4</v>
      </c>
      <c r="C45" s="30">
        <v>0</v>
      </c>
      <c r="M45" s="6" t="s">
        <v>42</v>
      </c>
      <c r="N45" s="6">
        <v>1</v>
      </c>
      <c r="O45" s="30">
        <v>0</v>
      </c>
      <c r="Y45" s="6" t="s">
        <v>60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57</v>
      </c>
      <c r="Z46" s="6">
        <v>1</v>
      </c>
      <c r="AA46" s="30">
        <v>0</v>
      </c>
    </row>
    <row r="47" spans="1:27">
      <c r="A47" s="6" t="s">
        <v>59</v>
      </c>
      <c r="B47" s="6">
        <v>3</v>
      </c>
      <c r="C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124</v>
      </c>
      <c r="B48" s="6">
        <v>2</v>
      </c>
      <c r="C48" s="30">
        <v>0</v>
      </c>
      <c r="Y48" s="6" t="s">
        <v>39</v>
      </c>
      <c r="Z48" s="6">
        <v>2</v>
      </c>
      <c r="AA48" s="30">
        <v>0</v>
      </c>
    </row>
    <row r="49" spans="1:27">
      <c r="A49" s="6" t="s">
        <v>68</v>
      </c>
      <c r="B49" s="6">
        <v>3</v>
      </c>
      <c r="C49" s="30">
        <v>0</v>
      </c>
      <c r="Y49" s="6" t="s">
        <v>68</v>
      </c>
      <c r="Z49" s="6">
        <v>1</v>
      </c>
      <c r="AA49" s="30">
        <v>0</v>
      </c>
    </row>
    <row r="50" spans="1:27">
      <c r="A50" s="6" t="s">
        <v>60</v>
      </c>
      <c r="B50" s="6">
        <v>2</v>
      </c>
      <c r="C50" s="30">
        <v>0</v>
      </c>
      <c r="Y50" s="6" t="s">
        <v>25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69</v>
      </c>
      <c r="Z51" s="6">
        <v>1</v>
      </c>
      <c r="AA51" s="30">
        <v>0</v>
      </c>
    </row>
    <row r="52" spans="1:27">
      <c r="A52" s="6" t="s">
        <v>57</v>
      </c>
      <c r="B52" s="6">
        <v>1</v>
      </c>
      <c r="C52" s="30">
        <v>0</v>
      </c>
      <c r="Y52" s="6" t="s">
        <v>64</v>
      </c>
      <c r="Z52" s="6">
        <v>1</v>
      </c>
      <c r="AA52" s="30">
        <v>0</v>
      </c>
    </row>
    <row r="53" spans="1:27">
      <c r="A53" s="6" t="s">
        <v>66</v>
      </c>
      <c r="B53" s="6">
        <v>1</v>
      </c>
      <c r="C53" s="30">
        <v>0</v>
      </c>
      <c r="Y53" s="6" t="s">
        <v>66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43</v>
      </c>
      <c r="B55" s="6">
        <v>1</v>
      </c>
      <c r="C55" s="30">
        <v>0</v>
      </c>
    </row>
    <row r="56" spans="1:27">
      <c r="A56" s="6" t="s">
        <v>64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0E606-3196-4FF5-985D-4BEDC2C0A387}">
  <sheetPr codeName="Sheet40"/>
  <dimension ref="A1:AI59"/>
  <sheetViews>
    <sheetView topLeftCell="R1" workbookViewId="0">
      <selection activeCell="U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99788</v>
      </c>
      <c r="E2" s="41" t="s">
        <v>4</v>
      </c>
      <c r="F2" s="23" t="s">
        <v>105</v>
      </c>
      <c r="G2" s="23">
        <f>G3+G4</f>
        <v>95238</v>
      </c>
      <c r="H2" s="22"/>
      <c r="I2" s="41" t="s">
        <v>6</v>
      </c>
      <c r="J2" s="23" t="s">
        <v>105</v>
      </c>
      <c r="K2" s="23">
        <f>K3+K4</f>
        <v>96609</v>
      </c>
      <c r="M2" s="41" t="s">
        <v>104</v>
      </c>
      <c r="N2" s="23" t="s">
        <v>105</v>
      </c>
      <c r="O2" s="23">
        <f>O3+O4</f>
        <v>25118</v>
      </c>
      <c r="Q2" s="41" t="s">
        <v>4</v>
      </c>
      <c r="R2" s="23" t="s">
        <v>105</v>
      </c>
      <c r="S2" s="23">
        <f>S3+S4</f>
        <v>22221</v>
      </c>
      <c r="T2" s="22"/>
      <c r="U2" s="41" t="s">
        <v>6</v>
      </c>
      <c r="V2" s="23" t="s">
        <v>105</v>
      </c>
      <c r="W2" s="23">
        <f>W3+W4</f>
        <v>23035</v>
      </c>
      <c r="Y2" s="41" t="s">
        <v>104</v>
      </c>
      <c r="Z2" s="23" t="s">
        <v>105</v>
      </c>
      <c r="AA2" s="23">
        <f>AA3+AA4</f>
        <v>74656</v>
      </c>
      <c r="AC2" s="41" t="s">
        <v>4</v>
      </c>
      <c r="AD2" s="23" t="s">
        <v>105</v>
      </c>
      <c r="AE2" s="23">
        <f>AE3+AE4</f>
        <v>73018</v>
      </c>
      <c r="AF2" s="22"/>
      <c r="AG2" s="41" t="s">
        <v>6</v>
      </c>
      <c r="AH2" s="23" t="s">
        <v>105</v>
      </c>
      <c r="AI2" s="23">
        <f>AI3+AI4</f>
        <v>73576</v>
      </c>
    </row>
    <row r="3" spans="1:35">
      <c r="A3" s="42"/>
      <c r="B3" s="24" t="s">
        <v>106</v>
      </c>
      <c r="C3" s="24">
        <f>B8</f>
        <v>98101</v>
      </c>
      <c r="E3" s="42"/>
      <c r="F3" s="24" t="s">
        <v>106</v>
      </c>
      <c r="G3" s="24">
        <f>F8</f>
        <v>94927</v>
      </c>
      <c r="H3" s="22"/>
      <c r="I3" s="42"/>
      <c r="J3" s="24" t="s">
        <v>106</v>
      </c>
      <c r="K3" s="24">
        <f>J8</f>
        <v>96540</v>
      </c>
      <c r="M3" s="42"/>
      <c r="N3" s="24" t="s">
        <v>106</v>
      </c>
      <c r="O3" s="24">
        <f>N8</f>
        <v>24811</v>
      </c>
      <c r="Q3" s="42"/>
      <c r="R3" s="24" t="s">
        <v>106</v>
      </c>
      <c r="S3" s="24">
        <f>R8</f>
        <v>22167</v>
      </c>
      <c r="T3" s="22"/>
      <c r="U3" s="42"/>
      <c r="V3" s="24" t="s">
        <v>106</v>
      </c>
      <c r="W3" s="24">
        <f>V8</f>
        <v>23017</v>
      </c>
      <c r="Y3" s="42"/>
      <c r="Z3" s="24" t="s">
        <v>106</v>
      </c>
      <c r="AA3" s="24">
        <f>Z8</f>
        <v>73290</v>
      </c>
      <c r="AC3" s="42"/>
      <c r="AD3" s="24" t="s">
        <v>106</v>
      </c>
      <c r="AE3" s="24">
        <f>AD8</f>
        <v>72760</v>
      </c>
      <c r="AF3" s="22"/>
      <c r="AG3" s="42"/>
      <c r="AH3" s="24" t="s">
        <v>106</v>
      </c>
      <c r="AI3" s="24">
        <f>AH8</f>
        <v>73523</v>
      </c>
    </row>
    <row r="4" spans="1:35">
      <c r="A4" s="42"/>
      <c r="B4" s="25" t="s">
        <v>107</v>
      </c>
      <c r="C4" s="25">
        <f>SUM(B9:B66)</f>
        <v>1687</v>
      </c>
      <c r="E4" s="42"/>
      <c r="F4" s="25" t="s">
        <v>107</v>
      </c>
      <c r="G4" s="25">
        <f>SUM(F9:F33)</f>
        <v>311</v>
      </c>
      <c r="H4" s="22"/>
      <c r="I4" s="42"/>
      <c r="J4" s="25" t="s">
        <v>107</v>
      </c>
      <c r="K4" s="25">
        <f>SUM(J9:J31)</f>
        <v>69</v>
      </c>
      <c r="M4" s="42"/>
      <c r="N4" s="25" t="s">
        <v>107</v>
      </c>
      <c r="O4" s="25">
        <f>SUM(N9:N66)</f>
        <v>307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18</v>
      </c>
      <c r="Y4" s="42"/>
      <c r="Z4" s="25" t="s">
        <v>107</v>
      </c>
      <c r="AA4" s="25">
        <f>SUM(Z9:Z45)</f>
        <v>1366</v>
      </c>
      <c r="AC4" s="42"/>
      <c r="AD4" s="25" t="s">
        <v>107</v>
      </c>
      <c r="AE4" s="25">
        <f>SUM(AD9:AD29)</f>
        <v>258</v>
      </c>
      <c r="AF4" s="22"/>
      <c r="AG4" s="42"/>
      <c r="AH4" s="25" t="s">
        <v>107</v>
      </c>
      <c r="AI4" s="25">
        <f>SUM(AH9:AH29)</f>
        <v>53</v>
      </c>
    </row>
    <row r="5" spans="1:35">
      <c r="A5" s="43"/>
      <c r="B5" s="23" t="s">
        <v>108</v>
      </c>
      <c r="C5" s="26">
        <f>SUM(C9:C179)</f>
        <v>1.6599999999999993E-2</v>
      </c>
      <c r="E5" s="43"/>
      <c r="F5" s="23" t="s">
        <v>108</v>
      </c>
      <c r="G5" s="26">
        <f>SUM(G9:G33)</f>
        <v>3.0999999999999995E-3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1.2099999999999991E-2</v>
      </c>
      <c r="Q5" s="43"/>
      <c r="R5" s="23" t="s">
        <v>108</v>
      </c>
      <c r="S5" s="26">
        <f>SUM(S9:S33)</f>
        <v>2.3999999999999998E-3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1.7999999999999999E-2</v>
      </c>
      <c r="AC5" s="43"/>
      <c r="AD5" s="23" t="s">
        <v>108</v>
      </c>
      <c r="AE5" s="26">
        <f>SUM(AE9:AE29)</f>
        <v>3.599999999999999E-3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98101</v>
      </c>
      <c r="C8" s="9">
        <v>0.98309999999999997</v>
      </c>
      <c r="E8" s="6" t="s">
        <v>112</v>
      </c>
      <c r="F8" s="29">
        <v>94927</v>
      </c>
      <c r="G8" s="9">
        <v>0.99670000000000003</v>
      </c>
      <c r="I8" s="6" t="s">
        <v>112</v>
      </c>
      <c r="J8" s="29">
        <v>96540</v>
      </c>
      <c r="K8" s="9">
        <v>0.99929999999999997</v>
      </c>
      <c r="M8" s="6" t="s">
        <v>112</v>
      </c>
      <c r="N8" s="29">
        <v>24811</v>
      </c>
      <c r="O8" s="9">
        <v>0.98780000000000001</v>
      </c>
      <c r="Q8" s="6" t="s">
        <v>112</v>
      </c>
      <c r="R8" s="29">
        <v>22167</v>
      </c>
      <c r="S8" s="9">
        <v>0.99760000000000004</v>
      </c>
      <c r="U8" s="6" t="s">
        <v>112</v>
      </c>
      <c r="V8" s="29">
        <v>23017</v>
      </c>
      <c r="W8" s="9">
        <v>0.99919999999999998</v>
      </c>
      <c r="Y8" s="6" t="s">
        <v>112</v>
      </c>
      <c r="Z8" s="29">
        <v>73290</v>
      </c>
      <c r="AA8" s="9">
        <v>0.98150000000000004</v>
      </c>
      <c r="AC8" s="6" t="s">
        <v>112</v>
      </c>
      <c r="AD8" s="29">
        <v>72760</v>
      </c>
      <c r="AE8" s="9">
        <v>0.99650000000000005</v>
      </c>
      <c r="AG8" s="6" t="s">
        <v>112</v>
      </c>
      <c r="AH8" s="29">
        <v>73523</v>
      </c>
      <c r="AI8" s="9">
        <v>0.99929999999999997</v>
      </c>
    </row>
    <row r="9" spans="1:35">
      <c r="A9" s="6" t="s">
        <v>9</v>
      </c>
      <c r="B9" s="6">
        <v>400</v>
      </c>
      <c r="C9" s="9">
        <v>4.0000000000000001E-3</v>
      </c>
      <c r="E9" s="6" t="s">
        <v>122</v>
      </c>
      <c r="F9" s="6">
        <v>192</v>
      </c>
      <c r="G9" s="9">
        <v>2E-3</v>
      </c>
      <c r="I9" s="6" t="s">
        <v>2</v>
      </c>
      <c r="J9" s="6">
        <v>25</v>
      </c>
      <c r="K9" s="9">
        <v>2.9999999999999997E-4</v>
      </c>
      <c r="M9" s="6" t="s">
        <v>2</v>
      </c>
      <c r="N9" s="6">
        <v>74</v>
      </c>
      <c r="O9" s="9">
        <v>2.8999999999999998E-3</v>
      </c>
      <c r="Q9" s="6" t="s">
        <v>122</v>
      </c>
      <c r="R9" s="6">
        <v>42</v>
      </c>
      <c r="S9" s="9">
        <v>1.9E-3</v>
      </c>
      <c r="U9" s="6" t="s">
        <v>2</v>
      </c>
      <c r="V9" s="6">
        <v>6</v>
      </c>
      <c r="W9" s="9">
        <v>2.9999999999999997E-4</v>
      </c>
      <c r="Y9" s="6" t="s">
        <v>9</v>
      </c>
      <c r="Z9" s="6">
        <v>391</v>
      </c>
      <c r="AA9" s="9">
        <v>5.1999999999999998E-3</v>
      </c>
      <c r="AC9" s="6" t="s">
        <v>122</v>
      </c>
      <c r="AD9" s="6">
        <v>150</v>
      </c>
      <c r="AE9" s="9">
        <v>2.0999999999999999E-3</v>
      </c>
      <c r="AG9" s="6" t="s">
        <v>2</v>
      </c>
      <c r="AH9" s="6">
        <v>19</v>
      </c>
      <c r="AI9" s="9">
        <v>2.9999999999999997E-4</v>
      </c>
    </row>
    <row r="10" spans="1:35">
      <c r="A10" s="6" t="s">
        <v>2</v>
      </c>
      <c r="B10" s="6">
        <v>324</v>
      </c>
      <c r="C10" s="9">
        <v>3.2000000000000002E-3</v>
      </c>
      <c r="E10" s="6" t="s">
        <v>83</v>
      </c>
      <c r="F10" s="6">
        <v>41</v>
      </c>
      <c r="G10" s="9">
        <v>4.0000000000000002E-4</v>
      </c>
      <c r="I10" s="6" t="s">
        <v>102</v>
      </c>
      <c r="J10" s="6">
        <v>8</v>
      </c>
      <c r="K10" s="9">
        <v>1E-4</v>
      </c>
      <c r="M10" s="6" t="s">
        <v>3</v>
      </c>
      <c r="N10" s="6">
        <v>49</v>
      </c>
      <c r="O10" s="9">
        <v>2E-3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4</v>
      </c>
      <c r="W10" s="9">
        <v>2.0000000000000001E-4</v>
      </c>
      <c r="Y10" s="6" t="s">
        <v>2</v>
      </c>
      <c r="Z10" s="6">
        <v>250</v>
      </c>
      <c r="AA10" s="9">
        <v>3.3E-3</v>
      </c>
      <c r="AC10" s="6" t="s">
        <v>83</v>
      </c>
      <c r="AD10" s="6">
        <v>41</v>
      </c>
      <c r="AE10" s="9">
        <v>5.9999999999999995E-4</v>
      </c>
      <c r="AG10" s="6" t="s">
        <v>102</v>
      </c>
      <c r="AH10" s="6">
        <v>7</v>
      </c>
      <c r="AI10" s="9">
        <v>1E-4</v>
      </c>
    </row>
    <row r="11" spans="1:35">
      <c r="A11" s="6" t="s">
        <v>3</v>
      </c>
      <c r="B11" s="6">
        <v>203</v>
      </c>
      <c r="C11" s="9">
        <v>2E-3</v>
      </c>
      <c r="E11" s="6" t="s">
        <v>79</v>
      </c>
      <c r="F11" s="6">
        <v>21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49</v>
      </c>
      <c r="N11" s="6">
        <v>19</v>
      </c>
      <c r="O11" s="9">
        <v>8.0000000000000004E-4</v>
      </c>
      <c r="Q11" s="6" t="s">
        <v>77</v>
      </c>
      <c r="R11" s="6">
        <v>4</v>
      </c>
      <c r="S11" s="9">
        <v>2.0000000000000001E-4</v>
      </c>
      <c r="U11" s="6" t="s">
        <v>117</v>
      </c>
      <c r="V11" s="6">
        <v>3</v>
      </c>
      <c r="W11" s="9">
        <v>1E-4</v>
      </c>
      <c r="Y11" s="6" t="s">
        <v>3</v>
      </c>
      <c r="Z11" s="6">
        <v>154</v>
      </c>
      <c r="AA11" s="9">
        <v>2.0999999999999999E-3</v>
      </c>
      <c r="AC11" s="6" t="s">
        <v>79</v>
      </c>
      <c r="AD11" s="6">
        <v>19</v>
      </c>
      <c r="AE11" s="9">
        <v>2.9999999999999997E-4</v>
      </c>
      <c r="AG11" s="6" t="s">
        <v>98</v>
      </c>
      <c r="AH11" s="6">
        <v>8</v>
      </c>
      <c r="AI11" s="9">
        <v>1E-4</v>
      </c>
    </row>
    <row r="12" spans="1:35">
      <c r="A12" s="6" t="s">
        <v>8</v>
      </c>
      <c r="B12" s="6">
        <v>146</v>
      </c>
      <c r="C12" s="9">
        <v>1.5E-3</v>
      </c>
      <c r="E12" s="6" t="s">
        <v>76</v>
      </c>
      <c r="F12" s="6">
        <v>8</v>
      </c>
      <c r="G12" s="9">
        <v>1E-4</v>
      </c>
      <c r="I12" s="6" t="s">
        <v>99</v>
      </c>
      <c r="J12" s="6">
        <v>12</v>
      </c>
      <c r="K12" s="9">
        <v>1E-4</v>
      </c>
      <c r="M12" s="6" t="s">
        <v>31</v>
      </c>
      <c r="N12" s="6">
        <v>17</v>
      </c>
      <c r="O12" s="9">
        <v>6.9999999999999999E-4</v>
      </c>
      <c r="Q12" s="6" t="s">
        <v>79</v>
      </c>
      <c r="R12" s="6">
        <v>2</v>
      </c>
      <c r="S12" s="9">
        <v>1E-4</v>
      </c>
      <c r="U12" s="6" t="s">
        <v>113</v>
      </c>
      <c r="V12" s="6">
        <v>2</v>
      </c>
      <c r="W12" s="9">
        <v>1E-4</v>
      </c>
      <c r="Y12" s="6" t="s">
        <v>8</v>
      </c>
      <c r="Z12" s="6">
        <v>142</v>
      </c>
      <c r="AA12" s="9">
        <v>1.9E-3</v>
      </c>
      <c r="AC12" s="6" t="s">
        <v>74</v>
      </c>
      <c r="AD12" s="6">
        <v>12</v>
      </c>
      <c r="AE12" s="9">
        <v>2.0000000000000001E-4</v>
      </c>
      <c r="AG12" s="6" t="s">
        <v>99</v>
      </c>
      <c r="AH12" s="6">
        <v>11</v>
      </c>
      <c r="AI12" s="9">
        <v>1E-4</v>
      </c>
    </row>
    <row r="13" spans="1:35">
      <c r="A13" s="6" t="s">
        <v>11</v>
      </c>
      <c r="B13" s="6">
        <v>65</v>
      </c>
      <c r="C13" s="9">
        <v>6.9999999999999999E-4</v>
      </c>
      <c r="E13" s="6" t="s">
        <v>77</v>
      </c>
      <c r="F13" s="6">
        <v>10</v>
      </c>
      <c r="G13" s="9">
        <v>1E-4</v>
      </c>
      <c r="I13" s="6" t="s">
        <v>113</v>
      </c>
      <c r="J13" s="6">
        <v>8</v>
      </c>
      <c r="K13" s="9">
        <v>1E-4</v>
      </c>
      <c r="M13" s="6" t="s">
        <v>22</v>
      </c>
      <c r="N13" s="6">
        <v>16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5</v>
      </c>
      <c r="Z13" s="6">
        <v>58</v>
      </c>
      <c r="AA13" s="9">
        <v>8.0000000000000004E-4</v>
      </c>
      <c r="AC13" s="6" t="s">
        <v>76</v>
      </c>
      <c r="AD13" s="6">
        <v>4</v>
      </c>
      <c r="AE13" s="9">
        <v>1E-4</v>
      </c>
      <c r="AG13" s="6" t="s">
        <v>113</v>
      </c>
      <c r="AH13" s="6">
        <v>6</v>
      </c>
      <c r="AI13" s="9">
        <v>1E-4</v>
      </c>
    </row>
    <row r="14" spans="1:35">
      <c r="A14" s="6" t="s">
        <v>5</v>
      </c>
      <c r="B14" s="6">
        <v>61</v>
      </c>
      <c r="C14" s="9">
        <v>5.9999999999999995E-4</v>
      </c>
      <c r="E14" s="6" t="s">
        <v>74</v>
      </c>
      <c r="F14" s="6">
        <v>13</v>
      </c>
      <c r="G14" s="9">
        <v>1E-4</v>
      </c>
      <c r="I14" s="6" t="s">
        <v>117</v>
      </c>
      <c r="J14" s="6">
        <v>2</v>
      </c>
      <c r="K14" s="30">
        <v>0</v>
      </c>
      <c r="M14" s="6" t="s">
        <v>11</v>
      </c>
      <c r="N14" s="6">
        <v>15</v>
      </c>
      <c r="O14" s="9">
        <v>5.9999999999999995E-4</v>
      </c>
      <c r="Q14" s="6" t="s">
        <v>74</v>
      </c>
      <c r="R14" s="6">
        <v>1</v>
      </c>
      <c r="S14" s="30">
        <v>0</v>
      </c>
      <c r="U14" s="6" t="s">
        <v>99</v>
      </c>
      <c r="V14" s="6">
        <v>1</v>
      </c>
      <c r="W14" s="30">
        <v>0</v>
      </c>
      <c r="Y14" s="6" t="s">
        <v>11</v>
      </c>
      <c r="Z14" s="6">
        <v>50</v>
      </c>
      <c r="AA14" s="9">
        <v>6.9999999999999999E-4</v>
      </c>
      <c r="AC14" s="6" t="s">
        <v>77</v>
      </c>
      <c r="AD14" s="6">
        <v>6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41</v>
      </c>
      <c r="B15" s="6">
        <v>48</v>
      </c>
      <c r="C15" s="9">
        <v>5.0000000000000001E-4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7</v>
      </c>
      <c r="N15" s="6">
        <v>16</v>
      </c>
      <c r="O15" s="9">
        <v>5.9999999999999995E-4</v>
      </c>
      <c r="U15" s="6" t="s">
        <v>123</v>
      </c>
      <c r="V15" s="6">
        <v>1</v>
      </c>
      <c r="W15" s="30">
        <v>0</v>
      </c>
      <c r="Y15" s="6" t="s">
        <v>12</v>
      </c>
      <c r="Z15" s="6">
        <v>40</v>
      </c>
      <c r="AA15" s="9">
        <v>5.0000000000000001E-4</v>
      </c>
      <c r="AC15" s="6" t="s">
        <v>75</v>
      </c>
      <c r="AD15" s="6">
        <v>8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7</v>
      </c>
      <c r="B16" s="6">
        <v>53</v>
      </c>
      <c r="C16" s="9">
        <v>5.0000000000000001E-4</v>
      </c>
      <c r="E16" s="6" t="s">
        <v>78</v>
      </c>
      <c r="F16" s="6">
        <v>7</v>
      </c>
      <c r="G16" s="9">
        <v>1E-4</v>
      </c>
      <c r="I16" s="6" t="s">
        <v>103</v>
      </c>
      <c r="J16" s="6">
        <v>1</v>
      </c>
      <c r="K16" s="30">
        <v>0</v>
      </c>
      <c r="M16" s="6" t="s">
        <v>9</v>
      </c>
      <c r="N16" s="6">
        <v>9</v>
      </c>
      <c r="O16" s="9">
        <v>4.0000000000000002E-4</v>
      </c>
      <c r="Y16" s="6" t="s">
        <v>41</v>
      </c>
      <c r="Z16" s="6">
        <v>37</v>
      </c>
      <c r="AA16" s="9">
        <v>5.0000000000000001E-4</v>
      </c>
      <c r="AC16" s="6" t="s">
        <v>78</v>
      </c>
      <c r="AD16" s="6">
        <v>7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37</v>
      </c>
      <c r="N17" s="6">
        <v>9</v>
      </c>
      <c r="O17" s="9">
        <v>4.0000000000000002E-4</v>
      </c>
      <c r="Y17" s="6" t="s">
        <v>7</v>
      </c>
      <c r="Z17" s="6">
        <v>37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31</v>
      </c>
      <c r="B18" s="6">
        <v>37</v>
      </c>
      <c r="C18" s="9">
        <v>4.0000000000000002E-4</v>
      </c>
      <c r="E18" s="6" t="s">
        <v>116</v>
      </c>
      <c r="F18" s="6">
        <v>2</v>
      </c>
      <c r="G18" s="30">
        <v>0</v>
      </c>
      <c r="M18" s="6" t="s">
        <v>26</v>
      </c>
      <c r="N18" s="6">
        <v>11</v>
      </c>
      <c r="O18" s="9">
        <v>4.0000000000000002E-4</v>
      </c>
      <c r="Y18" s="6" t="s">
        <v>21</v>
      </c>
      <c r="Z18" s="6">
        <v>24</v>
      </c>
      <c r="AA18" s="9">
        <v>2.9999999999999997E-4</v>
      </c>
      <c r="AC18" s="6" t="s">
        <v>116</v>
      </c>
      <c r="AD18" s="6">
        <v>2</v>
      </c>
      <c r="AE18" s="30">
        <v>0</v>
      </c>
    </row>
    <row r="19" spans="1:31">
      <c r="A19" s="6" t="s">
        <v>21</v>
      </c>
      <c r="B19" s="6">
        <v>27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41</v>
      </c>
      <c r="N19" s="6">
        <v>11</v>
      </c>
      <c r="O19" s="9">
        <v>4.0000000000000002E-4</v>
      </c>
      <c r="Y19" s="6" t="s">
        <v>37</v>
      </c>
      <c r="Z19" s="6">
        <v>21</v>
      </c>
      <c r="AA19" s="9">
        <v>2.9999999999999997E-4</v>
      </c>
      <c r="AC19" s="6" t="s">
        <v>89</v>
      </c>
      <c r="AD19" s="6">
        <v>2</v>
      </c>
      <c r="AE19" s="30">
        <v>0</v>
      </c>
    </row>
    <row r="20" spans="1:31">
      <c r="A20" s="6" t="s">
        <v>37</v>
      </c>
      <c r="B20" s="6">
        <v>30</v>
      </c>
      <c r="C20" s="9">
        <v>2.9999999999999997E-4</v>
      </c>
      <c r="E20" s="6" t="s">
        <v>89</v>
      </c>
      <c r="F20" s="6">
        <v>2</v>
      </c>
      <c r="G20" s="30">
        <v>0</v>
      </c>
      <c r="M20" s="6" t="s">
        <v>29</v>
      </c>
      <c r="N20" s="6">
        <v>8</v>
      </c>
      <c r="O20" s="9">
        <v>2.9999999999999997E-4</v>
      </c>
      <c r="Y20" s="6" t="s">
        <v>29</v>
      </c>
      <c r="Z20" s="6">
        <v>26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29</v>
      </c>
      <c r="B21" s="6">
        <v>34</v>
      </c>
      <c r="C21" s="9">
        <v>2.9999999999999997E-4</v>
      </c>
      <c r="E21" s="6" t="s">
        <v>95</v>
      </c>
      <c r="F21" s="6">
        <v>2</v>
      </c>
      <c r="G21" s="30">
        <v>0</v>
      </c>
      <c r="M21" s="6" t="s">
        <v>65</v>
      </c>
      <c r="N21" s="6">
        <v>5</v>
      </c>
      <c r="O21" s="9">
        <v>2.0000000000000001E-4</v>
      </c>
      <c r="Y21" s="6" t="s">
        <v>31</v>
      </c>
      <c r="Z21" s="6">
        <v>20</v>
      </c>
      <c r="AA21" s="9">
        <v>2.9999999999999997E-4</v>
      </c>
      <c r="AC21" s="6" t="s">
        <v>95</v>
      </c>
      <c r="AD21" s="6">
        <v>2</v>
      </c>
      <c r="AE21" s="30">
        <v>0</v>
      </c>
    </row>
    <row r="22" spans="1:31">
      <c r="A22" s="6" t="s">
        <v>26</v>
      </c>
      <c r="B22" s="6">
        <v>29</v>
      </c>
      <c r="C22" s="9">
        <v>2.9999999999999997E-4</v>
      </c>
      <c r="E22" s="6" t="s">
        <v>84</v>
      </c>
      <c r="F22" s="6">
        <v>1</v>
      </c>
      <c r="G22" s="30">
        <v>0</v>
      </c>
      <c r="M22" s="6" t="s">
        <v>18</v>
      </c>
      <c r="N22" s="6">
        <v>5</v>
      </c>
      <c r="O22" s="9">
        <v>2.0000000000000001E-4</v>
      </c>
      <c r="Y22" s="6" t="s">
        <v>18</v>
      </c>
      <c r="Z22" s="6">
        <v>13</v>
      </c>
      <c r="AA22" s="9">
        <v>2.0000000000000001E-4</v>
      </c>
      <c r="AC22" s="6" t="s">
        <v>84</v>
      </c>
      <c r="AD22" s="6">
        <v>1</v>
      </c>
      <c r="AE22" s="30">
        <v>0</v>
      </c>
    </row>
    <row r="23" spans="1:31">
      <c r="A23" s="6" t="s">
        <v>18</v>
      </c>
      <c r="B23" s="6">
        <v>18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8</v>
      </c>
      <c r="N23" s="6">
        <v>4</v>
      </c>
      <c r="O23" s="9">
        <v>2.0000000000000001E-4</v>
      </c>
      <c r="Y23" s="6" t="s">
        <v>26</v>
      </c>
      <c r="Z23" s="6">
        <v>18</v>
      </c>
      <c r="AA23" s="9">
        <v>2.0000000000000001E-4</v>
      </c>
      <c r="AC23" s="6" t="s">
        <v>86</v>
      </c>
      <c r="AD23" s="6">
        <v>1</v>
      </c>
      <c r="AE23" s="30">
        <v>0</v>
      </c>
    </row>
    <row r="24" spans="1:31">
      <c r="A24" s="6" t="s">
        <v>22</v>
      </c>
      <c r="B24" s="6">
        <v>18</v>
      </c>
      <c r="C24" s="9">
        <v>2.0000000000000001E-4</v>
      </c>
      <c r="M24" s="6" t="s">
        <v>19</v>
      </c>
      <c r="N24" s="6">
        <v>2</v>
      </c>
      <c r="O24" s="9">
        <v>1E-4</v>
      </c>
      <c r="Y24" s="6" t="s">
        <v>10</v>
      </c>
      <c r="Z24" s="6">
        <v>12</v>
      </c>
      <c r="AA24" s="9">
        <v>2.0000000000000001E-4</v>
      </c>
    </row>
    <row r="25" spans="1:31">
      <c r="A25" s="6" t="s">
        <v>49</v>
      </c>
      <c r="B25" s="6">
        <v>19</v>
      </c>
      <c r="C25" s="9">
        <v>2.0000000000000001E-4</v>
      </c>
      <c r="M25" s="6" t="s">
        <v>5</v>
      </c>
      <c r="N25" s="6">
        <v>3</v>
      </c>
      <c r="O25" s="9">
        <v>1E-4</v>
      </c>
      <c r="Y25" s="6" t="s">
        <v>65</v>
      </c>
      <c r="Z25" s="6">
        <v>8</v>
      </c>
      <c r="AA25" s="9">
        <v>1E-4</v>
      </c>
    </row>
    <row r="26" spans="1:31">
      <c r="A26" s="6" t="s">
        <v>10</v>
      </c>
      <c r="B26" s="6">
        <v>15</v>
      </c>
      <c r="C26" s="9">
        <v>2.0000000000000001E-4</v>
      </c>
      <c r="M26" s="6" t="s">
        <v>21</v>
      </c>
      <c r="N26" s="6">
        <v>3</v>
      </c>
      <c r="O26" s="9">
        <v>1E-4</v>
      </c>
      <c r="Y26" s="6" t="s">
        <v>14</v>
      </c>
      <c r="Z26" s="6">
        <v>11</v>
      </c>
      <c r="AA26" s="9">
        <v>1E-4</v>
      </c>
    </row>
    <row r="27" spans="1:31">
      <c r="A27" s="6" t="s">
        <v>65</v>
      </c>
      <c r="B27" s="6">
        <v>13</v>
      </c>
      <c r="C27" s="9">
        <v>1E-4</v>
      </c>
      <c r="M27" s="6" t="s">
        <v>10</v>
      </c>
      <c r="N27" s="6">
        <v>3</v>
      </c>
      <c r="O27" s="9">
        <v>1E-4</v>
      </c>
      <c r="Y27" s="6" t="s">
        <v>17</v>
      </c>
      <c r="Z27" s="6">
        <v>10</v>
      </c>
      <c r="AA27" s="9">
        <v>1E-4</v>
      </c>
    </row>
    <row r="28" spans="1:31">
      <c r="A28" s="6" t="s">
        <v>14</v>
      </c>
      <c r="B28" s="6">
        <v>11</v>
      </c>
      <c r="C28" s="9">
        <v>1E-4</v>
      </c>
      <c r="M28" s="6" t="s">
        <v>17</v>
      </c>
      <c r="N28" s="6">
        <v>3</v>
      </c>
      <c r="O28" s="9">
        <v>1E-4</v>
      </c>
      <c r="Y28" s="6" t="s">
        <v>40</v>
      </c>
      <c r="Z28" s="6">
        <v>5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30</v>
      </c>
      <c r="N29" s="6">
        <v>2</v>
      </c>
      <c r="O29" s="9">
        <v>1E-4</v>
      </c>
      <c r="Y29" s="6" t="s">
        <v>58</v>
      </c>
      <c r="Z29" s="6">
        <v>5</v>
      </c>
      <c r="AA29" s="9">
        <v>1E-4</v>
      </c>
    </row>
    <row r="30" spans="1:31">
      <c r="A30" s="6" t="s">
        <v>40</v>
      </c>
      <c r="B30" s="6">
        <v>7</v>
      </c>
      <c r="C30" s="9">
        <v>1E-4</v>
      </c>
      <c r="M30" s="6" t="s">
        <v>15</v>
      </c>
      <c r="N30" s="6">
        <v>2</v>
      </c>
      <c r="O30" s="9">
        <v>1E-4</v>
      </c>
      <c r="Y30" s="6" t="s">
        <v>30</v>
      </c>
      <c r="Z30" s="6">
        <v>4</v>
      </c>
      <c r="AA30" s="9">
        <v>1E-4</v>
      </c>
    </row>
    <row r="31" spans="1:31">
      <c r="A31" s="6" t="s">
        <v>58</v>
      </c>
      <c r="B31" s="6">
        <v>7</v>
      </c>
      <c r="C31" s="9">
        <v>1E-4</v>
      </c>
      <c r="M31" s="6" t="s">
        <v>12</v>
      </c>
      <c r="N31" s="6">
        <v>2</v>
      </c>
      <c r="O31" s="9">
        <v>1E-4</v>
      </c>
      <c r="Y31" s="6" t="s">
        <v>32</v>
      </c>
      <c r="Z31" s="6">
        <v>4</v>
      </c>
      <c r="AA31" s="9">
        <v>1E-4</v>
      </c>
    </row>
    <row r="32" spans="1:31">
      <c r="A32" s="6" t="s">
        <v>15</v>
      </c>
      <c r="B32" s="6">
        <v>5</v>
      </c>
      <c r="C32" s="9">
        <v>1E-4</v>
      </c>
      <c r="M32" s="6" t="s">
        <v>24</v>
      </c>
      <c r="N32" s="6">
        <v>2</v>
      </c>
      <c r="O32" s="9">
        <v>1E-4</v>
      </c>
      <c r="Y32" s="6" t="s">
        <v>19</v>
      </c>
      <c r="Z32" s="6">
        <v>1</v>
      </c>
      <c r="AA32" s="30">
        <v>0</v>
      </c>
    </row>
    <row r="33" spans="1:27">
      <c r="A33" s="6" t="s">
        <v>30</v>
      </c>
      <c r="B33" s="6">
        <v>6</v>
      </c>
      <c r="C33" s="9">
        <v>1E-4</v>
      </c>
      <c r="M33" s="6" t="s">
        <v>25</v>
      </c>
      <c r="N33" s="6">
        <v>2</v>
      </c>
      <c r="O33" s="9">
        <v>1E-4</v>
      </c>
      <c r="Y33" s="6" t="s">
        <v>48</v>
      </c>
      <c r="Z33" s="6">
        <v>1</v>
      </c>
      <c r="AA33" s="30">
        <v>0</v>
      </c>
    </row>
    <row r="34" spans="1:27">
      <c r="A34" s="6" t="s">
        <v>39</v>
      </c>
      <c r="B34" s="6">
        <v>5</v>
      </c>
      <c r="C34" s="9">
        <v>1E-4</v>
      </c>
      <c r="M34" s="6" t="s">
        <v>58</v>
      </c>
      <c r="N34" s="6">
        <v>2</v>
      </c>
      <c r="O34" s="9">
        <v>1E-4</v>
      </c>
      <c r="Y34" s="6" t="s">
        <v>115</v>
      </c>
      <c r="Z34" s="6">
        <v>1</v>
      </c>
      <c r="AA34" s="30">
        <v>0</v>
      </c>
    </row>
    <row r="35" spans="1:27">
      <c r="A35" s="6" t="s">
        <v>19</v>
      </c>
      <c r="B35" s="6">
        <v>3</v>
      </c>
      <c r="C35" s="30">
        <v>0</v>
      </c>
      <c r="M35" s="6" t="s">
        <v>40</v>
      </c>
      <c r="N35" s="6">
        <v>2</v>
      </c>
      <c r="O35" s="9">
        <v>1E-4</v>
      </c>
      <c r="Y35" s="6" t="s">
        <v>20</v>
      </c>
      <c r="Z35" s="6">
        <v>2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27</v>
      </c>
      <c r="N36" s="6">
        <v>2</v>
      </c>
      <c r="O36" s="9">
        <v>1E-4</v>
      </c>
      <c r="Y36" s="6" t="s">
        <v>34</v>
      </c>
      <c r="Z36" s="6">
        <v>3</v>
      </c>
      <c r="AA36" s="30">
        <v>0</v>
      </c>
    </row>
    <row r="37" spans="1:27">
      <c r="A37" s="6" t="s">
        <v>48</v>
      </c>
      <c r="B37" s="6">
        <v>1</v>
      </c>
      <c r="C37" s="30">
        <v>0</v>
      </c>
      <c r="M37" s="6" t="s">
        <v>39</v>
      </c>
      <c r="N37" s="6">
        <v>2</v>
      </c>
      <c r="O37" s="9">
        <v>1E-4</v>
      </c>
      <c r="Y37" s="6" t="s">
        <v>13</v>
      </c>
      <c r="Z37" s="6">
        <v>1</v>
      </c>
      <c r="AA37" s="30">
        <v>0</v>
      </c>
    </row>
    <row r="38" spans="1:27">
      <c r="A38" s="6" t="s">
        <v>20</v>
      </c>
      <c r="B38" s="6">
        <v>3</v>
      </c>
      <c r="C38" s="30">
        <v>0</v>
      </c>
      <c r="M38" s="6" t="s">
        <v>67</v>
      </c>
      <c r="N38" s="6">
        <v>1</v>
      </c>
      <c r="O38" s="30">
        <v>0</v>
      </c>
      <c r="Y38" s="6" t="s">
        <v>16</v>
      </c>
      <c r="Z38" s="6">
        <v>2</v>
      </c>
      <c r="AA38" s="30">
        <v>0</v>
      </c>
    </row>
    <row r="39" spans="1:27">
      <c r="A39" s="6" t="s">
        <v>34</v>
      </c>
      <c r="B39" s="6">
        <v>3</v>
      </c>
      <c r="C39" s="30">
        <v>0</v>
      </c>
      <c r="M39" s="6" t="s">
        <v>20</v>
      </c>
      <c r="N39" s="6">
        <v>1</v>
      </c>
      <c r="O39" s="30">
        <v>0</v>
      </c>
      <c r="Y39" s="6" t="s">
        <v>45</v>
      </c>
      <c r="Z39" s="6">
        <v>3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60</v>
      </c>
      <c r="N40" s="6">
        <v>1</v>
      </c>
      <c r="O40" s="30">
        <v>0</v>
      </c>
      <c r="Y40" s="6" t="s">
        <v>47</v>
      </c>
      <c r="Z40" s="6">
        <v>1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38</v>
      </c>
      <c r="N41" s="6">
        <v>1</v>
      </c>
      <c r="O41" s="30">
        <v>0</v>
      </c>
      <c r="Y41" s="6" t="s">
        <v>15</v>
      </c>
      <c r="Z41" s="6">
        <v>3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64</v>
      </c>
      <c r="N42" s="6">
        <v>1</v>
      </c>
      <c r="O42" s="30">
        <v>0</v>
      </c>
      <c r="Y42" s="6" t="s">
        <v>160</v>
      </c>
      <c r="Z42" s="6">
        <v>1</v>
      </c>
      <c r="AA42" s="30">
        <v>0</v>
      </c>
    </row>
    <row r="43" spans="1:27">
      <c r="A43" s="6" t="s">
        <v>16</v>
      </c>
      <c r="B43" s="6">
        <v>2</v>
      </c>
      <c r="C43" s="30">
        <v>0</v>
      </c>
      <c r="M43" s="6" t="s">
        <v>57</v>
      </c>
      <c r="N43" s="6">
        <v>1</v>
      </c>
      <c r="O43" s="30">
        <v>0</v>
      </c>
      <c r="Y43" s="6" t="s">
        <v>39</v>
      </c>
      <c r="Z43" s="6">
        <v>3</v>
      </c>
      <c r="AA43" s="30">
        <v>0</v>
      </c>
    </row>
    <row r="44" spans="1:27">
      <c r="A44" s="6" t="s">
        <v>47</v>
      </c>
      <c r="B44" s="6">
        <v>1</v>
      </c>
      <c r="C44" s="30">
        <v>0</v>
      </c>
      <c r="M44" s="6" t="s">
        <v>69</v>
      </c>
      <c r="N44" s="6">
        <v>1</v>
      </c>
      <c r="O44" s="30">
        <v>0</v>
      </c>
      <c r="Y44" s="6" t="s">
        <v>33</v>
      </c>
      <c r="Z44" s="6">
        <v>2</v>
      </c>
      <c r="AA44" s="30">
        <v>0</v>
      </c>
    </row>
    <row r="45" spans="1:27">
      <c r="A45" s="6" t="s">
        <v>160</v>
      </c>
      <c r="B45" s="6">
        <v>1</v>
      </c>
      <c r="C45" s="30">
        <v>0</v>
      </c>
      <c r="Y45" s="6" t="s">
        <v>22</v>
      </c>
      <c r="Z45" s="6">
        <v>2</v>
      </c>
      <c r="AA45" s="30">
        <v>0</v>
      </c>
    </row>
    <row r="46" spans="1:27">
      <c r="A46" s="6" t="s">
        <v>24</v>
      </c>
      <c r="B46" s="6">
        <v>3</v>
      </c>
      <c r="C46" s="30">
        <v>0</v>
      </c>
      <c r="Y46" s="6" t="s">
        <v>24</v>
      </c>
      <c r="Z46" s="6">
        <v>1</v>
      </c>
      <c r="AA46" s="30">
        <v>0</v>
      </c>
    </row>
    <row r="47" spans="1:27">
      <c r="A47" s="6" t="s">
        <v>32</v>
      </c>
      <c r="B47" s="6">
        <v>4</v>
      </c>
      <c r="C47" s="30">
        <v>0</v>
      </c>
      <c r="Y47" s="6" t="s">
        <v>148</v>
      </c>
      <c r="Z47" s="6">
        <v>1</v>
      </c>
      <c r="AA47" s="30">
        <v>0</v>
      </c>
    </row>
    <row r="48" spans="1:27">
      <c r="A48" s="6" t="s">
        <v>25</v>
      </c>
      <c r="B48" s="6">
        <v>4</v>
      </c>
      <c r="C48" s="30">
        <v>0</v>
      </c>
      <c r="Y48" s="6" t="s">
        <v>27</v>
      </c>
      <c r="Z48" s="6">
        <v>2</v>
      </c>
      <c r="AA48" s="30">
        <v>0</v>
      </c>
    </row>
    <row r="49" spans="1:27">
      <c r="A49" s="6" t="s">
        <v>27</v>
      </c>
      <c r="B49" s="6">
        <v>4</v>
      </c>
      <c r="C49" s="30">
        <v>0</v>
      </c>
      <c r="Y49" s="6" t="s">
        <v>25</v>
      </c>
      <c r="Z49" s="6">
        <v>2</v>
      </c>
      <c r="AA49" s="30">
        <v>0</v>
      </c>
    </row>
    <row r="50" spans="1:27">
      <c r="A50" s="6" t="s">
        <v>33</v>
      </c>
      <c r="B50" s="6">
        <v>2</v>
      </c>
      <c r="C50" s="30">
        <v>0</v>
      </c>
      <c r="Y50" s="6" t="s">
        <v>68</v>
      </c>
      <c r="Z50" s="6">
        <v>1</v>
      </c>
      <c r="AA50" s="30">
        <v>0</v>
      </c>
    </row>
    <row r="51" spans="1:27">
      <c r="A51" s="6" t="s">
        <v>38</v>
      </c>
      <c r="B51" s="6">
        <v>3</v>
      </c>
      <c r="C51" s="30">
        <v>0</v>
      </c>
      <c r="Y51" s="6" t="s">
        <v>69</v>
      </c>
      <c r="Z51" s="6">
        <v>1</v>
      </c>
      <c r="AA51" s="30">
        <v>0</v>
      </c>
    </row>
    <row r="52" spans="1:27">
      <c r="A52" s="6" t="s">
        <v>148</v>
      </c>
      <c r="B52" s="6">
        <v>1</v>
      </c>
      <c r="C52" s="30">
        <v>0</v>
      </c>
      <c r="Y52" s="6" t="s">
        <v>38</v>
      </c>
      <c r="Z52" s="6">
        <v>2</v>
      </c>
      <c r="AA52" s="30">
        <v>0</v>
      </c>
    </row>
    <row r="53" spans="1:27">
      <c r="A53" s="6" t="s">
        <v>60</v>
      </c>
      <c r="B53" s="6">
        <v>2</v>
      </c>
      <c r="C53" s="30">
        <v>0</v>
      </c>
      <c r="Y53" s="6" t="s">
        <v>28</v>
      </c>
      <c r="Z53" s="6">
        <v>1</v>
      </c>
      <c r="AA53" s="30">
        <v>0</v>
      </c>
    </row>
    <row r="54" spans="1:27">
      <c r="A54" s="6" t="s">
        <v>64</v>
      </c>
      <c r="B54" s="6">
        <v>2</v>
      </c>
      <c r="C54" s="30">
        <v>0</v>
      </c>
      <c r="Y54" s="6" t="s">
        <v>42</v>
      </c>
      <c r="Z54" s="6">
        <v>1</v>
      </c>
      <c r="AA54" s="30">
        <v>0</v>
      </c>
    </row>
    <row r="55" spans="1:27">
      <c r="A55" s="6" t="s">
        <v>69</v>
      </c>
      <c r="B55" s="6">
        <v>2</v>
      </c>
      <c r="C55" s="30">
        <v>0</v>
      </c>
      <c r="Y55" s="6" t="s">
        <v>60</v>
      </c>
      <c r="Z55" s="6">
        <v>1</v>
      </c>
      <c r="AA55" s="30">
        <v>0</v>
      </c>
    </row>
    <row r="56" spans="1:27">
      <c r="A56" s="6" t="s">
        <v>68</v>
      </c>
      <c r="B56" s="6">
        <v>1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42</v>
      </c>
      <c r="B57" s="6">
        <v>1</v>
      </c>
      <c r="C57" s="30">
        <v>0</v>
      </c>
    </row>
    <row r="58" spans="1:27">
      <c r="A58" s="6" t="s">
        <v>28</v>
      </c>
      <c r="B58" s="6">
        <v>1</v>
      </c>
      <c r="C58" s="30">
        <v>0</v>
      </c>
    </row>
    <row r="59" spans="1:27">
      <c r="A59" s="6" t="s">
        <v>57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6FAD-7217-46B3-9CA9-61A16FFB72F6}">
  <sheetPr codeName="Sheet41"/>
  <dimension ref="A1:AI58"/>
  <sheetViews>
    <sheetView topLeftCell="R1" workbookViewId="0">
      <selection activeCell="AI9" sqref="AI9:AI1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89908</v>
      </c>
      <c r="E2" s="41" t="s">
        <v>4</v>
      </c>
      <c r="F2" s="23" t="s">
        <v>105</v>
      </c>
      <c r="G2" s="23">
        <f>G3+G4</f>
        <v>90502</v>
      </c>
      <c r="H2" s="22"/>
      <c r="I2" s="41" t="s">
        <v>6</v>
      </c>
      <c r="J2" s="23" t="s">
        <v>105</v>
      </c>
      <c r="K2" s="23">
        <f>K3+K4</f>
        <v>92228</v>
      </c>
      <c r="M2" s="41" t="s">
        <v>104</v>
      </c>
      <c r="N2" s="23" t="s">
        <v>105</v>
      </c>
      <c r="O2" s="23">
        <f>O3+O4</f>
        <v>22980</v>
      </c>
      <c r="Q2" s="41" t="s">
        <v>4</v>
      </c>
      <c r="R2" s="23" t="s">
        <v>105</v>
      </c>
      <c r="S2" s="23">
        <f>S3+S4</f>
        <v>22438</v>
      </c>
      <c r="T2" s="22"/>
      <c r="U2" s="41" t="s">
        <v>6</v>
      </c>
      <c r="V2" s="23" t="s">
        <v>105</v>
      </c>
      <c r="W2" s="23">
        <f>W3+W4</f>
        <v>23258</v>
      </c>
      <c r="Y2" s="41" t="s">
        <v>104</v>
      </c>
      <c r="Z2" s="23" t="s">
        <v>105</v>
      </c>
      <c r="AA2" s="23">
        <f>AA3+AA4</f>
        <v>66917</v>
      </c>
      <c r="AC2" s="41" t="s">
        <v>4</v>
      </c>
      <c r="AD2" s="23" t="s">
        <v>105</v>
      </c>
      <c r="AE2" s="23">
        <f>AE3+AE4</f>
        <v>68065</v>
      </c>
      <c r="AF2" s="22"/>
      <c r="AG2" s="41" t="s">
        <v>6</v>
      </c>
      <c r="AH2" s="23" t="s">
        <v>105</v>
      </c>
      <c r="AI2" s="23">
        <f>AI3+AI4</f>
        <v>68972</v>
      </c>
    </row>
    <row r="3" spans="1:35">
      <c r="A3" s="42"/>
      <c r="B3" s="24" t="s">
        <v>106</v>
      </c>
      <c r="C3" s="24">
        <f>B8</f>
        <v>88537</v>
      </c>
      <c r="E3" s="42"/>
      <c r="F3" s="24" t="s">
        <v>106</v>
      </c>
      <c r="G3" s="24">
        <f>F8</f>
        <v>90214</v>
      </c>
      <c r="H3" s="22"/>
      <c r="I3" s="42"/>
      <c r="J3" s="24" t="s">
        <v>106</v>
      </c>
      <c r="K3" s="24">
        <f>J8</f>
        <v>92156</v>
      </c>
      <c r="M3" s="42"/>
      <c r="N3" s="24" t="s">
        <v>106</v>
      </c>
      <c r="O3" s="24">
        <f>N8</f>
        <v>22734</v>
      </c>
      <c r="Q3" s="42"/>
      <c r="R3" s="24" t="s">
        <v>106</v>
      </c>
      <c r="S3" s="24">
        <f>R8</f>
        <v>22392</v>
      </c>
      <c r="T3" s="22"/>
      <c r="U3" s="42"/>
      <c r="V3" s="24" t="s">
        <v>106</v>
      </c>
      <c r="W3" s="24">
        <f>V8</f>
        <v>23244</v>
      </c>
      <c r="Y3" s="42"/>
      <c r="Z3" s="24" t="s">
        <v>106</v>
      </c>
      <c r="AA3" s="24">
        <f>Z8</f>
        <v>65803</v>
      </c>
      <c r="AC3" s="42"/>
      <c r="AD3" s="24" t="s">
        <v>106</v>
      </c>
      <c r="AE3" s="24">
        <f>AD8</f>
        <v>67822</v>
      </c>
      <c r="AF3" s="22"/>
      <c r="AG3" s="42"/>
      <c r="AH3" s="24" t="s">
        <v>106</v>
      </c>
      <c r="AI3" s="24">
        <f>AH8</f>
        <v>68912</v>
      </c>
    </row>
    <row r="4" spans="1:35">
      <c r="A4" s="42"/>
      <c r="B4" s="25" t="s">
        <v>107</v>
      </c>
      <c r="C4" s="25">
        <f>SUM(B9:B66)</f>
        <v>1371</v>
      </c>
      <c r="E4" s="42"/>
      <c r="F4" s="25" t="s">
        <v>107</v>
      </c>
      <c r="G4" s="25">
        <f>SUM(F9:F33)</f>
        <v>288</v>
      </c>
      <c r="H4" s="22"/>
      <c r="I4" s="42"/>
      <c r="J4" s="25" t="s">
        <v>107</v>
      </c>
      <c r="K4" s="25">
        <f>SUM(J9:J31)</f>
        <v>72</v>
      </c>
      <c r="M4" s="42"/>
      <c r="N4" s="25" t="s">
        <v>107</v>
      </c>
      <c r="O4" s="25">
        <f>SUM(N9:N66)</f>
        <v>246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14</v>
      </c>
      <c r="Y4" s="42"/>
      <c r="Z4" s="25" t="s">
        <v>107</v>
      </c>
      <c r="AA4" s="25">
        <f>SUM(Z9:Z45)</f>
        <v>1114</v>
      </c>
      <c r="AC4" s="42"/>
      <c r="AD4" s="25" t="s">
        <v>107</v>
      </c>
      <c r="AE4" s="25">
        <f>SUM(AD9:AD29)</f>
        <v>243</v>
      </c>
      <c r="AF4" s="22"/>
      <c r="AG4" s="42"/>
      <c r="AH4" s="25" t="s">
        <v>107</v>
      </c>
      <c r="AI4" s="25">
        <f>SUM(AH9:AH29)</f>
        <v>60</v>
      </c>
    </row>
    <row r="5" spans="1:35">
      <c r="A5" s="43"/>
      <c r="B5" s="23" t="s">
        <v>108</v>
      </c>
      <c r="C5" s="26">
        <f>SUM(C9:C179)</f>
        <v>1.4699999999999993E-2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6.0000000000000006E-4</v>
      </c>
      <c r="M5" s="43"/>
      <c r="N5" s="23" t="s">
        <v>108</v>
      </c>
      <c r="O5" s="26">
        <f>SUM(O9:O179)</f>
        <v>1.0399999999999998E-2</v>
      </c>
      <c r="Q5" s="43"/>
      <c r="R5" s="23" t="s">
        <v>108</v>
      </c>
      <c r="S5" s="26">
        <f>SUM(S9:S33)</f>
        <v>1.8000000000000002E-3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1.6599999999999997E-2</v>
      </c>
      <c r="AC5" s="43"/>
      <c r="AD5" s="23" t="s">
        <v>108</v>
      </c>
      <c r="AE5" s="26">
        <f>SUM(AE9:AE29)</f>
        <v>3.4999999999999996E-3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88537</v>
      </c>
      <c r="C8" s="9">
        <v>0.98480000000000001</v>
      </c>
      <c r="E8" s="6" t="s">
        <v>112</v>
      </c>
      <c r="F8" s="29">
        <v>90214</v>
      </c>
      <c r="G8" s="9">
        <v>0.99680000000000002</v>
      </c>
      <c r="I8" s="6" t="s">
        <v>112</v>
      </c>
      <c r="J8" s="29">
        <v>92156</v>
      </c>
      <c r="K8" s="9">
        <v>0.99919999999999998</v>
      </c>
      <c r="M8" s="6" t="s">
        <v>112</v>
      </c>
      <c r="N8" s="29">
        <v>22734</v>
      </c>
      <c r="O8" s="9">
        <v>0.98929999999999996</v>
      </c>
      <c r="Q8" s="6" t="s">
        <v>112</v>
      </c>
      <c r="R8" s="29">
        <v>22392</v>
      </c>
      <c r="S8" s="9">
        <v>0.99790000000000001</v>
      </c>
      <c r="U8" s="6" t="s">
        <v>112</v>
      </c>
      <c r="V8" s="29">
        <v>23244</v>
      </c>
      <c r="W8" s="9">
        <v>0.99939999999999996</v>
      </c>
      <c r="Y8" s="6" t="s">
        <v>112</v>
      </c>
      <c r="Z8" s="29">
        <v>65803</v>
      </c>
      <c r="AA8" s="9">
        <v>0.98319999999999996</v>
      </c>
      <c r="AC8" s="6" t="s">
        <v>112</v>
      </c>
      <c r="AD8" s="29">
        <v>67822</v>
      </c>
      <c r="AE8" s="9">
        <v>0.99639999999999995</v>
      </c>
      <c r="AG8" s="6" t="s">
        <v>112</v>
      </c>
      <c r="AH8" s="29">
        <v>68912</v>
      </c>
      <c r="AI8" s="9">
        <v>0.99909999999999999</v>
      </c>
    </row>
    <row r="9" spans="1:35">
      <c r="A9" s="6" t="s">
        <v>9</v>
      </c>
      <c r="B9" s="6">
        <v>341</v>
      </c>
      <c r="C9" s="9">
        <v>3.8E-3</v>
      </c>
      <c r="E9" s="6" t="s">
        <v>122</v>
      </c>
      <c r="F9" s="6">
        <v>162</v>
      </c>
      <c r="G9" s="9">
        <v>1.8E-3</v>
      </c>
      <c r="I9" s="6" t="s">
        <v>2</v>
      </c>
      <c r="J9" s="6">
        <v>30</v>
      </c>
      <c r="K9" s="9">
        <v>2.9999999999999997E-4</v>
      </c>
      <c r="M9" s="6" t="s">
        <v>2</v>
      </c>
      <c r="N9" s="6">
        <v>61</v>
      </c>
      <c r="O9" s="9">
        <v>2.7000000000000001E-3</v>
      </c>
      <c r="Q9" s="6" t="s">
        <v>122</v>
      </c>
      <c r="R9" s="6">
        <v>30</v>
      </c>
      <c r="S9" s="9">
        <v>1.2999999999999999E-3</v>
      </c>
      <c r="U9" s="6" t="s">
        <v>98</v>
      </c>
      <c r="V9" s="6">
        <v>4</v>
      </c>
      <c r="W9" s="9">
        <v>2.0000000000000001E-4</v>
      </c>
      <c r="Y9" s="6" t="s">
        <v>9</v>
      </c>
      <c r="Z9" s="6">
        <v>339</v>
      </c>
      <c r="AA9" s="9">
        <v>5.1000000000000004E-3</v>
      </c>
      <c r="AC9" s="6" t="s">
        <v>122</v>
      </c>
      <c r="AD9" s="6">
        <v>132</v>
      </c>
      <c r="AE9" s="9">
        <v>1.9E-3</v>
      </c>
      <c r="AG9" s="6" t="s">
        <v>2</v>
      </c>
      <c r="AH9" s="6">
        <v>27</v>
      </c>
      <c r="AI9" s="9">
        <v>4.0000000000000002E-4</v>
      </c>
    </row>
    <row r="10" spans="1:35">
      <c r="A10" s="6" t="s">
        <v>2</v>
      </c>
      <c r="B10" s="6">
        <v>257</v>
      </c>
      <c r="C10" s="9">
        <v>2.8999999999999998E-3</v>
      </c>
      <c r="E10" s="6" t="s">
        <v>83</v>
      </c>
      <c r="F10" s="6">
        <v>48</v>
      </c>
      <c r="G10" s="9">
        <v>5.0000000000000001E-4</v>
      </c>
      <c r="I10" s="6" t="s">
        <v>102</v>
      </c>
      <c r="J10" s="6">
        <v>10</v>
      </c>
      <c r="K10" s="9">
        <v>1E-4</v>
      </c>
      <c r="M10" s="6" t="s">
        <v>3</v>
      </c>
      <c r="N10" s="6">
        <v>47</v>
      </c>
      <c r="O10" s="9">
        <v>2E-3</v>
      </c>
      <c r="Q10" s="6" t="s">
        <v>75</v>
      </c>
      <c r="R10" s="6">
        <v>4</v>
      </c>
      <c r="S10" s="9">
        <v>2.0000000000000001E-4</v>
      </c>
      <c r="U10" s="6" t="s">
        <v>102</v>
      </c>
      <c r="V10" s="6">
        <v>3</v>
      </c>
      <c r="W10" s="9">
        <v>1E-4</v>
      </c>
      <c r="Y10" s="6" t="s">
        <v>2</v>
      </c>
      <c r="Z10" s="6">
        <v>196</v>
      </c>
      <c r="AA10" s="9">
        <v>2.8999999999999998E-3</v>
      </c>
      <c r="AC10" s="6" t="s">
        <v>83</v>
      </c>
      <c r="AD10" s="6">
        <v>48</v>
      </c>
      <c r="AE10" s="9">
        <v>6.9999999999999999E-4</v>
      </c>
      <c r="AG10" s="6" t="s">
        <v>99</v>
      </c>
      <c r="AH10" s="6">
        <v>12</v>
      </c>
      <c r="AI10" s="9">
        <v>2.0000000000000001E-4</v>
      </c>
    </row>
    <row r="11" spans="1:35">
      <c r="A11" s="6" t="s">
        <v>3</v>
      </c>
      <c r="B11" s="6">
        <v>183</v>
      </c>
      <c r="C11" s="9">
        <v>2E-3</v>
      </c>
      <c r="E11" s="6" t="s">
        <v>77</v>
      </c>
      <c r="F11" s="6">
        <v>15</v>
      </c>
      <c r="G11" s="9">
        <v>2.0000000000000001E-4</v>
      </c>
      <c r="I11" s="6" t="s">
        <v>99</v>
      </c>
      <c r="J11" s="6">
        <v>13</v>
      </c>
      <c r="K11" s="9">
        <v>1E-4</v>
      </c>
      <c r="M11" s="6" t="s">
        <v>23</v>
      </c>
      <c r="N11" s="6">
        <v>18</v>
      </c>
      <c r="O11" s="9">
        <v>8.0000000000000004E-4</v>
      </c>
      <c r="Q11" s="6" t="s">
        <v>77</v>
      </c>
      <c r="R11" s="6">
        <v>3</v>
      </c>
      <c r="S11" s="9">
        <v>1E-4</v>
      </c>
      <c r="U11" s="6" t="s">
        <v>2</v>
      </c>
      <c r="V11" s="6">
        <v>3</v>
      </c>
      <c r="W11" s="9">
        <v>1E-4</v>
      </c>
      <c r="Y11" s="6" t="s">
        <v>3</v>
      </c>
      <c r="Z11" s="6">
        <v>136</v>
      </c>
      <c r="AA11" s="9">
        <v>2E-3</v>
      </c>
      <c r="AC11" s="6" t="s">
        <v>77</v>
      </c>
      <c r="AD11" s="6">
        <v>12</v>
      </c>
      <c r="AE11" s="9">
        <v>2.0000000000000001E-4</v>
      </c>
      <c r="AG11" s="6" t="s">
        <v>102</v>
      </c>
      <c r="AH11" s="6">
        <v>8</v>
      </c>
      <c r="AI11" s="9">
        <v>1E-4</v>
      </c>
    </row>
    <row r="12" spans="1:35">
      <c r="A12" s="6" t="s">
        <v>8</v>
      </c>
      <c r="B12" s="6">
        <v>93</v>
      </c>
      <c r="C12" s="9">
        <v>1E-3</v>
      </c>
      <c r="E12" s="6" t="s">
        <v>79</v>
      </c>
      <c r="F12" s="6">
        <v>17</v>
      </c>
      <c r="G12" s="9">
        <v>2.0000000000000001E-4</v>
      </c>
      <c r="I12" s="6" t="s">
        <v>98</v>
      </c>
      <c r="J12" s="6">
        <v>11</v>
      </c>
      <c r="K12" s="9">
        <v>1E-4</v>
      </c>
      <c r="M12" s="6" t="s">
        <v>37</v>
      </c>
      <c r="N12" s="6">
        <v>13</v>
      </c>
      <c r="O12" s="9">
        <v>5.9999999999999995E-4</v>
      </c>
      <c r="Q12" s="6" t="s">
        <v>79</v>
      </c>
      <c r="R12" s="6">
        <v>3</v>
      </c>
      <c r="S12" s="9">
        <v>1E-4</v>
      </c>
      <c r="U12" s="6" t="s">
        <v>113</v>
      </c>
      <c r="V12" s="6">
        <v>2</v>
      </c>
      <c r="W12" s="9">
        <v>1E-4</v>
      </c>
      <c r="Y12" s="6" t="s">
        <v>8</v>
      </c>
      <c r="Z12" s="6">
        <v>92</v>
      </c>
      <c r="AA12" s="9">
        <v>1.4E-3</v>
      </c>
      <c r="AC12" s="6" t="s">
        <v>79</v>
      </c>
      <c r="AD12" s="6">
        <v>14</v>
      </c>
      <c r="AE12" s="9">
        <v>2.0000000000000001E-4</v>
      </c>
      <c r="AG12" s="6" t="s">
        <v>98</v>
      </c>
      <c r="AH12" s="6">
        <v>7</v>
      </c>
      <c r="AI12" s="9">
        <v>1E-4</v>
      </c>
    </row>
    <row r="13" spans="1:35">
      <c r="A13" s="6" t="s">
        <v>5</v>
      </c>
      <c r="B13" s="6">
        <v>53</v>
      </c>
      <c r="C13" s="9">
        <v>5.9999999999999995E-4</v>
      </c>
      <c r="E13" s="6" t="s">
        <v>75</v>
      </c>
      <c r="F13" s="6">
        <v>13</v>
      </c>
      <c r="G13" s="9">
        <v>1E-4</v>
      </c>
      <c r="I13" s="6" t="s">
        <v>123</v>
      </c>
      <c r="J13" s="6">
        <v>1</v>
      </c>
      <c r="K13" s="30">
        <v>0</v>
      </c>
      <c r="M13" s="6" t="s">
        <v>7</v>
      </c>
      <c r="N13" s="6">
        <v>13</v>
      </c>
      <c r="O13" s="9">
        <v>5.9999999999999995E-4</v>
      </c>
      <c r="Q13" s="6" t="s">
        <v>145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52</v>
      </c>
      <c r="AA13" s="9">
        <v>8.0000000000000004E-4</v>
      </c>
      <c r="AC13" s="6" t="s">
        <v>74</v>
      </c>
      <c r="AD13" s="6">
        <v>11</v>
      </c>
      <c r="AE13" s="9">
        <v>2.0000000000000001E-4</v>
      </c>
      <c r="AG13" s="6" t="s">
        <v>117</v>
      </c>
      <c r="AH13" s="6">
        <v>1</v>
      </c>
      <c r="AI13" s="30">
        <v>0</v>
      </c>
    </row>
    <row r="14" spans="1:35">
      <c r="A14" s="6" t="s">
        <v>11</v>
      </c>
      <c r="B14" s="6">
        <v>51</v>
      </c>
      <c r="C14" s="9">
        <v>5.9999999999999995E-4</v>
      </c>
      <c r="E14" s="6" t="s">
        <v>74</v>
      </c>
      <c r="F14" s="6">
        <v>11</v>
      </c>
      <c r="G14" s="9">
        <v>1E-4</v>
      </c>
      <c r="I14" s="6" t="s">
        <v>117</v>
      </c>
      <c r="J14" s="6">
        <v>1</v>
      </c>
      <c r="K14" s="30">
        <v>0</v>
      </c>
      <c r="M14" s="6" t="s">
        <v>31</v>
      </c>
      <c r="N14" s="6">
        <v>9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99</v>
      </c>
      <c r="V14" s="6">
        <v>1</v>
      </c>
      <c r="W14" s="30">
        <v>0</v>
      </c>
      <c r="Y14" s="6" t="s">
        <v>11</v>
      </c>
      <c r="Z14" s="6">
        <v>42</v>
      </c>
      <c r="AA14" s="9">
        <v>5.9999999999999995E-4</v>
      </c>
      <c r="AC14" s="6" t="s">
        <v>76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45</v>
      </c>
      <c r="C15" s="9">
        <v>5.0000000000000001E-4</v>
      </c>
      <c r="E15" s="6" t="s">
        <v>78</v>
      </c>
      <c r="F15" s="6">
        <v>5</v>
      </c>
      <c r="G15" s="9">
        <v>1E-4</v>
      </c>
      <c r="I15" s="6" t="s">
        <v>103</v>
      </c>
      <c r="J15" s="6">
        <v>2</v>
      </c>
      <c r="K15" s="30">
        <v>0</v>
      </c>
      <c r="M15" s="6" t="s">
        <v>41</v>
      </c>
      <c r="N15" s="6">
        <v>9</v>
      </c>
      <c r="O15" s="9">
        <v>4.0000000000000002E-4</v>
      </c>
      <c r="Q15" s="6" t="s">
        <v>81</v>
      </c>
      <c r="R15" s="6">
        <v>1</v>
      </c>
      <c r="S15" s="30">
        <v>0</v>
      </c>
      <c r="Y15" s="6" t="s">
        <v>12</v>
      </c>
      <c r="Z15" s="6">
        <v>34</v>
      </c>
      <c r="AA15" s="9">
        <v>5.0000000000000001E-4</v>
      </c>
      <c r="AC15" s="6" t="s">
        <v>75</v>
      </c>
      <c r="AD15" s="6">
        <v>9</v>
      </c>
      <c r="AE15" s="9">
        <v>1E-4</v>
      </c>
      <c r="AG15" s="6" t="s">
        <v>103</v>
      </c>
      <c r="AH15" s="6">
        <v>2</v>
      </c>
      <c r="AI15" s="30">
        <v>0</v>
      </c>
    </row>
    <row r="16" spans="1:35">
      <c r="A16" s="6" t="s">
        <v>12</v>
      </c>
      <c r="B16" s="6">
        <v>34</v>
      </c>
      <c r="C16" s="9">
        <v>4.0000000000000002E-4</v>
      </c>
      <c r="E16" s="6" t="s">
        <v>80</v>
      </c>
      <c r="F16" s="6">
        <v>2</v>
      </c>
      <c r="G16" s="30">
        <v>0</v>
      </c>
      <c r="I16" s="6" t="s">
        <v>113</v>
      </c>
      <c r="J16" s="6">
        <v>4</v>
      </c>
      <c r="K16" s="30">
        <v>0</v>
      </c>
      <c r="M16" s="6" t="s">
        <v>11</v>
      </c>
      <c r="N16" s="6">
        <v>9</v>
      </c>
      <c r="O16" s="9">
        <v>4.0000000000000002E-4</v>
      </c>
      <c r="Q16" s="6" t="s">
        <v>91</v>
      </c>
      <c r="R16" s="6">
        <v>1</v>
      </c>
      <c r="S16" s="30">
        <v>0</v>
      </c>
      <c r="Y16" s="6" t="s">
        <v>41</v>
      </c>
      <c r="Z16" s="6">
        <v>31</v>
      </c>
      <c r="AA16" s="9">
        <v>5.0000000000000001E-4</v>
      </c>
      <c r="AC16" s="6" t="s">
        <v>78</v>
      </c>
      <c r="AD16" s="6">
        <v>4</v>
      </c>
      <c r="AE16" s="9">
        <v>1E-4</v>
      </c>
      <c r="AG16" s="6" t="s">
        <v>113</v>
      </c>
      <c r="AH16" s="6">
        <v>2</v>
      </c>
      <c r="AI16" s="30">
        <v>0</v>
      </c>
    </row>
    <row r="17" spans="1:31">
      <c r="A17" s="6" t="s">
        <v>41</v>
      </c>
      <c r="B17" s="6">
        <v>40</v>
      </c>
      <c r="C17" s="9">
        <v>4.0000000000000002E-4</v>
      </c>
      <c r="E17" s="6" t="s">
        <v>76</v>
      </c>
      <c r="F17" s="6">
        <v>4</v>
      </c>
      <c r="G17" s="30">
        <v>0</v>
      </c>
      <c r="M17" s="6" t="s">
        <v>40</v>
      </c>
      <c r="N17" s="6">
        <v>8</v>
      </c>
      <c r="O17" s="9">
        <v>2.9999999999999997E-4</v>
      </c>
      <c r="Q17" s="6" t="s">
        <v>78</v>
      </c>
      <c r="R17" s="6">
        <v>1</v>
      </c>
      <c r="S17" s="30">
        <v>0</v>
      </c>
      <c r="Y17" s="6" t="s">
        <v>7</v>
      </c>
      <c r="Z17" s="6">
        <v>32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31</v>
      </c>
      <c r="B18" s="6">
        <v>29</v>
      </c>
      <c r="C18" s="9">
        <v>2.9999999999999997E-4</v>
      </c>
      <c r="E18" s="6" t="s">
        <v>92</v>
      </c>
      <c r="F18" s="6">
        <v>1</v>
      </c>
      <c r="G18" s="30">
        <v>0</v>
      </c>
      <c r="M18" s="6" t="s">
        <v>20</v>
      </c>
      <c r="N18" s="6">
        <v>5</v>
      </c>
      <c r="O18" s="9">
        <v>2.0000000000000001E-4</v>
      </c>
      <c r="Y18" s="6" t="s">
        <v>31</v>
      </c>
      <c r="Z18" s="6">
        <v>20</v>
      </c>
      <c r="AA18" s="9">
        <v>2.9999999999999997E-4</v>
      </c>
      <c r="AC18" s="6" t="s">
        <v>92</v>
      </c>
      <c r="AD18" s="6">
        <v>1</v>
      </c>
      <c r="AE18" s="30">
        <v>0</v>
      </c>
    </row>
    <row r="19" spans="1:31">
      <c r="A19" s="6" t="s">
        <v>37</v>
      </c>
      <c r="B19" s="6">
        <v>21</v>
      </c>
      <c r="C19" s="9">
        <v>2.0000000000000001E-4</v>
      </c>
      <c r="E19" s="6" t="s">
        <v>81</v>
      </c>
      <c r="F19" s="6">
        <v>2</v>
      </c>
      <c r="G19" s="30">
        <v>0</v>
      </c>
      <c r="M19" s="6" t="s">
        <v>26</v>
      </c>
      <c r="N19" s="6">
        <v>5</v>
      </c>
      <c r="O19" s="9">
        <v>2.0000000000000001E-4</v>
      </c>
      <c r="Y19" s="6" t="s">
        <v>10</v>
      </c>
      <c r="Z19" s="6">
        <v>12</v>
      </c>
      <c r="AA19" s="9">
        <v>2.0000000000000001E-4</v>
      </c>
      <c r="AC19" s="6" t="s">
        <v>81</v>
      </c>
      <c r="AD19" s="6">
        <v>1</v>
      </c>
      <c r="AE19" s="30">
        <v>0</v>
      </c>
    </row>
    <row r="20" spans="1:31">
      <c r="A20" s="6" t="s">
        <v>29</v>
      </c>
      <c r="B20" s="6">
        <v>17</v>
      </c>
      <c r="C20" s="9">
        <v>2.0000000000000001E-4</v>
      </c>
      <c r="E20" s="6" t="s">
        <v>82</v>
      </c>
      <c r="F20" s="6">
        <v>1</v>
      </c>
      <c r="G20" s="30">
        <v>0</v>
      </c>
      <c r="M20" s="6" t="s">
        <v>29</v>
      </c>
      <c r="N20" s="6">
        <v>5</v>
      </c>
      <c r="O20" s="9">
        <v>2.0000000000000001E-4</v>
      </c>
      <c r="Y20" s="6" t="s">
        <v>29</v>
      </c>
      <c r="Z20" s="6">
        <v>12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18</v>
      </c>
      <c r="B21" s="6">
        <v>15</v>
      </c>
      <c r="C21" s="9">
        <v>2.0000000000000001E-4</v>
      </c>
      <c r="E21" s="6" t="s">
        <v>84</v>
      </c>
      <c r="F21" s="6">
        <v>2</v>
      </c>
      <c r="G21" s="30">
        <v>0</v>
      </c>
      <c r="M21" s="6" t="s">
        <v>45</v>
      </c>
      <c r="N21" s="6">
        <v>4</v>
      </c>
      <c r="O21" s="9">
        <v>2.0000000000000001E-4</v>
      </c>
      <c r="Y21" s="6" t="s">
        <v>18</v>
      </c>
      <c r="Z21" s="6">
        <v>12</v>
      </c>
      <c r="AA21" s="9">
        <v>2.0000000000000001E-4</v>
      </c>
      <c r="AC21" s="6" t="s">
        <v>84</v>
      </c>
      <c r="AD21" s="6">
        <v>2</v>
      </c>
      <c r="AE21" s="30">
        <v>0</v>
      </c>
    </row>
    <row r="22" spans="1:31">
      <c r="A22" s="6" t="s">
        <v>23</v>
      </c>
      <c r="B22" s="6">
        <v>18</v>
      </c>
      <c r="C22" s="9">
        <v>2.0000000000000001E-4</v>
      </c>
      <c r="E22" s="6" t="s">
        <v>145</v>
      </c>
      <c r="F22" s="6">
        <v>2</v>
      </c>
      <c r="G22" s="30">
        <v>0</v>
      </c>
      <c r="M22" s="6" t="s">
        <v>17</v>
      </c>
      <c r="N22" s="6">
        <v>4</v>
      </c>
      <c r="O22" s="9">
        <v>2.0000000000000001E-4</v>
      </c>
      <c r="Y22" s="6" t="s">
        <v>14</v>
      </c>
      <c r="Z22" s="6">
        <v>11</v>
      </c>
      <c r="AA22" s="9">
        <v>2.0000000000000001E-4</v>
      </c>
      <c r="AC22" s="6" t="s">
        <v>120</v>
      </c>
      <c r="AD22" s="6">
        <v>1</v>
      </c>
      <c r="AE22" s="30">
        <v>0</v>
      </c>
    </row>
    <row r="23" spans="1:31">
      <c r="A23" s="6" t="s">
        <v>21</v>
      </c>
      <c r="B23" s="6">
        <v>11</v>
      </c>
      <c r="C23" s="9">
        <v>1E-4</v>
      </c>
      <c r="E23" s="6" t="s">
        <v>91</v>
      </c>
      <c r="F23" s="6">
        <v>1</v>
      </c>
      <c r="G23" s="30">
        <v>0</v>
      </c>
      <c r="M23" s="6" t="s">
        <v>36</v>
      </c>
      <c r="N23" s="6">
        <v>4</v>
      </c>
      <c r="O23" s="9">
        <v>2.0000000000000001E-4</v>
      </c>
      <c r="Y23" s="6" t="s">
        <v>19</v>
      </c>
      <c r="Z23" s="6">
        <v>4</v>
      </c>
      <c r="AA23" s="9">
        <v>1E-4</v>
      </c>
      <c r="AC23" s="6" t="s">
        <v>86</v>
      </c>
      <c r="AD23" s="6">
        <v>1</v>
      </c>
      <c r="AE23" s="30">
        <v>0</v>
      </c>
    </row>
    <row r="24" spans="1:31">
      <c r="A24" s="6" t="s">
        <v>20</v>
      </c>
      <c r="B24" s="6">
        <v>9</v>
      </c>
      <c r="C24" s="9">
        <v>1E-4</v>
      </c>
      <c r="E24" s="6" t="s">
        <v>86</v>
      </c>
      <c r="F24" s="6">
        <v>1</v>
      </c>
      <c r="G24" s="30">
        <v>0</v>
      </c>
      <c r="M24" s="6" t="s">
        <v>21</v>
      </c>
      <c r="N24" s="6">
        <v>3</v>
      </c>
      <c r="O24" s="9">
        <v>1E-4</v>
      </c>
      <c r="Y24" s="6" t="s">
        <v>20</v>
      </c>
      <c r="Z24" s="6">
        <v>4</v>
      </c>
      <c r="AA24" s="9">
        <v>1E-4</v>
      </c>
    </row>
    <row r="25" spans="1:31">
      <c r="A25" s="6" t="s">
        <v>17</v>
      </c>
      <c r="B25" s="6">
        <v>13</v>
      </c>
      <c r="C25" s="9">
        <v>1E-4</v>
      </c>
      <c r="E25" s="6" t="s">
        <v>120</v>
      </c>
      <c r="F25" s="6">
        <v>1</v>
      </c>
      <c r="G25" s="30">
        <v>0</v>
      </c>
      <c r="M25" s="6" t="s">
        <v>22</v>
      </c>
      <c r="N25" s="6">
        <v>3</v>
      </c>
      <c r="O25" s="9">
        <v>1E-4</v>
      </c>
      <c r="Y25" s="6" t="s">
        <v>21</v>
      </c>
      <c r="Z25" s="6">
        <v>8</v>
      </c>
      <c r="AA25" s="9">
        <v>1E-4</v>
      </c>
    </row>
    <row r="26" spans="1:31">
      <c r="A26" s="6" t="s">
        <v>10</v>
      </c>
      <c r="B26" s="6">
        <v>13</v>
      </c>
      <c r="C26" s="9">
        <v>1E-4</v>
      </c>
      <c r="M26" s="6" t="s">
        <v>18</v>
      </c>
      <c r="N26" s="6">
        <v>3</v>
      </c>
      <c r="O26" s="9">
        <v>1E-4</v>
      </c>
      <c r="Y26" s="6" t="s">
        <v>37</v>
      </c>
      <c r="Z26" s="6">
        <v>8</v>
      </c>
      <c r="AA26" s="9">
        <v>1E-4</v>
      </c>
    </row>
    <row r="27" spans="1:31">
      <c r="A27" s="6" t="s">
        <v>36</v>
      </c>
      <c r="B27" s="6">
        <v>7</v>
      </c>
      <c r="C27" s="9">
        <v>1E-4</v>
      </c>
      <c r="M27" s="6" t="s">
        <v>9</v>
      </c>
      <c r="N27" s="6">
        <v>2</v>
      </c>
      <c r="O27" s="9">
        <v>1E-4</v>
      </c>
      <c r="Y27" s="6" t="s">
        <v>17</v>
      </c>
      <c r="Z27" s="6">
        <v>9</v>
      </c>
      <c r="AA27" s="9">
        <v>1E-4</v>
      </c>
    </row>
    <row r="28" spans="1:31">
      <c r="A28" s="6" t="s">
        <v>26</v>
      </c>
      <c r="B28" s="6">
        <v>12</v>
      </c>
      <c r="C28" s="9">
        <v>1E-4</v>
      </c>
      <c r="M28" s="6" t="s">
        <v>30</v>
      </c>
      <c r="N28" s="6">
        <v>2</v>
      </c>
      <c r="O28" s="9">
        <v>1E-4</v>
      </c>
      <c r="Y28" s="6" t="s">
        <v>16</v>
      </c>
      <c r="Z28" s="6">
        <v>5</v>
      </c>
      <c r="AA28" s="9">
        <v>1E-4</v>
      </c>
    </row>
    <row r="29" spans="1:31">
      <c r="A29" s="6" t="s">
        <v>14</v>
      </c>
      <c r="B29" s="6">
        <v>12</v>
      </c>
      <c r="C29" s="9">
        <v>1E-4</v>
      </c>
      <c r="M29" s="6" t="s">
        <v>24</v>
      </c>
      <c r="N29" s="6">
        <v>2</v>
      </c>
      <c r="O29" s="9">
        <v>1E-4</v>
      </c>
      <c r="Y29" s="6" t="s">
        <v>22</v>
      </c>
      <c r="Z29" s="6">
        <v>5</v>
      </c>
      <c r="AA29" s="9">
        <v>1E-4</v>
      </c>
    </row>
    <row r="30" spans="1:31">
      <c r="A30" s="6" t="s">
        <v>22</v>
      </c>
      <c r="B30" s="6">
        <v>8</v>
      </c>
      <c r="C30" s="9">
        <v>1E-4</v>
      </c>
      <c r="M30" s="6" t="s">
        <v>42</v>
      </c>
      <c r="N30" s="6">
        <v>2</v>
      </c>
      <c r="O30" s="9">
        <v>1E-4</v>
      </c>
      <c r="Y30" s="6" t="s">
        <v>26</v>
      </c>
      <c r="Z30" s="6">
        <v>7</v>
      </c>
      <c r="AA30" s="9">
        <v>1E-4</v>
      </c>
    </row>
    <row r="31" spans="1:31">
      <c r="A31" s="6" t="s">
        <v>16</v>
      </c>
      <c r="B31" s="6">
        <v>6</v>
      </c>
      <c r="C31" s="9">
        <v>1E-4</v>
      </c>
      <c r="M31" s="6" t="s">
        <v>25</v>
      </c>
      <c r="N31" s="6">
        <v>2</v>
      </c>
      <c r="O31" s="9">
        <v>1E-4</v>
      </c>
      <c r="Y31" s="6" t="s">
        <v>32</v>
      </c>
      <c r="Z31" s="6">
        <v>5</v>
      </c>
      <c r="AA31" s="9">
        <v>1E-4</v>
      </c>
    </row>
    <row r="32" spans="1:31">
      <c r="A32" s="6" t="s">
        <v>40</v>
      </c>
      <c r="B32" s="6">
        <v>10</v>
      </c>
      <c r="C32" s="9">
        <v>1E-4</v>
      </c>
      <c r="M32" s="6" t="s">
        <v>49</v>
      </c>
      <c r="N32" s="6">
        <v>2</v>
      </c>
      <c r="O32" s="9">
        <v>1E-4</v>
      </c>
      <c r="Y32" s="6" t="s">
        <v>30</v>
      </c>
      <c r="Z32" s="6">
        <v>5</v>
      </c>
      <c r="AA32" s="9">
        <v>1E-4</v>
      </c>
    </row>
    <row r="33" spans="1:27">
      <c r="A33" s="6" t="s">
        <v>30</v>
      </c>
      <c r="B33" s="6">
        <v>7</v>
      </c>
      <c r="C33" s="9">
        <v>1E-4</v>
      </c>
      <c r="M33" s="6" t="s">
        <v>39</v>
      </c>
      <c r="N33" s="6">
        <v>2</v>
      </c>
      <c r="O33" s="9">
        <v>1E-4</v>
      </c>
      <c r="Y33" s="6" t="s">
        <v>27</v>
      </c>
      <c r="Z33" s="6">
        <v>5</v>
      </c>
      <c r="AA33" s="9">
        <v>1E-4</v>
      </c>
    </row>
    <row r="34" spans="1:27">
      <c r="A34" s="6" t="s">
        <v>32</v>
      </c>
      <c r="B34" s="6">
        <v>5</v>
      </c>
      <c r="C34" s="9">
        <v>1E-4</v>
      </c>
      <c r="M34" s="6" t="s">
        <v>5</v>
      </c>
      <c r="N34" s="6">
        <v>1</v>
      </c>
      <c r="O34" s="30">
        <v>0</v>
      </c>
      <c r="Y34" s="6" t="s">
        <v>39</v>
      </c>
      <c r="Z34" s="6">
        <v>5</v>
      </c>
      <c r="AA34" s="9">
        <v>1E-4</v>
      </c>
    </row>
    <row r="35" spans="1:27">
      <c r="A35" s="6" t="s">
        <v>39</v>
      </c>
      <c r="B35" s="6">
        <v>7</v>
      </c>
      <c r="C35" s="9">
        <v>1E-4</v>
      </c>
      <c r="M35" s="6" t="s">
        <v>13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27</v>
      </c>
      <c r="B36" s="6">
        <v>6</v>
      </c>
      <c r="C36" s="9">
        <v>1E-4</v>
      </c>
      <c r="M36" s="6" t="s">
        <v>16</v>
      </c>
      <c r="N36" s="6">
        <v>1</v>
      </c>
      <c r="O36" s="30">
        <v>0</v>
      </c>
      <c r="Y36" s="6" t="s">
        <v>48</v>
      </c>
      <c r="Z36" s="6">
        <v>2</v>
      </c>
      <c r="AA36" s="30">
        <v>0</v>
      </c>
    </row>
    <row r="37" spans="1:27">
      <c r="A37" s="6" t="s">
        <v>19</v>
      </c>
      <c r="B37" s="6">
        <v>4</v>
      </c>
      <c r="C37" s="30">
        <v>0</v>
      </c>
      <c r="M37" s="6" t="s">
        <v>10</v>
      </c>
      <c r="N37" s="6">
        <v>1</v>
      </c>
      <c r="O37" s="30">
        <v>0</v>
      </c>
      <c r="Y37" s="6" t="s">
        <v>34</v>
      </c>
      <c r="Z37" s="6">
        <v>3</v>
      </c>
      <c r="AA37" s="30">
        <v>0</v>
      </c>
    </row>
    <row r="38" spans="1:27">
      <c r="A38" s="6" t="s">
        <v>115</v>
      </c>
      <c r="B38" s="6">
        <v>1</v>
      </c>
      <c r="C38" s="30">
        <v>0</v>
      </c>
      <c r="M38" s="6" t="s">
        <v>14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48</v>
      </c>
      <c r="B39" s="6">
        <v>2</v>
      </c>
      <c r="C39" s="30">
        <v>0</v>
      </c>
      <c r="M39" s="6" t="s">
        <v>60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34</v>
      </c>
      <c r="B40" s="6">
        <v>3</v>
      </c>
      <c r="C40" s="30">
        <v>0</v>
      </c>
      <c r="M40" s="6" t="s">
        <v>8</v>
      </c>
      <c r="N40" s="6">
        <v>1</v>
      </c>
      <c r="O40" s="30">
        <v>0</v>
      </c>
      <c r="Y40" s="6" t="s">
        <v>40</v>
      </c>
      <c r="Z40" s="6">
        <v>2</v>
      </c>
      <c r="AA40" s="30">
        <v>0</v>
      </c>
    </row>
    <row r="41" spans="1:27">
      <c r="A41" s="6" t="s">
        <v>67</v>
      </c>
      <c r="B41" s="6">
        <v>1</v>
      </c>
      <c r="C41" s="30">
        <v>0</v>
      </c>
      <c r="M41" s="6" t="s">
        <v>27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131</v>
      </c>
      <c r="N42" s="6">
        <v>1</v>
      </c>
      <c r="O42" s="30">
        <v>0</v>
      </c>
      <c r="Y42" s="6" t="s">
        <v>58</v>
      </c>
      <c r="Z42" s="6">
        <v>3</v>
      </c>
      <c r="AA42" s="30">
        <v>0</v>
      </c>
    </row>
    <row r="43" spans="1:27">
      <c r="A43" s="6" t="s">
        <v>45</v>
      </c>
      <c r="B43" s="6">
        <v>4</v>
      </c>
      <c r="C43" s="30">
        <v>0</v>
      </c>
      <c r="Y43" s="6" t="s">
        <v>64</v>
      </c>
      <c r="Z43" s="6">
        <v>3</v>
      </c>
      <c r="AA43" s="30">
        <v>0</v>
      </c>
    </row>
    <row r="44" spans="1:27">
      <c r="A44" s="6" t="s">
        <v>121</v>
      </c>
      <c r="B44" s="6">
        <v>1</v>
      </c>
      <c r="C44" s="30">
        <v>0</v>
      </c>
      <c r="Y44" s="6" t="s">
        <v>15</v>
      </c>
      <c r="Z44" s="6">
        <v>2</v>
      </c>
      <c r="AA44" s="30">
        <v>0</v>
      </c>
    </row>
    <row r="45" spans="1:27">
      <c r="A45" s="6" t="s">
        <v>58</v>
      </c>
      <c r="B45" s="6">
        <v>3</v>
      </c>
      <c r="C45" s="30">
        <v>0</v>
      </c>
      <c r="Y45" s="6" t="s">
        <v>38</v>
      </c>
      <c r="Z45" s="6">
        <v>2</v>
      </c>
      <c r="AA45" s="30">
        <v>0</v>
      </c>
    </row>
    <row r="46" spans="1:27">
      <c r="A46" s="6" t="s">
        <v>64</v>
      </c>
      <c r="B46" s="6">
        <v>3</v>
      </c>
      <c r="C46" s="30">
        <v>0</v>
      </c>
      <c r="Y46" s="6" t="s">
        <v>68</v>
      </c>
      <c r="Z46" s="6">
        <v>2</v>
      </c>
      <c r="AA46" s="30">
        <v>0</v>
      </c>
    </row>
    <row r="47" spans="1:27">
      <c r="A47" s="6" t="s">
        <v>15</v>
      </c>
      <c r="B47" s="6">
        <v>2</v>
      </c>
      <c r="C47" s="30">
        <v>0</v>
      </c>
      <c r="Y47" s="6" t="s">
        <v>33</v>
      </c>
      <c r="Z47" s="6">
        <v>3</v>
      </c>
      <c r="AA47" s="30">
        <v>0</v>
      </c>
    </row>
    <row r="48" spans="1:27">
      <c r="A48" s="6" t="s">
        <v>24</v>
      </c>
      <c r="B48" s="6">
        <v>3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38</v>
      </c>
      <c r="B49" s="6">
        <v>2</v>
      </c>
      <c r="C49" s="30">
        <v>0</v>
      </c>
      <c r="Y49" s="6" t="s">
        <v>42</v>
      </c>
      <c r="Z49" s="6">
        <v>1</v>
      </c>
      <c r="AA49" s="30">
        <v>0</v>
      </c>
    </row>
    <row r="50" spans="1:27">
      <c r="A50" s="6" t="s">
        <v>42</v>
      </c>
      <c r="B50" s="6">
        <v>3</v>
      </c>
      <c r="C50" s="30">
        <v>0</v>
      </c>
      <c r="Y50" s="6" t="s">
        <v>124</v>
      </c>
      <c r="Z50" s="6">
        <v>1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129</v>
      </c>
      <c r="Z51" s="6">
        <v>1</v>
      </c>
      <c r="AA51" s="30">
        <v>0</v>
      </c>
    </row>
    <row r="52" spans="1:27">
      <c r="A52" s="6" t="s">
        <v>33</v>
      </c>
      <c r="B52" s="6">
        <v>3</v>
      </c>
      <c r="C52" s="30">
        <v>0</v>
      </c>
      <c r="Y52" s="6" t="s">
        <v>24</v>
      </c>
      <c r="Z52" s="6">
        <v>1</v>
      </c>
      <c r="AA52" s="30">
        <v>0</v>
      </c>
    </row>
    <row r="53" spans="1:27">
      <c r="A53" s="6" t="s">
        <v>68</v>
      </c>
      <c r="B53" s="6">
        <v>2</v>
      </c>
      <c r="C53" s="30">
        <v>0</v>
      </c>
    </row>
    <row r="54" spans="1:27">
      <c r="A54" s="6" t="s">
        <v>49</v>
      </c>
      <c r="B54" s="6">
        <v>2</v>
      </c>
      <c r="C54" s="30">
        <v>0</v>
      </c>
    </row>
    <row r="55" spans="1:27">
      <c r="A55" s="6" t="s">
        <v>60</v>
      </c>
      <c r="B55" s="6">
        <v>1</v>
      </c>
      <c r="C55" s="30">
        <v>0</v>
      </c>
    </row>
    <row r="56" spans="1:27">
      <c r="A56" s="6" t="s">
        <v>131</v>
      </c>
      <c r="B56" s="6">
        <v>1</v>
      </c>
      <c r="C56" s="30">
        <v>0</v>
      </c>
    </row>
    <row r="57" spans="1:27">
      <c r="A57" s="6" t="s">
        <v>124</v>
      </c>
      <c r="B57" s="6">
        <v>1</v>
      </c>
      <c r="C57" s="30">
        <v>0</v>
      </c>
    </row>
    <row r="58" spans="1:27">
      <c r="A58" s="6" t="s">
        <v>129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669B-3D51-4684-8D72-6E599BCA28D5}">
  <sheetPr codeName="Sheet42"/>
  <dimension ref="A1:AI58"/>
  <sheetViews>
    <sheetView topLeftCell="Q1" workbookViewId="0">
      <selection activeCell="S3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102077</v>
      </c>
      <c r="E2" s="41" t="s">
        <v>4</v>
      </c>
      <c r="F2" s="23" t="s">
        <v>105</v>
      </c>
      <c r="G2" s="23">
        <f>G3+G4</f>
        <v>97226</v>
      </c>
      <c r="H2" s="22"/>
      <c r="I2" s="41" t="s">
        <v>6</v>
      </c>
      <c r="J2" s="23" t="s">
        <v>105</v>
      </c>
      <c r="K2" s="23">
        <f>K3+K4</f>
        <v>99560</v>
      </c>
      <c r="M2" s="41" t="s">
        <v>104</v>
      </c>
      <c r="N2" s="23" t="s">
        <v>105</v>
      </c>
      <c r="O2" s="23">
        <f>O3+O4</f>
        <v>25144</v>
      </c>
      <c r="Q2" s="41" t="s">
        <v>4</v>
      </c>
      <c r="R2" s="23" t="s">
        <v>105</v>
      </c>
      <c r="S2" s="23">
        <f>S3+S4</f>
        <v>21550</v>
      </c>
      <c r="T2" s="22"/>
      <c r="U2" s="41" t="s">
        <v>6</v>
      </c>
      <c r="V2" s="23" t="s">
        <v>105</v>
      </c>
      <c r="W2" s="23">
        <f>W3+W4</f>
        <v>21891</v>
      </c>
      <c r="Y2" s="41" t="s">
        <v>104</v>
      </c>
      <c r="Z2" s="23" t="s">
        <v>105</v>
      </c>
      <c r="AA2" s="23">
        <f>AA3+AA4</f>
        <v>76920</v>
      </c>
      <c r="AC2" s="41" t="s">
        <v>4</v>
      </c>
      <c r="AD2" s="23" t="s">
        <v>105</v>
      </c>
      <c r="AE2" s="23">
        <f>AE3+AE4</f>
        <v>75677</v>
      </c>
      <c r="AF2" s="22"/>
      <c r="AG2" s="41" t="s">
        <v>6</v>
      </c>
      <c r="AH2" s="23" t="s">
        <v>105</v>
      </c>
      <c r="AI2" s="23">
        <f>AI3+AI4</f>
        <v>77671</v>
      </c>
    </row>
    <row r="3" spans="1:35">
      <c r="A3" s="42"/>
      <c r="B3" s="24" t="s">
        <v>106</v>
      </c>
      <c r="C3" s="24">
        <f>B8</f>
        <v>100528</v>
      </c>
      <c r="E3" s="42"/>
      <c r="F3" s="24" t="s">
        <v>106</v>
      </c>
      <c r="G3" s="24">
        <f>F8</f>
        <v>96835</v>
      </c>
      <c r="H3" s="22"/>
      <c r="I3" s="42"/>
      <c r="J3" s="24" t="s">
        <v>106</v>
      </c>
      <c r="K3" s="24">
        <f>J8</f>
        <v>99496</v>
      </c>
      <c r="M3" s="42"/>
      <c r="N3" s="24" t="s">
        <v>106</v>
      </c>
      <c r="O3" s="24">
        <f>N8</f>
        <v>24894</v>
      </c>
      <c r="Q3" s="42"/>
      <c r="R3" s="24" t="s">
        <v>106</v>
      </c>
      <c r="S3" s="24">
        <f>R8</f>
        <v>21469</v>
      </c>
      <c r="T3" s="22"/>
      <c r="U3" s="42"/>
      <c r="V3" s="24" t="s">
        <v>106</v>
      </c>
      <c r="W3" s="24">
        <f>V8</f>
        <v>21877</v>
      </c>
      <c r="Y3" s="42"/>
      <c r="Z3" s="24" t="s">
        <v>106</v>
      </c>
      <c r="AA3" s="24">
        <f>Z8</f>
        <v>75634</v>
      </c>
      <c r="AC3" s="42"/>
      <c r="AD3" s="24" t="s">
        <v>106</v>
      </c>
      <c r="AE3" s="24">
        <f>AD8</f>
        <v>75366</v>
      </c>
      <c r="AF3" s="22"/>
      <c r="AG3" s="42"/>
      <c r="AH3" s="24" t="s">
        <v>106</v>
      </c>
      <c r="AI3" s="24">
        <f>AH8</f>
        <v>77619</v>
      </c>
    </row>
    <row r="4" spans="1:35">
      <c r="A4" s="42"/>
      <c r="B4" s="25" t="s">
        <v>107</v>
      </c>
      <c r="C4" s="25">
        <f>SUM(B9:B66)</f>
        <v>1549</v>
      </c>
      <c r="E4" s="42"/>
      <c r="F4" s="25" t="s">
        <v>107</v>
      </c>
      <c r="G4" s="25">
        <f>SUM(F9:F33)</f>
        <v>391</v>
      </c>
      <c r="H4" s="22"/>
      <c r="I4" s="42"/>
      <c r="J4" s="25" t="s">
        <v>107</v>
      </c>
      <c r="K4" s="25">
        <f>SUM(J9:J31)</f>
        <v>64</v>
      </c>
      <c r="M4" s="42"/>
      <c r="N4" s="25" t="s">
        <v>107</v>
      </c>
      <c r="O4" s="25">
        <f>SUM(N9:N66)</f>
        <v>250</v>
      </c>
      <c r="Q4" s="42"/>
      <c r="R4" s="25" t="s">
        <v>107</v>
      </c>
      <c r="S4" s="25">
        <f>SUM(R9:R33)</f>
        <v>81</v>
      </c>
      <c r="T4" s="22"/>
      <c r="U4" s="42"/>
      <c r="V4" s="25" t="s">
        <v>107</v>
      </c>
      <c r="W4" s="25">
        <f>SUM(V9:V31)</f>
        <v>14</v>
      </c>
      <c r="Y4" s="42"/>
      <c r="Z4" s="25" t="s">
        <v>107</v>
      </c>
      <c r="AA4" s="25">
        <f>SUM(Z9:Z45)</f>
        <v>1286</v>
      </c>
      <c r="AC4" s="42"/>
      <c r="AD4" s="25" t="s">
        <v>107</v>
      </c>
      <c r="AE4" s="25">
        <f>SUM(AD9:AD29)</f>
        <v>311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1.4599999999999995E-2</v>
      </c>
      <c r="E5" s="43"/>
      <c r="F5" s="23" t="s">
        <v>108</v>
      </c>
      <c r="G5" s="26">
        <f>SUM(G9:G33)</f>
        <v>3.7999999999999991E-3</v>
      </c>
      <c r="H5" s="22"/>
      <c r="I5" s="43"/>
      <c r="J5" s="23" t="s">
        <v>108</v>
      </c>
      <c r="K5" s="26">
        <f>SUM(K9:K31)</f>
        <v>6.0000000000000006E-4</v>
      </c>
      <c r="M5" s="43"/>
      <c r="N5" s="23" t="s">
        <v>108</v>
      </c>
      <c r="O5" s="26">
        <f>SUM(O9:O179)</f>
        <v>9.5999999999999974E-3</v>
      </c>
      <c r="Q5" s="43"/>
      <c r="R5" s="23" t="s">
        <v>108</v>
      </c>
      <c r="S5" s="26">
        <f>SUM(S9:S33)</f>
        <v>3.5999999999999999E-3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1.6599999999999997E-2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100528</v>
      </c>
      <c r="C8" s="9">
        <v>0.98480000000000001</v>
      </c>
      <c r="E8" s="6" t="s">
        <v>112</v>
      </c>
      <c r="F8" s="29">
        <v>96835</v>
      </c>
      <c r="G8" s="9">
        <v>0.996</v>
      </c>
      <c r="I8" s="6" t="s">
        <v>112</v>
      </c>
      <c r="J8" s="29">
        <v>99496</v>
      </c>
      <c r="K8" s="9">
        <v>0.99939999999999996</v>
      </c>
      <c r="M8" s="6" t="s">
        <v>112</v>
      </c>
      <c r="N8" s="29">
        <v>24894</v>
      </c>
      <c r="O8" s="9">
        <v>0.99009999999999998</v>
      </c>
      <c r="Q8" s="6" t="s">
        <v>112</v>
      </c>
      <c r="R8" s="29">
        <v>21469</v>
      </c>
      <c r="S8" s="9">
        <v>0.99619999999999997</v>
      </c>
      <c r="U8" s="6" t="s">
        <v>112</v>
      </c>
      <c r="V8" s="29">
        <v>21877</v>
      </c>
      <c r="W8" s="9">
        <v>0.99939999999999996</v>
      </c>
      <c r="Y8" s="6" t="s">
        <v>112</v>
      </c>
      <c r="Z8" s="29">
        <v>75634</v>
      </c>
      <c r="AA8" s="9">
        <v>0.98309999999999997</v>
      </c>
      <c r="AC8" s="6" t="s">
        <v>112</v>
      </c>
      <c r="AD8" s="29">
        <v>75366</v>
      </c>
      <c r="AE8" s="9">
        <v>0.99590000000000001</v>
      </c>
      <c r="AG8" s="6" t="s">
        <v>112</v>
      </c>
      <c r="AH8" s="29">
        <v>77619</v>
      </c>
      <c r="AI8" s="9">
        <v>0.99929999999999997</v>
      </c>
    </row>
    <row r="9" spans="1:35">
      <c r="A9" s="6" t="s">
        <v>2</v>
      </c>
      <c r="B9" s="6">
        <v>297</v>
      </c>
      <c r="C9" s="9">
        <v>2.8999999999999998E-3</v>
      </c>
      <c r="E9" s="6" t="s">
        <v>122</v>
      </c>
      <c r="F9" s="6">
        <v>236</v>
      </c>
      <c r="G9" s="9">
        <v>2.3999999999999998E-3</v>
      </c>
      <c r="I9" s="6" t="s">
        <v>2</v>
      </c>
      <c r="J9" s="6">
        <v>22</v>
      </c>
      <c r="K9" s="9">
        <v>2.0000000000000001E-4</v>
      </c>
      <c r="M9" s="6" t="s">
        <v>2</v>
      </c>
      <c r="N9" s="6">
        <v>65</v>
      </c>
      <c r="O9" s="9">
        <v>2.5999999999999999E-3</v>
      </c>
      <c r="Q9" s="6" t="s">
        <v>122</v>
      </c>
      <c r="R9" s="6">
        <v>68</v>
      </c>
      <c r="S9" s="9">
        <v>3.2000000000000002E-3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232</v>
      </c>
      <c r="AA9" s="9">
        <v>3.0000000000000001E-3</v>
      </c>
      <c r="AC9" s="6" t="s">
        <v>122</v>
      </c>
      <c r="AD9" s="6">
        <v>168</v>
      </c>
      <c r="AE9" s="9">
        <v>2.2000000000000001E-3</v>
      </c>
      <c r="AG9" s="6" t="s">
        <v>2</v>
      </c>
      <c r="AH9" s="6">
        <v>16</v>
      </c>
      <c r="AI9" s="9">
        <v>2.0000000000000001E-4</v>
      </c>
    </row>
    <row r="10" spans="1:35">
      <c r="A10" s="6" t="s">
        <v>8</v>
      </c>
      <c r="B10" s="6">
        <v>227</v>
      </c>
      <c r="C10" s="9">
        <v>2.2000000000000001E-3</v>
      </c>
      <c r="E10" s="6" t="s">
        <v>83</v>
      </c>
      <c r="F10" s="6">
        <v>75</v>
      </c>
      <c r="G10" s="9">
        <v>8.0000000000000004E-4</v>
      </c>
      <c r="I10" s="6" t="s">
        <v>98</v>
      </c>
      <c r="J10" s="6">
        <v>13</v>
      </c>
      <c r="K10" s="9">
        <v>1E-4</v>
      </c>
      <c r="M10" s="6" t="s">
        <v>3</v>
      </c>
      <c r="N10" s="6">
        <v>45</v>
      </c>
      <c r="O10" s="9">
        <v>1.8E-3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2</v>
      </c>
      <c r="W10" s="9">
        <v>1E-4</v>
      </c>
      <c r="Y10" s="6" t="s">
        <v>8</v>
      </c>
      <c r="Z10" s="6">
        <v>226</v>
      </c>
      <c r="AA10" s="9">
        <v>2.8999999999999998E-3</v>
      </c>
      <c r="AC10" s="6" t="s">
        <v>83</v>
      </c>
      <c r="AD10" s="6">
        <v>75</v>
      </c>
      <c r="AE10" s="9">
        <v>1E-3</v>
      </c>
      <c r="AG10" s="6" t="s">
        <v>98</v>
      </c>
      <c r="AH10" s="6">
        <v>11</v>
      </c>
      <c r="AI10" s="9">
        <v>1E-4</v>
      </c>
    </row>
    <row r="11" spans="1:35">
      <c r="A11" s="6" t="s">
        <v>9</v>
      </c>
      <c r="B11" s="6">
        <v>196</v>
      </c>
      <c r="C11" s="9">
        <v>1.9E-3</v>
      </c>
      <c r="E11" s="6" t="s">
        <v>74</v>
      </c>
      <c r="F11" s="6">
        <v>15</v>
      </c>
      <c r="G11" s="9">
        <v>2.0000000000000001E-4</v>
      </c>
      <c r="I11" s="6" t="s">
        <v>103</v>
      </c>
      <c r="J11" s="6">
        <v>9</v>
      </c>
      <c r="K11" s="9">
        <v>1E-4</v>
      </c>
      <c r="M11" s="6" t="s">
        <v>37</v>
      </c>
      <c r="N11" s="6">
        <v>21</v>
      </c>
      <c r="O11" s="9">
        <v>8.0000000000000004E-4</v>
      </c>
      <c r="Q11" s="6" t="s">
        <v>86</v>
      </c>
      <c r="R11" s="6">
        <v>2</v>
      </c>
      <c r="S11" s="9">
        <v>1E-4</v>
      </c>
      <c r="U11" s="6" t="s">
        <v>99</v>
      </c>
      <c r="V11" s="6">
        <v>2</v>
      </c>
      <c r="W11" s="9">
        <v>1E-4</v>
      </c>
      <c r="Y11" s="6" t="s">
        <v>9</v>
      </c>
      <c r="Z11" s="6">
        <v>191</v>
      </c>
      <c r="AA11" s="9">
        <v>2.5000000000000001E-3</v>
      </c>
      <c r="AC11" s="6" t="s">
        <v>77</v>
      </c>
      <c r="AD11" s="6">
        <v>12</v>
      </c>
      <c r="AE11" s="9">
        <v>2.0000000000000001E-4</v>
      </c>
      <c r="AG11" s="6" t="s">
        <v>103</v>
      </c>
      <c r="AH11" s="6">
        <v>9</v>
      </c>
      <c r="AI11" s="9">
        <v>1E-4</v>
      </c>
    </row>
    <row r="12" spans="1:35">
      <c r="A12" s="6" t="s">
        <v>3</v>
      </c>
      <c r="B12" s="6">
        <v>189</v>
      </c>
      <c r="C12" s="9">
        <v>1.9E-3</v>
      </c>
      <c r="E12" s="6" t="s">
        <v>76</v>
      </c>
      <c r="F12" s="6">
        <v>9</v>
      </c>
      <c r="G12" s="9">
        <v>1E-4</v>
      </c>
      <c r="I12" s="6" t="s">
        <v>99</v>
      </c>
      <c r="J12" s="6">
        <v>9</v>
      </c>
      <c r="K12" s="9">
        <v>1E-4</v>
      </c>
      <c r="M12" s="6" t="s">
        <v>11</v>
      </c>
      <c r="N12" s="6">
        <v>15</v>
      </c>
      <c r="O12" s="9">
        <v>5.9999999999999995E-4</v>
      </c>
      <c r="Q12" s="6" t="s">
        <v>77</v>
      </c>
      <c r="R12" s="6">
        <v>2</v>
      </c>
      <c r="S12" s="9">
        <v>1E-4</v>
      </c>
      <c r="U12" s="6" t="s">
        <v>102</v>
      </c>
      <c r="V12" s="6">
        <v>1</v>
      </c>
      <c r="W12" s="30">
        <v>0</v>
      </c>
      <c r="Y12" s="6" t="s">
        <v>3</v>
      </c>
      <c r="Z12" s="6">
        <v>144</v>
      </c>
      <c r="AA12" s="9">
        <v>1.9E-3</v>
      </c>
      <c r="AC12" s="6" t="s">
        <v>74</v>
      </c>
      <c r="AD12" s="6">
        <v>15</v>
      </c>
      <c r="AE12" s="9">
        <v>2.0000000000000001E-4</v>
      </c>
      <c r="AG12" s="6" t="s">
        <v>99</v>
      </c>
      <c r="AH12" s="6">
        <v>7</v>
      </c>
      <c r="AI12" s="9">
        <v>1E-4</v>
      </c>
    </row>
    <row r="13" spans="1:35">
      <c r="A13" s="6" t="s">
        <v>5</v>
      </c>
      <c r="B13" s="6">
        <v>76</v>
      </c>
      <c r="C13" s="9">
        <v>6.9999999999999999E-4</v>
      </c>
      <c r="E13" s="6" t="s">
        <v>77</v>
      </c>
      <c r="F13" s="6">
        <v>14</v>
      </c>
      <c r="G13" s="9">
        <v>1E-4</v>
      </c>
      <c r="I13" s="6" t="s">
        <v>113</v>
      </c>
      <c r="J13" s="6">
        <v>5</v>
      </c>
      <c r="K13" s="9">
        <v>1E-4</v>
      </c>
      <c r="M13" s="6" t="s">
        <v>41</v>
      </c>
      <c r="N13" s="6">
        <v>12</v>
      </c>
      <c r="O13" s="9">
        <v>5.0000000000000001E-4</v>
      </c>
      <c r="Q13" s="6" t="s">
        <v>80</v>
      </c>
      <c r="R13" s="6">
        <v>1</v>
      </c>
      <c r="S13" s="30">
        <v>0</v>
      </c>
      <c r="U13" s="6" t="s">
        <v>123</v>
      </c>
      <c r="V13" s="6">
        <v>1</v>
      </c>
      <c r="W13" s="30">
        <v>0</v>
      </c>
      <c r="Y13" s="6" t="s">
        <v>5</v>
      </c>
      <c r="Z13" s="6">
        <v>73</v>
      </c>
      <c r="AA13" s="9">
        <v>8.9999999999999998E-4</v>
      </c>
      <c r="AC13" s="6" t="s">
        <v>79</v>
      </c>
      <c r="AD13" s="6">
        <v>12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41</v>
      </c>
      <c r="B14" s="6">
        <v>70</v>
      </c>
      <c r="C14" s="9">
        <v>6.9999999999999999E-4</v>
      </c>
      <c r="E14" s="6" t="s">
        <v>79</v>
      </c>
      <c r="F14" s="6">
        <v>13</v>
      </c>
      <c r="G14" s="9">
        <v>1E-4</v>
      </c>
      <c r="I14" s="6" t="s">
        <v>102</v>
      </c>
      <c r="J14" s="6">
        <v>2</v>
      </c>
      <c r="K14" s="30">
        <v>0</v>
      </c>
      <c r="M14" s="6" t="s">
        <v>29</v>
      </c>
      <c r="N14" s="6">
        <v>9</v>
      </c>
      <c r="O14" s="9">
        <v>4.0000000000000002E-4</v>
      </c>
      <c r="Q14" s="6" t="s">
        <v>92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41</v>
      </c>
      <c r="Z14" s="6">
        <v>58</v>
      </c>
      <c r="AA14" s="9">
        <v>8.0000000000000004E-4</v>
      </c>
      <c r="AC14" s="6" t="s">
        <v>76</v>
      </c>
      <c r="AD14" s="6">
        <v>5</v>
      </c>
      <c r="AE14" s="9">
        <v>1E-4</v>
      </c>
      <c r="AG14" s="6" t="s">
        <v>102</v>
      </c>
      <c r="AH14" s="6">
        <v>2</v>
      </c>
      <c r="AI14" s="30">
        <v>0</v>
      </c>
    </row>
    <row r="15" spans="1:35">
      <c r="A15" s="6" t="s">
        <v>11</v>
      </c>
      <c r="B15" s="6">
        <v>71</v>
      </c>
      <c r="C15" s="9">
        <v>6.9999999999999999E-4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26</v>
      </c>
      <c r="N15" s="6">
        <v>10</v>
      </c>
      <c r="O15" s="9">
        <v>4.0000000000000002E-4</v>
      </c>
      <c r="Q15" s="6" t="s">
        <v>120</v>
      </c>
      <c r="R15" s="6">
        <v>1</v>
      </c>
      <c r="S15" s="30">
        <v>0</v>
      </c>
      <c r="U15" s="6" t="s">
        <v>113</v>
      </c>
      <c r="V15" s="6">
        <v>1</v>
      </c>
      <c r="W15" s="30">
        <v>0</v>
      </c>
      <c r="Y15" s="6" t="s">
        <v>12</v>
      </c>
      <c r="Z15" s="6">
        <v>55</v>
      </c>
      <c r="AA15" s="9">
        <v>6.9999999999999999E-4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12</v>
      </c>
      <c r="B16" s="6">
        <v>55</v>
      </c>
      <c r="C16" s="9">
        <v>5.0000000000000001E-4</v>
      </c>
      <c r="E16" s="6" t="s">
        <v>80</v>
      </c>
      <c r="F16" s="6">
        <v>2</v>
      </c>
      <c r="G16" s="30">
        <v>0</v>
      </c>
      <c r="I16" s="6" t="s">
        <v>117</v>
      </c>
      <c r="J16" s="6">
        <v>3</v>
      </c>
      <c r="K16" s="30">
        <v>0</v>
      </c>
      <c r="M16" s="6" t="s">
        <v>7</v>
      </c>
      <c r="N16" s="6">
        <v>11</v>
      </c>
      <c r="O16" s="9">
        <v>4.0000000000000002E-4</v>
      </c>
      <c r="Q16" s="6" t="s">
        <v>79</v>
      </c>
      <c r="R16" s="6">
        <v>1</v>
      </c>
      <c r="S16" s="30">
        <v>0</v>
      </c>
      <c r="Y16" s="6" t="s">
        <v>11</v>
      </c>
      <c r="Z16" s="6">
        <v>56</v>
      </c>
      <c r="AA16" s="9">
        <v>6.9999999999999999E-4</v>
      </c>
      <c r="AC16" s="6" t="s">
        <v>78</v>
      </c>
      <c r="AD16" s="6">
        <v>4</v>
      </c>
      <c r="AE16" s="9">
        <v>1E-4</v>
      </c>
      <c r="AG16" s="6" t="s">
        <v>117</v>
      </c>
      <c r="AH16" s="6">
        <v>2</v>
      </c>
      <c r="AI16" s="30">
        <v>0</v>
      </c>
    </row>
    <row r="17" spans="1:31">
      <c r="A17" s="6" t="s">
        <v>7</v>
      </c>
      <c r="B17" s="6">
        <v>50</v>
      </c>
      <c r="C17" s="9">
        <v>5.0000000000000001E-4</v>
      </c>
      <c r="E17" s="6" t="s">
        <v>92</v>
      </c>
      <c r="F17" s="6">
        <v>1</v>
      </c>
      <c r="G17" s="30">
        <v>0</v>
      </c>
      <c r="M17" s="6" t="s">
        <v>19</v>
      </c>
      <c r="N17" s="6">
        <v>7</v>
      </c>
      <c r="O17" s="9">
        <v>2.9999999999999997E-4</v>
      </c>
      <c r="Q17" s="6" t="s">
        <v>75</v>
      </c>
      <c r="R17" s="6">
        <v>1</v>
      </c>
      <c r="S17" s="30">
        <v>0</v>
      </c>
      <c r="Y17" s="6" t="s">
        <v>7</v>
      </c>
      <c r="Z17" s="6">
        <v>39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37</v>
      </c>
      <c r="B18" s="6">
        <v>41</v>
      </c>
      <c r="C18" s="9">
        <v>4.0000000000000002E-4</v>
      </c>
      <c r="E18" s="6" t="s">
        <v>81</v>
      </c>
      <c r="F18" s="6">
        <v>2</v>
      </c>
      <c r="G18" s="30">
        <v>0</v>
      </c>
      <c r="M18" s="6" t="s">
        <v>21</v>
      </c>
      <c r="N18" s="6">
        <v>4</v>
      </c>
      <c r="O18" s="9">
        <v>2.0000000000000001E-4</v>
      </c>
      <c r="Y18" s="6" t="s">
        <v>37</v>
      </c>
      <c r="Z18" s="6">
        <v>20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19</v>
      </c>
      <c r="B19" s="6">
        <v>20</v>
      </c>
      <c r="C19" s="9">
        <v>2.0000000000000001E-4</v>
      </c>
      <c r="E19" s="6" t="s">
        <v>89</v>
      </c>
      <c r="F19" s="6">
        <v>1</v>
      </c>
      <c r="G19" s="30">
        <v>0</v>
      </c>
      <c r="M19" s="6" t="s">
        <v>9</v>
      </c>
      <c r="N19" s="6">
        <v>5</v>
      </c>
      <c r="O19" s="9">
        <v>2.0000000000000001E-4</v>
      </c>
      <c r="Y19" s="6" t="s">
        <v>19</v>
      </c>
      <c r="Z19" s="6">
        <v>13</v>
      </c>
      <c r="AA19" s="9">
        <v>2.0000000000000001E-4</v>
      </c>
      <c r="AC19" s="6" t="s">
        <v>89</v>
      </c>
      <c r="AD19" s="6">
        <v>1</v>
      </c>
      <c r="AE19" s="30">
        <v>0</v>
      </c>
    </row>
    <row r="20" spans="1:31">
      <c r="A20" s="6" t="s">
        <v>29</v>
      </c>
      <c r="B20" s="6">
        <v>24</v>
      </c>
      <c r="C20" s="9">
        <v>2.0000000000000001E-4</v>
      </c>
      <c r="E20" s="6" t="s">
        <v>82</v>
      </c>
      <c r="F20" s="6">
        <v>1</v>
      </c>
      <c r="G20" s="30">
        <v>0</v>
      </c>
      <c r="M20" s="6" t="s">
        <v>18</v>
      </c>
      <c r="N20" s="6">
        <v>5</v>
      </c>
      <c r="O20" s="9">
        <v>2.0000000000000001E-4</v>
      </c>
      <c r="Y20" s="6" t="s">
        <v>14</v>
      </c>
      <c r="Z20" s="6">
        <v>18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14</v>
      </c>
      <c r="B21" s="6">
        <v>19</v>
      </c>
      <c r="C21" s="9">
        <v>2.0000000000000001E-4</v>
      </c>
      <c r="E21" s="6" t="s">
        <v>86</v>
      </c>
      <c r="F21" s="6">
        <v>3</v>
      </c>
      <c r="G21" s="30">
        <v>0</v>
      </c>
      <c r="M21" s="6" t="s">
        <v>49</v>
      </c>
      <c r="N21" s="6">
        <v>4</v>
      </c>
      <c r="O21" s="9">
        <v>2.0000000000000001E-4</v>
      </c>
      <c r="Y21" s="6" t="s">
        <v>17</v>
      </c>
      <c r="Z21" s="6">
        <v>14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18</v>
      </c>
      <c r="B22" s="6">
        <v>20</v>
      </c>
      <c r="C22" s="9">
        <v>2.0000000000000001E-4</v>
      </c>
      <c r="E22" s="6" t="s">
        <v>78</v>
      </c>
      <c r="F22" s="6">
        <v>4</v>
      </c>
      <c r="G22" s="30">
        <v>0</v>
      </c>
      <c r="M22" s="6" t="s">
        <v>31</v>
      </c>
      <c r="N22" s="6">
        <v>4</v>
      </c>
      <c r="O22" s="9">
        <v>2.0000000000000001E-4</v>
      </c>
      <c r="Y22" s="6" t="s">
        <v>18</v>
      </c>
      <c r="Z22" s="6">
        <v>15</v>
      </c>
      <c r="AA22" s="9">
        <v>2.0000000000000001E-4</v>
      </c>
      <c r="AC22" s="6" t="s">
        <v>120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125</v>
      </c>
      <c r="F23" s="6">
        <v>1</v>
      </c>
      <c r="G23" s="30">
        <v>0</v>
      </c>
      <c r="M23" s="6" t="s">
        <v>5</v>
      </c>
      <c r="N23" s="6">
        <v>3</v>
      </c>
      <c r="O23" s="9">
        <v>1E-4</v>
      </c>
      <c r="Y23" s="6" t="s">
        <v>31</v>
      </c>
      <c r="Z23" s="6">
        <v>15</v>
      </c>
      <c r="AA23" s="9">
        <v>2.0000000000000001E-4</v>
      </c>
      <c r="AC23" s="6" t="s">
        <v>86</v>
      </c>
      <c r="AD23" s="6">
        <v>1</v>
      </c>
      <c r="AE23" s="30">
        <v>0</v>
      </c>
    </row>
    <row r="24" spans="1:31">
      <c r="A24" s="6" t="s">
        <v>26</v>
      </c>
      <c r="B24" s="6">
        <v>18</v>
      </c>
      <c r="C24" s="9">
        <v>2.0000000000000001E-4</v>
      </c>
      <c r="E24" s="6" t="s">
        <v>120</v>
      </c>
      <c r="F24" s="6">
        <v>2</v>
      </c>
      <c r="G24" s="30">
        <v>0</v>
      </c>
      <c r="M24" s="6" t="s">
        <v>22</v>
      </c>
      <c r="N24" s="6">
        <v>3</v>
      </c>
      <c r="O24" s="9">
        <v>1E-4</v>
      </c>
      <c r="Y24" s="6" t="s">
        <v>29</v>
      </c>
      <c r="Z24" s="6">
        <v>15</v>
      </c>
      <c r="AA24" s="9">
        <v>2.0000000000000001E-4</v>
      </c>
      <c r="AC24" s="6" t="s">
        <v>91</v>
      </c>
      <c r="AD24" s="6">
        <v>1</v>
      </c>
      <c r="AE24" s="30">
        <v>0</v>
      </c>
    </row>
    <row r="25" spans="1:31">
      <c r="A25" s="6" t="s">
        <v>20</v>
      </c>
      <c r="B25" s="6">
        <v>10</v>
      </c>
      <c r="C25" s="9">
        <v>1E-4</v>
      </c>
      <c r="E25" s="6" t="s">
        <v>135</v>
      </c>
      <c r="F25" s="6">
        <v>1</v>
      </c>
      <c r="G25" s="30">
        <v>0</v>
      </c>
      <c r="M25" s="6" t="s">
        <v>10</v>
      </c>
      <c r="N25" s="6">
        <v>3</v>
      </c>
      <c r="O25" s="9">
        <v>1E-4</v>
      </c>
      <c r="Y25" s="6" t="s">
        <v>20</v>
      </c>
      <c r="Z25" s="6">
        <v>9</v>
      </c>
      <c r="AA25" s="9">
        <v>1E-4</v>
      </c>
      <c r="AC25" s="6" t="s">
        <v>135</v>
      </c>
      <c r="AD25" s="6">
        <v>1</v>
      </c>
      <c r="AE25" s="30">
        <v>0</v>
      </c>
    </row>
    <row r="26" spans="1:31">
      <c r="A26" s="6" t="s">
        <v>21</v>
      </c>
      <c r="B26" s="6">
        <v>14</v>
      </c>
      <c r="C26" s="9">
        <v>1E-4</v>
      </c>
      <c r="E26" s="6" t="s">
        <v>91</v>
      </c>
      <c r="F26" s="6">
        <v>1</v>
      </c>
      <c r="G26" s="30">
        <v>0</v>
      </c>
      <c r="M26" s="6" t="s">
        <v>24</v>
      </c>
      <c r="N26" s="6">
        <v>3</v>
      </c>
      <c r="O26" s="9">
        <v>1E-4</v>
      </c>
      <c r="Y26" s="6" t="s">
        <v>21</v>
      </c>
      <c r="Z26" s="6">
        <v>10</v>
      </c>
      <c r="AA26" s="9">
        <v>1E-4</v>
      </c>
    </row>
    <row r="27" spans="1:31">
      <c r="A27" s="6" t="s">
        <v>17</v>
      </c>
      <c r="B27" s="6">
        <v>15</v>
      </c>
      <c r="C27" s="9">
        <v>1E-4</v>
      </c>
      <c r="M27" s="6" t="s">
        <v>30</v>
      </c>
      <c r="N27" s="6">
        <v>2</v>
      </c>
      <c r="O27" s="9">
        <v>1E-4</v>
      </c>
      <c r="Y27" s="6" t="s">
        <v>30</v>
      </c>
      <c r="Z27" s="6">
        <v>11</v>
      </c>
      <c r="AA27" s="9">
        <v>1E-4</v>
      </c>
    </row>
    <row r="28" spans="1:31">
      <c r="A28" s="6" t="s">
        <v>22</v>
      </c>
      <c r="B28" s="6">
        <v>9</v>
      </c>
      <c r="C28" s="9">
        <v>1E-4</v>
      </c>
      <c r="M28" s="6" t="s">
        <v>40</v>
      </c>
      <c r="N28" s="6">
        <v>2</v>
      </c>
      <c r="O28" s="9">
        <v>1E-4</v>
      </c>
      <c r="Y28" s="6" t="s">
        <v>15</v>
      </c>
      <c r="Z28" s="6">
        <v>7</v>
      </c>
      <c r="AA28" s="9">
        <v>1E-4</v>
      </c>
    </row>
    <row r="29" spans="1:31">
      <c r="A29" s="6" t="s">
        <v>30</v>
      </c>
      <c r="B29" s="6">
        <v>13</v>
      </c>
      <c r="C29" s="9">
        <v>1E-4</v>
      </c>
      <c r="M29" s="6" t="s">
        <v>39</v>
      </c>
      <c r="N29" s="6">
        <v>2</v>
      </c>
      <c r="O29" s="9">
        <v>1E-4</v>
      </c>
      <c r="Y29" s="6" t="s">
        <v>40</v>
      </c>
      <c r="Z29" s="6">
        <v>7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27</v>
      </c>
      <c r="N30" s="6">
        <v>2</v>
      </c>
      <c r="O30" s="9">
        <v>1E-4</v>
      </c>
      <c r="Y30" s="6" t="s">
        <v>22</v>
      </c>
      <c r="Z30" s="6">
        <v>6</v>
      </c>
      <c r="AA30" s="9">
        <v>1E-4</v>
      </c>
    </row>
    <row r="31" spans="1:31">
      <c r="A31" s="6" t="s">
        <v>15</v>
      </c>
      <c r="B31" s="6">
        <v>8</v>
      </c>
      <c r="C31" s="9">
        <v>1E-4</v>
      </c>
      <c r="M31" s="6" t="s">
        <v>20</v>
      </c>
      <c r="N31" s="6">
        <v>1</v>
      </c>
      <c r="O31" s="30">
        <v>0</v>
      </c>
      <c r="Y31" s="6" t="s">
        <v>24</v>
      </c>
      <c r="Z31" s="6">
        <v>7</v>
      </c>
      <c r="AA31" s="9">
        <v>1E-4</v>
      </c>
    </row>
    <row r="32" spans="1:31">
      <c r="A32" s="6" t="s">
        <v>10</v>
      </c>
      <c r="B32" s="6">
        <v>8</v>
      </c>
      <c r="C32" s="9">
        <v>1E-4</v>
      </c>
      <c r="M32" s="6" t="s">
        <v>13</v>
      </c>
      <c r="N32" s="6">
        <v>1</v>
      </c>
      <c r="O32" s="30">
        <v>0</v>
      </c>
      <c r="Y32" s="6" t="s">
        <v>26</v>
      </c>
      <c r="Z32" s="6">
        <v>8</v>
      </c>
      <c r="AA32" s="9">
        <v>1E-4</v>
      </c>
    </row>
    <row r="33" spans="1:27">
      <c r="A33" s="6" t="s">
        <v>24</v>
      </c>
      <c r="B33" s="6">
        <v>10</v>
      </c>
      <c r="C33" s="9">
        <v>1E-4</v>
      </c>
      <c r="M33" s="6" t="s">
        <v>36</v>
      </c>
      <c r="N33" s="6">
        <v>1</v>
      </c>
      <c r="O33" s="30">
        <v>0</v>
      </c>
      <c r="Y33" s="6" t="s">
        <v>10</v>
      </c>
      <c r="Z33" s="6">
        <v>5</v>
      </c>
      <c r="AA33" s="9">
        <v>1E-4</v>
      </c>
    </row>
    <row r="34" spans="1:27">
      <c r="A34" s="6" t="s">
        <v>39</v>
      </c>
      <c r="B34" s="6">
        <v>6</v>
      </c>
      <c r="C34" s="9">
        <v>1E-4</v>
      </c>
      <c r="M34" s="6" t="s">
        <v>8</v>
      </c>
      <c r="N34" s="6">
        <v>1</v>
      </c>
      <c r="O34" s="30">
        <v>0</v>
      </c>
      <c r="Y34" s="6" t="s">
        <v>32</v>
      </c>
      <c r="Z34" s="6">
        <v>5</v>
      </c>
      <c r="AA34" s="9">
        <v>1E-4</v>
      </c>
    </row>
    <row r="35" spans="1:27">
      <c r="A35" s="6" t="s">
        <v>34</v>
      </c>
      <c r="B35" s="6">
        <v>3</v>
      </c>
      <c r="C35" s="30">
        <v>0</v>
      </c>
      <c r="M35" s="6" t="s">
        <v>42</v>
      </c>
      <c r="N35" s="6">
        <v>1</v>
      </c>
      <c r="O35" s="30">
        <v>0</v>
      </c>
      <c r="Y35" s="6" t="s">
        <v>33</v>
      </c>
      <c r="Z35" s="6">
        <v>4</v>
      </c>
      <c r="AA35" s="9">
        <v>1E-4</v>
      </c>
    </row>
    <row r="36" spans="1:27">
      <c r="A36" s="6" t="s">
        <v>13</v>
      </c>
      <c r="B36" s="6">
        <v>1</v>
      </c>
      <c r="C36" s="30">
        <v>0</v>
      </c>
      <c r="M36" s="6" t="s">
        <v>17</v>
      </c>
      <c r="N36" s="6">
        <v>1</v>
      </c>
      <c r="O36" s="30">
        <v>0</v>
      </c>
      <c r="Y36" s="6" t="s">
        <v>39</v>
      </c>
      <c r="Z36" s="6">
        <v>4</v>
      </c>
      <c r="AA36" s="9">
        <v>1E-4</v>
      </c>
    </row>
    <row r="37" spans="1:27">
      <c r="A37" s="6" t="s">
        <v>45</v>
      </c>
      <c r="B37" s="6">
        <v>1</v>
      </c>
      <c r="C37" s="30">
        <v>0</v>
      </c>
      <c r="M37" s="6" t="s">
        <v>15</v>
      </c>
      <c r="N37" s="6">
        <v>1</v>
      </c>
      <c r="O37" s="30">
        <v>0</v>
      </c>
      <c r="Y37" s="6" t="s">
        <v>34</v>
      </c>
      <c r="Z37" s="6">
        <v>3</v>
      </c>
      <c r="AA37" s="30">
        <v>0</v>
      </c>
    </row>
    <row r="38" spans="1:27">
      <c r="A38" s="6" t="s">
        <v>36</v>
      </c>
      <c r="B38" s="6">
        <v>2</v>
      </c>
      <c r="C38" s="30">
        <v>0</v>
      </c>
      <c r="M38" s="6" t="s">
        <v>68</v>
      </c>
      <c r="N38" s="6">
        <v>1</v>
      </c>
      <c r="O38" s="30">
        <v>0</v>
      </c>
      <c r="Y38" s="6" t="s">
        <v>45</v>
      </c>
      <c r="Z38" s="6">
        <v>1</v>
      </c>
      <c r="AA38" s="30">
        <v>0</v>
      </c>
    </row>
    <row r="39" spans="1:27">
      <c r="A39" s="6" t="s">
        <v>16</v>
      </c>
      <c r="B39" s="6">
        <v>2</v>
      </c>
      <c r="C39" s="30">
        <v>0</v>
      </c>
      <c r="M39" s="6" t="s">
        <v>28</v>
      </c>
      <c r="N39" s="6">
        <v>1</v>
      </c>
      <c r="O39" s="30">
        <v>0</v>
      </c>
      <c r="Y39" s="6" t="s">
        <v>36</v>
      </c>
      <c r="Z39" s="6">
        <v>1</v>
      </c>
      <c r="AA39" s="30">
        <v>0</v>
      </c>
    </row>
    <row r="40" spans="1:27">
      <c r="A40" s="6" t="s">
        <v>121</v>
      </c>
      <c r="B40" s="6">
        <v>1</v>
      </c>
      <c r="C40" s="30">
        <v>0</v>
      </c>
      <c r="M40" s="6" t="s">
        <v>14</v>
      </c>
      <c r="N40" s="6">
        <v>1</v>
      </c>
      <c r="O40" s="30">
        <v>0</v>
      </c>
      <c r="Y40" s="6" t="s">
        <v>16</v>
      </c>
      <c r="Z40" s="6">
        <v>2</v>
      </c>
      <c r="AA40" s="30">
        <v>0</v>
      </c>
    </row>
    <row r="41" spans="1:27">
      <c r="A41" s="6" t="s">
        <v>32</v>
      </c>
      <c r="B41" s="6">
        <v>5</v>
      </c>
      <c r="C41" s="30">
        <v>0</v>
      </c>
      <c r="M41" s="6" t="s">
        <v>38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49</v>
      </c>
      <c r="B42" s="6">
        <v>4</v>
      </c>
      <c r="C42" s="30">
        <v>0</v>
      </c>
      <c r="M42" s="6" t="s">
        <v>53</v>
      </c>
      <c r="N42" s="6">
        <v>1</v>
      </c>
      <c r="O42" s="30">
        <v>0</v>
      </c>
      <c r="Y42" s="6" t="s">
        <v>58</v>
      </c>
      <c r="Z42" s="6">
        <v>3</v>
      </c>
      <c r="AA42" s="30">
        <v>0</v>
      </c>
    </row>
    <row r="43" spans="1:27">
      <c r="A43" s="6" t="s">
        <v>129</v>
      </c>
      <c r="B43" s="6">
        <v>1</v>
      </c>
      <c r="C43" s="30">
        <v>0</v>
      </c>
      <c r="M43" s="6" t="s">
        <v>25</v>
      </c>
      <c r="N43" s="6">
        <v>1</v>
      </c>
      <c r="O43" s="30">
        <v>0</v>
      </c>
      <c r="Y43" s="6" t="s">
        <v>64</v>
      </c>
      <c r="Z43" s="6">
        <v>3</v>
      </c>
      <c r="AA43" s="30">
        <v>0</v>
      </c>
    </row>
    <row r="44" spans="1:27">
      <c r="A44" s="6" t="s">
        <v>27</v>
      </c>
      <c r="B44" s="6">
        <v>5</v>
      </c>
      <c r="C44" s="30">
        <v>0</v>
      </c>
      <c r="Y44" s="6" t="s">
        <v>57</v>
      </c>
      <c r="Z44" s="6">
        <v>2</v>
      </c>
      <c r="AA44" s="30">
        <v>0</v>
      </c>
    </row>
    <row r="45" spans="1:27">
      <c r="A45" s="6" t="s">
        <v>42</v>
      </c>
      <c r="B45" s="6">
        <v>3</v>
      </c>
      <c r="C45" s="30">
        <v>0</v>
      </c>
      <c r="Y45" s="6" t="s">
        <v>27</v>
      </c>
      <c r="Z45" s="6">
        <v>3</v>
      </c>
      <c r="AA45" s="30">
        <v>0</v>
      </c>
    </row>
    <row r="46" spans="1:27">
      <c r="A46" s="6" t="s">
        <v>58</v>
      </c>
      <c r="B46" s="6">
        <v>3</v>
      </c>
      <c r="C46" s="30">
        <v>0</v>
      </c>
      <c r="Y46" s="6" t="s">
        <v>38</v>
      </c>
      <c r="Z46" s="6">
        <v>1</v>
      </c>
      <c r="AA46" s="30">
        <v>0</v>
      </c>
    </row>
    <row r="47" spans="1:27">
      <c r="A47" s="6" t="s">
        <v>38</v>
      </c>
      <c r="B47" s="6">
        <v>2</v>
      </c>
      <c r="C47" s="30">
        <v>0</v>
      </c>
      <c r="Y47" s="6" t="s">
        <v>42</v>
      </c>
      <c r="Z47" s="6">
        <v>2</v>
      </c>
      <c r="AA47" s="30">
        <v>0</v>
      </c>
    </row>
    <row r="48" spans="1:27">
      <c r="A48" s="6" t="s">
        <v>68</v>
      </c>
      <c r="B48" s="6">
        <v>2</v>
      </c>
      <c r="C48" s="30">
        <v>0</v>
      </c>
      <c r="Y48" s="6" t="s">
        <v>68</v>
      </c>
      <c r="Z48" s="6">
        <v>1</v>
      </c>
      <c r="AA48" s="30">
        <v>0</v>
      </c>
    </row>
    <row r="49" spans="1:27">
      <c r="A49" s="6" t="s">
        <v>64</v>
      </c>
      <c r="B49" s="6">
        <v>3</v>
      </c>
      <c r="C49" s="30">
        <v>0</v>
      </c>
      <c r="Y49" s="6" t="s">
        <v>129</v>
      </c>
      <c r="Z49" s="6">
        <v>1</v>
      </c>
      <c r="AA49" s="30">
        <v>0</v>
      </c>
    </row>
    <row r="50" spans="1:27">
      <c r="A50" s="6" t="s">
        <v>57</v>
      </c>
      <c r="B50" s="6">
        <v>2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28</v>
      </c>
      <c r="B51" s="6">
        <v>2</v>
      </c>
      <c r="C51" s="30">
        <v>0</v>
      </c>
      <c r="Y51" s="6" t="s">
        <v>53</v>
      </c>
      <c r="Z51" s="6">
        <v>1</v>
      </c>
      <c r="AA51" s="30">
        <v>0</v>
      </c>
    </row>
    <row r="52" spans="1:27">
      <c r="A52" s="6" t="s">
        <v>53</v>
      </c>
      <c r="B52" s="6">
        <v>2</v>
      </c>
      <c r="C52" s="30">
        <v>0</v>
      </c>
      <c r="Y52" s="6" t="s">
        <v>60</v>
      </c>
      <c r="Z52" s="6">
        <v>1</v>
      </c>
      <c r="AA52" s="30">
        <v>0</v>
      </c>
    </row>
    <row r="53" spans="1:27">
      <c r="A53" s="6" t="s">
        <v>33</v>
      </c>
      <c r="B53" s="6">
        <v>4</v>
      </c>
      <c r="C53" s="30">
        <v>0</v>
      </c>
      <c r="Y53" s="6" t="s">
        <v>155</v>
      </c>
      <c r="Z53" s="6">
        <v>1</v>
      </c>
      <c r="AA53" s="30">
        <v>0</v>
      </c>
    </row>
    <row r="54" spans="1:27">
      <c r="A54" s="6" t="s">
        <v>25</v>
      </c>
      <c r="B54" s="6">
        <v>3</v>
      </c>
      <c r="C54" s="30">
        <v>0</v>
      </c>
      <c r="Y54" s="6" t="s">
        <v>25</v>
      </c>
      <c r="Z54" s="6">
        <v>2</v>
      </c>
      <c r="AA54" s="30">
        <v>0</v>
      </c>
    </row>
    <row r="55" spans="1:27">
      <c r="A55" s="6" t="s">
        <v>60</v>
      </c>
      <c r="B55" s="6">
        <v>1</v>
      </c>
      <c r="C55" s="30">
        <v>0</v>
      </c>
      <c r="Y55" s="6" t="s">
        <v>28</v>
      </c>
      <c r="Z55" s="6">
        <v>1</v>
      </c>
      <c r="AA55" s="30">
        <v>0</v>
      </c>
    </row>
    <row r="56" spans="1:27">
      <c r="A56" s="6" t="s">
        <v>59</v>
      </c>
      <c r="B56" s="6">
        <v>1</v>
      </c>
      <c r="C56" s="30">
        <v>0</v>
      </c>
      <c r="Y56" s="6" t="s">
        <v>23</v>
      </c>
      <c r="Z56" s="6">
        <v>1</v>
      </c>
      <c r="AA56" s="30">
        <v>0</v>
      </c>
    </row>
    <row r="57" spans="1:27">
      <c r="A57" s="6" t="s">
        <v>155</v>
      </c>
      <c r="B57" s="6">
        <v>1</v>
      </c>
      <c r="C57" s="30">
        <v>0</v>
      </c>
    </row>
    <row r="58" spans="1:27">
      <c r="A58" s="6" t="s">
        <v>23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1D87-45FC-4539-9FD3-8302863D30CB}">
  <sheetPr codeName="Sheet43"/>
  <dimension ref="A1:AI60"/>
  <sheetViews>
    <sheetView topLeftCell="R4" workbookViewId="0">
      <selection activeCell="W3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107949</v>
      </c>
      <c r="E2" s="41" t="s">
        <v>4</v>
      </c>
      <c r="F2" s="23" t="s">
        <v>105</v>
      </c>
      <c r="G2" s="23">
        <f>G3+G4</f>
        <v>101355</v>
      </c>
      <c r="H2" s="22"/>
      <c r="I2" s="41" t="s">
        <v>6</v>
      </c>
      <c r="J2" s="23" t="s">
        <v>105</v>
      </c>
      <c r="K2" s="23">
        <f>K3+K4</f>
        <v>99183</v>
      </c>
      <c r="M2" s="41" t="s">
        <v>104</v>
      </c>
      <c r="N2" s="23" t="s">
        <v>105</v>
      </c>
      <c r="O2" s="23">
        <f>O3+O4</f>
        <v>32257</v>
      </c>
      <c r="Q2" s="41" t="s">
        <v>4</v>
      </c>
      <c r="R2" s="23" t="s">
        <v>105</v>
      </c>
      <c r="S2" s="23">
        <f>S3+S4</f>
        <v>30424</v>
      </c>
      <c r="T2" s="22"/>
      <c r="U2" s="41" t="s">
        <v>6</v>
      </c>
      <c r="V2" s="23" t="s">
        <v>105</v>
      </c>
      <c r="W2" s="23">
        <f>W3+W4</f>
        <v>29097</v>
      </c>
      <c r="Y2" s="41" t="s">
        <v>104</v>
      </c>
      <c r="Z2" s="23" t="s">
        <v>105</v>
      </c>
      <c r="AA2" s="23">
        <f>AA3+AA4</f>
        <v>75681</v>
      </c>
      <c r="AC2" s="41" t="s">
        <v>4</v>
      </c>
      <c r="AD2" s="23" t="s">
        <v>105</v>
      </c>
      <c r="AE2" s="23">
        <f>AE3+AE4</f>
        <v>70932</v>
      </c>
      <c r="AF2" s="22"/>
      <c r="AG2" s="41" t="s">
        <v>6</v>
      </c>
      <c r="AH2" s="23" t="s">
        <v>105</v>
      </c>
      <c r="AI2" s="23">
        <f>AI3+AI4</f>
        <v>70088</v>
      </c>
    </row>
    <row r="3" spans="1:35">
      <c r="A3" s="42"/>
      <c r="B3" s="24" t="s">
        <v>106</v>
      </c>
      <c r="C3" s="24">
        <f>B8</f>
        <v>106059</v>
      </c>
      <c r="E3" s="42"/>
      <c r="F3" s="24" t="s">
        <v>106</v>
      </c>
      <c r="G3" s="24">
        <f>F8</f>
        <v>100922</v>
      </c>
      <c r="H3" s="22"/>
      <c r="I3" s="42"/>
      <c r="J3" s="24" t="s">
        <v>106</v>
      </c>
      <c r="K3" s="24">
        <f>J8</f>
        <v>99083</v>
      </c>
      <c r="M3" s="42"/>
      <c r="N3" s="24" t="s">
        <v>106</v>
      </c>
      <c r="O3" s="24">
        <f>N8</f>
        <v>31884</v>
      </c>
      <c r="Q3" s="42"/>
      <c r="R3" s="24" t="s">
        <v>106</v>
      </c>
      <c r="S3" s="24">
        <f>R8</f>
        <v>30334</v>
      </c>
      <c r="T3" s="22"/>
      <c r="U3" s="42"/>
      <c r="V3" s="24" t="s">
        <v>106</v>
      </c>
      <c r="W3" s="24">
        <f>V8</f>
        <v>29066</v>
      </c>
      <c r="Y3" s="42"/>
      <c r="Z3" s="24" t="s">
        <v>106</v>
      </c>
      <c r="AA3" s="24">
        <f>Z8</f>
        <v>74175</v>
      </c>
      <c r="AC3" s="42"/>
      <c r="AD3" s="24" t="s">
        <v>106</v>
      </c>
      <c r="AE3" s="24">
        <f>AD8</f>
        <v>70588</v>
      </c>
      <c r="AF3" s="22"/>
      <c r="AG3" s="42"/>
      <c r="AH3" s="24" t="s">
        <v>106</v>
      </c>
      <c r="AI3" s="24">
        <f>AH8</f>
        <v>70017</v>
      </c>
    </row>
    <row r="4" spans="1:35">
      <c r="A4" s="42"/>
      <c r="B4" s="25" t="s">
        <v>107</v>
      </c>
      <c r="C4" s="25">
        <f>SUM(B9:B66)</f>
        <v>1890</v>
      </c>
      <c r="E4" s="42"/>
      <c r="F4" s="25" t="s">
        <v>107</v>
      </c>
      <c r="G4" s="25">
        <f>SUM(F9:F33)</f>
        <v>433</v>
      </c>
      <c r="H4" s="22"/>
      <c r="I4" s="42"/>
      <c r="J4" s="25" t="s">
        <v>107</v>
      </c>
      <c r="K4" s="25">
        <f>SUM(J9:J31)</f>
        <v>100</v>
      </c>
      <c r="M4" s="42"/>
      <c r="N4" s="25" t="s">
        <v>107</v>
      </c>
      <c r="O4" s="25">
        <f>SUM(N9:N66)</f>
        <v>373</v>
      </c>
      <c r="Q4" s="42"/>
      <c r="R4" s="25" t="s">
        <v>107</v>
      </c>
      <c r="S4" s="25">
        <f>SUM(R9:R33)</f>
        <v>90</v>
      </c>
      <c r="T4" s="22"/>
      <c r="U4" s="42"/>
      <c r="V4" s="25" t="s">
        <v>107</v>
      </c>
      <c r="W4" s="25">
        <f>SUM(V9:V31)</f>
        <v>31</v>
      </c>
      <c r="Y4" s="42"/>
      <c r="Z4" s="25" t="s">
        <v>107</v>
      </c>
      <c r="AA4" s="25">
        <f>SUM(Z9:Z45)</f>
        <v>1506</v>
      </c>
      <c r="AC4" s="42"/>
      <c r="AD4" s="25" t="s">
        <v>107</v>
      </c>
      <c r="AE4" s="25">
        <f>SUM(AD9:AD29)</f>
        <v>344</v>
      </c>
      <c r="AF4" s="22"/>
      <c r="AG4" s="42"/>
      <c r="AH4" s="25" t="s">
        <v>107</v>
      </c>
      <c r="AI4" s="25">
        <f>SUM(AH9:AH29)</f>
        <v>71</v>
      </c>
    </row>
    <row r="5" spans="1:35">
      <c r="A5" s="43"/>
      <c r="B5" s="23" t="s">
        <v>108</v>
      </c>
      <c r="C5" s="26">
        <f>SUM(C9:C179)</f>
        <v>1.709999999999999E-2</v>
      </c>
      <c r="E5" s="43"/>
      <c r="F5" s="23" t="s">
        <v>108</v>
      </c>
      <c r="G5" s="26">
        <f>SUM(G9:G33)</f>
        <v>4.2000000000000006E-3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1.1199999999999996E-2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1.9699999999999985E-2</v>
      </c>
      <c r="AC5" s="43"/>
      <c r="AD5" s="23" t="s">
        <v>108</v>
      </c>
      <c r="AE5" s="26">
        <f>SUM(AE9:AE29)</f>
        <v>4.7999999999999996E-3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106059</v>
      </c>
      <c r="C8" s="9">
        <v>0.98250000000000004</v>
      </c>
      <c r="E8" s="6" t="s">
        <v>112</v>
      </c>
      <c r="F8" s="29">
        <v>100922</v>
      </c>
      <c r="G8" s="9">
        <v>0.99570000000000003</v>
      </c>
      <c r="I8" s="6" t="s">
        <v>112</v>
      </c>
      <c r="J8" s="29">
        <v>99083</v>
      </c>
      <c r="K8" s="9">
        <v>0.999</v>
      </c>
      <c r="M8" s="6" t="s">
        <v>112</v>
      </c>
      <c r="N8" s="29">
        <v>31884</v>
      </c>
      <c r="O8" s="9">
        <v>0.98839999999999995</v>
      </c>
      <c r="Q8" s="6" t="s">
        <v>112</v>
      </c>
      <c r="R8" s="29">
        <v>30334</v>
      </c>
      <c r="S8" s="9">
        <v>0.997</v>
      </c>
      <c r="U8" s="6" t="s">
        <v>112</v>
      </c>
      <c r="V8" s="29">
        <v>29066</v>
      </c>
      <c r="W8" s="9">
        <v>0.99890000000000001</v>
      </c>
      <c r="Y8" s="6" t="s">
        <v>112</v>
      </c>
      <c r="Z8" s="29">
        <v>74175</v>
      </c>
      <c r="AA8" s="30">
        <v>0.98</v>
      </c>
      <c r="AC8" s="6" t="s">
        <v>112</v>
      </c>
      <c r="AD8" s="29">
        <v>70588</v>
      </c>
      <c r="AE8" s="9">
        <v>0.99519999999999997</v>
      </c>
      <c r="AG8" s="6" t="s">
        <v>112</v>
      </c>
      <c r="AH8" s="29">
        <v>70017</v>
      </c>
      <c r="AI8" s="9">
        <v>0.999</v>
      </c>
    </row>
    <row r="9" spans="1:35">
      <c r="A9" s="6" t="s">
        <v>2</v>
      </c>
      <c r="B9" s="6">
        <v>364</v>
      </c>
      <c r="C9" s="9">
        <v>3.3999999999999998E-3</v>
      </c>
      <c r="E9" s="6" t="s">
        <v>122</v>
      </c>
      <c r="F9" s="6">
        <v>276</v>
      </c>
      <c r="G9" s="9">
        <v>2.7000000000000001E-3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82</v>
      </c>
      <c r="O9" s="9">
        <v>2.5000000000000001E-3</v>
      </c>
      <c r="Q9" s="6" t="s">
        <v>122</v>
      </c>
      <c r="R9" s="6">
        <v>70</v>
      </c>
      <c r="S9" s="9">
        <v>2.3E-3</v>
      </c>
      <c r="U9" s="6" t="s">
        <v>99</v>
      </c>
      <c r="V9" s="6">
        <v>9</v>
      </c>
      <c r="W9" s="9">
        <v>2.9999999999999997E-4</v>
      </c>
      <c r="Y9" s="6" t="s">
        <v>9</v>
      </c>
      <c r="Z9" s="6">
        <v>343</v>
      </c>
      <c r="AA9" s="9">
        <v>4.4999999999999997E-3</v>
      </c>
      <c r="AC9" s="6" t="s">
        <v>122</v>
      </c>
      <c r="AD9" s="6">
        <v>206</v>
      </c>
      <c r="AE9" s="9">
        <v>2.8999999999999998E-3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9</v>
      </c>
      <c r="B10" s="6">
        <v>353</v>
      </c>
      <c r="C10" s="9">
        <v>3.3E-3</v>
      </c>
      <c r="E10" s="6" t="s">
        <v>83</v>
      </c>
      <c r="F10" s="6">
        <v>61</v>
      </c>
      <c r="G10" s="9">
        <v>5.9999999999999995E-4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66</v>
      </c>
      <c r="O10" s="9">
        <v>2E-3</v>
      </c>
      <c r="Q10" s="6" t="s">
        <v>75</v>
      </c>
      <c r="R10" s="6">
        <v>5</v>
      </c>
      <c r="S10" s="9">
        <v>2.0000000000000001E-4</v>
      </c>
      <c r="U10" s="6" t="s">
        <v>98</v>
      </c>
      <c r="V10" s="6">
        <v>7</v>
      </c>
      <c r="W10" s="9">
        <v>2.0000000000000001E-4</v>
      </c>
      <c r="Y10" s="6" t="s">
        <v>2</v>
      </c>
      <c r="Z10" s="6">
        <v>282</v>
      </c>
      <c r="AA10" s="9">
        <v>3.7000000000000002E-3</v>
      </c>
      <c r="AC10" s="6" t="s">
        <v>83</v>
      </c>
      <c r="AD10" s="6">
        <v>61</v>
      </c>
      <c r="AE10" s="9">
        <v>8.9999999999999998E-4</v>
      </c>
      <c r="AG10" s="6" t="s">
        <v>99</v>
      </c>
      <c r="AH10" s="6">
        <v>13</v>
      </c>
      <c r="AI10" s="9">
        <v>2.0000000000000001E-4</v>
      </c>
    </row>
    <row r="11" spans="1:35">
      <c r="A11" s="6" t="s">
        <v>8</v>
      </c>
      <c r="B11" s="6">
        <v>222</v>
      </c>
      <c r="C11" s="9">
        <v>2.0999999999999999E-3</v>
      </c>
      <c r="E11" s="6" t="s">
        <v>74</v>
      </c>
      <c r="F11" s="6">
        <v>27</v>
      </c>
      <c r="G11" s="9">
        <v>2.9999999999999997E-4</v>
      </c>
      <c r="I11" s="6" t="s">
        <v>99</v>
      </c>
      <c r="J11" s="6">
        <v>22</v>
      </c>
      <c r="K11" s="9">
        <v>2.0000000000000001E-4</v>
      </c>
      <c r="M11" s="6" t="s">
        <v>37</v>
      </c>
      <c r="N11" s="6">
        <v>27</v>
      </c>
      <c r="O11" s="9">
        <v>8.0000000000000004E-4</v>
      </c>
      <c r="Q11" s="6" t="s">
        <v>76</v>
      </c>
      <c r="R11" s="6">
        <v>3</v>
      </c>
      <c r="S11" s="9">
        <v>1E-4</v>
      </c>
      <c r="U11" s="6" t="s">
        <v>102</v>
      </c>
      <c r="V11" s="6">
        <v>5</v>
      </c>
      <c r="W11" s="9">
        <v>2.0000000000000001E-4</v>
      </c>
      <c r="Y11" s="6" t="s">
        <v>8</v>
      </c>
      <c r="Z11" s="6">
        <v>220</v>
      </c>
      <c r="AA11" s="9">
        <v>2.8999999999999998E-3</v>
      </c>
      <c r="AC11" s="6" t="s">
        <v>74</v>
      </c>
      <c r="AD11" s="6">
        <v>24</v>
      </c>
      <c r="AE11" s="9">
        <v>2.9999999999999997E-4</v>
      </c>
      <c r="AG11" s="6" t="s">
        <v>113</v>
      </c>
      <c r="AH11" s="6">
        <v>11</v>
      </c>
      <c r="AI11" s="9">
        <v>2.0000000000000001E-4</v>
      </c>
    </row>
    <row r="12" spans="1:35">
      <c r="A12" s="6" t="s">
        <v>3</v>
      </c>
      <c r="B12" s="6">
        <v>230</v>
      </c>
      <c r="C12" s="9">
        <v>2.0999999999999999E-3</v>
      </c>
      <c r="E12" s="6" t="s">
        <v>79</v>
      </c>
      <c r="F12" s="6">
        <v>17</v>
      </c>
      <c r="G12" s="9">
        <v>2.0000000000000001E-4</v>
      </c>
      <c r="I12" s="6" t="s">
        <v>102</v>
      </c>
      <c r="J12" s="6">
        <v>11</v>
      </c>
      <c r="K12" s="9">
        <v>1E-4</v>
      </c>
      <c r="M12" s="6" t="s">
        <v>26</v>
      </c>
      <c r="N12" s="6">
        <v>22</v>
      </c>
      <c r="O12" s="9">
        <v>6.9999999999999999E-4</v>
      </c>
      <c r="Q12" s="6" t="s">
        <v>74</v>
      </c>
      <c r="R12" s="6">
        <v>3</v>
      </c>
      <c r="S12" s="9">
        <v>1E-4</v>
      </c>
      <c r="U12" s="6" t="s">
        <v>2</v>
      </c>
      <c r="V12" s="6">
        <v>5</v>
      </c>
      <c r="W12" s="9">
        <v>2.0000000000000001E-4</v>
      </c>
      <c r="Y12" s="6" t="s">
        <v>3</v>
      </c>
      <c r="Z12" s="6">
        <v>164</v>
      </c>
      <c r="AA12" s="9">
        <v>2.2000000000000001E-3</v>
      </c>
      <c r="AC12" s="6" t="s">
        <v>77</v>
      </c>
      <c r="AD12" s="6">
        <v>13</v>
      </c>
      <c r="AE12" s="9">
        <v>2.0000000000000001E-4</v>
      </c>
      <c r="AG12" s="6" t="s">
        <v>102</v>
      </c>
      <c r="AH12" s="6">
        <v>7</v>
      </c>
      <c r="AI12" s="9">
        <v>1E-4</v>
      </c>
    </row>
    <row r="13" spans="1:35">
      <c r="A13" s="6" t="s">
        <v>5</v>
      </c>
      <c r="B13" s="6">
        <v>79</v>
      </c>
      <c r="C13" s="9">
        <v>6.9999999999999999E-4</v>
      </c>
      <c r="E13" s="6" t="s">
        <v>76</v>
      </c>
      <c r="F13" s="6">
        <v>9</v>
      </c>
      <c r="G13" s="9">
        <v>1E-4</v>
      </c>
      <c r="I13" s="6" t="s">
        <v>113</v>
      </c>
      <c r="J13" s="6">
        <v>13</v>
      </c>
      <c r="K13" s="9">
        <v>1E-4</v>
      </c>
      <c r="M13" s="6" t="s">
        <v>7</v>
      </c>
      <c r="N13" s="6">
        <v>23</v>
      </c>
      <c r="O13" s="9">
        <v>6.9999999999999999E-4</v>
      </c>
      <c r="Q13" s="6" t="s">
        <v>79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70</v>
      </c>
      <c r="AA13" s="9">
        <v>8.9999999999999998E-4</v>
      </c>
      <c r="AC13" s="6" t="s">
        <v>79</v>
      </c>
      <c r="AD13" s="6">
        <v>14</v>
      </c>
      <c r="AE13" s="9">
        <v>2.0000000000000001E-4</v>
      </c>
      <c r="AG13" s="6" t="s">
        <v>98</v>
      </c>
      <c r="AH13" s="6">
        <v>10</v>
      </c>
      <c r="AI13" s="9">
        <v>1E-4</v>
      </c>
    </row>
    <row r="14" spans="1:35">
      <c r="A14" s="6" t="s">
        <v>11</v>
      </c>
      <c r="B14" s="6">
        <v>68</v>
      </c>
      <c r="C14" s="9">
        <v>5.9999999999999995E-4</v>
      </c>
      <c r="E14" s="6" t="s">
        <v>77</v>
      </c>
      <c r="F14" s="6">
        <v>13</v>
      </c>
      <c r="G14" s="9">
        <v>1E-4</v>
      </c>
      <c r="I14" s="6" t="s">
        <v>103</v>
      </c>
      <c r="J14" s="6">
        <v>3</v>
      </c>
      <c r="K14" s="30">
        <v>0</v>
      </c>
      <c r="M14" s="6" t="s">
        <v>41</v>
      </c>
      <c r="N14" s="6">
        <v>17</v>
      </c>
      <c r="O14" s="9">
        <v>5.0000000000000001E-4</v>
      </c>
      <c r="Q14" s="6" t="s">
        <v>78</v>
      </c>
      <c r="R14" s="6">
        <v>3</v>
      </c>
      <c r="S14" s="9">
        <v>1E-4</v>
      </c>
      <c r="U14" s="6" t="s">
        <v>117</v>
      </c>
      <c r="V14" s="6">
        <v>1</v>
      </c>
      <c r="W14" s="30">
        <v>0</v>
      </c>
      <c r="Y14" s="6" t="s">
        <v>11</v>
      </c>
      <c r="Z14" s="6">
        <v>52</v>
      </c>
      <c r="AA14" s="9">
        <v>6.9999999999999999E-4</v>
      </c>
      <c r="AC14" s="6" t="s">
        <v>76</v>
      </c>
      <c r="AD14" s="6">
        <v>6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41</v>
      </c>
      <c r="B15" s="6">
        <v>67</v>
      </c>
      <c r="C15" s="9">
        <v>5.9999999999999995E-4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11</v>
      </c>
      <c r="N15" s="6">
        <v>16</v>
      </c>
      <c r="O15" s="9">
        <v>5.0000000000000001E-4</v>
      </c>
      <c r="Q15" s="6" t="s">
        <v>80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41</v>
      </c>
      <c r="Z15" s="6">
        <v>50</v>
      </c>
      <c r="AA15" s="9">
        <v>6.9999999999999999E-4</v>
      </c>
      <c r="AC15" s="6" t="s">
        <v>78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70</v>
      </c>
      <c r="C16" s="9">
        <v>5.9999999999999995E-4</v>
      </c>
      <c r="E16" s="6" t="s">
        <v>78</v>
      </c>
      <c r="F16" s="6">
        <v>10</v>
      </c>
      <c r="G16" s="9">
        <v>1E-4</v>
      </c>
      <c r="I16" s="6" t="s">
        <v>117</v>
      </c>
      <c r="J16" s="6">
        <v>2</v>
      </c>
      <c r="K16" s="30">
        <v>0</v>
      </c>
      <c r="M16" s="6" t="s">
        <v>22</v>
      </c>
      <c r="N16" s="6">
        <v>12</v>
      </c>
      <c r="O16" s="9">
        <v>4.0000000000000002E-4</v>
      </c>
      <c r="Q16" s="6" t="s">
        <v>145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7</v>
      </c>
      <c r="Z16" s="6">
        <v>47</v>
      </c>
      <c r="AA16" s="9">
        <v>5.9999999999999995E-4</v>
      </c>
      <c r="AC16" s="6" t="s">
        <v>75</v>
      </c>
      <c r="AD16" s="6">
        <v>5</v>
      </c>
      <c r="AE16" s="9">
        <v>1E-4</v>
      </c>
      <c r="AG16" s="6" t="s">
        <v>117</v>
      </c>
      <c r="AH16" s="6">
        <v>1</v>
      </c>
      <c r="AI16" s="30">
        <v>0</v>
      </c>
    </row>
    <row r="17" spans="1:31">
      <c r="A17" s="6" t="s">
        <v>37</v>
      </c>
      <c r="B17" s="6">
        <v>55</v>
      </c>
      <c r="C17" s="9">
        <v>5.0000000000000001E-4</v>
      </c>
      <c r="E17" s="6" t="s">
        <v>80</v>
      </c>
      <c r="F17" s="6">
        <v>2</v>
      </c>
      <c r="G17" s="30">
        <v>0</v>
      </c>
      <c r="M17" s="6" t="s">
        <v>5</v>
      </c>
      <c r="N17" s="6">
        <v>9</v>
      </c>
      <c r="O17" s="9">
        <v>2.9999999999999997E-4</v>
      </c>
      <c r="Q17" s="6" t="s">
        <v>86</v>
      </c>
      <c r="R17" s="6">
        <v>1</v>
      </c>
      <c r="S17" s="30">
        <v>0</v>
      </c>
      <c r="Y17" s="6" t="s">
        <v>12</v>
      </c>
      <c r="Z17" s="6">
        <v>37</v>
      </c>
      <c r="AA17" s="9">
        <v>5.0000000000000001E-4</v>
      </c>
      <c r="AC17" s="6" t="s">
        <v>89</v>
      </c>
      <c r="AD17" s="6">
        <v>1</v>
      </c>
      <c r="AE17" s="30">
        <v>0</v>
      </c>
    </row>
    <row r="18" spans="1:31">
      <c r="A18" s="6" t="s">
        <v>12</v>
      </c>
      <c r="B18" s="6">
        <v>40</v>
      </c>
      <c r="C18" s="9">
        <v>4.0000000000000002E-4</v>
      </c>
      <c r="E18" s="6" t="s">
        <v>89</v>
      </c>
      <c r="F18" s="6">
        <v>1</v>
      </c>
      <c r="G18" s="30">
        <v>0</v>
      </c>
      <c r="M18" s="6" t="s">
        <v>9</v>
      </c>
      <c r="N18" s="6">
        <v>10</v>
      </c>
      <c r="O18" s="9">
        <v>2.9999999999999997E-4</v>
      </c>
      <c r="Y18" s="6" t="s">
        <v>37</v>
      </c>
      <c r="Z18" s="6">
        <v>28</v>
      </c>
      <c r="AA18" s="9">
        <v>4.0000000000000002E-4</v>
      </c>
      <c r="AC18" s="6" t="s">
        <v>80</v>
      </c>
      <c r="AD18" s="6">
        <v>2</v>
      </c>
      <c r="AE18" s="30">
        <v>0</v>
      </c>
    </row>
    <row r="19" spans="1:31">
      <c r="A19" s="6" t="s">
        <v>26</v>
      </c>
      <c r="B19" s="6">
        <v>37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45</v>
      </c>
      <c r="N19" s="6">
        <v>10</v>
      </c>
      <c r="O19" s="9">
        <v>2.9999999999999997E-4</v>
      </c>
      <c r="Y19" s="6" t="s">
        <v>19</v>
      </c>
      <c r="Z19" s="6">
        <v>17</v>
      </c>
      <c r="AA19" s="9">
        <v>2.0000000000000001E-4</v>
      </c>
      <c r="AC19" s="6" t="s">
        <v>154</v>
      </c>
      <c r="AD19" s="6">
        <v>1</v>
      </c>
      <c r="AE19" s="30">
        <v>0</v>
      </c>
    </row>
    <row r="20" spans="1:31">
      <c r="A20" s="6" t="s">
        <v>31</v>
      </c>
      <c r="B20" s="6">
        <v>27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31</v>
      </c>
      <c r="N20" s="6">
        <v>10</v>
      </c>
      <c r="O20" s="9">
        <v>2.9999999999999997E-4</v>
      </c>
      <c r="Y20" s="6" t="s">
        <v>17</v>
      </c>
      <c r="Z20" s="6">
        <v>13</v>
      </c>
      <c r="AA20" s="9">
        <v>2.0000000000000001E-4</v>
      </c>
      <c r="AC20" s="6" t="s">
        <v>85</v>
      </c>
      <c r="AD20" s="6">
        <v>1</v>
      </c>
      <c r="AE20" s="30">
        <v>0</v>
      </c>
    </row>
    <row r="21" spans="1:31">
      <c r="A21" s="6" t="s">
        <v>19</v>
      </c>
      <c r="B21" s="6">
        <v>21</v>
      </c>
      <c r="C21" s="9">
        <v>2.0000000000000001E-4</v>
      </c>
      <c r="E21" s="6" t="s">
        <v>154</v>
      </c>
      <c r="F21" s="6">
        <v>1</v>
      </c>
      <c r="G21" s="30">
        <v>0</v>
      </c>
      <c r="M21" s="6" t="s">
        <v>18</v>
      </c>
      <c r="N21" s="6">
        <v>8</v>
      </c>
      <c r="O21" s="9">
        <v>2.0000000000000001E-4</v>
      </c>
      <c r="Y21" s="6" t="s">
        <v>15</v>
      </c>
      <c r="Z21" s="6">
        <v>17</v>
      </c>
      <c r="AA21" s="9">
        <v>2.0000000000000001E-4</v>
      </c>
      <c r="AC21" s="6" t="s">
        <v>82</v>
      </c>
      <c r="AD21" s="6">
        <v>1</v>
      </c>
      <c r="AE21" s="30">
        <v>0</v>
      </c>
    </row>
    <row r="22" spans="1:31">
      <c r="A22" s="6" t="s">
        <v>22</v>
      </c>
      <c r="B22" s="6">
        <v>22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10</v>
      </c>
      <c r="N22" s="6">
        <v>5</v>
      </c>
      <c r="O22" s="9">
        <v>2.0000000000000001E-4</v>
      </c>
      <c r="Y22" s="6" t="s">
        <v>31</v>
      </c>
      <c r="Z22" s="6">
        <v>17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17</v>
      </c>
      <c r="B23" s="6">
        <v>17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29</v>
      </c>
      <c r="N23" s="6">
        <v>6</v>
      </c>
      <c r="O23" s="9">
        <v>2.0000000000000001E-4</v>
      </c>
      <c r="Y23" s="6" t="s">
        <v>29</v>
      </c>
      <c r="Z23" s="6">
        <v>17</v>
      </c>
      <c r="AA23" s="9">
        <v>2.0000000000000001E-4</v>
      </c>
      <c r="AC23" s="6" t="s">
        <v>172</v>
      </c>
      <c r="AD23" s="6">
        <v>1</v>
      </c>
      <c r="AE23" s="30">
        <v>0</v>
      </c>
    </row>
    <row r="24" spans="1:31">
      <c r="A24" s="6" t="s">
        <v>18</v>
      </c>
      <c r="B24" s="6">
        <v>23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27</v>
      </c>
      <c r="N24" s="6">
        <v>5</v>
      </c>
      <c r="O24" s="9">
        <v>2.0000000000000001E-4</v>
      </c>
      <c r="Y24" s="6" t="s">
        <v>18</v>
      </c>
      <c r="Z24" s="6">
        <v>15</v>
      </c>
      <c r="AA24" s="9">
        <v>2.0000000000000001E-4</v>
      </c>
    </row>
    <row r="25" spans="1:31">
      <c r="A25" s="6" t="s">
        <v>29</v>
      </c>
      <c r="B25" s="6">
        <v>23</v>
      </c>
      <c r="C25" s="9">
        <v>2.0000000000000001E-4</v>
      </c>
      <c r="E25" s="6" t="s">
        <v>172</v>
      </c>
      <c r="F25" s="6">
        <v>1</v>
      </c>
      <c r="G25" s="30">
        <v>0</v>
      </c>
      <c r="M25" s="6" t="s">
        <v>19</v>
      </c>
      <c r="N25" s="6">
        <v>4</v>
      </c>
      <c r="O25" s="9">
        <v>1E-4</v>
      </c>
      <c r="Y25" s="6" t="s">
        <v>26</v>
      </c>
      <c r="Z25" s="6">
        <v>15</v>
      </c>
      <c r="AA25" s="9">
        <v>2.0000000000000001E-4</v>
      </c>
    </row>
    <row r="26" spans="1:31">
      <c r="A26" s="6" t="s">
        <v>15</v>
      </c>
      <c r="B26" s="6">
        <v>18</v>
      </c>
      <c r="C26" s="9">
        <v>2.0000000000000001E-4</v>
      </c>
      <c r="M26" s="6" t="s">
        <v>20</v>
      </c>
      <c r="N26" s="6">
        <v>4</v>
      </c>
      <c r="O26" s="9">
        <v>1E-4</v>
      </c>
      <c r="Y26" s="6" t="s">
        <v>14</v>
      </c>
      <c r="Z26" s="6">
        <v>14</v>
      </c>
      <c r="AA26" s="9">
        <v>2.0000000000000001E-4</v>
      </c>
    </row>
    <row r="27" spans="1:31">
      <c r="A27" s="6" t="s">
        <v>45</v>
      </c>
      <c r="B27" s="6">
        <v>10</v>
      </c>
      <c r="C27" s="9">
        <v>1E-4</v>
      </c>
      <c r="M27" s="6" t="s">
        <v>24</v>
      </c>
      <c r="N27" s="6">
        <v>4</v>
      </c>
      <c r="O27" s="9">
        <v>1E-4</v>
      </c>
      <c r="Y27" s="6" t="s">
        <v>40</v>
      </c>
      <c r="Z27" s="6">
        <v>13</v>
      </c>
      <c r="AA27" s="9">
        <v>2.0000000000000001E-4</v>
      </c>
    </row>
    <row r="28" spans="1:31">
      <c r="A28" s="6" t="s">
        <v>21</v>
      </c>
      <c r="B28" s="6">
        <v>9</v>
      </c>
      <c r="C28" s="9">
        <v>1E-4</v>
      </c>
      <c r="M28" s="6" t="s">
        <v>12</v>
      </c>
      <c r="N28" s="6">
        <v>3</v>
      </c>
      <c r="O28" s="9">
        <v>1E-4</v>
      </c>
      <c r="Y28" s="6" t="s">
        <v>21</v>
      </c>
      <c r="Z28" s="6">
        <v>8</v>
      </c>
      <c r="AA28" s="9">
        <v>1E-4</v>
      </c>
    </row>
    <row r="29" spans="1:31">
      <c r="A29" s="6" t="s">
        <v>20</v>
      </c>
      <c r="B29" s="6">
        <v>7</v>
      </c>
      <c r="C29" s="9">
        <v>1E-4</v>
      </c>
      <c r="M29" s="6" t="s">
        <v>17</v>
      </c>
      <c r="N29" s="6">
        <v>4</v>
      </c>
      <c r="O29" s="9">
        <v>1E-4</v>
      </c>
      <c r="Y29" s="6" t="s">
        <v>22</v>
      </c>
      <c r="Z29" s="6">
        <v>10</v>
      </c>
      <c r="AA29" s="9">
        <v>1E-4</v>
      </c>
    </row>
    <row r="30" spans="1:31">
      <c r="A30" s="6" t="s">
        <v>10</v>
      </c>
      <c r="B30" s="6">
        <v>11</v>
      </c>
      <c r="C30" s="9">
        <v>1E-4</v>
      </c>
      <c r="M30" s="6" t="s">
        <v>32</v>
      </c>
      <c r="N30" s="6">
        <v>3</v>
      </c>
      <c r="O30" s="9">
        <v>1E-4</v>
      </c>
      <c r="Y30" s="6" t="s">
        <v>36</v>
      </c>
      <c r="Z30" s="6">
        <v>4</v>
      </c>
      <c r="AA30" s="9">
        <v>1E-4</v>
      </c>
    </row>
    <row r="31" spans="1:31">
      <c r="A31" s="6" t="s">
        <v>14</v>
      </c>
      <c r="B31" s="6">
        <v>14</v>
      </c>
      <c r="C31" s="9">
        <v>1E-4</v>
      </c>
      <c r="M31" s="6" t="s">
        <v>8</v>
      </c>
      <c r="N31" s="6">
        <v>2</v>
      </c>
      <c r="O31" s="9">
        <v>1E-4</v>
      </c>
      <c r="Y31" s="6" t="s">
        <v>30</v>
      </c>
      <c r="Z31" s="6">
        <v>8</v>
      </c>
      <c r="AA31" s="9">
        <v>1E-4</v>
      </c>
    </row>
    <row r="32" spans="1:31">
      <c r="A32" s="6" t="s">
        <v>40</v>
      </c>
      <c r="B32" s="6">
        <v>14</v>
      </c>
      <c r="C32" s="9">
        <v>1E-4</v>
      </c>
      <c r="M32" s="6" t="s">
        <v>43</v>
      </c>
      <c r="N32" s="6">
        <v>2</v>
      </c>
      <c r="O32" s="9">
        <v>1E-4</v>
      </c>
      <c r="Y32" s="6" t="s">
        <v>38</v>
      </c>
      <c r="Z32" s="6">
        <v>8</v>
      </c>
      <c r="AA32" s="9">
        <v>1E-4</v>
      </c>
    </row>
    <row r="33" spans="1:27">
      <c r="A33" s="6" t="s">
        <v>30</v>
      </c>
      <c r="B33" s="6">
        <v>9</v>
      </c>
      <c r="C33" s="9">
        <v>1E-4</v>
      </c>
      <c r="M33" s="6" t="s">
        <v>59</v>
      </c>
      <c r="N33" s="6">
        <v>2</v>
      </c>
      <c r="O33" s="9">
        <v>1E-4</v>
      </c>
      <c r="Y33" s="6" t="s">
        <v>10</v>
      </c>
      <c r="Z33" s="6">
        <v>6</v>
      </c>
      <c r="AA33" s="9">
        <v>1E-4</v>
      </c>
    </row>
    <row r="34" spans="1:27">
      <c r="A34" s="6" t="s">
        <v>38</v>
      </c>
      <c r="B34" s="6">
        <v>9</v>
      </c>
      <c r="C34" s="9">
        <v>1E-4</v>
      </c>
      <c r="M34" s="6" t="s">
        <v>39</v>
      </c>
      <c r="N34" s="6">
        <v>3</v>
      </c>
      <c r="O34" s="9">
        <v>1E-4</v>
      </c>
      <c r="Y34" s="6" t="s">
        <v>32</v>
      </c>
      <c r="Z34" s="6">
        <v>6</v>
      </c>
      <c r="AA34" s="9">
        <v>1E-4</v>
      </c>
    </row>
    <row r="35" spans="1:27">
      <c r="A35" s="6" t="s">
        <v>32</v>
      </c>
      <c r="B35" s="6">
        <v>9</v>
      </c>
      <c r="C35" s="9">
        <v>1E-4</v>
      </c>
      <c r="M35" s="6" t="s">
        <v>25</v>
      </c>
      <c r="N35" s="6">
        <v>2</v>
      </c>
      <c r="O35" s="9">
        <v>1E-4</v>
      </c>
      <c r="Y35" s="6" t="s">
        <v>27</v>
      </c>
      <c r="Z35" s="6">
        <v>5</v>
      </c>
      <c r="AA35" s="9">
        <v>1E-4</v>
      </c>
    </row>
    <row r="36" spans="1:27">
      <c r="A36" s="6" t="s">
        <v>27</v>
      </c>
      <c r="B36" s="6">
        <v>10</v>
      </c>
      <c r="C36" s="9">
        <v>1E-4</v>
      </c>
      <c r="M36" s="6" t="s">
        <v>21</v>
      </c>
      <c r="N36" s="6">
        <v>1</v>
      </c>
      <c r="O36" s="30">
        <v>0</v>
      </c>
      <c r="Y36" s="6" t="s">
        <v>115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15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40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67</v>
      </c>
      <c r="B39" s="6">
        <v>1</v>
      </c>
      <c r="C39" s="30">
        <v>0</v>
      </c>
      <c r="M39" s="6" t="s">
        <v>38</v>
      </c>
      <c r="N39" s="6">
        <v>1</v>
      </c>
      <c r="O39" s="30">
        <v>0</v>
      </c>
      <c r="Y39" s="6" t="s">
        <v>13</v>
      </c>
      <c r="Z39" s="6">
        <v>2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68</v>
      </c>
      <c r="N40" s="6">
        <v>1</v>
      </c>
      <c r="O40" s="30">
        <v>0</v>
      </c>
      <c r="Y40" s="6" t="s">
        <v>67</v>
      </c>
      <c r="Z40" s="6">
        <v>1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30</v>
      </c>
      <c r="N41" s="6">
        <v>1</v>
      </c>
      <c r="O41" s="30">
        <v>0</v>
      </c>
      <c r="Y41" s="6" t="s">
        <v>51</v>
      </c>
      <c r="Z41" s="6">
        <v>1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42</v>
      </c>
      <c r="N42" s="6">
        <v>1</v>
      </c>
      <c r="O42" s="30">
        <v>0</v>
      </c>
      <c r="Y42" s="6" t="s">
        <v>16</v>
      </c>
      <c r="Z42" s="6">
        <v>2</v>
      </c>
      <c r="AA42" s="30">
        <v>0</v>
      </c>
    </row>
    <row r="43" spans="1:27">
      <c r="A43" s="6" t="s">
        <v>24</v>
      </c>
      <c r="B43" s="6">
        <v>4</v>
      </c>
      <c r="C43" s="30">
        <v>0</v>
      </c>
      <c r="M43" s="6" t="s">
        <v>28</v>
      </c>
      <c r="N43" s="6">
        <v>1</v>
      </c>
      <c r="O43" s="30">
        <v>0</v>
      </c>
      <c r="Y43" s="6" t="s">
        <v>48</v>
      </c>
      <c r="Z43" s="6">
        <v>3</v>
      </c>
      <c r="AA43" s="30">
        <v>0</v>
      </c>
    </row>
    <row r="44" spans="1:27">
      <c r="A44" s="6" t="s">
        <v>16</v>
      </c>
      <c r="B44" s="6">
        <v>2</v>
      </c>
      <c r="C44" s="30">
        <v>0</v>
      </c>
      <c r="M44" s="6" t="s">
        <v>58</v>
      </c>
      <c r="N44" s="6">
        <v>1</v>
      </c>
      <c r="O44" s="30">
        <v>0</v>
      </c>
      <c r="Y44" s="6" t="s">
        <v>64</v>
      </c>
      <c r="Z44" s="6">
        <v>3</v>
      </c>
      <c r="AA44" s="30">
        <v>0</v>
      </c>
    </row>
    <row r="45" spans="1:27">
      <c r="A45" s="6" t="s">
        <v>48</v>
      </c>
      <c r="B45" s="6">
        <v>3</v>
      </c>
      <c r="C45" s="30">
        <v>0</v>
      </c>
      <c r="M45" s="6" t="s">
        <v>69</v>
      </c>
      <c r="N45" s="6">
        <v>1</v>
      </c>
      <c r="O45" s="30">
        <v>0</v>
      </c>
      <c r="Y45" s="6" t="s">
        <v>58</v>
      </c>
      <c r="Z45" s="6">
        <v>3</v>
      </c>
      <c r="AA45" s="30">
        <v>0</v>
      </c>
    </row>
    <row r="46" spans="1:27">
      <c r="A46" s="6" t="s">
        <v>58</v>
      </c>
      <c r="B46" s="6">
        <v>4</v>
      </c>
      <c r="C46" s="30">
        <v>0</v>
      </c>
      <c r="M46" s="6" t="s">
        <v>147</v>
      </c>
      <c r="N46" s="6">
        <v>1</v>
      </c>
      <c r="O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64</v>
      </c>
      <c r="B47" s="6">
        <v>3</v>
      </c>
      <c r="C47" s="30">
        <v>0</v>
      </c>
      <c r="M47" s="6" t="s">
        <v>23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39</v>
      </c>
      <c r="B48" s="6">
        <v>5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68</v>
      </c>
      <c r="B49" s="6">
        <v>2</v>
      </c>
      <c r="C49" s="30">
        <v>0</v>
      </c>
      <c r="Y49" s="6" t="s">
        <v>131</v>
      </c>
      <c r="Z49" s="6">
        <v>1</v>
      </c>
      <c r="AA49" s="30">
        <v>0</v>
      </c>
    </row>
    <row r="50" spans="1:27">
      <c r="A50" s="6" t="s">
        <v>131</v>
      </c>
      <c r="B50" s="6">
        <v>1</v>
      </c>
      <c r="C50" s="30">
        <v>0</v>
      </c>
      <c r="Y50" s="6" t="s">
        <v>42</v>
      </c>
      <c r="Z50" s="6">
        <v>2</v>
      </c>
      <c r="AA50" s="30">
        <v>0</v>
      </c>
    </row>
    <row r="51" spans="1:27">
      <c r="A51" s="6" t="s">
        <v>42</v>
      </c>
      <c r="B51" s="6">
        <v>3</v>
      </c>
      <c r="C51" s="30">
        <v>0</v>
      </c>
      <c r="Y51" s="6" t="s">
        <v>39</v>
      </c>
      <c r="Z51" s="6">
        <v>2</v>
      </c>
      <c r="AA51" s="30">
        <v>0</v>
      </c>
    </row>
    <row r="52" spans="1:27">
      <c r="A52" s="6" t="s">
        <v>43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59</v>
      </c>
      <c r="B53" s="6">
        <v>2</v>
      </c>
      <c r="C53" s="30">
        <v>0</v>
      </c>
    </row>
    <row r="54" spans="1:27">
      <c r="A54" s="6" t="s">
        <v>25</v>
      </c>
      <c r="B54" s="6">
        <v>4</v>
      </c>
      <c r="C54" s="30">
        <v>0</v>
      </c>
    </row>
    <row r="55" spans="1:27">
      <c r="A55" s="6" t="s">
        <v>33</v>
      </c>
      <c r="B55" s="6">
        <v>2</v>
      </c>
      <c r="C55" s="30">
        <v>0</v>
      </c>
    </row>
    <row r="56" spans="1:27">
      <c r="A56" s="6" t="s">
        <v>28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147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  <row r="60" spans="1:27">
      <c r="A60" s="6" t="s">
        <v>23</v>
      </c>
      <c r="B60" s="6">
        <v>1</v>
      </c>
      <c r="C60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677DE-31C8-4604-A13C-A3B37AC87232}">
  <sheetPr codeName="Sheet44"/>
  <dimension ref="A1:AI59"/>
  <sheetViews>
    <sheetView topLeftCell="R1" workbookViewId="0">
      <selection activeCell="V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106465</v>
      </c>
      <c r="E2" s="41" t="s">
        <v>4</v>
      </c>
      <c r="F2" s="23" t="s">
        <v>105</v>
      </c>
      <c r="G2" s="23">
        <f>G3+G4</f>
        <v>100523</v>
      </c>
      <c r="H2" s="22"/>
      <c r="I2" s="41" t="s">
        <v>6</v>
      </c>
      <c r="J2" s="23" t="s">
        <v>105</v>
      </c>
      <c r="K2" s="23">
        <f>K3+K4</f>
        <v>101288</v>
      </c>
      <c r="M2" s="41" t="s">
        <v>104</v>
      </c>
      <c r="N2" s="23" t="s">
        <v>105</v>
      </c>
      <c r="O2" s="23">
        <f>O3+O4</f>
        <v>29088</v>
      </c>
      <c r="Q2" s="41" t="s">
        <v>4</v>
      </c>
      <c r="R2" s="23" t="s">
        <v>105</v>
      </c>
      <c r="S2" s="23">
        <f>S3+S4</f>
        <v>27935</v>
      </c>
      <c r="T2" s="22"/>
      <c r="U2" s="41" t="s">
        <v>6</v>
      </c>
      <c r="V2" s="23" t="s">
        <v>105</v>
      </c>
      <c r="W2" s="23">
        <f>W3+W4</f>
        <v>29048</v>
      </c>
      <c r="Y2" s="41" t="s">
        <v>104</v>
      </c>
      <c r="Z2" s="23" t="s">
        <v>105</v>
      </c>
      <c r="AA2" s="23">
        <f>AA3+AA4</f>
        <v>77360</v>
      </c>
      <c r="AC2" s="41" t="s">
        <v>4</v>
      </c>
      <c r="AD2" s="23" t="s">
        <v>105</v>
      </c>
      <c r="AE2" s="23">
        <f>AE3+AE4</f>
        <v>72589</v>
      </c>
      <c r="AF2" s="22"/>
      <c r="AG2" s="41" t="s">
        <v>6</v>
      </c>
      <c r="AH2" s="23" t="s">
        <v>105</v>
      </c>
      <c r="AI2" s="23">
        <f>AI3+AI4</f>
        <v>72241</v>
      </c>
    </row>
    <row r="3" spans="1:35">
      <c r="A3" s="42"/>
      <c r="B3" s="24" t="s">
        <v>106</v>
      </c>
      <c r="C3" s="24">
        <f>B8</f>
        <v>104813</v>
      </c>
      <c r="E3" s="42"/>
      <c r="F3" s="24" t="s">
        <v>106</v>
      </c>
      <c r="G3" s="24">
        <f>F8</f>
        <v>100162</v>
      </c>
      <c r="H3" s="22"/>
      <c r="I3" s="42"/>
      <c r="J3" s="24" t="s">
        <v>106</v>
      </c>
      <c r="K3" s="24">
        <f>J8</f>
        <v>101196</v>
      </c>
      <c r="M3" s="42"/>
      <c r="N3" s="24" t="s">
        <v>106</v>
      </c>
      <c r="O3" s="24">
        <f>N8</f>
        <v>28724</v>
      </c>
      <c r="Q3" s="42"/>
      <c r="R3" s="24" t="s">
        <v>106</v>
      </c>
      <c r="S3" s="24">
        <f>R8</f>
        <v>27844</v>
      </c>
      <c r="T3" s="22"/>
      <c r="U3" s="42"/>
      <c r="V3" s="24" t="s">
        <v>106</v>
      </c>
      <c r="W3" s="24">
        <f>V8</f>
        <v>29023</v>
      </c>
      <c r="Y3" s="42"/>
      <c r="Z3" s="24" t="s">
        <v>106</v>
      </c>
      <c r="AA3" s="24">
        <f>Z8</f>
        <v>76089</v>
      </c>
      <c r="AC3" s="42"/>
      <c r="AD3" s="24" t="s">
        <v>106</v>
      </c>
      <c r="AE3" s="24">
        <f>AD8</f>
        <v>72318</v>
      </c>
      <c r="AF3" s="22"/>
      <c r="AG3" s="42"/>
      <c r="AH3" s="24" t="s">
        <v>106</v>
      </c>
      <c r="AI3" s="24">
        <f>AH8</f>
        <v>72173</v>
      </c>
    </row>
    <row r="4" spans="1:35">
      <c r="A4" s="42"/>
      <c r="B4" s="25" t="s">
        <v>107</v>
      </c>
      <c r="C4" s="25">
        <f>SUM(B9:B66)</f>
        <v>1652</v>
      </c>
      <c r="E4" s="42"/>
      <c r="F4" s="25" t="s">
        <v>107</v>
      </c>
      <c r="G4" s="25">
        <f>SUM(F9:F33)</f>
        <v>361</v>
      </c>
      <c r="H4" s="22"/>
      <c r="I4" s="42"/>
      <c r="J4" s="25" t="s">
        <v>107</v>
      </c>
      <c r="K4" s="25">
        <f>SUM(J9:J31)</f>
        <v>92</v>
      </c>
      <c r="M4" s="42"/>
      <c r="N4" s="25" t="s">
        <v>107</v>
      </c>
      <c r="O4" s="25">
        <f>SUM(N9:N66)</f>
        <v>364</v>
      </c>
      <c r="Q4" s="42"/>
      <c r="R4" s="25" t="s">
        <v>107</v>
      </c>
      <c r="S4" s="25">
        <f>SUM(R9:R33)</f>
        <v>91</v>
      </c>
      <c r="T4" s="22"/>
      <c r="U4" s="42"/>
      <c r="V4" s="25" t="s">
        <v>107</v>
      </c>
      <c r="W4" s="25">
        <f>SUM(V9:V31)</f>
        <v>25</v>
      </c>
      <c r="Y4" s="42"/>
      <c r="Z4" s="25" t="s">
        <v>107</v>
      </c>
      <c r="AA4" s="25">
        <f>SUM(Z9:Z45)</f>
        <v>1271</v>
      </c>
      <c r="AC4" s="42"/>
      <c r="AD4" s="25" t="s">
        <v>107</v>
      </c>
      <c r="AE4" s="25">
        <f>SUM(AD9:AD29)</f>
        <v>271</v>
      </c>
      <c r="AF4" s="22"/>
      <c r="AG4" s="42"/>
      <c r="AH4" s="25" t="s">
        <v>107</v>
      </c>
      <c r="AI4" s="25">
        <f>SUM(AH9:AH29)</f>
        <v>68</v>
      </c>
    </row>
    <row r="5" spans="1:35">
      <c r="A5" s="43"/>
      <c r="B5" s="23" t="s">
        <v>108</v>
      </c>
      <c r="C5" s="26">
        <f>SUM(C9:C179)</f>
        <v>1.5299999999999994E-2</v>
      </c>
      <c r="E5" s="43"/>
      <c r="F5" s="23" t="s">
        <v>108</v>
      </c>
      <c r="G5" s="26">
        <f>SUM(G9:G33)</f>
        <v>3.3999999999999994E-3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1.2099999999999998E-2</v>
      </c>
      <c r="Q5" s="43"/>
      <c r="R5" s="23" t="s">
        <v>108</v>
      </c>
      <c r="S5" s="26">
        <f>SUM(S9:S33)</f>
        <v>3.0999999999999995E-3</v>
      </c>
      <c r="T5" s="22"/>
      <c r="U5" s="43"/>
      <c r="V5" s="23" t="s">
        <v>108</v>
      </c>
      <c r="W5" s="26">
        <f>SUM(W9:W31)</f>
        <v>8.0000000000000004E-4</v>
      </c>
      <c r="Y5" s="43"/>
      <c r="Z5" s="23" t="s">
        <v>108</v>
      </c>
      <c r="AA5" s="26">
        <f>SUM(AA9:AA158)</f>
        <v>1.6399999999999998E-2</v>
      </c>
      <c r="AC5" s="43"/>
      <c r="AD5" s="23" t="s">
        <v>108</v>
      </c>
      <c r="AE5" s="26">
        <f>SUM(AE9:AE29)</f>
        <v>3.6999999999999993E-3</v>
      </c>
      <c r="AF5" s="22"/>
      <c r="AG5" s="43"/>
      <c r="AH5" s="23" t="s">
        <v>108</v>
      </c>
      <c r="AI5" s="26">
        <f>SUM(AI9:AI29)</f>
        <v>1.0000000000000002E-3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104813</v>
      </c>
      <c r="C8" s="9">
        <v>0.98450000000000004</v>
      </c>
      <c r="E8" s="6" t="s">
        <v>112</v>
      </c>
      <c r="F8" s="29">
        <v>100162</v>
      </c>
      <c r="G8" s="9">
        <v>0.99639999999999995</v>
      </c>
      <c r="I8" s="6" t="s">
        <v>112</v>
      </c>
      <c r="J8" s="29">
        <v>101196</v>
      </c>
      <c r="K8" s="9">
        <v>0.99909999999999999</v>
      </c>
      <c r="M8" s="6" t="s">
        <v>112</v>
      </c>
      <c r="N8" s="29">
        <v>28724</v>
      </c>
      <c r="O8" s="9">
        <v>0.98750000000000004</v>
      </c>
      <c r="Q8" s="6" t="s">
        <v>112</v>
      </c>
      <c r="R8" s="29">
        <v>27844</v>
      </c>
      <c r="S8" s="9">
        <v>0.99670000000000003</v>
      </c>
      <c r="U8" s="6" t="s">
        <v>112</v>
      </c>
      <c r="V8" s="29">
        <v>29023</v>
      </c>
      <c r="W8" s="9">
        <v>0.99909999999999999</v>
      </c>
      <c r="Y8" s="6" t="s">
        <v>112</v>
      </c>
      <c r="Z8" s="29">
        <v>76089</v>
      </c>
      <c r="AA8" s="9">
        <v>0.98340000000000005</v>
      </c>
      <c r="AC8" s="6" t="s">
        <v>112</v>
      </c>
      <c r="AD8" s="29">
        <v>72318</v>
      </c>
      <c r="AE8" s="9">
        <v>0.99629999999999996</v>
      </c>
      <c r="AG8" s="6" t="s">
        <v>112</v>
      </c>
      <c r="AH8" s="29">
        <v>72173</v>
      </c>
      <c r="AI8" s="9">
        <v>0.99909999999999999</v>
      </c>
    </row>
    <row r="9" spans="1:35">
      <c r="A9" s="6" t="s">
        <v>9</v>
      </c>
      <c r="B9" s="6">
        <v>311</v>
      </c>
      <c r="C9" s="9">
        <v>2.8999999999999998E-3</v>
      </c>
      <c r="E9" s="6" t="s">
        <v>122</v>
      </c>
      <c r="F9" s="6">
        <v>203</v>
      </c>
      <c r="G9" s="9">
        <v>2E-3</v>
      </c>
      <c r="I9" s="6" t="s">
        <v>2</v>
      </c>
      <c r="J9" s="6">
        <v>37</v>
      </c>
      <c r="K9" s="9">
        <v>4.0000000000000002E-4</v>
      </c>
      <c r="M9" s="6" t="s">
        <v>2</v>
      </c>
      <c r="N9" s="6">
        <v>84</v>
      </c>
      <c r="O9" s="9">
        <v>2.8999999999999998E-3</v>
      </c>
      <c r="Q9" s="6" t="s">
        <v>122</v>
      </c>
      <c r="R9" s="6">
        <v>72</v>
      </c>
      <c r="S9" s="9">
        <v>2.5999999999999999E-3</v>
      </c>
      <c r="U9" s="6" t="s">
        <v>2</v>
      </c>
      <c r="V9" s="6">
        <v>8</v>
      </c>
      <c r="W9" s="9">
        <v>2.9999999999999997E-4</v>
      </c>
      <c r="Y9" s="6" t="s">
        <v>9</v>
      </c>
      <c r="Z9" s="6">
        <v>300</v>
      </c>
      <c r="AA9" s="9">
        <v>3.8999999999999998E-3</v>
      </c>
      <c r="AC9" s="6" t="s">
        <v>122</v>
      </c>
      <c r="AD9" s="6">
        <v>131</v>
      </c>
      <c r="AE9" s="9">
        <v>1.8E-3</v>
      </c>
      <c r="AG9" s="6" t="s">
        <v>2</v>
      </c>
      <c r="AH9" s="6">
        <v>29</v>
      </c>
      <c r="AI9" s="9">
        <v>4.0000000000000002E-4</v>
      </c>
    </row>
    <row r="10" spans="1:35">
      <c r="A10" s="6" t="s">
        <v>2</v>
      </c>
      <c r="B10" s="6">
        <v>295</v>
      </c>
      <c r="C10" s="9">
        <v>2.8E-3</v>
      </c>
      <c r="E10" s="6" t="s">
        <v>83</v>
      </c>
      <c r="F10" s="6">
        <v>69</v>
      </c>
      <c r="G10" s="9">
        <v>6.9999999999999999E-4</v>
      </c>
      <c r="I10" s="6" t="s">
        <v>99</v>
      </c>
      <c r="J10" s="6">
        <v>16</v>
      </c>
      <c r="K10" s="9">
        <v>2.0000000000000001E-4</v>
      </c>
      <c r="M10" s="6" t="s">
        <v>3</v>
      </c>
      <c r="N10" s="6">
        <v>59</v>
      </c>
      <c r="O10" s="9">
        <v>2E-3</v>
      </c>
      <c r="Q10" s="6" t="s">
        <v>74</v>
      </c>
      <c r="R10" s="6">
        <v>5</v>
      </c>
      <c r="S10" s="9">
        <v>2.0000000000000001E-4</v>
      </c>
      <c r="U10" s="6" t="s">
        <v>98</v>
      </c>
      <c r="V10" s="6">
        <v>6</v>
      </c>
      <c r="W10" s="9">
        <v>2.0000000000000001E-4</v>
      </c>
      <c r="Y10" s="6" t="s">
        <v>2</v>
      </c>
      <c r="Z10" s="6">
        <v>211</v>
      </c>
      <c r="AA10" s="9">
        <v>2.7000000000000001E-3</v>
      </c>
      <c r="AC10" s="6" t="s">
        <v>83</v>
      </c>
      <c r="AD10" s="6">
        <v>69</v>
      </c>
      <c r="AE10" s="9">
        <v>1E-3</v>
      </c>
      <c r="AG10" s="6" t="s">
        <v>103</v>
      </c>
      <c r="AH10" s="6">
        <v>12</v>
      </c>
      <c r="AI10" s="9">
        <v>2.0000000000000001E-4</v>
      </c>
    </row>
    <row r="11" spans="1:35">
      <c r="A11" s="6" t="s">
        <v>3</v>
      </c>
      <c r="B11" s="6">
        <v>209</v>
      </c>
      <c r="C11" s="9">
        <v>2E-3</v>
      </c>
      <c r="E11" s="6" t="s">
        <v>74</v>
      </c>
      <c r="F11" s="6">
        <v>24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7</v>
      </c>
      <c r="N11" s="6">
        <v>29</v>
      </c>
      <c r="O11" s="9">
        <v>1E-3</v>
      </c>
      <c r="Q11" s="6" t="s">
        <v>145</v>
      </c>
      <c r="R11" s="6">
        <v>2</v>
      </c>
      <c r="S11" s="9">
        <v>1E-4</v>
      </c>
      <c r="U11" s="6" t="s">
        <v>99</v>
      </c>
      <c r="V11" s="6">
        <v>6</v>
      </c>
      <c r="W11" s="9">
        <v>2.0000000000000001E-4</v>
      </c>
      <c r="Y11" s="6" t="s">
        <v>8</v>
      </c>
      <c r="Z11" s="6">
        <v>169</v>
      </c>
      <c r="AA11" s="9">
        <v>2.2000000000000001E-3</v>
      </c>
      <c r="AC11" s="6" t="s">
        <v>74</v>
      </c>
      <c r="AD11" s="6">
        <v>19</v>
      </c>
      <c r="AE11" s="9">
        <v>2.9999999999999997E-4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172</v>
      </c>
      <c r="C12" s="9">
        <v>1.6000000000000001E-3</v>
      </c>
      <c r="E12" s="6" t="s">
        <v>76</v>
      </c>
      <c r="F12" s="6">
        <v>7</v>
      </c>
      <c r="G12" s="9">
        <v>1E-4</v>
      </c>
      <c r="I12" s="6" t="s">
        <v>103</v>
      </c>
      <c r="J12" s="6">
        <v>12</v>
      </c>
      <c r="K12" s="9">
        <v>1E-4</v>
      </c>
      <c r="M12" s="6" t="s">
        <v>11</v>
      </c>
      <c r="N12" s="6">
        <v>21</v>
      </c>
      <c r="O12" s="9">
        <v>6.9999999999999999E-4</v>
      </c>
      <c r="Q12" s="6" t="s">
        <v>78</v>
      </c>
      <c r="R12" s="6">
        <v>2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150</v>
      </c>
      <c r="AA12" s="9">
        <v>1.9E-3</v>
      </c>
      <c r="AC12" s="6" t="s">
        <v>79</v>
      </c>
      <c r="AD12" s="6">
        <v>13</v>
      </c>
      <c r="AE12" s="9">
        <v>2.0000000000000001E-4</v>
      </c>
      <c r="AG12" s="6" t="s">
        <v>98</v>
      </c>
      <c r="AH12" s="6">
        <v>6</v>
      </c>
      <c r="AI12" s="9">
        <v>1E-4</v>
      </c>
    </row>
    <row r="13" spans="1:35">
      <c r="A13" s="6" t="s">
        <v>41</v>
      </c>
      <c r="B13" s="6">
        <v>76</v>
      </c>
      <c r="C13" s="9">
        <v>6.9999999999999999E-4</v>
      </c>
      <c r="E13" s="6" t="s">
        <v>77</v>
      </c>
      <c r="F13" s="6">
        <v>12</v>
      </c>
      <c r="G13" s="9">
        <v>1E-4</v>
      </c>
      <c r="I13" s="6" t="s">
        <v>113</v>
      </c>
      <c r="J13" s="6">
        <v>9</v>
      </c>
      <c r="K13" s="9">
        <v>1E-4</v>
      </c>
      <c r="M13" s="6" t="s">
        <v>26</v>
      </c>
      <c r="N13" s="6">
        <v>21</v>
      </c>
      <c r="O13" s="9">
        <v>6.9999999999999999E-4</v>
      </c>
      <c r="Q13" s="6" t="s">
        <v>77</v>
      </c>
      <c r="R13" s="6">
        <v>2</v>
      </c>
      <c r="S13" s="9">
        <v>1E-4</v>
      </c>
      <c r="U13" s="6" t="s">
        <v>117</v>
      </c>
      <c r="V13" s="6">
        <v>1</v>
      </c>
      <c r="W13" s="30">
        <v>0</v>
      </c>
      <c r="Y13" s="6" t="s">
        <v>41</v>
      </c>
      <c r="Z13" s="6">
        <v>62</v>
      </c>
      <c r="AA13" s="9">
        <v>8.0000000000000004E-4</v>
      </c>
      <c r="AC13" s="6" t="s">
        <v>76</v>
      </c>
      <c r="AD13" s="6">
        <v>6</v>
      </c>
      <c r="AE13" s="9">
        <v>1E-4</v>
      </c>
      <c r="AG13" s="6" t="s">
        <v>99</v>
      </c>
      <c r="AH13" s="6">
        <v>10</v>
      </c>
      <c r="AI13" s="9">
        <v>1E-4</v>
      </c>
    </row>
    <row r="14" spans="1:35">
      <c r="A14" s="6" t="s">
        <v>11</v>
      </c>
      <c r="B14" s="6">
        <v>73</v>
      </c>
      <c r="C14" s="9">
        <v>6.9999999999999999E-4</v>
      </c>
      <c r="E14" s="6" t="s">
        <v>79</v>
      </c>
      <c r="F14" s="6">
        <v>14</v>
      </c>
      <c r="G14" s="9">
        <v>1E-4</v>
      </c>
      <c r="I14" s="6" t="s">
        <v>102</v>
      </c>
      <c r="J14" s="6">
        <v>4</v>
      </c>
      <c r="K14" s="30">
        <v>0</v>
      </c>
      <c r="M14" s="6" t="s">
        <v>37</v>
      </c>
      <c r="N14" s="6">
        <v>18</v>
      </c>
      <c r="O14" s="9">
        <v>5.9999999999999995E-4</v>
      </c>
      <c r="Q14" s="6" t="s">
        <v>76</v>
      </c>
      <c r="R14" s="6">
        <v>1</v>
      </c>
      <c r="S14" s="30">
        <v>0</v>
      </c>
      <c r="U14" s="6" t="s">
        <v>132</v>
      </c>
      <c r="V14" s="6">
        <v>1</v>
      </c>
      <c r="W14" s="30">
        <v>0</v>
      </c>
      <c r="Y14" s="6" t="s">
        <v>5</v>
      </c>
      <c r="Z14" s="6">
        <v>55</v>
      </c>
      <c r="AA14" s="9">
        <v>6.9999999999999999E-4</v>
      </c>
      <c r="AC14" s="6" t="s">
        <v>77</v>
      </c>
      <c r="AD14" s="6">
        <v>10</v>
      </c>
      <c r="AE14" s="9">
        <v>1E-4</v>
      </c>
      <c r="AG14" s="6" t="s">
        <v>113</v>
      </c>
      <c r="AH14" s="6">
        <v>6</v>
      </c>
      <c r="AI14" s="9">
        <v>1E-4</v>
      </c>
    </row>
    <row r="15" spans="1:35">
      <c r="A15" s="6" t="s">
        <v>5</v>
      </c>
      <c r="B15" s="6">
        <v>64</v>
      </c>
      <c r="C15" s="9">
        <v>5.9999999999999995E-4</v>
      </c>
      <c r="E15" s="6" t="s">
        <v>78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14</v>
      </c>
      <c r="O15" s="9">
        <v>5.0000000000000001E-4</v>
      </c>
      <c r="Q15" s="6" t="s">
        <v>92</v>
      </c>
      <c r="R15" s="6">
        <v>1</v>
      </c>
      <c r="S15" s="30">
        <v>0</v>
      </c>
      <c r="Y15" s="6" t="s">
        <v>11</v>
      </c>
      <c r="Z15" s="6">
        <v>52</v>
      </c>
      <c r="AA15" s="9">
        <v>6.9999999999999999E-4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61</v>
      </c>
      <c r="C16" s="9">
        <v>5.9999999999999995E-4</v>
      </c>
      <c r="E16" s="6" t="s">
        <v>75</v>
      </c>
      <c r="F16" s="6">
        <v>9</v>
      </c>
      <c r="G16" s="9">
        <v>1E-4</v>
      </c>
      <c r="I16" s="6" t="s">
        <v>132</v>
      </c>
      <c r="J16" s="6">
        <v>1</v>
      </c>
      <c r="K16" s="30">
        <v>0</v>
      </c>
      <c r="M16" s="6" t="s">
        <v>23</v>
      </c>
      <c r="N16" s="6">
        <v>14</v>
      </c>
      <c r="O16" s="9">
        <v>5.0000000000000001E-4</v>
      </c>
      <c r="Q16" s="6" t="s">
        <v>80</v>
      </c>
      <c r="R16" s="6">
        <v>1</v>
      </c>
      <c r="S16" s="30">
        <v>0</v>
      </c>
      <c r="Y16" s="6" t="s">
        <v>12</v>
      </c>
      <c r="Z16" s="6">
        <v>38</v>
      </c>
      <c r="AA16" s="9">
        <v>5.0000000000000001E-4</v>
      </c>
      <c r="AC16" s="6" t="s">
        <v>78</v>
      </c>
      <c r="AD16" s="6">
        <v>6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87</v>
      </c>
      <c r="F17" s="6">
        <v>1</v>
      </c>
      <c r="G17" s="30">
        <v>0</v>
      </c>
      <c r="M17" s="6" t="s">
        <v>9</v>
      </c>
      <c r="N17" s="6">
        <v>11</v>
      </c>
      <c r="O17" s="9">
        <v>4.0000000000000002E-4</v>
      </c>
      <c r="Q17" s="6" t="s">
        <v>91</v>
      </c>
      <c r="R17" s="6">
        <v>1</v>
      </c>
      <c r="S17" s="30">
        <v>0</v>
      </c>
      <c r="Y17" s="6" t="s">
        <v>7</v>
      </c>
      <c r="Z17" s="6">
        <v>32</v>
      </c>
      <c r="AA17" s="9">
        <v>4.0000000000000002E-4</v>
      </c>
      <c r="AC17" s="6" t="s">
        <v>87</v>
      </c>
      <c r="AD17" s="6">
        <v>1</v>
      </c>
      <c r="AE17" s="30">
        <v>0</v>
      </c>
    </row>
    <row r="18" spans="1:31">
      <c r="A18" s="6" t="s">
        <v>26</v>
      </c>
      <c r="B18" s="6">
        <v>43</v>
      </c>
      <c r="C18" s="9">
        <v>4.0000000000000002E-4</v>
      </c>
      <c r="E18" s="6" t="s">
        <v>92</v>
      </c>
      <c r="F18" s="6">
        <v>1</v>
      </c>
      <c r="G18" s="30">
        <v>0</v>
      </c>
      <c r="M18" s="6" t="s">
        <v>5</v>
      </c>
      <c r="N18" s="6">
        <v>9</v>
      </c>
      <c r="O18" s="9">
        <v>2.9999999999999997E-4</v>
      </c>
      <c r="Q18" s="6" t="s">
        <v>79</v>
      </c>
      <c r="R18" s="6">
        <v>1</v>
      </c>
      <c r="S18" s="30">
        <v>0</v>
      </c>
      <c r="Y18" s="6" t="s">
        <v>26</v>
      </c>
      <c r="Z18" s="6">
        <v>22</v>
      </c>
      <c r="AA18" s="9">
        <v>2.9999999999999997E-4</v>
      </c>
      <c r="AC18" s="6" t="s">
        <v>80</v>
      </c>
      <c r="AD18" s="6">
        <v>2</v>
      </c>
      <c r="AE18" s="30">
        <v>0</v>
      </c>
    </row>
    <row r="19" spans="1:31">
      <c r="A19" s="6" t="s">
        <v>37</v>
      </c>
      <c r="B19" s="6">
        <v>30</v>
      </c>
      <c r="C19" s="9">
        <v>2.9999999999999997E-4</v>
      </c>
      <c r="E19" s="6" t="s">
        <v>80</v>
      </c>
      <c r="F19" s="6">
        <v>2</v>
      </c>
      <c r="G19" s="30">
        <v>0</v>
      </c>
      <c r="M19" s="6" t="s">
        <v>22</v>
      </c>
      <c r="N19" s="6">
        <v>8</v>
      </c>
      <c r="O19" s="9">
        <v>2.9999999999999997E-4</v>
      </c>
      <c r="Q19" s="6" t="s">
        <v>86</v>
      </c>
      <c r="R19" s="6">
        <v>1</v>
      </c>
      <c r="S19" s="30">
        <v>0</v>
      </c>
      <c r="Y19" s="6" t="s">
        <v>21</v>
      </c>
      <c r="Z19" s="6">
        <v>19</v>
      </c>
      <c r="AA19" s="9">
        <v>2.0000000000000001E-4</v>
      </c>
      <c r="AC19" s="6" t="s">
        <v>89</v>
      </c>
      <c r="AD19" s="6">
        <v>1</v>
      </c>
      <c r="AE19" s="30">
        <v>0</v>
      </c>
    </row>
    <row r="20" spans="1:31">
      <c r="A20" s="6" t="s">
        <v>21</v>
      </c>
      <c r="B20" s="6">
        <v>26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21</v>
      </c>
      <c r="N20" s="6">
        <v>7</v>
      </c>
      <c r="O20" s="9">
        <v>2.0000000000000001E-4</v>
      </c>
      <c r="Q20" s="6" t="s">
        <v>120</v>
      </c>
      <c r="R20" s="6">
        <v>1</v>
      </c>
      <c r="S20" s="30">
        <v>0</v>
      </c>
      <c r="Y20" s="6" t="s">
        <v>37</v>
      </c>
      <c r="Z20" s="6">
        <v>12</v>
      </c>
      <c r="AA20" s="9">
        <v>2.0000000000000001E-4</v>
      </c>
      <c r="AC20" s="6" t="s">
        <v>84</v>
      </c>
      <c r="AD20" s="6">
        <v>1</v>
      </c>
      <c r="AE20" s="30">
        <v>0</v>
      </c>
    </row>
    <row r="21" spans="1:31">
      <c r="A21" s="6" t="s">
        <v>31</v>
      </c>
      <c r="B21" s="6">
        <v>24</v>
      </c>
      <c r="C21" s="9">
        <v>2.0000000000000001E-4</v>
      </c>
      <c r="E21" s="6" t="s">
        <v>145</v>
      </c>
      <c r="F21" s="6">
        <v>3</v>
      </c>
      <c r="G21" s="30">
        <v>0</v>
      </c>
      <c r="M21" s="6" t="s">
        <v>18</v>
      </c>
      <c r="N21" s="6">
        <v>7</v>
      </c>
      <c r="O21" s="9">
        <v>2.0000000000000001E-4</v>
      </c>
      <c r="Q21" s="6" t="s">
        <v>84</v>
      </c>
      <c r="R21" s="6">
        <v>1</v>
      </c>
      <c r="S21" s="30">
        <v>0</v>
      </c>
      <c r="Y21" s="6" t="s">
        <v>31</v>
      </c>
      <c r="Z21" s="6">
        <v>19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17</v>
      </c>
      <c r="B22" s="6">
        <v>16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17</v>
      </c>
      <c r="N22" s="6">
        <v>5</v>
      </c>
      <c r="O22" s="9">
        <v>2.0000000000000001E-4</v>
      </c>
      <c r="Y22" s="6" t="s">
        <v>10</v>
      </c>
      <c r="Z22" s="6">
        <v>13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10</v>
      </c>
      <c r="B23" s="6">
        <v>18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31</v>
      </c>
      <c r="N23" s="6">
        <v>5</v>
      </c>
      <c r="O23" s="9">
        <v>2.0000000000000001E-4</v>
      </c>
      <c r="Y23" s="6" t="s">
        <v>14</v>
      </c>
      <c r="Z23" s="6">
        <v>12</v>
      </c>
      <c r="AA23" s="9">
        <v>2.0000000000000001E-4</v>
      </c>
      <c r="AC23" s="6" t="s">
        <v>145</v>
      </c>
      <c r="AD23" s="6">
        <v>1</v>
      </c>
      <c r="AE23" s="30">
        <v>0</v>
      </c>
    </row>
    <row r="24" spans="1:31">
      <c r="A24" s="6" t="s">
        <v>18</v>
      </c>
      <c r="B24" s="6">
        <v>19</v>
      </c>
      <c r="C24" s="9">
        <v>2.0000000000000001E-4</v>
      </c>
      <c r="E24" s="6" t="s">
        <v>125</v>
      </c>
      <c r="F24" s="6">
        <v>1</v>
      </c>
      <c r="G24" s="30">
        <v>0</v>
      </c>
      <c r="M24" s="6" t="s">
        <v>29</v>
      </c>
      <c r="N24" s="6">
        <v>5</v>
      </c>
      <c r="O24" s="9">
        <v>2.0000000000000001E-4</v>
      </c>
      <c r="Y24" s="6" t="s">
        <v>18</v>
      </c>
      <c r="Z24" s="6">
        <v>12</v>
      </c>
      <c r="AA24" s="9">
        <v>2.0000000000000001E-4</v>
      </c>
    </row>
    <row r="25" spans="1:31">
      <c r="A25" s="6" t="s">
        <v>29</v>
      </c>
      <c r="B25" s="6">
        <v>16</v>
      </c>
      <c r="C25" s="9">
        <v>2.0000000000000001E-4</v>
      </c>
      <c r="E25" s="6" t="s">
        <v>135</v>
      </c>
      <c r="F25" s="6">
        <v>1</v>
      </c>
      <c r="G25" s="30">
        <v>0</v>
      </c>
      <c r="M25" s="6" t="s">
        <v>10</v>
      </c>
      <c r="N25" s="6">
        <v>5</v>
      </c>
      <c r="O25" s="9">
        <v>2.0000000000000001E-4</v>
      </c>
      <c r="Y25" s="6" t="s">
        <v>19</v>
      </c>
      <c r="Z25" s="6">
        <v>6</v>
      </c>
      <c r="AA25" s="9">
        <v>1E-4</v>
      </c>
    </row>
    <row r="26" spans="1:31">
      <c r="A26" s="6" t="s">
        <v>19</v>
      </c>
      <c r="B26" s="6">
        <v>9</v>
      </c>
      <c r="C26" s="9">
        <v>1E-4</v>
      </c>
      <c r="E26" s="6" t="s">
        <v>120</v>
      </c>
      <c r="F26" s="6">
        <v>1</v>
      </c>
      <c r="G26" s="30">
        <v>0</v>
      </c>
      <c r="M26" s="6" t="s">
        <v>19</v>
      </c>
      <c r="N26" s="6">
        <v>3</v>
      </c>
      <c r="O26" s="9">
        <v>1E-4</v>
      </c>
      <c r="Y26" s="6" t="s">
        <v>45</v>
      </c>
      <c r="Z26" s="6">
        <v>4</v>
      </c>
      <c r="AA26" s="9">
        <v>1E-4</v>
      </c>
    </row>
    <row r="27" spans="1:31">
      <c r="A27" s="6" t="s">
        <v>20</v>
      </c>
      <c r="B27" s="6">
        <v>6</v>
      </c>
      <c r="C27" s="9">
        <v>1E-4</v>
      </c>
      <c r="E27" s="6" t="s">
        <v>86</v>
      </c>
      <c r="F27" s="6">
        <v>1</v>
      </c>
      <c r="G27" s="30">
        <v>0</v>
      </c>
      <c r="M27" s="6" t="s">
        <v>20</v>
      </c>
      <c r="N27" s="6">
        <v>4</v>
      </c>
      <c r="O27" s="9">
        <v>1E-4</v>
      </c>
      <c r="Y27" s="6" t="s">
        <v>40</v>
      </c>
      <c r="Z27" s="6">
        <v>10</v>
      </c>
      <c r="AA27" s="9">
        <v>1E-4</v>
      </c>
    </row>
    <row r="28" spans="1:31">
      <c r="A28" s="6" t="s">
        <v>40</v>
      </c>
      <c r="B28" s="6">
        <v>11</v>
      </c>
      <c r="C28" s="9">
        <v>1E-4</v>
      </c>
      <c r="M28" s="6" t="s">
        <v>15</v>
      </c>
      <c r="N28" s="6">
        <v>4</v>
      </c>
      <c r="O28" s="9">
        <v>1E-4</v>
      </c>
      <c r="Y28" s="6" t="s">
        <v>17</v>
      </c>
      <c r="Z28" s="6">
        <v>11</v>
      </c>
      <c r="AA28" s="9">
        <v>1E-4</v>
      </c>
    </row>
    <row r="29" spans="1:31">
      <c r="A29" s="6" t="s">
        <v>22</v>
      </c>
      <c r="B29" s="6">
        <v>12</v>
      </c>
      <c r="C29" s="9">
        <v>1E-4</v>
      </c>
      <c r="M29" s="6" t="s">
        <v>12</v>
      </c>
      <c r="N29" s="6">
        <v>4</v>
      </c>
      <c r="O29" s="9">
        <v>1E-4</v>
      </c>
      <c r="Y29" s="6" t="s">
        <v>29</v>
      </c>
      <c r="Z29" s="6">
        <v>11</v>
      </c>
      <c r="AA29" s="9">
        <v>1E-4</v>
      </c>
    </row>
    <row r="30" spans="1:31">
      <c r="A30" s="6" t="s">
        <v>14</v>
      </c>
      <c r="B30" s="6">
        <v>12</v>
      </c>
      <c r="C30" s="9">
        <v>1E-4</v>
      </c>
      <c r="M30" s="6" t="s">
        <v>42</v>
      </c>
      <c r="N30" s="6">
        <v>4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15</v>
      </c>
      <c r="B31" s="6">
        <v>7</v>
      </c>
      <c r="C31" s="9">
        <v>1E-4</v>
      </c>
      <c r="M31" s="6" t="s">
        <v>16</v>
      </c>
      <c r="N31" s="6">
        <v>3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43</v>
      </c>
      <c r="N32" s="6">
        <v>2</v>
      </c>
      <c r="O32" s="9">
        <v>1E-4</v>
      </c>
      <c r="Y32" s="6" t="s">
        <v>27</v>
      </c>
      <c r="Z32" s="6">
        <v>5</v>
      </c>
      <c r="AA32" s="9">
        <v>1E-4</v>
      </c>
    </row>
    <row r="33" spans="1:27">
      <c r="A33" s="6" t="s">
        <v>23</v>
      </c>
      <c r="B33" s="6">
        <v>15</v>
      </c>
      <c r="C33" s="9">
        <v>1E-4</v>
      </c>
      <c r="M33" s="6" t="s">
        <v>8</v>
      </c>
      <c r="N33" s="6">
        <v>3</v>
      </c>
      <c r="O33" s="9">
        <v>1E-4</v>
      </c>
      <c r="Y33" s="6" t="s">
        <v>58</v>
      </c>
      <c r="Z33" s="6">
        <v>4</v>
      </c>
      <c r="AA33" s="9">
        <v>1E-4</v>
      </c>
    </row>
    <row r="34" spans="1:27">
      <c r="A34" s="6" t="s">
        <v>30</v>
      </c>
      <c r="B34" s="6">
        <v>9</v>
      </c>
      <c r="C34" s="9">
        <v>1E-4</v>
      </c>
      <c r="M34" s="6" t="s">
        <v>59</v>
      </c>
      <c r="N34" s="6">
        <v>2</v>
      </c>
      <c r="O34" s="9">
        <v>1E-4</v>
      </c>
      <c r="Y34" s="6" t="s">
        <v>25</v>
      </c>
      <c r="Z34" s="6">
        <v>4</v>
      </c>
      <c r="AA34" s="9">
        <v>1E-4</v>
      </c>
    </row>
    <row r="35" spans="1:27">
      <c r="A35" s="6" t="s">
        <v>42</v>
      </c>
      <c r="B35" s="6">
        <v>6</v>
      </c>
      <c r="C35" s="9">
        <v>1E-4</v>
      </c>
      <c r="M35" s="6" t="s">
        <v>27</v>
      </c>
      <c r="N35" s="6">
        <v>2</v>
      </c>
      <c r="O35" s="9">
        <v>1E-4</v>
      </c>
      <c r="Y35" s="6" t="s">
        <v>33</v>
      </c>
      <c r="Z35" s="6">
        <v>4</v>
      </c>
      <c r="AA35" s="9">
        <v>1E-4</v>
      </c>
    </row>
    <row r="36" spans="1:27">
      <c r="A36" s="6" t="s">
        <v>27</v>
      </c>
      <c r="B36" s="6">
        <v>7</v>
      </c>
      <c r="C36" s="9">
        <v>1E-4</v>
      </c>
      <c r="M36" s="6" t="s">
        <v>45</v>
      </c>
      <c r="N36" s="6">
        <v>1</v>
      </c>
      <c r="O36" s="30">
        <v>0</v>
      </c>
      <c r="Y36" s="6" t="s">
        <v>20</v>
      </c>
      <c r="Z36" s="6">
        <v>2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40</v>
      </c>
      <c r="N37" s="6">
        <v>1</v>
      </c>
      <c r="O37" s="30">
        <v>0</v>
      </c>
      <c r="Y37" s="6" t="s">
        <v>115</v>
      </c>
      <c r="Z37" s="6">
        <v>1</v>
      </c>
      <c r="AA37" s="30">
        <v>0</v>
      </c>
    </row>
    <row r="38" spans="1:27">
      <c r="A38" s="6" t="s">
        <v>45</v>
      </c>
      <c r="B38" s="6">
        <v>5</v>
      </c>
      <c r="C38" s="30">
        <v>0</v>
      </c>
      <c r="M38" s="6" t="s">
        <v>48</v>
      </c>
      <c r="N38" s="6">
        <v>1</v>
      </c>
      <c r="O38" s="30">
        <v>0</v>
      </c>
      <c r="Y38" s="6" t="s">
        <v>34</v>
      </c>
      <c r="Z38" s="6">
        <v>3</v>
      </c>
      <c r="AA38" s="30">
        <v>0</v>
      </c>
    </row>
    <row r="39" spans="1:27">
      <c r="A39" s="6" t="s">
        <v>34</v>
      </c>
      <c r="B39" s="6">
        <v>3</v>
      </c>
      <c r="C39" s="30">
        <v>0</v>
      </c>
      <c r="M39" s="6" t="s">
        <v>60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68</v>
      </c>
      <c r="N40" s="6">
        <v>1</v>
      </c>
      <c r="O40" s="30">
        <v>0</v>
      </c>
      <c r="Y40" s="6" t="s">
        <v>16</v>
      </c>
      <c r="Z40" s="6">
        <v>3</v>
      </c>
      <c r="AA40" s="30">
        <v>0</v>
      </c>
    </row>
    <row r="41" spans="1:27">
      <c r="A41" s="6" t="s">
        <v>55</v>
      </c>
      <c r="B41" s="6">
        <v>1</v>
      </c>
      <c r="C41" s="30">
        <v>0</v>
      </c>
      <c r="M41" s="6" t="s">
        <v>58</v>
      </c>
      <c r="N41" s="6">
        <v>1</v>
      </c>
      <c r="O41" s="30">
        <v>0</v>
      </c>
      <c r="Y41" s="6" t="s">
        <v>55</v>
      </c>
      <c r="Z41" s="6">
        <v>1</v>
      </c>
      <c r="AA41" s="30">
        <v>0</v>
      </c>
    </row>
    <row r="42" spans="1:27">
      <c r="A42" s="6" t="s">
        <v>48</v>
      </c>
      <c r="B42" s="6">
        <v>3</v>
      </c>
      <c r="C42" s="30">
        <v>0</v>
      </c>
      <c r="M42" s="6" t="s">
        <v>32</v>
      </c>
      <c r="N42" s="6">
        <v>1</v>
      </c>
      <c r="O42" s="30">
        <v>0</v>
      </c>
      <c r="Y42" s="6" t="s">
        <v>15</v>
      </c>
      <c r="Z42" s="6">
        <v>3</v>
      </c>
      <c r="AA42" s="30">
        <v>0</v>
      </c>
    </row>
    <row r="43" spans="1:27">
      <c r="A43" s="6" t="s">
        <v>58</v>
      </c>
      <c r="B43" s="6">
        <v>5</v>
      </c>
      <c r="C43" s="30">
        <v>0</v>
      </c>
      <c r="M43" s="6" t="s">
        <v>147</v>
      </c>
      <c r="N43" s="6">
        <v>1</v>
      </c>
      <c r="O43" s="30">
        <v>0</v>
      </c>
      <c r="Y43" s="6" t="s">
        <v>32</v>
      </c>
      <c r="Z43" s="6">
        <v>3</v>
      </c>
      <c r="AA43" s="30">
        <v>0</v>
      </c>
    </row>
    <row r="44" spans="1:27">
      <c r="A44" s="6" t="s">
        <v>32</v>
      </c>
      <c r="B44" s="6">
        <v>4</v>
      </c>
      <c r="C44" s="30">
        <v>0</v>
      </c>
      <c r="M44" s="6" t="s">
        <v>30</v>
      </c>
      <c r="N44" s="6">
        <v>1</v>
      </c>
      <c r="O44" s="30">
        <v>0</v>
      </c>
      <c r="Y44" s="6" t="s">
        <v>48</v>
      </c>
      <c r="Z44" s="6">
        <v>2</v>
      </c>
      <c r="AA44" s="30">
        <v>0</v>
      </c>
    </row>
    <row r="45" spans="1:27">
      <c r="A45" s="6" t="s">
        <v>60</v>
      </c>
      <c r="B45" s="6">
        <v>3</v>
      </c>
      <c r="C45" s="30">
        <v>0</v>
      </c>
      <c r="M45" s="6" t="s">
        <v>57</v>
      </c>
      <c r="N45" s="6">
        <v>1</v>
      </c>
      <c r="O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24</v>
      </c>
      <c r="B46" s="6">
        <v>1</v>
      </c>
      <c r="C46" s="30">
        <v>0</v>
      </c>
      <c r="M46" s="6" t="s">
        <v>39</v>
      </c>
      <c r="N46" s="6">
        <v>1</v>
      </c>
      <c r="O46" s="30">
        <v>0</v>
      </c>
      <c r="Y46" s="6" t="s">
        <v>42</v>
      </c>
      <c r="Z46" s="6">
        <v>2</v>
      </c>
      <c r="AA46" s="30">
        <v>0</v>
      </c>
    </row>
    <row r="47" spans="1:27">
      <c r="A47" s="6" t="s">
        <v>25</v>
      </c>
      <c r="B47" s="6">
        <v>4</v>
      </c>
      <c r="C47" s="30">
        <v>0</v>
      </c>
      <c r="Y47" s="6" t="s">
        <v>24</v>
      </c>
      <c r="Z47" s="6">
        <v>1</v>
      </c>
      <c r="AA47" s="30">
        <v>0</v>
      </c>
    </row>
    <row r="48" spans="1:27">
      <c r="A48" s="6" t="s">
        <v>64</v>
      </c>
      <c r="B48" s="6">
        <v>2</v>
      </c>
      <c r="C48" s="30">
        <v>0</v>
      </c>
      <c r="Y48" s="6" t="s">
        <v>60</v>
      </c>
      <c r="Z48" s="6">
        <v>2</v>
      </c>
      <c r="AA48" s="30">
        <v>0</v>
      </c>
    </row>
    <row r="49" spans="1:27">
      <c r="A49" s="6" t="s">
        <v>43</v>
      </c>
      <c r="B49" s="6">
        <v>2</v>
      </c>
      <c r="C49" s="30">
        <v>0</v>
      </c>
      <c r="Y49" s="6" t="s">
        <v>38</v>
      </c>
      <c r="Z49" s="6">
        <v>2</v>
      </c>
      <c r="AA49" s="30">
        <v>0</v>
      </c>
    </row>
    <row r="50" spans="1:27">
      <c r="A50" s="6" t="s">
        <v>33</v>
      </c>
      <c r="B50" s="6">
        <v>4</v>
      </c>
      <c r="C50" s="30">
        <v>0</v>
      </c>
      <c r="Y50" s="6" t="s">
        <v>39</v>
      </c>
      <c r="Z50" s="6">
        <v>3</v>
      </c>
      <c r="AA50" s="30">
        <v>0</v>
      </c>
    </row>
    <row r="51" spans="1:27">
      <c r="A51" s="6" t="s">
        <v>38</v>
      </c>
      <c r="B51" s="6">
        <v>2</v>
      </c>
      <c r="C51" s="30">
        <v>0</v>
      </c>
      <c r="Y51" s="6" t="s">
        <v>129</v>
      </c>
      <c r="Z51" s="6">
        <v>2</v>
      </c>
      <c r="AA51" s="30">
        <v>0</v>
      </c>
    </row>
    <row r="52" spans="1:27">
      <c r="A52" s="6" t="s">
        <v>59</v>
      </c>
      <c r="B52" s="6">
        <v>2</v>
      </c>
      <c r="C52" s="30">
        <v>0</v>
      </c>
      <c r="Y52" s="6" t="s">
        <v>23</v>
      </c>
      <c r="Z52" s="6">
        <v>1</v>
      </c>
      <c r="AA52" s="30">
        <v>0</v>
      </c>
    </row>
    <row r="53" spans="1:27">
      <c r="A53" s="6" t="s">
        <v>39</v>
      </c>
      <c r="B53" s="6">
        <v>4</v>
      </c>
      <c r="C53" s="30">
        <v>0</v>
      </c>
      <c r="Y53" s="6" t="s">
        <v>69</v>
      </c>
      <c r="Z53" s="6">
        <v>1</v>
      </c>
      <c r="AA53" s="30">
        <v>0</v>
      </c>
    </row>
    <row r="54" spans="1:27">
      <c r="A54" s="6" t="s">
        <v>49</v>
      </c>
      <c r="B54" s="6">
        <v>1</v>
      </c>
      <c r="C54" s="30">
        <v>0</v>
      </c>
      <c r="Y54" s="6" t="s">
        <v>57</v>
      </c>
      <c r="Z54" s="6">
        <v>1</v>
      </c>
      <c r="AA54" s="30">
        <v>0</v>
      </c>
    </row>
    <row r="55" spans="1:27">
      <c r="A55" s="6" t="s">
        <v>57</v>
      </c>
      <c r="B55" s="6">
        <v>2</v>
      </c>
      <c r="C55" s="30">
        <v>0</v>
      </c>
      <c r="Y55" s="6" t="s">
        <v>49</v>
      </c>
      <c r="Z55" s="6">
        <v>1</v>
      </c>
      <c r="AA55" s="30">
        <v>0</v>
      </c>
    </row>
    <row r="56" spans="1:27">
      <c r="A56" s="6" t="s">
        <v>147</v>
      </c>
      <c r="B56" s="6">
        <v>2</v>
      </c>
      <c r="C56" s="30">
        <v>0</v>
      </c>
      <c r="Y56" s="6" t="s">
        <v>147</v>
      </c>
      <c r="Z56" s="6">
        <v>1</v>
      </c>
      <c r="AA56" s="30">
        <v>0</v>
      </c>
    </row>
    <row r="57" spans="1:27">
      <c r="A57" s="6" t="s">
        <v>129</v>
      </c>
      <c r="B57" s="6">
        <v>2</v>
      </c>
      <c r="C57" s="30">
        <v>0</v>
      </c>
    </row>
    <row r="58" spans="1:27">
      <c r="A58" s="6" t="s">
        <v>69</v>
      </c>
      <c r="B58" s="6">
        <v>1</v>
      </c>
      <c r="C58" s="30">
        <v>0</v>
      </c>
    </row>
    <row r="59" spans="1:27">
      <c r="A59" s="6" t="s">
        <v>68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2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0BD06-EFAB-4CCC-AB1F-BF9D1A1DD066}">
  <sheetPr codeName="Sheet45"/>
  <dimension ref="A1:AI61"/>
  <sheetViews>
    <sheetView topLeftCell="R1" workbookViewId="0">
      <selection activeCell="V2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108890</v>
      </c>
      <c r="E2" s="41" t="s">
        <v>4</v>
      </c>
      <c r="F2" s="23" t="s">
        <v>105</v>
      </c>
      <c r="G2" s="23">
        <f>G3+G4</f>
        <v>101611</v>
      </c>
      <c r="H2" s="22"/>
      <c r="I2" s="41" t="s">
        <v>6</v>
      </c>
      <c r="J2" s="23" t="s">
        <v>105</v>
      </c>
      <c r="K2" s="23">
        <f>K3+K4</f>
        <v>99729</v>
      </c>
      <c r="M2" s="41" t="s">
        <v>104</v>
      </c>
      <c r="N2" s="23" t="s">
        <v>105</v>
      </c>
      <c r="O2" s="23">
        <f>O3+O4</f>
        <v>33407</v>
      </c>
      <c r="Q2" s="41" t="s">
        <v>4</v>
      </c>
      <c r="R2" s="23" t="s">
        <v>105</v>
      </c>
      <c r="S2" s="23">
        <f>S3+S4</f>
        <v>32131</v>
      </c>
      <c r="T2" s="22"/>
      <c r="U2" s="41" t="s">
        <v>6</v>
      </c>
      <c r="V2" s="23" t="s">
        <v>105</v>
      </c>
      <c r="W2" s="23">
        <f>W3+W4</f>
        <v>32217</v>
      </c>
      <c r="Y2" s="41" t="s">
        <v>104</v>
      </c>
      <c r="Z2" s="23" t="s">
        <v>105</v>
      </c>
      <c r="AA2" s="23">
        <f>AA3+AA4</f>
        <v>75467</v>
      </c>
      <c r="AC2" s="41" t="s">
        <v>4</v>
      </c>
      <c r="AD2" s="23" t="s">
        <v>105</v>
      </c>
      <c r="AE2" s="23">
        <f>AE3+AE4</f>
        <v>69482</v>
      </c>
      <c r="AF2" s="22"/>
      <c r="AG2" s="41" t="s">
        <v>6</v>
      </c>
      <c r="AH2" s="23" t="s">
        <v>105</v>
      </c>
      <c r="AI2" s="23">
        <f>AI3+AI4</f>
        <v>67514</v>
      </c>
    </row>
    <row r="3" spans="1:35">
      <c r="A3" s="42"/>
      <c r="B3" s="24" t="s">
        <v>106</v>
      </c>
      <c r="C3" s="24">
        <f>B8</f>
        <v>107238</v>
      </c>
      <c r="E3" s="42"/>
      <c r="F3" s="24" t="s">
        <v>106</v>
      </c>
      <c r="G3" s="24">
        <f>F8</f>
        <v>101244</v>
      </c>
      <c r="H3" s="22"/>
      <c r="I3" s="42"/>
      <c r="J3" s="24" t="s">
        <v>106</v>
      </c>
      <c r="K3" s="24">
        <f>J8</f>
        <v>99641</v>
      </c>
      <c r="M3" s="42"/>
      <c r="N3" s="24" t="s">
        <v>106</v>
      </c>
      <c r="O3" s="24">
        <f>N8</f>
        <v>33065</v>
      </c>
      <c r="Q3" s="42"/>
      <c r="R3" s="24" t="s">
        <v>106</v>
      </c>
      <c r="S3" s="24">
        <f>R8</f>
        <v>32033</v>
      </c>
      <c r="T3" s="22"/>
      <c r="U3" s="42"/>
      <c r="V3" s="24" t="s">
        <v>106</v>
      </c>
      <c r="W3" s="24">
        <f>V8</f>
        <v>32191</v>
      </c>
      <c r="Y3" s="42"/>
      <c r="Z3" s="24" t="s">
        <v>106</v>
      </c>
      <c r="AA3" s="24">
        <f>Z8</f>
        <v>74173</v>
      </c>
      <c r="AC3" s="42"/>
      <c r="AD3" s="24" t="s">
        <v>106</v>
      </c>
      <c r="AE3" s="24">
        <f>AD8</f>
        <v>69211</v>
      </c>
      <c r="AF3" s="22"/>
      <c r="AG3" s="42"/>
      <c r="AH3" s="24" t="s">
        <v>106</v>
      </c>
      <c r="AI3" s="24">
        <f>AH8</f>
        <v>67450</v>
      </c>
    </row>
    <row r="4" spans="1:35">
      <c r="A4" s="42"/>
      <c r="B4" s="25" t="s">
        <v>107</v>
      </c>
      <c r="C4" s="25">
        <f>SUM(B9:B66)</f>
        <v>1652</v>
      </c>
      <c r="E4" s="42"/>
      <c r="F4" s="25" t="s">
        <v>107</v>
      </c>
      <c r="G4" s="25">
        <f>SUM(F9:F33)</f>
        <v>367</v>
      </c>
      <c r="H4" s="22"/>
      <c r="I4" s="42"/>
      <c r="J4" s="25" t="s">
        <v>107</v>
      </c>
      <c r="K4" s="25">
        <f>SUM(J9:J31)</f>
        <v>88</v>
      </c>
      <c r="M4" s="42"/>
      <c r="N4" s="25" t="s">
        <v>107</v>
      </c>
      <c r="O4" s="25">
        <f>SUM(N9:N66)</f>
        <v>342</v>
      </c>
      <c r="Q4" s="42"/>
      <c r="R4" s="25" t="s">
        <v>107</v>
      </c>
      <c r="S4" s="25">
        <f>SUM(R9:R33)</f>
        <v>98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1294</v>
      </c>
      <c r="AC4" s="42"/>
      <c r="AD4" s="25" t="s">
        <v>107</v>
      </c>
      <c r="AE4" s="25">
        <f>SUM(AD9:AD29)</f>
        <v>271</v>
      </c>
      <c r="AF4" s="22"/>
      <c r="AG4" s="42"/>
      <c r="AH4" s="25" t="s">
        <v>107</v>
      </c>
      <c r="AI4" s="25">
        <f>SUM(AH9:AH29)</f>
        <v>64</v>
      </c>
    </row>
    <row r="5" spans="1:35">
      <c r="A5" s="43"/>
      <c r="B5" s="23" t="s">
        <v>108</v>
      </c>
      <c r="C5" s="26">
        <f>SUM(C9:C179)</f>
        <v>1.4599999999999998E-2</v>
      </c>
      <c r="E5" s="43"/>
      <c r="F5" s="23" t="s">
        <v>108</v>
      </c>
      <c r="G5" s="26">
        <f>SUM(G9:G33)</f>
        <v>3.5000000000000001E-3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9.7999999999999979E-3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1.7099999999999994E-2</v>
      </c>
      <c r="AC5" s="43"/>
      <c r="AD5" s="23" t="s">
        <v>108</v>
      </c>
      <c r="AE5" s="26">
        <f>SUM(AE9:AE29)</f>
        <v>3.7000000000000002E-3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107238</v>
      </c>
      <c r="C8" s="9">
        <v>0.98480000000000001</v>
      </c>
      <c r="E8" s="6" t="s">
        <v>112</v>
      </c>
      <c r="F8" s="29">
        <v>101244</v>
      </c>
      <c r="G8" s="9">
        <v>0.99639999999999995</v>
      </c>
      <c r="I8" s="6" t="s">
        <v>112</v>
      </c>
      <c r="J8" s="29">
        <v>99641</v>
      </c>
      <c r="K8" s="9">
        <v>0.99909999999999999</v>
      </c>
      <c r="M8" s="6" t="s">
        <v>112</v>
      </c>
      <c r="N8" s="29">
        <v>33065</v>
      </c>
      <c r="O8" s="9">
        <v>0.98980000000000001</v>
      </c>
      <c r="Q8" s="6" t="s">
        <v>112</v>
      </c>
      <c r="R8" s="29">
        <v>32033</v>
      </c>
      <c r="S8" s="9">
        <v>0.99690000000000001</v>
      </c>
      <c r="U8" s="6" t="s">
        <v>112</v>
      </c>
      <c r="V8" s="29">
        <v>32191</v>
      </c>
      <c r="W8" s="9">
        <v>0.99919999999999998</v>
      </c>
      <c r="Y8" s="6" t="s">
        <v>112</v>
      </c>
      <c r="Z8" s="29">
        <v>74173</v>
      </c>
      <c r="AA8" s="9">
        <v>0.98260000000000003</v>
      </c>
      <c r="AC8" s="6" t="s">
        <v>112</v>
      </c>
      <c r="AD8" s="29">
        <v>69211</v>
      </c>
      <c r="AE8" s="9">
        <v>0.99609999999999999</v>
      </c>
      <c r="AG8" s="6" t="s">
        <v>112</v>
      </c>
      <c r="AH8" s="29">
        <v>67450</v>
      </c>
      <c r="AI8" s="9">
        <v>0.99909999999999999</v>
      </c>
    </row>
    <row r="9" spans="1:35">
      <c r="A9" s="6" t="s">
        <v>9</v>
      </c>
      <c r="B9" s="6">
        <v>302</v>
      </c>
      <c r="C9" s="9">
        <v>2.8E-3</v>
      </c>
      <c r="E9" s="6" t="s">
        <v>122</v>
      </c>
      <c r="F9" s="6">
        <v>201</v>
      </c>
      <c r="G9" s="9">
        <v>2E-3</v>
      </c>
      <c r="I9" s="6" t="s">
        <v>2</v>
      </c>
      <c r="J9" s="6">
        <v>34</v>
      </c>
      <c r="K9" s="9">
        <v>2.9999999999999997E-4</v>
      </c>
      <c r="M9" s="6" t="s">
        <v>2</v>
      </c>
      <c r="N9" s="6">
        <v>83</v>
      </c>
      <c r="O9" s="9">
        <v>2.5000000000000001E-3</v>
      </c>
      <c r="Q9" s="6" t="s">
        <v>122</v>
      </c>
      <c r="R9" s="6">
        <v>83</v>
      </c>
      <c r="S9" s="9">
        <v>2.5999999999999999E-3</v>
      </c>
      <c r="U9" s="6" t="s">
        <v>98</v>
      </c>
      <c r="V9" s="6">
        <v>5</v>
      </c>
      <c r="W9" s="9">
        <v>2.0000000000000001E-4</v>
      </c>
      <c r="Y9" s="6" t="s">
        <v>9</v>
      </c>
      <c r="Z9" s="6">
        <v>287</v>
      </c>
      <c r="AA9" s="9">
        <v>3.8E-3</v>
      </c>
      <c r="AC9" s="6" t="s">
        <v>122</v>
      </c>
      <c r="AD9" s="6">
        <v>118</v>
      </c>
      <c r="AE9" s="9">
        <v>1.6999999999999999E-3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2</v>
      </c>
      <c r="B10" s="6">
        <v>309</v>
      </c>
      <c r="C10" s="9">
        <v>2.8E-3</v>
      </c>
      <c r="E10" s="6" t="s">
        <v>83</v>
      </c>
      <c r="F10" s="6">
        <v>57</v>
      </c>
      <c r="G10" s="9">
        <v>5.9999999999999995E-4</v>
      </c>
      <c r="I10" s="6" t="s">
        <v>99</v>
      </c>
      <c r="J10" s="6">
        <v>21</v>
      </c>
      <c r="K10" s="9">
        <v>2.0000000000000001E-4</v>
      </c>
      <c r="M10" s="6" t="s">
        <v>3</v>
      </c>
      <c r="N10" s="6">
        <v>79</v>
      </c>
      <c r="O10" s="9">
        <v>2.3999999999999998E-3</v>
      </c>
      <c r="Q10" s="6" t="s">
        <v>80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2</v>
      </c>
      <c r="Z10" s="6">
        <v>226</v>
      </c>
      <c r="AA10" s="9">
        <v>3.0000000000000001E-3</v>
      </c>
      <c r="AC10" s="6" t="s">
        <v>83</v>
      </c>
      <c r="AD10" s="6">
        <v>57</v>
      </c>
      <c r="AE10" s="9">
        <v>8.0000000000000004E-4</v>
      </c>
      <c r="AG10" s="6" t="s">
        <v>99</v>
      </c>
      <c r="AH10" s="6">
        <v>15</v>
      </c>
      <c r="AI10" s="9">
        <v>2.0000000000000001E-4</v>
      </c>
    </row>
    <row r="11" spans="1:35">
      <c r="A11" s="6" t="s">
        <v>3</v>
      </c>
      <c r="B11" s="6">
        <v>236</v>
      </c>
      <c r="C11" s="9">
        <v>2.2000000000000001E-3</v>
      </c>
      <c r="E11" s="6" t="s">
        <v>77</v>
      </c>
      <c r="F11" s="6">
        <v>25</v>
      </c>
      <c r="G11" s="9">
        <v>2.0000000000000001E-4</v>
      </c>
      <c r="I11" s="6" t="s">
        <v>98</v>
      </c>
      <c r="J11" s="6">
        <v>13</v>
      </c>
      <c r="K11" s="9">
        <v>1E-4</v>
      </c>
      <c r="M11" s="6" t="s">
        <v>41</v>
      </c>
      <c r="N11" s="6">
        <v>20</v>
      </c>
      <c r="O11" s="9">
        <v>5.9999999999999995E-4</v>
      </c>
      <c r="Q11" s="6" t="s">
        <v>76</v>
      </c>
      <c r="R11" s="6">
        <v>2</v>
      </c>
      <c r="S11" s="9">
        <v>1E-4</v>
      </c>
      <c r="U11" s="6" t="s">
        <v>2</v>
      </c>
      <c r="V11" s="6">
        <v>8</v>
      </c>
      <c r="W11" s="9">
        <v>2.0000000000000001E-4</v>
      </c>
      <c r="Y11" s="6" t="s">
        <v>8</v>
      </c>
      <c r="Z11" s="6">
        <v>163</v>
      </c>
      <c r="AA11" s="9">
        <v>2.2000000000000001E-3</v>
      </c>
      <c r="AC11" s="6" t="s">
        <v>77</v>
      </c>
      <c r="AD11" s="6">
        <v>25</v>
      </c>
      <c r="AE11" s="9">
        <v>4.0000000000000002E-4</v>
      </c>
      <c r="AG11" s="6" t="s">
        <v>98</v>
      </c>
      <c r="AH11" s="6">
        <v>8</v>
      </c>
      <c r="AI11" s="9">
        <v>1E-4</v>
      </c>
    </row>
    <row r="12" spans="1:35">
      <c r="A12" s="6" t="s">
        <v>8</v>
      </c>
      <c r="B12" s="6">
        <v>165</v>
      </c>
      <c r="C12" s="9">
        <v>1.5E-3</v>
      </c>
      <c r="E12" s="6" t="s">
        <v>74</v>
      </c>
      <c r="F12" s="6">
        <v>20</v>
      </c>
      <c r="G12" s="9">
        <v>2.0000000000000001E-4</v>
      </c>
      <c r="I12" s="6" t="s">
        <v>102</v>
      </c>
      <c r="J12" s="6">
        <v>9</v>
      </c>
      <c r="K12" s="9">
        <v>1E-4</v>
      </c>
      <c r="M12" s="6" t="s">
        <v>7</v>
      </c>
      <c r="N12" s="6">
        <v>19</v>
      </c>
      <c r="O12" s="9">
        <v>5.9999999999999995E-4</v>
      </c>
      <c r="Q12" s="6" t="s">
        <v>74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157</v>
      </c>
      <c r="AA12" s="9">
        <v>2.0999999999999999E-3</v>
      </c>
      <c r="AC12" s="6" t="s">
        <v>79</v>
      </c>
      <c r="AD12" s="6">
        <v>18</v>
      </c>
      <c r="AE12" s="9">
        <v>2.9999999999999997E-4</v>
      </c>
      <c r="AG12" s="6" t="s">
        <v>102</v>
      </c>
      <c r="AH12" s="6">
        <v>6</v>
      </c>
      <c r="AI12" s="9">
        <v>1E-4</v>
      </c>
    </row>
    <row r="13" spans="1:35">
      <c r="A13" s="6" t="s">
        <v>5</v>
      </c>
      <c r="B13" s="6">
        <v>111</v>
      </c>
      <c r="C13" s="9">
        <v>1E-3</v>
      </c>
      <c r="E13" s="6" t="s">
        <v>79</v>
      </c>
      <c r="F13" s="6">
        <v>18</v>
      </c>
      <c r="G13" s="9">
        <v>2.0000000000000001E-4</v>
      </c>
      <c r="I13" s="6" t="s">
        <v>113</v>
      </c>
      <c r="J13" s="6">
        <v>8</v>
      </c>
      <c r="K13" s="9">
        <v>1E-4</v>
      </c>
      <c r="M13" s="6" t="s">
        <v>22</v>
      </c>
      <c r="N13" s="6">
        <v>16</v>
      </c>
      <c r="O13" s="9">
        <v>5.0000000000000001E-4</v>
      </c>
      <c r="Q13" s="6" t="s">
        <v>81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101</v>
      </c>
      <c r="AA13" s="9">
        <v>1.2999999999999999E-3</v>
      </c>
      <c r="AC13" s="6" t="s">
        <v>74</v>
      </c>
      <c r="AD13" s="6">
        <v>17</v>
      </c>
      <c r="AE13" s="9">
        <v>2.0000000000000001E-4</v>
      </c>
      <c r="AG13" s="6" t="s">
        <v>113</v>
      </c>
      <c r="AH13" s="6">
        <v>6</v>
      </c>
      <c r="AI13" s="9">
        <v>1E-4</v>
      </c>
    </row>
    <row r="14" spans="1:35">
      <c r="A14" s="6" t="s">
        <v>41</v>
      </c>
      <c r="B14" s="6">
        <v>66</v>
      </c>
      <c r="C14" s="9">
        <v>5.9999999999999995E-4</v>
      </c>
      <c r="E14" s="6" t="s">
        <v>75</v>
      </c>
      <c r="F14" s="6">
        <v>17</v>
      </c>
      <c r="G14" s="9">
        <v>2.0000000000000001E-4</v>
      </c>
      <c r="I14" s="6" t="s">
        <v>123</v>
      </c>
      <c r="J14" s="6">
        <v>1</v>
      </c>
      <c r="K14" s="30">
        <v>0</v>
      </c>
      <c r="M14" s="6" t="s">
        <v>9</v>
      </c>
      <c r="N14" s="6">
        <v>15</v>
      </c>
      <c r="O14" s="9">
        <v>4.0000000000000002E-4</v>
      </c>
      <c r="Q14" s="6" t="s">
        <v>92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11</v>
      </c>
      <c r="Z14" s="6">
        <v>56</v>
      </c>
      <c r="AA14" s="9">
        <v>6.9999999999999999E-4</v>
      </c>
      <c r="AC14" s="6" t="s">
        <v>75</v>
      </c>
      <c r="AD14" s="6">
        <v>16</v>
      </c>
      <c r="AE14" s="9">
        <v>2.0000000000000001E-4</v>
      </c>
      <c r="AG14" s="6" t="s">
        <v>123</v>
      </c>
      <c r="AH14" s="6">
        <v>1</v>
      </c>
      <c r="AI14" s="30">
        <v>0</v>
      </c>
    </row>
    <row r="15" spans="1:35">
      <c r="A15" s="6" t="s">
        <v>11</v>
      </c>
      <c r="B15" s="6">
        <v>65</v>
      </c>
      <c r="C15" s="9">
        <v>5.9999999999999995E-4</v>
      </c>
      <c r="E15" s="6" t="s">
        <v>76</v>
      </c>
      <c r="F15" s="6">
        <v>6</v>
      </c>
      <c r="G15" s="9">
        <v>1E-4</v>
      </c>
      <c r="I15" s="6" t="s">
        <v>103</v>
      </c>
      <c r="J15" s="6">
        <v>2</v>
      </c>
      <c r="K15" s="30">
        <v>0</v>
      </c>
      <c r="M15" s="6" t="s">
        <v>5</v>
      </c>
      <c r="N15" s="6">
        <v>10</v>
      </c>
      <c r="O15" s="9">
        <v>2.9999999999999997E-4</v>
      </c>
      <c r="Q15" s="6" t="s">
        <v>87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46</v>
      </c>
      <c r="AA15" s="9">
        <v>5.9999999999999995E-4</v>
      </c>
      <c r="AC15" s="6" t="s">
        <v>76</v>
      </c>
      <c r="AD15" s="6">
        <v>4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7</v>
      </c>
      <c r="B16" s="6">
        <v>47</v>
      </c>
      <c r="C16" s="9">
        <v>4.0000000000000002E-4</v>
      </c>
      <c r="E16" s="6" t="s">
        <v>87</v>
      </c>
      <c r="F16" s="6">
        <v>2</v>
      </c>
      <c r="G16" s="30">
        <v>0</v>
      </c>
      <c r="M16" s="6" t="s">
        <v>26</v>
      </c>
      <c r="N16" s="6">
        <v>11</v>
      </c>
      <c r="O16" s="9">
        <v>2.9999999999999997E-4</v>
      </c>
      <c r="Q16" s="6" t="s">
        <v>116</v>
      </c>
      <c r="R16" s="6">
        <v>1</v>
      </c>
      <c r="S16" s="30">
        <v>0</v>
      </c>
      <c r="Y16" s="6" t="s">
        <v>7</v>
      </c>
      <c r="Z16" s="6">
        <v>28</v>
      </c>
      <c r="AA16" s="9">
        <v>4.0000000000000002E-4</v>
      </c>
      <c r="AC16" s="6" t="s">
        <v>87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1">
      <c r="A17" s="6" t="s">
        <v>18</v>
      </c>
      <c r="B17" s="6">
        <v>32</v>
      </c>
      <c r="C17" s="9">
        <v>2.9999999999999997E-4</v>
      </c>
      <c r="E17" s="6" t="s">
        <v>116</v>
      </c>
      <c r="F17" s="6">
        <v>2</v>
      </c>
      <c r="G17" s="30">
        <v>0</v>
      </c>
      <c r="M17" s="6" t="s">
        <v>29</v>
      </c>
      <c r="N17" s="6">
        <v>9</v>
      </c>
      <c r="O17" s="9">
        <v>2.9999999999999997E-4</v>
      </c>
      <c r="Q17" s="6" t="s">
        <v>120</v>
      </c>
      <c r="R17" s="6">
        <v>1</v>
      </c>
      <c r="S17" s="30">
        <v>0</v>
      </c>
      <c r="Y17" s="6" t="s">
        <v>21</v>
      </c>
      <c r="Z17" s="6">
        <v>19</v>
      </c>
      <c r="AA17" s="9">
        <v>2.9999999999999997E-4</v>
      </c>
      <c r="AC17" s="6" t="s">
        <v>116</v>
      </c>
      <c r="AD17" s="6">
        <v>1</v>
      </c>
      <c r="AE17" s="30">
        <v>0</v>
      </c>
    </row>
    <row r="18" spans="1:31">
      <c r="A18" s="6" t="s">
        <v>21</v>
      </c>
      <c r="B18" s="6">
        <v>26</v>
      </c>
      <c r="C18" s="9">
        <v>2.0000000000000001E-4</v>
      </c>
      <c r="E18" s="6" t="s">
        <v>81</v>
      </c>
      <c r="F18" s="6">
        <v>3</v>
      </c>
      <c r="G18" s="30">
        <v>0</v>
      </c>
      <c r="M18" s="6" t="s">
        <v>11</v>
      </c>
      <c r="N18" s="6">
        <v>9</v>
      </c>
      <c r="O18" s="9">
        <v>2.9999999999999997E-4</v>
      </c>
      <c r="Q18" s="6" t="s">
        <v>78</v>
      </c>
      <c r="R18" s="6">
        <v>1</v>
      </c>
      <c r="S18" s="30">
        <v>0</v>
      </c>
      <c r="Y18" s="6" t="s">
        <v>18</v>
      </c>
      <c r="Z18" s="6">
        <v>25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45</v>
      </c>
      <c r="B19" s="6">
        <v>19</v>
      </c>
      <c r="C19" s="9">
        <v>2.0000000000000001E-4</v>
      </c>
      <c r="E19" s="6" t="s">
        <v>92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Q19" s="6" t="s">
        <v>86</v>
      </c>
      <c r="R19" s="6">
        <v>1</v>
      </c>
      <c r="S19" s="30">
        <v>0</v>
      </c>
      <c r="Y19" s="6" t="s">
        <v>12</v>
      </c>
      <c r="Z19" s="6">
        <v>22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12</v>
      </c>
      <c r="B20" s="6">
        <v>23</v>
      </c>
      <c r="C20" s="9">
        <v>2.0000000000000001E-4</v>
      </c>
      <c r="E20" s="6" t="s">
        <v>80</v>
      </c>
      <c r="F20" s="6">
        <v>1</v>
      </c>
      <c r="G20" s="30">
        <v>0</v>
      </c>
      <c r="M20" s="6" t="s">
        <v>37</v>
      </c>
      <c r="N20" s="6">
        <v>8</v>
      </c>
      <c r="O20" s="9">
        <v>2.0000000000000001E-4</v>
      </c>
      <c r="Q20" s="6" t="s">
        <v>75</v>
      </c>
      <c r="R20" s="6">
        <v>1</v>
      </c>
      <c r="S20" s="30">
        <v>0</v>
      </c>
      <c r="Y20" s="6" t="s">
        <v>45</v>
      </c>
      <c r="Z20" s="6">
        <v>17</v>
      </c>
      <c r="AA20" s="9">
        <v>2.0000000000000001E-4</v>
      </c>
      <c r="AC20" s="6" t="s">
        <v>89</v>
      </c>
      <c r="AD20" s="6">
        <v>1</v>
      </c>
      <c r="AE20" s="30">
        <v>0</v>
      </c>
    </row>
    <row r="21" spans="1:31">
      <c r="A21" s="6" t="s">
        <v>29</v>
      </c>
      <c r="B21" s="6">
        <v>23</v>
      </c>
      <c r="C21" s="9">
        <v>2.0000000000000001E-4</v>
      </c>
      <c r="E21" s="6" t="s">
        <v>89</v>
      </c>
      <c r="F21" s="6">
        <v>1</v>
      </c>
      <c r="G21" s="30">
        <v>0</v>
      </c>
      <c r="M21" s="6" t="s">
        <v>18</v>
      </c>
      <c r="N21" s="6">
        <v>7</v>
      </c>
      <c r="O21" s="9">
        <v>2.0000000000000001E-4</v>
      </c>
      <c r="Y21" s="6" t="s">
        <v>46</v>
      </c>
      <c r="Z21" s="6">
        <v>16</v>
      </c>
      <c r="AA21" s="9">
        <v>2.0000000000000001E-4</v>
      </c>
      <c r="AC21" s="6" t="s">
        <v>84</v>
      </c>
      <c r="AD21" s="6">
        <v>2</v>
      </c>
      <c r="AE21" s="30">
        <v>0</v>
      </c>
    </row>
    <row r="22" spans="1:31">
      <c r="A22" s="6" t="s">
        <v>22</v>
      </c>
      <c r="B22" s="6">
        <v>18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31</v>
      </c>
      <c r="N22" s="6">
        <v>8</v>
      </c>
      <c r="O22" s="9">
        <v>2.0000000000000001E-4</v>
      </c>
      <c r="Y22" s="6" t="s">
        <v>14</v>
      </c>
      <c r="Z22" s="6">
        <v>18</v>
      </c>
      <c r="AA22" s="9">
        <v>2.0000000000000001E-4</v>
      </c>
      <c r="AC22" s="6" t="s">
        <v>78</v>
      </c>
      <c r="AD22" s="6">
        <v>3</v>
      </c>
      <c r="AE22" s="30">
        <v>0</v>
      </c>
    </row>
    <row r="23" spans="1:31">
      <c r="A23" s="6" t="s">
        <v>14</v>
      </c>
      <c r="B23" s="6">
        <v>18</v>
      </c>
      <c r="C23" s="9">
        <v>2.0000000000000001E-4</v>
      </c>
      <c r="E23" s="6" t="s">
        <v>78</v>
      </c>
      <c r="F23" s="6">
        <v>4</v>
      </c>
      <c r="G23" s="30">
        <v>0</v>
      </c>
      <c r="M23" s="6" t="s">
        <v>45</v>
      </c>
      <c r="N23" s="6">
        <v>2</v>
      </c>
      <c r="O23" s="9">
        <v>1E-4</v>
      </c>
      <c r="Y23" s="6" t="s">
        <v>29</v>
      </c>
      <c r="Z23" s="6">
        <v>14</v>
      </c>
      <c r="AA23" s="9">
        <v>2.0000000000000001E-4</v>
      </c>
      <c r="AC23" s="6" t="s">
        <v>135</v>
      </c>
      <c r="AD23" s="6">
        <v>1</v>
      </c>
      <c r="AE23" s="30">
        <v>0</v>
      </c>
    </row>
    <row r="24" spans="1:31">
      <c r="A24" s="6" t="s">
        <v>26</v>
      </c>
      <c r="B24" s="6">
        <v>20</v>
      </c>
      <c r="C24" s="9">
        <v>2.0000000000000001E-4</v>
      </c>
      <c r="E24" s="6" t="s">
        <v>86</v>
      </c>
      <c r="F24" s="6">
        <v>2</v>
      </c>
      <c r="G24" s="30">
        <v>0</v>
      </c>
      <c r="M24" s="6" t="s">
        <v>40</v>
      </c>
      <c r="N24" s="6">
        <v>4</v>
      </c>
      <c r="O24" s="9">
        <v>1E-4</v>
      </c>
      <c r="Y24" s="6" t="s">
        <v>20</v>
      </c>
      <c r="Z24" s="6">
        <v>5</v>
      </c>
      <c r="AA24" s="9">
        <v>1E-4</v>
      </c>
      <c r="AC24" s="6" t="s">
        <v>120</v>
      </c>
      <c r="AD24" s="6">
        <v>1</v>
      </c>
      <c r="AE24" s="30">
        <v>0</v>
      </c>
    </row>
    <row r="25" spans="1:31">
      <c r="A25" s="6" t="s">
        <v>31</v>
      </c>
      <c r="B25" s="6">
        <v>17</v>
      </c>
      <c r="C25" s="9">
        <v>2.0000000000000001E-4</v>
      </c>
      <c r="E25" s="6" t="s">
        <v>120</v>
      </c>
      <c r="F25" s="6">
        <v>2</v>
      </c>
      <c r="G25" s="30">
        <v>0</v>
      </c>
      <c r="M25" s="6" t="s">
        <v>8</v>
      </c>
      <c r="N25" s="6">
        <v>2</v>
      </c>
      <c r="O25" s="9">
        <v>1E-4</v>
      </c>
      <c r="Y25" s="6" t="s">
        <v>10</v>
      </c>
      <c r="Z25" s="6">
        <v>11</v>
      </c>
      <c r="AA25" s="9">
        <v>1E-4</v>
      </c>
      <c r="AC25" s="6" t="s">
        <v>86</v>
      </c>
      <c r="AD25" s="6">
        <v>1</v>
      </c>
      <c r="AE25" s="30">
        <v>0</v>
      </c>
    </row>
    <row r="26" spans="1:31">
      <c r="A26" s="6" t="s">
        <v>20</v>
      </c>
      <c r="B26" s="6">
        <v>6</v>
      </c>
      <c r="C26" s="9">
        <v>1E-4</v>
      </c>
      <c r="E26" s="6" t="s">
        <v>135</v>
      </c>
      <c r="F26" s="6">
        <v>1</v>
      </c>
      <c r="G26" s="30">
        <v>0</v>
      </c>
      <c r="M26" s="6" t="s">
        <v>59</v>
      </c>
      <c r="N26" s="6">
        <v>4</v>
      </c>
      <c r="O26" s="9">
        <v>1E-4</v>
      </c>
      <c r="Y26" s="6" t="s">
        <v>17</v>
      </c>
      <c r="Z26" s="6">
        <v>10</v>
      </c>
      <c r="AA26" s="9">
        <v>1E-4</v>
      </c>
      <c r="AC26" s="6" t="s">
        <v>145</v>
      </c>
      <c r="AD26" s="6">
        <v>1</v>
      </c>
      <c r="AE26" s="30">
        <v>0</v>
      </c>
    </row>
    <row r="27" spans="1:31">
      <c r="A27" s="6" t="s">
        <v>46</v>
      </c>
      <c r="B27" s="6">
        <v>16</v>
      </c>
      <c r="C27" s="9">
        <v>1E-4</v>
      </c>
      <c r="E27" s="6" t="s">
        <v>145</v>
      </c>
      <c r="F27" s="6">
        <v>1</v>
      </c>
      <c r="G27" s="30">
        <v>0</v>
      </c>
      <c r="M27" s="6" t="s">
        <v>24</v>
      </c>
      <c r="N27" s="6">
        <v>2</v>
      </c>
      <c r="O27" s="9">
        <v>1E-4</v>
      </c>
      <c r="Y27" s="6" t="s">
        <v>37</v>
      </c>
      <c r="Z27" s="6">
        <v>6</v>
      </c>
      <c r="AA27" s="9">
        <v>1E-4</v>
      </c>
      <c r="AC27" s="6" t="s">
        <v>157</v>
      </c>
      <c r="AD27" s="6">
        <v>1</v>
      </c>
      <c r="AE27" s="30">
        <v>0</v>
      </c>
    </row>
    <row r="28" spans="1:31">
      <c r="A28" s="6" t="s">
        <v>37</v>
      </c>
      <c r="B28" s="6">
        <v>14</v>
      </c>
      <c r="C28" s="9">
        <v>1E-4</v>
      </c>
      <c r="E28" s="6" t="s">
        <v>157</v>
      </c>
      <c r="F28" s="6">
        <v>1</v>
      </c>
      <c r="G28" s="30">
        <v>0</v>
      </c>
      <c r="M28" s="6" t="s">
        <v>42</v>
      </c>
      <c r="N28" s="6">
        <v>3</v>
      </c>
      <c r="O28" s="9">
        <v>1E-4</v>
      </c>
      <c r="Y28" s="6" t="s">
        <v>31</v>
      </c>
      <c r="Z28" s="6">
        <v>9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17</v>
      </c>
      <c r="N29" s="6">
        <v>3</v>
      </c>
      <c r="O29" s="9">
        <v>1E-4</v>
      </c>
      <c r="Y29" s="6" t="s">
        <v>40</v>
      </c>
      <c r="Z29" s="6">
        <v>9</v>
      </c>
      <c r="AA29" s="9">
        <v>1E-4</v>
      </c>
    </row>
    <row r="30" spans="1:31">
      <c r="A30" s="6" t="s">
        <v>10</v>
      </c>
      <c r="B30" s="6">
        <v>12</v>
      </c>
      <c r="C30" s="9">
        <v>1E-4</v>
      </c>
      <c r="M30" s="6" t="s">
        <v>68</v>
      </c>
      <c r="N30" s="6">
        <v>2</v>
      </c>
      <c r="O30" s="9">
        <v>1E-4</v>
      </c>
      <c r="Y30" s="6" t="s">
        <v>26</v>
      </c>
      <c r="Z30" s="6">
        <v>9</v>
      </c>
      <c r="AA30" s="9">
        <v>1E-4</v>
      </c>
    </row>
    <row r="31" spans="1:31">
      <c r="A31" s="6" t="s">
        <v>40</v>
      </c>
      <c r="B31" s="6">
        <v>13</v>
      </c>
      <c r="C31" s="9">
        <v>1E-4</v>
      </c>
      <c r="M31" s="6" t="s">
        <v>20</v>
      </c>
      <c r="N31" s="6">
        <v>1</v>
      </c>
      <c r="O31" s="30">
        <v>0</v>
      </c>
      <c r="Y31" s="6" t="s">
        <v>30</v>
      </c>
      <c r="Z31" s="6">
        <v>5</v>
      </c>
      <c r="AA31" s="9">
        <v>1E-4</v>
      </c>
    </row>
    <row r="32" spans="1:31">
      <c r="A32" s="6" t="s">
        <v>38</v>
      </c>
      <c r="B32" s="6">
        <v>6</v>
      </c>
      <c r="C32" s="9">
        <v>1E-4</v>
      </c>
      <c r="M32" s="6" t="s">
        <v>115</v>
      </c>
      <c r="N32" s="6">
        <v>1</v>
      </c>
      <c r="O32" s="30">
        <v>0</v>
      </c>
      <c r="Y32" s="6" t="s">
        <v>38</v>
      </c>
      <c r="Z32" s="6">
        <v>5</v>
      </c>
      <c r="AA32" s="9">
        <v>1E-4</v>
      </c>
    </row>
    <row r="33" spans="1:27">
      <c r="A33" s="6" t="s">
        <v>30</v>
      </c>
      <c r="B33" s="6">
        <v>6</v>
      </c>
      <c r="C33" s="9">
        <v>1E-4</v>
      </c>
      <c r="M33" s="6" t="s">
        <v>19</v>
      </c>
      <c r="N33" s="6">
        <v>1</v>
      </c>
      <c r="O33" s="30">
        <v>0</v>
      </c>
      <c r="Y33" s="6" t="s">
        <v>57</v>
      </c>
      <c r="Z33" s="6">
        <v>4</v>
      </c>
      <c r="AA33" s="9">
        <v>1E-4</v>
      </c>
    </row>
    <row r="34" spans="1:27">
      <c r="A34" s="6" t="s">
        <v>19</v>
      </c>
      <c r="B34" s="6">
        <v>2</v>
      </c>
      <c r="C34" s="30">
        <v>0</v>
      </c>
      <c r="M34" s="6" t="s">
        <v>36</v>
      </c>
      <c r="N34" s="6">
        <v>1</v>
      </c>
      <c r="O34" s="30">
        <v>0</v>
      </c>
      <c r="Y34" s="6" t="s">
        <v>33</v>
      </c>
      <c r="Z34" s="6">
        <v>4</v>
      </c>
      <c r="AA34" s="9">
        <v>1E-4</v>
      </c>
    </row>
    <row r="35" spans="1:27">
      <c r="A35" s="6" t="s">
        <v>115</v>
      </c>
      <c r="B35" s="6">
        <v>3</v>
      </c>
      <c r="C35" s="30">
        <v>0</v>
      </c>
      <c r="M35" s="6" t="s">
        <v>16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34</v>
      </c>
      <c r="B36" s="6">
        <v>1</v>
      </c>
      <c r="C36" s="30">
        <v>0</v>
      </c>
      <c r="M36" s="6" t="s">
        <v>65</v>
      </c>
      <c r="N36" s="6">
        <v>1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M37" s="6" t="s">
        <v>43</v>
      </c>
      <c r="N37" s="6">
        <v>1</v>
      </c>
      <c r="O37" s="30">
        <v>0</v>
      </c>
      <c r="Y37" s="6" t="s">
        <v>19</v>
      </c>
      <c r="Z37" s="6">
        <v>1</v>
      </c>
      <c r="AA37" s="30">
        <v>0</v>
      </c>
    </row>
    <row r="38" spans="1:27">
      <c r="A38" s="6" t="s">
        <v>65</v>
      </c>
      <c r="B38" s="6">
        <v>2</v>
      </c>
      <c r="C38" s="30">
        <v>0</v>
      </c>
      <c r="M38" s="6" t="s">
        <v>12</v>
      </c>
      <c r="N38" s="6">
        <v>1</v>
      </c>
      <c r="O38" s="30">
        <v>0</v>
      </c>
      <c r="Y38" s="6" t="s">
        <v>115</v>
      </c>
      <c r="Z38" s="6">
        <v>2</v>
      </c>
      <c r="AA38" s="30">
        <v>0</v>
      </c>
    </row>
    <row r="39" spans="1:27">
      <c r="A39" s="6" t="s">
        <v>36</v>
      </c>
      <c r="B39" s="6">
        <v>4</v>
      </c>
      <c r="C39" s="30">
        <v>0</v>
      </c>
      <c r="M39" s="6" t="s">
        <v>27</v>
      </c>
      <c r="N39" s="6">
        <v>1</v>
      </c>
      <c r="O39" s="30">
        <v>0</v>
      </c>
      <c r="Y39" s="6" t="s">
        <v>65</v>
      </c>
      <c r="Z39" s="6">
        <v>1</v>
      </c>
      <c r="AA39" s="30">
        <v>0</v>
      </c>
    </row>
    <row r="40" spans="1:27">
      <c r="A40" s="6" t="s">
        <v>16</v>
      </c>
      <c r="B40" s="6">
        <v>2</v>
      </c>
      <c r="C40" s="30">
        <v>0</v>
      </c>
      <c r="M40" s="6" t="s">
        <v>60</v>
      </c>
      <c r="N40" s="6">
        <v>1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121</v>
      </c>
      <c r="B41" s="6">
        <v>1</v>
      </c>
      <c r="C41" s="30">
        <v>0</v>
      </c>
      <c r="M41" s="6" t="s">
        <v>38</v>
      </c>
      <c r="N41" s="6">
        <v>1</v>
      </c>
      <c r="O41" s="30">
        <v>0</v>
      </c>
      <c r="Y41" s="6" t="s">
        <v>34</v>
      </c>
      <c r="Z41" s="6">
        <v>1</v>
      </c>
      <c r="AA41" s="30">
        <v>0</v>
      </c>
    </row>
    <row r="42" spans="1:27">
      <c r="A42" s="6" t="s">
        <v>24</v>
      </c>
      <c r="B42" s="6">
        <v>3</v>
      </c>
      <c r="C42" s="30">
        <v>0</v>
      </c>
      <c r="M42" s="6" t="s">
        <v>39</v>
      </c>
      <c r="N42" s="6">
        <v>1</v>
      </c>
      <c r="O42" s="30">
        <v>0</v>
      </c>
      <c r="Y42" s="6" t="s">
        <v>36</v>
      </c>
      <c r="Z42" s="6">
        <v>3</v>
      </c>
      <c r="AA42" s="30">
        <v>0</v>
      </c>
    </row>
    <row r="43" spans="1:27">
      <c r="A43" s="6" t="s">
        <v>15</v>
      </c>
      <c r="B43" s="6">
        <v>4</v>
      </c>
      <c r="C43" s="30">
        <v>0</v>
      </c>
      <c r="M43" s="6" t="s">
        <v>15</v>
      </c>
      <c r="N43" s="6">
        <v>1</v>
      </c>
      <c r="O43" s="30">
        <v>0</v>
      </c>
      <c r="Y43" s="6" t="s">
        <v>16</v>
      </c>
      <c r="Z43" s="6">
        <v>1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M44" s="6" t="s">
        <v>32</v>
      </c>
      <c r="N44" s="6">
        <v>1</v>
      </c>
      <c r="O44" s="30">
        <v>0</v>
      </c>
      <c r="Y44" s="6" t="s">
        <v>15</v>
      </c>
      <c r="Z44" s="6">
        <v>3</v>
      </c>
      <c r="AA44" s="30">
        <v>0</v>
      </c>
    </row>
    <row r="45" spans="1:27">
      <c r="A45" s="6" t="s">
        <v>57</v>
      </c>
      <c r="B45" s="6">
        <v>5</v>
      </c>
      <c r="C45" s="30">
        <v>0</v>
      </c>
      <c r="M45" s="6" t="s">
        <v>10</v>
      </c>
      <c r="N45" s="6">
        <v>1</v>
      </c>
      <c r="O45" s="30">
        <v>0</v>
      </c>
      <c r="Y45" s="6" t="s">
        <v>121</v>
      </c>
      <c r="Z45" s="6">
        <v>1</v>
      </c>
      <c r="AA45" s="30">
        <v>0</v>
      </c>
    </row>
    <row r="46" spans="1:27">
      <c r="A46" s="6" t="s">
        <v>68</v>
      </c>
      <c r="B46" s="6">
        <v>4</v>
      </c>
      <c r="C46" s="30">
        <v>0</v>
      </c>
      <c r="M46" s="6" t="s">
        <v>57</v>
      </c>
      <c r="N46" s="6">
        <v>1</v>
      </c>
      <c r="O46" s="30">
        <v>0</v>
      </c>
      <c r="Y46" s="6" t="s">
        <v>48</v>
      </c>
      <c r="Z46" s="6">
        <v>1</v>
      </c>
      <c r="AA46" s="30">
        <v>0</v>
      </c>
    </row>
    <row r="47" spans="1:27">
      <c r="A47" s="6" t="s">
        <v>59</v>
      </c>
      <c r="B47" s="6">
        <v>4</v>
      </c>
      <c r="C47" s="30">
        <v>0</v>
      </c>
      <c r="M47" s="6" t="s">
        <v>66</v>
      </c>
      <c r="N47" s="6">
        <v>1</v>
      </c>
      <c r="O47" s="30">
        <v>0</v>
      </c>
      <c r="Y47" s="6" t="s">
        <v>22</v>
      </c>
      <c r="Z47" s="6">
        <v>2</v>
      </c>
      <c r="AA47" s="30">
        <v>0</v>
      </c>
    </row>
    <row r="48" spans="1:27">
      <c r="A48" s="6" t="s">
        <v>58</v>
      </c>
      <c r="B48" s="6">
        <v>3</v>
      </c>
      <c r="C48" s="30">
        <v>0</v>
      </c>
      <c r="M48" s="6" t="s">
        <v>30</v>
      </c>
      <c r="N48" s="6">
        <v>1</v>
      </c>
      <c r="O48" s="30">
        <v>0</v>
      </c>
      <c r="Y48" s="6" t="s">
        <v>24</v>
      </c>
      <c r="Z48" s="6">
        <v>1</v>
      </c>
      <c r="AA48" s="30">
        <v>0</v>
      </c>
    </row>
    <row r="49" spans="1:27">
      <c r="A49" s="6" t="s">
        <v>42</v>
      </c>
      <c r="B49" s="6">
        <v>3</v>
      </c>
      <c r="C49" s="30">
        <v>0</v>
      </c>
      <c r="M49" s="6" t="s">
        <v>49</v>
      </c>
      <c r="N49" s="6">
        <v>1</v>
      </c>
      <c r="O49" s="30">
        <v>0</v>
      </c>
      <c r="Y49" s="6" t="s">
        <v>58</v>
      </c>
      <c r="Z49" s="6">
        <v>3</v>
      </c>
      <c r="AA49" s="30">
        <v>0</v>
      </c>
    </row>
    <row r="50" spans="1:27">
      <c r="A50" s="6" t="s">
        <v>27</v>
      </c>
      <c r="B50" s="6">
        <v>5</v>
      </c>
      <c r="C50" s="30">
        <v>0</v>
      </c>
      <c r="Y50" s="6" t="s">
        <v>68</v>
      </c>
      <c r="Z50" s="6">
        <v>2</v>
      </c>
      <c r="AA50" s="30">
        <v>0</v>
      </c>
    </row>
    <row r="51" spans="1:27">
      <c r="A51" s="6" t="s">
        <v>39</v>
      </c>
      <c r="B51" s="6">
        <v>1</v>
      </c>
      <c r="C51" s="30">
        <v>0</v>
      </c>
      <c r="Y51" s="6" t="s">
        <v>148</v>
      </c>
      <c r="Z51" s="6">
        <v>1</v>
      </c>
      <c r="AA51" s="30">
        <v>0</v>
      </c>
    </row>
    <row r="52" spans="1:27">
      <c r="A52" s="6" t="s">
        <v>60</v>
      </c>
      <c r="B52" s="6">
        <v>2</v>
      </c>
      <c r="C52" s="30">
        <v>0</v>
      </c>
      <c r="Y52" s="6" t="s">
        <v>60</v>
      </c>
      <c r="Z52" s="6">
        <v>1</v>
      </c>
      <c r="AA52" s="30">
        <v>0</v>
      </c>
    </row>
    <row r="53" spans="1:27">
      <c r="A53" s="6" t="s">
        <v>33</v>
      </c>
      <c r="B53" s="6">
        <v>4</v>
      </c>
      <c r="C53" s="30">
        <v>0</v>
      </c>
      <c r="Y53" s="6" t="s">
        <v>66</v>
      </c>
      <c r="Z53" s="6">
        <v>2</v>
      </c>
      <c r="AA53" s="30">
        <v>0</v>
      </c>
    </row>
    <row r="54" spans="1:27">
      <c r="A54" s="6" t="s">
        <v>66</v>
      </c>
      <c r="B54" s="6">
        <v>3</v>
      </c>
      <c r="C54" s="30">
        <v>0</v>
      </c>
      <c r="Y54" s="6" t="s">
        <v>61</v>
      </c>
      <c r="Z54" s="6">
        <v>1</v>
      </c>
      <c r="AA54" s="30">
        <v>0</v>
      </c>
    </row>
    <row r="55" spans="1:27">
      <c r="A55" s="6" t="s">
        <v>43</v>
      </c>
      <c r="B55" s="6">
        <v>1</v>
      </c>
      <c r="C55" s="30">
        <v>0</v>
      </c>
      <c r="Y55" s="6" t="s">
        <v>32</v>
      </c>
      <c r="Z55" s="6">
        <v>1</v>
      </c>
      <c r="AA55" s="30">
        <v>0</v>
      </c>
    </row>
    <row r="56" spans="1:27">
      <c r="A56" s="6" t="s">
        <v>32</v>
      </c>
      <c r="B56" s="6">
        <v>2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25</v>
      </c>
      <c r="B57" s="6">
        <v>4</v>
      </c>
      <c r="C57" s="30">
        <v>0</v>
      </c>
    </row>
    <row r="58" spans="1:27">
      <c r="A58" s="6" t="s">
        <v>148</v>
      </c>
      <c r="B58" s="6">
        <v>1</v>
      </c>
      <c r="C58" s="30">
        <v>0</v>
      </c>
    </row>
    <row r="59" spans="1:27">
      <c r="A59" s="6" t="s">
        <v>61</v>
      </c>
      <c r="B59" s="6">
        <v>1</v>
      </c>
      <c r="C59" s="30">
        <v>0</v>
      </c>
    </row>
    <row r="60" spans="1:27">
      <c r="A60" s="6" t="s">
        <v>64</v>
      </c>
      <c r="B60" s="6">
        <v>1</v>
      </c>
      <c r="C60" s="30">
        <v>0</v>
      </c>
    </row>
    <row r="61" spans="1:27">
      <c r="A61" s="6" t="s">
        <v>49</v>
      </c>
      <c r="B61" s="6">
        <v>1</v>
      </c>
      <c r="C61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442E-71AB-417C-9BD6-40A7B7693EB4}">
  <sheetPr codeName="Sheet46"/>
  <dimension ref="A1:AI63"/>
  <sheetViews>
    <sheetView topLeftCell="R1" workbookViewId="0">
      <selection activeCell="W2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108961</v>
      </c>
      <c r="E2" s="41" t="s">
        <v>4</v>
      </c>
      <c r="F2" s="23" t="s">
        <v>105</v>
      </c>
      <c r="G2" s="23">
        <f>G3+G4</f>
        <v>108059</v>
      </c>
      <c r="H2" s="22"/>
      <c r="I2" s="41" t="s">
        <v>6</v>
      </c>
      <c r="J2" s="23" t="s">
        <v>105</v>
      </c>
      <c r="K2" s="23">
        <f>K3+K4</f>
        <v>108685</v>
      </c>
      <c r="M2" s="41" t="s">
        <v>104</v>
      </c>
      <c r="N2" s="23" t="s">
        <v>105</v>
      </c>
      <c r="O2" s="23">
        <f>O3+O4</f>
        <v>34049</v>
      </c>
      <c r="Q2" s="41" t="s">
        <v>4</v>
      </c>
      <c r="R2" s="23" t="s">
        <v>105</v>
      </c>
      <c r="S2" s="23">
        <f>S3+S4</f>
        <v>33109</v>
      </c>
      <c r="T2" s="22"/>
      <c r="U2" s="41" t="s">
        <v>6</v>
      </c>
      <c r="V2" s="23" t="s">
        <v>105</v>
      </c>
      <c r="W2" s="23">
        <f>W3+W4</f>
        <v>32894</v>
      </c>
      <c r="Y2" s="41" t="s">
        <v>104</v>
      </c>
      <c r="Z2" s="23" t="s">
        <v>105</v>
      </c>
      <c r="AA2" s="23">
        <f>AA3+AA4</f>
        <v>74901</v>
      </c>
      <c r="AC2" s="41" t="s">
        <v>4</v>
      </c>
      <c r="AD2" s="23" t="s">
        <v>105</v>
      </c>
      <c r="AE2" s="23">
        <f>AE3+AE4</f>
        <v>74951</v>
      </c>
      <c r="AF2" s="22"/>
      <c r="AG2" s="41" t="s">
        <v>6</v>
      </c>
      <c r="AH2" s="23" t="s">
        <v>105</v>
      </c>
      <c r="AI2" s="23">
        <f>AI3+AI4</f>
        <v>75792</v>
      </c>
    </row>
    <row r="3" spans="1:35">
      <c r="A3" s="42"/>
      <c r="B3" s="24" t="s">
        <v>106</v>
      </c>
      <c r="C3" s="24">
        <f>B8</f>
        <v>107229</v>
      </c>
      <c r="E3" s="42"/>
      <c r="F3" s="24" t="s">
        <v>106</v>
      </c>
      <c r="G3" s="24">
        <f>F8</f>
        <v>107604</v>
      </c>
      <c r="H3" s="22"/>
      <c r="I3" s="42"/>
      <c r="J3" s="24" t="s">
        <v>106</v>
      </c>
      <c r="K3" s="24">
        <f>J8</f>
        <v>108605</v>
      </c>
      <c r="M3" s="42"/>
      <c r="N3" s="24" t="s">
        <v>106</v>
      </c>
      <c r="O3" s="24">
        <f>N8</f>
        <v>33639</v>
      </c>
      <c r="Q3" s="42"/>
      <c r="R3" s="24" t="s">
        <v>106</v>
      </c>
      <c r="S3" s="24">
        <f>R8</f>
        <v>33018</v>
      </c>
      <c r="T3" s="22"/>
      <c r="U3" s="42"/>
      <c r="V3" s="24" t="s">
        <v>106</v>
      </c>
      <c r="W3" s="24">
        <f>V8</f>
        <v>32868</v>
      </c>
      <c r="Y3" s="42"/>
      <c r="Z3" s="24" t="s">
        <v>106</v>
      </c>
      <c r="AA3" s="24">
        <f>Z8</f>
        <v>73590</v>
      </c>
      <c r="AC3" s="42"/>
      <c r="AD3" s="24" t="s">
        <v>106</v>
      </c>
      <c r="AE3" s="24">
        <f>AD8</f>
        <v>74586</v>
      </c>
      <c r="AF3" s="22"/>
      <c r="AG3" s="42"/>
      <c r="AH3" s="24" t="s">
        <v>106</v>
      </c>
      <c r="AI3" s="24">
        <f>AH8</f>
        <v>75737</v>
      </c>
    </row>
    <row r="4" spans="1:35">
      <c r="A4" s="42"/>
      <c r="B4" s="25" t="s">
        <v>107</v>
      </c>
      <c r="C4" s="25">
        <f>SUM(B9:B66)</f>
        <v>1732</v>
      </c>
      <c r="E4" s="42"/>
      <c r="F4" s="25" t="s">
        <v>107</v>
      </c>
      <c r="G4" s="25">
        <f>SUM(F9:F33)</f>
        <v>455</v>
      </c>
      <c r="H4" s="22"/>
      <c r="I4" s="42"/>
      <c r="J4" s="25" t="s">
        <v>107</v>
      </c>
      <c r="K4" s="25">
        <f>SUM(J9:J31)</f>
        <v>80</v>
      </c>
      <c r="M4" s="42"/>
      <c r="N4" s="25" t="s">
        <v>107</v>
      </c>
      <c r="O4" s="25">
        <f>SUM(N9:N66)</f>
        <v>410</v>
      </c>
      <c r="Q4" s="42"/>
      <c r="R4" s="25" t="s">
        <v>107</v>
      </c>
      <c r="S4" s="25">
        <f>SUM(R9:R33)</f>
        <v>91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1311</v>
      </c>
      <c r="AC4" s="42"/>
      <c r="AD4" s="25" t="s">
        <v>107</v>
      </c>
      <c r="AE4" s="25">
        <f>SUM(AD9:AD29)</f>
        <v>365</v>
      </c>
      <c r="AF4" s="22"/>
      <c r="AG4" s="42"/>
      <c r="AH4" s="25" t="s">
        <v>107</v>
      </c>
      <c r="AI4" s="25">
        <f>SUM(AH9:AH29)</f>
        <v>55</v>
      </c>
    </row>
    <row r="5" spans="1:35">
      <c r="A5" s="43"/>
      <c r="B5" s="23" t="s">
        <v>108</v>
      </c>
      <c r="C5" s="26">
        <f>SUM(C9:C179)</f>
        <v>1.54E-2</v>
      </c>
      <c r="E5" s="43"/>
      <c r="F5" s="23" t="s">
        <v>108</v>
      </c>
      <c r="G5" s="26">
        <f>SUM(G9:G33)</f>
        <v>4.0000000000000001E-3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1.1599999999999996E-2</v>
      </c>
      <c r="Q5" s="43"/>
      <c r="R5" s="23" t="s">
        <v>108</v>
      </c>
      <c r="S5" s="26">
        <f>SUM(S9:S33)</f>
        <v>2.6999999999999997E-3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1.7399999999999992E-2</v>
      </c>
      <c r="AC5" s="43"/>
      <c r="AD5" s="23" t="s">
        <v>108</v>
      </c>
      <c r="AE5" s="26">
        <f>SUM(AE9:AE29)</f>
        <v>4.7999999999999996E-3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107229</v>
      </c>
      <c r="C8" s="9">
        <v>0.98409999999999997</v>
      </c>
      <c r="E8" s="6" t="s">
        <v>112</v>
      </c>
      <c r="F8" s="29">
        <v>107604</v>
      </c>
      <c r="G8" s="9">
        <v>0.99580000000000002</v>
      </c>
      <c r="I8" s="6" t="s">
        <v>112</v>
      </c>
      <c r="J8" s="29">
        <v>108605</v>
      </c>
      <c r="K8" s="9">
        <v>0.99929999999999997</v>
      </c>
      <c r="M8" s="6" t="s">
        <v>112</v>
      </c>
      <c r="N8" s="29">
        <v>33639</v>
      </c>
      <c r="O8" s="9">
        <v>0.98799999999999999</v>
      </c>
      <c r="Q8" s="6" t="s">
        <v>112</v>
      </c>
      <c r="R8" s="29">
        <v>33018</v>
      </c>
      <c r="S8" s="9">
        <v>0.99729999999999996</v>
      </c>
      <c r="U8" s="6" t="s">
        <v>112</v>
      </c>
      <c r="V8" s="29">
        <v>32868</v>
      </c>
      <c r="W8" s="9">
        <v>0.99919999999999998</v>
      </c>
      <c r="Y8" s="6" t="s">
        <v>112</v>
      </c>
      <c r="Z8" s="29">
        <v>73590</v>
      </c>
      <c r="AA8" s="9">
        <v>0.98240000000000005</v>
      </c>
      <c r="AC8" s="6" t="s">
        <v>112</v>
      </c>
      <c r="AD8" s="29">
        <v>74586</v>
      </c>
      <c r="AE8" s="9">
        <v>0.99509999999999998</v>
      </c>
      <c r="AG8" s="6" t="s">
        <v>112</v>
      </c>
      <c r="AH8" s="29">
        <v>75737</v>
      </c>
      <c r="AI8" s="9">
        <v>0.99929999999999997</v>
      </c>
    </row>
    <row r="9" spans="1:35">
      <c r="A9" s="6" t="s">
        <v>2</v>
      </c>
      <c r="B9" s="6">
        <v>331</v>
      </c>
      <c r="C9" s="9">
        <v>3.0000000000000001E-3</v>
      </c>
      <c r="E9" s="6" t="s">
        <v>122</v>
      </c>
      <c r="F9" s="6">
        <v>252</v>
      </c>
      <c r="G9" s="9">
        <v>2.3E-3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111</v>
      </c>
      <c r="O9" s="9">
        <v>3.3E-3</v>
      </c>
      <c r="Q9" s="6" t="s">
        <v>122</v>
      </c>
      <c r="R9" s="6">
        <v>79</v>
      </c>
      <c r="S9" s="9">
        <v>2.3999999999999998E-3</v>
      </c>
      <c r="U9" s="6" t="s">
        <v>2</v>
      </c>
      <c r="V9" s="6">
        <v>12</v>
      </c>
      <c r="W9" s="9">
        <v>4.0000000000000002E-4</v>
      </c>
      <c r="Y9" s="6" t="s">
        <v>9</v>
      </c>
      <c r="Z9" s="6">
        <v>236</v>
      </c>
      <c r="AA9" s="9">
        <v>3.2000000000000002E-3</v>
      </c>
      <c r="AC9" s="6" t="s">
        <v>122</v>
      </c>
      <c r="AD9" s="6">
        <v>173</v>
      </c>
      <c r="AE9" s="9">
        <v>2.3E-3</v>
      </c>
      <c r="AG9" s="6" t="s">
        <v>2</v>
      </c>
      <c r="AH9" s="6">
        <v>19</v>
      </c>
      <c r="AI9" s="9">
        <v>2.9999999999999997E-4</v>
      </c>
    </row>
    <row r="10" spans="1:35">
      <c r="A10" s="6" t="s">
        <v>9</v>
      </c>
      <c r="B10" s="6">
        <v>256</v>
      </c>
      <c r="C10" s="9">
        <v>2.3E-3</v>
      </c>
      <c r="E10" s="6" t="s">
        <v>83</v>
      </c>
      <c r="F10" s="6">
        <v>72</v>
      </c>
      <c r="G10" s="9">
        <v>6.9999999999999999E-4</v>
      </c>
      <c r="I10" s="6" t="s">
        <v>99</v>
      </c>
      <c r="J10" s="6">
        <v>20</v>
      </c>
      <c r="K10" s="9">
        <v>2.0000000000000001E-4</v>
      </c>
      <c r="M10" s="6" t="s">
        <v>3</v>
      </c>
      <c r="N10" s="6">
        <v>71</v>
      </c>
      <c r="O10" s="9">
        <v>2.0999999999999999E-3</v>
      </c>
      <c r="Q10" s="6" t="s">
        <v>76</v>
      </c>
      <c r="R10" s="6">
        <v>5</v>
      </c>
      <c r="S10" s="9">
        <v>2.0000000000000001E-4</v>
      </c>
      <c r="U10" s="6" t="s">
        <v>98</v>
      </c>
      <c r="V10" s="6">
        <v>5</v>
      </c>
      <c r="W10" s="9">
        <v>2.0000000000000001E-4</v>
      </c>
      <c r="Y10" s="6" t="s">
        <v>8</v>
      </c>
      <c r="Z10" s="6">
        <v>224</v>
      </c>
      <c r="AA10" s="9">
        <v>3.0000000000000001E-3</v>
      </c>
      <c r="AC10" s="6" t="s">
        <v>83</v>
      </c>
      <c r="AD10" s="6">
        <v>72</v>
      </c>
      <c r="AE10" s="9">
        <v>1E-3</v>
      </c>
      <c r="AG10" s="6" t="s">
        <v>99</v>
      </c>
      <c r="AH10" s="6">
        <v>17</v>
      </c>
      <c r="AI10" s="9">
        <v>2.0000000000000001E-4</v>
      </c>
    </row>
    <row r="11" spans="1:35">
      <c r="A11" s="6" t="s">
        <v>3</v>
      </c>
      <c r="B11" s="6">
        <v>248</v>
      </c>
      <c r="C11" s="9">
        <v>2.3E-3</v>
      </c>
      <c r="E11" s="6" t="s">
        <v>77</v>
      </c>
      <c r="F11" s="6">
        <v>67</v>
      </c>
      <c r="G11" s="9">
        <v>5.9999999999999995E-4</v>
      </c>
      <c r="I11" s="6" t="s">
        <v>102</v>
      </c>
      <c r="J11" s="6">
        <v>10</v>
      </c>
      <c r="K11" s="9">
        <v>1E-4</v>
      </c>
      <c r="M11" s="6" t="s">
        <v>7</v>
      </c>
      <c r="N11" s="6">
        <v>24</v>
      </c>
      <c r="O11" s="9">
        <v>6.9999999999999999E-4</v>
      </c>
      <c r="Q11" s="6" t="s">
        <v>74</v>
      </c>
      <c r="R11" s="6">
        <v>2</v>
      </c>
      <c r="S11" s="9">
        <v>1E-4</v>
      </c>
      <c r="U11" s="6" t="s">
        <v>102</v>
      </c>
      <c r="V11" s="6">
        <v>3</v>
      </c>
      <c r="W11" s="9">
        <v>1E-4</v>
      </c>
      <c r="Y11" s="6" t="s">
        <v>2</v>
      </c>
      <c r="Z11" s="6">
        <v>220</v>
      </c>
      <c r="AA11" s="9">
        <v>2.8999999999999998E-3</v>
      </c>
      <c r="AC11" s="6" t="s">
        <v>77</v>
      </c>
      <c r="AD11" s="6">
        <v>66</v>
      </c>
      <c r="AE11" s="9">
        <v>8.9999999999999998E-4</v>
      </c>
      <c r="AG11" s="6" t="s">
        <v>102</v>
      </c>
      <c r="AH11" s="6">
        <v>8</v>
      </c>
      <c r="AI11" s="9">
        <v>1E-4</v>
      </c>
    </row>
    <row r="12" spans="1:35">
      <c r="A12" s="6" t="s">
        <v>8</v>
      </c>
      <c r="B12" s="6">
        <v>239</v>
      </c>
      <c r="C12" s="9">
        <v>2.2000000000000001E-3</v>
      </c>
      <c r="E12" s="6" t="s">
        <v>79</v>
      </c>
      <c r="F12" s="6">
        <v>18</v>
      </c>
      <c r="G12" s="9">
        <v>2.0000000000000001E-4</v>
      </c>
      <c r="I12" s="6" t="s">
        <v>98</v>
      </c>
      <c r="J12" s="6">
        <v>7</v>
      </c>
      <c r="K12" s="9">
        <v>1E-4</v>
      </c>
      <c r="M12" s="6" t="s">
        <v>9</v>
      </c>
      <c r="N12" s="6">
        <v>20</v>
      </c>
      <c r="O12" s="9">
        <v>5.9999999999999995E-4</v>
      </c>
      <c r="Q12" s="6" t="s">
        <v>93</v>
      </c>
      <c r="R12" s="6">
        <v>1</v>
      </c>
      <c r="S12" s="30">
        <v>0</v>
      </c>
      <c r="U12" s="6" t="s">
        <v>99</v>
      </c>
      <c r="V12" s="6">
        <v>3</v>
      </c>
      <c r="W12" s="9">
        <v>1E-4</v>
      </c>
      <c r="Y12" s="6" t="s">
        <v>3</v>
      </c>
      <c r="Z12" s="6">
        <v>177</v>
      </c>
      <c r="AA12" s="9">
        <v>2.3999999999999998E-3</v>
      </c>
      <c r="AC12" s="6" t="s">
        <v>79</v>
      </c>
      <c r="AD12" s="6">
        <v>17</v>
      </c>
      <c r="AE12" s="9">
        <v>2.0000000000000001E-4</v>
      </c>
      <c r="AG12" s="6" t="s">
        <v>113</v>
      </c>
      <c r="AH12" s="6">
        <v>5</v>
      </c>
      <c r="AI12" s="9">
        <v>1E-4</v>
      </c>
    </row>
    <row r="13" spans="1:35">
      <c r="A13" s="6" t="s">
        <v>5</v>
      </c>
      <c r="B13" s="6">
        <v>88</v>
      </c>
      <c r="C13" s="9">
        <v>8.0000000000000004E-4</v>
      </c>
      <c r="E13" s="6" t="s">
        <v>76</v>
      </c>
      <c r="F13" s="6">
        <v>12</v>
      </c>
      <c r="G13" s="9">
        <v>1E-4</v>
      </c>
      <c r="I13" s="6" t="s">
        <v>113</v>
      </c>
      <c r="J13" s="6">
        <v>7</v>
      </c>
      <c r="K13" s="9">
        <v>1E-4</v>
      </c>
      <c r="M13" s="6" t="s">
        <v>41</v>
      </c>
      <c r="N13" s="6">
        <v>18</v>
      </c>
      <c r="O13" s="9">
        <v>5.0000000000000001E-4</v>
      </c>
      <c r="Q13" s="6" t="s">
        <v>92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78</v>
      </c>
      <c r="AA13" s="9">
        <v>1E-3</v>
      </c>
      <c r="AC13" s="6" t="s">
        <v>74</v>
      </c>
      <c r="AD13" s="6">
        <v>13</v>
      </c>
      <c r="AE13" s="9">
        <v>2.0000000000000001E-4</v>
      </c>
      <c r="AG13" s="6" t="s">
        <v>117</v>
      </c>
      <c r="AH13" s="6">
        <v>1</v>
      </c>
      <c r="AI13" s="30">
        <v>0</v>
      </c>
    </row>
    <row r="14" spans="1:35">
      <c r="A14" s="6" t="s">
        <v>11</v>
      </c>
      <c r="B14" s="6">
        <v>84</v>
      </c>
      <c r="C14" s="9">
        <v>8.0000000000000004E-4</v>
      </c>
      <c r="E14" s="6" t="s">
        <v>74</v>
      </c>
      <c r="F14" s="6">
        <v>15</v>
      </c>
      <c r="G14" s="9">
        <v>1E-4</v>
      </c>
      <c r="I14" s="6" t="s">
        <v>117</v>
      </c>
      <c r="J14" s="6">
        <v>1</v>
      </c>
      <c r="K14" s="30">
        <v>0</v>
      </c>
      <c r="M14" s="6" t="s">
        <v>8</v>
      </c>
      <c r="N14" s="6">
        <v>15</v>
      </c>
      <c r="O14" s="9">
        <v>4.0000000000000002E-4</v>
      </c>
      <c r="Q14" s="6" t="s">
        <v>154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11</v>
      </c>
      <c r="Z14" s="6">
        <v>70</v>
      </c>
      <c r="AA14" s="9">
        <v>8.9999999999999998E-4</v>
      </c>
      <c r="AC14" s="6" t="s">
        <v>76</v>
      </c>
      <c r="AD14" s="6">
        <v>7</v>
      </c>
      <c r="AE14" s="9">
        <v>1E-4</v>
      </c>
      <c r="AG14" s="6" t="s">
        <v>98</v>
      </c>
      <c r="AH14" s="6">
        <v>2</v>
      </c>
      <c r="AI14" s="30">
        <v>0</v>
      </c>
    </row>
    <row r="15" spans="1:35">
      <c r="A15" s="6" t="s">
        <v>41</v>
      </c>
      <c r="B15" s="6">
        <v>60</v>
      </c>
      <c r="C15" s="9">
        <v>5.9999999999999995E-4</v>
      </c>
      <c r="E15" s="6" t="s">
        <v>87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11</v>
      </c>
      <c r="N15" s="6">
        <v>14</v>
      </c>
      <c r="O15" s="9">
        <v>4.0000000000000002E-4</v>
      </c>
      <c r="Q15" s="6" t="s">
        <v>77</v>
      </c>
      <c r="R15" s="6">
        <v>1</v>
      </c>
      <c r="S15" s="30">
        <v>0</v>
      </c>
      <c r="Y15" s="6" t="s">
        <v>41</v>
      </c>
      <c r="Z15" s="6">
        <v>42</v>
      </c>
      <c r="AA15" s="9">
        <v>5.9999999999999995E-4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62</v>
      </c>
      <c r="C16" s="9">
        <v>5.9999999999999995E-4</v>
      </c>
      <c r="E16" s="6" t="s">
        <v>92</v>
      </c>
      <c r="F16" s="6">
        <v>1</v>
      </c>
      <c r="G16" s="30">
        <v>0</v>
      </c>
      <c r="I16" s="6" t="s">
        <v>103</v>
      </c>
      <c r="J16" s="6">
        <v>3</v>
      </c>
      <c r="K16" s="30">
        <v>0</v>
      </c>
      <c r="M16" s="6" t="s">
        <v>37</v>
      </c>
      <c r="N16" s="6">
        <v>12</v>
      </c>
      <c r="O16" s="9">
        <v>4.0000000000000002E-4</v>
      </c>
      <c r="Q16" s="6" t="s">
        <v>79</v>
      </c>
      <c r="R16" s="6">
        <v>1</v>
      </c>
      <c r="S16" s="30">
        <v>0</v>
      </c>
      <c r="Y16" s="6" t="s">
        <v>7</v>
      </c>
      <c r="Z16" s="6">
        <v>38</v>
      </c>
      <c r="AA16" s="9">
        <v>5.0000000000000001E-4</v>
      </c>
      <c r="AC16" s="6" t="s">
        <v>87</v>
      </c>
      <c r="AD16" s="6">
        <v>2</v>
      </c>
      <c r="AE16" s="30">
        <v>0</v>
      </c>
      <c r="AG16" s="6" t="s">
        <v>103</v>
      </c>
      <c r="AH16" s="6">
        <v>2</v>
      </c>
      <c r="AI16" s="30">
        <v>0</v>
      </c>
    </row>
    <row r="17" spans="1:31">
      <c r="A17" s="6" t="s">
        <v>21</v>
      </c>
      <c r="B17" s="6">
        <v>20</v>
      </c>
      <c r="C17" s="9">
        <v>2.0000000000000001E-4</v>
      </c>
      <c r="E17" s="6" t="s">
        <v>93</v>
      </c>
      <c r="F17" s="6">
        <v>1</v>
      </c>
      <c r="G17" s="30">
        <v>0</v>
      </c>
      <c r="M17" s="6" t="s">
        <v>22</v>
      </c>
      <c r="N17" s="6">
        <v>11</v>
      </c>
      <c r="O17" s="9">
        <v>2.9999999999999997E-4</v>
      </c>
      <c r="Y17" s="6" t="s">
        <v>14</v>
      </c>
      <c r="Z17" s="6">
        <v>25</v>
      </c>
      <c r="AA17" s="9">
        <v>2.9999999999999997E-4</v>
      </c>
      <c r="AC17" s="6" t="s">
        <v>80</v>
      </c>
      <c r="AD17" s="6">
        <v>1</v>
      </c>
      <c r="AE17" s="30">
        <v>0</v>
      </c>
    </row>
    <row r="18" spans="1:31">
      <c r="A18" s="6" t="s">
        <v>37</v>
      </c>
      <c r="B18" s="6">
        <v>22</v>
      </c>
      <c r="C18" s="9">
        <v>2.0000000000000001E-4</v>
      </c>
      <c r="E18" s="6" t="s">
        <v>154</v>
      </c>
      <c r="F18" s="6">
        <v>1</v>
      </c>
      <c r="G18" s="30">
        <v>0</v>
      </c>
      <c r="M18" s="6" t="s">
        <v>5</v>
      </c>
      <c r="N18" s="6">
        <v>10</v>
      </c>
      <c r="O18" s="9">
        <v>2.9999999999999997E-4</v>
      </c>
      <c r="Y18" s="6" t="s">
        <v>17</v>
      </c>
      <c r="Z18" s="6">
        <v>19</v>
      </c>
      <c r="AA18" s="9">
        <v>2.9999999999999997E-4</v>
      </c>
      <c r="AC18" s="6" t="s">
        <v>89</v>
      </c>
      <c r="AD18" s="6">
        <v>1</v>
      </c>
      <c r="AE18" s="30">
        <v>0</v>
      </c>
    </row>
    <row r="19" spans="1:31">
      <c r="A19" s="6" t="s">
        <v>17</v>
      </c>
      <c r="B19" s="6">
        <v>27</v>
      </c>
      <c r="C19" s="9">
        <v>2.0000000000000001E-4</v>
      </c>
      <c r="E19" s="6" t="s">
        <v>89</v>
      </c>
      <c r="F19" s="6">
        <v>1</v>
      </c>
      <c r="G19" s="30">
        <v>0</v>
      </c>
      <c r="M19" s="6" t="s">
        <v>29</v>
      </c>
      <c r="N19" s="6">
        <v>10</v>
      </c>
      <c r="O19" s="9">
        <v>2.9999999999999997E-4</v>
      </c>
      <c r="Y19" s="6" t="s">
        <v>21</v>
      </c>
      <c r="Z19" s="6">
        <v>13</v>
      </c>
      <c r="AA19" s="9">
        <v>2.0000000000000001E-4</v>
      </c>
      <c r="AC19" s="6" t="s">
        <v>91</v>
      </c>
      <c r="AD19" s="6">
        <v>3</v>
      </c>
      <c r="AE19" s="30">
        <v>0</v>
      </c>
    </row>
    <row r="20" spans="1:31">
      <c r="A20" s="6" t="s">
        <v>14</v>
      </c>
      <c r="B20" s="6">
        <v>25</v>
      </c>
      <c r="C20" s="9">
        <v>2.0000000000000001E-4</v>
      </c>
      <c r="E20" s="6" t="s">
        <v>75</v>
      </c>
      <c r="F20" s="6">
        <v>5</v>
      </c>
      <c r="G20" s="30">
        <v>0</v>
      </c>
      <c r="M20" s="6" t="s">
        <v>26</v>
      </c>
      <c r="N20" s="6">
        <v>9</v>
      </c>
      <c r="O20" s="9">
        <v>2.9999999999999997E-4</v>
      </c>
      <c r="Y20" s="6" t="s">
        <v>12</v>
      </c>
      <c r="Z20" s="6">
        <v>14</v>
      </c>
      <c r="AA20" s="9">
        <v>2.0000000000000001E-4</v>
      </c>
      <c r="AC20" s="6" t="s">
        <v>78</v>
      </c>
      <c r="AD20" s="6">
        <v>3</v>
      </c>
      <c r="AE20" s="30">
        <v>0</v>
      </c>
    </row>
    <row r="21" spans="1:31">
      <c r="A21" s="6" t="s">
        <v>10</v>
      </c>
      <c r="B21" s="6">
        <v>23</v>
      </c>
      <c r="C21" s="9">
        <v>2.0000000000000001E-4</v>
      </c>
      <c r="E21" s="6" t="s">
        <v>91</v>
      </c>
      <c r="F21" s="6">
        <v>3</v>
      </c>
      <c r="G21" s="30">
        <v>0</v>
      </c>
      <c r="M21" s="6" t="s">
        <v>45</v>
      </c>
      <c r="N21" s="6">
        <v>8</v>
      </c>
      <c r="O21" s="9">
        <v>2.0000000000000001E-4</v>
      </c>
      <c r="Y21" s="6" t="s">
        <v>10</v>
      </c>
      <c r="Z21" s="6">
        <v>18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31</v>
      </c>
      <c r="B22" s="6">
        <v>23</v>
      </c>
      <c r="C22" s="9">
        <v>2.0000000000000001E-4</v>
      </c>
      <c r="E22" s="6" t="s">
        <v>78</v>
      </c>
      <c r="F22" s="6">
        <v>3</v>
      </c>
      <c r="G22" s="30">
        <v>0</v>
      </c>
      <c r="M22" s="6" t="s">
        <v>21</v>
      </c>
      <c r="N22" s="6">
        <v>7</v>
      </c>
      <c r="O22" s="9">
        <v>2.0000000000000001E-4</v>
      </c>
      <c r="Y22" s="6" t="s">
        <v>31</v>
      </c>
      <c r="Z22" s="6">
        <v>17</v>
      </c>
      <c r="AA22" s="9">
        <v>2.0000000000000001E-4</v>
      </c>
      <c r="AC22" s="6" t="s">
        <v>86</v>
      </c>
      <c r="AD22" s="6">
        <v>1</v>
      </c>
      <c r="AE22" s="30">
        <v>0</v>
      </c>
    </row>
    <row r="23" spans="1:31">
      <c r="A23" s="6" t="s">
        <v>22</v>
      </c>
      <c r="B23" s="6">
        <v>17</v>
      </c>
      <c r="C23" s="9">
        <v>2.0000000000000001E-4</v>
      </c>
      <c r="E23" s="6" t="s">
        <v>125</v>
      </c>
      <c r="F23" s="6">
        <v>1</v>
      </c>
      <c r="G23" s="30">
        <v>0</v>
      </c>
      <c r="M23" s="6" t="s">
        <v>17</v>
      </c>
      <c r="N23" s="6">
        <v>8</v>
      </c>
      <c r="O23" s="9">
        <v>2.0000000000000001E-4</v>
      </c>
      <c r="Y23" s="6" t="s">
        <v>18</v>
      </c>
      <c r="Z23" s="6">
        <v>17</v>
      </c>
      <c r="AA23" s="9">
        <v>2.0000000000000001E-4</v>
      </c>
    </row>
    <row r="24" spans="1:31">
      <c r="A24" s="6" t="s">
        <v>29</v>
      </c>
      <c r="B24" s="6">
        <v>24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18</v>
      </c>
      <c r="N24" s="6">
        <v>6</v>
      </c>
      <c r="O24" s="9">
        <v>2.0000000000000001E-4</v>
      </c>
      <c r="Y24" s="6" t="s">
        <v>29</v>
      </c>
      <c r="Z24" s="6">
        <v>14</v>
      </c>
      <c r="AA24" s="9">
        <v>2.0000000000000001E-4</v>
      </c>
    </row>
    <row r="25" spans="1:31">
      <c r="A25" s="6" t="s">
        <v>18</v>
      </c>
      <c r="B25" s="6">
        <v>23</v>
      </c>
      <c r="C25" s="9">
        <v>2.0000000000000001E-4</v>
      </c>
      <c r="M25" s="6" t="s">
        <v>31</v>
      </c>
      <c r="N25" s="6">
        <v>6</v>
      </c>
      <c r="O25" s="9">
        <v>2.0000000000000001E-4</v>
      </c>
      <c r="Y25" s="6" t="s">
        <v>19</v>
      </c>
      <c r="Z25" s="6">
        <v>4</v>
      </c>
      <c r="AA25" s="9">
        <v>1E-4</v>
      </c>
    </row>
    <row r="26" spans="1:31">
      <c r="A26" s="6" t="s">
        <v>26</v>
      </c>
      <c r="B26" s="6">
        <v>19</v>
      </c>
      <c r="C26" s="9">
        <v>2.0000000000000001E-4</v>
      </c>
      <c r="M26" s="6" t="s">
        <v>20</v>
      </c>
      <c r="N26" s="6">
        <v>5</v>
      </c>
      <c r="O26" s="9">
        <v>1E-4</v>
      </c>
      <c r="Y26" s="6" t="s">
        <v>20</v>
      </c>
      <c r="Z26" s="6">
        <v>9</v>
      </c>
      <c r="AA26" s="9">
        <v>1E-4</v>
      </c>
    </row>
    <row r="27" spans="1:31">
      <c r="A27" s="6" t="s">
        <v>20</v>
      </c>
      <c r="B27" s="6">
        <v>14</v>
      </c>
      <c r="C27" s="9">
        <v>1E-4</v>
      </c>
      <c r="M27" s="6" t="s">
        <v>115</v>
      </c>
      <c r="N27" s="6">
        <v>2</v>
      </c>
      <c r="O27" s="9">
        <v>1E-4</v>
      </c>
      <c r="Y27" s="6" t="s">
        <v>40</v>
      </c>
      <c r="Z27" s="6">
        <v>8</v>
      </c>
      <c r="AA27" s="9">
        <v>1E-4</v>
      </c>
    </row>
    <row r="28" spans="1:31">
      <c r="A28" s="6" t="s">
        <v>45</v>
      </c>
      <c r="B28" s="6">
        <v>10</v>
      </c>
      <c r="C28" s="9">
        <v>1E-4</v>
      </c>
      <c r="M28" s="6" t="s">
        <v>10</v>
      </c>
      <c r="N28" s="6">
        <v>5</v>
      </c>
      <c r="O28" s="9">
        <v>1E-4</v>
      </c>
      <c r="Y28" s="6" t="s">
        <v>37</v>
      </c>
      <c r="Z28" s="6">
        <v>10</v>
      </c>
      <c r="AA28" s="9">
        <v>1E-4</v>
      </c>
    </row>
    <row r="29" spans="1:31">
      <c r="A29" s="6" t="s">
        <v>12</v>
      </c>
      <c r="B29" s="6">
        <v>14</v>
      </c>
      <c r="C29" s="9">
        <v>1E-4</v>
      </c>
      <c r="M29" s="6" t="s">
        <v>43</v>
      </c>
      <c r="N29" s="6">
        <v>4</v>
      </c>
      <c r="O29" s="9">
        <v>1E-4</v>
      </c>
      <c r="Y29" s="6" t="s">
        <v>26</v>
      </c>
      <c r="Z29" s="6">
        <v>10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58</v>
      </c>
      <c r="N30" s="6">
        <v>4</v>
      </c>
      <c r="O30" s="9">
        <v>1E-4</v>
      </c>
      <c r="Y30" s="6" t="s">
        <v>15</v>
      </c>
      <c r="Z30" s="6">
        <v>5</v>
      </c>
      <c r="AA30" s="9">
        <v>1E-4</v>
      </c>
    </row>
    <row r="31" spans="1:31">
      <c r="A31" s="6" t="s">
        <v>15</v>
      </c>
      <c r="B31" s="6">
        <v>6</v>
      </c>
      <c r="C31" s="9">
        <v>1E-4</v>
      </c>
      <c r="M31" s="6" t="s">
        <v>25</v>
      </c>
      <c r="N31" s="6">
        <v>4</v>
      </c>
      <c r="O31" s="9">
        <v>1E-4</v>
      </c>
      <c r="Y31" s="6" t="s">
        <v>22</v>
      </c>
      <c r="Z31" s="6">
        <v>6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30</v>
      </c>
      <c r="N32" s="6">
        <v>2</v>
      </c>
      <c r="O32" s="9">
        <v>1E-4</v>
      </c>
      <c r="Y32" s="6" t="s">
        <v>30</v>
      </c>
      <c r="Z32" s="6">
        <v>6</v>
      </c>
      <c r="AA32" s="9">
        <v>1E-4</v>
      </c>
    </row>
    <row r="33" spans="1:27">
      <c r="A33" s="6" t="s">
        <v>25</v>
      </c>
      <c r="B33" s="6">
        <v>7</v>
      </c>
      <c r="C33" s="9">
        <v>1E-4</v>
      </c>
      <c r="M33" s="6" t="s">
        <v>32</v>
      </c>
      <c r="N33" s="6">
        <v>2</v>
      </c>
      <c r="O33" s="9">
        <v>1E-4</v>
      </c>
      <c r="Y33" s="6" t="s">
        <v>60</v>
      </c>
      <c r="Z33" s="6">
        <v>4</v>
      </c>
      <c r="AA33" s="9">
        <v>1E-4</v>
      </c>
    </row>
    <row r="34" spans="1:27">
      <c r="A34" s="6" t="s">
        <v>27</v>
      </c>
      <c r="B34" s="6">
        <v>11</v>
      </c>
      <c r="C34" s="9">
        <v>1E-4</v>
      </c>
      <c r="M34" s="6" t="s">
        <v>27</v>
      </c>
      <c r="N34" s="6">
        <v>4</v>
      </c>
      <c r="O34" s="9">
        <v>1E-4</v>
      </c>
      <c r="Y34" s="6" t="s">
        <v>27</v>
      </c>
      <c r="Z34" s="6">
        <v>7</v>
      </c>
      <c r="AA34" s="9">
        <v>1E-4</v>
      </c>
    </row>
    <row r="35" spans="1:27">
      <c r="A35" s="6" t="s">
        <v>19</v>
      </c>
      <c r="B35" s="6">
        <v>4</v>
      </c>
      <c r="C35" s="30">
        <v>0</v>
      </c>
      <c r="M35" s="6" t="s">
        <v>39</v>
      </c>
      <c r="N35" s="6">
        <v>2</v>
      </c>
      <c r="O35" s="9">
        <v>1E-4</v>
      </c>
      <c r="Y35" s="6" t="s">
        <v>33</v>
      </c>
      <c r="Z35" s="6">
        <v>4</v>
      </c>
      <c r="AA35" s="9">
        <v>1E-4</v>
      </c>
    </row>
    <row r="36" spans="1:27">
      <c r="A36" s="6" t="s">
        <v>115</v>
      </c>
      <c r="B36" s="6">
        <v>3</v>
      </c>
      <c r="C36" s="30">
        <v>0</v>
      </c>
      <c r="M36" s="6" t="s">
        <v>67</v>
      </c>
      <c r="N36" s="6">
        <v>1</v>
      </c>
      <c r="O36" s="30">
        <v>0</v>
      </c>
      <c r="Y36" s="6" t="s">
        <v>115</v>
      </c>
      <c r="Z36" s="6">
        <v>1</v>
      </c>
      <c r="AA36" s="30">
        <v>0</v>
      </c>
    </row>
    <row r="37" spans="1:27">
      <c r="A37" s="6" t="s">
        <v>34</v>
      </c>
      <c r="B37" s="6">
        <v>2</v>
      </c>
      <c r="C37" s="30">
        <v>0</v>
      </c>
      <c r="M37" s="6" t="s">
        <v>34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13</v>
      </c>
      <c r="N38" s="6">
        <v>1</v>
      </c>
      <c r="O38" s="30">
        <v>0</v>
      </c>
      <c r="Y38" s="6" t="s">
        <v>174</v>
      </c>
      <c r="Z38" s="6">
        <v>1</v>
      </c>
      <c r="AA38" s="30">
        <v>0</v>
      </c>
    </row>
    <row r="39" spans="1:27">
      <c r="A39" s="6" t="s">
        <v>174</v>
      </c>
      <c r="B39" s="6">
        <v>1</v>
      </c>
      <c r="C39" s="30">
        <v>0</v>
      </c>
      <c r="M39" s="6" t="s">
        <v>15</v>
      </c>
      <c r="N39" s="6">
        <v>1</v>
      </c>
      <c r="O39" s="30">
        <v>0</v>
      </c>
      <c r="Y39" s="6" t="s">
        <v>121</v>
      </c>
      <c r="Z39" s="6">
        <v>1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48</v>
      </c>
      <c r="N40" s="6">
        <v>1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121</v>
      </c>
      <c r="B41" s="6">
        <v>1</v>
      </c>
      <c r="C41" s="30">
        <v>0</v>
      </c>
      <c r="M41" s="6" t="s">
        <v>16</v>
      </c>
      <c r="N41" s="6">
        <v>1</v>
      </c>
      <c r="O41" s="30">
        <v>0</v>
      </c>
      <c r="Y41" s="6" t="s">
        <v>45</v>
      </c>
      <c r="Z41" s="6">
        <v>2</v>
      </c>
      <c r="AA41" s="30">
        <v>0</v>
      </c>
    </row>
    <row r="42" spans="1:27">
      <c r="A42" s="6" t="s">
        <v>60</v>
      </c>
      <c r="B42" s="6">
        <v>4</v>
      </c>
      <c r="C42" s="30">
        <v>0</v>
      </c>
      <c r="M42" s="6" t="s">
        <v>40</v>
      </c>
      <c r="N42" s="6">
        <v>1</v>
      </c>
      <c r="O42" s="30">
        <v>0</v>
      </c>
      <c r="Y42" s="6" t="s">
        <v>16</v>
      </c>
      <c r="Z42" s="6">
        <v>2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M43" s="6" t="s">
        <v>62</v>
      </c>
      <c r="N43" s="6">
        <v>1</v>
      </c>
      <c r="O43" s="30">
        <v>0</v>
      </c>
      <c r="Y43" s="6" t="s">
        <v>38</v>
      </c>
      <c r="Z43" s="6">
        <v>3</v>
      </c>
      <c r="AA43" s="30">
        <v>0</v>
      </c>
    </row>
    <row r="44" spans="1:27">
      <c r="A44" s="6" t="s">
        <v>24</v>
      </c>
      <c r="B44" s="6">
        <v>2</v>
      </c>
      <c r="C44" s="30">
        <v>0</v>
      </c>
      <c r="M44" s="6" t="s">
        <v>33</v>
      </c>
      <c r="N44" s="6">
        <v>1</v>
      </c>
      <c r="O44" s="30">
        <v>0</v>
      </c>
      <c r="Y44" s="6" t="s">
        <v>24</v>
      </c>
      <c r="Z44" s="6">
        <v>2</v>
      </c>
      <c r="AA44" s="30">
        <v>0</v>
      </c>
    </row>
    <row r="45" spans="1:27">
      <c r="A45" s="6" t="s">
        <v>43</v>
      </c>
      <c r="B45" s="6">
        <v>5</v>
      </c>
      <c r="C45" s="30">
        <v>0</v>
      </c>
      <c r="M45" s="6" t="s">
        <v>28</v>
      </c>
      <c r="N45" s="6">
        <v>1</v>
      </c>
      <c r="O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51</v>
      </c>
      <c r="B46" s="6">
        <v>1</v>
      </c>
      <c r="C46" s="30">
        <v>0</v>
      </c>
      <c r="M46" s="6" t="s">
        <v>68</v>
      </c>
      <c r="N46" s="6">
        <v>1</v>
      </c>
      <c r="O46" s="30">
        <v>0</v>
      </c>
      <c r="Y46" s="6" t="s">
        <v>39</v>
      </c>
      <c r="Z46" s="6">
        <v>2</v>
      </c>
      <c r="AA46" s="30">
        <v>0</v>
      </c>
    </row>
    <row r="47" spans="1:27">
      <c r="A47" s="6" t="s">
        <v>58</v>
      </c>
      <c r="B47" s="6">
        <v>5</v>
      </c>
      <c r="C47" s="30">
        <v>0</v>
      </c>
      <c r="M47" s="6" t="s">
        <v>51</v>
      </c>
      <c r="N47" s="6">
        <v>1</v>
      </c>
      <c r="O47" s="30">
        <v>0</v>
      </c>
      <c r="Y47" s="6" t="s">
        <v>55</v>
      </c>
      <c r="Z47" s="6">
        <v>1</v>
      </c>
      <c r="AA47" s="30">
        <v>0</v>
      </c>
    </row>
    <row r="48" spans="1:27">
      <c r="A48" s="6" t="s">
        <v>38</v>
      </c>
      <c r="B48" s="6">
        <v>3</v>
      </c>
      <c r="C48" s="30">
        <v>0</v>
      </c>
      <c r="M48" s="6" t="s">
        <v>160</v>
      </c>
      <c r="N48" s="6">
        <v>1</v>
      </c>
      <c r="O48" s="30">
        <v>0</v>
      </c>
      <c r="Y48" s="6" t="s">
        <v>43</v>
      </c>
      <c r="Z48" s="6">
        <v>1</v>
      </c>
      <c r="AA48" s="30">
        <v>0</v>
      </c>
    </row>
    <row r="49" spans="1:27">
      <c r="A49" s="6" t="s">
        <v>48</v>
      </c>
      <c r="B49" s="6">
        <v>1</v>
      </c>
      <c r="C49" s="30">
        <v>0</v>
      </c>
      <c r="M49" s="6" t="s">
        <v>42</v>
      </c>
      <c r="N49" s="6">
        <v>1</v>
      </c>
      <c r="O49" s="30">
        <v>0</v>
      </c>
      <c r="Y49" s="6" t="s">
        <v>25</v>
      </c>
      <c r="Z49" s="6">
        <v>3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M50" s="6" t="s">
        <v>61</v>
      </c>
      <c r="N50" s="6">
        <v>1</v>
      </c>
      <c r="O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160</v>
      </c>
      <c r="B51" s="6">
        <v>1</v>
      </c>
      <c r="C51" s="30">
        <v>0</v>
      </c>
      <c r="M51" s="6" t="s">
        <v>148</v>
      </c>
      <c r="N51" s="6">
        <v>1</v>
      </c>
      <c r="O51" s="30">
        <v>0</v>
      </c>
      <c r="Y51" s="6" t="s">
        <v>32</v>
      </c>
      <c r="Z51" s="6">
        <v>1</v>
      </c>
      <c r="AA51" s="30">
        <v>0</v>
      </c>
    </row>
    <row r="52" spans="1:27">
      <c r="A52" s="6" t="s">
        <v>64</v>
      </c>
      <c r="B52" s="6">
        <v>2</v>
      </c>
      <c r="C52" s="30">
        <v>0</v>
      </c>
      <c r="Y52" s="6" t="s">
        <v>66</v>
      </c>
      <c r="Z52" s="6">
        <v>1</v>
      </c>
      <c r="AA52" s="30">
        <v>0</v>
      </c>
    </row>
    <row r="53" spans="1:27">
      <c r="A53" s="6" t="s">
        <v>33</v>
      </c>
      <c r="B53" s="6">
        <v>5</v>
      </c>
      <c r="C53" s="30">
        <v>0</v>
      </c>
      <c r="Y53" s="6" t="s">
        <v>58</v>
      </c>
      <c r="Z53" s="6">
        <v>1</v>
      </c>
      <c r="AA53" s="30">
        <v>0</v>
      </c>
    </row>
    <row r="54" spans="1:27">
      <c r="A54" s="6" t="s">
        <v>32</v>
      </c>
      <c r="B54" s="6">
        <v>3</v>
      </c>
      <c r="C54" s="30">
        <v>0</v>
      </c>
    </row>
    <row r="55" spans="1:27">
      <c r="A55" s="6" t="s">
        <v>39</v>
      </c>
      <c r="B55" s="6">
        <v>4</v>
      </c>
      <c r="C55" s="30">
        <v>0</v>
      </c>
    </row>
    <row r="56" spans="1:27">
      <c r="A56" s="6" t="s">
        <v>62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66</v>
      </c>
      <c r="B58" s="6">
        <v>1</v>
      </c>
      <c r="C58" s="30">
        <v>0</v>
      </c>
    </row>
    <row r="59" spans="1:27">
      <c r="A59" s="6" t="s">
        <v>68</v>
      </c>
      <c r="B59" s="6">
        <v>1</v>
      </c>
      <c r="C59" s="30">
        <v>0</v>
      </c>
    </row>
    <row r="60" spans="1:27">
      <c r="A60" s="6" t="s">
        <v>28</v>
      </c>
      <c r="B60" s="6">
        <v>1</v>
      </c>
      <c r="C60" s="30">
        <v>0</v>
      </c>
    </row>
    <row r="61" spans="1:27">
      <c r="A61" s="6" t="s">
        <v>42</v>
      </c>
      <c r="B61" s="6">
        <v>1</v>
      </c>
      <c r="C61" s="30">
        <v>0</v>
      </c>
    </row>
    <row r="62" spans="1:27">
      <c r="A62" s="6" t="s">
        <v>148</v>
      </c>
      <c r="B62" s="6">
        <v>1</v>
      </c>
      <c r="C62" s="30">
        <v>0</v>
      </c>
    </row>
    <row r="63" spans="1:27">
      <c r="A63" s="6" t="s">
        <v>61</v>
      </c>
      <c r="B63" s="6">
        <v>1</v>
      </c>
      <c r="C63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6668-990E-4B7D-A63E-0F8F6D7FC6F7}">
  <sheetPr codeName="Sheet47"/>
  <dimension ref="A1:AI62"/>
  <sheetViews>
    <sheetView topLeftCell="R1" workbookViewId="0">
      <selection activeCell="U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111681</v>
      </c>
      <c r="E2" s="41" t="s">
        <v>4</v>
      </c>
      <c r="F2" s="23" t="s">
        <v>105</v>
      </c>
      <c r="G2" s="23">
        <f>G3+G4</f>
        <v>109100</v>
      </c>
      <c r="H2" s="22"/>
      <c r="I2" s="41" t="s">
        <v>6</v>
      </c>
      <c r="J2" s="23" t="s">
        <v>105</v>
      </c>
      <c r="K2" s="23">
        <f>K3+K4</f>
        <v>109970</v>
      </c>
      <c r="M2" s="41" t="s">
        <v>104</v>
      </c>
      <c r="N2" s="23" t="s">
        <v>105</v>
      </c>
      <c r="O2" s="23">
        <f>O3+O4</f>
        <v>47224</v>
      </c>
      <c r="Q2" s="41" t="s">
        <v>4</v>
      </c>
      <c r="R2" s="23" t="s">
        <v>105</v>
      </c>
      <c r="S2" s="23">
        <f>S3+S4</f>
        <v>43828</v>
      </c>
      <c r="T2" s="22"/>
      <c r="U2" s="41" t="s">
        <v>6</v>
      </c>
      <c r="V2" s="23" t="s">
        <v>105</v>
      </c>
      <c r="W2" s="23">
        <f>W3+W4</f>
        <v>43406</v>
      </c>
      <c r="Y2" s="41" t="s">
        <v>104</v>
      </c>
      <c r="Z2" s="23" t="s">
        <v>105</v>
      </c>
      <c r="AA2" s="23">
        <f>AA3+AA4</f>
        <v>64437</v>
      </c>
      <c r="AC2" s="41" t="s">
        <v>4</v>
      </c>
      <c r="AD2" s="23" t="s">
        <v>105</v>
      </c>
      <c r="AE2" s="23">
        <f>AE3+AE4</f>
        <v>65273</v>
      </c>
      <c r="AF2" s="22"/>
      <c r="AG2" s="41" t="s">
        <v>6</v>
      </c>
      <c r="AH2" s="23" t="s">
        <v>105</v>
      </c>
      <c r="AI2" s="23">
        <f>AI3+AI4</f>
        <v>66565</v>
      </c>
    </row>
    <row r="3" spans="1:35">
      <c r="A3" s="42"/>
      <c r="B3" s="24" t="s">
        <v>106</v>
      </c>
      <c r="C3" s="24">
        <f>B8</f>
        <v>110095</v>
      </c>
      <c r="E3" s="42"/>
      <c r="F3" s="24" t="s">
        <v>106</v>
      </c>
      <c r="G3" s="24">
        <f>F8</f>
        <v>108614</v>
      </c>
      <c r="H3" s="22"/>
      <c r="I3" s="42"/>
      <c r="J3" s="24" t="s">
        <v>106</v>
      </c>
      <c r="K3" s="24">
        <f>J8</f>
        <v>109886</v>
      </c>
      <c r="M3" s="42"/>
      <c r="N3" s="24" t="s">
        <v>106</v>
      </c>
      <c r="O3" s="24">
        <f>N8</f>
        <v>46753</v>
      </c>
      <c r="Q3" s="42"/>
      <c r="R3" s="24" t="s">
        <v>106</v>
      </c>
      <c r="S3" s="24">
        <f>R8</f>
        <v>43683</v>
      </c>
      <c r="T3" s="22"/>
      <c r="U3" s="42"/>
      <c r="V3" s="24" t="s">
        <v>106</v>
      </c>
      <c r="W3" s="24">
        <f>V8</f>
        <v>43368</v>
      </c>
      <c r="Y3" s="42"/>
      <c r="Z3" s="24" t="s">
        <v>106</v>
      </c>
      <c r="AA3" s="24">
        <f>Z8</f>
        <v>63342</v>
      </c>
      <c r="AC3" s="42"/>
      <c r="AD3" s="24" t="s">
        <v>106</v>
      </c>
      <c r="AE3" s="24">
        <f>AD8</f>
        <v>64931</v>
      </c>
      <c r="AF3" s="22"/>
      <c r="AG3" s="42"/>
      <c r="AH3" s="24" t="s">
        <v>106</v>
      </c>
      <c r="AI3" s="24">
        <f>AH8</f>
        <v>66518</v>
      </c>
    </row>
    <row r="4" spans="1:35">
      <c r="A4" s="42"/>
      <c r="B4" s="25" t="s">
        <v>107</v>
      </c>
      <c r="C4" s="25">
        <f>SUM(B9:B66)</f>
        <v>1586</v>
      </c>
      <c r="E4" s="42"/>
      <c r="F4" s="25" t="s">
        <v>107</v>
      </c>
      <c r="G4" s="25">
        <f>SUM(F9:F33)</f>
        <v>486</v>
      </c>
      <c r="H4" s="22"/>
      <c r="I4" s="42"/>
      <c r="J4" s="25" t="s">
        <v>107</v>
      </c>
      <c r="K4" s="25">
        <f>SUM(J9:J31)</f>
        <v>84</v>
      </c>
      <c r="M4" s="42"/>
      <c r="N4" s="25" t="s">
        <v>107</v>
      </c>
      <c r="O4" s="25">
        <f>SUM(N9:N66)</f>
        <v>471</v>
      </c>
      <c r="Q4" s="42"/>
      <c r="R4" s="25" t="s">
        <v>107</v>
      </c>
      <c r="S4" s="25">
        <f>SUM(R9:R33)</f>
        <v>145</v>
      </c>
      <c r="T4" s="22"/>
      <c r="U4" s="42"/>
      <c r="V4" s="25" t="s">
        <v>107</v>
      </c>
      <c r="W4" s="25">
        <f>SUM(V9:V31)</f>
        <v>38</v>
      </c>
      <c r="Y4" s="42"/>
      <c r="Z4" s="25" t="s">
        <v>107</v>
      </c>
      <c r="AA4" s="25">
        <f>SUM(Z9:Z45)</f>
        <v>1095</v>
      </c>
      <c r="AC4" s="42"/>
      <c r="AD4" s="25" t="s">
        <v>107</v>
      </c>
      <c r="AE4" s="25">
        <f>SUM(AD9:AD29)</f>
        <v>342</v>
      </c>
      <c r="AF4" s="22"/>
      <c r="AG4" s="42"/>
      <c r="AH4" s="25" t="s">
        <v>107</v>
      </c>
      <c r="AI4" s="25">
        <f>SUM(AH9:AH29)</f>
        <v>47</v>
      </c>
    </row>
    <row r="5" spans="1:35">
      <c r="A5" s="43"/>
      <c r="B5" s="23" t="s">
        <v>108</v>
      </c>
      <c r="C5" s="26">
        <f>SUM(C9:C179)</f>
        <v>1.3999999999999995E-2</v>
      </c>
      <c r="E5" s="43"/>
      <c r="F5" s="23" t="s">
        <v>108</v>
      </c>
      <c r="G5" s="26">
        <f>SUM(G9:G33)</f>
        <v>4.3000000000000009E-3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9.6999999999999951E-3</v>
      </c>
      <c r="Q5" s="43"/>
      <c r="R5" s="23" t="s">
        <v>108</v>
      </c>
      <c r="S5" s="26">
        <f>SUM(S9:S33)</f>
        <v>3.0999999999999995E-3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1.6699999999999993E-2</v>
      </c>
      <c r="AC5" s="43"/>
      <c r="AD5" s="23" t="s">
        <v>108</v>
      </c>
      <c r="AE5" s="26">
        <f>SUM(AE9:AE29)</f>
        <v>5.1000000000000004E-3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110095</v>
      </c>
      <c r="C8" s="9">
        <v>0.98580000000000001</v>
      </c>
      <c r="E8" s="6" t="s">
        <v>112</v>
      </c>
      <c r="F8" s="29">
        <v>108614</v>
      </c>
      <c r="G8" s="9">
        <v>0.99550000000000005</v>
      </c>
      <c r="I8" s="6" t="s">
        <v>112</v>
      </c>
      <c r="J8" s="29">
        <v>109886</v>
      </c>
      <c r="K8" s="9">
        <v>0.99919999999999998</v>
      </c>
      <c r="M8" s="6" t="s">
        <v>112</v>
      </c>
      <c r="N8" s="29">
        <v>46753</v>
      </c>
      <c r="O8" s="30">
        <v>0.99</v>
      </c>
      <c r="Q8" s="6" t="s">
        <v>112</v>
      </c>
      <c r="R8" s="29">
        <v>43683</v>
      </c>
      <c r="S8" s="9">
        <v>0.99670000000000003</v>
      </c>
      <c r="U8" s="6" t="s">
        <v>112</v>
      </c>
      <c r="V8" s="29">
        <v>43368</v>
      </c>
      <c r="W8" s="9">
        <v>0.99909999999999999</v>
      </c>
      <c r="Y8" s="6" t="s">
        <v>112</v>
      </c>
      <c r="Z8" s="29">
        <v>63342</v>
      </c>
      <c r="AA8" s="9">
        <v>0.98270000000000002</v>
      </c>
      <c r="AC8" s="6" t="s">
        <v>112</v>
      </c>
      <c r="AD8" s="29">
        <v>64931</v>
      </c>
      <c r="AE8" s="9">
        <v>0.99480000000000002</v>
      </c>
      <c r="AG8" s="6" t="s">
        <v>112</v>
      </c>
      <c r="AH8" s="29">
        <v>66518</v>
      </c>
      <c r="AI8" s="9">
        <v>0.99929999999999997</v>
      </c>
    </row>
    <row r="9" spans="1:35">
      <c r="A9" s="6" t="s">
        <v>2</v>
      </c>
      <c r="B9" s="6">
        <v>338</v>
      </c>
      <c r="C9" s="9">
        <v>3.0000000000000001E-3</v>
      </c>
      <c r="E9" s="6" t="s">
        <v>122</v>
      </c>
      <c r="F9" s="6">
        <v>266</v>
      </c>
      <c r="G9" s="9">
        <v>2.3999999999999998E-3</v>
      </c>
      <c r="I9" s="6" t="s">
        <v>99</v>
      </c>
      <c r="J9" s="6">
        <v>17</v>
      </c>
      <c r="K9" s="9">
        <v>2.0000000000000001E-4</v>
      </c>
      <c r="M9" s="6" t="s">
        <v>2</v>
      </c>
      <c r="N9" s="6">
        <v>145</v>
      </c>
      <c r="O9" s="9">
        <v>3.0999999999999999E-3</v>
      </c>
      <c r="Q9" s="6" t="s">
        <v>122</v>
      </c>
      <c r="R9" s="6">
        <v>121</v>
      </c>
      <c r="S9" s="9">
        <v>2.8E-3</v>
      </c>
      <c r="U9" s="6" t="s">
        <v>2</v>
      </c>
      <c r="V9" s="6">
        <v>12</v>
      </c>
      <c r="W9" s="9">
        <v>2.9999999999999997E-4</v>
      </c>
      <c r="Y9" s="6" t="s">
        <v>9</v>
      </c>
      <c r="Z9" s="6">
        <v>286</v>
      </c>
      <c r="AA9" s="9">
        <v>4.4000000000000003E-3</v>
      </c>
      <c r="AC9" s="6" t="s">
        <v>122</v>
      </c>
      <c r="AD9" s="6">
        <v>145</v>
      </c>
      <c r="AE9" s="9">
        <v>2.2000000000000001E-3</v>
      </c>
      <c r="AG9" s="6" t="s">
        <v>99</v>
      </c>
      <c r="AH9" s="6">
        <v>12</v>
      </c>
      <c r="AI9" s="9">
        <v>2.0000000000000001E-4</v>
      </c>
    </row>
    <row r="10" spans="1:35">
      <c r="A10" s="6" t="s">
        <v>9</v>
      </c>
      <c r="B10" s="6">
        <v>304</v>
      </c>
      <c r="C10" s="9">
        <v>2.7000000000000001E-3</v>
      </c>
      <c r="E10" s="6" t="s">
        <v>77</v>
      </c>
      <c r="F10" s="6">
        <v>87</v>
      </c>
      <c r="G10" s="9">
        <v>8.0000000000000004E-4</v>
      </c>
      <c r="I10" s="6" t="s">
        <v>2</v>
      </c>
      <c r="J10" s="6">
        <v>25</v>
      </c>
      <c r="K10" s="9">
        <v>2.0000000000000001E-4</v>
      </c>
      <c r="M10" s="6" t="s">
        <v>3</v>
      </c>
      <c r="N10" s="6">
        <v>96</v>
      </c>
      <c r="O10" s="9">
        <v>2E-3</v>
      </c>
      <c r="Q10" s="6" t="s">
        <v>76</v>
      </c>
      <c r="R10" s="6">
        <v>6</v>
      </c>
      <c r="S10" s="9">
        <v>1E-4</v>
      </c>
      <c r="U10" s="6" t="s">
        <v>98</v>
      </c>
      <c r="V10" s="6">
        <v>9</v>
      </c>
      <c r="W10" s="9">
        <v>2.0000000000000001E-4</v>
      </c>
      <c r="Y10" s="6" t="s">
        <v>2</v>
      </c>
      <c r="Z10" s="6">
        <v>193</v>
      </c>
      <c r="AA10" s="9">
        <v>3.0000000000000001E-3</v>
      </c>
      <c r="AC10" s="6" t="s">
        <v>77</v>
      </c>
      <c r="AD10" s="6">
        <v>84</v>
      </c>
      <c r="AE10" s="9">
        <v>1.2999999999999999E-3</v>
      </c>
      <c r="AG10" s="6" t="s">
        <v>2</v>
      </c>
      <c r="AH10" s="6">
        <v>13</v>
      </c>
      <c r="AI10" s="9">
        <v>2.0000000000000001E-4</v>
      </c>
    </row>
    <row r="11" spans="1:35">
      <c r="A11" s="6" t="s">
        <v>3</v>
      </c>
      <c r="B11" s="6">
        <v>227</v>
      </c>
      <c r="C11" s="9">
        <v>2E-3</v>
      </c>
      <c r="E11" s="6" t="s">
        <v>83</v>
      </c>
      <c r="F11" s="6">
        <v>75</v>
      </c>
      <c r="G11" s="9">
        <v>6.9999999999999999E-4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27</v>
      </c>
      <c r="O11" s="9">
        <v>5.9999999999999995E-4</v>
      </c>
      <c r="Q11" s="6" t="s">
        <v>77</v>
      </c>
      <c r="R11" s="6">
        <v>3</v>
      </c>
      <c r="S11" s="9">
        <v>1E-4</v>
      </c>
      <c r="U11" s="6" t="s">
        <v>102</v>
      </c>
      <c r="V11" s="6">
        <v>3</v>
      </c>
      <c r="W11" s="9">
        <v>1E-4</v>
      </c>
      <c r="Y11" s="6" t="s">
        <v>3</v>
      </c>
      <c r="Z11" s="6">
        <v>131</v>
      </c>
      <c r="AA11" s="9">
        <v>2E-3</v>
      </c>
      <c r="AC11" s="6" t="s">
        <v>83</v>
      </c>
      <c r="AD11" s="6">
        <v>75</v>
      </c>
      <c r="AE11" s="9">
        <v>1.1000000000000001E-3</v>
      </c>
      <c r="AG11" s="6" t="s">
        <v>102</v>
      </c>
      <c r="AH11" s="6">
        <v>6</v>
      </c>
      <c r="AI11" s="9">
        <v>1E-4</v>
      </c>
    </row>
    <row r="12" spans="1:35">
      <c r="A12" s="6" t="s">
        <v>5</v>
      </c>
      <c r="B12" s="6">
        <v>87</v>
      </c>
      <c r="C12" s="9">
        <v>8.0000000000000004E-4</v>
      </c>
      <c r="E12" s="6" t="s">
        <v>76</v>
      </c>
      <c r="F12" s="6">
        <v>10</v>
      </c>
      <c r="G12" s="9">
        <v>1E-4</v>
      </c>
      <c r="I12" s="6" t="s">
        <v>98</v>
      </c>
      <c r="J12" s="6">
        <v>14</v>
      </c>
      <c r="K12" s="9">
        <v>1E-4</v>
      </c>
      <c r="M12" s="6" t="s">
        <v>7</v>
      </c>
      <c r="N12" s="6">
        <v>30</v>
      </c>
      <c r="O12" s="9">
        <v>5.9999999999999995E-4</v>
      </c>
      <c r="Q12" s="6" t="s">
        <v>74</v>
      </c>
      <c r="R12" s="6">
        <v>4</v>
      </c>
      <c r="S12" s="9">
        <v>1E-4</v>
      </c>
      <c r="U12" s="6" t="s">
        <v>99</v>
      </c>
      <c r="V12" s="6">
        <v>5</v>
      </c>
      <c r="W12" s="9">
        <v>1E-4</v>
      </c>
      <c r="Y12" s="6" t="s">
        <v>5</v>
      </c>
      <c r="Z12" s="6">
        <v>77</v>
      </c>
      <c r="AA12" s="9">
        <v>1.1999999999999999E-3</v>
      </c>
      <c r="AC12" s="6" t="s">
        <v>74</v>
      </c>
      <c r="AD12" s="6">
        <v>10</v>
      </c>
      <c r="AE12" s="9">
        <v>2.0000000000000001E-4</v>
      </c>
      <c r="AG12" s="6" t="s">
        <v>98</v>
      </c>
      <c r="AH12" s="6">
        <v>5</v>
      </c>
      <c r="AI12" s="9">
        <v>1E-4</v>
      </c>
    </row>
    <row r="13" spans="1:35">
      <c r="A13" s="6" t="s">
        <v>8</v>
      </c>
      <c r="B13" s="6">
        <v>84</v>
      </c>
      <c r="C13" s="9">
        <v>8.0000000000000004E-4</v>
      </c>
      <c r="E13" s="6" t="s">
        <v>74</v>
      </c>
      <c r="F13" s="6">
        <v>14</v>
      </c>
      <c r="G13" s="9">
        <v>1E-4</v>
      </c>
      <c r="I13" s="6" t="s">
        <v>103</v>
      </c>
      <c r="J13" s="6">
        <v>6</v>
      </c>
      <c r="K13" s="9">
        <v>1E-4</v>
      </c>
      <c r="M13" s="6" t="s">
        <v>9</v>
      </c>
      <c r="N13" s="6">
        <v>18</v>
      </c>
      <c r="O13" s="9">
        <v>4.0000000000000002E-4</v>
      </c>
      <c r="Q13" s="6" t="s">
        <v>92</v>
      </c>
      <c r="R13" s="6">
        <v>1</v>
      </c>
      <c r="S13" s="30">
        <v>0</v>
      </c>
      <c r="U13" s="6" t="s">
        <v>103</v>
      </c>
      <c r="V13" s="6">
        <v>3</v>
      </c>
      <c r="W13" s="9">
        <v>1E-4</v>
      </c>
      <c r="Y13" s="6" t="s">
        <v>8</v>
      </c>
      <c r="Z13" s="6">
        <v>80</v>
      </c>
      <c r="AA13" s="9">
        <v>1.1999999999999999E-3</v>
      </c>
      <c r="AC13" s="6" t="s">
        <v>76</v>
      </c>
      <c r="AD13" s="6">
        <v>4</v>
      </c>
      <c r="AE13" s="9">
        <v>1E-4</v>
      </c>
      <c r="AG13" s="6" t="s">
        <v>113</v>
      </c>
      <c r="AH13" s="6">
        <v>7</v>
      </c>
      <c r="AI13" s="9">
        <v>1E-4</v>
      </c>
    </row>
    <row r="14" spans="1:35">
      <c r="A14" s="6" t="s">
        <v>11</v>
      </c>
      <c r="B14" s="6">
        <v>78</v>
      </c>
      <c r="C14" s="9">
        <v>6.9999999999999999E-4</v>
      </c>
      <c r="E14" s="6" t="s">
        <v>79</v>
      </c>
      <c r="F14" s="6">
        <v>7</v>
      </c>
      <c r="G14" s="9">
        <v>1E-4</v>
      </c>
      <c r="I14" s="6" t="s">
        <v>113</v>
      </c>
      <c r="J14" s="6">
        <v>11</v>
      </c>
      <c r="K14" s="9">
        <v>1E-4</v>
      </c>
      <c r="M14" s="6" t="s">
        <v>11</v>
      </c>
      <c r="N14" s="6">
        <v>19</v>
      </c>
      <c r="O14" s="9">
        <v>4.0000000000000002E-4</v>
      </c>
      <c r="Q14" s="6" t="s">
        <v>82</v>
      </c>
      <c r="R14" s="6">
        <v>2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59</v>
      </c>
      <c r="AA14" s="9">
        <v>8.9999999999999998E-4</v>
      </c>
      <c r="AC14" s="6" t="s">
        <v>79</v>
      </c>
      <c r="AD14" s="6">
        <v>6</v>
      </c>
      <c r="AE14" s="9">
        <v>1E-4</v>
      </c>
      <c r="AG14" s="6" t="s">
        <v>103</v>
      </c>
      <c r="AH14" s="6">
        <v>3</v>
      </c>
      <c r="AI14" s="30">
        <v>0</v>
      </c>
    </row>
    <row r="15" spans="1:35">
      <c r="A15" s="6" t="s">
        <v>41</v>
      </c>
      <c r="B15" s="6">
        <v>63</v>
      </c>
      <c r="C15" s="9">
        <v>5.9999999999999995E-4</v>
      </c>
      <c r="E15" s="6" t="s">
        <v>75</v>
      </c>
      <c r="F15" s="6">
        <v>6</v>
      </c>
      <c r="G15" s="9">
        <v>1E-4</v>
      </c>
      <c r="I15" s="6" t="s">
        <v>117</v>
      </c>
      <c r="J15" s="6">
        <v>2</v>
      </c>
      <c r="K15" s="30">
        <v>0</v>
      </c>
      <c r="M15" s="6" t="s">
        <v>10</v>
      </c>
      <c r="N15" s="6">
        <v>17</v>
      </c>
      <c r="O15" s="9">
        <v>4.0000000000000002E-4</v>
      </c>
      <c r="Q15" s="6" t="s">
        <v>75</v>
      </c>
      <c r="R15" s="6">
        <v>2</v>
      </c>
      <c r="S15" s="30">
        <v>0</v>
      </c>
      <c r="U15" s="6" t="s">
        <v>117</v>
      </c>
      <c r="V15" s="6">
        <v>2</v>
      </c>
      <c r="W15" s="30">
        <v>0</v>
      </c>
      <c r="Y15" s="6" t="s">
        <v>41</v>
      </c>
      <c r="Z15" s="6">
        <v>36</v>
      </c>
      <c r="AA15" s="9">
        <v>5.9999999999999995E-4</v>
      </c>
      <c r="AC15" s="6" t="s">
        <v>75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58</v>
      </c>
      <c r="C16" s="9">
        <v>5.0000000000000001E-4</v>
      </c>
      <c r="E16" s="6" t="s">
        <v>87</v>
      </c>
      <c r="F16" s="6">
        <v>2</v>
      </c>
      <c r="G16" s="30">
        <v>0</v>
      </c>
      <c r="I16" s="6" t="s">
        <v>123</v>
      </c>
      <c r="J16" s="6">
        <v>1</v>
      </c>
      <c r="K16" s="30">
        <v>0</v>
      </c>
      <c r="M16" s="6" t="s">
        <v>17</v>
      </c>
      <c r="N16" s="6">
        <v>12</v>
      </c>
      <c r="O16" s="9">
        <v>2.9999999999999997E-4</v>
      </c>
      <c r="Q16" s="6" t="s">
        <v>80</v>
      </c>
      <c r="R16" s="6">
        <v>1</v>
      </c>
      <c r="S16" s="30">
        <v>0</v>
      </c>
      <c r="Y16" s="6" t="s">
        <v>12</v>
      </c>
      <c r="Z16" s="6">
        <v>23</v>
      </c>
      <c r="AA16" s="9">
        <v>4.0000000000000002E-4</v>
      </c>
      <c r="AC16" s="6" t="s">
        <v>87</v>
      </c>
      <c r="AD16" s="6">
        <v>2</v>
      </c>
      <c r="AE16" s="30">
        <v>0</v>
      </c>
    </row>
    <row r="17" spans="1:31">
      <c r="A17" s="6" t="s">
        <v>12</v>
      </c>
      <c r="B17" s="6">
        <v>30</v>
      </c>
      <c r="C17" s="9">
        <v>2.9999999999999997E-4</v>
      </c>
      <c r="E17" s="6" t="s">
        <v>92</v>
      </c>
      <c r="F17" s="6">
        <v>1</v>
      </c>
      <c r="G17" s="30">
        <v>0</v>
      </c>
      <c r="M17" s="6" t="s">
        <v>5</v>
      </c>
      <c r="N17" s="6">
        <v>10</v>
      </c>
      <c r="O17" s="9">
        <v>2.0000000000000001E-4</v>
      </c>
      <c r="Q17" s="6" t="s">
        <v>91</v>
      </c>
      <c r="R17" s="6">
        <v>2</v>
      </c>
      <c r="S17" s="30">
        <v>0</v>
      </c>
      <c r="Y17" s="6" t="s">
        <v>7</v>
      </c>
      <c r="Z17" s="6">
        <v>28</v>
      </c>
      <c r="AA17" s="9">
        <v>4.0000000000000002E-4</v>
      </c>
      <c r="AC17" s="6" t="s">
        <v>116</v>
      </c>
      <c r="AD17" s="6">
        <v>1</v>
      </c>
      <c r="AE17" s="30">
        <v>0</v>
      </c>
    </row>
    <row r="18" spans="1:31">
      <c r="A18" s="6" t="s">
        <v>10</v>
      </c>
      <c r="B18" s="6">
        <v>30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18</v>
      </c>
      <c r="N18" s="6">
        <v>11</v>
      </c>
      <c r="O18" s="9">
        <v>2.0000000000000001E-4</v>
      </c>
      <c r="Q18" s="6" t="s">
        <v>79</v>
      </c>
      <c r="R18" s="6">
        <v>1</v>
      </c>
      <c r="S18" s="30">
        <v>0</v>
      </c>
      <c r="Y18" s="6" t="s">
        <v>18</v>
      </c>
      <c r="Z18" s="6">
        <v>19</v>
      </c>
      <c r="AA18" s="9">
        <v>2.9999999999999997E-4</v>
      </c>
      <c r="AC18" s="6" t="s">
        <v>85</v>
      </c>
      <c r="AD18" s="6">
        <v>1</v>
      </c>
      <c r="AE18" s="30">
        <v>0</v>
      </c>
    </row>
    <row r="19" spans="1:31">
      <c r="A19" s="6" t="s">
        <v>18</v>
      </c>
      <c r="B19" s="6">
        <v>30</v>
      </c>
      <c r="C19" s="9">
        <v>2.9999999999999997E-4</v>
      </c>
      <c r="E19" s="6" t="s">
        <v>82</v>
      </c>
      <c r="F19" s="6">
        <v>4</v>
      </c>
      <c r="G19" s="30">
        <v>0</v>
      </c>
      <c r="M19" s="6" t="s">
        <v>31</v>
      </c>
      <c r="N19" s="6">
        <v>11</v>
      </c>
      <c r="O19" s="9">
        <v>2.0000000000000001E-4</v>
      </c>
      <c r="Q19" s="6" t="s">
        <v>158</v>
      </c>
      <c r="R19" s="6">
        <v>1</v>
      </c>
      <c r="S19" s="30">
        <v>0</v>
      </c>
      <c r="Y19" s="6" t="s">
        <v>37</v>
      </c>
      <c r="Z19" s="6">
        <v>17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17</v>
      </c>
      <c r="B20" s="6">
        <v>23</v>
      </c>
      <c r="C20" s="9">
        <v>2.0000000000000001E-4</v>
      </c>
      <c r="E20" s="6" t="s">
        <v>80</v>
      </c>
      <c r="F20" s="6">
        <v>1</v>
      </c>
      <c r="G20" s="30">
        <v>0</v>
      </c>
      <c r="M20" s="6" t="s">
        <v>29</v>
      </c>
      <c r="N20" s="6">
        <v>8</v>
      </c>
      <c r="O20" s="9">
        <v>2.0000000000000001E-4</v>
      </c>
      <c r="Q20" s="6" t="s">
        <v>146</v>
      </c>
      <c r="R20" s="6">
        <v>1</v>
      </c>
      <c r="S20" s="30">
        <v>0</v>
      </c>
      <c r="Y20" s="6" t="s">
        <v>10</v>
      </c>
      <c r="Z20" s="6">
        <v>13</v>
      </c>
      <c r="AA20" s="9">
        <v>2.0000000000000001E-4</v>
      </c>
      <c r="AC20" s="6" t="s">
        <v>82</v>
      </c>
      <c r="AD20" s="6">
        <v>2</v>
      </c>
      <c r="AE20" s="30">
        <v>0</v>
      </c>
    </row>
    <row r="21" spans="1:31">
      <c r="A21" s="6" t="s">
        <v>37</v>
      </c>
      <c r="B21" s="6">
        <v>21</v>
      </c>
      <c r="C21" s="9">
        <v>2.0000000000000001E-4</v>
      </c>
      <c r="E21" s="6" t="s">
        <v>85</v>
      </c>
      <c r="F21" s="6">
        <v>1</v>
      </c>
      <c r="G21" s="30">
        <v>0</v>
      </c>
      <c r="M21" s="6" t="s">
        <v>20</v>
      </c>
      <c r="N21" s="6">
        <v>6</v>
      </c>
      <c r="O21" s="9">
        <v>1E-4</v>
      </c>
      <c r="Y21" s="6" t="s">
        <v>14</v>
      </c>
      <c r="Z21" s="6">
        <v>13</v>
      </c>
      <c r="AA21" s="9">
        <v>2.0000000000000001E-4</v>
      </c>
      <c r="AC21" s="6" t="s">
        <v>81</v>
      </c>
      <c r="AD21" s="6">
        <v>1</v>
      </c>
      <c r="AE21" s="30">
        <v>0</v>
      </c>
    </row>
    <row r="22" spans="1:31">
      <c r="A22" s="6" t="s">
        <v>29</v>
      </c>
      <c r="B22" s="6">
        <v>21</v>
      </c>
      <c r="C22" s="9">
        <v>2.0000000000000001E-4</v>
      </c>
      <c r="E22" s="6" t="s">
        <v>81</v>
      </c>
      <c r="F22" s="6">
        <v>1</v>
      </c>
      <c r="G22" s="30">
        <v>0</v>
      </c>
      <c r="M22" s="6" t="s">
        <v>21</v>
      </c>
      <c r="N22" s="6">
        <v>7</v>
      </c>
      <c r="O22" s="9">
        <v>1E-4</v>
      </c>
      <c r="Y22" s="6" t="s">
        <v>17</v>
      </c>
      <c r="Z22" s="6">
        <v>11</v>
      </c>
      <c r="AA22" s="9">
        <v>2.0000000000000001E-4</v>
      </c>
      <c r="AC22" s="6" t="s">
        <v>89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91</v>
      </c>
      <c r="F23" s="6">
        <v>3</v>
      </c>
      <c r="G23" s="30">
        <v>0</v>
      </c>
      <c r="M23" s="6" t="s">
        <v>12</v>
      </c>
      <c r="N23" s="6">
        <v>7</v>
      </c>
      <c r="O23" s="9">
        <v>1E-4</v>
      </c>
      <c r="Y23" s="6" t="s">
        <v>29</v>
      </c>
      <c r="Z23" s="6">
        <v>13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19</v>
      </c>
      <c r="B24" s="6">
        <v>7</v>
      </c>
      <c r="C24" s="9">
        <v>1E-4</v>
      </c>
      <c r="E24" s="6" t="s">
        <v>89</v>
      </c>
      <c r="F24" s="6">
        <v>1</v>
      </c>
      <c r="G24" s="30">
        <v>0</v>
      </c>
      <c r="M24" s="6" t="s">
        <v>22</v>
      </c>
      <c r="N24" s="6">
        <v>4</v>
      </c>
      <c r="O24" s="9">
        <v>1E-4</v>
      </c>
      <c r="Y24" s="6" t="s">
        <v>40</v>
      </c>
      <c r="Z24" s="6">
        <v>10</v>
      </c>
      <c r="AA24" s="9">
        <v>2.0000000000000001E-4</v>
      </c>
      <c r="AC24" s="6" t="s">
        <v>91</v>
      </c>
      <c r="AD24" s="6">
        <v>1</v>
      </c>
      <c r="AE24" s="30">
        <v>0</v>
      </c>
    </row>
    <row r="25" spans="1:31">
      <c r="A25" s="6" t="s">
        <v>21</v>
      </c>
      <c r="B25" s="6">
        <v>14</v>
      </c>
      <c r="C25" s="9">
        <v>1E-4</v>
      </c>
      <c r="E25" s="6" t="s">
        <v>86</v>
      </c>
      <c r="F25" s="6">
        <v>2</v>
      </c>
      <c r="G25" s="30">
        <v>0</v>
      </c>
      <c r="M25" s="6" t="s">
        <v>37</v>
      </c>
      <c r="N25" s="6">
        <v>4</v>
      </c>
      <c r="O25" s="9">
        <v>1E-4</v>
      </c>
      <c r="Y25" s="6" t="s">
        <v>19</v>
      </c>
      <c r="Z25" s="6">
        <v>5</v>
      </c>
      <c r="AA25" s="9">
        <v>1E-4</v>
      </c>
      <c r="AC25" s="6" t="s">
        <v>78</v>
      </c>
      <c r="AD25" s="6">
        <v>1</v>
      </c>
      <c r="AE25" s="30">
        <v>0</v>
      </c>
    </row>
    <row r="26" spans="1:31">
      <c r="A26" s="6" t="s">
        <v>20</v>
      </c>
      <c r="B26" s="6">
        <v>7</v>
      </c>
      <c r="C26" s="9">
        <v>1E-4</v>
      </c>
      <c r="E26" s="6" t="s">
        <v>78</v>
      </c>
      <c r="F26" s="6">
        <v>1</v>
      </c>
      <c r="G26" s="30">
        <v>0</v>
      </c>
      <c r="M26" s="6" t="s">
        <v>8</v>
      </c>
      <c r="N26" s="6">
        <v>4</v>
      </c>
      <c r="O26" s="9">
        <v>1E-4</v>
      </c>
      <c r="Y26" s="6" t="s">
        <v>21</v>
      </c>
      <c r="Z26" s="6">
        <v>7</v>
      </c>
      <c r="AA26" s="9">
        <v>1E-4</v>
      </c>
      <c r="AC26" s="6" t="s">
        <v>145</v>
      </c>
      <c r="AD26" s="6">
        <v>1</v>
      </c>
      <c r="AE26" s="30">
        <v>0</v>
      </c>
    </row>
    <row r="27" spans="1:31">
      <c r="A27" s="6" t="s">
        <v>40</v>
      </c>
      <c r="B27" s="6">
        <v>13</v>
      </c>
      <c r="C27" s="9">
        <v>1E-4</v>
      </c>
      <c r="E27" s="6" t="s">
        <v>158</v>
      </c>
      <c r="F27" s="6">
        <v>1</v>
      </c>
      <c r="G27" s="30">
        <v>0</v>
      </c>
      <c r="M27" s="6" t="s">
        <v>43</v>
      </c>
      <c r="N27" s="6">
        <v>3</v>
      </c>
      <c r="O27" s="9">
        <v>1E-4</v>
      </c>
      <c r="Y27" s="6" t="s">
        <v>15</v>
      </c>
      <c r="Z27" s="6">
        <v>7</v>
      </c>
      <c r="AA27" s="9">
        <v>1E-4</v>
      </c>
    </row>
    <row r="28" spans="1:31">
      <c r="A28" s="6" t="s">
        <v>14</v>
      </c>
      <c r="B28" s="6">
        <v>13</v>
      </c>
      <c r="C28" s="9">
        <v>1E-4</v>
      </c>
      <c r="E28" s="6" t="s">
        <v>146</v>
      </c>
      <c r="F28" s="6">
        <v>1</v>
      </c>
      <c r="G28" s="30">
        <v>0</v>
      </c>
      <c r="M28" s="6" t="s">
        <v>26</v>
      </c>
      <c r="N28" s="6">
        <v>3</v>
      </c>
      <c r="O28" s="9">
        <v>1E-4</v>
      </c>
      <c r="Y28" s="6" t="s">
        <v>30</v>
      </c>
      <c r="Z28" s="6">
        <v>9</v>
      </c>
      <c r="AA28" s="9">
        <v>1E-4</v>
      </c>
    </row>
    <row r="29" spans="1:31">
      <c r="A29" s="6" t="s">
        <v>22</v>
      </c>
      <c r="B29" s="6">
        <v>6</v>
      </c>
      <c r="C29" s="9">
        <v>1E-4</v>
      </c>
      <c r="E29" s="6" t="s">
        <v>145</v>
      </c>
      <c r="F29" s="6">
        <v>1</v>
      </c>
      <c r="G29" s="30">
        <v>0</v>
      </c>
      <c r="M29" s="6" t="s">
        <v>27</v>
      </c>
      <c r="N29" s="6">
        <v>7</v>
      </c>
      <c r="O29" s="9">
        <v>1E-4</v>
      </c>
      <c r="Y29" s="6" t="s">
        <v>26</v>
      </c>
      <c r="Z29" s="6">
        <v>8</v>
      </c>
      <c r="AA29" s="9">
        <v>1E-4</v>
      </c>
    </row>
    <row r="30" spans="1:31">
      <c r="A30" s="6" t="s">
        <v>15</v>
      </c>
      <c r="B30" s="6">
        <v>7</v>
      </c>
      <c r="C30" s="9">
        <v>1E-4</v>
      </c>
      <c r="M30" s="6" t="s">
        <v>40</v>
      </c>
      <c r="N30" s="6">
        <v>3</v>
      </c>
      <c r="O30" s="9">
        <v>1E-4</v>
      </c>
      <c r="Y30" s="6" t="s">
        <v>31</v>
      </c>
      <c r="Z30" s="6">
        <v>8</v>
      </c>
      <c r="AA30" s="9">
        <v>1E-4</v>
      </c>
    </row>
    <row r="31" spans="1:31">
      <c r="A31" s="6" t="s">
        <v>26</v>
      </c>
      <c r="B31" s="6">
        <v>11</v>
      </c>
      <c r="C31" s="9">
        <v>1E-4</v>
      </c>
      <c r="M31" s="6" t="s">
        <v>33</v>
      </c>
      <c r="N31" s="6">
        <v>3</v>
      </c>
      <c r="O31" s="9">
        <v>1E-4</v>
      </c>
      <c r="Y31" s="6" t="s">
        <v>16</v>
      </c>
      <c r="Z31" s="6">
        <v>5</v>
      </c>
      <c r="AA31" s="9">
        <v>1E-4</v>
      </c>
    </row>
    <row r="32" spans="1:31">
      <c r="A32" s="6" t="s">
        <v>30</v>
      </c>
      <c r="B32" s="6">
        <v>11</v>
      </c>
      <c r="C32" s="9">
        <v>1E-4</v>
      </c>
      <c r="M32" s="6" t="s">
        <v>19</v>
      </c>
      <c r="N32" s="6">
        <v>2</v>
      </c>
      <c r="O32" s="30">
        <v>0</v>
      </c>
      <c r="Y32" s="6" t="s">
        <v>39</v>
      </c>
      <c r="Z32" s="6">
        <v>6</v>
      </c>
      <c r="AA32" s="9">
        <v>1E-4</v>
      </c>
    </row>
    <row r="33" spans="1:27">
      <c r="A33" s="6" t="s">
        <v>27</v>
      </c>
      <c r="B33" s="6">
        <v>13</v>
      </c>
      <c r="C33" s="9">
        <v>1E-4</v>
      </c>
      <c r="M33" s="6" t="s">
        <v>45</v>
      </c>
      <c r="N33" s="6">
        <v>1</v>
      </c>
      <c r="O33" s="30">
        <v>0</v>
      </c>
      <c r="Y33" s="6" t="s">
        <v>27</v>
      </c>
      <c r="Z33" s="6">
        <v>6</v>
      </c>
      <c r="AA33" s="9">
        <v>1E-4</v>
      </c>
    </row>
    <row r="34" spans="1:27">
      <c r="A34" s="6" t="s">
        <v>39</v>
      </c>
      <c r="B34" s="6">
        <v>7</v>
      </c>
      <c r="C34" s="9">
        <v>1E-4</v>
      </c>
      <c r="M34" s="6" t="s">
        <v>30</v>
      </c>
      <c r="N34" s="6">
        <v>2</v>
      </c>
      <c r="O34" s="30">
        <v>0</v>
      </c>
      <c r="Y34" s="6" t="s">
        <v>25</v>
      </c>
      <c r="Z34" s="6">
        <v>4</v>
      </c>
      <c r="AA34" s="9">
        <v>1E-4</v>
      </c>
    </row>
    <row r="35" spans="1:27">
      <c r="A35" s="6" t="s">
        <v>33</v>
      </c>
      <c r="B35" s="6">
        <v>6</v>
      </c>
      <c r="C35" s="9">
        <v>1E-4</v>
      </c>
      <c r="M35" s="6" t="s">
        <v>24</v>
      </c>
      <c r="N35" s="6">
        <v>2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39</v>
      </c>
      <c r="N36" s="6">
        <v>1</v>
      </c>
      <c r="O36" s="30">
        <v>0</v>
      </c>
      <c r="Y36" s="6" t="s">
        <v>34</v>
      </c>
      <c r="Z36" s="6">
        <v>2</v>
      </c>
      <c r="AA36" s="30">
        <v>0</v>
      </c>
    </row>
    <row r="37" spans="1:27">
      <c r="A37" s="6" t="s">
        <v>34</v>
      </c>
      <c r="B37" s="6">
        <v>2</v>
      </c>
      <c r="C37" s="30">
        <v>0</v>
      </c>
      <c r="M37" s="6" t="s">
        <v>42</v>
      </c>
      <c r="N37" s="6">
        <v>2</v>
      </c>
      <c r="O37" s="30">
        <v>0</v>
      </c>
      <c r="Y37" s="6" t="s">
        <v>13</v>
      </c>
      <c r="Z37" s="6">
        <v>3</v>
      </c>
      <c r="AA37" s="30">
        <v>0</v>
      </c>
    </row>
    <row r="38" spans="1:27">
      <c r="A38" s="6" t="s">
        <v>13</v>
      </c>
      <c r="B38" s="6">
        <v>3</v>
      </c>
      <c r="C38" s="30">
        <v>0</v>
      </c>
      <c r="M38" s="6" t="s">
        <v>23</v>
      </c>
      <c r="N38" s="6">
        <v>1</v>
      </c>
      <c r="O38" s="30">
        <v>0</v>
      </c>
      <c r="Y38" s="6" t="s">
        <v>65</v>
      </c>
      <c r="Z38" s="6">
        <v>1</v>
      </c>
      <c r="AA38" s="30">
        <v>0</v>
      </c>
    </row>
    <row r="39" spans="1:27">
      <c r="A39" s="6" t="s">
        <v>67</v>
      </c>
      <c r="B39" s="6">
        <v>1</v>
      </c>
      <c r="C39" s="30">
        <v>0</v>
      </c>
      <c r="M39" s="6" t="s">
        <v>58</v>
      </c>
      <c r="N39" s="6">
        <v>1</v>
      </c>
      <c r="O39" s="30">
        <v>0</v>
      </c>
      <c r="Y39" s="6" t="s">
        <v>20</v>
      </c>
      <c r="Z39" s="6">
        <v>1</v>
      </c>
      <c r="AA39" s="30">
        <v>0</v>
      </c>
    </row>
    <row r="40" spans="1:27">
      <c r="A40" s="6" t="s">
        <v>65</v>
      </c>
      <c r="B40" s="6">
        <v>1</v>
      </c>
      <c r="C40" s="30">
        <v>0</v>
      </c>
      <c r="M40" s="6" t="s">
        <v>59</v>
      </c>
      <c r="N40" s="6">
        <v>1</v>
      </c>
      <c r="O40" s="30">
        <v>0</v>
      </c>
      <c r="Y40" s="6" t="s">
        <v>45</v>
      </c>
      <c r="Z40" s="6">
        <v>2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32</v>
      </c>
      <c r="N41" s="6">
        <v>1</v>
      </c>
      <c r="O41" s="30">
        <v>0</v>
      </c>
      <c r="Y41" s="6" t="s">
        <v>36</v>
      </c>
      <c r="Z41" s="6">
        <v>2</v>
      </c>
      <c r="AA41" s="30">
        <v>0</v>
      </c>
    </row>
    <row r="42" spans="1:27">
      <c r="A42" s="6" t="s">
        <v>36</v>
      </c>
      <c r="B42" s="6">
        <v>2</v>
      </c>
      <c r="C42" s="30">
        <v>0</v>
      </c>
      <c r="M42" s="6" t="s">
        <v>25</v>
      </c>
      <c r="N42" s="6">
        <v>1</v>
      </c>
      <c r="O42" s="30">
        <v>0</v>
      </c>
      <c r="Y42" s="6" t="s">
        <v>160</v>
      </c>
      <c r="Z42" s="6">
        <v>3</v>
      </c>
      <c r="AA42" s="30">
        <v>0</v>
      </c>
    </row>
    <row r="43" spans="1:27">
      <c r="A43" s="6" t="s">
        <v>160</v>
      </c>
      <c r="B43" s="6">
        <v>3</v>
      </c>
      <c r="C43" s="30">
        <v>0</v>
      </c>
      <c r="M43" s="6" t="s">
        <v>175</v>
      </c>
      <c r="N43" s="6">
        <v>1</v>
      </c>
      <c r="O43" s="30">
        <v>0</v>
      </c>
      <c r="Y43" s="6" t="s">
        <v>62</v>
      </c>
      <c r="Z43" s="6">
        <v>1</v>
      </c>
      <c r="AA43" s="30">
        <v>0</v>
      </c>
    </row>
    <row r="44" spans="1:27">
      <c r="A44" s="6" t="s">
        <v>62</v>
      </c>
      <c r="B44" s="6">
        <v>1</v>
      </c>
      <c r="C44" s="30">
        <v>0</v>
      </c>
      <c r="Y44" s="6" t="s">
        <v>48</v>
      </c>
      <c r="Z44" s="6">
        <v>3</v>
      </c>
      <c r="AA44" s="30">
        <v>0</v>
      </c>
    </row>
    <row r="45" spans="1:27">
      <c r="A45" s="6" t="s">
        <v>16</v>
      </c>
      <c r="B45" s="6">
        <v>5</v>
      </c>
      <c r="C45" s="30">
        <v>0</v>
      </c>
      <c r="Y45" s="6" t="s">
        <v>22</v>
      </c>
      <c r="Z45" s="6">
        <v>2</v>
      </c>
      <c r="AA45" s="30">
        <v>0</v>
      </c>
    </row>
    <row r="46" spans="1:27">
      <c r="A46" s="6" t="s">
        <v>48</v>
      </c>
      <c r="B46" s="6">
        <v>3</v>
      </c>
      <c r="C46" s="30">
        <v>0</v>
      </c>
      <c r="Y46" s="6" t="s">
        <v>24</v>
      </c>
      <c r="Z46" s="6">
        <v>1</v>
      </c>
      <c r="AA46" s="30">
        <v>0</v>
      </c>
    </row>
    <row r="47" spans="1:27">
      <c r="A47" s="6" t="s">
        <v>24</v>
      </c>
      <c r="B47" s="6">
        <v>3</v>
      </c>
      <c r="C47" s="30">
        <v>0</v>
      </c>
      <c r="Y47" s="6" t="s">
        <v>33</v>
      </c>
      <c r="Z47" s="6">
        <v>3</v>
      </c>
      <c r="AA47" s="30">
        <v>0</v>
      </c>
    </row>
    <row r="48" spans="1:27">
      <c r="A48" s="6" t="s">
        <v>43</v>
      </c>
      <c r="B48" s="6">
        <v>4</v>
      </c>
      <c r="C48" s="30">
        <v>0</v>
      </c>
      <c r="Y48" s="6" t="s">
        <v>67</v>
      </c>
      <c r="Z48" s="6">
        <v>1</v>
      </c>
      <c r="AA48" s="30">
        <v>0</v>
      </c>
    </row>
    <row r="49" spans="1:27">
      <c r="A49" s="6" t="s">
        <v>59</v>
      </c>
      <c r="B49" s="6">
        <v>4</v>
      </c>
      <c r="C49" s="30">
        <v>0</v>
      </c>
      <c r="Y49" s="6" t="s">
        <v>59</v>
      </c>
      <c r="Z49" s="6">
        <v>3</v>
      </c>
      <c r="AA49" s="30">
        <v>0</v>
      </c>
    </row>
    <row r="50" spans="1:27">
      <c r="A50" s="6" t="s">
        <v>25</v>
      </c>
      <c r="B50" s="6">
        <v>5</v>
      </c>
      <c r="C50" s="30">
        <v>0</v>
      </c>
      <c r="Y50" s="6" t="s">
        <v>38</v>
      </c>
      <c r="Z50" s="6">
        <v>1</v>
      </c>
      <c r="AA50" s="30">
        <v>0</v>
      </c>
    </row>
    <row r="51" spans="1:27">
      <c r="A51" s="6" t="s">
        <v>42</v>
      </c>
      <c r="B51" s="6">
        <v>3</v>
      </c>
      <c r="C51" s="30">
        <v>0</v>
      </c>
      <c r="Y51" s="6" t="s">
        <v>60</v>
      </c>
      <c r="Z51" s="6">
        <v>2</v>
      </c>
      <c r="AA51" s="30">
        <v>0</v>
      </c>
    </row>
    <row r="52" spans="1:27">
      <c r="A52" s="6" t="s">
        <v>38</v>
      </c>
      <c r="B52" s="6">
        <v>1</v>
      </c>
      <c r="C52" s="30">
        <v>0</v>
      </c>
      <c r="Y52" s="6" t="s">
        <v>68</v>
      </c>
      <c r="Z52" s="6">
        <v>1</v>
      </c>
      <c r="AA52" s="30">
        <v>0</v>
      </c>
    </row>
    <row r="53" spans="1:27">
      <c r="A53" s="6" t="s">
        <v>58</v>
      </c>
      <c r="B53" s="6">
        <v>2</v>
      </c>
      <c r="C53" s="30">
        <v>0</v>
      </c>
      <c r="Y53" s="6" t="s">
        <v>28</v>
      </c>
      <c r="Z53" s="6">
        <v>2</v>
      </c>
      <c r="AA53" s="30">
        <v>0</v>
      </c>
    </row>
    <row r="54" spans="1:27">
      <c r="A54" s="6" t="s">
        <v>68</v>
      </c>
      <c r="B54" s="6">
        <v>1</v>
      </c>
      <c r="C54" s="30">
        <v>0</v>
      </c>
      <c r="Y54" s="6" t="s">
        <v>64</v>
      </c>
      <c r="Z54" s="6">
        <v>1</v>
      </c>
      <c r="AA54" s="30">
        <v>0</v>
      </c>
    </row>
    <row r="55" spans="1:27">
      <c r="A55" s="6" t="s">
        <v>60</v>
      </c>
      <c r="B55" s="6">
        <v>2</v>
      </c>
      <c r="C55" s="30">
        <v>0</v>
      </c>
      <c r="Y55" s="6" t="s">
        <v>58</v>
      </c>
      <c r="Z55" s="6">
        <v>1</v>
      </c>
      <c r="AA55" s="30">
        <v>0</v>
      </c>
    </row>
    <row r="56" spans="1:27">
      <c r="A56" s="6" t="s">
        <v>28</v>
      </c>
      <c r="B56" s="6">
        <v>2</v>
      </c>
      <c r="C56" s="30">
        <v>0</v>
      </c>
      <c r="Y56" s="6" t="s">
        <v>42</v>
      </c>
      <c r="Z56" s="6">
        <v>1</v>
      </c>
      <c r="AA56" s="30">
        <v>0</v>
      </c>
    </row>
    <row r="57" spans="1:27">
      <c r="A57" s="6" t="s">
        <v>64</v>
      </c>
      <c r="B57" s="6">
        <v>1</v>
      </c>
      <c r="C57" s="30">
        <v>0</v>
      </c>
      <c r="Y57" s="6" t="s">
        <v>156</v>
      </c>
      <c r="Z57" s="6">
        <v>1</v>
      </c>
      <c r="AA57" s="30">
        <v>0</v>
      </c>
    </row>
    <row r="58" spans="1:27">
      <c r="A58" s="6" t="s">
        <v>23</v>
      </c>
      <c r="B58" s="6">
        <v>1</v>
      </c>
      <c r="C58" s="30">
        <v>0</v>
      </c>
      <c r="Y58" s="6" t="s">
        <v>147</v>
      </c>
      <c r="Z58" s="6">
        <v>1</v>
      </c>
      <c r="AA58" s="30">
        <v>0</v>
      </c>
    </row>
    <row r="59" spans="1:27">
      <c r="A59" s="6" t="s">
        <v>156</v>
      </c>
      <c r="B59" s="6">
        <v>1</v>
      </c>
      <c r="C59" s="30">
        <v>0</v>
      </c>
      <c r="Y59" s="6" t="s">
        <v>43</v>
      </c>
      <c r="Z59" s="6">
        <v>1</v>
      </c>
      <c r="AA59" s="30">
        <v>0</v>
      </c>
    </row>
    <row r="60" spans="1:27">
      <c r="A60" s="6" t="s">
        <v>32</v>
      </c>
      <c r="B60" s="6">
        <v>1</v>
      </c>
      <c r="C60" s="30">
        <v>0</v>
      </c>
    </row>
    <row r="61" spans="1:27">
      <c r="A61" s="6" t="s">
        <v>147</v>
      </c>
      <c r="B61" s="6">
        <v>1</v>
      </c>
      <c r="C61" s="30">
        <v>0</v>
      </c>
    </row>
    <row r="62" spans="1:27">
      <c r="A62" s="6" t="s">
        <v>175</v>
      </c>
      <c r="B62" s="6">
        <v>1</v>
      </c>
      <c r="C62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FD73-E674-4C0D-945D-53E52B26CD73}">
  <sheetPr codeName="Sheet48"/>
  <dimension ref="A1:AI57"/>
  <sheetViews>
    <sheetView topLeftCell="R1" workbookViewId="0">
      <selection activeCell="AG8" sqref="AG8:AI15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117202</v>
      </c>
      <c r="E2" s="41" t="s">
        <v>4</v>
      </c>
      <c r="F2" s="23" t="s">
        <v>105</v>
      </c>
      <c r="G2" s="23">
        <f>G3+G4</f>
        <v>105435</v>
      </c>
      <c r="H2" s="22"/>
      <c r="I2" s="41" t="s">
        <v>6</v>
      </c>
      <c r="J2" s="23" t="s">
        <v>105</v>
      </c>
      <c r="K2" s="23">
        <f>K3+K4</f>
        <v>106737</v>
      </c>
      <c r="M2" s="41" t="s">
        <v>104</v>
      </c>
      <c r="N2" s="23" t="s">
        <v>105</v>
      </c>
      <c r="O2" s="23">
        <f>O3+O4</f>
        <v>42163</v>
      </c>
      <c r="Q2" s="41" t="s">
        <v>4</v>
      </c>
      <c r="R2" s="23" t="s">
        <v>105</v>
      </c>
      <c r="S2" s="23">
        <f>S3+S4</f>
        <v>37033</v>
      </c>
      <c r="T2" s="22"/>
      <c r="U2" s="41" t="s">
        <v>6</v>
      </c>
      <c r="V2" s="23" t="s">
        <v>105</v>
      </c>
      <c r="W2" s="23">
        <f>W3+W4</f>
        <v>36590</v>
      </c>
      <c r="Y2" s="41" t="s">
        <v>104</v>
      </c>
      <c r="Z2" s="23" t="s">
        <v>105</v>
      </c>
      <c r="AA2" s="23">
        <f>AA3+AA4</f>
        <v>75027</v>
      </c>
      <c r="AC2" s="41" t="s">
        <v>4</v>
      </c>
      <c r="AD2" s="23" t="s">
        <v>105</v>
      </c>
      <c r="AE2" s="23">
        <f>AE3+AE4</f>
        <v>68403</v>
      </c>
      <c r="AF2" s="22"/>
      <c r="AG2" s="41" t="s">
        <v>6</v>
      </c>
      <c r="AH2" s="23" t="s">
        <v>105</v>
      </c>
      <c r="AI2" s="23">
        <f>AI3+AI4</f>
        <v>70149</v>
      </c>
    </row>
    <row r="3" spans="1:35">
      <c r="A3" s="42"/>
      <c r="B3" s="24" t="s">
        <v>106</v>
      </c>
      <c r="C3" s="24">
        <f>B8</f>
        <v>115544</v>
      </c>
      <c r="E3" s="42"/>
      <c r="F3" s="24" t="s">
        <v>106</v>
      </c>
      <c r="G3" s="24">
        <f>F8</f>
        <v>105014</v>
      </c>
      <c r="H3" s="22"/>
      <c r="I3" s="42"/>
      <c r="J3" s="24" t="s">
        <v>106</v>
      </c>
      <c r="K3" s="24">
        <f>J8</f>
        <v>106631</v>
      </c>
      <c r="M3" s="42"/>
      <c r="N3" s="24" t="s">
        <v>106</v>
      </c>
      <c r="O3" s="24">
        <f>N8</f>
        <v>41708</v>
      </c>
      <c r="Q3" s="42"/>
      <c r="R3" s="24" t="s">
        <v>106</v>
      </c>
      <c r="S3" s="24">
        <f>R8</f>
        <v>36930</v>
      </c>
      <c r="T3" s="22"/>
      <c r="U3" s="42"/>
      <c r="V3" s="24" t="s">
        <v>106</v>
      </c>
      <c r="W3" s="24">
        <f>V8</f>
        <v>36558</v>
      </c>
      <c r="Y3" s="42"/>
      <c r="Z3" s="24" t="s">
        <v>106</v>
      </c>
      <c r="AA3" s="24">
        <f>Z8</f>
        <v>73836</v>
      </c>
      <c r="AC3" s="42"/>
      <c r="AD3" s="24" t="s">
        <v>106</v>
      </c>
      <c r="AE3" s="24">
        <f>AD8</f>
        <v>68084</v>
      </c>
      <c r="AF3" s="22"/>
      <c r="AG3" s="42"/>
      <c r="AH3" s="24" t="s">
        <v>106</v>
      </c>
      <c r="AI3" s="24">
        <f>AH8</f>
        <v>70073</v>
      </c>
    </row>
    <row r="4" spans="1:35">
      <c r="A4" s="42"/>
      <c r="B4" s="25" t="s">
        <v>107</v>
      </c>
      <c r="C4" s="25">
        <f>SUM(B9:B66)</f>
        <v>1658</v>
      </c>
      <c r="E4" s="42"/>
      <c r="F4" s="25" t="s">
        <v>107</v>
      </c>
      <c r="G4" s="25">
        <f>SUM(F9:F33)</f>
        <v>421</v>
      </c>
      <c r="H4" s="22"/>
      <c r="I4" s="42"/>
      <c r="J4" s="25" t="s">
        <v>107</v>
      </c>
      <c r="K4" s="25">
        <f>SUM(J9:J31)</f>
        <v>106</v>
      </c>
      <c r="M4" s="42"/>
      <c r="N4" s="25" t="s">
        <v>107</v>
      </c>
      <c r="O4" s="25">
        <f>SUM(N9:N66)</f>
        <v>455</v>
      </c>
      <c r="Q4" s="42"/>
      <c r="R4" s="25" t="s">
        <v>107</v>
      </c>
      <c r="S4" s="25">
        <f>SUM(R9:R33)</f>
        <v>103</v>
      </c>
      <c r="T4" s="22"/>
      <c r="U4" s="42"/>
      <c r="V4" s="25" t="s">
        <v>107</v>
      </c>
      <c r="W4" s="25">
        <f>SUM(V9:V31)</f>
        <v>32</v>
      </c>
      <c r="Y4" s="42"/>
      <c r="Z4" s="25" t="s">
        <v>107</v>
      </c>
      <c r="AA4" s="25">
        <f>SUM(Z9:Z45)</f>
        <v>1191</v>
      </c>
      <c r="AC4" s="42"/>
      <c r="AD4" s="25" t="s">
        <v>107</v>
      </c>
      <c r="AE4" s="25">
        <f>SUM(AD9:AD29)</f>
        <v>319</v>
      </c>
      <c r="AF4" s="22"/>
      <c r="AG4" s="42"/>
      <c r="AH4" s="25" t="s">
        <v>107</v>
      </c>
      <c r="AI4" s="25">
        <f>SUM(AH9:AH29)</f>
        <v>76</v>
      </c>
    </row>
    <row r="5" spans="1:35">
      <c r="A5" s="43"/>
      <c r="B5" s="23" t="s">
        <v>108</v>
      </c>
      <c r="C5" s="26">
        <f>SUM(C9:C179)</f>
        <v>1.3799999999999998E-2</v>
      </c>
      <c r="E5" s="43"/>
      <c r="F5" s="23" t="s">
        <v>108</v>
      </c>
      <c r="G5" s="26">
        <f>SUM(G9:G33)</f>
        <v>3.7999999999999996E-3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1.03E-2</v>
      </c>
      <c r="Q5" s="43"/>
      <c r="R5" s="23" t="s">
        <v>108</v>
      </c>
      <c r="S5" s="26">
        <f>SUM(S9:S33)</f>
        <v>2.7999999999999991E-3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1.5899999999999994E-2</v>
      </c>
      <c r="AC5" s="43"/>
      <c r="AD5" s="23" t="s">
        <v>108</v>
      </c>
      <c r="AE5" s="26">
        <f>SUM(AE9:AE29)</f>
        <v>4.5000000000000014E-3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115544</v>
      </c>
      <c r="C8" s="9">
        <v>0.9859</v>
      </c>
      <c r="E8" s="6" t="s">
        <v>112</v>
      </c>
      <c r="F8" s="29">
        <v>105014</v>
      </c>
      <c r="G8" s="9">
        <v>0.996</v>
      </c>
      <c r="I8" s="6" t="s">
        <v>112</v>
      </c>
      <c r="J8" s="29">
        <v>106631</v>
      </c>
      <c r="K8" s="9">
        <v>0.999</v>
      </c>
      <c r="M8" s="6" t="s">
        <v>112</v>
      </c>
      <c r="N8" s="29">
        <v>41708</v>
      </c>
      <c r="O8" s="9">
        <v>0.98919999999999997</v>
      </c>
      <c r="Q8" s="6" t="s">
        <v>112</v>
      </c>
      <c r="R8" s="29">
        <v>36930</v>
      </c>
      <c r="S8" s="9">
        <v>0.99719999999999998</v>
      </c>
      <c r="U8" s="6" t="s">
        <v>112</v>
      </c>
      <c r="V8" s="29">
        <v>36558</v>
      </c>
      <c r="W8" s="9">
        <v>0.99909999999999999</v>
      </c>
      <c r="Y8" s="6" t="s">
        <v>112</v>
      </c>
      <c r="Z8" s="29">
        <v>73836</v>
      </c>
      <c r="AA8" s="9">
        <v>0.98399999999999999</v>
      </c>
      <c r="AC8" s="6" t="s">
        <v>112</v>
      </c>
      <c r="AD8" s="29">
        <v>68084</v>
      </c>
      <c r="AE8" s="9">
        <v>0.99529999999999996</v>
      </c>
      <c r="AG8" s="34" t="s">
        <v>112</v>
      </c>
      <c r="AH8" s="35">
        <v>70073</v>
      </c>
      <c r="AI8" s="36">
        <v>0.99890000000000001</v>
      </c>
    </row>
    <row r="9" spans="1:35">
      <c r="A9" s="6" t="s">
        <v>2</v>
      </c>
      <c r="B9" s="6">
        <v>337</v>
      </c>
      <c r="C9" s="9">
        <v>2.8999999999999998E-3</v>
      </c>
      <c r="E9" s="6" t="s">
        <v>122</v>
      </c>
      <c r="F9" s="6">
        <v>211</v>
      </c>
      <c r="G9" s="9">
        <v>2E-3</v>
      </c>
      <c r="I9" s="6" t="s">
        <v>2</v>
      </c>
      <c r="J9" s="6">
        <v>33</v>
      </c>
      <c r="K9" s="9">
        <v>2.9999999999999997E-4</v>
      </c>
      <c r="M9" s="6" t="s">
        <v>2</v>
      </c>
      <c r="N9" s="6">
        <v>125</v>
      </c>
      <c r="O9" s="9">
        <v>3.0000000000000001E-3</v>
      </c>
      <c r="Q9" s="6" t="s">
        <v>122</v>
      </c>
      <c r="R9" s="6">
        <v>85</v>
      </c>
      <c r="S9" s="9">
        <v>2.3E-3</v>
      </c>
      <c r="U9" s="6" t="s">
        <v>2</v>
      </c>
      <c r="V9" s="6">
        <v>12</v>
      </c>
      <c r="W9" s="9">
        <v>2.9999999999999997E-4</v>
      </c>
      <c r="Y9" s="6" t="s">
        <v>9</v>
      </c>
      <c r="Z9" s="6">
        <v>216</v>
      </c>
      <c r="AA9" s="9">
        <v>2.8999999999999998E-3</v>
      </c>
      <c r="AC9" s="6" t="s">
        <v>122</v>
      </c>
      <c r="AD9" s="6">
        <v>126</v>
      </c>
      <c r="AE9" s="9">
        <v>1.8E-3</v>
      </c>
      <c r="AG9" s="34" t="s">
        <v>103</v>
      </c>
      <c r="AH9" s="34">
        <v>22</v>
      </c>
      <c r="AI9" s="36">
        <v>2.9999999999999997E-4</v>
      </c>
    </row>
    <row r="10" spans="1:35">
      <c r="A10" s="6" t="s">
        <v>3</v>
      </c>
      <c r="B10" s="6">
        <v>250</v>
      </c>
      <c r="C10" s="9">
        <v>2.0999999999999999E-3</v>
      </c>
      <c r="E10" s="6" t="s">
        <v>83</v>
      </c>
      <c r="F10" s="6">
        <v>84</v>
      </c>
      <c r="G10" s="9">
        <v>8.0000000000000004E-4</v>
      </c>
      <c r="I10" s="6" t="s">
        <v>98</v>
      </c>
      <c r="J10" s="6">
        <v>19</v>
      </c>
      <c r="K10" s="9">
        <v>2.0000000000000001E-4</v>
      </c>
      <c r="M10" s="6" t="s">
        <v>3</v>
      </c>
      <c r="N10" s="6">
        <v>102</v>
      </c>
      <c r="O10" s="9">
        <v>2.3999999999999998E-3</v>
      </c>
      <c r="Q10" s="6" t="s">
        <v>92</v>
      </c>
      <c r="R10" s="6">
        <v>2</v>
      </c>
      <c r="S10" s="9">
        <v>1E-4</v>
      </c>
      <c r="U10" s="6" t="s">
        <v>98</v>
      </c>
      <c r="V10" s="6">
        <v>7</v>
      </c>
      <c r="W10" s="9">
        <v>2.0000000000000001E-4</v>
      </c>
      <c r="Y10" s="6" t="s">
        <v>2</v>
      </c>
      <c r="Z10" s="6">
        <v>212</v>
      </c>
      <c r="AA10" s="9">
        <v>2.8E-3</v>
      </c>
      <c r="AC10" s="6" t="s">
        <v>83</v>
      </c>
      <c r="AD10" s="6">
        <v>84</v>
      </c>
      <c r="AE10" s="9">
        <v>1.1999999999999999E-3</v>
      </c>
      <c r="AG10" s="34" t="s">
        <v>2</v>
      </c>
      <c r="AH10" s="34">
        <v>21</v>
      </c>
      <c r="AI10" s="36">
        <v>2.9999999999999997E-4</v>
      </c>
    </row>
    <row r="11" spans="1:35">
      <c r="A11" s="6" t="s">
        <v>9</v>
      </c>
      <c r="B11" s="6">
        <v>230</v>
      </c>
      <c r="C11" s="9">
        <v>2E-3</v>
      </c>
      <c r="E11" s="6" t="s">
        <v>77</v>
      </c>
      <c r="F11" s="6">
        <v>71</v>
      </c>
      <c r="G11" s="9">
        <v>6.9999999999999999E-4</v>
      </c>
      <c r="I11" s="6" t="s">
        <v>103</v>
      </c>
      <c r="J11" s="6">
        <v>22</v>
      </c>
      <c r="K11" s="9">
        <v>2.0000000000000001E-4</v>
      </c>
      <c r="M11" s="6" t="s">
        <v>11</v>
      </c>
      <c r="N11" s="6">
        <v>27</v>
      </c>
      <c r="O11" s="9">
        <v>5.9999999999999995E-4</v>
      </c>
      <c r="Q11" s="6" t="s">
        <v>76</v>
      </c>
      <c r="R11" s="6">
        <v>4</v>
      </c>
      <c r="S11" s="9">
        <v>1E-4</v>
      </c>
      <c r="U11" s="6" t="s">
        <v>102</v>
      </c>
      <c r="V11" s="6">
        <v>5</v>
      </c>
      <c r="W11" s="9">
        <v>1E-4</v>
      </c>
      <c r="Y11" s="6" t="s">
        <v>8</v>
      </c>
      <c r="Z11" s="6">
        <v>175</v>
      </c>
      <c r="AA11" s="9">
        <v>2.3E-3</v>
      </c>
      <c r="AC11" s="6" t="s">
        <v>77</v>
      </c>
      <c r="AD11" s="6">
        <v>69</v>
      </c>
      <c r="AE11" s="9">
        <v>1E-3</v>
      </c>
      <c r="AG11" s="34" t="s">
        <v>98</v>
      </c>
      <c r="AH11" s="34">
        <v>12</v>
      </c>
      <c r="AI11" s="36">
        <v>2.0000000000000001E-4</v>
      </c>
    </row>
    <row r="12" spans="1:35">
      <c r="A12" s="6" t="s">
        <v>8</v>
      </c>
      <c r="B12" s="6">
        <v>177</v>
      </c>
      <c r="C12" s="9">
        <v>1.5E-3</v>
      </c>
      <c r="E12" s="6" t="s">
        <v>76</v>
      </c>
      <c r="F12" s="6">
        <v>13</v>
      </c>
      <c r="G12" s="9">
        <v>1E-4</v>
      </c>
      <c r="I12" s="6" t="s">
        <v>102</v>
      </c>
      <c r="J12" s="6">
        <v>9</v>
      </c>
      <c r="K12" s="9">
        <v>1E-4</v>
      </c>
      <c r="M12" s="6" t="s">
        <v>41</v>
      </c>
      <c r="N12" s="6">
        <v>25</v>
      </c>
      <c r="O12" s="9">
        <v>5.9999999999999995E-4</v>
      </c>
      <c r="Q12" s="6" t="s">
        <v>74</v>
      </c>
      <c r="R12" s="6">
        <v>4</v>
      </c>
      <c r="S12" s="9">
        <v>1E-4</v>
      </c>
      <c r="U12" s="6" t="s">
        <v>99</v>
      </c>
      <c r="V12" s="6">
        <v>5</v>
      </c>
      <c r="W12" s="9">
        <v>1E-4</v>
      </c>
      <c r="Y12" s="6" t="s">
        <v>3</v>
      </c>
      <c r="Z12" s="6">
        <v>148</v>
      </c>
      <c r="AA12" s="9">
        <v>2E-3</v>
      </c>
      <c r="AC12" s="6" t="s">
        <v>76</v>
      </c>
      <c r="AD12" s="6">
        <v>9</v>
      </c>
      <c r="AE12" s="9">
        <v>1E-4</v>
      </c>
      <c r="AG12" s="34" t="s">
        <v>99</v>
      </c>
      <c r="AH12" s="34">
        <v>11</v>
      </c>
      <c r="AI12" s="36">
        <v>2.0000000000000001E-4</v>
      </c>
    </row>
    <row r="13" spans="1:35">
      <c r="A13" s="6" t="s">
        <v>5</v>
      </c>
      <c r="B13" s="6">
        <v>93</v>
      </c>
      <c r="C13" s="9">
        <v>8.0000000000000004E-4</v>
      </c>
      <c r="E13" s="6" t="s">
        <v>74</v>
      </c>
      <c r="F13" s="6">
        <v>12</v>
      </c>
      <c r="G13" s="9">
        <v>1E-4</v>
      </c>
      <c r="I13" s="6" t="s">
        <v>99</v>
      </c>
      <c r="J13" s="6">
        <v>16</v>
      </c>
      <c r="K13" s="9">
        <v>1E-4</v>
      </c>
      <c r="M13" s="6" t="s">
        <v>7</v>
      </c>
      <c r="N13" s="6">
        <v>23</v>
      </c>
      <c r="O13" s="9">
        <v>5.0000000000000001E-4</v>
      </c>
      <c r="Q13" s="6" t="s">
        <v>120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81</v>
      </c>
      <c r="AA13" s="9">
        <v>1.1000000000000001E-3</v>
      </c>
      <c r="AC13" s="6" t="s">
        <v>74</v>
      </c>
      <c r="AD13" s="6">
        <v>8</v>
      </c>
      <c r="AE13" s="9">
        <v>1E-4</v>
      </c>
      <c r="AG13" s="34" t="s">
        <v>102</v>
      </c>
      <c r="AH13" s="34">
        <v>5</v>
      </c>
      <c r="AI13" s="36">
        <v>1E-4</v>
      </c>
    </row>
    <row r="14" spans="1:35">
      <c r="A14" s="6" t="s">
        <v>11</v>
      </c>
      <c r="B14" s="6">
        <v>70</v>
      </c>
      <c r="C14" s="9">
        <v>5.9999999999999995E-4</v>
      </c>
      <c r="E14" s="6" t="s">
        <v>75</v>
      </c>
      <c r="F14" s="6">
        <v>7</v>
      </c>
      <c r="G14" s="9">
        <v>1E-4</v>
      </c>
      <c r="I14" s="6" t="s">
        <v>113</v>
      </c>
      <c r="J14" s="6">
        <v>6</v>
      </c>
      <c r="K14" s="9">
        <v>1E-4</v>
      </c>
      <c r="M14" s="6" t="s">
        <v>17</v>
      </c>
      <c r="N14" s="6">
        <v>17</v>
      </c>
      <c r="O14" s="9">
        <v>4.0000000000000002E-4</v>
      </c>
      <c r="Q14" s="6" t="s">
        <v>77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11</v>
      </c>
      <c r="Z14" s="6">
        <v>43</v>
      </c>
      <c r="AA14" s="9">
        <v>5.9999999999999995E-4</v>
      </c>
      <c r="AC14" s="6" t="s">
        <v>75</v>
      </c>
      <c r="AD14" s="6">
        <v>7</v>
      </c>
      <c r="AE14" s="9">
        <v>1E-4</v>
      </c>
      <c r="AG14" s="34" t="s">
        <v>113</v>
      </c>
      <c r="AH14" s="34">
        <v>4</v>
      </c>
      <c r="AI14" s="36">
        <v>1E-4</v>
      </c>
    </row>
    <row r="15" spans="1:35">
      <c r="A15" s="6" t="s">
        <v>41</v>
      </c>
      <c r="B15" s="6">
        <v>58</v>
      </c>
      <c r="C15" s="9">
        <v>5.0000000000000001E-4</v>
      </c>
      <c r="E15" s="6" t="s">
        <v>87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9</v>
      </c>
      <c r="N15" s="6">
        <v>14</v>
      </c>
      <c r="O15" s="9">
        <v>2.9999999999999997E-4</v>
      </c>
      <c r="Q15" s="6" t="s">
        <v>80</v>
      </c>
      <c r="R15" s="6">
        <v>1</v>
      </c>
      <c r="S15" s="30">
        <v>0</v>
      </c>
      <c r="Y15" s="6" t="s">
        <v>7</v>
      </c>
      <c r="Z15" s="6">
        <v>35</v>
      </c>
      <c r="AA15" s="9">
        <v>5.0000000000000001E-4</v>
      </c>
      <c r="AC15" s="6" t="s">
        <v>78</v>
      </c>
      <c r="AD15" s="6">
        <v>4</v>
      </c>
      <c r="AE15" s="9">
        <v>1E-4</v>
      </c>
      <c r="AG15" s="34" t="s">
        <v>123</v>
      </c>
      <c r="AH15" s="34">
        <v>1</v>
      </c>
      <c r="AI15" s="37">
        <v>0</v>
      </c>
    </row>
    <row r="16" spans="1:35">
      <c r="A16" s="6" t="s">
        <v>7</v>
      </c>
      <c r="B16" s="6">
        <v>58</v>
      </c>
      <c r="C16" s="9">
        <v>5.0000000000000001E-4</v>
      </c>
      <c r="E16" s="6" t="s">
        <v>92</v>
      </c>
      <c r="F16" s="6">
        <v>2</v>
      </c>
      <c r="G16" s="30">
        <v>0</v>
      </c>
      <c r="M16" s="6" t="s">
        <v>18</v>
      </c>
      <c r="N16" s="6">
        <v>14</v>
      </c>
      <c r="O16" s="9">
        <v>2.9999999999999997E-4</v>
      </c>
      <c r="Q16" s="6" t="s">
        <v>176</v>
      </c>
      <c r="R16" s="6">
        <v>1</v>
      </c>
      <c r="S16" s="30">
        <v>0</v>
      </c>
      <c r="Y16" s="6" t="s">
        <v>10</v>
      </c>
      <c r="Z16" s="6">
        <v>29</v>
      </c>
      <c r="AA16" s="9">
        <v>4.0000000000000002E-4</v>
      </c>
      <c r="AC16" s="6" t="s">
        <v>130</v>
      </c>
      <c r="AD16" s="6">
        <v>4</v>
      </c>
      <c r="AE16" s="9">
        <v>1E-4</v>
      </c>
    </row>
    <row r="17" spans="1:31">
      <c r="A17" s="6" t="s">
        <v>18</v>
      </c>
      <c r="B17" s="6">
        <v>30</v>
      </c>
      <c r="C17" s="9">
        <v>2.9999999999999997E-4</v>
      </c>
      <c r="E17" s="6" t="s">
        <v>154</v>
      </c>
      <c r="F17" s="6">
        <v>1</v>
      </c>
      <c r="G17" s="30">
        <v>0</v>
      </c>
      <c r="M17" s="6" t="s">
        <v>5</v>
      </c>
      <c r="N17" s="6">
        <v>12</v>
      </c>
      <c r="O17" s="9">
        <v>2.9999999999999997E-4</v>
      </c>
      <c r="Q17" s="6" t="s">
        <v>95</v>
      </c>
      <c r="R17" s="6">
        <v>1</v>
      </c>
      <c r="S17" s="30">
        <v>0</v>
      </c>
      <c r="Y17" s="6" t="s">
        <v>41</v>
      </c>
      <c r="Z17" s="6">
        <v>33</v>
      </c>
      <c r="AA17" s="9">
        <v>4.0000000000000002E-4</v>
      </c>
      <c r="AC17" s="6" t="s">
        <v>87</v>
      </c>
      <c r="AD17" s="6">
        <v>2</v>
      </c>
      <c r="AE17" s="30">
        <v>0</v>
      </c>
    </row>
    <row r="18" spans="1:31">
      <c r="A18" s="6" t="s">
        <v>10</v>
      </c>
      <c r="B18" s="6">
        <v>36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31</v>
      </c>
      <c r="N18" s="6">
        <v>12</v>
      </c>
      <c r="O18" s="9">
        <v>2.9999999999999997E-4</v>
      </c>
      <c r="Y18" s="6" t="s">
        <v>12</v>
      </c>
      <c r="Z18" s="6">
        <v>19</v>
      </c>
      <c r="AA18" s="9">
        <v>2.9999999999999997E-4</v>
      </c>
      <c r="AC18" s="6" t="s">
        <v>154</v>
      </c>
      <c r="AD18" s="6">
        <v>1</v>
      </c>
      <c r="AE18" s="30">
        <v>0</v>
      </c>
    </row>
    <row r="19" spans="1:31">
      <c r="A19" s="6" t="s">
        <v>31</v>
      </c>
      <c r="B19" s="6">
        <v>35</v>
      </c>
      <c r="C19" s="9">
        <v>2.9999999999999997E-4</v>
      </c>
      <c r="E19" s="6" t="s">
        <v>89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Y19" s="6" t="s">
        <v>14</v>
      </c>
      <c r="Z19" s="6">
        <v>20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21</v>
      </c>
      <c r="B20" s="6">
        <v>20</v>
      </c>
      <c r="C20" s="9">
        <v>2.0000000000000001E-4</v>
      </c>
      <c r="E20" s="6" t="s">
        <v>78</v>
      </c>
      <c r="F20" s="6">
        <v>4</v>
      </c>
      <c r="G20" s="30">
        <v>0</v>
      </c>
      <c r="M20" s="6" t="s">
        <v>37</v>
      </c>
      <c r="N20" s="6">
        <v>10</v>
      </c>
      <c r="O20" s="9">
        <v>2.0000000000000001E-4</v>
      </c>
      <c r="Y20" s="6" t="s">
        <v>31</v>
      </c>
      <c r="Z20" s="6">
        <v>23</v>
      </c>
      <c r="AA20" s="9">
        <v>2.9999999999999997E-4</v>
      </c>
      <c r="AC20" s="6" t="s">
        <v>89</v>
      </c>
      <c r="AD20" s="6">
        <v>1</v>
      </c>
      <c r="AE20" s="30">
        <v>0</v>
      </c>
    </row>
    <row r="21" spans="1:31">
      <c r="A21" s="6" t="s">
        <v>17</v>
      </c>
      <c r="B21" s="6">
        <v>26</v>
      </c>
      <c r="C21" s="9">
        <v>2.0000000000000001E-4</v>
      </c>
      <c r="E21" s="6" t="s">
        <v>120</v>
      </c>
      <c r="F21" s="6">
        <v>3</v>
      </c>
      <c r="G21" s="30">
        <v>0</v>
      </c>
      <c r="M21" s="6" t="s">
        <v>10</v>
      </c>
      <c r="N21" s="6">
        <v>7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1">
      <c r="A22" s="6" t="s">
        <v>46</v>
      </c>
      <c r="B22" s="6">
        <v>18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26</v>
      </c>
      <c r="N22" s="6">
        <v>9</v>
      </c>
      <c r="O22" s="9">
        <v>2.0000000000000001E-4</v>
      </c>
      <c r="Y22" s="6" t="s">
        <v>18</v>
      </c>
      <c r="Z22" s="6">
        <v>16</v>
      </c>
      <c r="AA22" s="9">
        <v>2.0000000000000001E-4</v>
      </c>
      <c r="AC22" s="6" t="s">
        <v>79</v>
      </c>
      <c r="AD22" s="6">
        <v>2</v>
      </c>
      <c r="AE22" s="30">
        <v>0</v>
      </c>
    </row>
    <row r="23" spans="1:31">
      <c r="A23" s="6" t="s">
        <v>29</v>
      </c>
      <c r="B23" s="6">
        <v>25</v>
      </c>
      <c r="C23" s="9">
        <v>2.0000000000000001E-4</v>
      </c>
      <c r="E23" s="6" t="s">
        <v>79</v>
      </c>
      <c r="F23" s="6">
        <v>2</v>
      </c>
      <c r="G23" s="30">
        <v>0</v>
      </c>
      <c r="M23" s="6" t="s">
        <v>29</v>
      </c>
      <c r="N23" s="6">
        <v>8</v>
      </c>
      <c r="O23" s="9">
        <v>2.0000000000000001E-4</v>
      </c>
      <c r="Y23" s="6" t="s">
        <v>46</v>
      </c>
      <c r="Z23" s="6">
        <v>18</v>
      </c>
      <c r="AA23" s="9">
        <v>2.0000000000000001E-4</v>
      </c>
    </row>
    <row r="24" spans="1:31">
      <c r="A24" s="6" t="s">
        <v>12</v>
      </c>
      <c r="B24" s="6">
        <v>21</v>
      </c>
      <c r="C24" s="9">
        <v>2.0000000000000001E-4</v>
      </c>
      <c r="E24" s="6" t="s">
        <v>130</v>
      </c>
      <c r="F24" s="6">
        <v>4</v>
      </c>
      <c r="G24" s="30">
        <v>0</v>
      </c>
      <c r="M24" s="6" t="s">
        <v>19</v>
      </c>
      <c r="N24" s="6">
        <v>3</v>
      </c>
      <c r="O24" s="9">
        <v>1E-4</v>
      </c>
      <c r="Y24" s="6" t="s">
        <v>29</v>
      </c>
      <c r="Z24" s="6">
        <v>17</v>
      </c>
      <c r="AA24" s="9">
        <v>2.0000000000000001E-4</v>
      </c>
    </row>
    <row r="25" spans="1:31">
      <c r="A25" s="6" t="s">
        <v>14</v>
      </c>
      <c r="B25" s="6">
        <v>20</v>
      </c>
      <c r="C25" s="9">
        <v>2.0000000000000001E-4</v>
      </c>
      <c r="E25" s="6" t="s">
        <v>176</v>
      </c>
      <c r="F25" s="6">
        <v>1</v>
      </c>
      <c r="G25" s="30">
        <v>0</v>
      </c>
      <c r="M25" s="6" t="s">
        <v>20</v>
      </c>
      <c r="N25" s="6">
        <v>5</v>
      </c>
      <c r="O25" s="9">
        <v>1E-4</v>
      </c>
      <c r="Y25" s="6" t="s">
        <v>13</v>
      </c>
      <c r="Z25" s="6">
        <v>4</v>
      </c>
      <c r="AA25" s="9">
        <v>1E-4</v>
      </c>
    </row>
    <row r="26" spans="1:31">
      <c r="A26" s="6" t="s">
        <v>20</v>
      </c>
      <c r="B26" s="6">
        <v>15</v>
      </c>
      <c r="C26" s="9">
        <v>1E-4</v>
      </c>
      <c r="E26" s="6" t="s">
        <v>95</v>
      </c>
      <c r="F26" s="6">
        <v>1</v>
      </c>
      <c r="G26" s="30">
        <v>0</v>
      </c>
      <c r="M26" s="6" t="s">
        <v>22</v>
      </c>
      <c r="N26" s="6">
        <v>4</v>
      </c>
      <c r="O26" s="9">
        <v>1E-4</v>
      </c>
      <c r="Y26" s="6" t="s">
        <v>20</v>
      </c>
      <c r="Z26" s="6">
        <v>10</v>
      </c>
      <c r="AA26" s="9">
        <v>1E-4</v>
      </c>
    </row>
    <row r="27" spans="1:31">
      <c r="A27" s="6" t="s">
        <v>37</v>
      </c>
      <c r="B27" s="6">
        <v>16</v>
      </c>
      <c r="C27" s="9">
        <v>1E-4</v>
      </c>
      <c r="M27" s="6" t="s">
        <v>15</v>
      </c>
      <c r="N27" s="6">
        <v>4</v>
      </c>
      <c r="O27" s="9">
        <v>1E-4</v>
      </c>
      <c r="Y27" s="6" t="s">
        <v>37</v>
      </c>
      <c r="Z27" s="6">
        <v>6</v>
      </c>
      <c r="AA27" s="9">
        <v>1E-4</v>
      </c>
    </row>
    <row r="28" spans="1:31">
      <c r="A28" s="6" t="s">
        <v>15</v>
      </c>
      <c r="B28" s="6">
        <v>14</v>
      </c>
      <c r="C28" s="9">
        <v>1E-4</v>
      </c>
      <c r="M28" s="6" t="s">
        <v>30</v>
      </c>
      <c r="N28" s="6">
        <v>4</v>
      </c>
      <c r="O28" s="9">
        <v>1E-4</v>
      </c>
      <c r="Y28" s="6" t="s">
        <v>15</v>
      </c>
      <c r="Z28" s="6">
        <v>10</v>
      </c>
      <c r="AA28" s="9">
        <v>1E-4</v>
      </c>
    </row>
    <row r="29" spans="1:31">
      <c r="A29" s="6" t="s">
        <v>16</v>
      </c>
      <c r="B29" s="6">
        <v>9</v>
      </c>
      <c r="C29" s="9">
        <v>1E-4</v>
      </c>
      <c r="M29" s="6" t="s">
        <v>16</v>
      </c>
      <c r="N29" s="6">
        <v>3</v>
      </c>
      <c r="O29" s="9">
        <v>1E-4</v>
      </c>
      <c r="Y29" s="6" t="s">
        <v>17</v>
      </c>
      <c r="Z29" s="6">
        <v>9</v>
      </c>
      <c r="AA29" s="9">
        <v>1E-4</v>
      </c>
    </row>
    <row r="30" spans="1:31">
      <c r="A30" s="6" t="s">
        <v>22</v>
      </c>
      <c r="B30" s="6">
        <v>8</v>
      </c>
      <c r="C30" s="9">
        <v>1E-4</v>
      </c>
      <c r="M30" s="6" t="s">
        <v>13</v>
      </c>
      <c r="N30" s="6">
        <v>1</v>
      </c>
      <c r="O30" s="30">
        <v>0</v>
      </c>
      <c r="Y30" s="6" t="s">
        <v>16</v>
      </c>
      <c r="Z30" s="6">
        <v>6</v>
      </c>
      <c r="AA30" s="9">
        <v>1E-4</v>
      </c>
    </row>
    <row r="31" spans="1:31">
      <c r="A31" s="6" t="s">
        <v>26</v>
      </c>
      <c r="B31" s="6">
        <v>12</v>
      </c>
      <c r="C31" s="9">
        <v>1E-4</v>
      </c>
      <c r="M31" s="6" t="s">
        <v>45</v>
      </c>
      <c r="N31" s="6">
        <v>1</v>
      </c>
      <c r="O31" s="30">
        <v>0</v>
      </c>
      <c r="Y31" s="6" t="s">
        <v>40</v>
      </c>
      <c r="Z31" s="6">
        <v>5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36</v>
      </c>
      <c r="N32" s="6">
        <v>2</v>
      </c>
      <c r="O32" s="30">
        <v>0</v>
      </c>
      <c r="Y32" s="6" t="s">
        <v>30</v>
      </c>
      <c r="Z32" s="6">
        <v>4</v>
      </c>
      <c r="AA32" s="9">
        <v>1E-4</v>
      </c>
    </row>
    <row r="33" spans="1:27">
      <c r="A33" s="6" t="s">
        <v>27</v>
      </c>
      <c r="B33" s="6">
        <v>10</v>
      </c>
      <c r="C33" s="9">
        <v>1E-4</v>
      </c>
      <c r="M33" s="6" t="s">
        <v>48</v>
      </c>
      <c r="N33" s="6">
        <v>1</v>
      </c>
      <c r="O33" s="30">
        <v>0</v>
      </c>
      <c r="Y33" s="6" t="s">
        <v>22</v>
      </c>
      <c r="Z33" s="6">
        <v>4</v>
      </c>
      <c r="AA33" s="9">
        <v>1E-4</v>
      </c>
    </row>
    <row r="34" spans="1:27">
      <c r="A34" s="6" t="s">
        <v>19</v>
      </c>
      <c r="B34" s="6">
        <v>4</v>
      </c>
      <c r="C34" s="30">
        <v>0</v>
      </c>
      <c r="M34" s="6" t="s">
        <v>12</v>
      </c>
      <c r="N34" s="6">
        <v>2</v>
      </c>
      <c r="O34" s="30">
        <v>0</v>
      </c>
      <c r="Y34" s="6" t="s">
        <v>32</v>
      </c>
      <c r="Z34" s="6">
        <v>5</v>
      </c>
      <c r="AA34" s="9">
        <v>1E-4</v>
      </c>
    </row>
    <row r="35" spans="1:27">
      <c r="A35" s="6" t="s">
        <v>13</v>
      </c>
      <c r="B35" s="6">
        <v>5</v>
      </c>
      <c r="C35" s="30">
        <v>0</v>
      </c>
      <c r="M35" s="6" t="s">
        <v>68</v>
      </c>
      <c r="N35" s="6">
        <v>2</v>
      </c>
      <c r="O35" s="30">
        <v>0</v>
      </c>
      <c r="Y35" s="6" t="s">
        <v>27</v>
      </c>
      <c r="Z35" s="6">
        <v>8</v>
      </c>
      <c r="AA35" s="9">
        <v>1E-4</v>
      </c>
    </row>
    <row r="36" spans="1:27">
      <c r="A36" s="6" t="s">
        <v>115</v>
      </c>
      <c r="B36" s="6">
        <v>2</v>
      </c>
      <c r="C36" s="30">
        <v>0</v>
      </c>
      <c r="M36" s="6" t="s">
        <v>8</v>
      </c>
      <c r="N36" s="6">
        <v>2</v>
      </c>
      <c r="O36" s="30">
        <v>0</v>
      </c>
      <c r="Y36" s="6" t="s">
        <v>66</v>
      </c>
      <c r="Z36" s="6">
        <v>4</v>
      </c>
      <c r="AA36" s="9">
        <v>1E-4</v>
      </c>
    </row>
    <row r="37" spans="1:27">
      <c r="A37" s="6" t="s">
        <v>45</v>
      </c>
      <c r="B37" s="6">
        <v>3</v>
      </c>
      <c r="C37" s="30">
        <v>0</v>
      </c>
      <c r="M37" s="6" t="s">
        <v>43</v>
      </c>
      <c r="N37" s="6">
        <v>1</v>
      </c>
      <c r="O37" s="30">
        <v>0</v>
      </c>
      <c r="Y37" s="6" t="s">
        <v>19</v>
      </c>
      <c r="Z37" s="6">
        <v>1</v>
      </c>
      <c r="AA37" s="30">
        <v>0</v>
      </c>
    </row>
    <row r="38" spans="1:27">
      <c r="A38" s="6" t="s">
        <v>40</v>
      </c>
      <c r="B38" s="6">
        <v>5</v>
      </c>
      <c r="C38" s="30">
        <v>0</v>
      </c>
      <c r="M38" s="6" t="s">
        <v>27</v>
      </c>
      <c r="N38" s="6">
        <v>2</v>
      </c>
      <c r="O38" s="30">
        <v>0</v>
      </c>
      <c r="Y38" s="6" t="s">
        <v>115</v>
      </c>
      <c r="Z38" s="6">
        <v>2</v>
      </c>
      <c r="AA38" s="30">
        <v>0</v>
      </c>
    </row>
    <row r="39" spans="1:27">
      <c r="A39" s="6" t="s">
        <v>48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47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47</v>
      </c>
      <c r="B41" s="6">
        <v>1</v>
      </c>
      <c r="C41" s="30">
        <v>0</v>
      </c>
      <c r="M41" s="6" t="s">
        <v>33</v>
      </c>
      <c r="N41" s="6">
        <v>2</v>
      </c>
      <c r="O41" s="30">
        <v>0</v>
      </c>
      <c r="Y41" s="6" t="s">
        <v>24</v>
      </c>
      <c r="Z41" s="6">
        <v>2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129</v>
      </c>
      <c r="N42" s="6">
        <v>1</v>
      </c>
      <c r="O42" s="30">
        <v>0</v>
      </c>
      <c r="Y42" s="6" t="s">
        <v>38</v>
      </c>
      <c r="Z42" s="6">
        <v>3</v>
      </c>
      <c r="AA42" s="30">
        <v>0</v>
      </c>
    </row>
    <row r="43" spans="1:27">
      <c r="A43" s="6" t="s">
        <v>32</v>
      </c>
      <c r="B43" s="6">
        <v>5</v>
      </c>
      <c r="C43" s="30">
        <v>0</v>
      </c>
      <c r="M43" s="6" t="s">
        <v>25</v>
      </c>
      <c r="N43" s="6">
        <v>1</v>
      </c>
      <c r="O43" s="30">
        <v>0</v>
      </c>
      <c r="Y43" s="6" t="s">
        <v>26</v>
      </c>
      <c r="Z43" s="6">
        <v>3</v>
      </c>
      <c r="AA43" s="30">
        <v>0</v>
      </c>
    </row>
    <row r="44" spans="1:27">
      <c r="A44" s="6" t="s">
        <v>58</v>
      </c>
      <c r="B44" s="6">
        <v>3</v>
      </c>
      <c r="C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68</v>
      </c>
      <c r="B45" s="6">
        <v>4</v>
      </c>
      <c r="C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39</v>
      </c>
      <c r="B46" s="6">
        <v>2</v>
      </c>
      <c r="C46" s="30">
        <v>0</v>
      </c>
      <c r="Y46" s="6" t="s">
        <v>68</v>
      </c>
      <c r="Z46" s="6">
        <v>2</v>
      </c>
      <c r="AA46" s="30">
        <v>0</v>
      </c>
    </row>
    <row r="47" spans="1:27">
      <c r="A47" s="6" t="s">
        <v>38</v>
      </c>
      <c r="B47" s="6">
        <v>3</v>
      </c>
      <c r="C47" s="30">
        <v>0</v>
      </c>
      <c r="Y47" s="6" t="s">
        <v>25</v>
      </c>
      <c r="Z47" s="6">
        <v>2</v>
      </c>
      <c r="AA47" s="30">
        <v>0</v>
      </c>
    </row>
    <row r="48" spans="1:27">
      <c r="A48" s="6" t="s">
        <v>66</v>
      </c>
      <c r="B48" s="6">
        <v>4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33</v>
      </c>
      <c r="B49" s="6">
        <v>5</v>
      </c>
      <c r="C49" s="30">
        <v>0</v>
      </c>
      <c r="Y49" s="6" t="s">
        <v>53</v>
      </c>
      <c r="Z49" s="6">
        <v>1</v>
      </c>
      <c r="AA49" s="30">
        <v>0</v>
      </c>
    </row>
    <row r="50" spans="1:27">
      <c r="A50" s="6" t="s">
        <v>43</v>
      </c>
      <c r="B50" s="6">
        <v>1</v>
      </c>
      <c r="C50" s="30">
        <v>0</v>
      </c>
      <c r="Y50" s="6" t="s">
        <v>42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33</v>
      </c>
      <c r="Z51" s="6">
        <v>3</v>
      </c>
      <c r="AA51" s="30">
        <v>0</v>
      </c>
    </row>
    <row r="52" spans="1:27">
      <c r="A52" s="6" t="s">
        <v>60</v>
      </c>
      <c r="B52" s="6">
        <v>1</v>
      </c>
      <c r="C52" s="30">
        <v>0</v>
      </c>
      <c r="Y52" s="6" t="s">
        <v>28</v>
      </c>
      <c r="Z52" s="6">
        <v>1</v>
      </c>
      <c r="AA52" s="30">
        <v>0</v>
      </c>
    </row>
    <row r="53" spans="1:27">
      <c r="A53" s="6" t="s">
        <v>42</v>
      </c>
      <c r="B53" s="6">
        <v>1</v>
      </c>
      <c r="C53" s="30">
        <v>0</v>
      </c>
      <c r="Y53" s="6" t="s">
        <v>64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53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D5EAA-9DC0-4212-AB3A-4102A49AC933}">
  <sheetPr codeName="Sheet49"/>
  <dimension ref="A1:AI59"/>
  <sheetViews>
    <sheetView topLeftCell="R1" workbookViewId="0">
      <selection activeCell="U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119036</v>
      </c>
      <c r="E2" s="41" t="s">
        <v>4</v>
      </c>
      <c r="F2" s="23" t="s">
        <v>105</v>
      </c>
      <c r="G2" s="23">
        <f>G3+G4</f>
        <v>121987</v>
      </c>
      <c r="H2" s="22"/>
      <c r="I2" s="41" t="s">
        <v>6</v>
      </c>
      <c r="J2" s="23" t="s">
        <v>105</v>
      </c>
      <c r="K2" s="23">
        <f>K3+K4</f>
        <v>123474</v>
      </c>
      <c r="M2" s="41" t="s">
        <v>104</v>
      </c>
      <c r="N2" s="23" t="s">
        <v>105</v>
      </c>
      <c r="O2" s="23">
        <f>O3+O4</f>
        <v>56914</v>
      </c>
      <c r="Q2" s="41" t="s">
        <v>4</v>
      </c>
      <c r="R2" s="23" t="s">
        <v>105</v>
      </c>
      <c r="S2" s="23">
        <f>S3+S4</f>
        <v>56116</v>
      </c>
      <c r="T2" s="22"/>
      <c r="U2" s="41" t="s">
        <v>6</v>
      </c>
      <c r="V2" s="23" t="s">
        <v>105</v>
      </c>
      <c r="W2" s="23">
        <f>W3+W4</f>
        <v>55529</v>
      </c>
      <c r="Y2" s="41" t="s">
        <v>104</v>
      </c>
      <c r="Z2" s="23" t="s">
        <v>105</v>
      </c>
      <c r="AA2" s="23">
        <f>AA3+AA4</f>
        <v>62116</v>
      </c>
      <c r="AC2" s="41" t="s">
        <v>4</v>
      </c>
      <c r="AD2" s="23" t="s">
        <v>105</v>
      </c>
      <c r="AE2" s="23">
        <f>AE3+AE4</f>
        <v>65873</v>
      </c>
      <c r="AF2" s="22"/>
      <c r="AG2" s="41" t="s">
        <v>6</v>
      </c>
      <c r="AH2" s="23" t="s">
        <v>105</v>
      </c>
      <c r="AI2" s="23">
        <f>AI3+AI4</f>
        <v>67947</v>
      </c>
    </row>
    <row r="3" spans="1:35">
      <c r="A3" s="42"/>
      <c r="B3" s="24" t="s">
        <v>106</v>
      </c>
      <c r="C3" s="24">
        <f>B8</f>
        <v>117322</v>
      </c>
      <c r="E3" s="42"/>
      <c r="F3" s="24" t="s">
        <v>106</v>
      </c>
      <c r="G3" s="24">
        <f>F8</f>
        <v>121628</v>
      </c>
      <c r="H3" s="22"/>
      <c r="I3" s="42"/>
      <c r="J3" s="24" t="s">
        <v>106</v>
      </c>
      <c r="K3" s="24">
        <f>J8</f>
        <v>123371</v>
      </c>
      <c r="M3" s="42"/>
      <c r="N3" s="24" t="s">
        <v>106</v>
      </c>
      <c r="O3" s="24">
        <f>N8</f>
        <v>56281</v>
      </c>
      <c r="Q3" s="42"/>
      <c r="R3" s="24" t="s">
        <v>106</v>
      </c>
      <c r="S3" s="24">
        <f>R8</f>
        <v>55982</v>
      </c>
      <c r="T3" s="22"/>
      <c r="U3" s="42"/>
      <c r="V3" s="24" t="s">
        <v>106</v>
      </c>
      <c r="W3" s="24">
        <f>V8</f>
        <v>55478</v>
      </c>
      <c r="Y3" s="42"/>
      <c r="Z3" s="24" t="s">
        <v>106</v>
      </c>
      <c r="AA3" s="24">
        <f>Z8</f>
        <v>61041</v>
      </c>
      <c r="AC3" s="42"/>
      <c r="AD3" s="24" t="s">
        <v>106</v>
      </c>
      <c r="AE3" s="24">
        <f>AD8</f>
        <v>65647</v>
      </c>
      <c r="AF3" s="22"/>
      <c r="AG3" s="42"/>
      <c r="AH3" s="24" t="s">
        <v>106</v>
      </c>
      <c r="AI3" s="24">
        <f>AH8</f>
        <v>67893</v>
      </c>
    </row>
    <row r="4" spans="1:35">
      <c r="A4" s="42"/>
      <c r="B4" s="25" t="s">
        <v>107</v>
      </c>
      <c r="C4" s="25">
        <f>SUM(B9:B66)</f>
        <v>1714</v>
      </c>
      <c r="E4" s="42"/>
      <c r="F4" s="25" t="s">
        <v>107</v>
      </c>
      <c r="G4" s="25">
        <f>SUM(F9:F33)</f>
        <v>359</v>
      </c>
      <c r="H4" s="22"/>
      <c r="I4" s="42"/>
      <c r="J4" s="25" t="s">
        <v>107</v>
      </c>
      <c r="K4" s="25">
        <f>SUM(J9:J31)</f>
        <v>103</v>
      </c>
      <c r="M4" s="42"/>
      <c r="N4" s="25" t="s">
        <v>107</v>
      </c>
      <c r="O4" s="25">
        <f>SUM(N9:N66)</f>
        <v>633</v>
      </c>
      <c r="Q4" s="42"/>
      <c r="R4" s="25" t="s">
        <v>107</v>
      </c>
      <c r="S4" s="25">
        <f>SUM(R9:R33)</f>
        <v>134</v>
      </c>
      <c r="T4" s="22"/>
      <c r="U4" s="42"/>
      <c r="V4" s="25" t="s">
        <v>107</v>
      </c>
      <c r="W4" s="25">
        <f>SUM(V9:V31)</f>
        <v>51</v>
      </c>
      <c r="Y4" s="42"/>
      <c r="Z4" s="25" t="s">
        <v>107</v>
      </c>
      <c r="AA4" s="25">
        <f>SUM(Z9:Z45)</f>
        <v>1075</v>
      </c>
      <c r="AC4" s="42"/>
      <c r="AD4" s="25" t="s">
        <v>107</v>
      </c>
      <c r="AE4" s="25">
        <f>SUM(AD9:AD29)</f>
        <v>226</v>
      </c>
      <c r="AF4" s="22"/>
      <c r="AG4" s="42"/>
      <c r="AH4" s="25" t="s">
        <v>107</v>
      </c>
      <c r="AI4" s="25">
        <f>SUM(AH9:AH29)</f>
        <v>54</v>
      </c>
    </row>
    <row r="5" spans="1:35">
      <c r="A5" s="43"/>
      <c r="B5" s="23" t="s">
        <v>108</v>
      </c>
      <c r="C5" s="26">
        <f>SUM(C9:C179)</f>
        <v>1.4299999999999995E-2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1.1099999999999995E-2</v>
      </c>
      <c r="Q5" s="43"/>
      <c r="R5" s="23" t="s">
        <v>108</v>
      </c>
      <c r="S5" s="26">
        <f>SUM(S9:S33)</f>
        <v>2.2999999999999995E-3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1.719999999999999E-2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117322</v>
      </c>
      <c r="C8" s="9">
        <v>0.98560000000000003</v>
      </c>
      <c r="E8" s="6" t="s">
        <v>112</v>
      </c>
      <c r="F8" s="29">
        <v>121628</v>
      </c>
      <c r="G8" s="9">
        <v>0.99709999999999999</v>
      </c>
      <c r="I8" s="6" t="s">
        <v>112</v>
      </c>
      <c r="J8" s="29">
        <v>123371</v>
      </c>
      <c r="K8" s="9">
        <v>0.99919999999999998</v>
      </c>
      <c r="M8" s="6" t="s">
        <v>112</v>
      </c>
      <c r="N8" s="29">
        <v>56281</v>
      </c>
      <c r="O8" s="9">
        <v>0.9889</v>
      </c>
      <c r="Q8" s="6" t="s">
        <v>112</v>
      </c>
      <c r="R8" s="29">
        <v>55982</v>
      </c>
      <c r="S8" s="9">
        <v>0.99760000000000004</v>
      </c>
      <c r="U8" s="6" t="s">
        <v>112</v>
      </c>
      <c r="V8" s="29">
        <v>55478</v>
      </c>
      <c r="W8" s="9">
        <v>0.99909999999999999</v>
      </c>
      <c r="Y8" s="6" t="s">
        <v>112</v>
      </c>
      <c r="Z8" s="29">
        <v>61041</v>
      </c>
      <c r="AA8" s="9">
        <v>0.98260000000000003</v>
      </c>
      <c r="AC8" s="6" t="s">
        <v>112</v>
      </c>
      <c r="AD8" s="29">
        <v>65647</v>
      </c>
      <c r="AE8" s="9">
        <v>0.99660000000000004</v>
      </c>
      <c r="AG8" s="6" t="s">
        <v>112</v>
      </c>
      <c r="AH8" s="29">
        <v>67893</v>
      </c>
      <c r="AI8" s="9">
        <v>0.99919999999999998</v>
      </c>
    </row>
    <row r="9" spans="1:35">
      <c r="A9" s="6" t="s">
        <v>2</v>
      </c>
      <c r="B9" s="6">
        <v>344</v>
      </c>
      <c r="C9" s="9">
        <v>2.8999999999999998E-3</v>
      </c>
      <c r="E9" s="6" t="s">
        <v>122</v>
      </c>
      <c r="F9" s="6">
        <v>207</v>
      </c>
      <c r="G9" s="9">
        <v>1.6999999999999999E-3</v>
      </c>
      <c r="I9" s="6" t="s">
        <v>2</v>
      </c>
      <c r="J9" s="6">
        <v>35</v>
      </c>
      <c r="K9" s="9">
        <v>2.9999999999999997E-4</v>
      </c>
      <c r="M9" s="6" t="s">
        <v>2</v>
      </c>
      <c r="N9" s="6">
        <v>173</v>
      </c>
      <c r="O9" s="9">
        <v>3.0000000000000001E-3</v>
      </c>
      <c r="Q9" s="6" t="s">
        <v>122</v>
      </c>
      <c r="R9" s="6">
        <v>113</v>
      </c>
      <c r="S9" s="9">
        <v>2E-3</v>
      </c>
      <c r="U9" s="6" t="s">
        <v>98</v>
      </c>
      <c r="V9" s="6">
        <v>19</v>
      </c>
      <c r="W9" s="9">
        <v>2.9999999999999997E-4</v>
      </c>
      <c r="Y9" s="6" t="s">
        <v>8</v>
      </c>
      <c r="Z9" s="6">
        <v>244</v>
      </c>
      <c r="AA9" s="9">
        <v>3.8999999999999998E-3</v>
      </c>
      <c r="AC9" s="6" t="s">
        <v>122</v>
      </c>
      <c r="AD9" s="6">
        <v>94</v>
      </c>
      <c r="AE9" s="9">
        <v>1.4E-3</v>
      </c>
      <c r="AG9" s="6" t="s">
        <v>2</v>
      </c>
      <c r="AH9" s="6">
        <v>22</v>
      </c>
      <c r="AI9" s="9">
        <v>2.9999999999999997E-4</v>
      </c>
    </row>
    <row r="10" spans="1:35">
      <c r="A10" s="6" t="s">
        <v>3</v>
      </c>
      <c r="B10" s="6">
        <v>257</v>
      </c>
      <c r="C10" s="9">
        <v>2.2000000000000001E-3</v>
      </c>
      <c r="E10" s="6" t="s">
        <v>77</v>
      </c>
      <c r="F10" s="6">
        <v>57</v>
      </c>
      <c r="G10" s="9">
        <v>5.0000000000000001E-4</v>
      </c>
      <c r="I10" s="6" t="s">
        <v>98</v>
      </c>
      <c r="J10" s="6">
        <v>26</v>
      </c>
      <c r="K10" s="9">
        <v>2.0000000000000001E-4</v>
      </c>
      <c r="M10" s="6" t="s">
        <v>3</v>
      </c>
      <c r="N10" s="6">
        <v>127</v>
      </c>
      <c r="O10" s="9">
        <v>2.2000000000000001E-3</v>
      </c>
      <c r="Q10" s="6" t="s">
        <v>76</v>
      </c>
      <c r="R10" s="6">
        <v>3</v>
      </c>
      <c r="S10" s="9">
        <v>1E-4</v>
      </c>
      <c r="U10" s="6" t="s">
        <v>2</v>
      </c>
      <c r="V10" s="6">
        <v>13</v>
      </c>
      <c r="W10" s="9">
        <v>2.0000000000000001E-4</v>
      </c>
      <c r="Y10" s="6" t="s">
        <v>9</v>
      </c>
      <c r="Z10" s="6">
        <v>195</v>
      </c>
      <c r="AA10" s="9">
        <v>3.0999999999999999E-3</v>
      </c>
      <c r="AC10" s="6" t="s">
        <v>77</v>
      </c>
      <c r="AD10" s="6">
        <v>53</v>
      </c>
      <c r="AE10" s="9">
        <v>8.0000000000000004E-4</v>
      </c>
      <c r="AG10" s="6" t="s">
        <v>99</v>
      </c>
      <c r="AH10" s="6">
        <v>11</v>
      </c>
      <c r="AI10" s="9">
        <v>2.0000000000000001E-4</v>
      </c>
    </row>
    <row r="11" spans="1:35">
      <c r="A11" s="6" t="s">
        <v>8</v>
      </c>
      <c r="B11" s="6">
        <v>255</v>
      </c>
      <c r="C11" s="9">
        <v>2.0999999999999999E-3</v>
      </c>
      <c r="E11" s="6" t="s">
        <v>83</v>
      </c>
      <c r="F11" s="6">
        <v>46</v>
      </c>
      <c r="G11" s="9">
        <v>4.0000000000000002E-4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55</v>
      </c>
      <c r="O11" s="9">
        <v>1E-3</v>
      </c>
      <c r="Q11" s="6" t="s">
        <v>74</v>
      </c>
      <c r="R11" s="6">
        <v>7</v>
      </c>
      <c r="S11" s="9">
        <v>1E-4</v>
      </c>
      <c r="U11" s="6" t="s">
        <v>102</v>
      </c>
      <c r="V11" s="6">
        <v>4</v>
      </c>
      <c r="W11" s="9">
        <v>1E-4</v>
      </c>
      <c r="Y11" s="6" t="s">
        <v>2</v>
      </c>
      <c r="Z11" s="6">
        <v>171</v>
      </c>
      <c r="AA11" s="9">
        <v>2.8E-3</v>
      </c>
      <c r="AC11" s="6" t="s">
        <v>83</v>
      </c>
      <c r="AD11" s="6">
        <v>46</v>
      </c>
      <c r="AE11" s="9">
        <v>6.9999999999999999E-4</v>
      </c>
      <c r="AG11" s="6" t="s">
        <v>102</v>
      </c>
      <c r="AH11" s="6">
        <v>4</v>
      </c>
      <c r="AI11" s="9">
        <v>1E-4</v>
      </c>
    </row>
    <row r="12" spans="1:35">
      <c r="A12" s="6" t="s">
        <v>9</v>
      </c>
      <c r="B12" s="6">
        <v>205</v>
      </c>
      <c r="C12" s="9">
        <v>1.6999999999999999E-3</v>
      </c>
      <c r="E12" s="6" t="s">
        <v>76</v>
      </c>
      <c r="F12" s="6">
        <v>8</v>
      </c>
      <c r="G12" s="9">
        <v>1E-4</v>
      </c>
      <c r="I12" s="6" t="s">
        <v>99</v>
      </c>
      <c r="J12" s="6">
        <v>18</v>
      </c>
      <c r="K12" s="9">
        <v>1E-4</v>
      </c>
      <c r="M12" s="6" t="s">
        <v>7</v>
      </c>
      <c r="N12" s="6">
        <v>33</v>
      </c>
      <c r="O12" s="9">
        <v>5.9999999999999995E-4</v>
      </c>
      <c r="Q12" s="6" t="s">
        <v>77</v>
      </c>
      <c r="R12" s="6">
        <v>4</v>
      </c>
      <c r="S12" s="9">
        <v>1E-4</v>
      </c>
      <c r="U12" s="6" t="s">
        <v>103</v>
      </c>
      <c r="V12" s="6">
        <v>3</v>
      </c>
      <c r="W12" s="9">
        <v>1E-4</v>
      </c>
      <c r="Y12" s="6" t="s">
        <v>3</v>
      </c>
      <c r="Z12" s="6">
        <v>130</v>
      </c>
      <c r="AA12" s="9">
        <v>2.0999999999999999E-3</v>
      </c>
      <c r="AC12" s="6" t="s">
        <v>76</v>
      </c>
      <c r="AD12" s="6">
        <v>5</v>
      </c>
      <c r="AE12" s="9">
        <v>1E-4</v>
      </c>
      <c r="AG12" s="6" t="s">
        <v>98</v>
      </c>
      <c r="AH12" s="6">
        <v>7</v>
      </c>
      <c r="AI12" s="9">
        <v>1E-4</v>
      </c>
    </row>
    <row r="13" spans="1:35">
      <c r="A13" s="6" t="s">
        <v>41</v>
      </c>
      <c r="B13" s="6">
        <v>77</v>
      </c>
      <c r="C13" s="9">
        <v>5.9999999999999995E-4</v>
      </c>
      <c r="E13" s="6" t="s">
        <v>74</v>
      </c>
      <c r="F13" s="6">
        <v>15</v>
      </c>
      <c r="G13" s="9">
        <v>1E-4</v>
      </c>
      <c r="I13" s="6" t="s">
        <v>117</v>
      </c>
      <c r="J13" s="6">
        <v>5</v>
      </c>
      <c r="K13" s="30">
        <v>0</v>
      </c>
      <c r="M13" s="6" t="s">
        <v>11</v>
      </c>
      <c r="N13" s="6">
        <v>28</v>
      </c>
      <c r="O13" s="9">
        <v>5.0000000000000001E-4</v>
      </c>
      <c r="Q13" s="6" t="s">
        <v>92</v>
      </c>
      <c r="R13" s="6">
        <v>2</v>
      </c>
      <c r="S13" s="30">
        <v>0</v>
      </c>
      <c r="U13" s="6" t="s">
        <v>99</v>
      </c>
      <c r="V13" s="6">
        <v>7</v>
      </c>
      <c r="W13" s="9">
        <v>1E-4</v>
      </c>
      <c r="Y13" s="6" t="s">
        <v>5</v>
      </c>
      <c r="Z13" s="6">
        <v>43</v>
      </c>
      <c r="AA13" s="9">
        <v>6.9999999999999999E-4</v>
      </c>
      <c r="AC13" s="6" t="s">
        <v>74</v>
      </c>
      <c r="AD13" s="6">
        <v>8</v>
      </c>
      <c r="AE13" s="9">
        <v>1E-4</v>
      </c>
      <c r="AG13" s="6" t="s">
        <v>117</v>
      </c>
      <c r="AH13" s="6">
        <v>5</v>
      </c>
      <c r="AI13" s="9">
        <v>1E-4</v>
      </c>
    </row>
    <row r="14" spans="1:35">
      <c r="A14" s="6" t="s">
        <v>11</v>
      </c>
      <c r="B14" s="6">
        <v>72</v>
      </c>
      <c r="C14" s="9">
        <v>5.9999999999999995E-4</v>
      </c>
      <c r="E14" s="6" t="s">
        <v>75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17</v>
      </c>
      <c r="N14" s="6">
        <v>25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44</v>
      </c>
      <c r="AA14" s="9">
        <v>6.9999999999999999E-4</v>
      </c>
      <c r="AC14" s="6" t="s">
        <v>75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71</v>
      </c>
      <c r="C15" s="9">
        <v>5.9999999999999995E-4</v>
      </c>
      <c r="E15" s="6" t="s">
        <v>92</v>
      </c>
      <c r="F15" s="6">
        <v>2</v>
      </c>
      <c r="G15" s="30">
        <v>0</v>
      </c>
      <c r="I15" s="6" t="s">
        <v>103</v>
      </c>
      <c r="J15" s="6">
        <v>4</v>
      </c>
      <c r="K15" s="30">
        <v>0</v>
      </c>
      <c r="M15" s="6" t="s">
        <v>26</v>
      </c>
      <c r="N15" s="6">
        <v>15</v>
      </c>
      <c r="O15" s="9">
        <v>2.9999999999999997E-4</v>
      </c>
      <c r="Q15" s="6" t="s">
        <v>81</v>
      </c>
      <c r="R15" s="6">
        <v>1</v>
      </c>
      <c r="S15" s="30">
        <v>0</v>
      </c>
      <c r="U15" s="6" t="s">
        <v>117</v>
      </c>
      <c r="V15" s="6">
        <v>1</v>
      </c>
      <c r="W15" s="30">
        <v>0</v>
      </c>
      <c r="Y15" s="6" t="s">
        <v>7</v>
      </c>
      <c r="Z15" s="6">
        <v>38</v>
      </c>
      <c r="AA15" s="9">
        <v>5.9999999999999995E-4</v>
      </c>
      <c r="AC15" s="6" t="s">
        <v>79</v>
      </c>
      <c r="AD15" s="6">
        <v>4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5</v>
      </c>
      <c r="B16" s="6">
        <v>55</v>
      </c>
      <c r="C16" s="9">
        <v>5.0000000000000001E-4</v>
      </c>
      <c r="E16" s="6" t="s">
        <v>80</v>
      </c>
      <c r="F16" s="6">
        <v>1</v>
      </c>
      <c r="G16" s="30">
        <v>0</v>
      </c>
      <c r="I16" s="6" t="s">
        <v>113</v>
      </c>
      <c r="J16" s="6">
        <v>6</v>
      </c>
      <c r="K16" s="30">
        <v>0</v>
      </c>
      <c r="M16" s="6" t="s">
        <v>12</v>
      </c>
      <c r="N16" s="6">
        <v>15</v>
      </c>
      <c r="O16" s="9">
        <v>2.9999999999999997E-4</v>
      </c>
      <c r="Q16" s="6" t="s">
        <v>82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41</v>
      </c>
      <c r="Z16" s="6">
        <v>22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113</v>
      </c>
      <c r="AH16" s="6">
        <v>3</v>
      </c>
      <c r="AI16" s="30">
        <v>0</v>
      </c>
    </row>
    <row r="17" spans="1:31">
      <c r="A17" s="6" t="s">
        <v>17</v>
      </c>
      <c r="B17" s="6">
        <v>32</v>
      </c>
      <c r="C17" s="9">
        <v>2.9999999999999997E-4</v>
      </c>
      <c r="E17" s="6" t="s">
        <v>116</v>
      </c>
      <c r="F17" s="6">
        <v>1</v>
      </c>
      <c r="G17" s="30">
        <v>0</v>
      </c>
      <c r="M17" s="6" t="s">
        <v>9</v>
      </c>
      <c r="N17" s="6">
        <v>10</v>
      </c>
      <c r="O17" s="9">
        <v>2.0000000000000001E-4</v>
      </c>
      <c r="Q17" s="6" t="s">
        <v>145</v>
      </c>
      <c r="R17" s="6">
        <v>1</v>
      </c>
      <c r="S17" s="30">
        <v>0</v>
      </c>
      <c r="Y17" s="6" t="s">
        <v>31</v>
      </c>
      <c r="Z17" s="6">
        <v>20</v>
      </c>
      <c r="AA17" s="9">
        <v>2.9999999999999997E-4</v>
      </c>
      <c r="AC17" s="6" t="s">
        <v>80</v>
      </c>
      <c r="AD17" s="6">
        <v>1</v>
      </c>
      <c r="AE17" s="30">
        <v>0</v>
      </c>
    </row>
    <row r="18" spans="1:31">
      <c r="A18" s="6" t="s">
        <v>31</v>
      </c>
      <c r="B18" s="6">
        <v>34</v>
      </c>
      <c r="C18" s="9">
        <v>2.9999999999999997E-4</v>
      </c>
      <c r="E18" s="6" t="s">
        <v>81</v>
      </c>
      <c r="F18" s="6">
        <v>2</v>
      </c>
      <c r="G18" s="30">
        <v>0</v>
      </c>
      <c r="M18" s="6" t="s">
        <v>18</v>
      </c>
      <c r="N18" s="6">
        <v>11</v>
      </c>
      <c r="O18" s="9">
        <v>2.0000000000000001E-4</v>
      </c>
      <c r="Q18" s="6" t="s">
        <v>79</v>
      </c>
      <c r="R18" s="6">
        <v>1</v>
      </c>
      <c r="S18" s="30">
        <v>0</v>
      </c>
      <c r="Y18" s="6" t="s">
        <v>18</v>
      </c>
      <c r="Z18" s="6">
        <v>15</v>
      </c>
      <c r="AA18" s="9">
        <v>2.0000000000000001E-4</v>
      </c>
      <c r="AC18" s="6" t="s">
        <v>81</v>
      </c>
      <c r="AD18" s="6">
        <v>1</v>
      </c>
      <c r="AE18" s="30">
        <v>0</v>
      </c>
    </row>
    <row r="19" spans="1:31">
      <c r="A19" s="6" t="s">
        <v>18</v>
      </c>
      <c r="B19" s="6">
        <v>26</v>
      </c>
      <c r="C19" s="9">
        <v>2.0000000000000001E-4</v>
      </c>
      <c r="E19" s="6" t="s">
        <v>82</v>
      </c>
      <c r="F19" s="6">
        <v>2</v>
      </c>
      <c r="G19" s="30">
        <v>0</v>
      </c>
      <c r="M19" s="6" t="s">
        <v>5</v>
      </c>
      <c r="N19" s="6">
        <v>12</v>
      </c>
      <c r="O19" s="9">
        <v>2.0000000000000001E-4</v>
      </c>
      <c r="Y19" s="6" t="s">
        <v>20</v>
      </c>
      <c r="Z19" s="6">
        <v>15</v>
      </c>
      <c r="AA19" s="9">
        <v>2.0000000000000001E-4</v>
      </c>
      <c r="AC19" s="6" t="s">
        <v>82</v>
      </c>
      <c r="AD19" s="6">
        <v>1</v>
      </c>
      <c r="AE19" s="30">
        <v>0</v>
      </c>
    </row>
    <row r="20" spans="1:31">
      <c r="A20" s="6" t="s">
        <v>21</v>
      </c>
      <c r="B20" s="6">
        <v>19</v>
      </c>
      <c r="C20" s="9">
        <v>2.0000000000000001E-4</v>
      </c>
      <c r="E20" s="6" t="s">
        <v>79</v>
      </c>
      <c r="F20" s="6">
        <v>5</v>
      </c>
      <c r="G20" s="30">
        <v>0</v>
      </c>
      <c r="M20" s="6" t="s">
        <v>29</v>
      </c>
      <c r="N20" s="6">
        <v>14</v>
      </c>
      <c r="O20" s="9">
        <v>2.0000000000000001E-4</v>
      </c>
      <c r="Y20" s="6" t="s">
        <v>21</v>
      </c>
      <c r="Z20" s="6">
        <v>12</v>
      </c>
      <c r="AA20" s="9">
        <v>2.0000000000000001E-4</v>
      </c>
      <c r="AC20" s="6" t="s">
        <v>84</v>
      </c>
      <c r="AD20" s="6">
        <v>2</v>
      </c>
      <c r="AE20" s="30">
        <v>0</v>
      </c>
    </row>
    <row r="21" spans="1:31">
      <c r="A21" s="6" t="s">
        <v>12</v>
      </c>
      <c r="B21" s="6">
        <v>28</v>
      </c>
      <c r="C21" s="9">
        <v>2.0000000000000001E-4</v>
      </c>
      <c r="E21" s="6" t="s">
        <v>145</v>
      </c>
      <c r="F21" s="6">
        <v>1</v>
      </c>
      <c r="G21" s="30">
        <v>0</v>
      </c>
      <c r="M21" s="6" t="s">
        <v>31</v>
      </c>
      <c r="N21" s="6">
        <v>14</v>
      </c>
      <c r="O21" s="9">
        <v>2.0000000000000001E-4</v>
      </c>
      <c r="Y21" s="6" t="s">
        <v>37</v>
      </c>
      <c r="Z21" s="6">
        <v>10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1">
      <c r="A22" s="6" t="s">
        <v>26</v>
      </c>
      <c r="B22" s="6">
        <v>20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10</v>
      </c>
      <c r="N22" s="6">
        <v>10</v>
      </c>
      <c r="O22" s="9">
        <v>2.0000000000000001E-4</v>
      </c>
      <c r="Y22" s="6" t="s">
        <v>12</v>
      </c>
      <c r="Z22" s="6">
        <v>13</v>
      </c>
      <c r="AA22" s="9">
        <v>2.0000000000000001E-4</v>
      </c>
      <c r="AC22" s="6" t="s">
        <v>86</v>
      </c>
      <c r="AD22" s="6">
        <v>1</v>
      </c>
      <c r="AE22" s="30">
        <v>0</v>
      </c>
    </row>
    <row r="23" spans="1:31">
      <c r="A23" s="6" t="s">
        <v>29</v>
      </c>
      <c r="B23" s="6">
        <v>23</v>
      </c>
      <c r="C23" s="9">
        <v>2.0000000000000001E-4</v>
      </c>
      <c r="E23" s="6" t="s">
        <v>78</v>
      </c>
      <c r="F23" s="6">
        <v>1</v>
      </c>
      <c r="G23" s="30">
        <v>0</v>
      </c>
      <c r="M23" s="6" t="s">
        <v>8</v>
      </c>
      <c r="N23" s="6">
        <v>11</v>
      </c>
      <c r="O23" s="9">
        <v>2.0000000000000001E-4</v>
      </c>
      <c r="Y23" s="6" t="s">
        <v>14</v>
      </c>
      <c r="Z23" s="6">
        <v>12</v>
      </c>
      <c r="AA23" s="9">
        <v>2.0000000000000001E-4</v>
      </c>
      <c r="AC23" s="6" t="s">
        <v>95</v>
      </c>
      <c r="AD23" s="6">
        <v>1</v>
      </c>
      <c r="AE23" s="30">
        <v>0</v>
      </c>
    </row>
    <row r="24" spans="1:31">
      <c r="A24" s="6" t="s">
        <v>10</v>
      </c>
      <c r="B24" s="6">
        <v>18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19</v>
      </c>
      <c r="N24" s="6">
        <v>4</v>
      </c>
      <c r="O24" s="9">
        <v>1E-4</v>
      </c>
      <c r="Y24" s="6" t="s">
        <v>19</v>
      </c>
      <c r="Z24" s="6">
        <v>4</v>
      </c>
      <c r="AA24" s="9">
        <v>1E-4</v>
      </c>
    </row>
    <row r="25" spans="1:31">
      <c r="A25" s="6" t="s">
        <v>19</v>
      </c>
      <c r="B25" s="6">
        <v>8</v>
      </c>
      <c r="C25" s="9">
        <v>1E-4</v>
      </c>
      <c r="E25" s="6" t="s">
        <v>95</v>
      </c>
      <c r="F25" s="6">
        <v>1</v>
      </c>
      <c r="G25" s="30">
        <v>0</v>
      </c>
      <c r="M25" s="6" t="s">
        <v>67</v>
      </c>
      <c r="N25" s="6">
        <v>3</v>
      </c>
      <c r="O25" s="9">
        <v>1E-4</v>
      </c>
      <c r="Y25" s="6" t="s">
        <v>46</v>
      </c>
      <c r="Z25" s="6">
        <v>4</v>
      </c>
      <c r="AA25" s="9">
        <v>1E-4</v>
      </c>
    </row>
    <row r="26" spans="1:31">
      <c r="A26" s="6" t="s">
        <v>20</v>
      </c>
      <c r="B26" s="6">
        <v>17</v>
      </c>
      <c r="C26" s="9">
        <v>1E-4</v>
      </c>
      <c r="M26" s="6" t="s">
        <v>21</v>
      </c>
      <c r="N26" s="6">
        <v>7</v>
      </c>
      <c r="O26" s="9">
        <v>1E-4</v>
      </c>
      <c r="Y26" s="6" t="s">
        <v>34</v>
      </c>
      <c r="Z26" s="6">
        <v>4</v>
      </c>
      <c r="AA26" s="9">
        <v>1E-4</v>
      </c>
    </row>
    <row r="27" spans="1:31">
      <c r="A27" s="6" t="s">
        <v>13</v>
      </c>
      <c r="B27" s="6">
        <v>9</v>
      </c>
      <c r="C27" s="9">
        <v>1E-4</v>
      </c>
      <c r="M27" s="6" t="s">
        <v>22</v>
      </c>
      <c r="N27" s="6">
        <v>7</v>
      </c>
      <c r="O27" s="9">
        <v>1E-4</v>
      </c>
      <c r="Y27" s="6" t="s">
        <v>13</v>
      </c>
      <c r="Z27" s="6">
        <v>9</v>
      </c>
      <c r="AA27" s="9">
        <v>1E-4</v>
      </c>
    </row>
    <row r="28" spans="1:31">
      <c r="A28" s="6" t="s">
        <v>37</v>
      </c>
      <c r="B28" s="6">
        <v>13</v>
      </c>
      <c r="C28" s="9">
        <v>1E-4</v>
      </c>
      <c r="M28" s="6" t="s">
        <v>15</v>
      </c>
      <c r="N28" s="6">
        <v>5</v>
      </c>
      <c r="O28" s="9">
        <v>1E-4</v>
      </c>
      <c r="Y28" s="6" t="s">
        <v>10</v>
      </c>
      <c r="Z28" s="6">
        <v>8</v>
      </c>
      <c r="AA28" s="9">
        <v>1E-4</v>
      </c>
    </row>
    <row r="29" spans="1:31">
      <c r="A29" s="6" t="s">
        <v>22</v>
      </c>
      <c r="B29" s="6">
        <v>12</v>
      </c>
      <c r="C29" s="9">
        <v>1E-4</v>
      </c>
      <c r="M29" s="6" t="s">
        <v>16</v>
      </c>
      <c r="N29" s="6">
        <v>3</v>
      </c>
      <c r="O29" s="9">
        <v>1E-4</v>
      </c>
      <c r="Y29" s="6" t="s">
        <v>17</v>
      </c>
      <c r="Z29" s="6">
        <v>7</v>
      </c>
      <c r="AA29" s="9">
        <v>1E-4</v>
      </c>
    </row>
    <row r="30" spans="1:31">
      <c r="A30" s="6" t="s">
        <v>14</v>
      </c>
      <c r="B30" s="6">
        <v>12</v>
      </c>
      <c r="C30" s="9">
        <v>1E-4</v>
      </c>
      <c r="M30" s="6" t="s">
        <v>40</v>
      </c>
      <c r="N30" s="6">
        <v>6</v>
      </c>
      <c r="O30" s="9">
        <v>1E-4</v>
      </c>
      <c r="Y30" s="6" t="s">
        <v>29</v>
      </c>
      <c r="Z30" s="6">
        <v>9</v>
      </c>
      <c r="AA30" s="9">
        <v>1E-4</v>
      </c>
    </row>
    <row r="31" spans="1:31">
      <c r="A31" s="6" t="s">
        <v>40</v>
      </c>
      <c r="B31" s="6">
        <v>11</v>
      </c>
      <c r="C31" s="9">
        <v>1E-4</v>
      </c>
      <c r="M31" s="6" t="s">
        <v>42</v>
      </c>
      <c r="N31" s="6">
        <v>5</v>
      </c>
      <c r="O31" s="9">
        <v>1E-4</v>
      </c>
      <c r="Y31" s="6" t="s">
        <v>40</v>
      </c>
      <c r="Z31" s="6">
        <v>5</v>
      </c>
      <c r="AA31" s="9">
        <v>1E-4</v>
      </c>
    </row>
    <row r="32" spans="1:31">
      <c r="A32" s="6" t="s">
        <v>24</v>
      </c>
      <c r="B32" s="6">
        <v>7</v>
      </c>
      <c r="C32" s="9">
        <v>1E-4</v>
      </c>
      <c r="M32" s="6" t="s">
        <v>30</v>
      </c>
      <c r="N32" s="6">
        <v>4</v>
      </c>
      <c r="O32" s="9">
        <v>1E-4</v>
      </c>
      <c r="Y32" s="6" t="s">
        <v>22</v>
      </c>
      <c r="Z32" s="6">
        <v>5</v>
      </c>
      <c r="AA32" s="9">
        <v>1E-4</v>
      </c>
    </row>
    <row r="33" spans="1:27">
      <c r="A33" s="6" t="s">
        <v>30</v>
      </c>
      <c r="B33" s="6">
        <v>8</v>
      </c>
      <c r="C33" s="9">
        <v>1E-4</v>
      </c>
      <c r="M33" s="6" t="s">
        <v>37</v>
      </c>
      <c r="N33" s="6">
        <v>3</v>
      </c>
      <c r="O33" s="9">
        <v>1E-4</v>
      </c>
      <c r="Y33" s="6" t="s">
        <v>26</v>
      </c>
      <c r="Z33" s="6">
        <v>5</v>
      </c>
      <c r="AA33" s="9">
        <v>1E-4</v>
      </c>
    </row>
    <row r="34" spans="1:27">
      <c r="A34" s="6" t="s">
        <v>15</v>
      </c>
      <c r="B34" s="6">
        <v>6</v>
      </c>
      <c r="C34" s="9">
        <v>1E-4</v>
      </c>
      <c r="M34" s="6" t="s">
        <v>24</v>
      </c>
      <c r="N34" s="6">
        <v>4</v>
      </c>
      <c r="O34" s="9">
        <v>1E-4</v>
      </c>
      <c r="Y34" s="6" t="s">
        <v>27</v>
      </c>
      <c r="Z34" s="6">
        <v>6</v>
      </c>
      <c r="AA34" s="9">
        <v>1E-4</v>
      </c>
    </row>
    <row r="35" spans="1:27">
      <c r="A35" s="6" t="s">
        <v>27</v>
      </c>
      <c r="B35" s="6">
        <v>10</v>
      </c>
      <c r="C35" s="9">
        <v>1E-4</v>
      </c>
      <c r="M35" s="6" t="s">
        <v>27</v>
      </c>
      <c r="N35" s="6">
        <v>4</v>
      </c>
      <c r="O35" s="9">
        <v>1E-4</v>
      </c>
      <c r="Y35" s="6" t="s">
        <v>30</v>
      </c>
      <c r="Z35" s="6">
        <v>4</v>
      </c>
      <c r="AA35" s="9">
        <v>1E-4</v>
      </c>
    </row>
    <row r="36" spans="1:27">
      <c r="A36" s="6" t="s">
        <v>25</v>
      </c>
      <c r="B36" s="6">
        <v>7</v>
      </c>
      <c r="C36" s="9">
        <v>1E-4</v>
      </c>
      <c r="M36" s="6" t="s">
        <v>25</v>
      </c>
      <c r="N36" s="6">
        <v>4</v>
      </c>
      <c r="O36" s="9">
        <v>1E-4</v>
      </c>
      <c r="Y36" s="6" t="s">
        <v>38</v>
      </c>
      <c r="Z36" s="6">
        <v>4</v>
      </c>
      <c r="AA36" s="9">
        <v>1E-4</v>
      </c>
    </row>
    <row r="37" spans="1:27">
      <c r="A37" s="6" t="s">
        <v>39</v>
      </c>
      <c r="B37" s="6">
        <v>7</v>
      </c>
      <c r="C37" s="9">
        <v>1E-4</v>
      </c>
      <c r="M37" s="6" t="s">
        <v>39</v>
      </c>
      <c r="N37" s="6">
        <v>3</v>
      </c>
      <c r="O37" s="9">
        <v>1E-4</v>
      </c>
      <c r="Y37" s="6" t="s">
        <v>39</v>
      </c>
      <c r="Z37" s="6">
        <v>4</v>
      </c>
      <c r="AA37" s="9">
        <v>1E-4</v>
      </c>
    </row>
    <row r="38" spans="1:27">
      <c r="A38" s="6" t="s">
        <v>46</v>
      </c>
      <c r="B38" s="6">
        <v>4</v>
      </c>
      <c r="C38" s="30">
        <v>0</v>
      </c>
      <c r="M38" s="6" t="s">
        <v>20</v>
      </c>
      <c r="N38" s="6">
        <v>2</v>
      </c>
      <c r="O38" s="30">
        <v>0</v>
      </c>
      <c r="Y38" s="6" t="s">
        <v>45</v>
      </c>
      <c r="Z38" s="6">
        <v>1</v>
      </c>
      <c r="AA38" s="30">
        <v>0</v>
      </c>
    </row>
    <row r="39" spans="1:27">
      <c r="A39" s="6" t="s">
        <v>34</v>
      </c>
      <c r="B39" s="6">
        <v>5</v>
      </c>
      <c r="C39" s="30">
        <v>0</v>
      </c>
      <c r="M39" s="6" t="s">
        <v>65</v>
      </c>
      <c r="N39" s="6">
        <v>1</v>
      </c>
      <c r="O39" s="30">
        <v>0</v>
      </c>
      <c r="Y39" s="6" t="s">
        <v>36</v>
      </c>
      <c r="Z39" s="6">
        <v>1</v>
      </c>
      <c r="AA39" s="30">
        <v>0</v>
      </c>
    </row>
    <row r="40" spans="1:27">
      <c r="A40" s="6" t="s">
        <v>67</v>
      </c>
      <c r="B40" s="6">
        <v>4</v>
      </c>
      <c r="C40" s="30">
        <v>0</v>
      </c>
      <c r="M40" s="6" t="s">
        <v>34</v>
      </c>
      <c r="N40" s="6">
        <v>1</v>
      </c>
      <c r="O40" s="30">
        <v>0</v>
      </c>
      <c r="Y40" s="6" t="s">
        <v>24</v>
      </c>
      <c r="Z40" s="6">
        <v>3</v>
      </c>
      <c r="AA40" s="30">
        <v>0</v>
      </c>
    </row>
    <row r="41" spans="1:27">
      <c r="A41" s="6" t="s">
        <v>65</v>
      </c>
      <c r="B41" s="6">
        <v>1</v>
      </c>
      <c r="C41" s="30">
        <v>0</v>
      </c>
      <c r="M41" s="6" t="s">
        <v>45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45</v>
      </c>
      <c r="B42" s="6">
        <v>2</v>
      </c>
      <c r="C42" s="30">
        <v>0</v>
      </c>
      <c r="M42" s="6" t="s">
        <v>36</v>
      </c>
      <c r="N42" s="6">
        <v>2</v>
      </c>
      <c r="O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47</v>
      </c>
      <c r="N43" s="6">
        <v>2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121</v>
      </c>
      <c r="B44" s="6">
        <v>1</v>
      </c>
      <c r="C44" s="30">
        <v>0</v>
      </c>
      <c r="M44" s="6" t="s">
        <v>48</v>
      </c>
      <c r="N44" s="6">
        <v>1</v>
      </c>
      <c r="O44" s="30">
        <v>0</v>
      </c>
      <c r="Y44" s="6" t="s">
        <v>25</v>
      </c>
      <c r="Z44" s="6">
        <v>3</v>
      </c>
      <c r="AA44" s="30">
        <v>0</v>
      </c>
    </row>
    <row r="45" spans="1:27">
      <c r="A45" s="6" t="s">
        <v>47</v>
      </c>
      <c r="B45" s="6">
        <v>2</v>
      </c>
      <c r="C45" s="30">
        <v>0</v>
      </c>
      <c r="M45" s="6" t="s">
        <v>62</v>
      </c>
      <c r="N45" s="6">
        <v>1</v>
      </c>
      <c r="O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160</v>
      </c>
      <c r="B46" s="6">
        <v>1</v>
      </c>
      <c r="C46" s="30">
        <v>0</v>
      </c>
      <c r="M46" s="6" t="s">
        <v>160</v>
      </c>
      <c r="N46" s="6">
        <v>1</v>
      </c>
      <c r="O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62</v>
      </c>
      <c r="B47" s="6">
        <v>1</v>
      </c>
      <c r="C47" s="30">
        <v>0</v>
      </c>
      <c r="M47" s="6" t="s">
        <v>58</v>
      </c>
      <c r="N47" s="6">
        <v>2</v>
      </c>
      <c r="O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48</v>
      </c>
      <c r="B48" s="6">
        <v>2</v>
      </c>
      <c r="C48" s="30">
        <v>0</v>
      </c>
      <c r="M48" s="6" t="s">
        <v>156</v>
      </c>
      <c r="N48" s="6">
        <v>1</v>
      </c>
      <c r="O48" s="30">
        <v>0</v>
      </c>
      <c r="Y48" s="6" t="s">
        <v>15</v>
      </c>
      <c r="Z48" s="6">
        <v>1</v>
      </c>
      <c r="AA48" s="30">
        <v>0</v>
      </c>
    </row>
    <row r="49" spans="1:27">
      <c r="A49" s="6" t="s">
        <v>16</v>
      </c>
      <c r="B49" s="6">
        <v>3</v>
      </c>
      <c r="C49" s="30">
        <v>0</v>
      </c>
      <c r="M49" s="6" t="s">
        <v>38</v>
      </c>
      <c r="N49" s="6">
        <v>1</v>
      </c>
      <c r="O49" s="30">
        <v>0</v>
      </c>
      <c r="Y49" s="6" t="s">
        <v>124</v>
      </c>
      <c r="Z49" s="6">
        <v>1</v>
      </c>
      <c r="AA49" s="30">
        <v>0</v>
      </c>
    </row>
    <row r="50" spans="1:27">
      <c r="A50" s="6" t="s">
        <v>42</v>
      </c>
      <c r="B50" s="6">
        <v>5</v>
      </c>
      <c r="C50" s="30">
        <v>0</v>
      </c>
      <c r="M50" s="6" t="s">
        <v>68</v>
      </c>
      <c r="N50" s="6">
        <v>1</v>
      </c>
      <c r="O50" s="30">
        <v>0</v>
      </c>
      <c r="Y50" s="6" t="s">
        <v>53</v>
      </c>
      <c r="Z50" s="6">
        <v>1</v>
      </c>
      <c r="AA50" s="30">
        <v>0</v>
      </c>
    </row>
    <row r="51" spans="1:27">
      <c r="A51" s="6" t="s">
        <v>38</v>
      </c>
      <c r="B51" s="6">
        <v>5</v>
      </c>
      <c r="C51" s="30">
        <v>0</v>
      </c>
      <c r="M51" s="6" t="s">
        <v>64</v>
      </c>
      <c r="N51" s="6">
        <v>1</v>
      </c>
      <c r="O51" s="30">
        <v>0</v>
      </c>
      <c r="Y51" s="6" t="s">
        <v>33</v>
      </c>
      <c r="Z51" s="6">
        <v>1</v>
      </c>
      <c r="AA51" s="30">
        <v>0</v>
      </c>
    </row>
    <row r="52" spans="1:27">
      <c r="A52" s="6" t="s">
        <v>58</v>
      </c>
      <c r="B52" s="6">
        <v>4</v>
      </c>
      <c r="C52" s="30">
        <v>0</v>
      </c>
    </row>
    <row r="53" spans="1:27">
      <c r="A53" s="6" t="s">
        <v>156</v>
      </c>
      <c r="B53" s="6">
        <v>1</v>
      </c>
      <c r="C53" s="30">
        <v>0</v>
      </c>
    </row>
    <row r="54" spans="1:27">
      <c r="A54" s="6" t="s">
        <v>64</v>
      </c>
      <c r="B54" s="6">
        <v>2</v>
      </c>
      <c r="C54" s="30">
        <v>0</v>
      </c>
    </row>
    <row r="55" spans="1:27">
      <c r="A55" s="6" t="s">
        <v>32</v>
      </c>
      <c r="B55" s="6">
        <v>1</v>
      </c>
      <c r="C55" s="30">
        <v>0</v>
      </c>
    </row>
    <row r="56" spans="1:27">
      <c r="A56" s="6" t="s">
        <v>68</v>
      </c>
      <c r="B56" s="6">
        <v>1</v>
      </c>
      <c r="C56" s="30">
        <v>0</v>
      </c>
    </row>
    <row r="57" spans="1:27">
      <c r="A57" s="6" t="s">
        <v>53</v>
      </c>
      <c r="B57" s="6">
        <v>1</v>
      </c>
      <c r="C57" s="30">
        <v>0</v>
      </c>
    </row>
    <row r="58" spans="1:27">
      <c r="A58" s="6" t="s">
        <v>124</v>
      </c>
      <c r="B58" s="6">
        <v>1</v>
      </c>
      <c r="C58" s="30">
        <v>0</v>
      </c>
    </row>
    <row r="59" spans="1:27">
      <c r="A59" s="6" t="s">
        <v>33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49A1-49D6-4CCD-AF25-D2E55D242A4D}">
  <sheetPr codeName="Sheet50"/>
  <dimension ref="A1:AI64"/>
  <sheetViews>
    <sheetView topLeftCell="R1" workbookViewId="0">
      <selection activeCell="U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123777</v>
      </c>
      <c r="E2" s="41" t="s">
        <v>4</v>
      </c>
      <c r="F2" s="23" t="s">
        <v>105</v>
      </c>
      <c r="G2" s="23">
        <f>G3+G4</f>
        <v>123151</v>
      </c>
      <c r="H2" s="22"/>
      <c r="I2" s="41" t="s">
        <v>6</v>
      </c>
      <c r="J2" s="23" t="s">
        <v>105</v>
      </c>
      <c r="K2" s="23">
        <f>K3+K4</f>
        <v>122307</v>
      </c>
      <c r="M2" s="41" t="s">
        <v>104</v>
      </c>
      <c r="N2" s="23" t="s">
        <v>105</v>
      </c>
      <c r="O2" s="23">
        <f>O3+O4</f>
        <v>44740</v>
      </c>
      <c r="Q2" s="41" t="s">
        <v>4</v>
      </c>
      <c r="R2" s="23" t="s">
        <v>105</v>
      </c>
      <c r="S2" s="23">
        <f>S3+S4</f>
        <v>48980</v>
      </c>
      <c r="T2" s="22"/>
      <c r="U2" s="41" t="s">
        <v>6</v>
      </c>
      <c r="V2" s="23" t="s">
        <v>105</v>
      </c>
      <c r="W2" s="23">
        <f>W3+W4</f>
        <v>50742</v>
      </c>
      <c r="Y2" s="41" t="s">
        <v>104</v>
      </c>
      <c r="Z2" s="23" t="s">
        <v>105</v>
      </c>
      <c r="AA2" s="23">
        <f>AA3+AA4</f>
        <v>79020</v>
      </c>
      <c r="AC2" s="41" t="s">
        <v>4</v>
      </c>
      <c r="AD2" s="23" t="s">
        <v>105</v>
      </c>
      <c r="AE2" s="23">
        <f>AE3+AE4</f>
        <v>74173</v>
      </c>
      <c r="AF2" s="22"/>
      <c r="AG2" s="41" t="s">
        <v>6</v>
      </c>
      <c r="AH2" s="23" t="s">
        <v>105</v>
      </c>
      <c r="AI2" s="23">
        <f>AI3+AI4</f>
        <v>71613</v>
      </c>
    </row>
    <row r="3" spans="1:35">
      <c r="A3" s="42"/>
      <c r="B3" s="24" t="s">
        <v>106</v>
      </c>
      <c r="C3" s="24">
        <f>B8</f>
        <v>122050</v>
      </c>
      <c r="E3" s="42"/>
      <c r="F3" s="24" t="s">
        <v>106</v>
      </c>
      <c r="G3" s="24">
        <f>F8</f>
        <v>122795</v>
      </c>
      <c r="H3" s="22"/>
      <c r="I3" s="42"/>
      <c r="J3" s="24" t="s">
        <v>106</v>
      </c>
      <c r="K3" s="24">
        <f>J8</f>
        <v>122210</v>
      </c>
      <c r="M3" s="42"/>
      <c r="N3" s="24" t="s">
        <v>106</v>
      </c>
      <c r="O3" s="24">
        <f>N8</f>
        <v>44269</v>
      </c>
      <c r="Q3" s="42"/>
      <c r="R3" s="24" t="s">
        <v>106</v>
      </c>
      <c r="S3" s="24">
        <f>R8</f>
        <v>48873</v>
      </c>
      <c r="T3" s="22"/>
      <c r="U3" s="42"/>
      <c r="V3" s="24" t="s">
        <v>106</v>
      </c>
      <c r="W3" s="24">
        <f>V8</f>
        <v>50705</v>
      </c>
      <c r="Y3" s="42"/>
      <c r="Z3" s="24" t="s">
        <v>106</v>
      </c>
      <c r="AA3" s="24">
        <f>Z8</f>
        <v>77781</v>
      </c>
      <c r="AC3" s="42"/>
      <c r="AD3" s="24" t="s">
        <v>106</v>
      </c>
      <c r="AE3" s="24">
        <f>AD8</f>
        <v>73922</v>
      </c>
      <c r="AF3" s="22"/>
      <c r="AG3" s="42"/>
      <c r="AH3" s="24" t="s">
        <v>106</v>
      </c>
      <c r="AI3" s="24">
        <f>AH8</f>
        <v>71506</v>
      </c>
    </row>
    <row r="4" spans="1:35">
      <c r="A4" s="42"/>
      <c r="B4" s="25" t="s">
        <v>107</v>
      </c>
      <c r="C4" s="25">
        <f>SUM(B9:B66)</f>
        <v>1727</v>
      </c>
      <c r="E4" s="42"/>
      <c r="F4" s="25" t="s">
        <v>107</v>
      </c>
      <c r="G4" s="25">
        <f>SUM(F9:F33)</f>
        <v>356</v>
      </c>
      <c r="H4" s="22"/>
      <c r="I4" s="42"/>
      <c r="J4" s="25" t="s">
        <v>107</v>
      </c>
      <c r="K4" s="25">
        <f>SUM(J9:J31)</f>
        <v>97</v>
      </c>
      <c r="M4" s="42"/>
      <c r="N4" s="25" t="s">
        <v>107</v>
      </c>
      <c r="O4" s="25">
        <f>SUM(N9:N66)</f>
        <v>471</v>
      </c>
      <c r="Q4" s="42"/>
      <c r="R4" s="25" t="s">
        <v>107</v>
      </c>
      <c r="S4" s="25">
        <f>SUM(R9:R33)</f>
        <v>107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1239</v>
      </c>
      <c r="AC4" s="42"/>
      <c r="AD4" s="25" t="s">
        <v>107</v>
      </c>
      <c r="AE4" s="25">
        <f>SUM(AD9:AD29)</f>
        <v>251</v>
      </c>
      <c r="AF4" s="22"/>
      <c r="AG4" s="42"/>
      <c r="AH4" s="25" t="s">
        <v>107</v>
      </c>
      <c r="AI4" s="25">
        <f>SUM(AH9:AH29)</f>
        <v>107</v>
      </c>
    </row>
    <row r="5" spans="1:35">
      <c r="A5" s="43"/>
      <c r="B5" s="23" t="s">
        <v>108</v>
      </c>
      <c r="C5" s="26">
        <f>SUM(C9:C179)</f>
        <v>1.3999999999999992E-2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9.8999999999999973E-3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1.6099999999999993E-2</v>
      </c>
      <c r="AC5" s="43"/>
      <c r="AD5" s="23" t="s">
        <v>108</v>
      </c>
      <c r="AE5" s="26">
        <f>SUM(AE9:AE29)</f>
        <v>3.1999999999999997E-3</v>
      </c>
      <c r="AF5" s="22"/>
      <c r="AG5" s="43"/>
      <c r="AH5" s="23" t="s">
        <v>108</v>
      </c>
      <c r="AI5" s="26">
        <f>SUM(AI9:AI29)</f>
        <v>1.5000000000000002E-3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122050</v>
      </c>
      <c r="C8" s="9">
        <v>0.98599999999999999</v>
      </c>
      <c r="E8" s="6" t="s">
        <v>112</v>
      </c>
      <c r="F8" s="29">
        <v>122795</v>
      </c>
      <c r="G8" s="9">
        <v>0.99709999999999999</v>
      </c>
      <c r="I8" s="6" t="s">
        <v>112</v>
      </c>
      <c r="J8" s="29">
        <v>122210</v>
      </c>
      <c r="K8" s="9">
        <v>0.99919999999999998</v>
      </c>
      <c r="M8" s="6" t="s">
        <v>112</v>
      </c>
      <c r="N8" s="29">
        <v>44269</v>
      </c>
      <c r="O8" s="9">
        <v>0.98950000000000005</v>
      </c>
      <c r="Q8" s="6" t="s">
        <v>112</v>
      </c>
      <c r="R8" s="29">
        <v>48873</v>
      </c>
      <c r="S8" s="9">
        <v>0.99780000000000002</v>
      </c>
      <c r="U8" s="6" t="s">
        <v>112</v>
      </c>
      <c r="V8" s="29">
        <v>50705</v>
      </c>
      <c r="W8" s="9">
        <v>0.99929999999999997</v>
      </c>
      <c r="Y8" s="6" t="s">
        <v>112</v>
      </c>
      <c r="Z8" s="29">
        <v>77781</v>
      </c>
      <c r="AA8" s="9">
        <v>0.98409999999999997</v>
      </c>
      <c r="AC8" s="6" t="s">
        <v>112</v>
      </c>
      <c r="AD8" s="29">
        <v>73922</v>
      </c>
      <c r="AE8" s="9">
        <v>0.99660000000000004</v>
      </c>
      <c r="AG8" s="6" t="s">
        <v>112</v>
      </c>
      <c r="AH8" s="29">
        <v>71506</v>
      </c>
      <c r="AI8" s="9">
        <v>0.99850000000000005</v>
      </c>
    </row>
    <row r="9" spans="1:35">
      <c r="A9" s="6" t="s">
        <v>2</v>
      </c>
      <c r="B9" s="6">
        <v>390</v>
      </c>
      <c r="C9" s="9">
        <v>3.2000000000000002E-3</v>
      </c>
      <c r="E9" s="6" t="s">
        <v>122</v>
      </c>
      <c r="F9" s="6">
        <v>180</v>
      </c>
      <c r="G9" s="9">
        <v>1.5E-3</v>
      </c>
      <c r="I9" s="6" t="s">
        <v>2</v>
      </c>
      <c r="J9" s="6">
        <v>39</v>
      </c>
      <c r="K9" s="9">
        <v>2.9999999999999997E-4</v>
      </c>
      <c r="M9" s="6" t="s">
        <v>2</v>
      </c>
      <c r="N9" s="6">
        <v>121</v>
      </c>
      <c r="O9" s="9">
        <v>2.7000000000000001E-3</v>
      </c>
      <c r="Q9" s="6" t="s">
        <v>122</v>
      </c>
      <c r="R9" s="6">
        <v>85</v>
      </c>
      <c r="S9" s="9">
        <v>1.6999999999999999E-3</v>
      </c>
      <c r="U9" s="6" t="s">
        <v>98</v>
      </c>
      <c r="V9" s="6">
        <v>9</v>
      </c>
      <c r="W9" s="9">
        <v>2.0000000000000001E-4</v>
      </c>
      <c r="Y9" s="6" t="s">
        <v>2</v>
      </c>
      <c r="Z9" s="6">
        <v>269</v>
      </c>
      <c r="AA9" s="9">
        <v>3.3999999999999998E-3</v>
      </c>
      <c r="AC9" s="6" t="s">
        <v>122</v>
      </c>
      <c r="AD9" s="6">
        <v>95</v>
      </c>
      <c r="AE9" s="9">
        <v>1.2999999999999999E-3</v>
      </c>
      <c r="AG9" s="6" t="s">
        <v>103</v>
      </c>
      <c r="AH9" s="6">
        <v>44</v>
      </c>
      <c r="AI9" s="9">
        <v>5.9999999999999995E-4</v>
      </c>
    </row>
    <row r="10" spans="1:35">
      <c r="A10" s="6" t="s">
        <v>9</v>
      </c>
      <c r="B10" s="6">
        <v>263</v>
      </c>
      <c r="C10" s="9">
        <v>2.0999999999999999E-3</v>
      </c>
      <c r="E10" s="6" t="s">
        <v>77</v>
      </c>
      <c r="F10" s="6">
        <v>67</v>
      </c>
      <c r="G10" s="9">
        <v>5.0000000000000001E-4</v>
      </c>
      <c r="I10" s="6" t="s">
        <v>102</v>
      </c>
      <c r="J10" s="6">
        <v>10</v>
      </c>
      <c r="K10" s="9">
        <v>1E-4</v>
      </c>
      <c r="M10" s="6" t="s">
        <v>3</v>
      </c>
      <c r="N10" s="6">
        <v>96</v>
      </c>
      <c r="O10" s="9">
        <v>2.0999999999999999E-3</v>
      </c>
      <c r="Q10" s="6" t="s">
        <v>74</v>
      </c>
      <c r="R10" s="6">
        <v>7</v>
      </c>
      <c r="S10" s="9">
        <v>1E-4</v>
      </c>
      <c r="U10" s="6" t="s">
        <v>2</v>
      </c>
      <c r="V10" s="6">
        <v>12</v>
      </c>
      <c r="W10" s="9">
        <v>2.0000000000000001E-4</v>
      </c>
      <c r="Y10" s="6" t="s">
        <v>9</v>
      </c>
      <c r="Z10" s="6">
        <v>252</v>
      </c>
      <c r="AA10" s="9">
        <v>3.2000000000000002E-3</v>
      </c>
      <c r="AC10" s="6" t="s">
        <v>77</v>
      </c>
      <c r="AD10" s="6">
        <v>64</v>
      </c>
      <c r="AE10" s="9">
        <v>8.9999999999999998E-4</v>
      </c>
      <c r="AG10" s="6" t="s">
        <v>2</v>
      </c>
      <c r="AH10" s="6">
        <v>28</v>
      </c>
      <c r="AI10" s="9">
        <v>4.0000000000000002E-4</v>
      </c>
    </row>
    <row r="11" spans="1:35">
      <c r="A11" s="6" t="s">
        <v>3</v>
      </c>
      <c r="B11" s="6">
        <v>247</v>
      </c>
      <c r="C11" s="9">
        <v>2E-3</v>
      </c>
      <c r="E11" s="6" t="s">
        <v>83</v>
      </c>
      <c r="F11" s="6">
        <v>56</v>
      </c>
      <c r="G11" s="9">
        <v>5.0000000000000001E-4</v>
      </c>
      <c r="I11" s="6" t="s">
        <v>98</v>
      </c>
      <c r="J11" s="6">
        <v>15</v>
      </c>
      <c r="K11" s="9">
        <v>1E-4</v>
      </c>
      <c r="M11" s="6" t="s">
        <v>41</v>
      </c>
      <c r="N11" s="6">
        <v>27</v>
      </c>
      <c r="O11" s="9">
        <v>5.9999999999999995E-4</v>
      </c>
      <c r="Q11" s="6" t="s">
        <v>76</v>
      </c>
      <c r="R11" s="6">
        <v>3</v>
      </c>
      <c r="S11" s="9">
        <v>1E-4</v>
      </c>
      <c r="U11" s="6" t="s">
        <v>102</v>
      </c>
      <c r="V11" s="6">
        <v>7</v>
      </c>
      <c r="W11" s="9">
        <v>1E-4</v>
      </c>
      <c r="Y11" s="6" t="s">
        <v>3</v>
      </c>
      <c r="Z11" s="6">
        <v>151</v>
      </c>
      <c r="AA11" s="9">
        <v>1.9E-3</v>
      </c>
      <c r="AC11" s="6" t="s">
        <v>83</v>
      </c>
      <c r="AD11" s="6">
        <v>54</v>
      </c>
      <c r="AE11" s="9">
        <v>6.9999999999999999E-4</v>
      </c>
      <c r="AG11" s="6" t="s">
        <v>99</v>
      </c>
      <c r="AH11" s="6">
        <v>11</v>
      </c>
      <c r="AI11" s="9">
        <v>2.0000000000000001E-4</v>
      </c>
    </row>
    <row r="12" spans="1:35">
      <c r="A12" s="6" t="s">
        <v>8</v>
      </c>
      <c r="B12" s="6">
        <v>143</v>
      </c>
      <c r="C12" s="9">
        <v>1.1999999999999999E-3</v>
      </c>
      <c r="E12" s="6" t="s">
        <v>74</v>
      </c>
      <c r="F12" s="6">
        <v>24</v>
      </c>
      <c r="G12" s="9">
        <v>2.0000000000000001E-4</v>
      </c>
      <c r="I12" s="6" t="s">
        <v>99</v>
      </c>
      <c r="J12" s="6">
        <v>14</v>
      </c>
      <c r="K12" s="9">
        <v>1E-4</v>
      </c>
      <c r="M12" s="6" t="s">
        <v>7</v>
      </c>
      <c r="N12" s="6">
        <v>28</v>
      </c>
      <c r="O12" s="9">
        <v>5.9999999999999995E-4</v>
      </c>
      <c r="Q12" s="6" t="s">
        <v>77</v>
      </c>
      <c r="R12" s="6">
        <v>3</v>
      </c>
      <c r="S12" s="9">
        <v>1E-4</v>
      </c>
      <c r="U12" s="6" t="s">
        <v>99</v>
      </c>
      <c r="V12" s="6">
        <v>3</v>
      </c>
      <c r="W12" s="9">
        <v>1E-4</v>
      </c>
      <c r="Y12" s="6" t="s">
        <v>8</v>
      </c>
      <c r="Z12" s="6">
        <v>140</v>
      </c>
      <c r="AA12" s="9">
        <v>1.8E-3</v>
      </c>
      <c r="AC12" s="6" t="s">
        <v>74</v>
      </c>
      <c r="AD12" s="6">
        <v>17</v>
      </c>
      <c r="AE12" s="9">
        <v>2.0000000000000001E-4</v>
      </c>
      <c r="AG12" s="6" t="s">
        <v>102</v>
      </c>
      <c r="AH12" s="6">
        <v>5</v>
      </c>
      <c r="AI12" s="9">
        <v>1E-4</v>
      </c>
    </row>
    <row r="13" spans="1:35">
      <c r="A13" s="6" t="s">
        <v>11</v>
      </c>
      <c r="B13" s="6">
        <v>81</v>
      </c>
      <c r="C13" s="9">
        <v>6.9999999999999999E-4</v>
      </c>
      <c r="E13" s="6" t="s">
        <v>76</v>
      </c>
      <c r="F13" s="6">
        <v>10</v>
      </c>
      <c r="G13" s="9">
        <v>1E-4</v>
      </c>
      <c r="I13" s="6" t="s">
        <v>113</v>
      </c>
      <c r="J13" s="6">
        <v>14</v>
      </c>
      <c r="K13" s="9">
        <v>1E-4</v>
      </c>
      <c r="M13" s="6" t="s">
        <v>29</v>
      </c>
      <c r="N13" s="6">
        <v>21</v>
      </c>
      <c r="O13" s="9">
        <v>5.0000000000000001E-4</v>
      </c>
      <c r="Q13" s="6" t="s">
        <v>92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11</v>
      </c>
      <c r="Z13" s="6">
        <v>61</v>
      </c>
      <c r="AA13" s="9">
        <v>8.0000000000000004E-4</v>
      </c>
      <c r="AC13" s="6" t="s">
        <v>76</v>
      </c>
      <c r="AD13" s="6">
        <v>7</v>
      </c>
      <c r="AE13" s="9">
        <v>1E-4</v>
      </c>
      <c r="AG13" s="6" t="s">
        <v>98</v>
      </c>
      <c r="AH13" s="6">
        <v>7</v>
      </c>
      <c r="AI13" s="9">
        <v>1E-4</v>
      </c>
    </row>
    <row r="14" spans="1:35">
      <c r="A14" s="6" t="s">
        <v>7</v>
      </c>
      <c r="B14" s="6">
        <v>89</v>
      </c>
      <c r="C14" s="9">
        <v>6.9999999999999999E-4</v>
      </c>
      <c r="E14" s="6" t="s">
        <v>87</v>
      </c>
      <c r="F14" s="6">
        <v>1</v>
      </c>
      <c r="G14" s="30">
        <v>0</v>
      </c>
      <c r="I14" s="6" t="s">
        <v>117</v>
      </c>
      <c r="J14" s="6">
        <v>1</v>
      </c>
      <c r="K14" s="30">
        <v>0</v>
      </c>
      <c r="M14" s="6" t="s">
        <v>11</v>
      </c>
      <c r="N14" s="6">
        <v>20</v>
      </c>
      <c r="O14" s="9">
        <v>4.0000000000000002E-4</v>
      </c>
      <c r="Q14" s="6" t="s">
        <v>80</v>
      </c>
      <c r="R14" s="6">
        <v>2</v>
      </c>
      <c r="S14" s="30">
        <v>0</v>
      </c>
      <c r="U14" s="6" t="s">
        <v>123</v>
      </c>
      <c r="V14" s="6">
        <v>1</v>
      </c>
      <c r="W14" s="30">
        <v>0</v>
      </c>
      <c r="Y14" s="6" t="s">
        <v>7</v>
      </c>
      <c r="Z14" s="6">
        <v>61</v>
      </c>
      <c r="AA14" s="9">
        <v>8.0000000000000004E-4</v>
      </c>
      <c r="AC14" s="6" t="s">
        <v>87</v>
      </c>
      <c r="AD14" s="6">
        <v>1</v>
      </c>
      <c r="AE14" s="30">
        <v>0</v>
      </c>
      <c r="AG14" s="6" t="s">
        <v>113</v>
      </c>
      <c r="AH14" s="6">
        <v>10</v>
      </c>
      <c r="AI14" s="9">
        <v>1E-4</v>
      </c>
    </row>
    <row r="15" spans="1:35">
      <c r="A15" s="6" t="s">
        <v>5</v>
      </c>
      <c r="B15" s="6">
        <v>61</v>
      </c>
      <c r="C15" s="9">
        <v>5.0000000000000001E-4</v>
      </c>
      <c r="E15" s="6" t="s">
        <v>92</v>
      </c>
      <c r="F15" s="6">
        <v>1</v>
      </c>
      <c r="G15" s="30">
        <v>0</v>
      </c>
      <c r="I15" s="6" t="s">
        <v>103</v>
      </c>
      <c r="J15" s="6">
        <v>3</v>
      </c>
      <c r="K15" s="30">
        <v>0</v>
      </c>
      <c r="M15" s="6" t="s">
        <v>31</v>
      </c>
      <c r="N15" s="6">
        <v>19</v>
      </c>
      <c r="O15" s="9">
        <v>4.0000000000000002E-4</v>
      </c>
      <c r="Q15" s="6" t="s">
        <v>81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5</v>
      </c>
      <c r="Z15" s="6">
        <v>55</v>
      </c>
      <c r="AA15" s="9">
        <v>6.9999999999999999E-4</v>
      </c>
      <c r="AC15" s="6" t="s">
        <v>116</v>
      </c>
      <c r="AD15" s="6">
        <v>1</v>
      </c>
      <c r="AE15" s="30">
        <v>0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49</v>
      </c>
      <c r="C16" s="9">
        <v>4.0000000000000002E-4</v>
      </c>
      <c r="E16" s="6" t="s">
        <v>80</v>
      </c>
      <c r="F16" s="6">
        <v>2</v>
      </c>
      <c r="G16" s="30">
        <v>0</v>
      </c>
      <c r="I16" s="6" t="s">
        <v>123</v>
      </c>
      <c r="J16" s="6">
        <v>1</v>
      </c>
      <c r="K16" s="30">
        <v>0</v>
      </c>
      <c r="M16" s="6" t="s">
        <v>18</v>
      </c>
      <c r="N16" s="6">
        <v>10</v>
      </c>
      <c r="O16" s="9">
        <v>2.0000000000000001E-4</v>
      </c>
      <c r="Q16" s="6" t="s">
        <v>154</v>
      </c>
      <c r="R16" s="6">
        <v>1</v>
      </c>
      <c r="S16" s="30">
        <v>0</v>
      </c>
      <c r="Y16" s="6" t="s">
        <v>18</v>
      </c>
      <c r="Z16" s="6">
        <v>25</v>
      </c>
      <c r="AA16" s="9">
        <v>2.9999999999999997E-4</v>
      </c>
      <c r="AC16" s="6" t="s">
        <v>80</v>
      </c>
      <c r="AD16" s="6">
        <v>2</v>
      </c>
      <c r="AE16" s="30">
        <v>0</v>
      </c>
      <c r="AG16" s="6" t="s">
        <v>123</v>
      </c>
      <c r="AH16" s="6">
        <v>1</v>
      </c>
      <c r="AI16" s="30">
        <v>0</v>
      </c>
    </row>
    <row r="17" spans="1:31">
      <c r="A17" s="6" t="s">
        <v>18</v>
      </c>
      <c r="B17" s="6">
        <v>35</v>
      </c>
      <c r="C17" s="9">
        <v>2.9999999999999997E-4</v>
      </c>
      <c r="E17" s="6" t="s">
        <v>116</v>
      </c>
      <c r="F17" s="6">
        <v>2</v>
      </c>
      <c r="G17" s="30">
        <v>0</v>
      </c>
      <c r="M17" s="6" t="s">
        <v>20</v>
      </c>
      <c r="N17" s="6">
        <v>7</v>
      </c>
      <c r="O17" s="9">
        <v>2.0000000000000001E-4</v>
      </c>
      <c r="Q17" s="6" t="s">
        <v>116</v>
      </c>
      <c r="R17" s="6">
        <v>1</v>
      </c>
      <c r="S17" s="30">
        <v>0</v>
      </c>
      <c r="Y17" s="6" t="s">
        <v>41</v>
      </c>
      <c r="Z17" s="6">
        <v>22</v>
      </c>
      <c r="AA17" s="9">
        <v>2.9999999999999997E-4</v>
      </c>
      <c r="AC17" s="6" t="s">
        <v>79</v>
      </c>
      <c r="AD17" s="6">
        <v>3</v>
      </c>
      <c r="AE17" s="30">
        <v>0</v>
      </c>
    </row>
    <row r="18" spans="1:31">
      <c r="A18" s="6" t="s">
        <v>31</v>
      </c>
      <c r="B18" s="6">
        <v>38</v>
      </c>
      <c r="C18" s="9">
        <v>2.9999999999999997E-4</v>
      </c>
      <c r="E18" s="6" t="s">
        <v>81</v>
      </c>
      <c r="F18" s="6">
        <v>1</v>
      </c>
      <c r="G18" s="30">
        <v>0</v>
      </c>
      <c r="M18" s="6" t="s">
        <v>9</v>
      </c>
      <c r="N18" s="6">
        <v>11</v>
      </c>
      <c r="O18" s="9">
        <v>2.0000000000000001E-4</v>
      </c>
      <c r="Q18" s="6" t="s">
        <v>83</v>
      </c>
      <c r="R18" s="6">
        <v>2</v>
      </c>
      <c r="S18" s="30">
        <v>0</v>
      </c>
      <c r="Y18" s="6" t="s">
        <v>21</v>
      </c>
      <c r="Z18" s="6">
        <v>15</v>
      </c>
      <c r="AA18" s="9">
        <v>2.0000000000000001E-4</v>
      </c>
      <c r="AC18" s="6" t="s">
        <v>75</v>
      </c>
      <c r="AD18" s="6">
        <v>3</v>
      </c>
      <c r="AE18" s="30">
        <v>0</v>
      </c>
    </row>
    <row r="19" spans="1:31">
      <c r="A19" s="6" t="s">
        <v>29</v>
      </c>
      <c r="B19" s="6">
        <v>32</v>
      </c>
      <c r="C19" s="9">
        <v>2.9999999999999997E-4</v>
      </c>
      <c r="E19" s="6" t="s">
        <v>154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Q19" s="6" t="s">
        <v>125</v>
      </c>
      <c r="R19" s="6">
        <v>1</v>
      </c>
      <c r="S19" s="30">
        <v>0</v>
      </c>
      <c r="Y19" s="6" t="s">
        <v>12</v>
      </c>
      <c r="Z19" s="6">
        <v>17</v>
      </c>
      <c r="AA19" s="9">
        <v>2.0000000000000001E-4</v>
      </c>
      <c r="AC19" s="6" t="s">
        <v>91</v>
      </c>
      <c r="AD19" s="6">
        <v>1</v>
      </c>
      <c r="AE19" s="30">
        <v>0</v>
      </c>
    </row>
    <row r="20" spans="1:31">
      <c r="A20" s="6" t="s">
        <v>21</v>
      </c>
      <c r="B20" s="6">
        <v>22</v>
      </c>
      <c r="C20" s="9">
        <v>2.0000000000000001E-4</v>
      </c>
      <c r="E20" s="6" t="s">
        <v>79</v>
      </c>
      <c r="F20" s="6">
        <v>3</v>
      </c>
      <c r="G20" s="30">
        <v>0</v>
      </c>
      <c r="M20" s="6" t="s">
        <v>12</v>
      </c>
      <c r="N20" s="6">
        <v>8</v>
      </c>
      <c r="O20" s="9">
        <v>2.0000000000000001E-4</v>
      </c>
      <c r="Y20" s="6" t="s">
        <v>37</v>
      </c>
      <c r="Z20" s="6">
        <v>16</v>
      </c>
      <c r="AA20" s="9">
        <v>2.0000000000000001E-4</v>
      </c>
      <c r="AC20" s="6" t="s">
        <v>90</v>
      </c>
      <c r="AD20" s="6">
        <v>1</v>
      </c>
      <c r="AE20" s="30">
        <v>0</v>
      </c>
    </row>
    <row r="21" spans="1:31">
      <c r="A21" s="6" t="s">
        <v>12</v>
      </c>
      <c r="B21" s="6">
        <v>25</v>
      </c>
      <c r="C21" s="9">
        <v>2.0000000000000001E-4</v>
      </c>
      <c r="E21" s="6" t="s">
        <v>75</v>
      </c>
      <c r="F21" s="6">
        <v>3</v>
      </c>
      <c r="G21" s="30">
        <v>0</v>
      </c>
      <c r="M21" s="6" t="s">
        <v>17</v>
      </c>
      <c r="N21" s="6">
        <v>8</v>
      </c>
      <c r="O21" s="9">
        <v>2.0000000000000001E-4</v>
      </c>
      <c r="Y21" s="6" t="s">
        <v>10</v>
      </c>
      <c r="Z21" s="6">
        <v>16</v>
      </c>
      <c r="AA21" s="9">
        <v>2.0000000000000001E-4</v>
      </c>
      <c r="AC21" s="6" t="s">
        <v>86</v>
      </c>
      <c r="AD21" s="6">
        <v>1</v>
      </c>
      <c r="AE21" s="30">
        <v>0</v>
      </c>
    </row>
    <row r="22" spans="1:31">
      <c r="A22" s="6" t="s">
        <v>37</v>
      </c>
      <c r="B22" s="6">
        <v>22</v>
      </c>
      <c r="C22" s="9">
        <v>2.0000000000000001E-4</v>
      </c>
      <c r="E22" s="6" t="s">
        <v>125</v>
      </c>
      <c r="F22" s="6">
        <v>1</v>
      </c>
      <c r="G22" s="30">
        <v>0</v>
      </c>
      <c r="M22" s="6" t="s">
        <v>26</v>
      </c>
      <c r="N22" s="6">
        <v>9</v>
      </c>
      <c r="O22" s="9">
        <v>2.0000000000000001E-4</v>
      </c>
      <c r="Y22" s="6" t="s">
        <v>31</v>
      </c>
      <c r="Z22" s="6">
        <v>19</v>
      </c>
      <c r="AA22" s="9">
        <v>2.0000000000000001E-4</v>
      </c>
      <c r="AC22" s="6" t="s">
        <v>78</v>
      </c>
      <c r="AD22" s="6">
        <v>1</v>
      </c>
      <c r="AE22" s="30">
        <v>0</v>
      </c>
    </row>
    <row r="23" spans="1:31">
      <c r="A23" s="6" t="s">
        <v>10</v>
      </c>
      <c r="B23" s="6">
        <v>22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27</v>
      </c>
      <c r="N23" s="6">
        <v>8</v>
      </c>
      <c r="O23" s="9">
        <v>2.0000000000000001E-4</v>
      </c>
      <c r="Y23" s="6" t="s">
        <v>14</v>
      </c>
      <c r="Z23" s="6">
        <v>13</v>
      </c>
      <c r="AA23" s="9">
        <v>2.0000000000000001E-4</v>
      </c>
    </row>
    <row r="24" spans="1:31">
      <c r="A24" s="6" t="s">
        <v>19</v>
      </c>
      <c r="B24" s="6">
        <v>7</v>
      </c>
      <c r="C24" s="9">
        <v>1E-4</v>
      </c>
      <c r="E24" s="6" t="s">
        <v>78</v>
      </c>
      <c r="F24" s="6">
        <v>1</v>
      </c>
      <c r="G24" s="30">
        <v>0</v>
      </c>
      <c r="M24" s="6" t="s">
        <v>115</v>
      </c>
      <c r="N24" s="6">
        <v>3</v>
      </c>
      <c r="O24" s="9">
        <v>1E-4</v>
      </c>
      <c r="Y24" s="6" t="s">
        <v>19</v>
      </c>
      <c r="Z24" s="6">
        <v>6</v>
      </c>
      <c r="AA24" s="9">
        <v>1E-4</v>
      </c>
    </row>
    <row r="25" spans="1:31">
      <c r="A25" s="6" t="s">
        <v>20</v>
      </c>
      <c r="B25" s="6">
        <v>11</v>
      </c>
      <c r="C25" s="9">
        <v>1E-4</v>
      </c>
      <c r="E25" s="6" t="s">
        <v>86</v>
      </c>
      <c r="F25" s="6">
        <v>1</v>
      </c>
      <c r="G25" s="30">
        <v>0</v>
      </c>
      <c r="M25" s="6" t="s">
        <v>13</v>
      </c>
      <c r="N25" s="6">
        <v>3</v>
      </c>
      <c r="O25" s="9">
        <v>1E-4</v>
      </c>
      <c r="Y25" s="6" t="s">
        <v>20</v>
      </c>
      <c r="Z25" s="6">
        <v>4</v>
      </c>
      <c r="AA25" s="9">
        <v>1E-4</v>
      </c>
    </row>
    <row r="26" spans="1:31">
      <c r="A26" s="6" t="s">
        <v>22</v>
      </c>
      <c r="B26" s="6">
        <v>8</v>
      </c>
      <c r="C26" s="9">
        <v>1E-4</v>
      </c>
      <c r="E26" s="6" t="s">
        <v>90</v>
      </c>
      <c r="F26" s="6">
        <v>1</v>
      </c>
      <c r="G26" s="30">
        <v>0</v>
      </c>
      <c r="M26" s="6" t="s">
        <v>5</v>
      </c>
      <c r="N26" s="6">
        <v>6</v>
      </c>
      <c r="O26" s="9">
        <v>1E-4</v>
      </c>
      <c r="Y26" s="6" t="s">
        <v>45</v>
      </c>
      <c r="Z26" s="6">
        <v>5</v>
      </c>
      <c r="AA26" s="9">
        <v>1E-4</v>
      </c>
    </row>
    <row r="27" spans="1:31">
      <c r="A27" s="6" t="s">
        <v>14</v>
      </c>
      <c r="B27" s="6">
        <v>13</v>
      </c>
      <c r="C27" s="9">
        <v>1E-4</v>
      </c>
      <c r="M27" s="6" t="s">
        <v>22</v>
      </c>
      <c r="N27" s="6">
        <v>5</v>
      </c>
      <c r="O27" s="9">
        <v>1E-4</v>
      </c>
      <c r="Y27" s="6" t="s">
        <v>29</v>
      </c>
      <c r="Z27" s="6">
        <v>11</v>
      </c>
      <c r="AA27" s="9">
        <v>1E-4</v>
      </c>
    </row>
    <row r="28" spans="1:31">
      <c r="A28" s="6" t="s">
        <v>17</v>
      </c>
      <c r="B28" s="6">
        <v>13</v>
      </c>
      <c r="C28" s="9">
        <v>1E-4</v>
      </c>
      <c r="M28" s="6" t="s">
        <v>10</v>
      </c>
      <c r="N28" s="6">
        <v>6</v>
      </c>
      <c r="O28" s="9">
        <v>1E-4</v>
      </c>
      <c r="Y28" s="6" t="s">
        <v>67</v>
      </c>
      <c r="Z28" s="6">
        <v>4</v>
      </c>
      <c r="AA28" s="9">
        <v>1E-4</v>
      </c>
    </row>
    <row r="29" spans="1:31">
      <c r="A29" s="6" t="s">
        <v>40</v>
      </c>
      <c r="B29" s="6">
        <v>12</v>
      </c>
      <c r="C29" s="9">
        <v>1E-4</v>
      </c>
      <c r="M29" s="6" t="s">
        <v>37</v>
      </c>
      <c r="N29" s="6">
        <v>6</v>
      </c>
      <c r="O29" s="9">
        <v>1E-4</v>
      </c>
      <c r="Y29" s="6" t="s">
        <v>30</v>
      </c>
      <c r="Z29" s="6">
        <v>8</v>
      </c>
      <c r="AA29" s="9">
        <v>1E-4</v>
      </c>
    </row>
    <row r="30" spans="1:31">
      <c r="A30" s="6" t="s">
        <v>26</v>
      </c>
      <c r="B30" s="6">
        <v>11</v>
      </c>
      <c r="C30" s="9">
        <v>1E-4</v>
      </c>
      <c r="M30" s="6" t="s">
        <v>40</v>
      </c>
      <c r="N30" s="6">
        <v>6</v>
      </c>
      <c r="O30" s="9">
        <v>1E-4</v>
      </c>
      <c r="Y30" s="6" t="s">
        <v>40</v>
      </c>
      <c r="Z30" s="6">
        <v>6</v>
      </c>
      <c r="AA30" s="9">
        <v>1E-4</v>
      </c>
    </row>
    <row r="31" spans="1:31">
      <c r="A31" s="6" t="s">
        <v>27</v>
      </c>
      <c r="B31" s="6">
        <v>18</v>
      </c>
      <c r="C31" s="9">
        <v>1E-4</v>
      </c>
      <c r="M31" s="6" t="s">
        <v>8</v>
      </c>
      <c r="N31" s="6">
        <v>3</v>
      </c>
      <c r="O31" s="9">
        <v>1E-4</v>
      </c>
      <c r="Y31" s="6" t="s">
        <v>17</v>
      </c>
      <c r="Z31" s="6">
        <v>5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24</v>
      </c>
      <c r="N32" s="6">
        <v>3</v>
      </c>
      <c r="O32" s="9">
        <v>1E-4</v>
      </c>
      <c r="Y32" s="6" t="s">
        <v>15</v>
      </c>
      <c r="Z32" s="6">
        <v>4</v>
      </c>
      <c r="AA32" s="9">
        <v>1E-4</v>
      </c>
    </row>
    <row r="33" spans="1:27">
      <c r="A33" s="6" t="s">
        <v>58</v>
      </c>
      <c r="B33" s="6">
        <v>7</v>
      </c>
      <c r="C33" s="9">
        <v>1E-4</v>
      </c>
      <c r="M33" s="6" t="s">
        <v>39</v>
      </c>
      <c r="N33" s="6">
        <v>3</v>
      </c>
      <c r="O33" s="9">
        <v>1E-4</v>
      </c>
      <c r="Y33" s="6" t="s">
        <v>27</v>
      </c>
      <c r="Z33" s="6">
        <v>10</v>
      </c>
      <c r="AA33" s="9">
        <v>1E-4</v>
      </c>
    </row>
    <row r="34" spans="1:27">
      <c r="A34" s="6" t="s">
        <v>60</v>
      </c>
      <c r="B34" s="6">
        <v>7</v>
      </c>
      <c r="C34" s="9">
        <v>1E-4</v>
      </c>
      <c r="M34" s="6" t="s">
        <v>19</v>
      </c>
      <c r="N34" s="6">
        <v>1</v>
      </c>
      <c r="O34" s="30">
        <v>0</v>
      </c>
      <c r="Y34" s="6" t="s">
        <v>58</v>
      </c>
      <c r="Z34" s="6">
        <v>5</v>
      </c>
      <c r="AA34" s="9">
        <v>1E-4</v>
      </c>
    </row>
    <row r="35" spans="1:27">
      <c r="A35" s="6" t="s">
        <v>24</v>
      </c>
      <c r="B35" s="6">
        <v>7</v>
      </c>
      <c r="C35" s="9">
        <v>1E-4</v>
      </c>
      <c r="M35" s="6" t="s">
        <v>67</v>
      </c>
      <c r="N35" s="6">
        <v>2</v>
      </c>
      <c r="O35" s="30">
        <v>0</v>
      </c>
      <c r="Y35" s="6" t="s">
        <v>60</v>
      </c>
      <c r="Z35" s="6">
        <v>5</v>
      </c>
      <c r="AA35" s="9">
        <v>1E-4</v>
      </c>
    </row>
    <row r="36" spans="1:27">
      <c r="A36" s="6" t="s">
        <v>39</v>
      </c>
      <c r="B36" s="6">
        <v>11</v>
      </c>
      <c r="C36" s="9">
        <v>1E-4</v>
      </c>
      <c r="M36" s="6" t="s">
        <v>45</v>
      </c>
      <c r="N36" s="6">
        <v>1</v>
      </c>
      <c r="O36" s="30">
        <v>0</v>
      </c>
      <c r="Y36" s="6" t="s">
        <v>24</v>
      </c>
      <c r="Z36" s="6">
        <v>4</v>
      </c>
      <c r="AA36" s="9">
        <v>1E-4</v>
      </c>
    </row>
    <row r="37" spans="1:27">
      <c r="A37" s="6" t="s">
        <v>33</v>
      </c>
      <c r="B37" s="6">
        <v>7</v>
      </c>
      <c r="C37" s="9">
        <v>1E-4</v>
      </c>
      <c r="M37" s="6" t="s">
        <v>34</v>
      </c>
      <c r="N37" s="6">
        <v>1</v>
      </c>
      <c r="O37" s="30">
        <v>0</v>
      </c>
      <c r="Y37" s="6" t="s">
        <v>39</v>
      </c>
      <c r="Z37" s="6">
        <v>8</v>
      </c>
      <c r="AA37" s="9">
        <v>1E-4</v>
      </c>
    </row>
    <row r="38" spans="1:27">
      <c r="A38" s="6" t="s">
        <v>25</v>
      </c>
      <c r="B38" s="6">
        <v>8</v>
      </c>
      <c r="C38" s="9">
        <v>1E-4</v>
      </c>
      <c r="M38" s="6" t="s">
        <v>36</v>
      </c>
      <c r="N38" s="6">
        <v>2</v>
      </c>
      <c r="O38" s="30">
        <v>0</v>
      </c>
      <c r="Y38" s="6" t="s">
        <v>33</v>
      </c>
      <c r="Z38" s="6">
        <v>5</v>
      </c>
      <c r="AA38" s="9">
        <v>1E-4</v>
      </c>
    </row>
    <row r="39" spans="1:27">
      <c r="A39" s="6" t="s">
        <v>115</v>
      </c>
      <c r="B39" s="6">
        <v>4</v>
      </c>
      <c r="C39" s="30">
        <v>0</v>
      </c>
      <c r="M39" s="6" t="s">
        <v>46</v>
      </c>
      <c r="N39" s="6">
        <v>1</v>
      </c>
      <c r="O39" s="30">
        <v>0</v>
      </c>
      <c r="Y39" s="6" t="s">
        <v>64</v>
      </c>
      <c r="Z39" s="6">
        <v>4</v>
      </c>
      <c r="AA39" s="9">
        <v>1E-4</v>
      </c>
    </row>
    <row r="40" spans="1:27">
      <c r="A40" s="6" t="s">
        <v>13</v>
      </c>
      <c r="B40" s="6">
        <v>4</v>
      </c>
      <c r="C40" s="30">
        <v>0</v>
      </c>
      <c r="M40" s="6" t="s">
        <v>51</v>
      </c>
      <c r="N40" s="6">
        <v>1</v>
      </c>
      <c r="O40" s="30">
        <v>0</v>
      </c>
      <c r="Y40" s="6" t="s">
        <v>25</v>
      </c>
      <c r="Z40" s="6">
        <v>7</v>
      </c>
      <c r="AA40" s="9">
        <v>1E-4</v>
      </c>
    </row>
    <row r="41" spans="1:27">
      <c r="A41" s="6" t="s">
        <v>45</v>
      </c>
      <c r="B41" s="6">
        <v>6</v>
      </c>
      <c r="C41" s="30">
        <v>0</v>
      </c>
      <c r="M41" s="6" t="s">
        <v>43</v>
      </c>
      <c r="N41" s="6">
        <v>2</v>
      </c>
      <c r="O41" s="30">
        <v>0</v>
      </c>
      <c r="Y41" s="6" t="s">
        <v>13</v>
      </c>
      <c r="Z41" s="6">
        <v>1</v>
      </c>
      <c r="AA41" s="30">
        <v>0</v>
      </c>
    </row>
    <row r="42" spans="1:27">
      <c r="A42" s="6" t="s">
        <v>46</v>
      </c>
      <c r="B42" s="6">
        <v>1</v>
      </c>
      <c r="C42" s="30">
        <v>0</v>
      </c>
      <c r="M42" s="6" t="s">
        <v>60</v>
      </c>
      <c r="N42" s="6">
        <v>2</v>
      </c>
      <c r="O42" s="30">
        <v>0</v>
      </c>
      <c r="Y42" s="6" t="s">
        <v>115</v>
      </c>
      <c r="Z42" s="6">
        <v>1</v>
      </c>
      <c r="AA42" s="30">
        <v>0</v>
      </c>
    </row>
    <row r="43" spans="1:27">
      <c r="A43" s="6" t="s">
        <v>67</v>
      </c>
      <c r="B43" s="6">
        <v>6</v>
      </c>
      <c r="C43" s="30">
        <v>0</v>
      </c>
      <c r="M43" s="6" t="s">
        <v>15</v>
      </c>
      <c r="N43" s="6">
        <v>1</v>
      </c>
      <c r="O43" s="30">
        <v>0</v>
      </c>
      <c r="Y43" s="6" t="s">
        <v>34</v>
      </c>
      <c r="Z43" s="6">
        <v>1</v>
      </c>
      <c r="AA43" s="30">
        <v>0</v>
      </c>
    </row>
    <row r="44" spans="1:27">
      <c r="A44" s="6" t="s">
        <v>34</v>
      </c>
      <c r="B44" s="6">
        <v>2</v>
      </c>
      <c r="C44" s="30">
        <v>0</v>
      </c>
      <c r="M44" s="6" t="s">
        <v>32</v>
      </c>
      <c r="N44" s="6">
        <v>2</v>
      </c>
      <c r="O44" s="30">
        <v>0</v>
      </c>
      <c r="Y44" s="6" t="s">
        <v>47</v>
      </c>
      <c r="Z44" s="6">
        <v>1</v>
      </c>
      <c r="AA44" s="30">
        <v>0</v>
      </c>
    </row>
    <row r="45" spans="1:27">
      <c r="A45" s="6" t="s">
        <v>36</v>
      </c>
      <c r="B45" s="6">
        <v>4</v>
      </c>
      <c r="C45" s="30">
        <v>0</v>
      </c>
      <c r="M45" s="6" t="s">
        <v>58</v>
      </c>
      <c r="N45" s="6">
        <v>2</v>
      </c>
      <c r="O45" s="30">
        <v>0</v>
      </c>
      <c r="Y45" s="6" t="s">
        <v>36</v>
      </c>
      <c r="Z45" s="6">
        <v>2</v>
      </c>
      <c r="AA45" s="30">
        <v>0</v>
      </c>
    </row>
    <row r="46" spans="1:27">
      <c r="A46" s="6" t="s">
        <v>47</v>
      </c>
      <c r="B46" s="6">
        <v>1</v>
      </c>
      <c r="C46" s="30">
        <v>0</v>
      </c>
      <c r="M46" s="6" t="s">
        <v>28</v>
      </c>
      <c r="N46" s="6">
        <v>1</v>
      </c>
      <c r="O46" s="30">
        <v>0</v>
      </c>
      <c r="Y46" s="6" t="s">
        <v>22</v>
      </c>
      <c r="Z46" s="6">
        <v>3</v>
      </c>
      <c r="AA46" s="30">
        <v>0</v>
      </c>
    </row>
    <row r="47" spans="1:27">
      <c r="A47" s="6" t="s">
        <v>51</v>
      </c>
      <c r="B47" s="6">
        <v>1</v>
      </c>
      <c r="C47" s="30">
        <v>0</v>
      </c>
      <c r="M47" s="6" t="s">
        <v>53</v>
      </c>
      <c r="N47" s="6">
        <v>2</v>
      </c>
      <c r="O47" s="30">
        <v>0</v>
      </c>
      <c r="Y47" s="6" t="s">
        <v>55</v>
      </c>
      <c r="Z47" s="6">
        <v>1</v>
      </c>
      <c r="AA47" s="30">
        <v>0</v>
      </c>
    </row>
    <row r="48" spans="1:27">
      <c r="A48" s="6" t="s">
        <v>16</v>
      </c>
      <c r="B48" s="6">
        <v>1</v>
      </c>
      <c r="C48" s="30">
        <v>0</v>
      </c>
      <c r="M48" s="6" t="s">
        <v>33</v>
      </c>
      <c r="N48" s="6">
        <v>2</v>
      </c>
      <c r="O48" s="30">
        <v>0</v>
      </c>
      <c r="Y48" s="6" t="s">
        <v>16</v>
      </c>
      <c r="Z48" s="6">
        <v>1</v>
      </c>
      <c r="AA48" s="30">
        <v>0</v>
      </c>
    </row>
    <row r="49" spans="1:27">
      <c r="A49" s="6" t="s">
        <v>15</v>
      </c>
      <c r="B49" s="6">
        <v>5</v>
      </c>
      <c r="C49" s="30">
        <v>0</v>
      </c>
      <c r="M49" s="6" t="s">
        <v>69</v>
      </c>
      <c r="N49" s="6">
        <v>1</v>
      </c>
      <c r="O49" s="30">
        <v>0</v>
      </c>
      <c r="Y49" s="6" t="s">
        <v>48</v>
      </c>
      <c r="Z49" s="6">
        <v>2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M50" s="6" t="s">
        <v>42</v>
      </c>
      <c r="N50" s="6">
        <v>1</v>
      </c>
      <c r="O50" s="30">
        <v>0</v>
      </c>
      <c r="Y50" s="6" t="s">
        <v>38</v>
      </c>
      <c r="Z50" s="6">
        <v>3</v>
      </c>
      <c r="AA50" s="30">
        <v>0</v>
      </c>
    </row>
    <row r="51" spans="1:27">
      <c r="A51" s="6" t="s">
        <v>48</v>
      </c>
      <c r="B51" s="6">
        <v>2</v>
      </c>
      <c r="C51" s="30">
        <v>0</v>
      </c>
      <c r="M51" s="6" t="s">
        <v>124</v>
      </c>
      <c r="N51" s="6">
        <v>1</v>
      </c>
      <c r="O51" s="30">
        <v>0</v>
      </c>
      <c r="Y51" s="6" t="s">
        <v>26</v>
      </c>
      <c r="Z51" s="6">
        <v>2</v>
      </c>
      <c r="AA51" s="30">
        <v>0</v>
      </c>
    </row>
    <row r="52" spans="1:27">
      <c r="A52" s="6" t="s">
        <v>64</v>
      </c>
      <c r="B52" s="6">
        <v>4</v>
      </c>
      <c r="C52" s="30">
        <v>0</v>
      </c>
      <c r="M52" s="6" t="s">
        <v>25</v>
      </c>
      <c r="N52" s="6">
        <v>1</v>
      </c>
      <c r="O52" s="30">
        <v>0</v>
      </c>
      <c r="Y52" s="6" t="s">
        <v>57</v>
      </c>
      <c r="Z52" s="6">
        <v>1</v>
      </c>
      <c r="AA52" s="30">
        <v>0</v>
      </c>
    </row>
    <row r="53" spans="1:27">
      <c r="A53" s="6" t="s">
        <v>32</v>
      </c>
      <c r="B53" s="6">
        <v>3</v>
      </c>
      <c r="C53" s="30">
        <v>0</v>
      </c>
      <c r="Y53" s="6" t="s">
        <v>32</v>
      </c>
      <c r="Z53" s="6">
        <v>1</v>
      </c>
      <c r="AA53" s="30">
        <v>0</v>
      </c>
    </row>
    <row r="54" spans="1:27">
      <c r="A54" s="6" t="s">
        <v>38</v>
      </c>
      <c r="B54" s="6">
        <v>3</v>
      </c>
      <c r="C54" s="30">
        <v>0</v>
      </c>
      <c r="Y54" s="6" t="s">
        <v>148</v>
      </c>
      <c r="Z54" s="6">
        <v>1</v>
      </c>
      <c r="AA54" s="30">
        <v>0</v>
      </c>
    </row>
    <row r="55" spans="1:27">
      <c r="A55" s="6" t="s">
        <v>43</v>
      </c>
      <c r="B55" s="6">
        <v>2</v>
      </c>
      <c r="C55" s="30">
        <v>0</v>
      </c>
      <c r="Y55" s="6" t="s">
        <v>23</v>
      </c>
      <c r="Z55" s="6">
        <v>1</v>
      </c>
      <c r="AA55" s="30">
        <v>0</v>
      </c>
    </row>
    <row r="56" spans="1:27">
      <c r="A56" s="6" t="s">
        <v>57</v>
      </c>
      <c r="B56" s="6">
        <v>1</v>
      </c>
      <c r="C56" s="30">
        <v>0</v>
      </c>
      <c r="Y56" s="6" t="s">
        <v>177</v>
      </c>
      <c r="Z56" s="6">
        <v>1</v>
      </c>
      <c r="AA56" s="30">
        <v>0</v>
      </c>
    </row>
    <row r="57" spans="1:27">
      <c r="A57" s="6" t="s">
        <v>124</v>
      </c>
      <c r="B57" s="6">
        <v>1</v>
      </c>
      <c r="C57" s="30">
        <v>0</v>
      </c>
    </row>
    <row r="58" spans="1:27">
      <c r="A58" s="6" t="s">
        <v>53</v>
      </c>
      <c r="B58" s="6">
        <v>2</v>
      </c>
      <c r="C58" s="30">
        <v>0</v>
      </c>
    </row>
    <row r="59" spans="1:27">
      <c r="A59" s="6" t="s">
        <v>28</v>
      </c>
      <c r="B59" s="6">
        <v>1</v>
      </c>
      <c r="C59" s="30">
        <v>0</v>
      </c>
    </row>
    <row r="60" spans="1:27">
      <c r="A60" s="6" t="s">
        <v>69</v>
      </c>
      <c r="B60" s="6">
        <v>1</v>
      </c>
      <c r="C60" s="30">
        <v>0</v>
      </c>
    </row>
    <row r="61" spans="1:27">
      <c r="A61" s="6" t="s">
        <v>148</v>
      </c>
      <c r="B61" s="6">
        <v>1</v>
      </c>
      <c r="C61" s="30">
        <v>0</v>
      </c>
    </row>
    <row r="62" spans="1:27">
      <c r="A62" s="6" t="s">
        <v>42</v>
      </c>
      <c r="B62" s="6">
        <v>1</v>
      </c>
      <c r="C62" s="30">
        <v>0</v>
      </c>
    </row>
    <row r="63" spans="1:27">
      <c r="A63" s="6" t="s">
        <v>23</v>
      </c>
      <c r="B63" s="6">
        <v>1</v>
      </c>
      <c r="C63" s="30">
        <v>0</v>
      </c>
    </row>
    <row r="64" spans="1:27">
      <c r="A64" s="6" t="s">
        <v>177</v>
      </c>
      <c r="B64" s="6">
        <v>1</v>
      </c>
      <c r="C6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8D957-C2DE-4AD0-945E-D11E4F07E3D6}">
  <sheetPr codeName="Sheet51"/>
  <dimension ref="A1:AI63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121009</v>
      </c>
      <c r="E2" s="41" t="s">
        <v>4</v>
      </c>
      <c r="F2" s="23" t="s">
        <v>105</v>
      </c>
      <c r="G2" s="23">
        <f>G3+G4</f>
        <v>121005</v>
      </c>
      <c r="H2" s="22"/>
      <c r="I2" s="41" t="s">
        <v>6</v>
      </c>
      <c r="J2" s="23" t="s">
        <v>105</v>
      </c>
      <c r="K2" s="23">
        <f>K3+K4</f>
        <v>120934</v>
      </c>
      <c r="M2" s="41" t="s">
        <v>104</v>
      </c>
      <c r="N2" s="23" t="s">
        <v>105</v>
      </c>
      <c r="O2" s="23">
        <f>O3+O4</f>
        <v>32515</v>
      </c>
      <c r="Q2" s="41" t="s">
        <v>4</v>
      </c>
      <c r="R2" s="23" t="s">
        <v>105</v>
      </c>
      <c r="S2" s="23">
        <f>S3+S4</f>
        <v>33458</v>
      </c>
      <c r="T2" s="22"/>
      <c r="U2" s="41" t="s">
        <v>6</v>
      </c>
      <c r="V2" s="23" t="s">
        <v>105</v>
      </c>
      <c r="W2" s="23">
        <f>W3+W4</f>
        <v>33868</v>
      </c>
      <c r="Y2" s="41" t="s">
        <v>104</v>
      </c>
      <c r="Z2" s="23" t="s">
        <v>105</v>
      </c>
      <c r="AA2" s="23">
        <f>AA3+AA4</f>
        <v>88469</v>
      </c>
      <c r="AC2" s="41" t="s">
        <v>4</v>
      </c>
      <c r="AD2" s="23" t="s">
        <v>105</v>
      </c>
      <c r="AE2" s="23">
        <f>AE3+AE4</f>
        <v>87548</v>
      </c>
      <c r="AF2" s="22"/>
      <c r="AG2" s="41" t="s">
        <v>6</v>
      </c>
      <c r="AH2" s="23" t="s">
        <v>105</v>
      </c>
      <c r="AI2" s="23">
        <f>AI3+AI4</f>
        <v>87113</v>
      </c>
    </row>
    <row r="3" spans="1:35">
      <c r="A3" s="42"/>
      <c r="B3" s="24" t="s">
        <v>106</v>
      </c>
      <c r="C3" s="24">
        <f>B8</f>
        <v>118819</v>
      </c>
      <c r="E3" s="42"/>
      <c r="F3" s="24" t="s">
        <v>106</v>
      </c>
      <c r="G3" s="24">
        <f>F8</f>
        <v>120676</v>
      </c>
      <c r="H3" s="22"/>
      <c r="I3" s="42"/>
      <c r="J3" s="24" t="s">
        <v>106</v>
      </c>
      <c r="K3" s="24">
        <f>J8</f>
        <v>120844</v>
      </c>
      <c r="M3" s="42"/>
      <c r="N3" s="24" t="s">
        <v>106</v>
      </c>
      <c r="O3" s="24">
        <f>N8</f>
        <v>32207</v>
      </c>
      <c r="Q3" s="42"/>
      <c r="R3" s="24" t="s">
        <v>106</v>
      </c>
      <c r="S3" s="24">
        <f>R8</f>
        <v>33394</v>
      </c>
      <c r="T3" s="22"/>
      <c r="U3" s="42"/>
      <c r="V3" s="24" t="s">
        <v>106</v>
      </c>
      <c r="W3" s="24">
        <f>V8</f>
        <v>33835</v>
      </c>
      <c r="Y3" s="42"/>
      <c r="Z3" s="24" t="s">
        <v>106</v>
      </c>
      <c r="AA3" s="24">
        <f>Z8</f>
        <v>86612</v>
      </c>
      <c r="AC3" s="42"/>
      <c r="AD3" s="24" t="s">
        <v>106</v>
      </c>
      <c r="AE3" s="24">
        <f>AD8</f>
        <v>87282</v>
      </c>
      <c r="AF3" s="22"/>
      <c r="AG3" s="42"/>
      <c r="AH3" s="24" t="s">
        <v>106</v>
      </c>
      <c r="AI3" s="24">
        <f>AH8</f>
        <v>87054</v>
      </c>
    </row>
    <row r="4" spans="1:35">
      <c r="A4" s="42"/>
      <c r="B4" s="25" t="s">
        <v>107</v>
      </c>
      <c r="C4" s="25">
        <f>SUM(B9:B66)</f>
        <v>2190</v>
      </c>
      <c r="E4" s="42"/>
      <c r="F4" s="25" t="s">
        <v>107</v>
      </c>
      <c r="G4" s="25">
        <f>SUM(F9:F33)</f>
        <v>329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308</v>
      </c>
      <c r="Q4" s="42"/>
      <c r="R4" s="25" t="s">
        <v>107</v>
      </c>
      <c r="S4" s="25">
        <f>SUM(R9:R33)</f>
        <v>64</v>
      </c>
      <c r="T4" s="22"/>
      <c r="U4" s="42"/>
      <c r="V4" s="25" t="s">
        <v>107</v>
      </c>
      <c r="W4" s="25">
        <f>SUM(V9:V31)</f>
        <v>33</v>
      </c>
      <c r="Y4" s="42"/>
      <c r="Z4" s="25" t="s">
        <v>107</v>
      </c>
      <c r="AA4" s="25">
        <f>SUM(Z9:Z45)</f>
        <v>1857</v>
      </c>
      <c r="AC4" s="42"/>
      <c r="AD4" s="25" t="s">
        <v>107</v>
      </c>
      <c r="AE4" s="25">
        <f>SUM(AD9:AD29)</f>
        <v>266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1.7399999999999992E-2</v>
      </c>
      <c r="E5" s="43"/>
      <c r="F5" s="23" t="s">
        <v>108</v>
      </c>
      <c r="G5" s="26">
        <f>SUM(G9:G33)</f>
        <v>2.5999999999999999E-3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9.3999999999999952E-3</v>
      </c>
      <c r="Q5" s="43"/>
      <c r="R5" s="23" t="s">
        <v>108</v>
      </c>
      <c r="S5" s="26">
        <f>SUM(S9:S33)</f>
        <v>1.8000000000000002E-3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2.059999999999999E-2</v>
      </c>
      <c r="AC5" s="43"/>
      <c r="AD5" s="23" t="s">
        <v>108</v>
      </c>
      <c r="AE5" s="26">
        <f>SUM(AE9:AE29)</f>
        <v>3.0000000000000001E-3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118819</v>
      </c>
      <c r="C8" s="9">
        <v>0.9819</v>
      </c>
      <c r="E8" s="6" t="s">
        <v>112</v>
      </c>
      <c r="F8" s="29">
        <v>120676</v>
      </c>
      <c r="G8" s="9">
        <v>0.99729999999999996</v>
      </c>
      <c r="I8" s="6" t="s">
        <v>112</v>
      </c>
      <c r="J8" s="29">
        <v>120844</v>
      </c>
      <c r="K8" s="9">
        <v>0.99929999999999997</v>
      </c>
      <c r="M8" s="6" t="s">
        <v>112</v>
      </c>
      <c r="N8" s="29">
        <v>32207</v>
      </c>
      <c r="O8" s="9">
        <v>0.99050000000000005</v>
      </c>
      <c r="Q8" s="6" t="s">
        <v>112</v>
      </c>
      <c r="R8" s="29">
        <v>33394</v>
      </c>
      <c r="S8" s="9">
        <v>0.99809999999999999</v>
      </c>
      <c r="U8" s="6" t="s">
        <v>112</v>
      </c>
      <c r="V8" s="29">
        <v>33835</v>
      </c>
      <c r="W8" s="9">
        <v>0.999</v>
      </c>
      <c r="Y8" s="6" t="s">
        <v>112</v>
      </c>
      <c r="Z8" s="29">
        <v>86612</v>
      </c>
      <c r="AA8" s="9">
        <v>0.97870000000000001</v>
      </c>
      <c r="AC8" s="6" t="s">
        <v>112</v>
      </c>
      <c r="AD8" s="29">
        <v>87282</v>
      </c>
      <c r="AE8" s="9">
        <v>0.997</v>
      </c>
      <c r="AG8" s="6" t="s">
        <v>112</v>
      </c>
      <c r="AH8" s="29">
        <v>87054</v>
      </c>
      <c r="AI8" s="9">
        <v>0.99929999999999997</v>
      </c>
    </row>
    <row r="9" spans="1:35">
      <c r="A9" s="6" t="s">
        <v>9</v>
      </c>
      <c r="B9" s="6">
        <v>470</v>
      </c>
      <c r="C9" s="9">
        <v>3.8999999999999998E-3</v>
      </c>
      <c r="E9" s="6" t="s">
        <v>122</v>
      </c>
      <c r="F9" s="6">
        <v>135</v>
      </c>
      <c r="G9" s="9">
        <v>1.1000000000000001E-3</v>
      </c>
      <c r="I9" s="6" t="s">
        <v>2</v>
      </c>
      <c r="J9" s="6">
        <v>40</v>
      </c>
      <c r="K9" s="9">
        <v>2.9999999999999997E-4</v>
      </c>
      <c r="M9" s="6" t="s">
        <v>2</v>
      </c>
      <c r="N9" s="6">
        <v>74</v>
      </c>
      <c r="O9" s="9">
        <v>2.3E-3</v>
      </c>
      <c r="Q9" s="6" t="s">
        <v>122</v>
      </c>
      <c r="R9" s="6">
        <v>51</v>
      </c>
      <c r="S9" s="9">
        <v>1.5E-3</v>
      </c>
      <c r="U9" s="6" t="s">
        <v>2</v>
      </c>
      <c r="V9" s="6">
        <v>11</v>
      </c>
      <c r="W9" s="9">
        <v>2.9999999999999997E-4</v>
      </c>
      <c r="Y9" s="6" t="s">
        <v>9</v>
      </c>
      <c r="Z9" s="6">
        <v>463</v>
      </c>
      <c r="AA9" s="9">
        <v>5.1999999999999998E-3</v>
      </c>
      <c r="AC9" s="6" t="s">
        <v>122</v>
      </c>
      <c r="AD9" s="6">
        <v>84</v>
      </c>
      <c r="AE9" s="9">
        <v>1E-3</v>
      </c>
      <c r="AG9" s="6" t="s">
        <v>2</v>
      </c>
      <c r="AH9" s="6">
        <v>29</v>
      </c>
      <c r="AI9" s="9">
        <v>2.9999999999999997E-4</v>
      </c>
    </row>
    <row r="10" spans="1:35">
      <c r="A10" s="6" t="s">
        <v>2</v>
      </c>
      <c r="B10" s="6">
        <v>384</v>
      </c>
      <c r="C10" s="9">
        <v>3.2000000000000002E-3</v>
      </c>
      <c r="E10" s="6" t="s">
        <v>83</v>
      </c>
      <c r="F10" s="6">
        <v>75</v>
      </c>
      <c r="G10" s="9">
        <v>5.9999999999999995E-4</v>
      </c>
      <c r="I10" s="6" t="s">
        <v>102</v>
      </c>
      <c r="J10" s="6">
        <v>7</v>
      </c>
      <c r="K10" s="9">
        <v>1E-4</v>
      </c>
      <c r="M10" s="6" t="s">
        <v>3</v>
      </c>
      <c r="N10" s="6">
        <v>68</v>
      </c>
      <c r="O10" s="9">
        <v>2.0999999999999999E-3</v>
      </c>
      <c r="Q10" s="6" t="s">
        <v>76</v>
      </c>
      <c r="R10" s="6">
        <v>3</v>
      </c>
      <c r="S10" s="9">
        <v>1E-4</v>
      </c>
      <c r="U10" s="6" t="s">
        <v>99</v>
      </c>
      <c r="V10" s="6">
        <v>7</v>
      </c>
      <c r="W10" s="9">
        <v>2.0000000000000001E-4</v>
      </c>
      <c r="Y10" s="6" t="s">
        <v>2</v>
      </c>
      <c r="Z10" s="6">
        <v>310</v>
      </c>
      <c r="AA10" s="9">
        <v>3.5000000000000001E-3</v>
      </c>
      <c r="AC10" s="6" t="s">
        <v>83</v>
      </c>
      <c r="AD10" s="6">
        <v>75</v>
      </c>
      <c r="AE10" s="9">
        <v>8.9999999999999998E-4</v>
      </c>
      <c r="AG10" s="6" t="s">
        <v>98</v>
      </c>
      <c r="AH10" s="6">
        <v>12</v>
      </c>
      <c r="AI10" s="9">
        <v>1E-4</v>
      </c>
    </row>
    <row r="11" spans="1:35">
      <c r="A11" s="6" t="s">
        <v>8</v>
      </c>
      <c r="B11" s="6">
        <v>270</v>
      </c>
      <c r="C11" s="9">
        <v>2.2000000000000001E-3</v>
      </c>
      <c r="E11" s="6" t="s">
        <v>77</v>
      </c>
      <c r="F11" s="6">
        <v>45</v>
      </c>
      <c r="G11" s="9">
        <v>4.0000000000000002E-4</v>
      </c>
      <c r="I11" s="6" t="s">
        <v>98</v>
      </c>
      <c r="J11" s="6">
        <v>17</v>
      </c>
      <c r="K11" s="9">
        <v>1E-4</v>
      </c>
      <c r="M11" s="6" t="s">
        <v>7</v>
      </c>
      <c r="N11" s="6">
        <v>36</v>
      </c>
      <c r="O11" s="9">
        <v>1.1000000000000001E-3</v>
      </c>
      <c r="Q11" s="6" t="s">
        <v>74</v>
      </c>
      <c r="R11" s="6">
        <v>4</v>
      </c>
      <c r="S11" s="9">
        <v>1E-4</v>
      </c>
      <c r="U11" s="6" t="s">
        <v>102</v>
      </c>
      <c r="V11" s="6">
        <v>5</v>
      </c>
      <c r="W11" s="9">
        <v>1E-4</v>
      </c>
      <c r="Y11" s="6" t="s">
        <v>8</v>
      </c>
      <c r="Z11" s="6">
        <v>269</v>
      </c>
      <c r="AA11" s="9">
        <v>3.0000000000000001E-3</v>
      </c>
      <c r="AC11" s="6" t="s">
        <v>77</v>
      </c>
      <c r="AD11" s="6">
        <v>42</v>
      </c>
      <c r="AE11" s="9">
        <v>5.0000000000000001E-4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3</v>
      </c>
      <c r="B12" s="6">
        <v>256</v>
      </c>
      <c r="C12" s="9">
        <v>2.0999999999999999E-3</v>
      </c>
      <c r="E12" s="6" t="s">
        <v>74</v>
      </c>
      <c r="F12" s="6">
        <v>21</v>
      </c>
      <c r="G12" s="9">
        <v>2.0000000000000001E-4</v>
      </c>
      <c r="I12" s="6" t="s">
        <v>99</v>
      </c>
      <c r="J12" s="6">
        <v>13</v>
      </c>
      <c r="K12" s="9">
        <v>1E-4</v>
      </c>
      <c r="M12" s="6" t="s">
        <v>41</v>
      </c>
      <c r="N12" s="6">
        <v>24</v>
      </c>
      <c r="O12" s="9">
        <v>6.9999999999999999E-4</v>
      </c>
      <c r="Q12" s="6" t="s">
        <v>77</v>
      </c>
      <c r="R12" s="6">
        <v>3</v>
      </c>
      <c r="S12" s="9">
        <v>1E-4</v>
      </c>
      <c r="U12" s="6" t="s">
        <v>98</v>
      </c>
      <c r="V12" s="6">
        <v>5</v>
      </c>
      <c r="W12" s="9">
        <v>1E-4</v>
      </c>
      <c r="Y12" s="6" t="s">
        <v>3</v>
      </c>
      <c r="Z12" s="6">
        <v>188</v>
      </c>
      <c r="AA12" s="9">
        <v>2.0999999999999999E-3</v>
      </c>
      <c r="AC12" s="6" t="s">
        <v>74</v>
      </c>
      <c r="AD12" s="6">
        <v>17</v>
      </c>
      <c r="AE12" s="9">
        <v>2.0000000000000001E-4</v>
      </c>
      <c r="AG12" s="6" t="s">
        <v>113</v>
      </c>
      <c r="AH12" s="6">
        <v>5</v>
      </c>
      <c r="AI12" s="9">
        <v>1E-4</v>
      </c>
    </row>
    <row r="13" spans="1:35">
      <c r="A13" s="6" t="s">
        <v>5</v>
      </c>
      <c r="B13" s="6">
        <v>116</v>
      </c>
      <c r="C13" s="9">
        <v>1E-3</v>
      </c>
      <c r="E13" s="6" t="s">
        <v>76</v>
      </c>
      <c r="F13" s="6">
        <v>12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12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5</v>
      </c>
      <c r="Z13" s="6">
        <v>112</v>
      </c>
      <c r="AA13" s="9">
        <v>1.2999999999999999E-3</v>
      </c>
      <c r="AC13" s="6" t="s">
        <v>86</v>
      </c>
      <c r="AD13" s="6">
        <v>17</v>
      </c>
      <c r="AE13" s="9">
        <v>2.0000000000000001E-4</v>
      </c>
      <c r="AG13" s="6" t="s">
        <v>102</v>
      </c>
      <c r="AH13" s="6">
        <v>3</v>
      </c>
      <c r="AI13" s="30">
        <v>0</v>
      </c>
    </row>
    <row r="14" spans="1:35">
      <c r="A14" s="6" t="s">
        <v>7</v>
      </c>
      <c r="B14" s="6">
        <v>109</v>
      </c>
      <c r="C14" s="9">
        <v>8.9999999999999998E-4</v>
      </c>
      <c r="E14" s="6" t="s">
        <v>86</v>
      </c>
      <c r="F14" s="6">
        <v>17</v>
      </c>
      <c r="G14" s="9">
        <v>1E-4</v>
      </c>
      <c r="I14" s="6" t="s">
        <v>117</v>
      </c>
      <c r="J14" s="6">
        <v>1</v>
      </c>
      <c r="K14" s="30">
        <v>0</v>
      </c>
      <c r="M14" s="6" t="s">
        <v>18</v>
      </c>
      <c r="N14" s="6">
        <v>9</v>
      </c>
      <c r="O14" s="9">
        <v>2.9999999999999997E-4</v>
      </c>
      <c r="Q14" s="6" t="s">
        <v>120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75</v>
      </c>
      <c r="AA14" s="9">
        <v>8.0000000000000004E-4</v>
      </c>
      <c r="AC14" s="6" t="s">
        <v>76</v>
      </c>
      <c r="AD14" s="6">
        <v>9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87</v>
      </c>
      <c r="C15" s="9">
        <v>6.9999999999999999E-4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29</v>
      </c>
      <c r="N15" s="6">
        <v>9</v>
      </c>
      <c r="O15" s="9">
        <v>2.9999999999999997E-4</v>
      </c>
      <c r="Q15" s="6" t="s">
        <v>79</v>
      </c>
      <c r="R15" s="6">
        <v>1</v>
      </c>
      <c r="S15" s="30">
        <v>0</v>
      </c>
      <c r="Y15" s="6" t="s">
        <v>7</v>
      </c>
      <c r="Z15" s="6">
        <v>73</v>
      </c>
      <c r="AA15" s="9">
        <v>8.0000000000000004E-4</v>
      </c>
      <c r="AC15" s="6" t="s">
        <v>75</v>
      </c>
      <c r="AD15" s="6">
        <v>10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56</v>
      </c>
      <c r="C16" s="9">
        <v>5.0000000000000001E-4</v>
      </c>
      <c r="E16" s="6" t="s">
        <v>116</v>
      </c>
      <c r="F16" s="6">
        <v>1</v>
      </c>
      <c r="G16" s="30">
        <v>0</v>
      </c>
      <c r="I16" s="6" t="s">
        <v>103</v>
      </c>
      <c r="J16" s="6">
        <v>1</v>
      </c>
      <c r="K16" s="30">
        <v>0</v>
      </c>
      <c r="M16" s="6" t="s">
        <v>31</v>
      </c>
      <c r="N16" s="6">
        <v>9</v>
      </c>
      <c r="O16" s="9">
        <v>2.9999999999999997E-4</v>
      </c>
      <c r="Y16" s="6" t="s">
        <v>14</v>
      </c>
      <c r="Z16" s="6">
        <v>39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5">
      <c r="A17" s="6" t="s">
        <v>12</v>
      </c>
      <c r="B17" s="6">
        <v>31</v>
      </c>
      <c r="C17" s="9">
        <v>2.9999999999999997E-4</v>
      </c>
      <c r="E17" s="6" t="s">
        <v>80</v>
      </c>
      <c r="F17" s="6">
        <v>1</v>
      </c>
      <c r="G17" s="30">
        <v>0</v>
      </c>
      <c r="I17" s="6" t="s">
        <v>179</v>
      </c>
      <c r="J17" s="6">
        <v>1</v>
      </c>
      <c r="K17" s="30">
        <v>0</v>
      </c>
      <c r="M17" s="6" t="s">
        <v>21</v>
      </c>
      <c r="N17" s="6">
        <v>6</v>
      </c>
      <c r="O17" s="9">
        <v>2.0000000000000001E-4</v>
      </c>
      <c r="Y17" s="6" t="s">
        <v>41</v>
      </c>
      <c r="Z17" s="6">
        <v>32</v>
      </c>
      <c r="AA17" s="9">
        <v>4.0000000000000002E-4</v>
      </c>
      <c r="AC17" s="6" t="s">
        <v>80</v>
      </c>
      <c r="AD17" s="6">
        <v>1</v>
      </c>
      <c r="AE17" s="30">
        <v>0</v>
      </c>
      <c r="AG17" s="6" t="s">
        <v>179</v>
      </c>
      <c r="AH17" s="6">
        <v>1</v>
      </c>
      <c r="AI17" s="30">
        <v>0</v>
      </c>
    </row>
    <row r="18" spans="1:35">
      <c r="A18" s="6" t="s">
        <v>14</v>
      </c>
      <c r="B18" s="6">
        <v>39</v>
      </c>
      <c r="C18" s="9">
        <v>2.9999999999999997E-4</v>
      </c>
      <c r="E18" s="6" t="s">
        <v>81</v>
      </c>
      <c r="F18" s="6">
        <v>1</v>
      </c>
      <c r="G18" s="30">
        <v>0</v>
      </c>
      <c r="M18" s="6" t="s">
        <v>22</v>
      </c>
      <c r="N18" s="6">
        <v>7</v>
      </c>
      <c r="O18" s="9">
        <v>2.0000000000000001E-4</v>
      </c>
      <c r="Y18" s="6" t="s">
        <v>12</v>
      </c>
      <c r="Z18" s="6">
        <v>30</v>
      </c>
      <c r="AA18" s="9">
        <v>2.9999999999999997E-4</v>
      </c>
      <c r="AC18" s="6" t="s">
        <v>81</v>
      </c>
      <c r="AD18" s="6">
        <v>1</v>
      </c>
      <c r="AE18" s="30">
        <v>0</v>
      </c>
    </row>
    <row r="19" spans="1:35">
      <c r="A19" s="6" t="s">
        <v>31</v>
      </c>
      <c r="B19" s="6">
        <v>37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5</v>
      </c>
      <c r="N19" s="6">
        <v>5</v>
      </c>
      <c r="O19" s="9">
        <v>2.0000000000000001E-4</v>
      </c>
      <c r="Y19" s="6" t="s">
        <v>31</v>
      </c>
      <c r="Z19" s="6">
        <v>28</v>
      </c>
      <c r="AA19" s="9">
        <v>2.9999999999999997E-4</v>
      </c>
      <c r="AC19" s="6" t="s">
        <v>82</v>
      </c>
      <c r="AD19" s="6">
        <v>1</v>
      </c>
      <c r="AE19" s="30">
        <v>0</v>
      </c>
    </row>
    <row r="20" spans="1:35">
      <c r="A20" s="6" t="s">
        <v>29</v>
      </c>
      <c r="B20" s="6">
        <v>35</v>
      </c>
      <c r="C20" s="9">
        <v>2.9999999999999997E-4</v>
      </c>
      <c r="E20" s="6" t="s">
        <v>79</v>
      </c>
      <c r="F20" s="6">
        <v>5</v>
      </c>
      <c r="G20" s="30">
        <v>0</v>
      </c>
      <c r="M20" s="6" t="s">
        <v>9</v>
      </c>
      <c r="N20" s="6">
        <v>7</v>
      </c>
      <c r="O20" s="9">
        <v>2.0000000000000001E-4</v>
      </c>
      <c r="Y20" s="6" t="s">
        <v>29</v>
      </c>
      <c r="Z20" s="6">
        <v>26</v>
      </c>
      <c r="AA20" s="9">
        <v>2.9999999999999997E-4</v>
      </c>
      <c r="AC20" s="6" t="s">
        <v>79</v>
      </c>
      <c r="AD20" s="6">
        <v>4</v>
      </c>
      <c r="AE20" s="30">
        <v>0</v>
      </c>
    </row>
    <row r="21" spans="1:35">
      <c r="A21" s="6" t="s">
        <v>18</v>
      </c>
      <c r="B21" s="6">
        <v>28</v>
      </c>
      <c r="C21" s="9">
        <v>2.0000000000000001E-4</v>
      </c>
      <c r="E21" s="6" t="s">
        <v>120</v>
      </c>
      <c r="F21" s="6">
        <v>2</v>
      </c>
      <c r="G21" s="30">
        <v>0</v>
      </c>
      <c r="M21" s="6" t="s">
        <v>43</v>
      </c>
      <c r="N21" s="6">
        <v>5</v>
      </c>
      <c r="O21" s="9">
        <v>2.0000000000000001E-4</v>
      </c>
      <c r="Y21" s="6" t="s">
        <v>37</v>
      </c>
      <c r="Z21" s="6">
        <v>22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5">
      <c r="A22" s="6" t="s">
        <v>37</v>
      </c>
      <c r="B22" s="6">
        <v>22</v>
      </c>
      <c r="C22" s="9">
        <v>2.0000000000000001E-4</v>
      </c>
      <c r="E22" s="6" t="s">
        <v>84</v>
      </c>
      <c r="F22" s="6">
        <v>1</v>
      </c>
      <c r="G22" s="30">
        <v>0</v>
      </c>
      <c r="M22" s="6" t="s">
        <v>19</v>
      </c>
      <c r="N22" s="6">
        <v>2</v>
      </c>
      <c r="O22" s="9">
        <v>1E-4</v>
      </c>
      <c r="Y22" s="6" t="s">
        <v>18</v>
      </c>
      <c r="Z22" s="6">
        <v>19</v>
      </c>
      <c r="AA22" s="9">
        <v>2.0000000000000001E-4</v>
      </c>
      <c r="AC22" s="6" t="s">
        <v>84</v>
      </c>
      <c r="AD22" s="6">
        <v>1</v>
      </c>
      <c r="AE22" s="30">
        <v>0</v>
      </c>
    </row>
    <row r="23" spans="1:35">
      <c r="A23" s="6" t="s">
        <v>22</v>
      </c>
      <c r="B23" s="6">
        <v>22</v>
      </c>
      <c r="C23" s="9">
        <v>2.0000000000000001E-4</v>
      </c>
      <c r="E23" s="6" t="s">
        <v>78</v>
      </c>
      <c r="F23" s="6">
        <v>1</v>
      </c>
      <c r="G23" s="30">
        <v>0</v>
      </c>
      <c r="M23" s="6" t="s">
        <v>10</v>
      </c>
      <c r="N23" s="6">
        <v>4</v>
      </c>
      <c r="O23" s="9">
        <v>1E-4</v>
      </c>
      <c r="Y23" s="6" t="s">
        <v>10</v>
      </c>
      <c r="Z23" s="6">
        <v>16</v>
      </c>
      <c r="AA23" s="9">
        <v>2.0000000000000001E-4</v>
      </c>
      <c r="AC23" s="6" t="s">
        <v>120</v>
      </c>
      <c r="AD23" s="6">
        <v>1</v>
      </c>
      <c r="AE23" s="30">
        <v>0</v>
      </c>
    </row>
    <row r="24" spans="1:35">
      <c r="A24" s="6" t="s">
        <v>10</v>
      </c>
      <c r="B24" s="6">
        <v>20</v>
      </c>
      <c r="C24" s="9">
        <v>2.0000000000000001E-4</v>
      </c>
      <c r="E24" s="6" t="s">
        <v>145</v>
      </c>
      <c r="F24" s="6">
        <v>1</v>
      </c>
      <c r="G24" s="30">
        <v>0</v>
      </c>
      <c r="M24" s="6" t="s">
        <v>17</v>
      </c>
      <c r="N24" s="6">
        <v>2</v>
      </c>
      <c r="O24" s="9">
        <v>1E-4</v>
      </c>
      <c r="Y24" s="6" t="s">
        <v>22</v>
      </c>
      <c r="Z24" s="6">
        <v>15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5">
      <c r="A25" s="6" t="s">
        <v>19</v>
      </c>
      <c r="B25" s="6">
        <v>14</v>
      </c>
      <c r="C25" s="9">
        <v>1E-4</v>
      </c>
      <c r="M25" s="6" t="s">
        <v>26</v>
      </c>
      <c r="N25" s="6">
        <v>4</v>
      </c>
      <c r="O25" s="9">
        <v>1E-4</v>
      </c>
      <c r="Y25" s="6" t="s">
        <v>17</v>
      </c>
      <c r="Z25" s="6">
        <v>16</v>
      </c>
      <c r="AA25" s="9">
        <v>2.0000000000000001E-4</v>
      </c>
    </row>
    <row r="26" spans="1:35">
      <c r="A26" s="6" t="s">
        <v>20</v>
      </c>
      <c r="B26" s="6">
        <v>11</v>
      </c>
      <c r="C26" s="9">
        <v>1E-4</v>
      </c>
      <c r="M26" s="6" t="s">
        <v>27</v>
      </c>
      <c r="N26" s="6">
        <v>4</v>
      </c>
      <c r="O26" s="9">
        <v>1E-4</v>
      </c>
      <c r="Y26" s="6" t="s">
        <v>26</v>
      </c>
      <c r="Z26" s="6">
        <v>14</v>
      </c>
      <c r="AA26" s="9">
        <v>2.0000000000000001E-4</v>
      </c>
    </row>
    <row r="27" spans="1:35">
      <c r="A27" s="6" t="s">
        <v>21</v>
      </c>
      <c r="B27" s="6">
        <v>16</v>
      </c>
      <c r="C27" s="9">
        <v>1E-4</v>
      </c>
      <c r="M27" s="6" t="s">
        <v>8</v>
      </c>
      <c r="N27" s="6">
        <v>2</v>
      </c>
      <c r="O27" s="9">
        <v>1E-4</v>
      </c>
      <c r="Y27" s="6" t="s">
        <v>19</v>
      </c>
      <c r="Z27" s="6">
        <v>12</v>
      </c>
      <c r="AA27" s="9">
        <v>1E-4</v>
      </c>
    </row>
    <row r="28" spans="1:35">
      <c r="A28" s="6" t="s">
        <v>60</v>
      </c>
      <c r="B28" s="6">
        <v>8</v>
      </c>
      <c r="C28" s="9">
        <v>1E-4</v>
      </c>
      <c r="M28" s="6" t="s">
        <v>33</v>
      </c>
      <c r="N28" s="6">
        <v>4</v>
      </c>
      <c r="O28" s="9">
        <v>1E-4</v>
      </c>
      <c r="Y28" s="6" t="s">
        <v>20</v>
      </c>
      <c r="Z28" s="6">
        <v>10</v>
      </c>
      <c r="AA28" s="9">
        <v>1E-4</v>
      </c>
    </row>
    <row r="29" spans="1:35">
      <c r="A29" s="6" t="s">
        <v>17</v>
      </c>
      <c r="B29" s="6">
        <v>18</v>
      </c>
      <c r="C29" s="9">
        <v>1E-4</v>
      </c>
      <c r="M29" s="6" t="s">
        <v>53</v>
      </c>
      <c r="N29" s="6">
        <v>2</v>
      </c>
      <c r="O29" s="9">
        <v>1E-4</v>
      </c>
      <c r="Y29" s="6" t="s">
        <v>21</v>
      </c>
      <c r="Z29" s="6">
        <v>10</v>
      </c>
      <c r="AA29" s="9">
        <v>1E-4</v>
      </c>
    </row>
    <row r="30" spans="1:35">
      <c r="A30" s="6" t="s">
        <v>26</v>
      </c>
      <c r="B30" s="6">
        <v>18</v>
      </c>
      <c r="C30" s="9">
        <v>1E-4</v>
      </c>
      <c r="M30" s="6" t="s">
        <v>25</v>
      </c>
      <c r="N30" s="6">
        <v>2</v>
      </c>
      <c r="O30" s="9">
        <v>1E-4</v>
      </c>
      <c r="Y30" s="6" t="s">
        <v>60</v>
      </c>
      <c r="Z30" s="6">
        <v>8</v>
      </c>
      <c r="AA30" s="9">
        <v>1E-4</v>
      </c>
    </row>
    <row r="31" spans="1:35">
      <c r="A31" s="6" t="s">
        <v>40</v>
      </c>
      <c r="B31" s="6">
        <v>12</v>
      </c>
      <c r="C31" s="9">
        <v>1E-4</v>
      </c>
      <c r="M31" s="6" t="s">
        <v>131</v>
      </c>
      <c r="N31" s="6">
        <v>1</v>
      </c>
      <c r="O31" s="30">
        <v>0</v>
      </c>
      <c r="Y31" s="6" t="s">
        <v>15</v>
      </c>
      <c r="Z31" s="6">
        <v>6</v>
      </c>
      <c r="AA31" s="9">
        <v>1E-4</v>
      </c>
    </row>
    <row r="32" spans="1:35">
      <c r="A32" s="6" t="s">
        <v>27</v>
      </c>
      <c r="B32" s="6">
        <v>13</v>
      </c>
      <c r="C32" s="9">
        <v>1E-4</v>
      </c>
      <c r="M32" s="6" t="s">
        <v>20</v>
      </c>
      <c r="N32" s="6">
        <v>1</v>
      </c>
      <c r="O32" s="30">
        <v>0</v>
      </c>
      <c r="Y32" s="6" t="s">
        <v>40</v>
      </c>
      <c r="Z32" s="6">
        <v>11</v>
      </c>
      <c r="AA32" s="9">
        <v>1E-4</v>
      </c>
    </row>
    <row r="33" spans="1:27">
      <c r="A33" s="6" t="s">
        <v>24</v>
      </c>
      <c r="B33" s="6">
        <v>8</v>
      </c>
      <c r="C33" s="9">
        <v>1E-4</v>
      </c>
      <c r="M33" s="6" t="s">
        <v>45</v>
      </c>
      <c r="N33" s="6">
        <v>1</v>
      </c>
      <c r="O33" s="30">
        <v>0</v>
      </c>
      <c r="Y33" s="6" t="s">
        <v>30</v>
      </c>
      <c r="Z33" s="6">
        <v>5</v>
      </c>
      <c r="AA33" s="9">
        <v>1E-4</v>
      </c>
    </row>
    <row r="34" spans="1:27">
      <c r="A34" s="6" t="s">
        <v>131</v>
      </c>
      <c r="B34" s="6">
        <v>5</v>
      </c>
      <c r="C34" s="30">
        <v>0</v>
      </c>
      <c r="M34" s="6" t="s">
        <v>38</v>
      </c>
      <c r="N34" s="6">
        <v>1</v>
      </c>
      <c r="O34" s="30">
        <v>0</v>
      </c>
      <c r="Y34" s="6" t="s">
        <v>24</v>
      </c>
      <c r="Z34" s="6">
        <v>7</v>
      </c>
      <c r="AA34" s="9">
        <v>1E-4</v>
      </c>
    </row>
    <row r="35" spans="1:27">
      <c r="A35" s="6" t="s">
        <v>34</v>
      </c>
      <c r="B35" s="6">
        <v>3</v>
      </c>
      <c r="C35" s="30">
        <v>0</v>
      </c>
      <c r="M35" s="6" t="s">
        <v>12</v>
      </c>
      <c r="N35" s="6">
        <v>1</v>
      </c>
      <c r="O35" s="30">
        <v>0</v>
      </c>
      <c r="Y35" s="6" t="s">
        <v>27</v>
      </c>
      <c r="Z35" s="6">
        <v>9</v>
      </c>
      <c r="AA35" s="9">
        <v>1E-4</v>
      </c>
    </row>
    <row r="36" spans="1:27">
      <c r="A36" s="6" t="s">
        <v>45</v>
      </c>
      <c r="B36" s="6">
        <v>5</v>
      </c>
      <c r="C36" s="30">
        <v>0</v>
      </c>
      <c r="M36" s="6" t="s">
        <v>32</v>
      </c>
      <c r="N36" s="6">
        <v>1</v>
      </c>
      <c r="O36" s="30">
        <v>0</v>
      </c>
      <c r="Y36" s="6" t="s">
        <v>32</v>
      </c>
      <c r="Z36" s="6">
        <v>5</v>
      </c>
      <c r="AA36" s="9">
        <v>1E-4</v>
      </c>
    </row>
    <row r="37" spans="1:27">
      <c r="A37" s="6" t="s">
        <v>13</v>
      </c>
      <c r="B37" s="6">
        <v>4</v>
      </c>
      <c r="C37" s="30">
        <v>0</v>
      </c>
      <c r="M37" s="6" t="s">
        <v>24</v>
      </c>
      <c r="N37" s="6">
        <v>1</v>
      </c>
      <c r="O37" s="30">
        <v>0</v>
      </c>
      <c r="Y37" s="6" t="s">
        <v>131</v>
      </c>
      <c r="Z37" s="6">
        <v>4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40</v>
      </c>
      <c r="N38" s="6">
        <v>1</v>
      </c>
      <c r="O38" s="30">
        <v>0</v>
      </c>
      <c r="Y38" s="6" t="s">
        <v>45</v>
      </c>
      <c r="Z38" s="6">
        <v>4</v>
      </c>
      <c r="AA38" s="30">
        <v>0</v>
      </c>
    </row>
    <row r="39" spans="1:27">
      <c r="A39" s="6" t="s">
        <v>36</v>
      </c>
      <c r="B39" s="6">
        <v>4</v>
      </c>
      <c r="C39" s="30">
        <v>0</v>
      </c>
      <c r="M39" s="6" t="s">
        <v>16</v>
      </c>
      <c r="N39" s="6">
        <v>1</v>
      </c>
      <c r="O39" s="30">
        <v>0</v>
      </c>
      <c r="Y39" s="6" t="s">
        <v>13</v>
      </c>
      <c r="Z39" s="6">
        <v>4</v>
      </c>
      <c r="AA39" s="30">
        <v>0</v>
      </c>
    </row>
    <row r="40" spans="1:27">
      <c r="A40" s="6" t="s">
        <v>15</v>
      </c>
      <c r="B40" s="6">
        <v>6</v>
      </c>
      <c r="C40" s="30">
        <v>0</v>
      </c>
      <c r="M40" s="6" t="s">
        <v>69</v>
      </c>
      <c r="N40" s="6">
        <v>1</v>
      </c>
      <c r="O40" s="30">
        <v>0</v>
      </c>
      <c r="Y40" s="6" t="s">
        <v>34</v>
      </c>
      <c r="Z40" s="6">
        <v>3</v>
      </c>
      <c r="AA40" s="30">
        <v>0</v>
      </c>
    </row>
    <row r="41" spans="1:27">
      <c r="A41" s="6" t="s">
        <v>65</v>
      </c>
      <c r="B41" s="6">
        <v>3</v>
      </c>
      <c r="C41" s="30">
        <v>0</v>
      </c>
      <c r="M41" s="6" t="s">
        <v>39</v>
      </c>
      <c r="N41" s="6">
        <v>1</v>
      </c>
      <c r="O41" s="30">
        <v>0</v>
      </c>
      <c r="Y41" s="6" t="s">
        <v>65</v>
      </c>
      <c r="Z41" s="6">
        <v>3</v>
      </c>
      <c r="AA41" s="30">
        <v>0</v>
      </c>
    </row>
    <row r="42" spans="1:27">
      <c r="A42" s="6" t="s">
        <v>47</v>
      </c>
      <c r="B42" s="6">
        <v>2</v>
      </c>
      <c r="C42" s="30">
        <v>0</v>
      </c>
      <c r="Y42" s="6" t="s">
        <v>36</v>
      </c>
      <c r="Z42" s="6">
        <v>4</v>
      </c>
      <c r="AA42" s="30">
        <v>0</v>
      </c>
    </row>
    <row r="43" spans="1:27">
      <c r="A43" s="6" t="s">
        <v>160</v>
      </c>
      <c r="B43" s="6">
        <v>2</v>
      </c>
      <c r="C43" s="30">
        <v>0</v>
      </c>
      <c r="Y43" s="6" t="s">
        <v>47</v>
      </c>
      <c r="Z43" s="6">
        <v>2</v>
      </c>
      <c r="AA43" s="30">
        <v>0</v>
      </c>
    </row>
    <row r="44" spans="1:27">
      <c r="A44" s="6" t="s">
        <v>30</v>
      </c>
      <c r="B44" s="6">
        <v>5</v>
      </c>
      <c r="C44" s="30">
        <v>0</v>
      </c>
      <c r="Y44" s="6" t="s">
        <v>160</v>
      </c>
      <c r="Z44" s="6">
        <v>2</v>
      </c>
      <c r="AA44" s="30">
        <v>0</v>
      </c>
    </row>
    <row r="45" spans="1:27">
      <c r="A45" s="6" t="s">
        <v>16</v>
      </c>
      <c r="B45" s="6">
        <v>2</v>
      </c>
      <c r="C45" s="30">
        <v>0</v>
      </c>
      <c r="Y45" s="6" t="s">
        <v>67</v>
      </c>
      <c r="Z45" s="6">
        <v>1</v>
      </c>
      <c r="AA45" s="30">
        <v>0</v>
      </c>
    </row>
    <row r="46" spans="1:27">
      <c r="A46" s="6" t="s">
        <v>32</v>
      </c>
      <c r="B46" s="6">
        <v>6</v>
      </c>
      <c r="C46" s="30">
        <v>0</v>
      </c>
      <c r="Y46" s="6" t="s">
        <v>16</v>
      </c>
      <c r="Z46" s="6">
        <v>1</v>
      </c>
      <c r="AA46" s="30">
        <v>0</v>
      </c>
    </row>
    <row r="47" spans="1:27">
      <c r="A47" s="6" t="s">
        <v>38</v>
      </c>
      <c r="B47" s="6">
        <v>5</v>
      </c>
      <c r="C47" s="30">
        <v>0</v>
      </c>
      <c r="Y47" s="6" t="s">
        <v>58</v>
      </c>
      <c r="Z47" s="6">
        <v>4</v>
      </c>
      <c r="AA47" s="30">
        <v>0</v>
      </c>
    </row>
    <row r="48" spans="1:27">
      <c r="A48" s="6" t="s">
        <v>43</v>
      </c>
      <c r="B48" s="6">
        <v>5</v>
      </c>
      <c r="C48" s="30">
        <v>0</v>
      </c>
      <c r="Y48" s="6" t="s">
        <v>38</v>
      </c>
      <c r="Z48" s="6">
        <v>4</v>
      </c>
      <c r="AA48" s="30">
        <v>0</v>
      </c>
    </row>
    <row r="49" spans="1:27">
      <c r="A49" s="6" t="s">
        <v>58</v>
      </c>
      <c r="B49" s="6">
        <v>4</v>
      </c>
      <c r="C49" s="30">
        <v>0</v>
      </c>
      <c r="Y49" s="6" t="s">
        <v>66</v>
      </c>
      <c r="Z49" s="6">
        <v>2</v>
      </c>
      <c r="AA49" s="30">
        <v>0</v>
      </c>
    </row>
    <row r="50" spans="1:27">
      <c r="A50" s="6" t="s">
        <v>48</v>
      </c>
      <c r="B50" s="6">
        <v>1</v>
      </c>
      <c r="C50" s="30">
        <v>0</v>
      </c>
      <c r="Y50" s="6" t="s">
        <v>48</v>
      </c>
      <c r="Z50" s="6">
        <v>1</v>
      </c>
      <c r="AA50" s="30">
        <v>0</v>
      </c>
    </row>
    <row r="51" spans="1:27">
      <c r="A51" s="6" t="s">
        <v>66</v>
      </c>
      <c r="B51" s="6">
        <v>2</v>
      </c>
      <c r="C51" s="30">
        <v>0</v>
      </c>
      <c r="Y51" s="6" t="s">
        <v>57</v>
      </c>
      <c r="Z51" s="6">
        <v>2</v>
      </c>
      <c r="AA51" s="30">
        <v>0</v>
      </c>
    </row>
    <row r="52" spans="1:27">
      <c r="A52" s="6" t="s">
        <v>33</v>
      </c>
      <c r="B52" s="6">
        <v>6</v>
      </c>
      <c r="C52" s="30">
        <v>0</v>
      </c>
      <c r="Y52" s="6" t="s">
        <v>33</v>
      </c>
      <c r="Z52" s="6">
        <v>2</v>
      </c>
      <c r="AA52" s="30">
        <v>0</v>
      </c>
    </row>
    <row r="53" spans="1:27">
      <c r="A53" s="6" t="s">
        <v>57</v>
      </c>
      <c r="B53" s="6">
        <v>2</v>
      </c>
      <c r="C53" s="30">
        <v>0</v>
      </c>
      <c r="Y53" s="6" t="s">
        <v>39</v>
      </c>
      <c r="Z53" s="6">
        <v>1</v>
      </c>
      <c r="AA53" s="30">
        <v>0</v>
      </c>
    </row>
    <row r="54" spans="1:27">
      <c r="A54" s="6" t="s">
        <v>25</v>
      </c>
      <c r="B54" s="6">
        <v>4</v>
      </c>
      <c r="C54" s="30">
        <v>0</v>
      </c>
      <c r="Y54" s="6" t="s">
        <v>25</v>
      </c>
      <c r="Z54" s="6">
        <v>2</v>
      </c>
      <c r="AA54" s="30">
        <v>0</v>
      </c>
    </row>
    <row r="55" spans="1:27">
      <c r="A55" s="6" t="s">
        <v>39</v>
      </c>
      <c r="B55" s="6">
        <v>2</v>
      </c>
      <c r="C55" s="30">
        <v>0</v>
      </c>
      <c r="Y55" s="6" t="s">
        <v>42</v>
      </c>
      <c r="Z55" s="6">
        <v>2</v>
      </c>
      <c r="AA55" s="30">
        <v>0</v>
      </c>
    </row>
    <row r="56" spans="1:27">
      <c r="A56" s="6" t="s">
        <v>64</v>
      </c>
      <c r="B56" s="6">
        <v>1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53</v>
      </c>
      <c r="B57" s="6">
        <v>3</v>
      </c>
      <c r="C57" s="30">
        <v>0</v>
      </c>
      <c r="Y57" s="6" t="s">
        <v>59</v>
      </c>
      <c r="Z57" s="6">
        <v>1</v>
      </c>
      <c r="AA57" s="30">
        <v>0</v>
      </c>
    </row>
    <row r="58" spans="1:27">
      <c r="A58" s="6" t="s">
        <v>42</v>
      </c>
      <c r="B58" s="6">
        <v>2</v>
      </c>
      <c r="C58" s="30">
        <v>0</v>
      </c>
      <c r="Y58" s="6" t="s">
        <v>148</v>
      </c>
      <c r="Z58" s="6">
        <v>1</v>
      </c>
      <c r="AA58" s="30">
        <v>0</v>
      </c>
    </row>
    <row r="59" spans="1:27">
      <c r="A59" s="6" t="s">
        <v>148</v>
      </c>
      <c r="B59" s="6">
        <v>1</v>
      </c>
      <c r="C59" s="30">
        <v>0</v>
      </c>
      <c r="Y59" s="6" t="s">
        <v>28</v>
      </c>
      <c r="Z59" s="6">
        <v>1</v>
      </c>
      <c r="AA59" s="30">
        <v>0</v>
      </c>
    </row>
    <row r="60" spans="1:27">
      <c r="A60" s="6" t="s">
        <v>59</v>
      </c>
      <c r="B60" s="6">
        <v>1</v>
      </c>
      <c r="C60" s="30">
        <v>0</v>
      </c>
      <c r="Y60" s="6" t="s">
        <v>53</v>
      </c>
      <c r="Z60" s="6">
        <v>1</v>
      </c>
      <c r="AA60" s="30">
        <v>0</v>
      </c>
    </row>
    <row r="61" spans="1:27">
      <c r="A61" s="6" t="s">
        <v>28</v>
      </c>
      <c r="B61" s="6">
        <v>1</v>
      </c>
      <c r="C61" s="30">
        <v>0</v>
      </c>
      <c r="Y61" s="6" t="s">
        <v>129</v>
      </c>
      <c r="Z61" s="6">
        <v>1</v>
      </c>
      <c r="AA61" s="30">
        <v>0</v>
      </c>
    </row>
    <row r="62" spans="1:27">
      <c r="A62" s="6" t="s">
        <v>69</v>
      </c>
      <c r="B62" s="6">
        <v>1</v>
      </c>
      <c r="C62" s="30">
        <v>0</v>
      </c>
    </row>
    <row r="63" spans="1:27">
      <c r="A63" s="6" t="s">
        <v>129</v>
      </c>
      <c r="B63" s="6">
        <v>1</v>
      </c>
      <c r="C63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35952-F5D0-4D07-8932-6A5C17A10754}">
  <sheetPr codeName="Sheet52"/>
  <dimension ref="A1:AI58"/>
  <sheetViews>
    <sheetView workbookViewId="0">
      <selection activeCell="F31" sqref="F3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121997</v>
      </c>
      <c r="E2" s="41" t="s">
        <v>4</v>
      </c>
      <c r="F2" s="23" t="s">
        <v>105</v>
      </c>
      <c r="G2" s="23">
        <f>G3+G4</f>
        <v>117056</v>
      </c>
      <c r="H2" s="22"/>
      <c r="I2" s="41" t="s">
        <v>6</v>
      </c>
      <c r="J2" s="23" t="s">
        <v>105</v>
      </c>
      <c r="K2" s="23">
        <f>K3+K4</f>
        <v>119943</v>
      </c>
      <c r="M2" s="41" t="s">
        <v>104</v>
      </c>
      <c r="N2" s="23" t="s">
        <v>105</v>
      </c>
      <c r="O2" s="23">
        <f>O3+O4</f>
        <v>15558</v>
      </c>
      <c r="Q2" s="41" t="s">
        <v>4</v>
      </c>
      <c r="R2" s="23" t="s">
        <v>105</v>
      </c>
      <c r="S2" s="23">
        <f>S3+S4</f>
        <v>16251</v>
      </c>
      <c r="T2" s="22"/>
      <c r="U2" s="41" t="s">
        <v>6</v>
      </c>
      <c r="V2" s="23" t="s">
        <v>105</v>
      </c>
      <c r="W2" s="23">
        <f>W3+W4</f>
        <v>17183</v>
      </c>
      <c r="Y2" s="41" t="s">
        <v>104</v>
      </c>
      <c r="Z2" s="23" t="s">
        <v>105</v>
      </c>
      <c r="AA2" s="23">
        <f>AA3+AA4</f>
        <v>106411</v>
      </c>
      <c r="AC2" s="41" t="s">
        <v>4</v>
      </c>
      <c r="AD2" s="23" t="s">
        <v>105</v>
      </c>
      <c r="AE2" s="23">
        <f>AE3+AE4</f>
        <v>100806</v>
      </c>
      <c r="AF2" s="22"/>
      <c r="AG2" s="41" t="s">
        <v>6</v>
      </c>
      <c r="AH2" s="23" t="s">
        <v>105</v>
      </c>
      <c r="AI2" s="23">
        <f>AI3+AI4</f>
        <v>102762</v>
      </c>
    </row>
    <row r="3" spans="1:35">
      <c r="A3" s="42"/>
      <c r="B3" s="24" t="s">
        <v>106</v>
      </c>
      <c r="C3" s="24">
        <f>B8</f>
        <v>119867</v>
      </c>
      <c r="E3" s="42"/>
      <c r="F3" s="24" t="s">
        <v>106</v>
      </c>
      <c r="G3" s="24">
        <f>F8</f>
        <v>116809</v>
      </c>
      <c r="H3" s="22"/>
      <c r="I3" s="42"/>
      <c r="J3" s="24" t="s">
        <v>106</v>
      </c>
      <c r="K3" s="24">
        <f>J8</f>
        <v>119860</v>
      </c>
      <c r="M3" s="42"/>
      <c r="N3" s="24" t="s">
        <v>106</v>
      </c>
      <c r="O3" s="24">
        <f>N8</f>
        <v>15396</v>
      </c>
      <c r="Q3" s="42"/>
      <c r="R3" s="24" t="s">
        <v>106</v>
      </c>
      <c r="S3" s="24">
        <f>R8</f>
        <v>16227</v>
      </c>
      <c r="T3" s="22"/>
      <c r="U3" s="42"/>
      <c r="V3" s="24" t="s">
        <v>106</v>
      </c>
      <c r="W3" s="24">
        <f>V8</f>
        <v>17175</v>
      </c>
      <c r="Y3" s="42"/>
      <c r="Z3" s="24" t="s">
        <v>106</v>
      </c>
      <c r="AA3" s="24">
        <f>Z8</f>
        <v>104471</v>
      </c>
      <c r="AC3" s="42"/>
      <c r="AD3" s="24" t="s">
        <v>106</v>
      </c>
      <c r="AE3" s="24">
        <f>AD8</f>
        <v>100582</v>
      </c>
      <c r="AF3" s="22"/>
      <c r="AG3" s="42"/>
      <c r="AH3" s="24" t="s">
        <v>106</v>
      </c>
      <c r="AI3" s="24">
        <f>AH8</f>
        <v>102685</v>
      </c>
    </row>
    <row r="4" spans="1:35">
      <c r="A4" s="42"/>
      <c r="B4" s="25" t="s">
        <v>107</v>
      </c>
      <c r="C4" s="25">
        <f>SUM(B9:B66)</f>
        <v>2130</v>
      </c>
      <c r="E4" s="42"/>
      <c r="F4" s="25" t="s">
        <v>107</v>
      </c>
      <c r="G4" s="25">
        <f>SUM(F9:F33)</f>
        <v>247</v>
      </c>
      <c r="H4" s="22"/>
      <c r="I4" s="42"/>
      <c r="J4" s="25" t="s">
        <v>107</v>
      </c>
      <c r="K4" s="25">
        <f>SUM(J9:J31)</f>
        <v>83</v>
      </c>
      <c r="M4" s="42"/>
      <c r="N4" s="25" t="s">
        <v>107</v>
      </c>
      <c r="O4" s="25">
        <f>SUM(N9:N66)</f>
        <v>162</v>
      </c>
      <c r="Q4" s="42"/>
      <c r="R4" s="25" t="s">
        <v>107</v>
      </c>
      <c r="S4" s="25">
        <f>SUM(R9:R33)</f>
        <v>24</v>
      </c>
      <c r="T4" s="22"/>
      <c r="U4" s="42"/>
      <c r="V4" s="25" t="s">
        <v>107</v>
      </c>
      <c r="W4" s="25">
        <f>SUM(V9:V31)</f>
        <v>8</v>
      </c>
      <c r="Y4" s="42"/>
      <c r="Z4" s="25" t="s">
        <v>107</v>
      </c>
      <c r="AA4" s="25">
        <f>SUM(Z9:Z45)</f>
        <v>1940</v>
      </c>
      <c r="AC4" s="42"/>
      <c r="AD4" s="25" t="s">
        <v>107</v>
      </c>
      <c r="AE4" s="25">
        <f>SUM(AD9:AD29)</f>
        <v>224</v>
      </c>
      <c r="AF4" s="22"/>
      <c r="AG4" s="42"/>
      <c r="AH4" s="25" t="s">
        <v>107</v>
      </c>
      <c r="AI4" s="25">
        <f>SUM(AH9:AH29)</f>
        <v>77</v>
      </c>
    </row>
    <row r="5" spans="1:35">
      <c r="A5" s="43"/>
      <c r="B5" s="23" t="s">
        <v>108</v>
      </c>
      <c r="C5" s="26">
        <f>SUM(C9:C179)</f>
        <v>1.6899999999999991E-2</v>
      </c>
      <c r="E5" s="43"/>
      <c r="F5" s="23" t="s">
        <v>108</v>
      </c>
      <c r="G5" s="26">
        <f>SUM(G9:G33)</f>
        <v>1.9000000000000002E-3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1.0699999999999993E-2</v>
      </c>
      <c r="Q5" s="43"/>
      <c r="R5" s="23" t="s">
        <v>108</v>
      </c>
      <c r="S5" s="26">
        <f>SUM(S9:S33)</f>
        <v>1.6000000000000001E-3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1.8199999999999987E-2</v>
      </c>
      <c r="AC5" s="43"/>
      <c r="AD5" s="23" t="s">
        <v>108</v>
      </c>
      <c r="AE5" s="26">
        <f>SUM(AE9:AE29)</f>
        <v>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119867</v>
      </c>
      <c r="C8" s="9">
        <v>0.98250000000000004</v>
      </c>
      <c r="E8" s="6" t="s">
        <v>112</v>
      </c>
      <c r="F8" s="29">
        <v>116809</v>
      </c>
      <c r="G8" s="9">
        <v>0.99790000000000001</v>
      </c>
      <c r="I8" s="6" t="s">
        <v>112</v>
      </c>
      <c r="J8" s="29">
        <v>119860</v>
      </c>
      <c r="K8" s="9">
        <v>0.99929999999999997</v>
      </c>
      <c r="M8" s="6" t="s">
        <v>112</v>
      </c>
      <c r="N8" s="29">
        <v>15396</v>
      </c>
      <c r="O8" s="9">
        <v>0.98960000000000004</v>
      </c>
      <c r="Q8" s="6" t="s">
        <v>112</v>
      </c>
      <c r="R8" s="29">
        <v>16227</v>
      </c>
      <c r="S8" s="9">
        <v>0.99850000000000005</v>
      </c>
      <c r="U8" s="6" t="s">
        <v>112</v>
      </c>
      <c r="V8" s="29">
        <v>17175</v>
      </c>
      <c r="W8" s="9">
        <v>0.99950000000000006</v>
      </c>
      <c r="Y8" s="6" t="s">
        <v>112</v>
      </c>
      <c r="Z8" s="29">
        <v>104471</v>
      </c>
      <c r="AA8" s="9">
        <v>0.98150000000000004</v>
      </c>
      <c r="AC8" s="6" t="s">
        <v>112</v>
      </c>
      <c r="AD8" s="29">
        <v>100582</v>
      </c>
      <c r="AE8" s="9">
        <v>0.99780000000000002</v>
      </c>
      <c r="AG8" s="6" t="s">
        <v>112</v>
      </c>
      <c r="AH8" s="29">
        <v>102685</v>
      </c>
      <c r="AI8" s="9">
        <v>0.99929999999999997</v>
      </c>
    </row>
    <row r="9" spans="1:35">
      <c r="A9" s="6" t="s">
        <v>9</v>
      </c>
      <c r="B9" s="6">
        <v>586</v>
      </c>
      <c r="C9" s="9">
        <v>4.7999999999999996E-3</v>
      </c>
      <c r="E9" s="6" t="s">
        <v>122</v>
      </c>
      <c r="F9" s="6">
        <v>95</v>
      </c>
      <c r="G9" s="9">
        <v>8.0000000000000004E-4</v>
      </c>
      <c r="I9" s="6" t="s">
        <v>98</v>
      </c>
      <c r="J9" s="6">
        <v>21</v>
      </c>
      <c r="K9" s="9">
        <v>2.0000000000000001E-4</v>
      </c>
      <c r="M9" s="6" t="s">
        <v>2</v>
      </c>
      <c r="N9" s="6">
        <v>49</v>
      </c>
      <c r="O9" s="9">
        <v>3.0999999999999999E-3</v>
      </c>
      <c r="Q9" s="6" t="s">
        <v>122</v>
      </c>
      <c r="R9" s="6">
        <v>16</v>
      </c>
      <c r="S9" s="9">
        <v>1E-3</v>
      </c>
      <c r="U9" s="6" t="s">
        <v>98</v>
      </c>
      <c r="V9" s="6">
        <v>3</v>
      </c>
      <c r="W9" s="9">
        <v>2.0000000000000001E-4</v>
      </c>
      <c r="Y9" s="6" t="s">
        <v>9</v>
      </c>
      <c r="Z9" s="6">
        <v>581</v>
      </c>
      <c r="AA9" s="9">
        <v>5.4999999999999997E-3</v>
      </c>
      <c r="AC9" s="6" t="s">
        <v>122</v>
      </c>
      <c r="AD9" s="6">
        <v>79</v>
      </c>
      <c r="AE9" s="9">
        <v>8.0000000000000004E-4</v>
      </c>
      <c r="AG9" s="6" t="s">
        <v>2</v>
      </c>
      <c r="AH9" s="6">
        <v>26</v>
      </c>
      <c r="AI9" s="9">
        <v>2.9999999999999997E-4</v>
      </c>
    </row>
    <row r="10" spans="1:35">
      <c r="A10" s="6" t="s">
        <v>2</v>
      </c>
      <c r="B10" s="6">
        <v>404</v>
      </c>
      <c r="C10" s="9">
        <v>3.3E-3</v>
      </c>
      <c r="E10" s="6" t="s">
        <v>83</v>
      </c>
      <c r="F10" s="6">
        <v>72</v>
      </c>
      <c r="G10" s="9">
        <v>5.9999999999999995E-4</v>
      </c>
      <c r="I10" s="6" t="s">
        <v>2</v>
      </c>
      <c r="J10" s="6">
        <v>27</v>
      </c>
      <c r="K10" s="9">
        <v>2.0000000000000001E-4</v>
      </c>
      <c r="M10" s="6" t="s">
        <v>3</v>
      </c>
      <c r="N10" s="6">
        <v>26</v>
      </c>
      <c r="O10" s="9">
        <v>1.6999999999999999E-3</v>
      </c>
      <c r="Q10" s="6" t="s">
        <v>74</v>
      </c>
      <c r="R10" s="6">
        <v>5</v>
      </c>
      <c r="S10" s="9">
        <v>2.9999999999999997E-4</v>
      </c>
      <c r="U10" s="6" t="s">
        <v>102</v>
      </c>
      <c r="V10" s="6">
        <v>1</v>
      </c>
      <c r="W10" s="9">
        <v>1E-4</v>
      </c>
      <c r="Y10" s="6" t="s">
        <v>2</v>
      </c>
      <c r="Z10" s="6">
        <v>355</v>
      </c>
      <c r="AA10" s="9">
        <v>3.3E-3</v>
      </c>
      <c r="AC10" s="6" t="s">
        <v>83</v>
      </c>
      <c r="AD10" s="6">
        <v>72</v>
      </c>
      <c r="AE10" s="9">
        <v>6.9999999999999999E-4</v>
      </c>
      <c r="AG10" s="6" t="s">
        <v>98</v>
      </c>
      <c r="AH10" s="6">
        <v>18</v>
      </c>
      <c r="AI10" s="9">
        <v>2.0000000000000001E-4</v>
      </c>
    </row>
    <row r="11" spans="1:35">
      <c r="A11" s="6" t="s">
        <v>8</v>
      </c>
      <c r="B11" s="6">
        <v>266</v>
      </c>
      <c r="C11" s="9">
        <v>2.2000000000000001E-3</v>
      </c>
      <c r="E11" s="6" t="s">
        <v>74</v>
      </c>
      <c r="F11" s="6">
        <v>24</v>
      </c>
      <c r="G11" s="9">
        <v>2.0000000000000001E-4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16</v>
      </c>
      <c r="O11" s="9">
        <v>1E-3</v>
      </c>
      <c r="Q11" s="6" t="s">
        <v>81</v>
      </c>
      <c r="R11" s="6">
        <v>1</v>
      </c>
      <c r="S11" s="9">
        <v>1E-4</v>
      </c>
      <c r="U11" s="6" t="s">
        <v>123</v>
      </c>
      <c r="V11" s="6">
        <v>1</v>
      </c>
      <c r="W11" s="9">
        <v>1E-4</v>
      </c>
      <c r="Y11" s="6" t="s">
        <v>8</v>
      </c>
      <c r="Z11" s="6">
        <v>265</v>
      </c>
      <c r="AA11" s="9">
        <v>2.5000000000000001E-3</v>
      </c>
      <c r="AC11" s="6" t="s">
        <v>74</v>
      </c>
      <c r="AD11" s="6">
        <v>19</v>
      </c>
      <c r="AE11" s="9">
        <v>2.0000000000000001E-4</v>
      </c>
      <c r="AG11" s="6" t="s">
        <v>102</v>
      </c>
      <c r="AH11" s="6">
        <v>8</v>
      </c>
      <c r="AI11" s="9">
        <v>1E-4</v>
      </c>
    </row>
    <row r="12" spans="1:35">
      <c r="A12" s="6" t="s">
        <v>3</v>
      </c>
      <c r="B12" s="6">
        <v>212</v>
      </c>
      <c r="C12" s="9">
        <v>1.6999999999999999E-3</v>
      </c>
      <c r="E12" s="6" t="s">
        <v>77</v>
      </c>
      <c r="F12" s="6">
        <v>16</v>
      </c>
      <c r="G12" s="9">
        <v>1E-4</v>
      </c>
      <c r="I12" s="6" t="s">
        <v>99</v>
      </c>
      <c r="J12" s="6">
        <v>16</v>
      </c>
      <c r="K12" s="9">
        <v>1E-4</v>
      </c>
      <c r="M12" s="6" t="s">
        <v>7</v>
      </c>
      <c r="N12" s="6">
        <v>11</v>
      </c>
      <c r="O12" s="9">
        <v>6.9999999999999999E-4</v>
      </c>
      <c r="Q12" s="6" t="s">
        <v>80</v>
      </c>
      <c r="R12" s="6">
        <v>1</v>
      </c>
      <c r="S12" s="9">
        <v>1E-4</v>
      </c>
      <c r="U12" s="6" t="s">
        <v>99</v>
      </c>
      <c r="V12" s="6">
        <v>2</v>
      </c>
      <c r="W12" s="9">
        <v>1E-4</v>
      </c>
      <c r="Y12" s="6" t="s">
        <v>3</v>
      </c>
      <c r="Z12" s="6">
        <v>186</v>
      </c>
      <c r="AA12" s="9">
        <v>1.6999999999999999E-3</v>
      </c>
      <c r="AC12" s="6" t="s">
        <v>77</v>
      </c>
      <c r="AD12" s="6">
        <v>15</v>
      </c>
      <c r="AE12" s="9">
        <v>1E-4</v>
      </c>
      <c r="AG12" s="6" t="s">
        <v>99</v>
      </c>
      <c r="AH12" s="6">
        <v>14</v>
      </c>
      <c r="AI12" s="9">
        <v>1E-4</v>
      </c>
    </row>
    <row r="13" spans="1:35">
      <c r="A13" s="6" t="s">
        <v>5</v>
      </c>
      <c r="B13" s="6">
        <v>82</v>
      </c>
      <c r="C13" s="9">
        <v>6.9999999999999999E-4</v>
      </c>
      <c r="E13" s="6" t="s">
        <v>76</v>
      </c>
      <c r="F13" s="6">
        <v>10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18</v>
      </c>
      <c r="N13" s="6">
        <v>8</v>
      </c>
      <c r="O13" s="9">
        <v>5.0000000000000001E-4</v>
      </c>
      <c r="Q13" s="6" t="s">
        <v>77</v>
      </c>
      <c r="R13" s="6">
        <v>1</v>
      </c>
      <c r="S13" s="9">
        <v>1E-4</v>
      </c>
      <c r="U13" s="6" t="s">
        <v>2</v>
      </c>
      <c r="V13" s="6">
        <v>1</v>
      </c>
      <c r="W13" s="9">
        <v>1E-4</v>
      </c>
      <c r="Y13" s="6" t="s">
        <v>5</v>
      </c>
      <c r="Z13" s="6">
        <v>75</v>
      </c>
      <c r="AA13" s="9">
        <v>6.9999999999999999E-4</v>
      </c>
      <c r="AC13" s="6" t="s">
        <v>76</v>
      </c>
      <c r="AD13" s="6">
        <v>10</v>
      </c>
      <c r="AE13" s="9">
        <v>1E-4</v>
      </c>
      <c r="AG13" s="6" t="s">
        <v>113</v>
      </c>
      <c r="AH13" s="6">
        <v>9</v>
      </c>
      <c r="AI13" s="9">
        <v>1E-4</v>
      </c>
    </row>
    <row r="14" spans="1:35">
      <c r="A14" s="6" t="s">
        <v>11</v>
      </c>
      <c r="B14" s="6">
        <v>70</v>
      </c>
      <c r="C14" s="9">
        <v>5.9999999999999995E-4</v>
      </c>
      <c r="E14" s="6" t="s">
        <v>79</v>
      </c>
      <c r="F14" s="6">
        <v>11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7</v>
      </c>
      <c r="O14" s="9">
        <v>4.0000000000000002E-4</v>
      </c>
      <c r="Y14" s="6" t="s">
        <v>11</v>
      </c>
      <c r="Z14" s="6">
        <v>63</v>
      </c>
      <c r="AA14" s="9">
        <v>5.9999999999999995E-4</v>
      </c>
      <c r="AC14" s="6" t="s">
        <v>79</v>
      </c>
      <c r="AD14" s="6">
        <v>11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71</v>
      </c>
      <c r="C15" s="9">
        <v>5.9999999999999995E-4</v>
      </c>
      <c r="E15" s="6" t="s">
        <v>80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7</v>
      </c>
      <c r="O15" s="9">
        <v>4.0000000000000002E-4</v>
      </c>
      <c r="Y15" s="6" t="s">
        <v>7</v>
      </c>
      <c r="Z15" s="6">
        <v>60</v>
      </c>
      <c r="AA15" s="9">
        <v>5.9999999999999995E-4</v>
      </c>
      <c r="AC15" s="6" t="s">
        <v>80</v>
      </c>
      <c r="AD15" s="6">
        <v>2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51</v>
      </c>
      <c r="C16" s="9">
        <v>4.0000000000000002E-4</v>
      </c>
      <c r="E16" s="6" t="s">
        <v>89</v>
      </c>
      <c r="F16" s="6">
        <v>1</v>
      </c>
      <c r="G16" s="30">
        <v>0</v>
      </c>
      <c r="M16" s="6" t="s">
        <v>9</v>
      </c>
      <c r="N16" s="6">
        <v>5</v>
      </c>
      <c r="O16" s="9">
        <v>2.9999999999999997E-4</v>
      </c>
      <c r="Y16" s="6" t="s">
        <v>12</v>
      </c>
      <c r="Z16" s="6">
        <v>39</v>
      </c>
      <c r="AA16" s="9">
        <v>4.0000000000000002E-4</v>
      </c>
      <c r="AC16" s="6" t="s">
        <v>89</v>
      </c>
      <c r="AD16" s="6">
        <v>1</v>
      </c>
      <c r="AE16" s="30">
        <v>0</v>
      </c>
    </row>
    <row r="17" spans="1:31">
      <c r="A17" s="6" t="s">
        <v>18</v>
      </c>
      <c r="B17" s="6">
        <v>44</v>
      </c>
      <c r="C17" s="9">
        <v>4.0000000000000002E-4</v>
      </c>
      <c r="E17" s="6" t="s">
        <v>81</v>
      </c>
      <c r="F17" s="6">
        <v>1</v>
      </c>
      <c r="G17" s="30">
        <v>0</v>
      </c>
      <c r="M17" s="6" t="s">
        <v>29</v>
      </c>
      <c r="N17" s="6">
        <v>4</v>
      </c>
      <c r="O17" s="9">
        <v>2.9999999999999997E-4</v>
      </c>
      <c r="Y17" s="6" t="s">
        <v>41</v>
      </c>
      <c r="Z17" s="6">
        <v>35</v>
      </c>
      <c r="AA17" s="9">
        <v>2.9999999999999997E-4</v>
      </c>
      <c r="AC17" s="6" t="s">
        <v>82</v>
      </c>
      <c r="AD17" s="6">
        <v>3</v>
      </c>
      <c r="AE17" s="30">
        <v>0</v>
      </c>
    </row>
    <row r="18" spans="1:31">
      <c r="A18" s="6" t="s">
        <v>12</v>
      </c>
      <c r="B18" s="6">
        <v>40</v>
      </c>
      <c r="C18" s="9">
        <v>2.9999999999999997E-4</v>
      </c>
      <c r="E18" s="6" t="s">
        <v>82</v>
      </c>
      <c r="F18" s="6">
        <v>3</v>
      </c>
      <c r="G18" s="30">
        <v>0</v>
      </c>
      <c r="M18" s="6" t="s">
        <v>21</v>
      </c>
      <c r="N18" s="6">
        <v>3</v>
      </c>
      <c r="O18" s="9">
        <v>2.0000000000000001E-4</v>
      </c>
      <c r="Y18" s="6" t="s">
        <v>18</v>
      </c>
      <c r="Z18" s="6">
        <v>36</v>
      </c>
      <c r="AA18" s="9">
        <v>2.9999999999999997E-4</v>
      </c>
      <c r="AC18" s="6" t="s">
        <v>75</v>
      </c>
      <c r="AD18" s="6">
        <v>4</v>
      </c>
      <c r="AE18" s="30">
        <v>0</v>
      </c>
    </row>
    <row r="19" spans="1:31">
      <c r="A19" s="6" t="s">
        <v>20</v>
      </c>
      <c r="B19" s="6">
        <v>21</v>
      </c>
      <c r="C19" s="9">
        <v>2.0000000000000001E-4</v>
      </c>
      <c r="E19" s="6" t="s">
        <v>75</v>
      </c>
      <c r="F19" s="6">
        <v>4</v>
      </c>
      <c r="G19" s="30">
        <v>0</v>
      </c>
      <c r="M19" s="6" t="s">
        <v>17</v>
      </c>
      <c r="N19" s="6">
        <v>3</v>
      </c>
      <c r="O19" s="9">
        <v>2.0000000000000001E-4</v>
      </c>
      <c r="Y19" s="6" t="s">
        <v>31</v>
      </c>
      <c r="Z19" s="6">
        <v>28</v>
      </c>
      <c r="AA19" s="9">
        <v>2.9999999999999997E-4</v>
      </c>
      <c r="AC19" s="6" t="s">
        <v>78</v>
      </c>
      <c r="AD19" s="6">
        <v>3</v>
      </c>
      <c r="AE19" s="30">
        <v>0</v>
      </c>
    </row>
    <row r="20" spans="1:31">
      <c r="A20" s="6" t="s">
        <v>21</v>
      </c>
      <c r="B20" s="6">
        <v>22</v>
      </c>
      <c r="C20" s="9">
        <v>2.0000000000000001E-4</v>
      </c>
      <c r="E20" s="6" t="s">
        <v>78</v>
      </c>
      <c r="F20" s="6">
        <v>3</v>
      </c>
      <c r="G20" s="30">
        <v>0</v>
      </c>
      <c r="M20" s="6" t="s">
        <v>24</v>
      </c>
      <c r="N20" s="6">
        <v>3</v>
      </c>
      <c r="O20" s="9">
        <v>2.0000000000000001E-4</v>
      </c>
      <c r="Y20" s="6" t="s">
        <v>20</v>
      </c>
      <c r="Z20" s="6">
        <v>20</v>
      </c>
      <c r="AA20" s="9">
        <v>2.0000000000000001E-4</v>
      </c>
      <c r="AC20" s="6" t="s">
        <v>86</v>
      </c>
      <c r="AD20" s="6">
        <v>3</v>
      </c>
      <c r="AE20" s="30">
        <v>0</v>
      </c>
    </row>
    <row r="21" spans="1:31">
      <c r="A21" s="6" t="s">
        <v>31</v>
      </c>
      <c r="B21" s="6">
        <v>30</v>
      </c>
      <c r="C21" s="9">
        <v>2.0000000000000001E-4</v>
      </c>
      <c r="E21" s="6" t="s">
        <v>86</v>
      </c>
      <c r="F21" s="6">
        <v>3</v>
      </c>
      <c r="G21" s="30">
        <v>0</v>
      </c>
      <c r="M21" s="6" t="s">
        <v>10</v>
      </c>
      <c r="N21" s="6">
        <v>3</v>
      </c>
      <c r="O21" s="9">
        <v>2.0000000000000001E-4</v>
      </c>
      <c r="Y21" s="6" t="s">
        <v>21</v>
      </c>
      <c r="Z21" s="6">
        <v>19</v>
      </c>
      <c r="AA21" s="9">
        <v>2.0000000000000001E-4</v>
      </c>
      <c r="AC21" s="6" t="s">
        <v>176</v>
      </c>
      <c r="AD21" s="6">
        <v>1</v>
      </c>
      <c r="AE21" s="30">
        <v>0</v>
      </c>
    </row>
    <row r="22" spans="1:31">
      <c r="A22" s="6" t="s">
        <v>29</v>
      </c>
      <c r="B22" s="6">
        <v>28</v>
      </c>
      <c r="C22" s="9">
        <v>2.0000000000000001E-4</v>
      </c>
      <c r="E22" s="6" t="s">
        <v>176</v>
      </c>
      <c r="F22" s="6">
        <v>1</v>
      </c>
      <c r="G22" s="30">
        <v>0</v>
      </c>
      <c r="M22" s="6" t="s">
        <v>19</v>
      </c>
      <c r="N22" s="6">
        <v>1</v>
      </c>
      <c r="O22" s="9">
        <v>1E-4</v>
      </c>
      <c r="Y22" s="6" t="s">
        <v>37</v>
      </c>
      <c r="Z22" s="6">
        <v>16</v>
      </c>
      <c r="AA22" s="9">
        <v>2.0000000000000001E-4</v>
      </c>
      <c r="AC22" s="6" t="s">
        <v>149</v>
      </c>
      <c r="AD22" s="6">
        <v>1</v>
      </c>
      <c r="AE22" s="30">
        <v>0</v>
      </c>
    </row>
    <row r="23" spans="1:31">
      <c r="A23" s="6" t="s">
        <v>14</v>
      </c>
      <c r="B23" s="6">
        <v>23</v>
      </c>
      <c r="C23" s="9">
        <v>2.0000000000000001E-4</v>
      </c>
      <c r="E23" s="6" t="s">
        <v>149</v>
      </c>
      <c r="F23" s="6">
        <v>1</v>
      </c>
      <c r="G23" s="30">
        <v>0</v>
      </c>
      <c r="M23" s="6" t="s">
        <v>115</v>
      </c>
      <c r="N23" s="6">
        <v>1</v>
      </c>
      <c r="O23" s="9">
        <v>1E-4</v>
      </c>
      <c r="Y23" s="6" t="s">
        <v>15</v>
      </c>
      <c r="Z23" s="6">
        <v>16</v>
      </c>
      <c r="AA23" s="9">
        <v>2.0000000000000001E-4</v>
      </c>
    </row>
    <row r="24" spans="1:31">
      <c r="A24" s="6" t="s">
        <v>19</v>
      </c>
      <c r="B24" s="6">
        <v>10</v>
      </c>
      <c r="C24" s="9">
        <v>1E-4</v>
      </c>
      <c r="M24" s="6" t="s">
        <v>22</v>
      </c>
      <c r="N24" s="6">
        <v>1</v>
      </c>
      <c r="O24" s="9">
        <v>1E-4</v>
      </c>
      <c r="Y24" s="6" t="s">
        <v>29</v>
      </c>
      <c r="Z24" s="6">
        <v>24</v>
      </c>
      <c r="AA24" s="9">
        <v>2.0000000000000001E-4</v>
      </c>
    </row>
    <row r="25" spans="1:31">
      <c r="A25" s="6" t="s">
        <v>37</v>
      </c>
      <c r="B25" s="6">
        <v>17</v>
      </c>
      <c r="C25" s="9">
        <v>1E-4</v>
      </c>
      <c r="M25" s="6" t="s">
        <v>8</v>
      </c>
      <c r="N25" s="6">
        <v>1</v>
      </c>
      <c r="O25" s="9">
        <v>1E-4</v>
      </c>
      <c r="Y25" s="6" t="s">
        <v>14</v>
      </c>
      <c r="Z25" s="6">
        <v>23</v>
      </c>
      <c r="AA25" s="9">
        <v>2.0000000000000001E-4</v>
      </c>
    </row>
    <row r="26" spans="1:31">
      <c r="A26" s="6" t="s">
        <v>15</v>
      </c>
      <c r="B26" s="6">
        <v>17</v>
      </c>
      <c r="C26" s="9">
        <v>1E-4</v>
      </c>
      <c r="M26" s="6" t="s">
        <v>31</v>
      </c>
      <c r="N26" s="6">
        <v>2</v>
      </c>
      <c r="O26" s="9">
        <v>1E-4</v>
      </c>
      <c r="Y26" s="6" t="s">
        <v>19</v>
      </c>
      <c r="Z26" s="6">
        <v>9</v>
      </c>
      <c r="AA26" s="9">
        <v>1E-4</v>
      </c>
    </row>
    <row r="27" spans="1:31">
      <c r="A27" s="6" t="s">
        <v>10</v>
      </c>
      <c r="B27" s="6">
        <v>16</v>
      </c>
      <c r="C27" s="9">
        <v>1E-4</v>
      </c>
      <c r="M27" s="6" t="s">
        <v>20</v>
      </c>
      <c r="N27" s="6">
        <v>1</v>
      </c>
      <c r="O27" s="9">
        <v>1E-4</v>
      </c>
      <c r="Y27" s="6" t="s">
        <v>10</v>
      </c>
      <c r="Z27" s="6">
        <v>13</v>
      </c>
      <c r="AA27" s="9">
        <v>1E-4</v>
      </c>
    </row>
    <row r="28" spans="1:31">
      <c r="A28" s="6" t="s">
        <v>17</v>
      </c>
      <c r="B28" s="6">
        <v>12</v>
      </c>
      <c r="C28" s="9">
        <v>1E-4</v>
      </c>
      <c r="M28" s="6" t="s">
        <v>58</v>
      </c>
      <c r="N28" s="6">
        <v>1</v>
      </c>
      <c r="O28" s="9">
        <v>1E-4</v>
      </c>
      <c r="Y28" s="6" t="s">
        <v>17</v>
      </c>
      <c r="Z28" s="6">
        <v>9</v>
      </c>
      <c r="AA28" s="9">
        <v>1E-4</v>
      </c>
    </row>
    <row r="29" spans="1:31">
      <c r="A29" s="6" t="s">
        <v>22</v>
      </c>
      <c r="B29" s="6">
        <v>9</v>
      </c>
      <c r="C29" s="9">
        <v>1E-4</v>
      </c>
      <c r="M29" s="6" t="s">
        <v>40</v>
      </c>
      <c r="N29" s="6">
        <v>2</v>
      </c>
      <c r="O29" s="9">
        <v>1E-4</v>
      </c>
      <c r="Y29" s="6" t="s">
        <v>22</v>
      </c>
      <c r="Z29" s="6">
        <v>8</v>
      </c>
      <c r="AA29" s="9">
        <v>1E-4</v>
      </c>
    </row>
    <row r="30" spans="1:31">
      <c r="A30" s="6" t="s">
        <v>30</v>
      </c>
      <c r="B30" s="6">
        <v>9</v>
      </c>
      <c r="C30" s="9">
        <v>1E-4</v>
      </c>
      <c r="M30" s="6" t="s">
        <v>37</v>
      </c>
      <c r="N30" s="6">
        <v>1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40</v>
      </c>
      <c r="B31" s="6">
        <v>9</v>
      </c>
      <c r="C31" s="9">
        <v>1E-4</v>
      </c>
      <c r="M31" s="6" t="s">
        <v>12</v>
      </c>
      <c r="N31" s="6">
        <v>1</v>
      </c>
      <c r="O31" s="9">
        <v>1E-4</v>
      </c>
      <c r="Y31" s="6" t="s">
        <v>40</v>
      </c>
      <c r="Z31" s="6">
        <v>7</v>
      </c>
      <c r="AA31" s="9">
        <v>1E-4</v>
      </c>
    </row>
    <row r="32" spans="1:31">
      <c r="A32" s="6" t="s">
        <v>27</v>
      </c>
      <c r="B32" s="6">
        <v>11</v>
      </c>
      <c r="C32" s="9">
        <v>1E-4</v>
      </c>
      <c r="M32" s="6" t="s">
        <v>27</v>
      </c>
      <c r="N32" s="6">
        <v>1</v>
      </c>
      <c r="O32" s="9">
        <v>1E-4</v>
      </c>
      <c r="Y32" s="6" t="s">
        <v>26</v>
      </c>
      <c r="Z32" s="6">
        <v>6</v>
      </c>
      <c r="AA32" s="9">
        <v>1E-4</v>
      </c>
    </row>
    <row r="33" spans="1:27">
      <c r="A33" s="6" t="s">
        <v>115</v>
      </c>
      <c r="B33" s="6">
        <v>4</v>
      </c>
      <c r="C33" s="30">
        <v>0</v>
      </c>
      <c r="M33" s="6" t="s">
        <v>30</v>
      </c>
      <c r="N33" s="6">
        <v>1</v>
      </c>
      <c r="O33" s="9">
        <v>1E-4</v>
      </c>
      <c r="Y33" s="6" t="s">
        <v>27</v>
      </c>
      <c r="Z33" s="6">
        <v>10</v>
      </c>
      <c r="AA33" s="9">
        <v>1E-4</v>
      </c>
    </row>
    <row r="34" spans="1:27">
      <c r="A34" s="6" t="s">
        <v>65</v>
      </c>
      <c r="B34" s="6">
        <v>2</v>
      </c>
      <c r="C34" s="30">
        <v>0</v>
      </c>
      <c r="M34" s="6" t="s">
        <v>15</v>
      </c>
      <c r="N34" s="6">
        <v>1</v>
      </c>
      <c r="O34" s="9">
        <v>1E-4</v>
      </c>
      <c r="Y34" s="6" t="s">
        <v>115</v>
      </c>
      <c r="Z34" s="6">
        <v>3</v>
      </c>
      <c r="AA34" s="30">
        <v>0</v>
      </c>
    </row>
    <row r="35" spans="1:27">
      <c r="A35" s="6" t="s">
        <v>45</v>
      </c>
      <c r="B35" s="6">
        <v>5</v>
      </c>
      <c r="C35" s="30">
        <v>0</v>
      </c>
      <c r="M35" s="6" t="s">
        <v>64</v>
      </c>
      <c r="N35" s="6">
        <v>1</v>
      </c>
      <c r="O35" s="9">
        <v>1E-4</v>
      </c>
      <c r="Y35" s="6" t="s">
        <v>65</v>
      </c>
      <c r="Z35" s="6">
        <v>2</v>
      </c>
      <c r="AA35" s="30">
        <v>0</v>
      </c>
    </row>
    <row r="36" spans="1:27">
      <c r="A36" s="6" t="s">
        <v>13</v>
      </c>
      <c r="B36" s="6">
        <v>1</v>
      </c>
      <c r="C36" s="30">
        <v>0</v>
      </c>
      <c r="M36" s="6" t="s">
        <v>32</v>
      </c>
      <c r="N36" s="6">
        <v>1</v>
      </c>
      <c r="O36" s="9">
        <v>1E-4</v>
      </c>
      <c r="Y36" s="6" t="s">
        <v>45</v>
      </c>
      <c r="Z36" s="6">
        <v>5</v>
      </c>
      <c r="AA36" s="30">
        <v>0</v>
      </c>
    </row>
    <row r="37" spans="1:27">
      <c r="A37" s="6" t="s">
        <v>34</v>
      </c>
      <c r="B37" s="6">
        <v>4</v>
      </c>
      <c r="C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36</v>
      </c>
      <c r="B38" s="6">
        <v>2</v>
      </c>
      <c r="C38" s="30">
        <v>0</v>
      </c>
      <c r="Y38" s="6" t="s">
        <v>34</v>
      </c>
      <c r="Z38" s="6">
        <v>4</v>
      </c>
      <c r="AA38" s="30">
        <v>0</v>
      </c>
    </row>
    <row r="39" spans="1:27">
      <c r="A39" s="6" t="s">
        <v>121</v>
      </c>
      <c r="B39" s="6">
        <v>1</v>
      </c>
      <c r="C39" s="30">
        <v>0</v>
      </c>
      <c r="Y39" s="6" t="s">
        <v>121</v>
      </c>
      <c r="Z39" s="6">
        <v>1</v>
      </c>
      <c r="AA39" s="30">
        <v>0</v>
      </c>
    </row>
    <row r="40" spans="1:27">
      <c r="A40" s="6" t="s">
        <v>51</v>
      </c>
      <c r="B40" s="6">
        <v>1</v>
      </c>
      <c r="C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60</v>
      </c>
      <c r="B41" s="6">
        <v>3</v>
      </c>
      <c r="C41" s="30">
        <v>0</v>
      </c>
      <c r="Y41" s="6" t="s">
        <v>51</v>
      </c>
      <c r="Z41" s="6">
        <v>1</v>
      </c>
      <c r="AA41" s="30">
        <v>0</v>
      </c>
    </row>
    <row r="42" spans="1:27">
      <c r="A42" s="6" t="s">
        <v>16</v>
      </c>
      <c r="B42" s="6">
        <v>2</v>
      </c>
      <c r="C42" s="30">
        <v>0</v>
      </c>
      <c r="Y42" s="6" t="s">
        <v>60</v>
      </c>
      <c r="Z42" s="6">
        <v>3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Y43" s="6" t="s">
        <v>16</v>
      </c>
      <c r="Z43" s="6">
        <v>2</v>
      </c>
      <c r="AA43" s="30">
        <v>0</v>
      </c>
    </row>
    <row r="44" spans="1:27">
      <c r="A44" s="6" t="s">
        <v>24</v>
      </c>
      <c r="B44" s="6">
        <v>6</v>
      </c>
      <c r="C44" s="30">
        <v>0</v>
      </c>
      <c r="Y44" s="6" t="s">
        <v>48</v>
      </c>
      <c r="Z44" s="6">
        <v>2</v>
      </c>
      <c r="AA44" s="30">
        <v>0</v>
      </c>
    </row>
    <row r="45" spans="1:27">
      <c r="A45" s="6" t="s">
        <v>26</v>
      </c>
      <c r="B45" s="6">
        <v>6</v>
      </c>
      <c r="C45" s="30">
        <v>0</v>
      </c>
      <c r="Y45" s="6" t="s">
        <v>24</v>
      </c>
      <c r="Z45" s="6">
        <v>3</v>
      </c>
      <c r="AA45" s="30">
        <v>0</v>
      </c>
    </row>
    <row r="46" spans="1:27">
      <c r="A46" s="6" t="s">
        <v>58</v>
      </c>
      <c r="B46" s="6">
        <v>3</v>
      </c>
      <c r="C46" s="30">
        <v>0</v>
      </c>
      <c r="Y46" s="6" t="s">
        <v>33</v>
      </c>
      <c r="Z46" s="6">
        <v>3</v>
      </c>
      <c r="AA46" s="30">
        <v>0</v>
      </c>
    </row>
    <row r="47" spans="1:27">
      <c r="A47" s="6" t="s">
        <v>39</v>
      </c>
      <c r="B47" s="6">
        <v>4</v>
      </c>
      <c r="C47" s="30">
        <v>0</v>
      </c>
      <c r="Y47" s="6" t="s">
        <v>25</v>
      </c>
      <c r="Z47" s="6">
        <v>3</v>
      </c>
      <c r="AA47" s="30">
        <v>0</v>
      </c>
    </row>
    <row r="48" spans="1:27">
      <c r="A48" s="6" t="s">
        <v>33</v>
      </c>
      <c r="B48" s="6">
        <v>3</v>
      </c>
      <c r="C48" s="30">
        <v>0</v>
      </c>
      <c r="Y48" s="6" t="s">
        <v>39</v>
      </c>
      <c r="Z48" s="6">
        <v>4</v>
      </c>
      <c r="AA48" s="30">
        <v>0</v>
      </c>
    </row>
    <row r="49" spans="1:27">
      <c r="A49" s="6" t="s">
        <v>25</v>
      </c>
      <c r="B49" s="6">
        <v>3</v>
      </c>
      <c r="C49" s="30">
        <v>0</v>
      </c>
      <c r="Y49" s="6" t="s">
        <v>59</v>
      </c>
      <c r="Z49" s="6">
        <v>3</v>
      </c>
      <c r="AA49" s="30">
        <v>0</v>
      </c>
    </row>
    <row r="50" spans="1:27">
      <c r="A50" s="6" t="s">
        <v>64</v>
      </c>
      <c r="B50" s="6">
        <v>4</v>
      </c>
      <c r="C50" s="30">
        <v>0</v>
      </c>
      <c r="Y50" s="6" t="s">
        <v>58</v>
      </c>
      <c r="Z50" s="6">
        <v>2</v>
      </c>
      <c r="AA50" s="30">
        <v>0</v>
      </c>
    </row>
    <row r="51" spans="1:27">
      <c r="A51" s="6" t="s">
        <v>59</v>
      </c>
      <c r="B51" s="6">
        <v>3</v>
      </c>
      <c r="C51" s="30">
        <v>0</v>
      </c>
      <c r="Y51" s="6" t="s">
        <v>38</v>
      </c>
      <c r="Z51" s="6">
        <v>2</v>
      </c>
      <c r="AA51" s="30">
        <v>0</v>
      </c>
    </row>
    <row r="52" spans="1:27">
      <c r="A52" s="6" t="s">
        <v>38</v>
      </c>
      <c r="B52" s="6">
        <v>2</v>
      </c>
      <c r="C52" s="30">
        <v>0</v>
      </c>
      <c r="Y52" s="6" t="s">
        <v>64</v>
      </c>
      <c r="Z52" s="6">
        <v>3</v>
      </c>
      <c r="AA52" s="30">
        <v>0</v>
      </c>
    </row>
    <row r="53" spans="1:27">
      <c r="A53" s="6" t="s">
        <v>44</v>
      </c>
      <c r="B53" s="6">
        <v>1</v>
      </c>
      <c r="C53" s="30">
        <v>0</v>
      </c>
      <c r="Y53" s="6" t="s">
        <v>44</v>
      </c>
      <c r="Z53" s="6">
        <v>1</v>
      </c>
      <c r="AA53" s="30">
        <v>0</v>
      </c>
    </row>
    <row r="54" spans="1:27">
      <c r="A54" s="6" t="s">
        <v>32</v>
      </c>
      <c r="B54" s="6">
        <v>2</v>
      </c>
      <c r="C54" s="30">
        <v>0</v>
      </c>
      <c r="Y54" s="6" t="s">
        <v>129</v>
      </c>
      <c r="Z54" s="6">
        <v>3</v>
      </c>
      <c r="AA54" s="30">
        <v>0</v>
      </c>
    </row>
    <row r="55" spans="1:27">
      <c r="A55" s="6" t="s">
        <v>129</v>
      </c>
      <c r="B55" s="6">
        <v>3</v>
      </c>
      <c r="C55" s="30">
        <v>0</v>
      </c>
      <c r="Y55" s="6" t="s">
        <v>69</v>
      </c>
      <c r="Z55" s="6">
        <v>1</v>
      </c>
      <c r="AA55" s="30">
        <v>0</v>
      </c>
    </row>
    <row r="56" spans="1:27">
      <c r="A56" s="6" t="s">
        <v>42</v>
      </c>
      <c r="B56" s="6">
        <v>1</v>
      </c>
      <c r="C56" s="30">
        <v>0</v>
      </c>
      <c r="Y56" s="6" t="s">
        <v>61</v>
      </c>
      <c r="Z56" s="6">
        <v>1</v>
      </c>
      <c r="AA56" s="30">
        <v>0</v>
      </c>
    </row>
    <row r="57" spans="1:27">
      <c r="A57" s="6" t="s">
        <v>69</v>
      </c>
      <c r="B57" s="6">
        <v>1</v>
      </c>
      <c r="C57" s="30">
        <v>0</v>
      </c>
      <c r="Y57" s="6" t="s">
        <v>32</v>
      </c>
      <c r="Z57" s="6">
        <v>1</v>
      </c>
      <c r="AA57" s="30">
        <v>0</v>
      </c>
    </row>
    <row r="58" spans="1:27">
      <c r="A58" s="6" t="s">
        <v>61</v>
      </c>
      <c r="B58" s="6">
        <v>1</v>
      </c>
      <c r="C58" s="30">
        <v>0</v>
      </c>
      <c r="Y58" s="6" t="s">
        <v>42</v>
      </c>
      <c r="Z58" s="6">
        <v>1</v>
      </c>
      <c r="AA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AD90-C741-455E-A553-AF155F3CCEC8}">
  <sheetPr codeName="Sheet53"/>
  <dimension ref="A1:AI57"/>
  <sheetViews>
    <sheetView topLeftCell="A4" workbookViewId="0">
      <selection activeCell="E41" sqref="E4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128189</v>
      </c>
      <c r="E2" s="41" t="s">
        <v>4</v>
      </c>
      <c r="F2" s="23" t="s">
        <v>105</v>
      </c>
      <c r="G2" s="23">
        <f>G3+G4</f>
        <v>126438</v>
      </c>
      <c r="H2" s="22"/>
      <c r="I2" s="41" t="s">
        <v>6</v>
      </c>
      <c r="J2" s="23" t="s">
        <v>105</v>
      </c>
      <c r="K2" s="23">
        <f>K3+K4</f>
        <v>124399</v>
      </c>
      <c r="M2" s="41" t="s">
        <v>104</v>
      </c>
      <c r="N2" s="23" t="s">
        <v>105</v>
      </c>
      <c r="O2" s="23">
        <f>O3+O4</f>
        <v>16022</v>
      </c>
      <c r="Q2" s="41" t="s">
        <v>4</v>
      </c>
      <c r="R2" s="23" t="s">
        <v>105</v>
      </c>
      <c r="S2" s="23">
        <f>S3+S4</f>
        <v>16501</v>
      </c>
      <c r="T2" s="22"/>
      <c r="U2" s="41" t="s">
        <v>6</v>
      </c>
      <c r="V2" s="23" t="s">
        <v>105</v>
      </c>
      <c r="W2" s="23">
        <f>W3+W4</f>
        <v>15104</v>
      </c>
      <c r="Y2" s="41" t="s">
        <v>104</v>
      </c>
      <c r="Z2" s="23" t="s">
        <v>105</v>
      </c>
      <c r="AA2" s="23">
        <f>AA3+AA4</f>
        <v>112154</v>
      </c>
      <c r="AC2" s="41" t="s">
        <v>4</v>
      </c>
      <c r="AD2" s="23" t="s">
        <v>105</v>
      </c>
      <c r="AE2" s="23">
        <f>AE3+AE4</f>
        <v>109938</v>
      </c>
      <c r="AF2" s="22"/>
      <c r="AG2" s="41" t="s">
        <v>6</v>
      </c>
      <c r="AH2" s="23" t="s">
        <v>105</v>
      </c>
      <c r="AI2" s="23">
        <f>AI3+AI4</f>
        <v>109297</v>
      </c>
    </row>
    <row r="3" spans="1:35">
      <c r="A3" s="42"/>
      <c r="B3" s="24" t="s">
        <v>106</v>
      </c>
      <c r="C3" s="24">
        <f>B8</f>
        <v>125938</v>
      </c>
      <c r="E3" s="42"/>
      <c r="F3" s="24" t="s">
        <v>106</v>
      </c>
      <c r="G3" s="24">
        <f>F8</f>
        <v>126054</v>
      </c>
      <c r="H3" s="22"/>
      <c r="I3" s="42"/>
      <c r="J3" s="24" t="s">
        <v>106</v>
      </c>
      <c r="K3" s="24">
        <f>J8</f>
        <v>124278</v>
      </c>
      <c r="M3" s="42"/>
      <c r="N3" s="24" t="s">
        <v>106</v>
      </c>
      <c r="O3" s="24">
        <f>N8</f>
        <v>15855</v>
      </c>
      <c r="Q3" s="42"/>
      <c r="R3" s="24" t="s">
        <v>106</v>
      </c>
      <c r="S3" s="24">
        <f>R8</f>
        <v>16455</v>
      </c>
      <c r="T3" s="22"/>
      <c r="U3" s="42"/>
      <c r="V3" s="24" t="s">
        <v>106</v>
      </c>
      <c r="W3" s="24">
        <f>V8</f>
        <v>15088</v>
      </c>
      <c r="Y3" s="42"/>
      <c r="Z3" s="24" t="s">
        <v>106</v>
      </c>
      <c r="AA3" s="24">
        <f>Z8</f>
        <v>110083</v>
      </c>
      <c r="AC3" s="42"/>
      <c r="AD3" s="24" t="s">
        <v>106</v>
      </c>
      <c r="AE3" s="24">
        <f>AD8</f>
        <v>109599</v>
      </c>
      <c r="AF3" s="22"/>
      <c r="AG3" s="42"/>
      <c r="AH3" s="24" t="s">
        <v>106</v>
      </c>
      <c r="AI3" s="24">
        <f>AH8</f>
        <v>109190</v>
      </c>
    </row>
    <row r="4" spans="1:35">
      <c r="A4" s="42"/>
      <c r="B4" s="25" t="s">
        <v>107</v>
      </c>
      <c r="C4" s="25">
        <f>SUM(B9:B66)</f>
        <v>2251</v>
      </c>
      <c r="E4" s="42"/>
      <c r="F4" s="25" t="s">
        <v>107</v>
      </c>
      <c r="G4" s="25">
        <f>SUM(F9:F33)</f>
        <v>384</v>
      </c>
      <c r="H4" s="22"/>
      <c r="I4" s="42"/>
      <c r="J4" s="25" t="s">
        <v>107</v>
      </c>
      <c r="K4" s="25">
        <f>SUM(J9:J31)</f>
        <v>121</v>
      </c>
      <c r="M4" s="42"/>
      <c r="N4" s="25" t="s">
        <v>107</v>
      </c>
      <c r="O4" s="25">
        <f>SUM(N9:N66)</f>
        <v>167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16</v>
      </c>
      <c r="Y4" s="42"/>
      <c r="Z4" s="25" t="s">
        <v>107</v>
      </c>
      <c r="AA4" s="25">
        <f>SUM(Z9:Z45)</f>
        <v>2071</v>
      </c>
      <c r="AC4" s="42"/>
      <c r="AD4" s="25" t="s">
        <v>107</v>
      </c>
      <c r="AE4" s="25">
        <f>SUM(AD9:AD29)</f>
        <v>339</v>
      </c>
      <c r="AF4" s="22"/>
      <c r="AG4" s="42"/>
      <c r="AH4" s="25" t="s">
        <v>107</v>
      </c>
      <c r="AI4" s="25">
        <f>SUM(AH9:AH29)</f>
        <v>107</v>
      </c>
    </row>
    <row r="5" spans="1:35">
      <c r="A5" s="43"/>
      <c r="B5" s="23" t="s">
        <v>108</v>
      </c>
      <c r="C5" s="26">
        <f>SUM(C9:C179)</f>
        <v>1.7299999999999992E-2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1.0399999999999989E-2</v>
      </c>
      <c r="Q5" s="43"/>
      <c r="R5" s="23" t="s">
        <v>108</v>
      </c>
      <c r="S5" s="26">
        <f>SUM(S9:S33)</f>
        <v>2.9999999999999996E-3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1.8199999999999984E-2</v>
      </c>
      <c r="AC5" s="43"/>
      <c r="AD5" s="23" t="s">
        <v>108</v>
      </c>
      <c r="AE5" s="26">
        <f>SUM(AE9:AE29)</f>
        <v>3.0999999999999995E-3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125938</v>
      </c>
      <c r="C8" s="9">
        <v>0.98240000000000005</v>
      </c>
      <c r="E8" s="6" t="s">
        <v>112</v>
      </c>
      <c r="F8" s="29">
        <v>126054</v>
      </c>
      <c r="G8" s="9">
        <v>0.997</v>
      </c>
      <c r="I8" s="6" t="s">
        <v>112</v>
      </c>
      <c r="J8" s="29">
        <v>124278</v>
      </c>
      <c r="K8" s="9">
        <v>0.999</v>
      </c>
      <c r="M8" s="6" t="s">
        <v>112</v>
      </c>
      <c r="N8" s="29">
        <v>15855</v>
      </c>
      <c r="O8" s="9">
        <v>0.98960000000000004</v>
      </c>
      <c r="Q8" s="6" t="s">
        <v>112</v>
      </c>
      <c r="R8" s="29">
        <v>16455</v>
      </c>
      <c r="S8" s="9">
        <v>0.99719999999999998</v>
      </c>
      <c r="U8" s="6" t="s">
        <v>112</v>
      </c>
      <c r="V8" s="29">
        <v>15088</v>
      </c>
      <c r="W8" s="9">
        <v>0.99890000000000001</v>
      </c>
      <c r="Y8" s="6" t="s">
        <v>112</v>
      </c>
      <c r="Z8" s="29">
        <v>110083</v>
      </c>
      <c r="AA8" s="9">
        <v>0.98140000000000005</v>
      </c>
      <c r="AC8" s="6" t="s">
        <v>112</v>
      </c>
      <c r="AD8" s="29">
        <v>109599</v>
      </c>
      <c r="AE8" s="9">
        <v>0.99690000000000001</v>
      </c>
      <c r="AG8" s="6" t="s">
        <v>112</v>
      </c>
      <c r="AH8" s="29">
        <v>109190</v>
      </c>
      <c r="AI8" s="9">
        <v>0.999</v>
      </c>
    </row>
    <row r="9" spans="1:35">
      <c r="A9" s="6" t="s">
        <v>9</v>
      </c>
      <c r="B9" s="6">
        <v>526</v>
      </c>
      <c r="C9" s="9">
        <v>4.1000000000000003E-3</v>
      </c>
      <c r="E9" s="6" t="s">
        <v>122</v>
      </c>
      <c r="F9" s="6">
        <v>125</v>
      </c>
      <c r="G9" s="9">
        <v>1E-3</v>
      </c>
      <c r="I9" s="6" t="s">
        <v>2</v>
      </c>
      <c r="J9" s="6">
        <v>47</v>
      </c>
      <c r="K9" s="9">
        <v>4.0000000000000002E-4</v>
      </c>
      <c r="M9" s="6" t="s">
        <v>2</v>
      </c>
      <c r="N9" s="6">
        <v>56</v>
      </c>
      <c r="O9" s="9">
        <v>3.5000000000000001E-3</v>
      </c>
      <c r="Q9" s="6" t="s">
        <v>122</v>
      </c>
      <c r="R9" s="6">
        <v>30</v>
      </c>
      <c r="S9" s="9">
        <v>1.8E-3</v>
      </c>
      <c r="U9" s="6" t="s">
        <v>99</v>
      </c>
      <c r="V9" s="6">
        <v>4</v>
      </c>
      <c r="W9" s="9">
        <v>2.9999999999999997E-4</v>
      </c>
      <c r="Y9" s="6" t="s">
        <v>9</v>
      </c>
      <c r="Z9" s="6">
        <v>524</v>
      </c>
      <c r="AA9" s="9">
        <v>4.7000000000000002E-3</v>
      </c>
      <c r="AC9" s="6" t="s">
        <v>83</v>
      </c>
      <c r="AD9" s="6">
        <v>106</v>
      </c>
      <c r="AE9" s="9">
        <v>1E-3</v>
      </c>
      <c r="AG9" s="6" t="s">
        <v>2</v>
      </c>
      <c r="AH9" s="6">
        <v>43</v>
      </c>
      <c r="AI9" s="9">
        <v>4.0000000000000002E-4</v>
      </c>
    </row>
    <row r="10" spans="1:35">
      <c r="A10" s="6" t="s">
        <v>2</v>
      </c>
      <c r="B10" s="6">
        <v>394</v>
      </c>
      <c r="C10" s="9">
        <v>3.0999999999999999E-3</v>
      </c>
      <c r="E10" s="6" t="s">
        <v>83</v>
      </c>
      <c r="F10" s="6">
        <v>106</v>
      </c>
      <c r="G10" s="9">
        <v>8.0000000000000004E-4</v>
      </c>
      <c r="I10" s="6" t="s">
        <v>98</v>
      </c>
      <c r="J10" s="6">
        <v>29</v>
      </c>
      <c r="K10" s="9">
        <v>2.0000000000000001E-4</v>
      </c>
      <c r="M10" s="6" t="s">
        <v>3</v>
      </c>
      <c r="N10" s="6">
        <v>32</v>
      </c>
      <c r="O10" s="9">
        <v>2E-3</v>
      </c>
      <c r="Q10" s="6" t="s">
        <v>74</v>
      </c>
      <c r="R10" s="6">
        <v>6</v>
      </c>
      <c r="S10" s="9">
        <v>4.0000000000000002E-4</v>
      </c>
      <c r="U10" s="6" t="s">
        <v>2</v>
      </c>
      <c r="V10" s="6">
        <v>4</v>
      </c>
      <c r="W10" s="9">
        <v>2.9999999999999997E-4</v>
      </c>
      <c r="Y10" s="6" t="s">
        <v>2</v>
      </c>
      <c r="Z10" s="6">
        <v>338</v>
      </c>
      <c r="AA10" s="9">
        <v>3.0000000000000001E-3</v>
      </c>
      <c r="AC10" s="6" t="s">
        <v>122</v>
      </c>
      <c r="AD10" s="6">
        <v>95</v>
      </c>
      <c r="AE10" s="9">
        <v>8.9999999999999998E-4</v>
      </c>
      <c r="AG10" s="6" t="s">
        <v>98</v>
      </c>
      <c r="AH10" s="6">
        <v>26</v>
      </c>
      <c r="AI10" s="9">
        <v>2.0000000000000001E-4</v>
      </c>
    </row>
    <row r="11" spans="1:35">
      <c r="A11" s="6" t="s">
        <v>8</v>
      </c>
      <c r="B11" s="6">
        <v>312</v>
      </c>
      <c r="C11" s="9">
        <v>2.3999999999999998E-3</v>
      </c>
      <c r="E11" s="6" t="s">
        <v>79</v>
      </c>
      <c r="F11" s="6">
        <v>34</v>
      </c>
      <c r="G11" s="9">
        <v>2.9999999999999997E-4</v>
      </c>
      <c r="I11" s="6" t="s">
        <v>102</v>
      </c>
      <c r="J11" s="6">
        <v>15</v>
      </c>
      <c r="K11" s="9">
        <v>1E-4</v>
      </c>
      <c r="M11" s="6" t="s">
        <v>41</v>
      </c>
      <c r="N11" s="6">
        <v>14</v>
      </c>
      <c r="O11" s="9">
        <v>8.9999999999999998E-4</v>
      </c>
      <c r="Q11" s="6" t="s">
        <v>76</v>
      </c>
      <c r="R11" s="6">
        <v>3</v>
      </c>
      <c r="S11" s="9">
        <v>2.0000000000000001E-4</v>
      </c>
      <c r="U11" s="6" t="s">
        <v>102</v>
      </c>
      <c r="V11" s="6">
        <v>3</v>
      </c>
      <c r="W11" s="9">
        <v>2.0000000000000001E-4</v>
      </c>
      <c r="Y11" s="6" t="s">
        <v>8</v>
      </c>
      <c r="Z11" s="6">
        <v>311</v>
      </c>
      <c r="AA11" s="9">
        <v>2.8E-3</v>
      </c>
      <c r="AC11" s="6" t="s">
        <v>79</v>
      </c>
      <c r="AD11" s="6">
        <v>33</v>
      </c>
      <c r="AE11" s="9">
        <v>2.9999999999999997E-4</v>
      </c>
      <c r="AG11" s="6" t="s">
        <v>102</v>
      </c>
      <c r="AH11" s="6">
        <v>13</v>
      </c>
      <c r="AI11" s="9">
        <v>1E-4</v>
      </c>
    </row>
    <row r="12" spans="1:35">
      <c r="A12" s="6" t="s">
        <v>3</v>
      </c>
      <c r="B12" s="6">
        <v>247</v>
      </c>
      <c r="C12" s="9">
        <v>1.9E-3</v>
      </c>
      <c r="E12" s="6" t="s">
        <v>77</v>
      </c>
      <c r="F12" s="6">
        <v>27</v>
      </c>
      <c r="G12" s="9">
        <v>2.0000000000000001E-4</v>
      </c>
      <c r="I12" s="6" t="s">
        <v>99</v>
      </c>
      <c r="J12" s="6">
        <v>18</v>
      </c>
      <c r="K12" s="9">
        <v>1E-4</v>
      </c>
      <c r="M12" s="6" t="s">
        <v>17</v>
      </c>
      <c r="N12" s="6">
        <v>12</v>
      </c>
      <c r="O12" s="9">
        <v>6.9999999999999999E-4</v>
      </c>
      <c r="Q12" s="6" t="s">
        <v>77</v>
      </c>
      <c r="R12" s="6">
        <v>3</v>
      </c>
      <c r="S12" s="9">
        <v>2.0000000000000001E-4</v>
      </c>
      <c r="U12" s="6" t="s">
        <v>98</v>
      </c>
      <c r="V12" s="6">
        <v>3</v>
      </c>
      <c r="W12" s="9">
        <v>2.0000000000000001E-4</v>
      </c>
      <c r="Y12" s="6" t="s">
        <v>3</v>
      </c>
      <c r="Z12" s="6">
        <v>215</v>
      </c>
      <c r="AA12" s="9">
        <v>1.9E-3</v>
      </c>
      <c r="AC12" s="6" t="s">
        <v>86</v>
      </c>
      <c r="AD12" s="6">
        <v>31</v>
      </c>
      <c r="AE12" s="9">
        <v>2.9999999999999997E-4</v>
      </c>
      <c r="AG12" s="6" t="s">
        <v>99</v>
      </c>
      <c r="AH12" s="6">
        <v>14</v>
      </c>
      <c r="AI12" s="9">
        <v>1E-4</v>
      </c>
    </row>
    <row r="13" spans="1:35">
      <c r="A13" s="6" t="s">
        <v>5</v>
      </c>
      <c r="B13" s="6">
        <v>123</v>
      </c>
      <c r="C13" s="9">
        <v>1E-3</v>
      </c>
      <c r="E13" s="6" t="s">
        <v>86</v>
      </c>
      <c r="F13" s="6">
        <v>31</v>
      </c>
      <c r="G13" s="9">
        <v>2.0000000000000001E-4</v>
      </c>
      <c r="I13" s="6" t="s">
        <v>113</v>
      </c>
      <c r="J13" s="6">
        <v>9</v>
      </c>
      <c r="K13" s="9">
        <v>1E-4</v>
      </c>
      <c r="M13" s="6" t="s">
        <v>7</v>
      </c>
      <c r="N13" s="6">
        <v>8</v>
      </c>
      <c r="O13" s="9">
        <v>5.0000000000000001E-4</v>
      </c>
      <c r="Q13" s="6" t="s">
        <v>92</v>
      </c>
      <c r="R13" s="6">
        <v>1</v>
      </c>
      <c r="S13" s="9">
        <v>1E-4</v>
      </c>
      <c r="U13" s="6" t="s">
        <v>123</v>
      </c>
      <c r="V13" s="6">
        <v>1</v>
      </c>
      <c r="W13" s="9">
        <v>1E-4</v>
      </c>
      <c r="Y13" s="6" t="s">
        <v>5</v>
      </c>
      <c r="Z13" s="6">
        <v>120</v>
      </c>
      <c r="AA13" s="9">
        <v>1.1000000000000001E-3</v>
      </c>
      <c r="AC13" s="6" t="s">
        <v>77</v>
      </c>
      <c r="AD13" s="6">
        <v>24</v>
      </c>
      <c r="AE13" s="9">
        <v>2.0000000000000001E-4</v>
      </c>
      <c r="AG13" s="6" t="s">
        <v>113</v>
      </c>
      <c r="AH13" s="6">
        <v>8</v>
      </c>
      <c r="AI13" s="9">
        <v>1E-4</v>
      </c>
    </row>
    <row r="14" spans="1:35">
      <c r="A14" s="6" t="s">
        <v>11</v>
      </c>
      <c r="B14" s="6">
        <v>84</v>
      </c>
      <c r="C14" s="9">
        <v>6.9999999999999999E-4</v>
      </c>
      <c r="E14" s="6" t="s">
        <v>76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11</v>
      </c>
      <c r="N14" s="6">
        <v>7</v>
      </c>
      <c r="O14" s="9">
        <v>4.0000000000000002E-4</v>
      </c>
      <c r="Q14" s="6" t="s">
        <v>80</v>
      </c>
      <c r="R14" s="6">
        <v>1</v>
      </c>
      <c r="S14" s="9">
        <v>1E-4</v>
      </c>
      <c r="U14" s="6" t="s">
        <v>113</v>
      </c>
      <c r="V14" s="6">
        <v>1</v>
      </c>
      <c r="W14" s="9">
        <v>1E-4</v>
      </c>
      <c r="Y14" s="6" t="s">
        <v>11</v>
      </c>
      <c r="Z14" s="6">
        <v>77</v>
      </c>
      <c r="AA14" s="9">
        <v>6.9999999999999999E-4</v>
      </c>
      <c r="AC14" s="6" t="s">
        <v>76</v>
      </c>
      <c r="AD14" s="6">
        <v>9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86</v>
      </c>
      <c r="C15" s="9">
        <v>6.9999999999999999E-4</v>
      </c>
      <c r="E15" s="6" t="s">
        <v>74</v>
      </c>
      <c r="F15" s="6">
        <v>16</v>
      </c>
      <c r="G15" s="9">
        <v>1E-4</v>
      </c>
      <c r="I15" s="6" t="s">
        <v>117</v>
      </c>
      <c r="J15" s="6">
        <v>1</v>
      </c>
      <c r="K15" s="30">
        <v>0</v>
      </c>
      <c r="M15" s="6" t="s">
        <v>5</v>
      </c>
      <c r="N15" s="6">
        <v>3</v>
      </c>
      <c r="O15" s="9">
        <v>2.0000000000000001E-4</v>
      </c>
      <c r="Q15" s="6" t="s">
        <v>91</v>
      </c>
      <c r="R15" s="6">
        <v>1</v>
      </c>
      <c r="S15" s="9">
        <v>1E-4</v>
      </c>
      <c r="Y15" s="6" t="s">
        <v>7</v>
      </c>
      <c r="Z15" s="6">
        <v>78</v>
      </c>
      <c r="AA15" s="9">
        <v>6.9999999999999999E-4</v>
      </c>
      <c r="AC15" s="6" t="s">
        <v>75</v>
      </c>
      <c r="AD15" s="6">
        <v>13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59</v>
      </c>
      <c r="C16" s="9">
        <v>5.0000000000000001E-4</v>
      </c>
      <c r="E16" s="6" t="s">
        <v>75</v>
      </c>
      <c r="F16" s="6">
        <v>13</v>
      </c>
      <c r="G16" s="9">
        <v>1E-4</v>
      </c>
      <c r="I16" s="6" t="s">
        <v>103</v>
      </c>
      <c r="J16" s="6">
        <v>1</v>
      </c>
      <c r="K16" s="30">
        <v>0</v>
      </c>
      <c r="M16" s="6" t="s">
        <v>29</v>
      </c>
      <c r="N16" s="6">
        <v>4</v>
      </c>
      <c r="O16" s="9">
        <v>2.0000000000000001E-4</v>
      </c>
      <c r="Q16" s="6" t="s">
        <v>79</v>
      </c>
      <c r="R16" s="6">
        <v>1</v>
      </c>
      <c r="S16" s="9">
        <v>1E-4</v>
      </c>
      <c r="Y16" s="6" t="s">
        <v>41</v>
      </c>
      <c r="Z16" s="6">
        <v>45</v>
      </c>
      <c r="AA16" s="9">
        <v>4.0000000000000002E-4</v>
      </c>
      <c r="AC16" s="6" t="s">
        <v>74</v>
      </c>
      <c r="AD16" s="6">
        <v>10</v>
      </c>
      <c r="AE16" s="9">
        <v>1E-4</v>
      </c>
      <c r="AG16" s="6" t="s">
        <v>103</v>
      </c>
      <c r="AH16" s="6">
        <v>1</v>
      </c>
      <c r="AI16" s="30">
        <v>0</v>
      </c>
    </row>
    <row r="17" spans="1:31">
      <c r="A17" s="6" t="s">
        <v>21</v>
      </c>
      <c r="B17" s="6">
        <v>27</v>
      </c>
      <c r="C17" s="9">
        <v>2.0000000000000001E-4</v>
      </c>
      <c r="E17" s="6" t="s">
        <v>78</v>
      </c>
      <c r="F17" s="6">
        <v>9</v>
      </c>
      <c r="G17" s="9">
        <v>1E-4</v>
      </c>
      <c r="M17" s="6" t="s">
        <v>18</v>
      </c>
      <c r="N17" s="6">
        <v>4</v>
      </c>
      <c r="O17" s="9">
        <v>2.0000000000000001E-4</v>
      </c>
      <c r="Y17" s="6" t="s">
        <v>21</v>
      </c>
      <c r="Z17" s="6">
        <v>26</v>
      </c>
      <c r="AA17" s="9">
        <v>2.0000000000000001E-4</v>
      </c>
      <c r="AC17" s="6" t="s">
        <v>78</v>
      </c>
      <c r="AD17" s="6">
        <v>9</v>
      </c>
      <c r="AE17" s="9">
        <v>1E-4</v>
      </c>
    </row>
    <row r="18" spans="1:31">
      <c r="A18" s="6" t="s">
        <v>15</v>
      </c>
      <c r="B18" s="6">
        <v>21</v>
      </c>
      <c r="C18" s="9">
        <v>2.0000000000000001E-4</v>
      </c>
      <c r="E18" s="6" t="s">
        <v>92</v>
      </c>
      <c r="F18" s="6">
        <v>2</v>
      </c>
      <c r="G18" s="30">
        <v>0</v>
      </c>
      <c r="M18" s="6" t="s">
        <v>67</v>
      </c>
      <c r="N18" s="6">
        <v>1</v>
      </c>
      <c r="O18" s="9">
        <v>1E-4</v>
      </c>
      <c r="Y18" s="6" t="s">
        <v>15</v>
      </c>
      <c r="Z18" s="6">
        <v>21</v>
      </c>
      <c r="AA18" s="9">
        <v>2.0000000000000001E-4</v>
      </c>
      <c r="AC18" s="6" t="s">
        <v>116</v>
      </c>
      <c r="AD18" s="6">
        <v>1</v>
      </c>
      <c r="AE18" s="30">
        <v>0</v>
      </c>
    </row>
    <row r="19" spans="1:31">
      <c r="A19" s="6" t="s">
        <v>12</v>
      </c>
      <c r="B19" s="6">
        <v>21</v>
      </c>
      <c r="C19" s="9">
        <v>2.0000000000000001E-4</v>
      </c>
      <c r="E19" s="6" t="s">
        <v>116</v>
      </c>
      <c r="F19" s="6">
        <v>1</v>
      </c>
      <c r="G19" s="30">
        <v>0</v>
      </c>
      <c r="M19" s="6" t="s">
        <v>21</v>
      </c>
      <c r="N19" s="6">
        <v>1</v>
      </c>
      <c r="O19" s="9">
        <v>1E-4</v>
      </c>
      <c r="Y19" s="6" t="s">
        <v>12</v>
      </c>
      <c r="Z19" s="6">
        <v>20</v>
      </c>
      <c r="AA19" s="9">
        <v>2.0000000000000001E-4</v>
      </c>
      <c r="AC19" s="6" t="s">
        <v>92</v>
      </c>
      <c r="AD19" s="6">
        <v>1</v>
      </c>
      <c r="AE19" s="30">
        <v>0</v>
      </c>
    </row>
    <row r="20" spans="1:31">
      <c r="A20" s="6" t="s">
        <v>37</v>
      </c>
      <c r="B20" s="6">
        <v>23</v>
      </c>
      <c r="C20" s="9">
        <v>2.0000000000000001E-4</v>
      </c>
      <c r="E20" s="6" t="s">
        <v>80</v>
      </c>
      <c r="F20" s="6">
        <v>2</v>
      </c>
      <c r="G20" s="30">
        <v>0</v>
      </c>
      <c r="M20" s="6" t="s">
        <v>22</v>
      </c>
      <c r="N20" s="6">
        <v>2</v>
      </c>
      <c r="O20" s="9">
        <v>1E-4</v>
      </c>
      <c r="Y20" s="6" t="s">
        <v>37</v>
      </c>
      <c r="Z20" s="6">
        <v>21</v>
      </c>
      <c r="AA20" s="9">
        <v>2.0000000000000001E-4</v>
      </c>
      <c r="AC20" s="6" t="s">
        <v>80</v>
      </c>
      <c r="AD20" s="6">
        <v>2</v>
      </c>
      <c r="AE20" s="30">
        <v>0</v>
      </c>
    </row>
    <row r="21" spans="1:31">
      <c r="A21" s="6" t="s">
        <v>18</v>
      </c>
      <c r="B21" s="6">
        <v>30</v>
      </c>
      <c r="C21" s="9">
        <v>2.0000000000000001E-4</v>
      </c>
      <c r="E21" s="6" t="s">
        <v>149</v>
      </c>
      <c r="F21" s="6">
        <v>1</v>
      </c>
      <c r="G21" s="30">
        <v>0</v>
      </c>
      <c r="M21" s="6" t="s">
        <v>37</v>
      </c>
      <c r="N21" s="6">
        <v>2</v>
      </c>
      <c r="O21" s="9">
        <v>1E-4</v>
      </c>
      <c r="Y21" s="6" t="s">
        <v>14</v>
      </c>
      <c r="Z21" s="6">
        <v>26</v>
      </c>
      <c r="AA21" s="9">
        <v>2.0000000000000001E-4</v>
      </c>
      <c r="AC21" s="6" t="s">
        <v>149</v>
      </c>
      <c r="AD21" s="6">
        <v>1</v>
      </c>
      <c r="AE21" s="30">
        <v>0</v>
      </c>
    </row>
    <row r="22" spans="1:31">
      <c r="A22" s="6" t="s">
        <v>10</v>
      </c>
      <c r="B22" s="6">
        <v>25</v>
      </c>
      <c r="C22" s="9">
        <v>2.0000000000000001E-4</v>
      </c>
      <c r="E22" s="6" t="s">
        <v>82</v>
      </c>
      <c r="F22" s="6">
        <v>1</v>
      </c>
      <c r="G22" s="30">
        <v>0</v>
      </c>
      <c r="M22" s="6" t="s">
        <v>9</v>
      </c>
      <c r="N22" s="6">
        <v>2</v>
      </c>
      <c r="O22" s="9">
        <v>1E-4</v>
      </c>
      <c r="Y22" s="6" t="s">
        <v>10</v>
      </c>
      <c r="Z22" s="6">
        <v>23</v>
      </c>
      <c r="AA22" s="9">
        <v>2.0000000000000001E-4</v>
      </c>
      <c r="AC22" s="6" t="s">
        <v>82</v>
      </c>
      <c r="AD22" s="6">
        <v>1</v>
      </c>
      <c r="AE22" s="30">
        <v>0</v>
      </c>
    </row>
    <row r="23" spans="1:31">
      <c r="A23" s="6" t="s">
        <v>14</v>
      </c>
      <c r="B23" s="6">
        <v>26</v>
      </c>
      <c r="C23" s="9">
        <v>2.0000000000000001E-4</v>
      </c>
      <c r="E23" s="6" t="s">
        <v>145</v>
      </c>
      <c r="F23" s="6">
        <v>1</v>
      </c>
      <c r="G23" s="30">
        <v>0</v>
      </c>
      <c r="M23" s="6" t="s">
        <v>10</v>
      </c>
      <c r="N23" s="6">
        <v>2</v>
      </c>
      <c r="O23" s="9">
        <v>1E-4</v>
      </c>
      <c r="Y23" s="6" t="s">
        <v>18</v>
      </c>
      <c r="Z23" s="6">
        <v>26</v>
      </c>
      <c r="AA23" s="9">
        <v>2.0000000000000001E-4</v>
      </c>
      <c r="AC23" s="6" t="s">
        <v>161</v>
      </c>
      <c r="AD23" s="6">
        <v>1</v>
      </c>
      <c r="AE23" s="30">
        <v>0</v>
      </c>
    </row>
    <row r="24" spans="1:31">
      <c r="A24" s="6" t="s">
        <v>26</v>
      </c>
      <c r="B24" s="6">
        <v>28</v>
      </c>
      <c r="C24" s="9">
        <v>2.0000000000000001E-4</v>
      </c>
      <c r="E24" s="6" t="s">
        <v>161</v>
      </c>
      <c r="F24" s="6">
        <v>1</v>
      </c>
      <c r="G24" s="30">
        <v>0</v>
      </c>
      <c r="M24" s="6" t="s">
        <v>16</v>
      </c>
      <c r="N24" s="6">
        <v>2</v>
      </c>
      <c r="O24" s="9">
        <v>1E-4</v>
      </c>
      <c r="Y24" s="6" t="s">
        <v>26</v>
      </c>
      <c r="Z24" s="6">
        <v>28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1">
      <c r="A25" s="6" t="s">
        <v>29</v>
      </c>
      <c r="B25" s="6">
        <v>26</v>
      </c>
      <c r="C25" s="9">
        <v>2.0000000000000001E-4</v>
      </c>
      <c r="E25" s="6" t="s">
        <v>91</v>
      </c>
      <c r="F25" s="6">
        <v>1</v>
      </c>
      <c r="G25" s="30">
        <v>0</v>
      </c>
      <c r="M25" s="6" t="s">
        <v>43</v>
      </c>
      <c r="N25" s="6">
        <v>2</v>
      </c>
      <c r="O25" s="9">
        <v>1E-4</v>
      </c>
      <c r="Y25" s="6" t="s">
        <v>29</v>
      </c>
      <c r="Z25" s="6">
        <v>22</v>
      </c>
      <c r="AA25" s="9">
        <v>2.0000000000000001E-4</v>
      </c>
      <c r="AC25" s="6" t="s">
        <v>176</v>
      </c>
      <c r="AD25" s="6">
        <v>1</v>
      </c>
      <c r="AE25" s="30">
        <v>0</v>
      </c>
    </row>
    <row r="26" spans="1:31">
      <c r="A26" s="6" t="s">
        <v>17</v>
      </c>
      <c r="B26" s="6">
        <v>24</v>
      </c>
      <c r="C26" s="9">
        <v>2.0000000000000001E-4</v>
      </c>
      <c r="E26" s="6" t="s">
        <v>176</v>
      </c>
      <c r="F26" s="6">
        <v>1</v>
      </c>
      <c r="G26" s="30">
        <v>0</v>
      </c>
      <c r="M26" s="6" t="s">
        <v>31</v>
      </c>
      <c r="N26" s="6">
        <v>2</v>
      </c>
      <c r="O26" s="9">
        <v>1E-4</v>
      </c>
      <c r="Y26" s="6" t="s">
        <v>31</v>
      </c>
      <c r="Z26" s="6">
        <v>18</v>
      </c>
      <c r="AA26" s="9">
        <v>2.0000000000000001E-4</v>
      </c>
    </row>
    <row r="27" spans="1:31">
      <c r="A27" s="6" t="s">
        <v>31</v>
      </c>
      <c r="B27" s="6">
        <v>20</v>
      </c>
      <c r="C27" s="9">
        <v>2.0000000000000001E-4</v>
      </c>
      <c r="M27" s="6" t="s">
        <v>12</v>
      </c>
      <c r="N27" s="6">
        <v>1</v>
      </c>
      <c r="O27" s="9">
        <v>1E-4</v>
      </c>
      <c r="Y27" s="6" t="s">
        <v>27</v>
      </c>
      <c r="Z27" s="6">
        <v>19</v>
      </c>
      <c r="AA27" s="9">
        <v>2.0000000000000001E-4</v>
      </c>
    </row>
    <row r="28" spans="1:31">
      <c r="A28" s="6" t="s">
        <v>27</v>
      </c>
      <c r="B28" s="6">
        <v>21</v>
      </c>
      <c r="C28" s="9">
        <v>2.0000000000000001E-4</v>
      </c>
      <c r="M28" s="6" t="s">
        <v>30</v>
      </c>
      <c r="N28" s="6">
        <v>2</v>
      </c>
      <c r="O28" s="9">
        <v>1E-4</v>
      </c>
      <c r="Y28" s="6" t="s">
        <v>19</v>
      </c>
      <c r="Z28" s="6">
        <v>7</v>
      </c>
      <c r="AA28" s="9">
        <v>1E-4</v>
      </c>
    </row>
    <row r="29" spans="1:31">
      <c r="A29" s="6" t="s">
        <v>19</v>
      </c>
      <c r="B29" s="6">
        <v>7</v>
      </c>
      <c r="C29" s="9">
        <v>1E-4</v>
      </c>
      <c r="M29" s="6" t="s">
        <v>36</v>
      </c>
      <c r="N29" s="6">
        <v>1</v>
      </c>
      <c r="O29" s="9">
        <v>1E-4</v>
      </c>
      <c r="Y29" s="6" t="s">
        <v>20</v>
      </c>
      <c r="Z29" s="6">
        <v>14</v>
      </c>
      <c r="AA29" s="9">
        <v>1E-4</v>
      </c>
    </row>
    <row r="30" spans="1:31">
      <c r="A30" s="6" t="s">
        <v>20</v>
      </c>
      <c r="B30" s="6">
        <v>14</v>
      </c>
      <c r="C30" s="9">
        <v>1E-4</v>
      </c>
      <c r="M30" s="6" t="s">
        <v>69</v>
      </c>
      <c r="N30" s="6">
        <v>1</v>
      </c>
      <c r="O30" s="9">
        <v>1E-4</v>
      </c>
      <c r="Y30" s="6" t="s">
        <v>34</v>
      </c>
      <c r="Z30" s="6">
        <v>6</v>
      </c>
      <c r="AA30" s="9">
        <v>1E-4</v>
      </c>
    </row>
    <row r="31" spans="1:31">
      <c r="A31" s="6" t="s">
        <v>22</v>
      </c>
      <c r="B31" s="6">
        <v>18</v>
      </c>
      <c r="C31" s="9">
        <v>1E-4</v>
      </c>
      <c r="M31" s="6" t="s">
        <v>8</v>
      </c>
      <c r="N31" s="6">
        <v>1</v>
      </c>
      <c r="O31" s="9">
        <v>1E-4</v>
      </c>
      <c r="Y31" s="6" t="s">
        <v>22</v>
      </c>
      <c r="Z31" s="6">
        <v>16</v>
      </c>
      <c r="AA31" s="9">
        <v>1E-4</v>
      </c>
    </row>
    <row r="32" spans="1:31">
      <c r="A32" s="6" t="s">
        <v>30</v>
      </c>
      <c r="B32" s="6">
        <v>15</v>
      </c>
      <c r="C32" s="9">
        <v>1E-4</v>
      </c>
      <c r="M32" s="6" t="s">
        <v>27</v>
      </c>
      <c r="N32" s="6">
        <v>2</v>
      </c>
      <c r="O32" s="9">
        <v>1E-4</v>
      </c>
      <c r="Y32" s="6" t="s">
        <v>17</v>
      </c>
      <c r="Z32" s="6">
        <v>12</v>
      </c>
      <c r="AA32" s="9">
        <v>1E-4</v>
      </c>
    </row>
    <row r="33" spans="1:27">
      <c r="A33" s="6" t="s">
        <v>40</v>
      </c>
      <c r="B33" s="6">
        <v>14</v>
      </c>
      <c r="C33" s="9">
        <v>1E-4</v>
      </c>
      <c r="M33" s="6" t="s">
        <v>38</v>
      </c>
      <c r="N33" s="6">
        <v>1</v>
      </c>
      <c r="O33" s="9">
        <v>1E-4</v>
      </c>
      <c r="Y33" s="6" t="s">
        <v>30</v>
      </c>
      <c r="Z33" s="6">
        <v>13</v>
      </c>
      <c r="AA33" s="9">
        <v>1E-4</v>
      </c>
    </row>
    <row r="34" spans="1:27">
      <c r="A34" s="6" t="s">
        <v>180</v>
      </c>
      <c r="B34" s="6">
        <v>1</v>
      </c>
      <c r="C34" s="30">
        <v>0</v>
      </c>
      <c r="M34" s="6" t="s">
        <v>48</v>
      </c>
      <c r="N34" s="6">
        <v>1</v>
      </c>
      <c r="O34" s="9">
        <v>1E-4</v>
      </c>
      <c r="Y34" s="6" t="s">
        <v>40</v>
      </c>
      <c r="Z34" s="6">
        <v>14</v>
      </c>
      <c r="AA34" s="9">
        <v>1E-4</v>
      </c>
    </row>
    <row r="35" spans="1:27">
      <c r="A35" s="6" t="s">
        <v>34</v>
      </c>
      <c r="B35" s="6">
        <v>6</v>
      </c>
      <c r="C35" s="30">
        <v>0</v>
      </c>
      <c r="M35" s="6" t="s">
        <v>39</v>
      </c>
      <c r="N35" s="6">
        <v>1</v>
      </c>
      <c r="O35" s="9">
        <v>1E-4</v>
      </c>
      <c r="Y35" s="6" t="s">
        <v>180</v>
      </c>
      <c r="Z35" s="6">
        <v>1</v>
      </c>
      <c r="AA35" s="30">
        <v>0</v>
      </c>
    </row>
    <row r="36" spans="1:27">
      <c r="A36" s="6" t="s">
        <v>45</v>
      </c>
      <c r="B36" s="6">
        <v>4</v>
      </c>
      <c r="C36" s="30">
        <v>0</v>
      </c>
      <c r="Y36" s="6" t="s">
        <v>45</v>
      </c>
      <c r="Z36" s="6">
        <v>4</v>
      </c>
      <c r="AA36" s="30">
        <v>0</v>
      </c>
    </row>
    <row r="37" spans="1:27">
      <c r="A37" s="6" t="s">
        <v>13</v>
      </c>
      <c r="B37" s="6">
        <v>1</v>
      </c>
      <c r="C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48</v>
      </c>
      <c r="B38" s="6">
        <v>1</v>
      </c>
      <c r="C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Y39" s="6" t="s">
        <v>47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Y40" s="6" t="s">
        <v>16</v>
      </c>
      <c r="Z40" s="6">
        <v>4</v>
      </c>
      <c r="AA40" s="30">
        <v>0</v>
      </c>
    </row>
    <row r="41" spans="1:27">
      <c r="A41" s="6" t="s">
        <v>47</v>
      </c>
      <c r="B41" s="6">
        <v>1</v>
      </c>
      <c r="C41" s="30">
        <v>0</v>
      </c>
      <c r="Y41" s="6" t="s">
        <v>33</v>
      </c>
      <c r="Z41" s="6">
        <v>4</v>
      </c>
      <c r="AA41" s="30">
        <v>0</v>
      </c>
    </row>
    <row r="42" spans="1:27">
      <c r="A42" s="6" t="s">
        <v>16</v>
      </c>
      <c r="B42" s="6">
        <v>6</v>
      </c>
      <c r="C42" s="30">
        <v>0</v>
      </c>
      <c r="Y42" s="6" t="s">
        <v>58</v>
      </c>
      <c r="Z42" s="6">
        <v>5</v>
      </c>
      <c r="AA42" s="30">
        <v>0</v>
      </c>
    </row>
    <row r="43" spans="1:27">
      <c r="A43" s="6" t="s">
        <v>33</v>
      </c>
      <c r="B43" s="6">
        <v>4</v>
      </c>
      <c r="C43" s="30">
        <v>0</v>
      </c>
      <c r="Y43" s="6" t="s">
        <v>64</v>
      </c>
      <c r="Z43" s="6">
        <v>4</v>
      </c>
      <c r="AA43" s="30">
        <v>0</v>
      </c>
    </row>
    <row r="44" spans="1:27">
      <c r="A44" s="6" t="s">
        <v>58</v>
      </c>
      <c r="B44" s="6">
        <v>5</v>
      </c>
      <c r="C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39</v>
      </c>
      <c r="B45" s="6">
        <v>3</v>
      </c>
      <c r="C45" s="30">
        <v>0</v>
      </c>
      <c r="Y45" s="6" t="s">
        <v>68</v>
      </c>
      <c r="Z45" s="6">
        <v>4</v>
      </c>
      <c r="AA45" s="30">
        <v>0</v>
      </c>
    </row>
    <row r="46" spans="1:27">
      <c r="A46" s="6" t="s">
        <v>64</v>
      </c>
      <c r="B46" s="6">
        <v>4</v>
      </c>
      <c r="C46" s="30">
        <v>0</v>
      </c>
      <c r="Y46" s="6" t="s">
        <v>60</v>
      </c>
      <c r="Z46" s="6">
        <v>3</v>
      </c>
      <c r="AA46" s="30">
        <v>0</v>
      </c>
    </row>
    <row r="47" spans="1:27">
      <c r="A47" s="6" t="s">
        <v>68</v>
      </c>
      <c r="B47" s="6">
        <v>4</v>
      </c>
      <c r="C47" s="30">
        <v>0</v>
      </c>
      <c r="Y47" s="6" t="s">
        <v>25</v>
      </c>
      <c r="Z47" s="6">
        <v>2</v>
      </c>
      <c r="AA47" s="30">
        <v>0</v>
      </c>
    </row>
    <row r="48" spans="1:27">
      <c r="A48" s="6" t="s">
        <v>38</v>
      </c>
      <c r="B48" s="6">
        <v>3</v>
      </c>
      <c r="C48" s="30">
        <v>0</v>
      </c>
      <c r="Y48" s="6" t="s">
        <v>38</v>
      </c>
      <c r="Z48" s="6">
        <v>2</v>
      </c>
      <c r="AA48" s="30">
        <v>0</v>
      </c>
    </row>
    <row r="49" spans="1:27">
      <c r="A49" s="6" t="s">
        <v>60</v>
      </c>
      <c r="B49" s="6">
        <v>3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28</v>
      </c>
      <c r="Z50" s="6">
        <v>1</v>
      </c>
      <c r="AA50" s="30">
        <v>0</v>
      </c>
    </row>
    <row r="51" spans="1:27">
      <c r="A51" s="6" t="s">
        <v>25</v>
      </c>
      <c r="B51" s="6">
        <v>2</v>
      </c>
      <c r="C51" s="30">
        <v>0</v>
      </c>
      <c r="Y51" s="6" t="s">
        <v>124</v>
      </c>
      <c r="Z51" s="6">
        <v>1</v>
      </c>
      <c r="AA51" s="30">
        <v>0</v>
      </c>
    </row>
    <row r="52" spans="1:27">
      <c r="A52" s="6" t="s">
        <v>69</v>
      </c>
      <c r="B52" s="6">
        <v>2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57</v>
      </c>
      <c r="B53" s="6">
        <v>1</v>
      </c>
      <c r="C53" s="30">
        <v>0</v>
      </c>
      <c r="Y53" s="6" t="s">
        <v>69</v>
      </c>
      <c r="Z53" s="6">
        <v>1</v>
      </c>
      <c r="AA53" s="30">
        <v>0</v>
      </c>
    </row>
    <row r="54" spans="1:27">
      <c r="A54" s="6" t="s">
        <v>42</v>
      </c>
      <c r="B54" s="6">
        <v>1</v>
      </c>
      <c r="C54" s="30">
        <v>0</v>
      </c>
      <c r="Y54" s="6" t="s">
        <v>53</v>
      </c>
      <c r="Z54" s="6">
        <v>1</v>
      </c>
      <c r="AA54" s="30">
        <v>0</v>
      </c>
    </row>
    <row r="55" spans="1:27">
      <c r="A55" s="6" t="s">
        <v>28</v>
      </c>
      <c r="B55" s="6">
        <v>1</v>
      </c>
      <c r="C55" s="30">
        <v>0</v>
      </c>
    </row>
    <row r="56" spans="1:27">
      <c r="A56" s="6" t="s">
        <v>124</v>
      </c>
      <c r="B56" s="6">
        <v>1</v>
      </c>
      <c r="C56" s="30">
        <v>0</v>
      </c>
    </row>
    <row r="57" spans="1:27">
      <c r="A57" s="6" t="s">
        <v>53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CF0B-BC17-4AD3-9763-9D641980B8DD}">
  <sheetPr codeName="Sheet54"/>
  <dimension ref="A1:AI62"/>
  <sheetViews>
    <sheetView topLeftCell="A24" workbookViewId="0">
      <selection activeCell="C9" sqref="C9:C6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134365</v>
      </c>
      <c r="E2" s="41" t="s">
        <v>4</v>
      </c>
      <c r="F2" s="23" t="s">
        <v>105</v>
      </c>
      <c r="G2" s="23">
        <f>G3+G4</f>
        <v>127986</v>
      </c>
      <c r="H2" s="22"/>
      <c r="I2" s="41" t="s">
        <v>6</v>
      </c>
      <c r="J2" s="23" t="s">
        <v>105</v>
      </c>
      <c r="K2" s="23">
        <f>K3+K4</f>
        <v>127508</v>
      </c>
      <c r="M2" s="41" t="s">
        <v>104</v>
      </c>
      <c r="N2" s="23" t="s">
        <v>105</v>
      </c>
      <c r="O2" s="23">
        <f>O3+O4</f>
        <v>15105</v>
      </c>
      <c r="Q2" s="41" t="s">
        <v>4</v>
      </c>
      <c r="R2" s="23" t="s">
        <v>105</v>
      </c>
      <c r="S2" s="23">
        <f>S3+S4</f>
        <v>12600</v>
      </c>
      <c r="T2" s="22"/>
      <c r="U2" s="41" t="s">
        <v>6</v>
      </c>
      <c r="V2" s="23" t="s">
        <v>105</v>
      </c>
      <c r="W2" s="23">
        <f>W3+W4</f>
        <v>12457</v>
      </c>
      <c r="Y2" s="41" t="s">
        <v>104</v>
      </c>
      <c r="Z2" s="23" t="s">
        <v>105</v>
      </c>
      <c r="AA2" s="23">
        <f>AA3+AA4</f>
        <v>119220</v>
      </c>
      <c r="AC2" s="41" t="s">
        <v>4</v>
      </c>
      <c r="AD2" s="23" t="s">
        <v>105</v>
      </c>
      <c r="AE2" s="23">
        <f>AE3+AE4</f>
        <v>115388</v>
      </c>
      <c r="AF2" s="22"/>
      <c r="AG2" s="41" t="s">
        <v>6</v>
      </c>
      <c r="AH2" s="23" t="s">
        <v>105</v>
      </c>
      <c r="AI2" s="23">
        <f>AI3+AI4</f>
        <v>115053</v>
      </c>
    </row>
    <row r="3" spans="1:35">
      <c r="A3" s="42"/>
      <c r="B3" s="24" t="s">
        <v>106</v>
      </c>
      <c r="C3" s="24">
        <f>B8</f>
        <v>132146</v>
      </c>
      <c r="E3" s="42"/>
      <c r="F3" s="24" t="s">
        <v>106</v>
      </c>
      <c r="G3" s="24">
        <f>F8</f>
        <v>127548</v>
      </c>
      <c r="H3" s="22"/>
      <c r="I3" s="42"/>
      <c r="J3" s="24" t="s">
        <v>106</v>
      </c>
      <c r="K3" s="24">
        <f>J8</f>
        <v>127382</v>
      </c>
      <c r="M3" s="42"/>
      <c r="N3" s="24" t="s">
        <v>106</v>
      </c>
      <c r="O3" s="24">
        <f>N8</f>
        <v>14961</v>
      </c>
      <c r="Q3" s="42"/>
      <c r="R3" s="24" t="s">
        <v>106</v>
      </c>
      <c r="S3" s="24">
        <f>R8</f>
        <v>12572</v>
      </c>
      <c r="T3" s="22"/>
      <c r="U3" s="42"/>
      <c r="V3" s="24" t="s">
        <v>106</v>
      </c>
      <c r="W3" s="24">
        <f>V8</f>
        <v>12444</v>
      </c>
      <c r="Y3" s="42"/>
      <c r="Z3" s="24" t="s">
        <v>106</v>
      </c>
      <c r="AA3" s="24">
        <f>Z8</f>
        <v>117185</v>
      </c>
      <c r="AC3" s="42"/>
      <c r="AD3" s="24" t="s">
        <v>106</v>
      </c>
      <c r="AE3" s="24">
        <f>AD8</f>
        <v>114976</v>
      </c>
      <c r="AF3" s="22"/>
      <c r="AG3" s="42"/>
      <c r="AH3" s="24" t="s">
        <v>106</v>
      </c>
      <c r="AI3" s="24">
        <f>AH8</f>
        <v>114938</v>
      </c>
    </row>
    <row r="4" spans="1:35">
      <c r="A4" s="42"/>
      <c r="B4" s="25" t="s">
        <v>107</v>
      </c>
      <c r="C4" s="25">
        <f>SUM(B9:B66)</f>
        <v>2219</v>
      </c>
      <c r="E4" s="42"/>
      <c r="F4" s="25" t="s">
        <v>107</v>
      </c>
      <c r="G4" s="25">
        <f>SUM(F9:F33)</f>
        <v>438</v>
      </c>
      <c r="H4" s="22"/>
      <c r="I4" s="42"/>
      <c r="J4" s="25" t="s">
        <v>107</v>
      </c>
      <c r="K4" s="25">
        <f>SUM(J9:J31)</f>
        <v>126</v>
      </c>
      <c r="M4" s="42"/>
      <c r="N4" s="25" t="s">
        <v>107</v>
      </c>
      <c r="O4" s="25">
        <f>SUM(N9:N66)</f>
        <v>144</v>
      </c>
      <c r="Q4" s="42"/>
      <c r="R4" s="25" t="s">
        <v>107</v>
      </c>
      <c r="S4" s="25">
        <f>SUM(R9:R33)</f>
        <v>28</v>
      </c>
      <c r="T4" s="22"/>
      <c r="U4" s="42"/>
      <c r="V4" s="25" t="s">
        <v>107</v>
      </c>
      <c r="W4" s="25">
        <f>SUM(V9:V31)</f>
        <v>13</v>
      </c>
      <c r="Y4" s="42"/>
      <c r="Z4" s="25" t="s">
        <v>107</v>
      </c>
      <c r="AA4" s="25">
        <f>SUM(Z9:Z45)</f>
        <v>2035</v>
      </c>
      <c r="AC4" s="42"/>
      <c r="AD4" s="25" t="s">
        <v>107</v>
      </c>
      <c r="AE4" s="25">
        <f>SUM(AD9:AD29)</f>
        <v>412</v>
      </c>
      <c r="AF4" s="22"/>
      <c r="AG4" s="42"/>
      <c r="AH4" s="25" t="s">
        <v>107</v>
      </c>
      <c r="AI4" s="25">
        <f>SUM(AH9:AH29)</f>
        <v>115</v>
      </c>
    </row>
    <row r="5" spans="1:35">
      <c r="A5" s="43"/>
      <c r="B5" s="23" t="s">
        <v>108</v>
      </c>
      <c r="C5" s="26">
        <f>SUM(C9:C179)</f>
        <v>1.6299999999999999E-2</v>
      </c>
      <c r="E5" s="43"/>
      <c r="F5" s="23" t="s">
        <v>108</v>
      </c>
      <c r="G5" s="26">
        <f>SUM(G9:G33)</f>
        <v>3.2999999999999991E-3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9.7999999999999927E-3</v>
      </c>
      <c r="Q5" s="43"/>
      <c r="R5" s="23" t="s">
        <v>108</v>
      </c>
      <c r="S5" s="26">
        <f>SUM(S9:S33)</f>
        <v>2.3999999999999994E-3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1.6999999999999994E-2</v>
      </c>
      <c r="AC5" s="43"/>
      <c r="AD5" s="23" t="s">
        <v>108</v>
      </c>
      <c r="AE5" s="26">
        <f>SUM(AE9:AE29)</f>
        <v>3.4999999999999996E-3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132146</v>
      </c>
      <c r="C8" s="9">
        <v>0.98350000000000004</v>
      </c>
      <c r="E8" s="6" t="s">
        <v>112</v>
      </c>
      <c r="F8" s="29">
        <v>127548</v>
      </c>
      <c r="G8" s="9">
        <v>0.99660000000000004</v>
      </c>
      <c r="I8" s="6" t="s">
        <v>112</v>
      </c>
      <c r="J8" s="29">
        <v>127382</v>
      </c>
      <c r="K8" s="9">
        <v>0.999</v>
      </c>
      <c r="M8" s="6" t="s">
        <v>112</v>
      </c>
      <c r="N8" s="29">
        <v>14961</v>
      </c>
      <c r="O8" s="9">
        <v>0.99050000000000005</v>
      </c>
      <c r="Q8" s="6" t="s">
        <v>112</v>
      </c>
      <c r="R8" s="29">
        <v>12572</v>
      </c>
      <c r="S8" s="9">
        <v>0.99780000000000002</v>
      </c>
      <c r="U8" s="6" t="s">
        <v>112</v>
      </c>
      <c r="V8" s="29">
        <v>12444</v>
      </c>
      <c r="W8" s="9">
        <v>0.999</v>
      </c>
      <c r="Y8" s="6" t="s">
        <v>112</v>
      </c>
      <c r="Z8" s="29">
        <v>117185</v>
      </c>
      <c r="AA8" s="9">
        <v>0.98260000000000003</v>
      </c>
      <c r="AC8" s="6" t="s">
        <v>112</v>
      </c>
      <c r="AD8" s="29">
        <v>114976</v>
      </c>
      <c r="AE8" s="9">
        <v>0.99639999999999995</v>
      </c>
      <c r="AG8" s="6" t="s">
        <v>112</v>
      </c>
      <c r="AH8" s="29">
        <v>114938</v>
      </c>
      <c r="AI8" s="9">
        <v>0.999</v>
      </c>
    </row>
    <row r="9" spans="1:35">
      <c r="A9" s="6" t="s">
        <v>2</v>
      </c>
      <c r="B9" s="6">
        <v>449</v>
      </c>
      <c r="C9" s="9">
        <v>3.3E-3</v>
      </c>
      <c r="E9" s="6" t="s">
        <v>122</v>
      </c>
      <c r="F9" s="6">
        <v>163</v>
      </c>
      <c r="G9" s="9">
        <v>1.2999999999999999E-3</v>
      </c>
      <c r="I9" s="6" t="s">
        <v>2</v>
      </c>
      <c r="J9" s="6">
        <v>48</v>
      </c>
      <c r="K9" s="9">
        <v>4.0000000000000002E-4</v>
      </c>
      <c r="M9" s="6" t="s">
        <v>2</v>
      </c>
      <c r="N9" s="6">
        <v>43</v>
      </c>
      <c r="O9" s="9">
        <v>2.8E-3</v>
      </c>
      <c r="Q9" s="6" t="s">
        <v>122</v>
      </c>
      <c r="R9" s="6">
        <v>15</v>
      </c>
      <c r="S9" s="9">
        <v>1.1999999999999999E-3</v>
      </c>
      <c r="U9" s="6" t="s">
        <v>2</v>
      </c>
      <c r="V9" s="6">
        <v>5</v>
      </c>
      <c r="W9" s="9">
        <v>4.0000000000000002E-4</v>
      </c>
      <c r="Y9" s="6" t="s">
        <v>2</v>
      </c>
      <c r="Z9" s="6">
        <v>406</v>
      </c>
      <c r="AA9" s="9">
        <v>3.3999999999999998E-3</v>
      </c>
      <c r="AC9" s="6" t="s">
        <v>122</v>
      </c>
      <c r="AD9" s="6">
        <v>148</v>
      </c>
      <c r="AE9" s="9">
        <v>1.2999999999999999E-3</v>
      </c>
      <c r="AG9" s="6" t="s">
        <v>2</v>
      </c>
      <c r="AH9" s="6">
        <v>43</v>
      </c>
      <c r="AI9" s="9">
        <v>4.0000000000000002E-4</v>
      </c>
    </row>
    <row r="10" spans="1:35">
      <c r="A10" s="6" t="s">
        <v>9</v>
      </c>
      <c r="B10" s="6">
        <v>390</v>
      </c>
      <c r="C10" s="9">
        <v>2.8999999999999998E-3</v>
      </c>
      <c r="E10" s="6" t="s">
        <v>83</v>
      </c>
      <c r="F10" s="6">
        <v>117</v>
      </c>
      <c r="G10" s="9">
        <v>8.9999999999999998E-4</v>
      </c>
      <c r="I10" s="6" t="s">
        <v>98</v>
      </c>
      <c r="J10" s="6">
        <v>27</v>
      </c>
      <c r="K10" s="9">
        <v>2.0000000000000001E-4</v>
      </c>
      <c r="M10" s="6" t="s">
        <v>3</v>
      </c>
      <c r="N10" s="6">
        <v>30</v>
      </c>
      <c r="O10" s="9">
        <v>2E-3</v>
      </c>
      <c r="Q10" s="6" t="s">
        <v>76</v>
      </c>
      <c r="R10" s="6">
        <v>4</v>
      </c>
      <c r="S10" s="9">
        <v>2.9999999999999997E-4</v>
      </c>
      <c r="U10" s="6" t="s">
        <v>102</v>
      </c>
      <c r="V10" s="6">
        <v>2</v>
      </c>
      <c r="W10" s="9">
        <v>2.0000000000000001E-4</v>
      </c>
      <c r="Y10" s="6" t="s">
        <v>9</v>
      </c>
      <c r="Z10" s="6">
        <v>387</v>
      </c>
      <c r="AA10" s="9">
        <v>3.2000000000000002E-3</v>
      </c>
      <c r="AC10" s="6" t="s">
        <v>83</v>
      </c>
      <c r="AD10" s="6">
        <v>117</v>
      </c>
      <c r="AE10" s="9">
        <v>1E-3</v>
      </c>
      <c r="AG10" s="6" t="s">
        <v>98</v>
      </c>
      <c r="AH10" s="6">
        <v>26</v>
      </c>
      <c r="AI10" s="9">
        <v>2.0000000000000001E-4</v>
      </c>
    </row>
    <row r="11" spans="1:35">
      <c r="A11" s="6" t="s">
        <v>8</v>
      </c>
      <c r="B11" s="6">
        <v>339</v>
      </c>
      <c r="C11" s="9">
        <v>2.5000000000000001E-3</v>
      </c>
      <c r="E11" s="6" t="s">
        <v>79</v>
      </c>
      <c r="F11" s="6">
        <v>44</v>
      </c>
      <c r="G11" s="9">
        <v>2.9999999999999997E-4</v>
      </c>
      <c r="I11" s="6" t="s">
        <v>99</v>
      </c>
      <c r="J11" s="6">
        <v>23</v>
      </c>
      <c r="K11" s="9">
        <v>2.0000000000000001E-4</v>
      </c>
      <c r="M11" s="6" t="s">
        <v>7</v>
      </c>
      <c r="N11" s="6">
        <v>9</v>
      </c>
      <c r="O11" s="9">
        <v>5.9999999999999995E-4</v>
      </c>
      <c r="Q11" s="6" t="s">
        <v>181</v>
      </c>
      <c r="R11" s="6">
        <v>2</v>
      </c>
      <c r="S11" s="9">
        <v>2.0000000000000001E-4</v>
      </c>
      <c r="U11" s="6" t="s">
        <v>113</v>
      </c>
      <c r="V11" s="6">
        <v>3</v>
      </c>
      <c r="W11" s="9">
        <v>2.0000000000000001E-4</v>
      </c>
      <c r="Y11" s="6" t="s">
        <v>8</v>
      </c>
      <c r="Z11" s="6">
        <v>339</v>
      </c>
      <c r="AA11" s="9">
        <v>2.8E-3</v>
      </c>
      <c r="AC11" s="6" t="s">
        <v>79</v>
      </c>
      <c r="AD11" s="6">
        <v>44</v>
      </c>
      <c r="AE11" s="9">
        <v>4.0000000000000002E-4</v>
      </c>
      <c r="AG11" s="6" t="s">
        <v>99</v>
      </c>
      <c r="AH11" s="6">
        <v>23</v>
      </c>
      <c r="AI11" s="9">
        <v>2.0000000000000001E-4</v>
      </c>
    </row>
    <row r="12" spans="1:35">
      <c r="A12" s="6" t="s">
        <v>3</v>
      </c>
      <c r="B12" s="6">
        <v>267</v>
      </c>
      <c r="C12" s="9">
        <v>2E-3</v>
      </c>
      <c r="E12" s="6" t="s">
        <v>77</v>
      </c>
      <c r="F12" s="6">
        <v>22</v>
      </c>
      <c r="G12" s="9">
        <v>2.0000000000000001E-4</v>
      </c>
      <c r="I12" s="6" t="s">
        <v>102</v>
      </c>
      <c r="J12" s="6">
        <v>9</v>
      </c>
      <c r="K12" s="9">
        <v>1E-4</v>
      </c>
      <c r="M12" s="6" t="s">
        <v>37</v>
      </c>
      <c r="N12" s="6">
        <v>8</v>
      </c>
      <c r="O12" s="9">
        <v>5.0000000000000001E-4</v>
      </c>
      <c r="Q12" s="6" t="s">
        <v>77</v>
      </c>
      <c r="R12" s="6">
        <v>2</v>
      </c>
      <c r="S12" s="9">
        <v>2.0000000000000001E-4</v>
      </c>
      <c r="U12" s="6" t="s">
        <v>98</v>
      </c>
      <c r="V12" s="6">
        <v>1</v>
      </c>
      <c r="W12" s="9">
        <v>1E-4</v>
      </c>
      <c r="Y12" s="6" t="s">
        <v>3</v>
      </c>
      <c r="Z12" s="6">
        <v>237</v>
      </c>
      <c r="AA12" s="9">
        <v>2E-3</v>
      </c>
      <c r="AC12" s="6" t="s">
        <v>77</v>
      </c>
      <c r="AD12" s="6">
        <v>20</v>
      </c>
      <c r="AE12" s="9">
        <v>2.0000000000000001E-4</v>
      </c>
      <c r="AG12" s="6" t="s">
        <v>102</v>
      </c>
      <c r="AH12" s="6">
        <v>8</v>
      </c>
      <c r="AI12" s="9">
        <v>1E-4</v>
      </c>
    </row>
    <row r="13" spans="1:35">
      <c r="A13" s="6" t="s">
        <v>5</v>
      </c>
      <c r="B13" s="6">
        <v>112</v>
      </c>
      <c r="C13" s="9">
        <v>8.0000000000000004E-4</v>
      </c>
      <c r="E13" s="6" t="s">
        <v>74</v>
      </c>
      <c r="F13" s="6">
        <v>26</v>
      </c>
      <c r="G13" s="9">
        <v>2.0000000000000001E-4</v>
      </c>
      <c r="I13" s="6" t="s">
        <v>113</v>
      </c>
      <c r="J13" s="6">
        <v>12</v>
      </c>
      <c r="K13" s="9">
        <v>1E-4</v>
      </c>
      <c r="M13" s="6" t="s">
        <v>41</v>
      </c>
      <c r="N13" s="6">
        <v>8</v>
      </c>
      <c r="O13" s="9">
        <v>5.0000000000000001E-4</v>
      </c>
      <c r="Q13" s="6" t="s">
        <v>92</v>
      </c>
      <c r="R13" s="6">
        <v>1</v>
      </c>
      <c r="S13" s="9">
        <v>1E-4</v>
      </c>
      <c r="U13" s="6" t="s">
        <v>117</v>
      </c>
      <c r="V13" s="6">
        <v>1</v>
      </c>
      <c r="W13" s="9">
        <v>1E-4</v>
      </c>
      <c r="Y13" s="6" t="s">
        <v>5</v>
      </c>
      <c r="Z13" s="6">
        <v>112</v>
      </c>
      <c r="AA13" s="9">
        <v>8.9999999999999998E-4</v>
      </c>
      <c r="AC13" s="6" t="s">
        <v>74</v>
      </c>
      <c r="AD13" s="6">
        <v>25</v>
      </c>
      <c r="AE13" s="9">
        <v>2.0000000000000001E-4</v>
      </c>
      <c r="AG13" s="6" t="s">
        <v>113</v>
      </c>
      <c r="AH13" s="6">
        <v>9</v>
      </c>
      <c r="AI13" s="9">
        <v>1E-4</v>
      </c>
    </row>
    <row r="14" spans="1:35">
      <c r="A14" s="6" t="s">
        <v>7</v>
      </c>
      <c r="B14" s="6">
        <v>96</v>
      </c>
      <c r="C14" s="9">
        <v>6.9999999999999999E-4</v>
      </c>
      <c r="E14" s="6" t="s">
        <v>76</v>
      </c>
      <c r="F14" s="6">
        <v>15</v>
      </c>
      <c r="G14" s="9">
        <v>1E-4</v>
      </c>
      <c r="I14" s="6" t="s">
        <v>117</v>
      </c>
      <c r="J14" s="6">
        <v>5</v>
      </c>
      <c r="K14" s="30">
        <v>0</v>
      </c>
      <c r="M14" s="6" t="s">
        <v>11</v>
      </c>
      <c r="N14" s="6">
        <v>7</v>
      </c>
      <c r="O14" s="9">
        <v>5.0000000000000001E-4</v>
      </c>
      <c r="Q14" s="6" t="s">
        <v>93</v>
      </c>
      <c r="R14" s="6">
        <v>1</v>
      </c>
      <c r="S14" s="9">
        <v>1E-4</v>
      </c>
      <c r="U14" s="6" t="s">
        <v>123</v>
      </c>
      <c r="V14" s="6">
        <v>1</v>
      </c>
      <c r="W14" s="9">
        <v>1E-4</v>
      </c>
      <c r="Y14" s="6" t="s">
        <v>7</v>
      </c>
      <c r="Z14" s="6">
        <v>87</v>
      </c>
      <c r="AA14" s="9">
        <v>6.9999999999999999E-4</v>
      </c>
      <c r="AC14" s="6" t="s">
        <v>76</v>
      </c>
      <c r="AD14" s="6">
        <v>11</v>
      </c>
      <c r="AE14" s="9">
        <v>1E-4</v>
      </c>
      <c r="AG14" s="6" t="s">
        <v>117</v>
      </c>
      <c r="AH14" s="6">
        <v>4</v>
      </c>
      <c r="AI14" s="30">
        <v>0</v>
      </c>
    </row>
    <row r="15" spans="1:35">
      <c r="A15" s="6" t="s">
        <v>11</v>
      </c>
      <c r="B15" s="6">
        <v>74</v>
      </c>
      <c r="C15" s="9">
        <v>5.9999999999999995E-4</v>
      </c>
      <c r="E15" s="6" t="s">
        <v>75</v>
      </c>
      <c r="F15" s="6">
        <v>16</v>
      </c>
      <c r="G15" s="9">
        <v>1E-4</v>
      </c>
      <c r="I15" s="6" t="s">
        <v>123</v>
      </c>
      <c r="J15" s="6">
        <v>1</v>
      </c>
      <c r="K15" s="30">
        <v>0</v>
      </c>
      <c r="M15" s="6" t="s">
        <v>18</v>
      </c>
      <c r="N15" s="6">
        <v>5</v>
      </c>
      <c r="O15" s="9">
        <v>2.9999999999999997E-4</v>
      </c>
      <c r="Q15" s="6" t="s">
        <v>86</v>
      </c>
      <c r="R15" s="6">
        <v>1</v>
      </c>
      <c r="S15" s="9">
        <v>1E-4</v>
      </c>
      <c r="Y15" s="6" t="s">
        <v>11</v>
      </c>
      <c r="Z15" s="6">
        <v>67</v>
      </c>
      <c r="AA15" s="9">
        <v>5.9999999999999995E-4</v>
      </c>
      <c r="AC15" s="6" t="s">
        <v>75</v>
      </c>
      <c r="AD15" s="6">
        <v>16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61</v>
      </c>
      <c r="C16" s="9">
        <v>5.0000000000000001E-4</v>
      </c>
      <c r="E16" s="6" t="s">
        <v>86</v>
      </c>
      <c r="F16" s="6">
        <v>11</v>
      </c>
      <c r="G16" s="9">
        <v>1E-4</v>
      </c>
      <c r="I16" s="6" t="s">
        <v>103</v>
      </c>
      <c r="J16" s="6">
        <v>1</v>
      </c>
      <c r="K16" s="30">
        <v>0</v>
      </c>
      <c r="M16" s="6" t="s">
        <v>17</v>
      </c>
      <c r="N16" s="6">
        <v>4</v>
      </c>
      <c r="O16" s="9">
        <v>2.9999999999999997E-4</v>
      </c>
      <c r="Q16" s="6" t="s">
        <v>74</v>
      </c>
      <c r="R16" s="6">
        <v>1</v>
      </c>
      <c r="S16" s="9">
        <v>1E-4</v>
      </c>
      <c r="Y16" s="6" t="s">
        <v>41</v>
      </c>
      <c r="Z16" s="6">
        <v>53</v>
      </c>
      <c r="AA16" s="9">
        <v>4.0000000000000002E-4</v>
      </c>
      <c r="AC16" s="6" t="s">
        <v>86</v>
      </c>
      <c r="AD16" s="6">
        <v>11</v>
      </c>
      <c r="AE16" s="9">
        <v>1E-4</v>
      </c>
      <c r="AG16" s="6" t="s">
        <v>103</v>
      </c>
      <c r="AH16" s="6">
        <v>1</v>
      </c>
      <c r="AI16" s="30">
        <v>0</v>
      </c>
    </row>
    <row r="17" spans="1:31">
      <c r="A17" s="6" t="s">
        <v>21</v>
      </c>
      <c r="B17" s="6">
        <v>21</v>
      </c>
      <c r="C17" s="9">
        <v>2.0000000000000001E-4</v>
      </c>
      <c r="E17" s="6" t="s">
        <v>78</v>
      </c>
      <c r="F17" s="6">
        <v>7</v>
      </c>
      <c r="G17" s="9">
        <v>1E-4</v>
      </c>
      <c r="M17" s="6" t="s">
        <v>29</v>
      </c>
      <c r="N17" s="6">
        <v>4</v>
      </c>
      <c r="O17" s="9">
        <v>2.9999999999999997E-4</v>
      </c>
      <c r="Q17" s="6" t="s">
        <v>94</v>
      </c>
      <c r="R17" s="6">
        <v>1</v>
      </c>
      <c r="S17" s="9">
        <v>1E-4</v>
      </c>
      <c r="Y17" s="6" t="s">
        <v>26</v>
      </c>
      <c r="Z17" s="6">
        <v>30</v>
      </c>
      <c r="AA17" s="9">
        <v>2.9999999999999997E-4</v>
      </c>
      <c r="AC17" s="6" t="s">
        <v>78</v>
      </c>
      <c r="AD17" s="6">
        <v>7</v>
      </c>
      <c r="AE17" s="9">
        <v>1E-4</v>
      </c>
    </row>
    <row r="18" spans="1:31">
      <c r="A18" s="6" t="s">
        <v>37</v>
      </c>
      <c r="B18" s="6">
        <v>30</v>
      </c>
      <c r="C18" s="9">
        <v>2.0000000000000001E-4</v>
      </c>
      <c r="E18" s="6" t="s">
        <v>87</v>
      </c>
      <c r="F18" s="6">
        <v>1</v>
      </c>
      <c r="G18" s="30">
        <v>0</v>
      </c>
      <c r="M18" s="6" t="s">
        <v>9</v>
      </c>
      <c r="N18" s="6">
        <v>3</v>
      </c>
      <c r="O18" s="9">
        <v>2.0000000000000001E-4</v>
      </c>
      <c r="Y18" s="6" t="s">
        <v>21</v>
      </c>
      <c r="Z18" s="6">
        <v>19</v>
      </c>
      <c r="AA18" s="9">
        <v>2.0000000000000001E-4</v>
      </c>
      <c r="AC18" s="6" t="s">
        <v>87</v>
      </c>
      <c r="AD18" s="6">
        <v>1</v>
      </c>
      <c r="AE18" s="30">
        <v>0</v>
      </c>
    </row>
    <row r="19" spans="1:31">
      <c r="A19" s="6" t="s">
        <v>18</v>
      </c>
      <c r="B19" s="6">
        <v>27</v>
      </c>
      <c r="C19" s="9">
        <v>2.0000000000000001E-4</v>
      </c>
      <c r="E19" s="6" t="s">
        <v>80</v>
      </c>
      <c r="F19" s="6">
        <v>1</v>
      </c>
      <c r="G19" s="30">
        <v>0</v>
      </c>
      <c r="M19" s="6" t="s">
        <v>10</v>
      </c>
      <c r="N19" s="6">
        <v>3</v>
      </c>
      <c r="O19" s="9">
        <v>2.0000000000000001E-4</v>
      </c>
      <c r="Y19" s="6" t="s">
        <v>37</v>
      </c>
      <c r="Z19" s="6">
        <v>22</v>
      </c>
      <c r="AA19" s="9">
        <v>2.0000000000000001E-4</v>
      </c>
      <c r="AC19" s="6" t="s">
        <v>80</v>
      </c>
      <c r="AD19" s="6">
        <v>1</v>
      </c>
      <c r="AE19" s="30">
        <v>0</v>
      </c>
    </row>
    <row r="20" spans="1:31">
      <c r="A20" s="6" t="s">
        <v>14</v>
      </c>
      <c r="B20" s="6">
        <v>26</v>
      </c>
      <c r="C20" s="9">
        <v>2.0000000000000001E-4</v>
      </c>
      <c r="E20" s="6" t="s">
        <v>119</v>
      </c>
      <c r="F20" s="6">
        <v>5</v>
      </c>
      <c r="G20" s="30">
        <v>0</v>
      </c>
      <c r="M20" s="6" t="s">
        <v>115</v>
      </c>
      <c r="N20" s="6">
        <v>1</v>
      </c>
      <c r="O20" s="9">
        <v>1E-4</v>
      </c>
      <c r="Y20" s="6" t="s">
        <v>18</v>
      </c>
      <c r="Z20" s="6">
        <v>22</v>
      </c>
      <c r="AA20" s="9">
        <v>2.0000000000000001E-4</v>
      </c>
      <c r="AC20" s="6" t="s">
        <v>119</v>
      </c>
      <c r="AD20" s="6">
        <v>5</v>
      </c>
      <c r="AE20" s="30">
        <v>0</v>
      </c>
    </row>
    <row r="21" spans="1:31">
      <c r="A21" s="6" t="s">
        <v>10</v>
      </c>
      <c r="B21" s="6">
        <v>27</v>
      </c>
      <c r="C21" s="9">
        <v>2.0000000000000001E-4</v>
      </c>
      <c r="E21" s="6" t="s">
        <v>92</v>
      </c>
      <c r="F21" s="6">
        <v>1</v>
      </c>
      <c r="G21" s="30">
        <v>0</v>
      </c>
      <c r="M21" s="6" t="s">
        <v>21</v>
      </c>
      <c r="N21" s="6">
        <v>2</v>
      </c>
      <c r="O21" s="9">
        <v>1E-4</v>
      </c>
      <c r="Y21" s="6" t="s">
        <v>14</v>
      </c>
      <c r="Z21" s="6">
        <v>26</v>
      </c>
      <c r="AA21" s="9">
        <v>2.0000000000000001E-4</v>
      </c>
      <c r="AC21" s="6" t="s">
        <v>82</v>
      </c>
      <c r="AD21" s="6">
        <v>3</v>
      </c>
      <c r="AE21" s="30">
        <v>0</v>
      </c>
    </row>
    <row r="22" spans="1:31">
      <c r="A22" s="6" t="s">
        <v>26</v>
      </c>
      <c r="B22" s="6">
        <v>32</v>
      </c>
      <c r="C22" s="9">
        <v>2.0000000000000001E-4</v>
      </c>
      <c r="E22" s="6" t="s">
        <v>82</v>
      </c>
      <c r="F22" s="6">
        <v>3</v>
      </c>
      <c r="G22" s="30">
        <v>0</v>
      </c>
      <c r="M22" s="6" t="s">
        <v>22</v>
      </c>
      <c r="N22" s="6">
        <v>2</v>
      </c>
      <c r="O22" s="9">
        <v>1E-4</v>
      </c>
      <c r="Y22" s="6" t="s">
        <v>10</v>
      </c>
      <c r="Z22" s="6">
        <v>24</v>
      </c>
      <c r="AA22" s="9">
        <v>2.0000000000000001E-4</v>
      </c>
      <c r="AC22" s="6" t="s">
        <v>81</v>
      </c>
      <c r="AD22" s="6">
        <v>1</v>
      </c>
      <c r="AE22" s="30">
        <v>0</v>
      </c>
    </row>
    <row r="23" spans="1:31">
      <c r="A23" s="6" t="s">
        <v>17</v>
      </c>
      <c r="B23" s="6">
        <v>21</v>
      </c>
      <c r="C23" s="9">
        <v>2.0000000000000001E-4</v>
      </c>
      <c r="E23" s="6" t="s">
        <v>81</v>
      </c>
      <c r="F23" s="6">
        <v>1</v>
      </c>
      <c r="G23" s="30">
        <v>0</v>
      </c>
      <c r="M23" s="6" t="s">
        <v>31</v>
      </c>
      <c r="N23" s="6">
        <v>2</v>
      </c>
      <c r="O23" s="9">
        <v>1E-4</v>
      </c>
      <c r="Y23" s="6" t="s">
        <v>12</v>
      </c>
      <c r="Z23" s="6">
        <v>21</v>
      </c>
      <c r="AA23" s="9">
        <v>2.0000000000000001E-4</v>
      </c>
      <c r="AC23" s="6" t="s">
        <v>84</v>
      </c>
      <c r="AD23" s="6">
        <v>1</v>
      </c>
      <c r="AE23" s="30">
        <v>0</v>
      </c>
    </row>
    <row r="24" spans="1:31">
      <c r="A24" s="6" t="s">
        <v>12</v>
      </c>
      <c r="B24" s="6">
        <v>21</v>
      </c>
      <c r="C24" s="9">
        <v>2.0000000000000001E-4</v>
      </c>
      <c r="E24" s="6" t="s">
        <v>181</v>
      </c>
      <c r="F24" s="6">
        <v>2</v>
      </c>
      <c r="G24" s="30">
        <v>0</v>
      </c>
      <c r="M24" s="6" t="s">
        <v>24</v>
      </c>
      <c r="N24" s="6">
        <v>1</v>
      </c>
      <c r="O24" s="9">
        <v>1E-4</v>
      </c>
      <c r="Y24" s="6" t="s">
        <v>31</v>
      </c>
      <c r="Z24" s="6">
        <v>21</v>
      </c>
      <c r="AA24" s="9">
        <v>2.0000000000000001E-4</v>
      </c>
      <c r="AC24" s="6" t="s">
        <v>90</v>
      </c>
      <c r="AD24" s="6">
        <v>1</v>
      </c>
      <c r="AE24" s="30">
        <v>0</v>
      </c>
    </row>
    <row r="25" spans="1:31">
      <c r="A25" s="6" t="s">
        <v>31</v>
      </c>
      <c r="B25" s="6">
        <v>23</v>
      </c>
      <c r="C25" s="9">
        <v>2.0000000000000001E-4</v>
      </c>
      <c r="E25" s="6" t="s">
        <v>84</v>
      </c>
      <c r="F25" s="6">
        <v>1</v>
      </c>
      <c r="G25" s="30">
        <v>0</v>
      </c>
      <c r="M25" s="6" t="s">
        <v>124</v>
      </c>
      <c r="N25" s="6">
        <v>1</v>
      </c>
      <c r="O25" s="9">
        <v>1E-4</v>
      </c>
      <c r="Y25" s="6" t="s">
        <v>19</v>
      </c>
      <c r="Z25" s="6">
        <v>9</v>
      </c>
      <c r="AA25" s="9">
        <v>1E-4</v>
      </c>
    </row>
    <row r="26" spans="1:31">
      <c r="A26" s="6" t="s">
        <v>19</v>
      </c>
      <c r="B26" s="6">
        <v>9</v>
      </c>
      <c r="C26" s="9">
        <v>1E-4</v>
      </c>
      <c r="E26" s="6" t="s">
        <v>90</v>
      </c>
      <c r="F26" s="6">
        <v>1</v>
      </c>
      <c r="G26" s="30">
        <v>0</v>
      </c>
      <c r="M26" s="6" t="s">
        <v>43</v>
      </c>
      <c r="N26" s="6">
        <v>1</v>
      </c>
      <c r="O26" s="9">
        <v>1E-4</v>
      </c>
      <c r="Y26" s="6" t="s">
        <v>20</v>
      </c>
      <c r="Z26" s="6">
        <v>16</v>
      </c>
      <c r="AA26" s="9">
        <v>1E-4</v>
      </c>
    </row>
    <row r="27" spans="1:31">
      <c r="A27" s="6" t="s">
        <v>20</v>
      </c>
      <c r="B27" s="6">
        <v>16</v>
      </c>
      <c r="C27" s="9">
        <v>1E-4</v>
      </c>
      <c r="E27" s="6" t="s">
        <v>94</v>
      </c>
      <c r="F27" s="6">
        <v>1</v>
      </c>
      <c r="G27" s="30">
        <v>0</v>
      </c>
      <c r="M27" s="6" t="s">
        <v>26</v>
      </c>
      <c r="N27" s="6">
        <v>2</v>
      </c>
      <c r="O27" s="9">
        <v>1E-4</v>
      </c>
      <c r="Y27" s="6" t="s">
        <v>45</v>
      </c>
      <c r="Z27" s="6">
        <v>8</v>
      </c>
      <c r="AA27" s="9">
        <v>1E-4</v>
      </c>
    </row>
    <row r="28" spans="1:31">
      <c r="A28" s="6" t="s">
        <v>45</v>
      </c>
      <c r="B28" s="6">
        <v>8</v>
      </c>
      <c r="C28" s="9">
        <v>1E-4</v>
      </c>
      <c r="M28" s="6" t="s">
        <v>59</v>
      </c>
      <c r="N28" s="6">
        <v>1</v>
      </c>
      <c r="O28" s="9">
        <v>1E-4</v>
      </c>
      <c r="Y28" s="6" t="s">
        <v>17</v>
      </c>
      <c r="Z28" s="6">
        <v>17</v>
      </c>
      <c r="AA28" s="9">
        <v>1E-4</v>
      </c>
    </row>
    <row r="29" spans="1:31">
      <c r="A29" s="6" t="s">
        <v>30</v>
      </c>
      <c r="B29" s="6">
        <v>17</v>
      </c>
      <c r="C29" s="9">
        <v>1E-4</v>
      </c>
      <c r="M29" s="6" t="s">
        <v>40</v>
      </c>
      <c r="N29" s="6">
        <v>1</v>
      </c>
      <c r="O29" s="9">
        <v>1E-4</v>
      </c>
      <c r="Y29" s="6" t="s">
        <v>30</v>
      </c>
      <c r="Z29" s="6">
        <v>16</v>
      </c>
      <c r="AA29" s="9">
        <v>1E-4</v>
      </c>
    </row>
    <row r="30" spans="1:31">
      <c r="A30" s="6" t="s">
        <v>15</v>
      </c>
      <c r="B30" s="6">
        <v>9</v>
      </c>
      <c r="C30" s="9">
        <v>1E-4</v>
      </c>
      <c r="M30" s="6" t="s">
        <v>30</v>
      </c>
      <c r="N30" s="6">
        <v>1</v>
      </c>
      <c r="O30" s="9">
        <v>1E-4</v>
      </c>
      <c r="Y30" s="6" t="s">
        <v>15</v>
      </c>
      <c r="Z30" s="6">
        <v>8</v>
      </c>
      <c r="AA30" s="9">
        <v>1E-4</v>
      </c>
    </row>
    <row r="31" spans="1:31">
      <c r="A31" s="6" t="s">
        <v>29</v>
      </c>
      <c r="B31" s="6">
        <v>17</v>
      </c>
      <c r="C31" s="9">
        <v>1E-4</v>
      </c>
      <c r="M31" s="6" t="s">
        <v>15</v>
      </c>
      <c r="N31" s="6">
        <v>1</v>
      </c>
      <c r="O31" s="9">
        <v>1E-4</v>
      </c>
      <c r="Y31" s="6" t="s">
        <v>29</v>
      </c>
      <c r="Z31" s="6">
        <v>13</v>
      </c>
      <c r="AA31" s="9">
        <v>1E-4</v>
      </c>
    </row>
    <row r="32" spans="1:31">
      <c r="A32" s="6" t="s">
        <v>40</v>
      </c>
      <c r="B32" s="6">
        <v>12</v>
      </c>
      <c r="C32" s="9">
        <v>1E-4</v>
      </c>
      <c r="M32" s="6" t="s">
        <v>53</v>
      </c>
      <c r="N32" s="6">
        <v>1</v>
      </c>
      <c r="O32" s="9">
        <v>1E-4</v>
      </c>
      <c r="Y32" s="6" t="s">
        <v>40</v>
      </c>
      <c r="Z32" s="6">
        <v>11</v>
      </c>
      <c r="AA32" s="9">
        <v>1E-4</v>
      </c>
    </row>
    <row r="33" spans="1:27">
      <c r="A33" s="6" t="s">
        <v>22</v>
      </c>
      <c r="B33" s="6">
        <v>8</v>
      </c>
      <c r="C33" s="9">
        <v>1E-4</v>
      </c>
      <c r="M33" s="6" t="s">
        <v>16</v>
      </c>
      <c r="N33" s="6">
        <v>1</v>
      </c>
      <c r="O33" s="9">
        <v>1E-4</v>
      </c>
      <c r="Y33" s="6" t="s">
        <v>38</v>
      </c>
      <c r="Z33" s="6">
        <v>9</v>
      </c>
      <c r="AA33" s="9">
        <v>1E-4</v>
      </c>
    </row>
    <row r="34" spans="1:27">
      <c r="A34" s="6" t="s">
        <v>38</v>
      </c>
      <c r="B34" s="6">
        <v>9</v>
      </c>
      <c r="C34" s="9">
        <v>1E-4</v>
      </c>
      <c r="M34" s="6" t="s">
        <v>69</v>
      </c>
      <c r="N34" s="6">
        <v>1</v>
      </c>
      <c r="O34" s="9">
        <v>1E-4</v>
      </c>
      <c r="Y34" s="6" t="s">
        <v>22</v>
      </c>
      <c r="Z34" s="6">
        <v>6</v>
      </c>
      <c r="AA34" s="9">
        <v>1E-4</v>
      </c>
    </row>
    <row r="35" spans="1:27">
      <c r="A35" s="6" t="s">
        <v>27</v>
      </c>
      <c r="B35" s="6">
        <v>16</v>
      </c>
      <c r="C35" s="9">
        <v>1E-4</v>
      </c>
      <c r="M35" s="6" t="s">
        <v>39</v>
      </c>
      <c r="N35" s="6">
        <v>1</v>
      </c>
      <c r="O35" s="9">
        <v>1E-4</v>
      </c>
      <c r="Y35" s="6" t="s">
        <v>58</v>
      </c>
      <c r="Z35" s="6">
        <v>7</v>
      </c>
      <c r="AA35" s="9">
        <v>1E-4</v>
      </c>
    </row>
    <row r="36" spans="1:27">
      <c r="A36" s="6" t="s">
        <v>58</v>
      </c>
      <c r="B36" s="6">
        <v>7</v>
      </c>
      <c r="C36" s="9">
        <v>1E-4</v>
      </c>
      <c r="Y36" s="6" t="s">
        <v>25</v>
      </c>
      <c r="Z36" s="6">
        <v>9</v>
      </c>
      <c r="AA36" s="9">
        <v>1E-4</v>
      </c>
    </row>
    <row r="37" spans="1:27">
      <c r="A37" s="6" t="s">
        <v>25</v>
      </c>
      <c r="B37" s="6">
        <v>9</v>
      </c>
      <c r="C37" s="9">
        <v>1E-4</v>
      </c>
      <c r="Y37" s="6" t="s">
        <v>27</v>
      </c>
      <c r="Z37" s="6">
        <v>16</v>
      </c>
      <c r="AA37" s="9">
        <v>1E-4</v>
      </c>
    </row>
    <row r="38" spans="1:27">
      <c r="A38" s="6" t="s">
        <v>115</v>
      </c>
      <c r="B38" s="6">
        <v>2</v>
      </c>
      <c r="C38" s="30">
        <v>0</v>
      </c>
      <c r="Y38" s="6" t="s">
        <v>65</v>
      </c>
      <c r="Z38" s="6">
        <v>1</v>
      </c>
      <c r="AA38" s="30">
        <v>0</v>
      </c>
    </row>
    <row r="39" spans="1:27">
      <c r="A39" s="6" t="s">
        <v>65</v>
      </c>
      <c r="B39" s="6">
        <v>1</v>
      </c>
      <c r="C39" s="30">
        <v>0</v>
      </c>
      <c r="Y39" s="6" t="s">
        <v>115</v>
      </c>
      <c r="Z39" s="6">
        <v>1</v>
      </c>
      <c r="AA39" s="30">
        <v>0</v>
      </c>
    </row>
    <row r="40" spans="1:27">
      <c r="A40" s="6" t="s">
        <v>180</v>
      </c>
      <c r="B40" s="6">
        <v>1</v>
      </c>
      <c r="C40" s="30">
        <v>0</v>
      </c>
      <c r="Y40" s="6" t="s">
        <v>180</v>
      </c>
      <c r="Z40" s="6">
        <v>1</v>
      </c>
      <c r="AA40" s="30">
        <v>0</v>
      </c>
    </row>
    <row r="41" spans="1:27">
      <c r="A41" s="6" t="s">
        <v>34</v>
      </c>
      <c r="B41" s="6">
        <v>5</v>
      </c>
      <c r="C41" s="30">
        <v>0</v>
      </c>
      <c r="Y41" s="6" t="s">
        <v>34</v>
      </c>
      <c r="Z41" s="6">
        <v>5</v>
      </c>
      <c r="AA41" s="30">
        <v>0</v>
      </c>
    </row>
    <row r="42" spans="1:27">
      <c r="A42" s="6" t="s">
        <v>13</v>
      </c>
      <c r="B42" s="6">
        <v>2</v>
      </c>
      <c r="C42" s="30">
        <v>0</v>
      </c>
      <c r="Y42" s="6" t="s">
        <v>13</v>
      </c>
      <c r="Z42" s="6">
        <v>2</v>
      </c>
      <c r="AA42" s="30">
        <v>0</v>
      </c>
    </row>
    <row r="43" spans="1:27">
      <c r="A43" s="6" t="s">
        <v>36</v>
      </c>
      <c r="B43" s="6">
        <v>1</v>
      </c>
      <c r="C43" s="30">
        <v>0</v>
      </c>
      <c r="Y43" s="6" t="s">
        <v>36</v>
      </c>
      <c r="Z43" s="6">
        <v>1</v>
      </c>
      <c r="AA43" s="30">
        <v>0</v>
      </c>
    </row>
    <row r="44" spans="1:27">
      <c r="A44" s="6" t="s">
        <v>67</v>
      </c>
      <c r="B44" s="6">
        <v>1</v>
      </c>
      <c r="C44" s="30">
        <v>0</v>
      </c>
      <c r="Y44" s="6" t="s">
        <v>46</v>
      </c>
      <c r="Z44" s="6">
        <v>5</v>
      </c>
      <c r="AA44" s="30">
        <v>0</v>
      </c>
    </row>
    <row r="45" spans="1:27">
      <c r="A45" s="6" t="s">
        <v>46</v>
      </c>
      <c r="B45" s="6">
        <v>5</v>
      </c>
      <c r="C45" s="30">
        <v>0</v>
      </c>
      <c r="Y45" s="6" t="s">
        <v>67</v>
      </c>
      <c r="Z45" s="6">
        <v>1</v>
      </c>
      <c r="AA45" s="30">
        <v>0</v>
      </c>
    </row>
    <row r="46" spans="1:27">
      <c r="A46" s="6" t="s">
        <v>24</v>
      </c>
      <c r="B46" s="6">
        <v>6</v>
      </c>
      <c r="C46" s="30">
        <v>0</v>
      </c>
      <c r="Y46" s="6" t="s">
        <v>24</v>
      </c>
      <c r="Z46" s="6">
        <v>5</v>
      </c>
      <c r="AA46" s="30">
        <v>0</v>
      </c>
    </row>
    <row r="47" spans="1:27">
      <c r="A47" s="6" t="s">
        <v>16</v>
      </c>
      <c r="B47" s="6">
        <v>4</v>
      </c>
      <c r="C47" s="30">
        <v>0</v>
      </c>
      <c r="Y47" s="6" t="s">
        <v>16</v>
      </c>
      <c r="Z47" s="6">
        <v>3</v>
      </c>
      <c r="AA47" s="30">
        <v>0</v>
      </c>
    </row>
    <row r="48" spans="1:27">
      <c r="A48" s="6" t="s">
        <v>32</v>
      </c>
      <c r="B48" s="6">
        <v>5</v>
      </c>
      <c r="C48" s="30">
        <v>0</v>
      </c>
      <c r="Y48" s="6" t="s">
        <v>32</v>
      </c>
      <c r="Z48" s="6">
        <v>5</v>
      </c>
      <c r="AA48" s="30">
        <v>0</v>
      </c>
    </row>
    <row r="49" spans="1:27">
      <c r="A49" s="6" t="s">
        <v>64</v>
      </c>
      <c r="B49" s="6">
        <v>5</v>
      </c>
      <c r="C49" s="30">
        <v>0</v>
      </c>
      <c r="Y49" s="6" t="s">
        <v>64</v>
      </c>
      <c r="Z49" s="6">
        <v>5</v>
      </c>
      <c r="AA49" s="30">
        <v>0</v>
      </c>
    </row>
    <row r="50" spans="1:27">
      <c r="A50" s="6" t="s">
        <v>42</v>
      </c>
      <c r="B50" s="6">
        <v>5</v>
      </c>
      <c r="C50" s="30">
        <v>0</v>
      </c>
      <c r="Y50" s="6" t="s">
        <v>42</v>
      </c>
      <c r="Z50" s="6">
        <v>5</v>
      </c>
      <c r="AA50" s="30">
        <v>0</v>
      </c>
    </row>
    <row r="51" spans="1:27">
      <c r="A51" s="6" t="s">
        <v>39</v>
      </c>
      <c r="B51" s="6">
        <v>4</v>
      </c>
      <c r="C51" s="30">
        <v>0</v>
      </c>
      <c r="Y51" s="6" t="s">
        <v>39</v>
      </c>
      <c r="Z51" s="6">
        <v>3</v>
      </c>
      <c r="AA51" s="30">
        <v>0</v>
      </c>
    </row>
    <row r="52" spans="1:27">
      <c r="A52" s="6" t="s">
        <v>60</v>
      </c>
      <c r="B52" s="6">
        <v>4</v>
      </c>
      <c r="C52" s="30">
        <v>0</v>
      </c>
      <c r="Y52" s="6" t="s">
        <v>60</v>
      </c>
      <c r="Z52" s="6">
        <v>4</v>
      </c>
      <c r="AA52" s="30">
        <v>0</v>
      </c>
    </row>
    <row r="53" spans="1:27">
      <c r="A53" s="6" t="s">
        <v>68</v>
      </c>
      <c r="B53" s="6">
        <v>3</v>
      </c>
      <c r="C53" s="30">
        <v>0</v>
      </c>
      <c r="Y53" s="6" t="s">
        <v>68</v>
      </c>
      <c r="Z53" s="6">
        <v>3</v>
      </c>
      <c r="AA53" s="30">
        <v>0</v>
      </c>
    </row>
    <row r="54" spans="1:27">
      <c r="A54" s="6" t="s">
        <v>33</v>
      </c>
      <c r="B54" s="6">
        <v>4</v>
      </c>
      <c r="C54" s="30">
        <v>0</v>
      </c>
      <c r="Y54" s="6" t="s">
        <v>33</v>
      </c>
      <c r="Z54" s="6">
        <v>4</v>
      </c>
      <c r="AA54" s="30">
        <v>0</v>
      </c>
    </row>
    <row r="55" spans="1:27">
      <c r="A55" s="6" t="s">
        <v>57</v>
      </c>
      <c r="B55" s="6">
        <v>1</v>
      </c>
      <c r="C55" s="30">
        <v>0</v>
      </c>
      <c r="Y55" s="6" t="s">
        <v>57</v>
      </c>
      <c r="Z55" s="6">
        <v>1</v>
      </c>
      <c r="AA55" s="30">
        <v>0</v>
      </c>
    </row>
    <row r="56" spans="1:27">
      <c r="A56" s="6" t="s">
        <v>66</v>
      </c>
      <c r="B56" s="6">
        <v>1</v>
      </c>
      <c r="C56" s="30">
        <v>0</v>
      </c>
      <c r="Y56" s="6" t="s">
        <v>66</v>
      </c>
      <c r="Z56" s="6">
        <v>1</v>
      </c>
      <c r="AA56" s="30">
        <v>0</v>
      </c>
    </row>
    <row r="57" spans="1:27">
      <c r="A57" s="6" t="s">
        <v>43</v>
      </c>
      <c r="B57" s="6">
        <v>1</v>
      </c>
      <c r="C57" s="30">
        <v>0</v>
      </c>
      <c r="Y57" s="6" t="s">
        <v>61</v>
      </c>
      <c r="Z57" s="6">
        <v>1</v>
      </c>
      <c r="AA57" s="30">
        <v>0</v>
      </c>
    </row>
    <row r="58" spans="1:27">
      <c r="A58" s="6" t="s">
        <v>124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  <row r="60" spans="1:27">
      <c r="A60" s="6" t="s">
        <v>59</v>
      </c>
      <c r="B60" s="6">
        <v>1</v>
      </c>
      <c r="C60" s="30">
        <v>0</v>
      </c>
    </row>
    <row r="61" spans="1:27">
      <c r="A61" s="6" t="s">
        <v>61</v>
      </c>
      <c r="B61" s="6">
        <v>1</v>
      </c>
      <c r="C61" s="30">
        <v>0</v>
      </c>
    </row>
    <row r="62" spans="1:27">
      <c r="A62" s="6" t="s">
        <v>69</v>
      </c>
      <c r="B62" s="6">
        <v>1</v>
      </c>
      <c r="C62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B309-84DF-4F2C-A626-6ED6E28EF046}">
  <sheetPr codeName="Sheet55"/>
  <dimension ref="A1:AI69"/>
  <sheetViews>
    <sheetView topLeftCell="A3" workbookViewId="0">
      <selection activeCell="C9" sqref="C9:C4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122518</v>
      </c>
      <c r="E2" s="41" t="s">
        <v>4</v>
      </c>
      <c r="F2" s="23" t="s">
        <v>105</v>
      </c>
      <c r="G2" s="23">
        <f>G3+G4</f>
        <v>109740</v>
      </c>
      <c r="H2" s="22"/>
      <c r="I2" s="41" t="s">
        <v>6</v>
      </c>
      <c r="J2" s="23" t="s">
        <v>105</v>
      </c>
      <c r="K2" s="23">
        <f>K3+K4</f>
        <v>112573</v>
      </c>
      <c r="M2" s="41" t="s">
        <v>104</v>
      </c>
      <c r="N2" s="23" t="s">
        <v>105</v>
      </c>
      <c r="O2" s="23">
        <f>O3+O4</f>
        <v>41977</v>
      </c>
      <c r="Q2" s="41" t="s">
        <v>4</v>
      </c>
      <c r="R2" s="23" t="s">
        <v>105</v>
      </c>
      <c r="S2" s="23">
        <f>S3+S4</f>
        <v>31178</v>
      </c>
      <c r="T2" s="22"/>
      <c r="U2" s="41" t="s">
        <v>6</v>
      </c>
      <c r="V2" s="23" t="s">
        <v>105</v>
      </c>
      <c r="W2" s="23">
        <f>W3+W4</f>
        <v>31430</v>
      </c>
      <c r="Y2" s="41" t="s">
        <v>104</v>
      </c>
      <c r="Z2" s="23" t="s">
        <v>105</v>
      </c>
      <c r="AA2" s="23">
        <f>AA3+AA4</f>
        <v>80703</v>
      </c>
      <c r="AC2" s="41" t="s">
        <v>4</v>
      </c>
      <c r="AD2" s="23" t="s">
        <v>105</v>
      </c>
      <c r="AE2" s="23">
        <f>AE3+AE4</f>
        <v>78563</v>
      </c>
      <c r="AF2" s="22"/>
      <c r="AG2" s="41" t="s">
        <v>6</v>
      </c>
      <c r="AH2" s="23" t="s">
        <v>105</v>
      </c>
      <c r="AI2" s="23">
        <f>AI3+AI4</f>
        <v>81163</v>
      </c>
    </row>
    <row r="3" spans="1:35">
      <c r="A3" s="42"/>
      <c r="B3" s="24" t="s">
        <v>106</v>
      </c>
      <c r="C3" s="24">
        <f>B8</f>
        <v>120171</v>
      </c>
      <c r="E3" s="42"/>
      <c r="F3" s="24" t="s">
        <v>106</v>
      </c>
      <c r="G3" s="24">
        <f>F8</f>
        <v>109411</v>
      </c>
      <c r="H3" s="22"/>
      <c r="I3" s="42"/>
      <c r="J3" s="24" t="s">
        <v>106</v>
      </c>
      <c r="K3" s="24">
        <f>J8</f>
        <v>112483</v>
      </c>
      <c r="M3" s="42"/>
      <c r="N3" s="24" t="s">
        <v>106</v>
      </c>
      <c r="O3" s="24">
        <f>N8</f>
        <v>41513</v>
      </c>
      <c r="Q3" s="42"/>
      <c r="R3" s="24" t="s">
        <v>106</v>
      </c>
      <c r="S3" s="24">
        <f>R8</f>
        <v>31090</v>
      </c>
      <c r="T3" s="22"/>
      <c r="U3" s="42"/>
      <c r="V3" s="24" t="s">
        <v>106</v>
      </c>
      <c r="W3" s="24">
        <f>V8</f>
        <v>31411</v>
      </c>
      <c r="Y3" s="42"/>
      <c r="Z3" s="24" t="s">
        <v>106</v>
      </c>
      <c r="AA3" s="24">
        <f>Z8</f>
        <v>78853</v>
      </c>
      <c r="AC3" s="42"/>
      <c r="AD3" s="24" t="s">
        <v>106</v>
      </c>
      <c r="AE3" s="24">
        <f>AD8</f>
        <v>78321</v>
      </c>
      <c r="AF3" s="22"/>
      <c r="AG3" s="42"/>
      <c r="AH3" s="24" t="s">
        <v>106</v>
      </c>
      <c r="AI3" s="24">
        <f>AH8</f>
        <v>81072</v>
      </c>
    </row>
    <row r="4" spans="1:35">
      <c r="A4" s="42"/>
      <c r="B4" s="25" t="s">
        <v>107</v>
      </c>
      <c r="C4" s="25">
        <f>SUM(B9:B66)</f>
        <v>2347</v>
      </c>
      <c r="E4" s="42"/>
      <c r="F4" s="25" t="s">
        <v>107</v>
      </c>
      <c r="G4" s="25">
        <f>SUM(F9:F33)</f>
        <v>329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464</v>
      </c>
      <c r="Q4" s="42"/>
      <c r="R4" s="25" t="s">
        <v>107</v>
      </c>
      <c r="S4" s="25">
        <f>SUM(R9:R33)</f>
        <v>88</v>
      </c>
      <c r="T4" s="22"/>
      <c r="U4" s="42"/>
      <c r="V4" s="25" t="s">
        <v>107</v>
      </c>
      <c r="W4" s="25">
        <f>SUM(V9:V31)</f>
        <v>19</v>
      </c>
      <c r="Y4" s="42"/>
      <c r="Z4" s="25" t="s">
        <v>107</v>
      </c>
      <c r="AA4" s="25">
        <f>SUM(Z9:Z45)</f>
        <v>1850</v>
      </c>
      <c r="AC4" s="42"/>
      <c r="AD4" s="25" t="s">
        <v>107</v>
      </c>
      <c r="AE4" s="25">
        <f>SUM(AD9:AD29)</f>
        <v>242</v>
      </c>
      <c r="AF4" s="22"/>
      <c r="AG4" s="42"/>
      <c r="AH4" s="25" t="s">
        <v>107</v>
      </c>
      <c r="AI4" s="25">
        <f>SUM(AH9:AH29)</f>
        <v>91</v>
      </c>
    </row>
    <row r="5" spans="1:35">
      <c r="A5" s="43"/>
      <c r="B5" s="23" t="s">
        <v>108</v>
      </c>
      <c r="C5" s="26">
        <f>SUM(C9:C179)</f>
        <v>1.8799999999999987E-2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1.0599999999999997E-2</v>
      </c>
      <c r="Q5" s="43"/>
      <c r="R5" s="23" t="s">
        <v>108</v>
      </c>
      <c r="S5" s="26">
        <f>SUM(S9:S33)</f>
        <v>2.7999999999999995E-3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2.2699999999999994E-2</v>
      </c>
      <c r="AC5" s="43"/>
      <c r="AD5" s="23" t="s">
        <v>108</v>
      </c>
      <c r="AE5" s="26">
        <f>SUM(AE9:AE29)</f>
        <v>3.0000000000000001E-3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120171</v>
      </c>
      <c r="C8" s="9">
        <v>0.98080000000000001</v>
      </c>
      <c r="E8" s="6" t="s">
        <v>112</v>
      </c>
      <c r="F8" s="29">
        <v>109411</v>
      </c>
      <c r="G8" s="9">
        <v>0.997</v>
      </c>
      <c r="I8" s="6" t="s">
        <v>112</v>
      </c>
      <c r="J8" s="29">
        <v>112483</v>
      </c>
      <c r="K8" s="9">
        <v>0.99919999999999998</v>
      </c>
      <c r="M8" s="6" t="s">
        <v>112</v>
      </c>
      <c r="N8" s="29">
        <v>41513</v>
      </c>
      <c r="O8" s="9">
        <v>0.9889</v>
      </c>
      <c r="Q8" s="6" t="s">
        <v>112</v>
      </c>
      <c r="R8" s="29">
        <v>31090</v>
      </c>
      <c r="S8" s="9">
        <v>0.99719999999999998</v>
      </c>
      <c r="U8" s="6" t="s">
        <v>112</v>
      </c>
      <c r="V8" s="29">
        <v>31411</v>
      </c>
      <c r="W8" s="9">
        <v>0.99939999999999996</v>
      </c>
      <c r="Y8" s="6" t="s">
        <v>112</v>
      </c>
      <c r="Z8" s="29">
        <v>78853</v>
      </c>
      <c r="AA8" s="9">
        <v>0.97660000000000002</v>
      </c>
      <c r="AC8" s="6" t="s">
        <v>112</v>
      </c>
      <c r="AD8" s="29">
        <v>78321</v>
      </c>
      <c r="AE8" s="9">
        <v>0.99690000000000001</v>
      </c>
      <c r="AG8" s="6" t="s">
        <v>112</v>
      </c>
      <c r="AH8" s="29">
        <v>81072</v>
      </c>
      <c r="AI8" s="9">
        <v>0.99890000000000001</v>
      </c>
    </row>
    <row r="9" spans="1:35">
      <c r="A9" s="6" t="s">
        <v>9</v>
      </c>
      <c r="B9" s="6">
        <v>475</v>
      </c>
      <c r="C9" s="9">
        <v>3.8999999999999998E-3</v>
      </c>
      <c r="E9" s="6" t="s">
        <v>122</v>
      </c>
      <c r="F9" s="6">
        <v>115</v>
      </c>
      <c r="G9" s="9">
        <v>1E-3</v>
      </c>
      <c r="I9" s="6" t="s">
        <v>2</v>
      </c>
      <c r="J9" s="6">
        <v>38</v>
      </c>
      <c r="K9" s="9">
        <v>2.9999999999999997E-4</v>
      </c>
      <c r="M9" s="6" t="s">
        <v>2</v>
      </c>
      <c r="N9" s="6">
        <v>123</v>
      </c>
      <c r="O9" s="9">
        <v>2.8999999999999998E-3</v>
      </c>
      <c r="Q9" s="6" t="s">
        <v>122</v>
      </c>
      <c r="R9" s="6">
        <v>63</v>
      </c>
      <c r="S9" s="9">
        <v>2E-3</v>
      </c>
      <c r="U9" s="6" t="s">
        <v>2</v>
      </c>
      <c r="V9" s="6">
        <v>7</v>
      </c>
      <c r="W9" s="9">
        <v>2.0000000000000001E-4</v>
      </c>
      <c r="Y9" s="6" t="s">
        <v>9</v>
      </c>
      <c r="Z9" s="6">
        <v>460</v>
      </c>
      <c r="AA9" s="9">
        <v>5.7000000000000002E-3</v>
      </c>
      <c r="AC9" s="6" t="s">
        <v>83</v>
      </c>
      <c r="AD9" s="6">
        <v>78</v>
      </c>
      <c r="AE9" s="9">
        <v>1E-3</v>
      </c>
      <c r="AG9" s="6" t="s">
        <v>2</v>
      </c>
      <c r="AH9" s="6">
        <v>31</v>
      </c>
      <c r="AI9" s="9">
        <v>4.0000000000000002E-4</v>
      </c>
    </row>
    <row r="10" spans="1:35">
      <c r="A10" s="6" t="s">
        <v>2</v>
      </c>
      <c r="B10" s="6">
        <v>397</v>
      </c>
      <c r="C10" s="9">
        <v>3.2000000000000002E-3</v>
      </c>
      <c r="E10" s="6" t="s">
        <v>83</v>
      </c>
      <c r="F10" s="6">
        <v>80</v>
      </c>
      <c r="G10" s="9">
        <v>6.9999999999999999E-4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87</v>
      </c>
      <c r="O10" s="9">
        <v>2.0999999999999999E-3</v>
      </c>
      <c r="Q10" s="6" t="s">
        <v>74</v>
      </c>
      <c r="R10" s="6">
        <v>11</v>
      </c>
      <c r="S10" s="9">
        <v>4.0000000000000002E-4</v>
      </c>
      <c r="U10" s="6" t="s">
        <v>102</v>
      </c>
      <c r="V10" s="6">
        <v>3</v>
      </c>
      <c r="W10" s="9">
        <v>1E-4</v>
      </c>
      <c r="Y10" s="6" t="s">
        <v>8</v>
      </c>
      <c r="Z10" s="6">
        <v>306</v>
      </c>
      <c r="AA10" s="9">
        <v>3.8E-3</v>
      </c>
      <c r="AC10" s="6" t="s">
        <v>122</v>
      </c>
      <c r="AD10" s="6">
        <v>52</v>
      </c>
      <c r="AE10" s="9">
        <v>6.9999999999999999E-4</v>
      </c>
      <c r="AG10" s="6" t="s">
        <v>103</v>
      </c>
      <c r="AH10" s="6">
        <v>23</v>
      </c>
      <c r="AI10" s="9">
        <v>2.9999999999999997E-4</v>
      </c>
    </row>
    <row r="11" spans="1:35">
      <c r="A11" s="6" t="s">
        <v>8</v>
      </c>
      <c r="B11" s="6">
        <v>315</v>
      </c>
      <c r="C11" s="9">
        <v>2.5999999999999999E-3</v>
      </c>
      <c r="E11" s="6" t="s">
        <v>74</v>
      </c>
      <c r="F11" s="6">
        <v>32</v>
      </c>
      <c r="G11" s="9">
        <v>2.9999999999999997E-4</v>
      </c>
      <c r="I11" s="6" t="s">
        <v>102</v>
      </c>
      <c r="J11" s="6">
        <v>12</v>
      </c>
      <c r="K11" s="9">
        <v>1E-4</v>
      </c>
      <c r="M11" s="6" t="s">
        <v>41</v>
      </c>
      <c r="N11" s="6">
        <v>36</v>
      </c>
      <c r="O11" s="9">
        <v>8.9999999999999998E-4</v>
      </c>
      <c r="Q11" s="6" t="s">
        <v>92</v>
      </c>
      <c r="R11" s="6">
        <v>2</v>
      </c>
      <c r="S11" s="9">
        <v>1E-4</v>
      </c>
      <c r="U11" s="6" t="s">
        <v>98</v>
      </c>
      <c r="V11" s="6">
        <v>4</v>
      </c>
      <c r="W11" s="9">
        <v>1E-4</v>
      </c>
      <c r="Y11" s="6" t="s">
        <v>2</v>
      </c>
      <c r="Z11" s="6">
        <v>274</v>
      </c>
      <c r="AA11" s="9">
        <v>3.3999999999999998E-3</v>
      </c>
      <c r="AC11" s="6" t="s">
        <v>79</v>
      </c>
      <c r="AD11" s="6">
        <v>31</v>
      </c>
      <c r="AE11" s="9">
        <v>4.0000000000000002E-4</v>
      </c>
      <c r="AG11" s="6" t="s">
        <v>98</v>
      </c>
      <c r="AH11" s="6">
        <v>14</v>
      </c>
      <c r="AI11" s="9">
        <v>2.0000000000000001E-4</v>
      </c>
    </row>
    <row r="12" spans="1:35">
      <c r="A12" s="6" t="s">
        <v>3</v>
      </c>
      <c r="B12" s="6">
        <v>256</v>
      </c>
      <c r="C12" s="9">
        <v>2.0999999999999999E-3</v>
      </c>
      <c r="E12" s="6" t="s">
        <v>79</v>
      </c>
      <c r="F12" s="6">
        <v>31</v>
      </c>
      <c r="G12" s="9">
        <v>2.9999999999999997E-4</v>
      </c>
      <c r="I12" s="6" t="s">
        <v>99</v>
      </c>
      <c r="J12" s="6">
        <v>7</v>
      </c>
      <c r="K12" s="9">
        <v>1E-4</v>
      </c>
      <c r="M12" s="6" t="s">
        <v>7</v>
      </c>
      <c r="N12" s="6">
        <v>27</v>
      </c>
      <c r="O12" s="9">
        <v>5.9999999999999995E-4</v>
      </c>
      <c r="Q12" s="6" t="s">
        <v>76</v>
      </c>
      <c r="R12" s="6">
        <v>3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169</v>
      </c>
      <c r="AA12" s="9">
        <v>2.0999999999999999E-3</v>
      </c>
      <c r="AC12" s="6" t="s">
        <v>74</v>
      </c>
      <c r="AD12" s="6">
        <v>21</v>
      </c>
      <c r="AE12" s="9">
        <v>2.9999999999999997E-4</v>
      </c>
      <c r="AG12" s="6" t="s">
        <v>102</v>
      </c>
      <c r="AH12" s="6">
        <v>10</v>
      </c>
      <c r="AI12" s="9">
        <v>1E-4</v>
      </c>
    </row>
    <row r="13" spans="1:35">
      <c r="A13" s="6" t="s">
        <v>5</v>
      </c>
      <c r="B13" s="6">
        <v>121</v>
      </c>
      <c r="C13" s="9">
        <v>1E-3</v>
      </c>
      <c r="E13" s="6" t="s">
        <v>77</v>
      </c>
      <c r="F13" s="6">
        <v>18</v>
      </c>
      <c r="G13" s="9">
        <v>2.0000000000000001E-4</v>
      </c>
      <c r="I13" s="6" t="s">
        <v>113</v>
      </c>
      <c r="J13" s="6">
        <v>8</v>
      </c>
      <c r="K13" s="9">
        <v>1E-4</v>
      </c>
      <c r="M13" s="6" t="s">
        <v>31</v>
      </c>
      <c r="N13" s="6">
        <v>19</v>
      </c>
      <c r="O13" s="9">
        <v>5.0000000000000001E-4</v>
      </c>
      <c r="Q13" s="6" t="s">
        <v>181</v>
      </c>
      <c r="R13" s="6">
        <v>2</v>
      </c>
      <c r="S13" s="9">
        <v>1E-4</v>
      </c>
      <c r="U13" s="6" t="s">
        <v>117</v>
      </c>
      <c r="V13" s="6">
        <v>1</v>
      </c>
      <c r="W13" s="30">
        <v>0</v>
      </c>
      <c r="Y13" s="6" t="s">
        <v>5</v>
      </c>
      <c r="Z13" s="6">
        <v>119</v>
      </c>
      <c r="AA13" s="9">
        <v>1.5E-3</v>
      </c>
      <c r="AC13" s="6" t="s">
        <v>77</v>
      </c>
      <c r="AD13" s="6">
        <v>17</v>
      </c>
      <c r="AE13" s="9">
        <v>2.0000000000000001E-4</v>
      </c>
      <c r="AG13" s="6" t="s">
        <v>99</v>
      </c>
      <c r="AH13" s="6">
        <v>7</v>
      </c>
      <c r="AI13" s="9">
        <v>1E-4</v>
      </c>
    </row>
    <row r="14" spans="1:35">
      <c r="A14" s="6" t="s">
        <v>12</v>
      </c>
      <c r="B14" s="6">
        <v>91</v>
      </c>
      <c r="C14" s="9">
        <v>6.9999999999999999E-4</v>
      </c>
      <c r="E14" s="6" t="s">
        <v>75</v>
      </c>
      <c r="F14" s="6">
        <v>17</v>
      </c>
      <c r="G14" s="9">
        <v>2.0000000000000001E-4</v>
      </c>
      <c r="I14" s="6" t="s">
        <v>117</v>
      </c>
      <c r="J14" s="6">
        <v>1</v>
      </c>
      <c r="K14" s="30">
        <v>0</v>
      </c>
      <c r="M14" s="6" t="s">
        <v>9</v>
      </c>
      <c r="N14" s="6">
        <v>15</v>
      </c>
      <c r="O14" s="9">
        <v>4.0000000000000002E-4</v>
      </c>
      <c r="Q14" s="6" t="s">
        <v>83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12</v>
      </c>
      <c r="Z14" s="6">
        <v>90</v>
      </c>
      <c r="AA14" s="9">
        <v>1.1000000000000001E-3</v>
      </c>
      <c r="AC14" s="6" t="s">
        <v>75</v>
      </c>
      <c r="AD14" s="6">
        <v>17</v>
      </c>
      <c r="AE14" s="9">
        <v>2.0000000000000001E-4</v>
      </c>
      <c r="AG14" s="6" t="s">
        <v>113</v>
      </c>
      <c r="AH14" s="6">
        <v>5</v>
      </c>
      <c r="AI14" s="9">
        <v>1E-4</v>
      </c>
    </row>
    <row r="15" spans="1:35">
      <c r="A15" s="6" t="s">
        <v>11</v>
      </c>
      <c r="B15" s="6">
        <v>78</v>
      </c>
      <c r="C15" s="9">
        <v>5.9999999999999995E-4</v>
      </c>
      <c r="E15" s="6" t="s">
        <v>76</v>
      </c>
      <c r="F15" s="6">
        <v>14</v>
      </c>
      <c r="G15" s="9">
        <v>1E-4</v>
      </c>
      <c r="I15" s="6" t="s">
        <v>103</v>
      </c>
      <c r="J15" s="6">
        <v>5</v>
      </c>
      <c r="K15" s="30">
        <v>0</v>
      </c>
      <c r="M15" s="6" t="s">
        <v>11</v>
      </c>
      <c r="N15" s="6">
        <v>18</v>
      </c>
      <c r="O15" s="9">
        <v>4.0000000000000002E-4</v>
      </c>
      <c r="Q15" s="6" t="s">
        <v>80</v>
      </c>
      <c r="R15" s="6">
        <v>1</v>
      </c>
      <c r="S15" s="30">
        <v>0</v>
      </c>
      <c r="Y15" s="6" t="s">
        <v>11</v>
      </c>
      <c r="Z15" s="6">
        <v>60</v>
      </c>
      <c r="AA15" s="9">
        <v>6.9999999999999999E-4</v>
      </c>
      <c r="AC15" s="6" t="s">
        <v>76</v>
      </c>
      <c r="AD15" s="6">
        <v>11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70</v>
      </c>
      <c r="C16" s="9">
        <v>5.9999999999999995E-4</v>
      </c>
      <c r="E16" s="6" t="s">
        <v>78</v>
      </c>
      <c r="F16" s="6">
        <v>8</v>
      </c>
      <c r="G16" s="9">
        <v>1E-4</v>
      </c>
      <c r="I16" s="6" t="s">
        <v>123</v>
      </c>
      <c r="J16" s="6">
        <v>1</v>
      </c>
      <c r="K16" s="30">
        <v>0</v>
      </c>
      <c r="M16" s="6" t="s">
        <v>22</v>
      </c>
      <c r="N16" s="6">
        <v>11</v>
      </c>
      <c r="O16" s="9">
        <v>2.9999999999999997E-4</v>
      </c>
      <c r="Q16" s="6" t="s">
        <v>85</v>
      </c>
      <c r="R16" s="6">
        <v>1</v>
      </c>
      <c r="S16" s="30">
        <v>0</v>
      </c>
      <c r="Y16" s="6" t="s">
        <v>7</v>
      </c>
      <c r="Z16" s="6">
        <v>51</v>
      </c>
      <c r="AA16" s="9">
        <v>5.9999999999999995E-4</v>
      </c>
      <c r="AC16" s="6" t="s">
        <v>78</v>
      </c>
      <c r="AD16" s="6">
        <v>8</v>
      </c>
      <c r="AE16" s="9">
        <v>1E-4</v>
      </c>
    </row>
    <row r="17" spans="1:31">
      <c r="A17" s="6" t="s">
        <v>7</v>
      </c>
      <c r="B17" s="6">
        <v>78</v>
      </c>
      <c r="C17" s="9">
        <v>5.9999999999999995E-4</v>
      </c>
      <c r="E17" s="6" t="s">
        <v>92</v>
      </c>
      <c r="F17" s="6">
        <v>3</v>
      </c>
      <c r="G17" s="30">
        <v>0</v>
      </c>
      <c r="M17" s="6" t="s">
        <v>29</v>
      </c>
      <c r="N17" s="6">
        <v>14</v>
      </c>
      <c r="O17" s="9">
        <v>2.9999999999999997E-4</v>
      </c>
      <c r="Q17" s="6" t="s">
        <v>91</v>
      </c>
      <c r="R17" s="6">
        <v>1</v>
      </c>
      <c r="S17" s="30">
        <v>0</v>
      </c>
      <c r="Y17" s="6" t="s">
        <v>41</v>
      </c>
      <c r="Z17" s="6">
        <v>35</v>
      </c>
      <c r="AA17" s="9">
        <v>4.0000000000000002E-4</v>
      </c>
      <c r="AC17" s="6" t="s">
        <v>80</v>
      </c>
      <c r="AD17" s="6">
        <v>1</v>
      </c>
      <c r="AE17" s="30">
        <v>0</v>
      </c>
    </row>
    <row r="18" spans="1:31">
      <c r="A18" s="6" t="s">
        <v>21</v>
      </c>
      <c r="B18" s="6">
        <v>34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17</v>
      </c>
      <c r="N18" s="6">
        <v>11</v>
      </c>
      <c r="O18" s="9">
        <v>2.9999999999999997E-4</v>
      </c>
      <c r="Q18" s="6" t="s">
        <v>77</v>
      </c>
      <c r="R18" s="6">
        <v>1</v>
      </c>
      <c r="S18" s="30">
        <v>0</v>
      </c>
      <c r="Y18" s="6" t="s">
        <v>14</v>
      </c>
      <c r="Z18" s="6">
        <v>33</v>
      </c>
      <c r="AA18" s="9">
        <v>4.0000000000000002E-4</v>
      </c>
      <c r="AC18" s="6" t="s">
        <v>92</v>
      </c>
      <c r="AD18" s="6">
        <v>1</v>
      </c>
      <c r="AE18" s="30">
        <v>0</v>
      </c>
    </row>
    <row r="19" spans="1:31">
      <c r="A19" s="6" t="s">
        <v>18</v>
      </c>
      <c r="B19" s="6">
        <v>38</v>
      </c>
      <c r="C19" s="9">
        <v>2.9999999999999997E-4</v>
      </c>
      <c r="E19" s="6" t="s">
        <v>89</v>
      </c>
      <c r="F19" s="6">
        <v>1</v>
      </c>
      <c r="G19" s="30">
        <v>0</v>
      </c>
      <c r="M19" s="6" t="s">
        <v>21</v>
      </c>
      <c r="N19" s="6">
        <v>9</v>
      </c>
      <c r="O19" s="9">
        <v>2.0000000000000001E-4</v>
      </c>
      <c r="Q19" s="6" t="s">
        <v>145</v>
      </c>
      <c r="R19" s="6">
        <v>1</v>
      </c>
      <c r="S19" s="30">
        <v>0</v>
      </c>
      <c r="Y19" s="6" t="s">
        <v>18</v>
      </c>
      <c r="Z19" s="6">
        <v>29</v>
      </c>
      <c r="AA19" s="9">
        <v>4.0000000000000002E-4</v>
      </c>
      <c r="AC19" s="6" t="s">
        <v>89</v>
      </c>
      <c r="AD19" s="6">
        <v>1</v>
      </c>
      <c r="AE19" s="30">
        <v>0</v>
      </c>
    </row>
    <row r="20" spans="1:31">
      <c r="A20" s="6" t="s">
        <v>14</v>
      </c>
      <c r="B20" s="6">
        <v>33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43</v>
      </c>
      <c r="N20" s="6">
        <v>10</v>
      </c>
      <c r="O20" s="9">
        <v>2.0000000000000001E-4</v>
      </c>
      <c r="Y20" s="6" t="s">
        <v>21</v>
      </c>
      <c r="Z20" s="6">
        <v>25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31</v>
      </c>
      <c r="B21" s="6">
        <v>33</v>
      </c>
      <c r="C21" s="9">
        <v>2.9999999999999997E-4</v>
      </c>
      <c r="E21" s="6" t="s">
        <v>82</v>
      </c>
      <c r="F21" s="6">
        <v>1</v>
      </c>
      <c r="G21" s="30">
        <v>0</v>
      </c>
      <c r="M21" s="6" t="s">
        <v>18</v>
      </c>
      <c r="N21" s="6">
        <v>9</v>
      </c>
      <c r="O21" s="9">
        <v>2.0000000000000001E-4</v>
      </c>
      <c r="Y21" s="6" t="s">
        <v>10</v>
      </c>
      <c r="Z21" s="6">
        <v>21</v>
      </c>
      <c r="AA21" s="9">
        <v>2.9999999999999997E-4</v>
      </c>
      <c r="AC21" s="6" t="s">
        <v>84</v>
      </c>
      <c r="AD21" s="6">
        <v>2</v>
      </c>
      <c r="AE21" s="30">
        <v>0</v>
      </c>
    </row>
    <row r="22" spans="1:31">
      <c r="A22" s="6" t="s">
        <v>37</v>
      </c>
      <c r="B22" s="6">
        <v>20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8</v>
      </c>
      <c r="N22" s="6">
        <v>9</v>
      </c>
      <c r="O22" s="9">
        <v>2.0000000000000001E-4</v>
      </c>
      <c r="Y22" s="6" t="s">
        <v>37</v>
      </c>
      <c r="Z22" s="6">
        <v>15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10</v>
      </c>
      <c r="B23" s="6">
        <v>27</v>
      </c>
      <c r="C23" s="9">
        <v>2.0000000000000001E-4</v>
      </c>
      <c r="E23" s="6" t="s">
        <v>91</v>
      </c>
      <c r="F23" s="6">
        <v>2</v>
      </c>
      <c r="G23" s="30">
        <v>0</v>
      </c>
      <c r="M23" s="6" t="s">
        <v>40</v>
      </c>
      <c r="N23" s="6">
        <v>8</v>
      </c>
      <c r="O23" s="9">
        <v>2.0000000000000001E-4</v>
      </c>
      <c r="Y23" s="6" t="s">
        <v>15</v>
      </c>
      <c r="Z23" s="6">
        <v>15</v>
      </c>
      <c r="AA23" s="9">
        <v>2.0000000000000001E-4</v>
      </c>
    </row>
    <row r="24" spans="1:31">
      <c r="A24" s="6" t="s">
        <v>29</v>
      </c>
      <c r="B24" s="6">
        <v>30</v>
      </c>
      <c r="C24" s="9">
        <v>2.0000000000000001E-4</v>
      </c>
      <c r="E24" s="6" t="s">
        <v>181</v>
      </c>
      <c r="F24" s="6">
        <v>2</v>
      </c>
      <c r="G24" s="30">
        <v>0</v>
      </c>
      <c r="M24" s="6" t="s">
        <v>19</v>
      </c>
      <c r="N24" s="6">
        <v>3</v>
      </c>
      <c r="O24" s="9">
        <v>1E-4</v>
      </c>
      <c r="Y24" s="6" t="s">
        <v>29</v>
      </c>
      <c r="Z24" s="6">
        <v>16</v>
      </c>
      <c r="AA24" s="9">
        <v>2.0000000000000001E-4</v>
      </c>
    </row>
    <row r="25" spans="1:31">
      <c r="A25" s="6" t="s">
        <v>17</v>
      </c>
      <c r="B25" s="6">
        <v>22</v>
      </c>
      <c r="C25" s="9">
        <v>2.0000000000000001E-4</v>
      </c>
      <c r="E25" s="6" t="s">
        <v>145</v>
      </c>
      <c r="F25" s="6">
        <v>1</v>
      </c>
      <c r="G25" s="30">
        <v>0</v>
      </c>
      <c r="M25" s="6" t="s">
        <v>67</v>
      </c>
      <c r="N25" s="6">
        <v>3</v>
      </c>
      <c r="O25" s="9">
        <v>1E-4</v>
      </c>
      <c r="Y25" s="6" t="s">
        <v>31</v>
      </c>
      <c r="Z25" s="6">
        <v>14</v>
      </c>
      <c r="AA25" s="9">
        <v>2.0000000000000001E-4</v>
      </c>
    </row>
    <row r="26" spans="1:31">
      <c r="A26" s="6" t="s">
        <v>40</v>
      </c>
      <c r="B26" s="6">
        <v>26</v>
      </c>
      <c r="C26" s="9">
        <v>2.0000000000000001E-4</v>
      </c>
      <c r="M26" s="6" t="s">
        <v>16</v>
      </c>
      <c r="N26" s="6">
        <v>6</v>
      </c>
      <c r="O26" s="9">
        <v>1E-4</v>
      </c>
      <c r="Y26" s="6" t="s">
        <v>40</v>
      </c>
      <c r="Z26" s="6">
        <v>18</v>
      </c>
      <c r="AA26" s="9">
        <v>2.0000000000000001E-4</v>
      </c>
    </row>
    <row r="27" spans="1:31">
      <c r="A27" s="6" t="s">
        <v>19</v>
      </c>
      <c r="B27" s="6">
        <v>11</v>
      </c>
      <c r="C27" s="9">
        <v>1E-4</v>
      </c>
      <c r="M27" s="6" t="s">
        <v>37</v>
      </c>
      <c r="N27" s="6">
        <v>5</v>
      </c>
      <c r="O27" s="9">
        <v>1E-4</v>
      </c>
      <c r="Y27" s="6" t="s">
        <v>19</v>
      </c>
      <c r="Z27" s="6">
        <v>8</v>
      </c>
      <c r="AA27" s="9">
        <v>1E-4</v>
      </c>
    </row>
    <row r="28" spans="1:31">
      <c r="A28" s="6" t="s">
        <v>20</v>
      </c>
      <c r="B28" s="6">
        <v>10</v>
      </c>
      <c r="C28" s="9">
        <v>1E-4</v>
      </c>
      <c r="M28" s="6" t="s">
        <v>10</v>
      </c>
      <c r="N28" s="6">
        <v>6</v>
      </c>
      <c r="O28" s="9">
        <v>1E-4</v>
      </c>
      <c r="Y28" s="6" t="s">
        <v>20</v>
      </c>
      <c r="Z28" s="6">
        <v>10</v>
      </c>
      <c r="AA28" s="9">
        <v>1E-4</v>
      </c>
    </row>
    <row r="29" spans="1:31">
      <c r="A29" s="6" t="s">
        <v>15</v>
      </c>
      <c r="B29" s="6">
        <v>15</v>
      </c>
      <c r="C29" s="9">
        <v>1E-4</v>
      </c>
      <c r="M29" s="6" t="s">
        <v>24</v>
      </c>
      <c r="N29" s="6">
        <v>3</v>
      </c>
      <c r="O29" s="9">
        <v>1E-4</v>
      </c>
      <c r="Y29" s="6" t="s">
        <v>17</v>
      </c>
      <c r="Z29" s="6">
        <v>11</v>
      </c>
      <c r="AA29" s="9">
        <v>1E-4</v>
      </c>
    </row>
    <row r="30" spans="1:31">
      <c r="A30" s="6" t="s">
        <v>22</v>
      </c>
      <c r="B30" s="6">
        <v>18</v>
      </c>
      <c r="C30" s="9">
        <v>1E-4</v>
      </c>
      <c r="M30" s="6" t="s">
        <v>30</v>
      </c>
      <c r="N30" s="6">
        <v>4</v>
      </c>
      <c r="O30" s="9">
        <v>1E-4</v>
      </c>
      <c r="Y30" s="6" t="s">
        <v>30</v>
      </c>
      <c r="Z30" s="6">
        <v>11</v>
      </c>
      <c r="AA30" s="9">
        <v>1E-4</v>
      </c>
    </row>
    <row r="31" spans="1:31">
      <c r="A31" s="6" t="s">
        <v>16</v>
      </c>
      <c r="B31" s="6">
        <v>10</v>
      </c>
      <c r="C31" s="9">
        <v>1E-4</v>
      </c>
      <c r="M31" s="6" t="s">
        <v>64</v>
      </c>
      <c r="N31" s="6">
        <v>4</v>
      </c>
      <c r="O31" s="9">
        <v>1E-4</v>
      </c>
      <c r="Y31" s="6" t="s">
        <v>26</v>
      </c>
      <c r="Z31" s="6">
        <v>12</v>
      </c>
      <c r="AA31" s="9">
        <v>1E-4</v>
      </c>
    </row>
    <row r="32" spans="1:31">
      <c r="A32" s="6" t="s">
        <v>24</v>
      </c>
      <c r="B32" s="6">
        <v>10</v>
      </c>
      <c r="C32" s="9">
        <v>1E-4</v>
      </c>
      <c r="M32" s="6" t="s">
        <v>38</v>
      </c>
      <c r="N32" s="6">
        <v>3</v>
      </c>
      <c r="O32" s="9">
        <v>1E-4</v>
      </c>
      <c r="Y32" s="6" t="s">
        <v>22</v>
      </c>
      <c r="Z32" s="6">
        <v>7</v>
      </c>
      <c r="AA32" s="9">
        <v>1E-4</v>
      </c>
    </row>
    <row r="33" spans="1:27">
      <c r="A33" s="6" t="s">
        <v>30</v>
      </c>
      <c r="B33" s="6">
        <v>15</v>
      </c>
      <c r="C33" s="9">
        <v>1E-4</v>
      </c>
      <c r="M33" s="6" t="s">
        <v>5</v>
      </c>
      <c r="N33" s="6">
        <v>2</v>
      </c>
      <c r="O33" s="30">
        <v>0</v>
      </c>
      <c r="Y33" s="6" t="s">
        <v>24</v>
      </c>
      <c r="Z33" s="6">
        <v>7</v>
      </c>
      <c r="AA33" s="9">
        <v>1E-4</v>
      </c>
    </row>
    <row r="34" spans="1:27">
      <c r="A34" s="6" t="s">
        <v>26</v>
      </c>
      <c r="B34" s="6">
        <v>14</v>
      </c>
      <c r="C34" s="9">
        <v>1E-4</v>
      </c>
      <c r="M34" s="6" t="s">
        <v>13</v>
      </c>
      <c r="N34" s="6">
        <v>1</v>
      </c>
      <c r="O34" s="30">
        <v>0</v>
      </c>
      <c r="Y34" s="6" t="s">
        <v>58</v>
      </c>
      <c r="Z34" s="6">
        <v>6</v>
      </c>
      <c r="AA34" s="9">
        <v>1E-4</v>
      </c>
    </row>
    <row r="35" spans="1:27">
      <c r="A35" s="6" t="s">
        <v>43</v>
      </c>
      <c r="B35" s="6">
        <v>11</v>
      </c>
      <c r="C35" s="9">
        <v>1E-4</v>
      </c>
      <c r="M35" s="6" t="s">
        <v>121</v>
      </c>
      <c r="N35" s="6">
        <v>1</v>
      </c>
      <c r="O35" s="30">
        <v>0</v>
      </c>
      <c r="Y35" s="6" t="s">
        <v>38</v>
      </c>
      <c r="Z35" s="6">
        <v>5</v>
      </c>
      <c r="AA35" s="9">
        <v>1E-4</v>
      </c>
    </row>
    <row r="36" spans="1:27">
      <c r="A36" s="6" t="s">
        <v>38</v>
      </c>
      <c r="B36" s="6">
        <v>8</v>
      </c>
      <c r="C36" s="9">
        <v>1E-4</v>
      </c>
      <c r="M36" s="6" t="s">
        <v>45</v>
      </c>
      <c r="N36" s="6">
        <v>1</v>
      </c>
      <c r="O36" s="30">
        <v>0</v>
      </c>
      <c r="Y36" s="6" t="s">
        <v>27</v>
      </c>
      <c r="Z36" s="6">
        <v>7</v>
      </c>
      <c r="AA36" s="9">
        <v>1E-4</v>
      </c>
    </row>
    <row r="37" spans="1:27">
      <c r="A37" s="6" t="s">
        <v>58</v>
      </c>
      <c r="B37" s="6">
        <v>7</v>
      </c>
      <c r="C37" s="9">
        <v>1E-4</v>
      </c>
      <c r="M37" s="6" t="s">
        <v>36</v>
      </c>
      <c r="N37" s="6">
        <v>1</v>
      </c>
      <c r="O37" s="30">
        <v>0</v>
      </c>
      <c r="Y37" s="6" t="s">
        <v>45</v>
      </c>
      <c r="Z37" s="6">
        <v>2</v>
      </c>
      <c r="AA37" s="30">
        <v>0</v>
      </c>
    </row>
    <row r="38" spans="1:27">
      <c r="A38" s="6" t="s">
        <v>64</v>
      </c>
      <c r="B38" s="6">
        <v>7</v>
      </c>
      <c r="C38" s="9">
        <v>1E-4</v>
      </c>
      <c r="M38" s="6" t="s">
        <v>69</v>
      </c>
      <c r="N38" s="6">
        <v>2</v>
      </c>
      <c r="O38" s="30">
        <v>0</v>
      </c>
      <c r="Y38" s="6" t="s">
        <v>115</v>
      </c>
      <c r="Z38" s="6">
        <v>1</v>
      </c>
      <c r="AA38" s="30">
        <v>0</v>
      </c>
    </row>
    <row r="39" spans="1:27">
      <c r="A39" s="6" t="s">
        <v>27</v>
      </c>
      <c r="B39" s="6">
        <v>9</v>
      </c>
      <c r="C39" s="9">
        <v>1E-4</v>
      </c>
      <c r="M39" s="6" t="s">
        <v>12</v>
      </c>
      <c r="N39" s="6">
        <v>1</v>
      </c>
      <c r="O39" s="30">
        <v>0</v>
      </c>
      <c r="Y39" s="6" t="s">
        <v>34</v>
      </c>
      <c r="Z39" s="6">
        <v>4</v>
      </c>
      <c r="AA39" s="30">
        <v>0</v>
      </c>
    </row>
    <row r="40" spans="1:27">
      <c r="A40" s="6" t="s">
        <v>115</v>
      </c>
      <c r="B40" s="6">
        <v>1</v>
      </c>
      <c r="C40" s="30">
        <v>0</v>
      </c>
      <c r="M40" s="6" t="s">
        <v>26</v>
      </c>
      <c r="N40" s="6">
        <v>2</v>
      </c>
      <c r="O40" s="30">
        <v>0</v>
      </c>
      <c r="Y40" s="6" t="s">
        <v>13</v>
      </c>
      <c r="Z40" s="6">
        <v>3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68</v>
      </c>
      <c r="N41" s="6">
        <v>2</v>
      </c>
      <c r="O41" s="30">
        <v>0</v>
      </c>
      <c r="Y41" s="6" t="s">
        <v>36</v>
      </c>
      <c r="Z41" s="6">
        <v>2</v>
      </c>
      <c r="AA41" s="30">
        <v>0</v>
      </c>
    </row>
    <row r="42" spans="1:27">
      <c r="A42" s="6" t="s">
        <v>34</v>
      </c>
      <c r="B42" s="6">
        <v>4</v>
      </c>
      <c r="C42" s="30">
        <v>0</v>
      </c>
      <c r="M42" s="6" t="s">
        <v>27</v>
      </c>
      <c r="N42" s="6">
        <v>2</v>
      </c>
      <c r="O42" s="30">
        <v>0</v>
      </c>
      <c r="Y42" s="6" t="s">
        <v>48</v>
      </c>
      <c r="Z42" s="6">
        <v>1</v>
      </c>
      <c r="AA42" s="30">
        <v>0</v>
      </c>
    </row>
    <row r="43" spans="1:27">
      <c r="A43" s="6" t="s">
        <v>67</v>
      </c>
      <c r="B43" s="6">
        <v>4</v>
      </c>
      <c r="C43" s="30">
        <v>0</v>
      </c>
      <c r="M43" s="6" t="s">
        <v>58</v>
      </c>
      <c r="N43" s="6">
        <v>1</v>
      </c>
      <c r="O43" s="30">
        <v>0</v>
      </c>
      <c r="Y43" s="6" t="s">
        <v>67</v>
      </c>
      <c r="Z43" s="6">
        <v>1</v>
      </c>
      <c r="AA43" s="30">
        <v>0</v>
      </c>
    </row>
    <row r="44" spans="1:27">
      <c r="A44" s="6" t="s">
        <v>13</v>
      </c>
      <c r="B44" s="6">
        <v>4</v>
      </c>
      <c r="C44" s="30">
        <v>0</v>
      </c>
      <c r="M44" s="6" t="s">
        <v>42</v>
      </c>
      <c r="N44" s="6">
        <v>1</v>
      </c>
      <c r="O44" s="30">
        <v>0</v>
      </c>
      <c r="Y44" s="6" t="s">
        <v>147</v>
      </c>
      <c r="Z44" s="6">
        <v>1</v>
      </c>
      <c r="AA44" s="30">
        <v>0</v>
      </c>
    </row>
    <row r="45" spans="1:27">
      <c r="A45" s="6" t="s">
        <v>121</v>
      </c>
      <c r="B45" s="6">
        <v>1</v>
      </c>
      <c r="C45" s="30">
        <v>0</v>
      </c>
      <c r="M45" s="6" t="s">
        <v>53</v>
      </c>
      <c r="N45" s="6">
        <v>1</v>
      </c>
      <c r="O45" s="30">
        <v>0</v>
      </c>
      <c r="Y45" s="6" t="s">
        <v>44</v>
      </c>
      <c r="Z45" s="6">
        <v>1</v>
      </c>
      <c r="AA45" s="30">
        <v>0</v>
      </c>
    </row>
    <row r="46" spans="1:27">
      <c r="A46" s="6" t="s">
        <v>36</v>
      </c>
      <c r="B46" s="6">
        <v>3</v>
      </c>
      <c r="C46" s="30">
        <v>0</v>
      </c>
      <c r="M46" s="6" t="s">
        <v>39</v>
      </c>
      <c r="N46" s="6">
        <v>2</v>
      </c>
      <c r="O46" s="30">
        <v>0</v>
      </c>
      <c r="Y46" s="6" t="s">
        <v>47</v>
      </c>
      <c r="Z46" s="6">
        <v>1</v>
      </c>
      <c r="AA46" s="30">
        <v>0</v>
      </c>
    </row>
    <row r="47" spans="1:27">
      <c r="A47" s="6" t="s">
        <v>48</v>
      </c>
      <c r="B47" s="6">
        <v>1</v>
      </c>
      <c r="C47" s="30">
        <v>0</v>
      </c>
      <c r="M47" s="6" t="s">
        <v>56</v>
      </c>
      <c r="N47" s="6">
        <v>1</v>
      </c>
      <c r="O47" s="30">
        <v>0</v>
      </c>
      <c r="Y47" s="6" t="s">
        <v>65</v>
      </c>
      <c r="Z47" s="6">
        <v>1</v>
      </c>
      <c r="AA47" s="30">
        <v>0</v>
      </c>
    </row>
    <row r="48" spans="1:27">
      <c r="A48" s="6" t="s">
        <v>44</v>
      </c>
      <c r="B48" s="6">
        <v>1</v>
      </c>
      <c r="C48" s="30">
        <v>0</v>
      </c>
      <c r="Y48" s="6" t="s">
        <v>131</v>
      </c>
      <c r="Z48" s="6">
        <v>1</v>
      </c>
      <c r="AA48" s="30">
        <v>0</v>
      </c>
    </row>
    <row r="49" spans="1:27">
      <c r="A49" s="6" t="s">
        <v>131</v>
      </c>
      <c r="B49" s="6">
        <v>1</v>
      </c>
      <c r="C49" s="30">
        <v>0</v>
      </c>
      <c r="Y49" s="6" t="s">
        <v>62</v>
      </c>
      <c r="Z49" s="6">
        <v>1</v>
      </c>
      <c r="AA49" s="30">
        <v>0</v>
      </c>
    </row>
    <row r="50" spans="1:27">
      <c r="A50" s="6" t="s">
        <v>147</v>
      </c>
      <c r="B50" s="6">
        <v>1</v>
      </c>
      <c r="C50" s="30">
        <v>0</v>
      </c>
      <c r="Y50" s="6" t="s">
        <v>16</v>
      </c>
      <c r="Z50" s="6">
        <v>4</v>
      </c>
      <c r="AA50" s="30">
        <v>0</v>
      </c>
    </row>
    <row r="51" spans="1:27">
      <c r="A51" s="6" t="s">
        <v>65</v>
      </c>
      <c r="B51" s="6">
        <v>1</v>
      </c>
      <c r="C51" s="30">
        <v>0</v>
      </c>
      <c r="Y51" s="6" t="s">
        <v>160</v>
      </c>
      <c r="Z51" s="6">
        <v>2</v>
      </c>
      <c r="AA51" s="30">
        <v>0</v>
      </c>
    </row>
    <row r="52" spans="1:27">
      <c r="A52" s="6" t="s">
        <v>47</v>
      </c>
      <c r="B52" s="6">
        <v>1</v>
      </c>
      <c r="C52" s="30">
        <v>0</v>
      </c>
      <c r="Y52" s="6" t="s">
        <v>33</v>
      </c>
      <c r="Z52" s="6">
        <v>3</v>
      </c>
      <c r="AA52" s="30">
        <v>0</v>
      </c>
    </row>
    <row r="53" spans="1:27">
      <c r="A53" s="6" t="s">
        <v>62</v>
      </c>
      <c r="B53" s="6">
        <v>1</v>
      </c>
      <c r="C53" s="30">
        <v>0</v>
      </c>
      <c r="Y53" s="6" t="s">
        <v>55</v>
      </c>
      <c r="Z53" s="6">
        <v>1</v>
      </c>
      <c r="AA53" s="30">
        <v>0</v>
      </c>
    </row>
    <row r="54" spans="1:27">
      <c r="A54" s="6" t="s">
        <v>160</v>
      </c>
      <c r="B54" s="6">
        <v>2</v>
      </c>
      <c r="C54" s="30">
        <v>0</v>
      </c>
      <c r="Y54" s="6" t="s">
        <v>25</v>
      </c>
      <c r="Z54" s="6">
        <v>4</v>
      </c>
      <c r="AA54" s="30">
        <v>0</v>
      </c>
    </row>
    <row r="55" spans="1:27">
      <c r="A55" s="6" t="s">
        <v>33</v>
      </c>
      <c r="B55" s="6">
        <v>3</v>
      </c>
      <c r="C55" s="30">
        <v>0</v>
      </c>
      <c r="Y55" s="6" t="s">
        <v>39</v>
      </c>
      <c r="Z55" s="6">
        <v>2</v>
      </c>
      <c r="AA55" s="30">
        <v>0</v>
      </c>
    </row>
    <row r="56" spans="1:27">
      <c r="A56" s="6" t="s">
        <v>55</v>
      </c>
      <c r="B56" s="6">
        <v>1</v>
      </c>
      <c r="C56" s="30">
        <v>0</v>
      </c>
      <c r="Y56" s="6" t="s">
        <v>57</v>
      </c>
      <c r="Z56" s="6">
        <v>2</v>
      </c>
      <c r="AA56" s="30">
        <v>0</v>
      </c>
    </row>
    <row r="57" spans="1:27">
      <c r="A57" s="6" t="s">
        <v>68</v>
      </c>
      <c r="B57" s="6">
        <v>5</v>
      </c>
      <c r="C57" s="30">
        <v>0</v>
      </c>
      <c r="Y57" s="6" t="s">
        <v>68</v>
      </c>
      <c r="Z57" s="6">
        <v>3</v>
      </c>
      <c r="AA57" s="30">
        <v>0</v>
      </c>
    </row>
    <row r="58" spans="1:27">
      <c r="A58" s="6" t="s">
        <v>39</v>
      </c>
      <c r="B58" s="6">
        <v>4</v>
      </c>
      <c r="C58" s="30">
        <v>0</v>
      </c>
      <c r="Y58" s="6" t="s">
        <v>64</v>
      </c>
      <c r="Z58" s="6">
        <v>3</v>
      </c>
      <c r="AA58" s="30">
        <v>0</v>
      </c>
    </row>
    <row r="59" spans="1:27">
      <c r="A59" s="6" t="s">
        <v>69</v>
      </c>
      <c r="B59" s="6">
        <v>3</v>
      </c>
      <c r="C59" s="30">
        <v>0</v>
      </c>
      <c r="Y59" s="6" t="s">
        <v>60</v>
      </c>
      <c r="Z59" s="6">
        <v>1</v>
      </c>
      <c r="AA59" s="30">
        <v>0</v>
      </c>
    </row>
    <row r="60" spans="1:27">
      <c r="A60" s="6" t="s">
        <v>25</v>
      </c>
      <c r="B60" s="6">
        <v>4</v>
      </c>
      <c r="C60" s="30">
        <v>0</v>
      </c>
      <c r="Y60" s="6" t="s">
        <v>69</v>
      </c>
      <c r="Z60" s="6">
        <v>1</v>
      </c>
      <c r="AA60" s="30">
        <v>0</v>
      </c>
    </row>
    <row r="61" spans="1:27">
      <c r="A61" s="6" t="s">
        <v>57</v>
      </c>
      <c r="B61" s="6">
        <v>2</v>
      </c>
      <c r="C61" s="30">
        <v>0</v>
      </c>
      <c r="Y61" s="6" t="s">
        <v>43</v>
      </c>
      <c r="Z61" s="6">
        <v>1</v>
      </c>
      <c r="AA61" s="30">
        <v>0</v>
      </c>
    </row>
    <row r="62" spans="1:27">
      <c r="A62" s="6" t="s">
        <v>129</v>
      </c>
      <c r="B62" s="6">
        <v>1</v>
      </c>
      <c r="C62" s="30">
        <v>0</v>
      </c>
      <c r="Y62" s="6" t="s">
        <v>32</v>
      </c>
      <c r="Z62" s="6">
        <v>1</v>
      </c>
      <c r="AA62" s="30">
        <v>0</v>
      </c>
    </row>
    <row r="63" spans="1:27">
      <c r="A63" s="6" t="s">
        <v>53</v>
      </c>
      <c r="B63" s="6">
        <v>2</v>
      </c>
      <c r="C63" s="30">
        <v>0</v>
      </c>
      <c r="Y63" s="6" t="s">
        <v>53</v>
      </c>
      <c r="Z63" s="6">
        <v>1</v>
      </c>
      <c r="AA63" s="30">
        <v>0</v>
      </c>
    </row>
    <row r="64" spans="1:27">
      <c r="A64" s="6" t="s">
        <v>60</v>
      </c>
      <c r="B64" s="6">
        <v>1</v>
      </c>
      <c r="C64" s="30">
        <v>0</v>
      </c>
      <c r="Y64" s="6" t="s">
        <v>42</v>
      </c>
      <c r="Z64" s="6">
        <v>1</v>
      </c>
      <c r="AA64" s="30">
        <v>0</v>
      </c>
    </row>
    <row r="65" spans="1:27">
      <c r="A65" s="6" t="s">
        <v>42</v>
      </c>
      <c r="B65" s="6">
        <v>2</v>
      </c>
      <c r="C65" s="30">
        <v>0</v>
      </c>
      <c r="Y65" s="6" t="s">
        <v>23</v>
      </c>
      <c r="Z65" s="6">
        <v>1</v>
      </c>
      <c r="AA65" s="30">
        <v>0</v>
      </c>
    </row>
    <row r="66" spans="1:27">
      <c r="A66" s="6" t="s">
        <v>32</v>
      </c>
      <c r="B66" s="6">
        <v>1</v>
      </c>
      <c r="C66" s="30">
        <v>0</v>
      </c>
      <c r="Y66" s="6" t="s">
        <v>150</v>
      </c>
      <c r="Z66" s="6">
        <v>1</v>
      </c>
      <c r="AA66" s="30">
        <v>0</v>
      </c>
    </row>
    <row r="67" spans="1:27">
      <c r="A67" s="6" t="s">
        <v>23</v>
      </c>
      <c r="B67" s="6">
        <v>1</v>
      </c>
      <c r="C67" s="30">
        <v>0</v>
      </c>
      <c r="Y67" s="6" t="s">
        <v>129</v>
      </c>
      <c r="Z67" s="6">
        <v>1</v>
      </c>
      <c r="AA67" s="30">
        <v>0</v>
      </c>
    </row>
    <row r="68" spans="1:27">
      <c r="A68" s="6" t="s">
        <v>56</v>
      </c>
      <c r="B68" s="6">
        <v>1</v>
      </c>
      <c r="C68" s="30">
        <v>0</v>
      </c>
    </row>
    <row r="69" spans="1:27">
      <c r="A69" s="6" t="s">
        <v>150</v>
      </c>
      <c r="B69" s="6">
        <v>1</v>
      </c>
      <c r="C6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25-202F-40A5-8B1F-9F4DAC61D12D}">
  <sheetPr codeName="Sheet56"/>
  <dimension ref="A1:AI67"/>
  <sheetViews>
    <sheetView topLeftCell="A29" workbookViewId="0">
      <selection activeCell="A8" sqref="A8:C6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126359</v>
      </c>
      <c r="E2" s="41" t="s">
        <v>4</v>
      </c>
      <c r="F2" s="23" t="s">
        <v>105</v>
      </c>
      <c r="G2" s="23">
        <f>G3+G4</f>
        <v>123072</v>
      </c>
      <c r="H2" s="22"/>
      <c r="I2" s="41" t="s">
        <v>6</v>
      </c>
      <c r="J2" s="23" t="s">
        <v>105</v>
      </c>
      <c r="K2" s="23">
        <f>K3+K4</f>
        <v>121654</v>
      </c>
      <c r="M2" s="41" t="s">
        <v>104</v>
      </c>
      <c r="N2" s="23" t="s">
        <v>105</v>
      </c>
      <c r="O2" s="23">
        <f>O3+O4</f>
        <v>35370</v>
      </c>
      <c r="Q2" s="41" t="s">
        <v>4</v>
      </c>
      <c r="R2" s="23" t="s">
        <v>105</v>
      </c>
      <c r="S2" s="23">
        <f>S3+S4</f>
        <v>31089</v>
      </c>
      <c r="T2" s="22"/>
      <c r="U2" s="41" t="s">
        <v>6</v>
      </c>
      <c r="V2" s="23" t="s">
        <v>105</v>
      </c>
      <c r="W2" s="23">
        <f>W3+W4</f>
        <v>30965</v>
      </c>
      <c r="Y2" s="41" t="s">
        <v>104</v>
      </c>
      <c r="Z2" s="23" t="s">
        <v>105</v>
      </c>
      <c r="AA2" s="23">
        <f>AA3+AA4</f>
        <v>90961</v>
      </c>
      <c r="AC2" s="41" t="s">
        <v>4</v>
      </c>
      <c r="AD2" s="23" t="s">
        <v>105</v>
      </c>
      <c r="AE2" s="23">
        <f>AE3+AE4</f>
        <v>91990</v>
      </c>
      <c r="AF2" s="22"/>
      <c r="AG2" s="41" t="s">
        <v>6</v>
      </c>
      <c r="AH2" s="23" t="s">
        <v>105</v>
      </c>
      <c r="AI2" s="23">
        <f>AI3+AI4</f>
        <v>90715</v>
      </c>
    </row>
    <row r="3" spans="1:35">
      <c r="A3" s="42"/>
      <c r="B3" s="24" t="s">
        <v>106</v>
      </c>
      <c r="C3" s="24">
        <f>B8</f>
        <v>124444</v>
      </c>
      <c r="E3" s="42"/>
      <c r="F3" s="24" t="s">
        <v>106</v>
      </c>
      <c r="G3" s="24">
        <f>F8</f>
        <v>122715</v>
      </c>
      <c r="H3" s="22"/>
      <c r="I3" s="42"/>
      <c r="J3" s="24" t="s">
        <v>106</v>
      </c>
      <c r="K3" s="24">
        <f>J8</f>
        <v>121563</v>
      </c>
      <c r="M3" s="42"/>
      <c r="N3" s="24" t="s">
        <v>106</v>
      </c>
      <c r="O3" s="24">
        <f>N8</f>
        <v>34970</v>
      </c>
      <c r="Q3" s="42"/>
      <c r="R3" s="24" t="s">
        <v>106</v>
      </c>
      <c r="S3" s="24">
        <f>R8</f>
        <v>30990</v>
      </c>
      <c r="T3" s="22"/>
      <c r="U3" s="42"/>
      <c r="V3" s="24" t="s">
        <v>106</v>
      </c>
      <c r="W3" s="24">
        <f>V8</f>
        <v>30912</v>
      </c>
      <c r="Y3" s="42"/>
      <c r="Z3" s="24" t="s">
        <v>106</v>
      </c>
      <c r="AA3" s="24">
        <f>Z8</f>
        <v>89476</v>
      </c>
      <c r="AC3" s="42"/>
      <c r="AD3" s="24" t="s">
        <v>106</v>
      </c>
      <c r="AE3" s="24">
        <f>AD8</f>
        <v>91731</v>
      </c>
      <c r="AF3" s="22"/>
      <c r="AG3" s="42"/>
      <c r="AH3" s="24" t="s">
        <v>106</v>
      </c>
      <c r="AI3" s="24">
        <f>AH8</f>
        <v>90651</v>
      </c>
    </row>
    <row r="4" spans="1:35">
      <c r="A4" s="42"/>
      <c r="B4" s="25" t="s">
        <v>107</v>
      </c>
      <c r="C4" s="25">
        <f>SUM(B9:B66)</f>
        <v>1915</v>
      </c>
      <c r="E4" s="42"/>
      <c r="F4" s="25" t="s">
        <v>107</v>
      </c>
      <c r="G4" s="25">
        <f>SUM(F9:F33)</f>
        <v>357</v>
      </c>
      <c r="H4" s="22"/>
      <c r="I4" s="42"/>
      <c r="J4" s="25" t="s">
        <v>107</v>
      </c>
      <c r="K4" s="25">
        <f>SUM(J9:J31)</f>
        <v>91</v>
      </c>
      <c r="M4" s="42"/>
      <c r="N4" s="25" t="s">
        <v>107</v>
      </c>
      <c r="O4" s="25">
        <f>SUM(N9:N66)</f>
        <v>400</v>
      </c>
      <c r="Q4" s="42"/>
      <c r="R4" s="25" t="s">
        <v>107</v>
      </c>
      <c r="S4" s="25">
        <f>SUM(R9:R33)</f>
        <v>99</v>
      </c>
      <c r="T4" s="22"/>
      <c r="U4" s="42"/>
      <c r="V4" s="25" t="s">
        <v>107</v>
      </c>
      <c r="W4" s="25">
        <f>SUM(V9:V31)</f>
        <v>53</v>
      </c>
      <c r="Y4" s="42"/>
      <c r="Z4" s="25" t="s">
        <v>107</v>
      </c>
      <c r="AA4" s="25">
        <f>SUM(Z9:Z45)</f>
        <v>1485</v>
      </c>
      <c r="AC4" s="42"/>
      <c r="AD4" s="25" t="s">
        <v>107</v>
      </c>
      <c r="AE4" s="25">
        <f>SUM(AD9:AD29)</f>
        <v>259</v>
      </c>
      <c r="AF4" s="22"/>
      <c r="AG4" s="42"/>
      <c r="AH4" s="25" t="s">
        <v>107</v>
      </c>
      <c r="AI4" s="25">
        <f>SUM(AH9:AH29)</f>
        <v>64</v>
      </c>
    </row>
    <row r="5" spans="1:35">
      <c r="A5" s="43"/>
      <c r="B5" s="23" t="s">
        <v>108</v>
      </c>
      <c r="C5" s="26">
        <f>SUM(C9:C179)</f>
        <v>1.4799999999999997E-2</v>
      </c>
      <c r="E5" s="43"/>
      <c r="F5" s="23" t="s">
        <v>108</v>
      </c>
      <c r="G5" s="26">
        <f>SUM(G9:G33)</f>
        <v>2.6999999999999993E-3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1.1199999999999991E-2</v>
      </c>
      <c r="Q5" s="43"/>
      <c r="R5" s="23" t="s">
        <v>108</v>
      </c>
      <c r="S5" s="26">
        <f>SUM(S9:S33)</f>
        <v>3.1999999999999993E-3</v>
      </c>
      <c r="T5" s="22"/>
      <c r="U5" s="43"/>
      <c r="V5" s="23" t="s">
        <v>108</v>
      </c>
      <c r="W5" s="26">
        <f>SUM(W9:W31)</f>
        <v>1.6000000000000001E-3</v>
      </c>
      <c r="Y5" s="43"/>
      <c r="Z5" s="23" t="s">
        <v>108</v>
      </c>
      <c r="AA5" s="26">
        <f>SUM(AA9:AA158)</f>
        <v>1.6099999999999993E-2</v>
      </c>
      <c r="AC5" s="43"/>
      <c r="AD5" s="23" t="s">
        <v>108</v>
      </c>
      <c r="AE5" s="26">
        <f>SUM(AE9:AE29)</f>
        <v>2.5999999999999999E-3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124444</v>
      </c>
      <c r="C8" s="9">
        <v>0.98480000000000001</v>
      </c>
      <c r="E8" s="6" t="s">
        <v>112</v>
      </c>
      <c r="F8" s="29">
        <v>122715</v>
      </c>
      <c r="G8" s="9">
        <v>0.99709999999999999</v>
      </c>
      <c r="I8" s="6" t="s">
        <v>112</v>
      </c>
      <c r="J8" s="29">
        <v>121563</v>
      </c>
      <c r="K8" s="9">
        <v>0.99929999999999997</v>
      </c>
      <c r="M8" s="6" t="s">
        <v>112</v>
      </c>
      <c r="N8" s="29">
        <v>34970</v>
      </c>
      <c r="O8" s="9">
        <v>0.98870000000000002</v>
      </c>
      <c r="Q8" s="6" t="s">
        <v>112</v>
      </c>
      <c r="R8" s="29">
        <v>30990</v>
      </c>
      <c r="S8" s="9">
        <v>0.99680000000000002</v>
      </c>
      <c r="U8" s="6" t="s">
        <v>112</v>
      </c>
      <c r="V8" s="29">
        <v>30912</v>
      </c>
      <c r="W8" s="9">
        <v>0.99829999999999997</v>
      </c>
      <c r="Y8" s="6" t="s">
        <v>112</v>
      </c>
      <c r="Z8" s="29">
        <v>89476</v>
      </c>
      <c r="AA8" s="9">
        <v>0.98329999999999995</v>
      </c>
      <c r="AC8" s="6" t="s">
        <v>112</v>
      </c>
      <c r="AD8" s="29">
        <v>91731</v>
      </c>
      <c r="AE8" s="9">
        <v>0.99719999999999998</v>
      </c>
      <c r="AG8" s="6" t="s">
        <v>112</v>
      </c>
      <c r="AH8" s="29">
        <v>90651</v>
      </c>
      <c r="AI8" s="9">
        <v>0.99929999999999997</v>
      </c>
    </row>
    <row r="9" spans="1:35">
      <c r="A9" s="6" t="s">
        <v>2</v>
      </c>
      <c r="B9" s="6">
        <v>415</v>
      </c>
      <c r="C9" s="9">
        <v>3.3E-3</v>
      </c>
      <c r="E9" s="6" t="s">
        <v>122</v>
      </c>
      <c r="F9" s="6">
        <v>144</v>
      </c>
      <c r="G9" s="9">
        <v>1.1999999999999999E-3</v>
      </c>
      <c r="I9" s="6" t="s">
        <v>2</v>
      </c>
      <c r="J9" s="6">
        <v>32</v>
      </c>
      <c r="K9" s="9">
        <v>2.9999999999999997E-4</v>
      </c>
      <c r="M9" s="6" t="s">
        <v>2</v>
      </c>
      <c r="N9" s="6">
        <v>104</v>
      </c>
      <c r="O9" s="9">
        <v>2.8999999999999998E-3</v>
      </c>
      <c r="Q9" s="6" t="s">
        <v>122</v>
      </c>
      <c r="R9" s="6">
        <v>77</v>
      </c>
      <c r="S9" s="9">
        <v>2.5000000000000001E-3</v>
      </c>
      <c r="U9" s="6" t="s">
        <v>103</v>
      </c>
      <c r="V9" s="6">
        <v>25</v>
      </c>
      <c r="W9" s="9">
        <v>8.0000000000000004E-4</v>
      </c>
      <c r="Y9" s="6" t="s">
        <v>2</v>
      </c>
      <c r="Z9" s="6">
        <v>311</v>
      </c>
      <c r="AA9" s="9">
        <v>3.3999999999999998E-3</v>
      </c>
      <c r="AC9" s="6" t="s">
        <v>83</v>
      </c>
      <c r="AD9" s="6">
        <v>90</v>
      </c>
      <c r="AE9" s="9">
        <v>1E-3</v>
      </c>
      <c r="AG9" s="6" t="s">
        <v>2</v>
      </c>
      <c r="AH9" s="6">
        <v>22</v>
      </c>
      <c r="AI9" s="9">
        <v>2.0000000000000001E-4</v>
      </c>
    </row>
    <row r="10" spans="1:35">
      <c r="A10" s="6" t="s">
        <v>9</v>
      </c>
      <c r="B10" s="6">
        <v>301</v>
      </c>
      <c r="C10" s="9">
        <v>2.3999999999999998E-3</v>
      </c>
      <c r="E10" s="6" t="s">
        <v>83</v>
      </c>
      <c r="F10" s="6">
        <v>91</v>
      </c>
      <c r="G10" s="9">
        <v>6.9999999999999999E-4</v>
      </c>
      <c r="I10" s="6" t="s">
        <v>98</v>
      </c>
      <c r="J10" s="6">
        <v>20</v>
      </c>
      <c r="K10" s="9">
        <v>2.0000000000000001E-4</v>
      </c>
      <c r="M10" s="6" t="s">
        <v>3</v>
      </c>
      <c r="N10" s="6">
        <v>84</v>
      </c>
      <c r="O10" s="9">
        <v>2.3999999999999998E-3</v>
      </c>
      <c r="Q10" s="6" t="s">
        <v>74</v>
      </c>
      <c r="R10" s="6">
        <v>8</v>
      </c>
      <c r="S10" s="9">
        <v>2.9999999999999997E-4</v>
      </c>
      <c r="U10" s="6" t="s">
        <v>98</v>
      </c>
      <c r="V10" s="6">
        <v>10</v>
      </c>
      <c r="W10" s="9">
        <v>2.9999999999999997E-4</v>
      </c>
      <c r="Y10" s="6" t="s">
        <v>9</v>
      </c>
      <c r="Z10" s="6">
        <v>284</v>
      </c>
      <c r="AA10" s="9">
        <v>3.0999999999999999E-3</v>
      </c>
      <c r="AC10" s="6" t="s">
        <v>122</v>
      </c>
      <c r="AD10" s="6">
        <v>67</v>
      </c>
      <c r="AE10" s="9">
        <v>6.9999999999999999E-4</v>
      </c>
      <c r="AG10" s="6" t="s">
        <v>102</v>
      </c>
      <c r="AH10" s="6">
        <v>9</v>
      </c>
      <c r="AI10" s="9">
        <v>1E-4</v>
      </c>
    </row>
    <row r="11" spans="1:35">
      <c r="A11" s="6" t="s">
        <v>3</v>
      </c>
      <c r="B11" s="6">
        <v>253</v>
      </c>
      <c r="C11" s="9">
        <v>2E-3</v>
      </c>
      <c r="E11" s="6" t="s">
        <v>77</v>
      </c>
      <c r="F11" s="6">
        <v>25</v>
      </c>
      <c r="G11" s="9">
        <v>2.0000000000000001E-4</v>
      </c>
      <c r="I11" s="6" t="s">
        <v>102</v>
      </c>
      <c r="J11" s="6">
        <v>11</v>
      </c>
      <c r="K11" s="9">
        <v>1E-4</v>
      </c>
      <c r="M11" s="6" t="s">
        <v>41</v>
      </c>
      <c r="N11" s="6">
        <v>29</v>
      </c>
      <c r="O11" s="9">
        <v>8.0000000000000004E-4</v>
      </c>
      <c r="Q11" s="6" t="s">
        <v>76</v>
      </c>
      <c r="R11" s="6">
        <v>4</v>
      </c>
      <c r="S11" s="9">
        <v>1E-4</v>
      </c>
      <c r="U11" s="6" t="s">
        <v>2</v>
      </c>
      <c r="V11" s="6">
        <v>10</v>
      </c>
      <c r="W11" s="9">
        <v>2.9999999999999997E-4</v>
      </c>
      <c r="Y11" s="6" t="s">
        <v>3</v>
      </c>
      <c r="Z11" s="6">
        <v>169</v>
      </c>
      <c r="AA11" s="9">
        <v>1.9E-3</v>
      </c>
      <c r="AC11" s="6" t="s">
        <v>77</v>
      </c>
      <c r="AD11" s="6">
        <v>22</v>
      </c>
      <c r="AE11" s="9">
        <v>2.0000000000000001E-4</v>
      </c>
      <c r="AG11" s="6" t="s">
        <v>98</v>
      </c>
      <c r="AH11" s="6">
        <v>11</v>
      </c>
      <c r="AI11" s="9">
        <v>1E-4</v>
      </c>
    </row>
    <row r="12" spans="1:35">
      <c r="A12" s="6" t="s">
        <v>5</v>
      </c>
      <c r="B12" s="6">
        <v>95</v>
      </c>
      <c r="C12" s="9">
        <v>8.0000000000000004E-4</v>
      </c>
      <c r="E12" s="6" t="s">
        <v>74</v>
      </c>
      <c r="F12" s="6">
        <v>27</v>
      </c>
      <c r="G12" s="9">
        <v>2.0000000000000001E-4</v>
      </c>
      <c r="I12" s="6" t="s">
        <v>103</v>
      </c>
      <c r="J12" s="6">
        <v>9</v>
      </c>
      <c r="K12" s="9">
        <v>1E-4</v>
      </c>
      <c r="M12" s="6" t="s">
        <v>7</v>
      </c>
      <c r="N12" s="6">
        <v>23</v>
      </c>
      <c r="O12" s="9">
        <v>6.9999999999999999E-4</v>
      </c>
      <c r="Q12" s="6" t="s">
        <v>77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8</v>
      </c>
      <c r="Z12" s="6">
        <v>102</v>
      </c>
      <c r="AA12" s="9">
        <v>1.1000000000000001E-3</v>
      </c>
      <c r="AC12" s="6" t="s">
        <v>74</v>
      </c>
      <c r="AD12" s="6">
        <v>19</v>
      </c>
      <c r="AE12" s="9">
        <v>2.0000000000000001E-4</v>
      </c>
      <c r="AG12" s="6" t="s">
        <v>103</v>
      </c>
      <c r="AH12" s="6">
        <v>7</v>
      </c>
      <c r="AI12" s="9">
        <v>1E-4</v>
      </c>
    </row>
    <row r="13" spans="1:35">
      <c r="A13" s="6" t="s">
        <v>8</v>
      </c>
      <c r="B13" s="6">
        <v>107</v>
      </c>
      <c r="C13" s="9">
        <v>8.0000000000000004E-4</v>
      </c>
      <c r="E13" s="6" t="s">
        <v>76</v>
      </c>
      <c r="F13" s="6">
        <v>11</v>
      </c>
      <c r="G13" s="9">
        <v>1E-4</v>
      </c>
      <c r="I13" s="6" t="s">
        <v>99</v>
      </c>
      <c r="J13" s="6">
        <v>8</v>
      </c>
      <c r="K13" s="9">
        <v>1E-4</v>
      </c>
      <c r="M13" s="6" t="s">
        <v>9</v>
      </c>
      <c r="N13" s="6">
        <v>17</v>
      </c>
      <c r="O13" s="9">
        <v>5.0000000000000001E-4</v>
      </c>
      <c r="Q13" s="6" t="s">
        <v>86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89</v>
      </c>
      <c r="AA13" s="9">
        <v>1E-3</v>
      </c>
      <c r="AC13" s="6" t="s">
        <v>79</v>
      </c>
      <c r="AD13" s="6">
        <v>17</v>
      </c>
      <c r="AE13" s="9">
        <v>2.0000000000000001E-4</v>
      </c>
      <c r="AG13" s="6" t="s">
        <v>99</v>
      </c>
      <c r="AH13" s="6">
        <v>7</v>
      </c>
      <c r="AI13" s="9">
        <v>1E-4</v>
      </c>
    </row>
    <row r="14" spans="1:35">
      <c r="A14" s="6" t="s">
        <v>7</v>
      </c>
      <c r="B14" s="6">
        <v>88</v>
      </c>
      <c r="C14" s="9">
        <v>6.9999999999999999E-4</v>
      </c>
      <c r="E14" s="6" t="s">
        <v>79</v>
      </c>
      <c r="F14" s="6">
        <v>17</v>
      </c>
      <c r="G14" s="9">
        <v>1E-4</v>
      </c>
      <c r="I14" s="6" t="s">
        <v>113</v>
      </c>
      <c r="J14" s="6">
        <v>9</v>
      </c>
      <c r="K14" s="9">
        <v>1E-4</v>
      </c>
      <c r="M14" s="6" t="s">
        <v>11</v>
      </c>
      <c r="N14" s="6">
        <v>15</v>
      </c>
      <c r="O14" s="9">
        <v>4.0000000000000002E-4</v>
      </c>
      <c r="Q14" s="6" t="s">
        <v>181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12</v>
      </c>
      <c r="Z14" s="6">
        <v>61</v>
      </c>
      <c r="AA14" s="9">
        <v>6.9999999999999999E-4</v>
      </c>
      <c r="AC14" s="6" t="s">
        <v>75</v>
      </c>
      <c r="AD14" s="6">
        <v>13</v>
      </c>
      <c r="AE14" s="9">
        <v>1E-4</v>
      </c>
      <c r="AG14" s="6" t="s">
        <v>113</v>
      </c>
      <c r="AH14" s="6">
        <v>7</v>
      </c>
      <c r="AI14" s="9">
        <v>1E-4</v>
      </c>
    </row>
    <row r="15" spans="1:35">
      <c r="A15" s="6" t="s">
        <v>41</v>
      </c>
      <c r="B15" s="6">
        <v>76</v>
      </c>
      <c r="C15" s="9">
        <v>5.9999999999999995E-4</v>
      </c>
      <c r="E15" s="6" t="s">
        <v>75</v>
      </c>
      <c r="F15" s="6">
        <v>13</v>
      </c>
      <c r="G15" s="9">
        <v>1E-4</v>
      </c>
      <c r="I15" s="6" t="s">
        <v>123</v>
      </c>
      <c r="J15" s="6">
        <v>1</v>
      </c>
      <c r="K15" s="30">
        <v>0</v>
      </c>
      <c r="M15" s="6" t="s">
        <v>10</v>
      </c>
      <c r="N15" s="6">
        <v>12</v>
      </c>
      <c r="O15" s="9">
        <v>2.9999999999999997E-4</v>
      </c>
      <c r="Q15" s="6" t="s">
        <v>83</v>
      </c>
      <c r="R15" s="6">
        <v>1</v>
      </c>
      <c r="S15" s="30">
        <v>0</v>
      </c>
      <c r="U15" s="6" t="s">
        <v>153</v>
      </c>
      <c r="V15" s="6">
        <v>1</v>
      </c>
      <c r="W15" s="30">
        <v>0</v>
      </c>
      <c r="Y15" s="6" t="s">
        <v>7</v>
      </c>
      <c r="Z15" s="6">
        <v>65</v>
      </c>
      <c r="AA15" s="9">
        <v>6.9999999999999999E-4</v>
      </c>
      <c r="AC15" s="6" t="s">
        <v>76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12</v>
      </c>
      <c r="B16" s="6">
        <v>66</v>
      </c>
      <c r="C16" s="9">
        <v>5.0000000000000001E-4</v>
      </c>
      <c r="E16" s="6" t="s">
        <v>86</v>
      </c>
      <c r="F16" s="6">
        <v>12</v>
      </c>
      <c r="G16" s="9">
        <v>1E-4</v>
      </c>
      <c r="I16" s="6" t="s">
        <v>153</v>
      </c>
      <c r="J16" s="6">
        <v>1</v>
      </c>
      <c r="K16" s="30">
        <v>0</v>
      </c>
      <c r="M16" s="6" t="s">
        <v>18</v>
      </c>
      <c r="N16" s="6">
        <v>10</v>
      </c>
      <c r="O16" s="9">
        <v>2.9999999999999997E-4</v>
      </c>
      <c r="Q16" s="6" t="s">
        <v>80</v>
      </c>
      <c r="R16" s="6">
        <v>1</v>
      </c>
      <c r="S16" s="30">
        <v>0</v>
      </c>
      <c r="U16" s="6" t="s">
        <v>99</v>
      </c>
      <c r="V16" s="6">
        <v>1</v>
      </c>
      <c r="W16" s="30">
        <v>0</v>
      </c>
      <c r="Y16" s="6" t="s">
        <v>11</v>
      </c>
      <c r="Z16" s="6">
        <v>48</v>
      </c>
      <c r="AA16" s="9">
        <v>5.0000000000000001E-4</v>
      </c>
      <c r="AC16" s="6" t="s">
        <v>86</v>
      </c>
      <c r="AD16" s="6">
        <v>9</v>
      </c>
      <c r="AE16" s="9">
        <v>1E-4</v>
      </c>
    </row>
    <row r="17" spans="1:31">
      <c r="A17" s="6" t="s">
        <v>11</v>
      </c>
      <c r="B17" s="6">
        <v>63</v>
      </c>
      <c r="C17" s="9">
        <v>5.0000000000000001E-4</v>
      </c>
      <c r="E17" s="6" t="s">
        <v>87</v>
      </c>
      <c r="F17" s="6">
        <v>3</v>
      </c>
      <c r="G17" s="30">
        <v>0</v>
      </c>
      <c r="M17" s="6" t="s">
        <v>29</v>
      </c>
      <c r="N17" s="6">
        <v>9</v>
      </c>
      <c r="O17" s="9">
        <v>2.9999999999999997E-4</v>
      </c>
      <c r="Y17" s="6" t="s">
        <v>41</v>
      </c>
      <c r="Z17" s="6">
        <v>47</v>
      </c>
      <c r="AA17" s="9">
        <v>5.0000000000000001E-4</v>
      </c>
      <c r="AC17" s="6" t="s">
        <v>87</v>
      </c>
      <c r="AD17" s="6">
        <v>3</v>
      </c>
      <c r="AE17" s="30">
        <v>0</v>
      </c>
    </row>
    <row r="18" spans="1:31">
      <c r="A18" s="6" t="s">
        <v>21</v>
      </c>
      <c r="B18" s="6">
        <v>32</v>
      </c>
      <c r="C18" s="9">
        <v>2.9999999999999997E-4</v>
      </c>
      <c r="E18" s="6" t="s">
        <v>92</v>
      </c>
      <c r="F18" s="6">
        <v>1</v>
      </c>
      <c r="G18" s="30">
        <v>0</v>
      </c>
      <c r="M18" s="6" t="s">
        <v>5</v>
      </c>
      <c r="N18" s="6">
        <v>6</v>
      </c>
      <c r="O18" s="9">
        <v>2.0000000000000001E-4</v>
      </c>
      <c r="Y18" s="6" t="s">
        <v>21</v>
      </c>
      <c r="Z18" s="6">
        <v>27</v>
      </c>
      <c r="AA18" s="9">
        <v>2.9999999999999997E-4</v>
      </c>
      <c r="AC18" s="6" t="s">
        <v>92</v>
      </c>
      <c r="AD18" s="6">
        <v>1</v>
      </c>
      <c r="AE18" s="30">
        <v>0</v>
      </c>
    </row>
    <row r="19" spans="1:31">
      <c r="A19" s="6" t="s">
        <v>37</v>
      </c>
      <c r="B19" s="6">
        <v>32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15</v>
      </c>
      <c r="N19" s="6">
        <v>7</v>
      </c>
      <c r="O19" s="9">
        <v>2.0000000000000001E-4</v>
      </c>
      <c r="Y19" s="6" t="s">
        <v>37</v>
      </c>
      <c r="Z19" s="6">
        <v>27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18</v>
      </c>
      <c r="B20" s="6">
        <v>35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26</v>
      </c>
      <c r="Z20" s="6">
        <v>27</v>
      </c>
      <c r="AA20" s="9">
        <v>2.9999999999999997E-4</v>
      </c>
      <c r="AC20" s="6" t="s">
        <v>78</v>
      </c>
      <c r="AD20" s="6">
        <v>4</v>
      </c>
      <c r="AE20" s="30">
        <v>0</v>
      </c>
    </row>
    <row r="21" spans="1:31">
      <c r="A21" s="6" t="s">
        <v>29</v>
      </c>
      <c r="B21" s="6">
        <v>31</v>
      </c>
      <c r="C21" s="9">
        <v>2.0000000000000001E-4</v>
      </c>
      <c r="E21" s="6" t="s">
        <v>78</v>
      </c>
      <c r="F21" s="6">
        <v>4</v>
      </c>
      <c r="G21" s="30">
        <v>0</v>
      </c>
      <c r="M21" s="6" t="s">
        <v>31</v>
      </c>
      <c r="N21" s="6">
        <v>6</v>
      </c>
      <c r="O21" s="9">
        <v>2.0000000000000001E-4</v>
      </c>
      <c r="Y21" s="6" t="s">
        <v>30</v>
      </c>
      <c r="Z21" s="6">
        <v>25</v>
      </c>
      <c r="AA21" s="9">
        <v>2.9999999999999997E-4</v>
      </c>
      <c r="AC21" s="6" t="s">
        <v>89</v>
      </c>
      <c r="AD21" s="6">
        <v>1</v>
      </c>
      <c r="AE21" s="30">
        <v>0</v>
      </c>
    </row>
    <row r="22" spans="1:31">
      <c r="A22" s="6" t="s">
        <v>30</v>
      </c>
      <c r="B22" s="6">
        <v>27</v>
      </c>
      <c r="C22" s="9">
        <v>2.0000000000000001E-4</v>
      </c>
      <c r="E22" s="6" t="s">
        <v>181</v>
      </c>
      <c r="F22" s="6">
        <v>2</v>
      </c>
      <c r="G22" s="30">
        <v>0</v>
      </c>
      <c r="M22" s="6" t="s">
        <v>20</v>
      </c>
      <c r="N22" s="6">
        <v>3</v>
      </c>
      <c r="O22" s="9">
        <v>1E-4</v>
      </c>
      <c r="Y22" s="6" t="s">
        <v>18</v>
      </c>
      <c r="Z22" s="6">
        <v>25</v>
      </c>
      <c r="AA22" s="9">
        <v>2.9999999999999997E-4</v>
      </c>
      <c r="AC22" s="6" t="s">
        <v>120</v>
      </c>
      <c r="AD22" s="6">
        <v>2</v>
      </c>
      <c r="AE22" s="30">
        <v>0</v>
      </c>
    </row>
    <row r="23" spans="1:31">
      <c r="A23" s="6" t="s">
        <v>26</v>
      </c>
      <c r="B23" s="6">
        <v>28</v>
      </c>
      <c r="C23" s="9">
        <v>2.0000000000000001E-4</v>
      </c>
      <c r="E23" s="6" t="s">
        <v>120</v>
      </c>
      <c r="F23" s="6">
        <v>2</v>
      </c>
      <c r="G23" s="30">
        <v>0</v>
      </c>
      <c r="M23" s="6" t="s">
        <v>19</v>
      </c>
      <c r="N23" s="6">
        <v>2</v>
      </c>
      <c r="O23" s="9">
        <v>1E-4</v>
      </c>
      <c r="Y23" s="6" t="s">
        <v>14</v>
      </c>
      <c r="Z23" s="6">
        <v>19</v>
      </c>
      <c r="AA23" s="9">
        <v>2.0000000000000001E-4</v>
      </c>
      <c r="AC23" s="6" t="s">
        <v>91</v>
      </c>
      <c r="AD23" s="6">
        <v>1</v>
      </c>
      <c r="AE23" s="30">
        <v>0</v>
      </c>
    </row>
    <row r="24" spans="1:31">
      <c r="A24" s="6" t="s">
        <v>10</v>
      </c>
      <c r="B24" s="6">
        <v>21</v>
      </c>
      <c r="C24" s="9">
        <v>2.0000000000000001E-4</v>
      </c>
      <c r="E24" s="6" t="s">
        <v>91</v>
      </c>
      <c r="F24" s="6">
        <v>1</v>
      </c>
      <c r="G24" s="30">
        <v>0</v>
      </c>
      <c r="M24" s="6" t="s">
        <v>21</v>
      </c>
      <c r="N24" s="6">
        <v>5</v>
      </c>
      <c r="O24" s="9">
        <v>1E-4</v>
      </c>
      <c r="Y24" s="6" t="s">
        <v>29</v>
      </c>
      <c r="Z24" s="6">
        <v>22</v>
      </c>
      <c r="AA24" s="9">
        <v>2.0000000000000001E-4</v>
      </c>
      <c r="AC24" s="6" t="s">
        <v>95</v>
      </c>
      <c r="AD24" s="6">
        <v>1</v>
      </c>
      <c r="AE24" s="30">
        <v>0</v>
      </c>
    </row>
    <row r="25" spans="1:31">
      <c r="A25" s="6" t="s">
        <v>14</v>
      </c>
      <c r="B25" s="6">
        <v>19</v>
      </c>
      <c r="C25" s="9">
        <v>2.0000000000000001E-4</v>
      </c>
      <c r="E25" s="6" t="s">
        <v>95</v>
      </c>
      <c r="F25" s="6">
        <v>1</v>
      </c>
      <c r="G25" s="30">
        <v>0</v>
      </c>
      <c r="M25" s="6" t="s">
        <v>45</v>
      </c>
      <c r="N25" s="6">
        <v>4</v>
      </c>
      <c r="O25" s="9">
        <v>1E-4</v>
      </c>
      <c r="Y25" s="6" t="s">
        <v>40</v>
      </c>
      <c r="Z25" s="6">
        <v>21</v>
      </c>
      <c r="AA25" s="9">
        <v>2.0000000000000001E-4</v>
      </c>
      <c r="AC25" s="6" t="s">
        <v>176</v>
      </c>
      <c r="AD25" s="6">
        <v>1</v>
      </c>
      <c r="AE25" s="30">
        <v>0</v>
      </c>
    </row>
    <row r="26" spans="1:31">
      <c r="A26" s="6" t="s">
        <v>40</v>
      </c>
      <c r="B26" s="6">
        <v>26</v>
      </c>
      <c r="C26" s="9">
        <v>2.0000000000000001E-4</v>
      </c>
      <c r="E26" s="6" t="s">
        <v>176</v>
      </c>
      <c r="F26" s="6">
        <v>1</v>
      </c>
      <c r="G26" s="30">
        <v>0</v>
      </c>
      <c r="M26" s="6" t="s">
        <v>115</v>
      </c>
      <c r="N26" s="6">
        <v>2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19</v>
      </c>
      <c r="B27" s="6">
        <v>9</v>
      </c>
      <c r="C27" s="9">
        <v>1E-4</v>
      </c>
      <c r="M27" s="6" t="s">
        <v>34</v>
      </c>
      <c r="N27" s="6">
        <v>2</v>
      </c>
      <c r="O27" s="9">
        <v>1E-4</v>
      </c>
      <c r="Y27" s="6" t="s">
        <v>20</v>
      </c>
      <c r="Z27" s="6">
        <v>12</v>
      </c>
      <c r="AA27" s="9">
        <v>1E-4</v>
      </c>
    </row>
    <row r="28" spans="1:31">
      <c r="A28" s="6" t="s">
        <v>20</v>
      </c>
      <c r="B28" s="6">
        <v>15</v>
      </c>
      <c r="C28" s="9">
        <v>1E-4</v>
      </c>
      <c r="M28" s="6" t="s">
        <v>37</v>
      </c>
      <c r="N28" s="6">
        <v>5</v>
      </c>
      <c r="O28" s="9">
        <v>1E-4</v>
      </c>
      <c r="Y28" s="6" t="s">
        <v>121</v>
      </c>
      <c r="Z28" s="6">
        <v>7</v>
      </c>
      <c r="AA28" s="9">
        <v>1E-4</v>
      </c>
    </row>
    <row r="29" spans="1:31">
      <c r="A29" s="6" t="s">
        <v>45</v>
      </c>
      <c r="B29" s="6">
        <v>7</v>
      </c>
      <c r="C29" s="9">
        <v>1E-4</v>
      </c>
      <c r="M29" s="6" t="s">
        <v>22</v>
      </c>
      <c r="N29" s="6">
        <v>3</v>
      </c>
      <c r="O29" s="9">
        <v>1E-4</v>
      </c>
      <c r="Y29" s="6" t="s">
        <v>17</v>
      </c>
      <c r="Z29" s="6">
        <v>8</v>
      </c>
      <c r="AA29" s="9">
        <v>1E-4</v>
      </c>
    </row>
    <row r="30" spans="1:31">
      <c r="A30" s="6" t="s">
        <v>121</v>
      </c>
      <c r="B30" s="6">
        <v>7</v>
      </c>
      <c r="C30" s="9">
        <v>1E-4</v>
      </c>
      <c r="M30" s="6" t="s">
        <v>12</v>
      </c>
      <c r="N30" s="6">
        <v>5</v>
      </c>
      <c r="O30" s="9">
        <v>1E-4</v>
      </c>
      <c r="Y30" s="6" t="s">
        <v>15</v>
      </c>
      <c r="Z30" s="6">
        <v>9</v>
      </c>
      <c r="AA30" s="9">
        <v>1E-4</v>
      </c>
    </row>
    <row r="31" spans="1:31">
      <c r="A31" s="6" t="s">
        <v>17</v>
      </c>
      <c r="B31" s="6">
        <v>14</v>
      </c>
      <c r="C31" s="9">
        <v>1E-4</v>
      </c>
      <c r="M31" s="6" t="s">
        <v>16</v>
      </c>
      <c r="N31" s="6">
        <v>2</v>
      </c>
      <c r="O31" s="9">
        <v>1E-4</v>
      </c>
      <c r="Y31" s="6" t="s">
        <v>10</v>
      </c>
      <c r="Z31" s="6">
        <v>9</v>
      </c>
      <c r="AA31" s="9">
        <v>1E-4</v>
      </c>
    </row>
    <row r="32" spans="1:31">
      <c r="A32" s="6" t="s">
        <v>15</v>
      </c>
      <c r="B32" s="6">
        <v>16</v>
      </c>
      <c r="C32" s="9">
        <v>1E-4</v>
      </c>
      <c r="M32" s="6" t="s">
        <v>40</v>
      </c>
      <c r="N32" s="6">
        <v>5</v>
      </c>
      <c r="O32" s="9">
        <v>1E-4</v>
      </c>
      <c r="Y32" s="6" t="s">
        <v>22</v>
      </c>
      <c r="Z32" s="6">
        <v>8</v>
      </c>
      <c r="AA32" s="9">
        <v>1E-4</v>
      </c>
    </row>
    <row r="33" spans="1:27">
      <c r="A33" s="6" t="s">
        <v>22</v>
      </c>
      <c r="B33" s="6">
        <v>11</v>
      </c>
      <c r="C33" s="9">
        <v>1E-4</v>
      </c>
      <c r="M33" s="6" t="s">
        <v>8</v>
      </c>
      <c r="N33" s="6">
        <v>5</v>
      </c>
      <c r="O33" s="9">
        <v>1E-4</v>
      </c>
      <c r="Y33" s="6" t="s">
        <v>38</v>
      </c>
      <c r="Z33" s="6">
        <v>11</v>
      </c>
      <c r="AA33" s="9">
        <v>1E-4</v>
      </c>
    </row>
    <row r="34" spans="1:27">
      <c r="A34" s="6" t="s">
        <v>31</v>
      </c>
      <c r="B34" s="6">
        <v>15</v>
      </c>
      <c r="C34" s="9">
        <v>1E-4</v>
      </c>
      <c r="M34" s="6" t="s">
        <v>43</v>
      </c>
      <c r="N34" s="6">
        <v>3</v>
      </c>
      <c r="O34" s="9">
        <v>1E-4</v>
      </c>
      <c r="Y34" s="6" t="s">
        <v>31</v>
      </c>
      <c r="Z34" s="6">
        <v>9</v>
      </c>
      <c r="AA34" s="9">
        <v>1E-4</v>
      </c>
    </row>
    <row r="35" spans="1:27">
      <c r="A35" s="6" t="s">
        <v>24</v>
      </c>
      <c r="B35" s="6">
        <v>8</v>
      </c>
      <c r="C35" s="9">
        <v>1E-4</v>
      </c>
      <c r="M35" s="6" t="s">
        <v>33</v>
      </c>
      <c r="N35" s="6">
        <v>3</v>
      </c>
      <c r="O35" s="9">
        <v>1E-4</v>
      </c>
      <c r="Y35" s="6" t="s">
        <v>24</v>
      </c>
      <c r="Z35" s="6">
        <v>7</v>
      </c>
      <c r="AA35" s="9">
        <v>1E-4</v>
      </c>
    </row>
    <row r="36" spans="1:27">
      <c r="A36" s="6" t="s">
        <v>38</v>
      </c>
      <c r="B36" s="6">
        <v>12</v>
      </c>
      <c r="C36" s="9">
        <v>1E-4</v>
      </c>
      <c r="M36" s="6" t="s">
        <v>30</v>
      </c>
      <c r="N36" s="6">
        <v>2</v>
      </c>
      <c r="O36" s="9">
        <v>1E-4</v>
      </c>
      <c r="Y36" s="6" t="s">
        <v>27</v>
      </c>
      <c r="Z36" s="6">
        <v>11</v>
      </c>
      <c r="AA36" s="9">
        <v>1E-4</v>
      </c>
    </row>
    <row r="37" spans="1:27">
      <c r="A37" s="6" t="s">
        <v>27</v>
      </c>
      <c r="B37" s="6">
        <v>15</v>
      </c>
      <c r="C37" s="9">
        <v>1E-4</v>
      </c>
      <c r="M37" s="6" t="s">
        <v>32</v>
      </c>
      <c r="N37" s="6">
        <v>2</v>
      </c>
      <c r="O37" s="9">
        <v>1E-4</v>
      </c>
      <c r="Y37" s="6" t="s">
        <v>115</v>
      </c>
      <c r="Z37" s="6">
        <v>1</v>
      </c>
      <c r="AA37" s="30">
        <v>0</v>
      </c>
    </row>
    <row r="38" spans="1:27">
      <c r="A38" s="6" t="s">
        <v>115</v>
      </c>
      <c r="B38" s="6">
        <v>3</v>
      </c>
      <c r="C38" s="30">
        <v>0</v>
      </c>
      <c r="M38" s="6" t="s">
        <v>60</v>
      </c>
      <c r="N38" s="6">
        <v>2</v>
      </c>
      <c r="O38" s="9">
        <v>1E-4</v>
      </c>
      <c r="Y38" s="6" t="s">
        <v>45</v>
      </c>
      <c r="Z38" s="6">
        <v>3</v>
      </c>
      <c r="AA38" s="30">
        <v>0</v>
      </c>
    </row>
    <row r="39" spans="1:27">
      <c r="A39" s="6" t="s">
        <v>180</v>
      </c>
      <c r="B39" s="6">
        <v>2</v>
      </c>
      <c r="C39" s="30">
        <v>0</v>
      </c>
      <c r="M39" s="6" t="s">
        <v>27</v>
      </c>
      <c r="N39" s="6">
        <v>4</v>
      </c>
      <c r="O39" s="9">
        <v>1E-4</v>
      </c>
      <c r="Y39" s="6" t="s">
        <v>180</v>
      </c>
      <c r="Z39" s="6">
        <v>2</v>
      </c>
      <c r="AA39" s="30">
        <v>0</v>
      </c>
    </row>
    <row r="40" spans="1:27">
      <c r="A40" s="6" t="s">
        <v>34</v>
      </c>
      <c r="B40" s="6">
        <v>5</v>
      </c>
      <c r="C40" s="30">
        <v>0</v>
      </c>
      <c r="M40" s="6" t="s">
        <v>13</v>
      </c>
      <c r="N40" s="6">
        <v>1</v>
      </c>
      <c r="O40" s="30">
        <v>0</v>
      </c>
      <c r="Y40" s="6" t="s">
        <v>65</v>
      </c>
      <c r="Z40" s="6">
        <v>2</v>
      </c>
      <c r="AA40" s="30">
        <v>0</v>
      </c>
    </row>
    <row r="41" spans="1:27">
      <c r="A41" s="6" t="s">
        <v>13</v>
      </c>
      <c r="B41" s="6">
        <v>4</v>
      </c>
      <c r="C41" s="30">
        <v>0</v>
      </c>
      <c r="M41" s="6" t="s">
        <v>65</v>
      </c>
      <c r="N41" s="6">
        <v>1</v>
      </c>
      <c r="O41" s="30">
        <v>0</v>
      </c>
      <c r="Y41" s="6" t="s">
        <v>34</v>
      </c>
      <c r="Z41" s="6">
        <v>3</v>
      </c>
      <c r="AA41" s="30">
        <v>0</v>
      </c>
    </row>
    <row r="42" spans="1:27">
      <c r="A42" s="6" t="s">
        <v>65</v>
      </c>
      <c r="B42" s="6">
        <v>3</v>
      </c>
      <c r="C42" s="30">
        <v>0</v>
      </c>
      <c r="M42" s="6" t="s">
        <v>24</v>
      </c>
      <c r="N42" s="6">
        <v>1</v>
      </c>
      <c r="O42" s="30">
        <v>0</v>
      </c>
      <c r="Y42" s="6" t="s">
        <v>13</v>
      </c>
      <c r="Z42" s="6">
        <v>3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M43" s="6" t="s">
        <v>55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51</v>
      </c>
      <c r="B44" s="6">
        <v>2</v>
      </c>
      <c r="C44" s="30">
        <v>0</v>
      </c>
      <c r="M44" s="6" t="s">
        <v>51</v>
      </c>
      <c r="N44" s="6">
        <v>1</v>
      </c>
      <c r="O44" s="30">
        <v>0</v>
      </c>
      <c r="Y44" s="6" t="s">
        <v>51</v>
      </c>
      <c r="Z44" s="6">
        <v>1</v>
      </c>
      <c r="AA44" s="30">
        <v>0</v>
      </c>
    </row>
    <row r="45" spans="1:27">
      <c r="A45" s="6" t="s">
        <v>46</v>
      </c>
      <c r="B45" s="6">
        <v>2</v>
      </c>
      <c r="C45" s="30">
        <v>0</v>
      </c>
      <c r="M45" s="6" t="s">
        <v>66</v>
      </c>
      <c r="N45" s="6">
        <v>1</v>
      </c>
      <c r="O45" s="30">
        <v>0</v>
      </c>
      <c r="Y45" s="6" t="s">
        <v>46</v>
      </c>
      <c r="Z45" s="6">
        <v>2</v>
      </c>
      <c r="AA45" s="30">
        <v>0</v>
      </c>
    </row>
    <row r="46" spans="1:27">
      <c r="A46" s="6" t="s">
        <v>36</v>
      </c>
      <c r="B46" s="6">
        <v>1</v>
      </c>
      <c r="C46" s="30">
        <v>0</v>
      </c>
      <c r="M46" s="6" t="s">
        <v>48</v>
      </c>
      <c r="N46" s="6">
        <v>1</v>
      </c>
      <c r="O46" s="30">
        <v>0</v>
      </c>
      <c r="Y46" s="6" t="s">
        <v>36</v>
      </c>
      <c r="Z46" s="6">
        <v>1</v>
      </c>
      <c r="AA46" s="30">
        <v>0</v>
      </c>
    </row>
    <row r="47" spans="1:27">
      <c r="A47" s="6" t="s">
        <v>16</v>
      </c>
      <c r="B47" s="6">
        <v>6</v>
      </c>
      <c r="C47" s="30">
        <v>0</v>
      </c>
      <c r="M47" s="6" t="s">
        <v>129</v>
      </c>
      <c r="N47" s="6">
        <v>1</v>
      </c>
      <c r="O47" s="30">
        <v>0</v>
      </c>
      <c r="Y47" s="6" t="s">
        <v>16</v>
      </c>
      <c r="Z47" s="6">
        <v>4</v>
      </c>
      <c r="AA47" s="30">
        <v>0</v>
      </c>
    </row>
    <row r="48" spans="1:27">
      <c r="A48" s="6" t="s">
        <v>47</v>
      </c>
      <c r="B48" s="6">
        <v>2</v>
      </c>
      <c r="C48" s="30">
        <v>0</v>
      </c>
      <c r="M48" s="6" t="s">
        <v>39</v>
      </c>
      <c r="N48" s="6">
        <v>1</v>
      </c>
      <c r="O48" s="30">
        <v>0</v>
      </c>
      <c r="Y48" s="6" t="s">
        <v>47</v>
      </c>
      <c r="Z48" s="6">
        <v>2</v>
      </c>
      <c r="AA48" s="30">
        <v>0</v>
      </c>
    </row>
    <row r="49" spans="1:27">
      <c r="A49" s="6" t="s">
        <v>55</v>
      </c>
      <c r="B49" s="6">
        <v>1</v>
      </c>
      <c r="C49" s="30">
        <v>0</v>
      </c>
      <c r="M49" s="6" t="s">
        <v>26</v>
      </c>
      <c r="N49" s="6">
        <v>1</v>
      </c>
      <c r="O49" s="30">
        <v>0</v>
      </c>
      <c r="Y49" s="6" t="s">
        <v>39</v>
      </c>
      <c r="Z49" s="6">
        <v>2</v>
      </c>
      <c r="AA49" s="30">
        <v>0</v>
      </c>
    </row>
    <row r="50" spans="1:27">
      <c r="A50" s="6" t="s">
        <v>147</v>
      </c>
      <c r="B50" s="6">
        <v>1</v>
      </c>
      <c r="C50" s="30">
        <v>0</v>
      </c>
      <c r="M50" s="6" t="s">
        <v>58</v>
      </c>
      <c r="N50" s="6">
        <v>1</v>
      </c>
      <c r="O50" s="30">
        <v>0</v>
      </c>
      <c r="Y50" s="6" t="s">
        <v>68</v>
      </c>
      <c r="Z50" s="6">
        <v>4</v>
      </c>
      <c r="AA50" s="30">
        <v>0</v>
      </c>
    </row>
    <row r="51" spans="1:27">
      <c r="A51" s="6" t="s">
        <v>39</v>
      </c>
      <c r="B51" s="6">
        <v>3</v>
      </c>
      <c r="C51" s="30">
        <v>0</v>
      </c>
      <c r="M51" s="6" t="s">
        <v>64</v>
      </c>
      <c r="N51" s="6">
        <v>1</v>
      </c>
      <c r="O51" s="30">
        <v>0</v>
      </c>
      <c r="Y51" s="6" t="s">
        <v>147</v>
      </c>
      <c r="Z51" s="6">
        <v>1</v>
      </c>
      <c r="AA51" s="30">
        <v>0</v>
      </c>
    </row>
    <row r="52" spans="1:27">
      <c r="A52" s="6" t="s">
        <v>33</v>
      </c>
      <c r="B52" s="6">
        <v>4</v>
      </c>
      <c r="C52" s="30">
        <v>0</v>
      </c>
      <c r="M52" s="6" t="s">
        <v>38</v>
      </c>
      <c r="N52" s="6">
        <v>1</v>
      </c>
      <c r="O52" s="30">
        <v>0</v>
      </c>
      <c r="Y52" s="6" t="s">
        <v>25</v>
      </c>
      <c r="Z52" s="6">
        <v>3</v>
      </c>
      <c r="AA52" s="30">
        <v>0</v>
      </c>
    </row>
    <row r="53" spans="1:27">
      <c r="A53" s="6" t="s">
        <v>68</v>
      </c>
      <c r="B53" s="6">
        <v>4</v>
      </c>
      <c r="C53" s="30">
        <v>0</v>
      </c>
      <c r="Y53" s="6" t="s">
        <v>59</v>
      </c>
      <c r="Z53" s="6">
        <v>2</v>
      </c>
      <c r="AA53" s="30">
        <v>0</v>
      </c>
    </row>
    <row r="54" spans="1:27">
      <c r="A54" s="6" t="s">
        <v>66</v>
      </c>
      <c r="B54" s="6">
        <v>1</v>
      </c>
      <c r="C54" s="30">
        <v>0</v>
      </c>
      <c r="Y54" s="6" t="s">
        <v>64</v>
      </c>
      <c r="Z54" s="6">
        <v>3</v>
      </c>
      <c r="AA54" s="30">
        <v>0</v>
      </c>
    </row>
    <row r="55" spans="1:27">
      <c r="A55" s="6" t="s">
        <v>43</v>
      </c>
      <c r="B55" s="6">
        <v>3</v>
      </c>
      <c r="C55" s="30">
        <v>0</v>
      </c>
      <c r="Y55" s="6" t="s">
        <v>57</v>
      </c>
      <c r="Z55" s="6">
        <v>1</v>
      </c>
      <c r="AA55" s="30">
        <v>0</v>
      </c>
    </row>
    <row r="56" spans="1:27">
      <c r="A56" s="6" t="s">
        <v>32</v>
      </c>
      <c r="B56" s="6">
        <v>3</v>
      </c>
      <c r="C56" s="30">
        <v>0</v>
      </c>
      <c r="Y56" s="6" t="s">
        <v>33</v>
      </c>
      <c r="Z56" s="6">
        <v>1</v>
      </c>
      <c r="AA56" s="30">
        <v>0</v>
      </c>
    </row>
    <row r="57" spans="1:27">
      <c r="A57" s="6" t="s">
        <v>25</v>
      </c>
      <c r="B57" s="6">
        <v>3</v>
      </c>
      <c r="C57" s="30">
        <v>0</v>
      </c>
      <c r="Y57" s="6" t="s">
        <v>28</v>
      </c>
      <c r="Z57" s="6">
        <v>1</v>
      </c>
      <c r="AA57" s="30">
        <v>0</v>
      </c>
    </row>
    <row r="58" spans="1:27">
      <c r="A58" s="6" t="s">
        <v>60</v>
      </c>
      <c r="B58" s="6">
        <v>3</v>
      </c>
      <c r="C58" s="30">
        <v>0</v>
      </c>
      <c r="Y58" s="6" t="s">
        <v>32</v>
      </c>
      <c r="Z58" s="6">
        <v>1</v>
      </c>
      <c r="AA58" s="30">
        <v>0</v>
      </c>
    </row>
    <row r="59" spans="1:27">
      <c r="A59" s="6" t="s">
        <v>64</v>
      </c>
      <c r="B59" s="6">
        <v>4</v>
      </c>
      <c r="C59" s="30">
        <v>0</v>
      </c>
      <c r="Y59" s="6" t="s">
        <v>53</v>
      </c>
      <c r="Z59" s="6">
        <v>1</v>
      </c>
      <c r="AA59" s="30">
        <v>0</v>
      </c>
    </row>
    <row r="60" spans="1:27">
      <c r="A60" s="6" t="s">
        <v>59</v>
      </c>
      <c r="B60" s="6">
        <v>2</v>
      </c>
      <c r="C60" s="30">
        <v>0</v>
      </c>
      <c r="Y60" s="6" t="s">
        <v>58</v>
      </c>
      <c r="Z60" s="6">
        <v>1</v>
      </c>
      <c r="AA60" s="30">
        <v>0</v>
      </c>
    </row>
    <row r="61" spans="1:27">
      <c r="A61" s="6" t="s">
        <v>58</v>
      </c>
      <c r="B61" s="6">
        <v>2</v>
      </c>
      <c r="C61" s="30">
        <v>0</v>
      </c>
      <c r="Y61" s="6" t="s">
        <v>69</v>
      </c>
      <c r="Z61" s="6">
        <v>1</v>
      </c>
      <c r="AA61" s="30">
        <v>0</v>
      </c>
    </row>
    <row r="62" spans="1:27">
      <c r="A62" s="6" t="s">
        <v>129</v>
      </c>
      <c r="B62" s="6">
        <v>1</v>
      </c>
      <c r="C62" s="30">
        <v>0</v>
      </c>
      <c r="Y62" s="6" t="s">
        <v>60</v>
      </c>
      <c r="Z62" s="6">
        <v>1</v>
      </c>
      <c r="AA62" s="30">
        <v>0</v>
      </c>
    </row>
    <row r="63" spans="1:27">
      <c r="A63" s="6" t="s">
        <v>57</v>
      </c>
      <c r="B63" s="6">
        <v>1</v>
      </c>
      <c r="C63" s="30">
        <v>0</v>
      </c>
      <c r="Y63" s="6" t="s">
        <v>152</v>
      </c>
      <c r="Z63" s="6">
        <v>1</v>
      </c>
      <c r="AA63" s="30">
        <v>0</v>
      </c>
    </row>
    <row r="64" spans="1:27">
      <c r="A64" s="6" t="s">
        <v>28</v>
      </c>
      <c r="B64" s="6">
        <v>1</v>
      </c>
      <c r="C64" s="30">
        <v>0</v>
      </c>
    </row>
    <row r="65" spans="1:3">
      <c r="A65" s="6" t="s">
        <v>69</v>
      </c>
      <c r="B65" s="6">
        <v>1</v>
      </c>
      <c r="C65" s="30">
        <v>0</v>
      </c>
    </row>
    <row r="66" spans="1:3">
      <c r="A66" s="6" t="s">
        <v>53</v>
      </c>
      <c r="B66" s="6">
        <v>1</v>
      </c>
      <c r="C66" s="30">
        <v>0</v>
      </c>
    </row>
    <row r="67" spans="1:3">
      <c r="A67" s="6" t="s">
        <v>152</v>
      </c>
      <c r="B67" s="6">
        <v>1</v>
      </c>
      <c r="C6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1173F-4C38-4068-A1E2-F379378AB6C1}">
  <sheetPr codeName="Sheet61"/>
  <dimension ref="A1:AI67"/>
  <sheetViews>
    <sheetView workbookViewId="0">
      <selection sqref="A1:B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126359</v>
      </c>
      <c r="E2" s="41" t="s">
        <v>4</v>
      </c>
      <c r="F2" s="23" t="s">
        <v>105</v>
      </c>
      <c r="G2" s="23">
        <f>G3+G4</f>
        <v>0</v>
      </c>
      <c r="H2" s="22"/>
      <c r="I2" s="41" t="s">
        <v>6</v>
      </c>
      <c r="J2" s="23" t="s">
        <v>105</v>
      </c>
      <c r="K2" s="23">
        <f>K3+K4</f>
        <v>0</v>
      </c>
      <c r="M2" s="41" t="s">
        <v>104</v>
      </c>
      <c r="N2" s="23" t="s">
        <v>105</v>
      </c>
      <c r="O2" s="23">
        <f>O3+O4</f>
        <v>0</v>
      </c>
      <c r="Q2" s="41" t="s">
        <v>4</v>
      </c>
      <c r="R2" s="23" t="s">
        <v>105</v>
      </c>
      <c r="S2" s="23">
        <f>S3+S4</f>
        <v>0</v>
      </c>
      <c r="T2" s="22"/>
      <c r="U2" s="41" t="s">
        <v>6</v>
      </c>
      <c r="V2" s="23" t="s">
        <v>105</v>
      </c>
      <c r="W2" s="23">
        <f>W3+W4</f>
        <v>0</v>
      </c>
      <c r="Y2" s="41" t="s">
        <v>104</v>
      </c>
      <c r="Z2" s="23" t="s">
        <v>105</v>
      </c>
      <c r="AA2" s="23">
        <f>AA3+AA4</f>
        <v>0</v>
      </c>
      <c r="AC2" s="41" t="s">
        <v>4</v>
      </c>
      <c r="AD2" s="23" t="s">
        <v>105</v>
      </c>
      <c r="AE2" s="23">
        <f>AE3+AE4</f>
        <v>0</v>
      </c>
      <c r="AF2" s="22"/>
      <c r="AG2" s="41" t="s">
        <v>6</v>
      </c>
      <c r="AH2" s="23" t="s">
        <v>105</v>
      </c>
      <c r="AI2" s="23">
        <f>AI3+AI4</f>
        <v>0</v>
      </c>
    </row>
    <row r="3" spans="1:35">
      <c r="A3" s="42"/>
      <c r="B3" s="24" t="s">
        <v>106</v>
      </c>
      <c r="C3" s="24">
        <f>B8</f>
        <v>124444</v>
      </c>
      <c r="E3" s="42"/>
      <c r="F3" s="24" t="s">
        <v>106</v>
      </c>
      <c r="G3" s="24">
        <f>F8</f>
        <v>0</v>
      </c>
      <c r="H3" s="22"/>
      <c r="I3" s="42"/>
      <c r="J3" s="24" t="s">
        <v>106</v>
      </c>
      <c r="K3" s="24">
        <f>J8</f>
        <v>0</v>
      </c>
      <c r="M3" s="42"/>
      <c r="N3" s="24" t="s">
        <v>106</v>
      </c>
      <c r="O3" s="24">
        <f>N8</f>
        <v>0</v>
      </c>
      <c r="Q3" s="42"/>
      <c r="R3" s="24" t="s">
        <v>106</v>
      </c>
      <c r="S3" s="24">
        <f>R8</f>
        <v>0</v>
      </c>
      <c r="T3" s="22"/>
      <c r="U3" s="42"/>
      <c r="V3" s="24" t="s">
        <v>106</v>
      </c>
      <c r="W3" s="24">
        <f>V8</f>
        <v>0</v>
      </c>
      <c r="Y3" s="42"/>
      <c r="Z3" s="24" t="s">
        <v>106</v>
      </c>
      <c r="AA3" s="24">
        <f>Z8</f>
        <v>0</v>
      </c>
      <c r="AC3" s="42"/>
      <c r="AD3" s="24" t="s">
        <v>106</v>
      </c>
      <c r="AE3" s="24">
        <f>AD8</f>
        <v>0</v>
      </c>
      <c r="AF3" s="22"/>
      <c r="AG3" s="42"/>
      <c r="AH3" s="24" t="s">
        <v>106</v>
      </c>
      <c r="AI3" s="24">
        <f>AH8</f>
        <v>0</v>
      </c>
    </row>
    <row r="4" spans="1:35">
      <c r="A4" s="42"/>
      <c r="B4" s="25" t="s">
        <v>107</v>
      </c>
      <c r="C4" s="25">
        <f>SUM(B9:B66)</f>
        <v>1915</v>
      </c>
      <c r="E4" s="42"/>
      <c r="F4" s="25" t="s">
        <v>107</v>
      </c>
      <c r="G4" s="25">
        <f>SUM(F9:F33)</f>
        <v>0</v>
      </c>
      <c r="H4" s="22"/>
      <c r="I4" s="42"/>
      <c r="J4" s="25" t="s">
        <v>107</v>
      </c>
      <c r="K4" s="25">
        <f>SUM(J9:J31)</f>
        <v>0</v>
      </c>
      <c r="M4" s="42"/>
      <c r="N4" s="25" t="s">
        <v>107</v>
      </c>
      <c r="O4" s="25">
        <f>SUM(N9:N66)</f>
        <v>0</v>
      </c>
      <c r="Q4" s="42"/>
      <c r="R4" s="25" t="s">
        <v>107</v>
      </c>
      <c r="S4" s="25">
        <f>SUM(R9:R33)</f>
        <v>0</v>
      </c>
      <c r="T4" s="22"/>
      <c r="U4" s="42"/>
      <c r="V4" s="25" t="s">
        <v>107</v>
      </c>
      <c r="W4" s="25">
        <f>SUM(V9:V31)</f>
        <v>0</v>
      </c>
      <c r="Y4" s="42"/>
      <c r="Z4" s="25" t="s">
        <v>107</v>
      </c>
      <c r="AA4" s="25">
        <f>SUM(Z9:Z61)</f>
        <v>0</v>
      </c>
      <c r="AC4" s="42"/>
      <c r="AD4" s="25" t="s">
        <v>107</v>
      </c>
      <c r="AE4" s="25">
        <f>SUM(AD9:AD29)</f>
        <v>0</v>
      </c>
      <c r="AF4" s="22"/>
      <c r="AG4" s="42"/>
      <c r="AH4" s="25" t="s">
        <v>107</v>
      </c>
      <c r="AI4" s="25">
        <f>SUM(AH9:AH29)</f>
        <v>0</v>
      </c>
    </row>
    <row r="5" spans="1:35">
      <c r="A5" s="43"/>
      <c r="B5" s="23" t="s">
        <v>108</v>
      </c>
      <c r="C5" s="26">
        <f>SUM(C9:C179)</f>
        <v>1.4799999999999997E-2</v>
      </c>
      <c r="E5" s="43"/>
      <c r="F5" s="23" t="s">
        <v>108</v>
      </c>
      <c r="G5" s="26">
        <f>SUM(G9:G33)</f>
        <v>0</v>
      </c>
      <c r="H5" s="22"/>
      <c r="I5" s="43"/>
      <c r="J5" s="23" t="s">
        <v>108</v>
      </c>
      <c r="K5" s="26">
        <f>SUM(K9:K31)</f>
        <v>0</v>
      </c>
      <c r="M5" s="43"/>
      <c r="N5" s="23" t="s">
        <v>108</v>
      </c>
      <c r="O5" s="26">
        <f>SUM(O9:O179)</f>
        <v>0</v>
      </c>
      <c r="Q5" s="43"/>
      <c r="R5" s="23" t="s">
        <v>108</v>
      </c>
      <c r="S5" s="26">
        <f>SUM(S9:S33)</f>
        <v>0</v>
      </c>
      <c r="T5" s="22"/>
      <c r="U5" s="43"/>
      <c r="V5" s="23" t="s">
        <v>108</v>
      </c>
      <c r="W5" s="26">
        <f>SUM(W9:W31)</f>
        <v>0</v>
      </c>
      <c r="Y5" s="43"/>
      <c r="Z5" s="23" t="s">
        <v>108</v>
      </c>
      <c r="AA5" s="26">
        <f>SUM(AA9:AA158)</f>
        <v>0</v>
      </c>
      <c r="AC5" s="43"/>
      <c r="AD5" s="23" t="s">
        <v>108</v>
      </c>
      <c r="AE5" s="26">
        <f>SUM(AE9:AE29)</f>
        <v>0</v>
      </c>
      <c r="AF5" s="22"/>
      <c r="AG5" s="43"/>
      <c r="AH5" s="23" t="s">
        <v>108</v>
      </c>
      <c r="AI5" s="26">
        <f>SUM(AI9:AI29)</f>
        <v>0</v>
      </c>
    </row>
    <row r="7" spans="1:35">
      <c r="A7" s="38" t="s">
        <v>109</v>
      </c>
      <c r="B7" s="38" t="s">
        <v>110</v>
      </c>
      <c r="C7" s="16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124444</v>
      </c>
      <c r="C8" s="9">
        <v>0.98480000000000001</v>
      </c>
      <c r="E8" s="6"/>
      <c r="F8" s="29"/>
      <c r="G8" s="9"/>
      <c r="I8" s="6"/>
      <c r="J8" s="29"/>
      <c r="K8" s="9"/>
      <c r="M8" s="6"/>
      <c r="N8" s="29"/>
      <c r="O8" s="9"/>
      <c r="Q8" s="6"/>
      <c r="R8" s="29"/>
      <c r="S8" s="9"/>
      <c r="U8" s="6"/>
      <c r="V8" s="29"/>
      <c r="W8" s="9"/>
      <c r="Y8" s="6"/>
      <c r="Z8" s="6"/>
      <c r="AA8" s="9"/>
      <c r="AC8" s="6"/>
      <c r="AD8" s="29"/>
      <c r="AE8" s="9"/>
      <c r="AG8" s="6"/>
      <c r="AH8" s="29"/>
      <c r="AI8" s="9"/>
    </row>
    <row r="9" spans="1:35">
      <c r="A9" s="6" t="s">
        <v>2</v>
      </c>
      <c r="B9" s="6">
        <v>415</v>
      </c>
      <c r="C9" s="9">
        <v>3.3E-3</v>
      </c>
      <c r="E9" s="6"/>
      <c r="F9" s="6"/>
      <c r="G9" s="9"/>
      <c r="I9" s="6"/>
      <c r="J9" s="6"/>
      <c r="K9" s="9"/>
      <c r="M9" s="6"/>
      <c r="N9" s="6"/>
      <c r="O9" s="9"/>
      <c r="Q9" s="6"/>
      <c r="R9" s="6"/>
      <c r="S9" s="9"/>
      <c r="U9" s="6"/>
      <c r="V9" s="6"/>
      <c r="W9" s="9"/>
      <c r="Y9" s="6"/>
      <c r="Z9" s="6"/>
      <c r="AA9" s="9"/>
      <c r="AC9" s="6"/>
      <c r="AD9" s="6"/>
      <c r="AE9" s="9"/>
      <c r="AG9" s="6"/>
      <c r="AH9" s="6"/>
      <c r="AI9" s="9"/>
    </row>
    <row r="10" spans="1:35">
      <c r="A10" s="6" t="s">
        <v>9</v>
      </c>
      <c r="B10" s="6">
        <v>301</v>
      </c>
      <c r="C10" s="9">
        <v>2.3999999999999998E-3</v>
      </c>
      <c r="E10" s="6"/>
      <c r="F10" s="6"/>
      <c r="G10" s="9"/>
      <c r="I10" s="6"/>
      <c r="J10" s="6"/>
      <c r="K10" s="9"/>
      <c r="M10" s="6"/>
      <c r="N10" s="6"/>
      <c r="O10" s="9"/>
      <c r="Q10" s="6"/>
      <c r="R10" s="6"/>
      <c r="S10" s="9"/>
      <c r="U10" s="6"/>
      <c r="V10" s="6"/>
      <c r="W10" s="9"/>
      <c r="Y10" s="6"/>
      <c r="Z10" s="6"/>
      <c r="AA10" s="9"/>
      <c r="AC10" s="6"/>
      <c r="AD10" s="6"/>
      <c r="AE10" s="9"/>
      <c r="AG10" s="6"/>
      <c r="AH10" s="6"/>
      <c r="AI10" s="9"/>
    </row>
    <row r="11" spans="1:35">
      <c r="A11" s="6" t="s">
        <v>3</v>
      </c>
      <c r="B11" s="6">
        <v>253</v>
      </c>
      <c r="C11" s="9">
        <v>2E-3</v>
      </c>
      <c r="E11" s="6"/>
      <c r="F11" s="6"/>
      <c r="G11" s="9"/>
      <c r="I11" s="6"/>
      <c r="J11" s="6"/>
      <c r="K11" s="9"/>
      <c r="M11" s="6"/>
      <c r="N11" s="6"/>
      <c r="O11" s="9"/>
      <c r="Q11" s="6"/>
      <c r="R11" s="6"/>
      <c r="S11" s="9"/>
      <c r="U11" s="6"/>
      <c r="V11" s="6"/>
      <c r="W11" s="9"/>
      <c r="Y11" s="6"/>
      <c r="Z11" s="6"/>
      <c r="AA11" s="9"/>
      <c r="AC11" s="6"/>
      <c r="AD11" s="6"/>
      <c r="AE11" s="9"/>
      <c r="AG11" s="6"/>
      <c r="AH11" s="6"/>
      <c r="AI11" s="9"/>
    </row>
    <row r="12" spans="1:35">
      <c r="A12" s="6" t="s">
        <v>5</v>
      </c>
      <c r="B12" s="6">
        <v>95</v>
      </c>
      <c r="C12" s="9">
        <v>8.0000000000000004E-4</v>
      </c>
      <c r="E12" s="6"/>
      <c r="F12" s="6"/>
      <c r="G12" s="9"/>
      <c r="I12" s="6"/>
      <c r="J12" s="6"/>
      <c r="K12" s="9"/>
      <c r="M12" s="6"/>
      <c r="N12" s="6"/>
      <c r="O12" s="9"/>
      <c r="Q12" s="6"/>
      <c r="R12" s="6"/>
      <c r="S12" s="9"/>
      <c r="U12" s="6"/>
      <c r="V12" s="6"/>
      <c r="W12" s="9"/>
      <c r="Y12" s="6"/>
      <c r="Z12" s="6"/>
      <c r="AA12" s="9"/>
      <c r="AC12" s="6"/>
      <c r="AD12" s="6"/>
      <c r="AE12" s="9"/>
      <c r="AG12" s="6"/>
      <c r="AH12" s="6"/>
      <c r="AI12" s="9"/>
    </row>
    <row r="13" spans="1:35">
      <c r="A13" s="6" t="s">
        <v>8</v>
      </c>
      <c r="B13" s="6">
        <v>107</v>
      </c>
      <c r="C13" s="9">
        <v>8.0000000000000004E-4</v>
      </c>
      <c r="E13" s="6"/>
      <c r="F13" s="6"/>
      <c r="G13" s="9"/>
      <c r="I13" s="6"/>
      <c r="J13" s="6"/>
      <c r="K13" s="9"/>
      <c r="M13" s="6"/>
      <c r="N13" s="6"/>
      <c r="O13" s="9"/>
      <c r="Q13" s="6"/>
      <c r="R13" s="6"/>
      <c r="S13" s="9"/>
      <c r="U13" s="6"/>
      <c r="V13" s="6"/>
      <c r="W13" s="9"/>
      <c r="Y13" s="6"/>
      <c r="Z13" s="6"/>
      <c r="AA13" s="9"/>
      <c r="AC13" s="6"/>
      <c r="AD13" s="6"/>
      <c r="AE13" s="9"/>
      <c r="AG13" s="6"/>
      <c r="AH13" s="6"/>
      <c r="AI13" s="9"/>
    </row>
    <row r="14" spans="1:35">
      <c r="A14" s="6" t="s">
        <v>7</v>
      </c>
      <c r="B14" s="6">
        <v>88</v>
      </c>
      <c r="C14" s="9">
        <v>6.9999999999999999E-4</v>
      </c>
      <c r="E14" s="6"/>
      <c r="F14" s="6"/>
      <c r="G14" s="9"/>
      <c r="I14" s="6"/>
      <c r="J14" s="6"/>
      <c r="K14" s="9"/>
      <c r="M14" s="6"/>
      <c r="N14" s="6"/>
      <c r="O14" s="9"/>
      <c r="Q14" s="6"/>
      <c r="R14" s="6"/>
      <c r="S14" s="9"/>
      <c r="U14" s="6"/>
      <c r="V14" s="6"/>
      <c r="W14" s="30"/>
      <c r="Y14" s="6"/>
      <c r="Z14" s="6"/>
      <c r="AA14" s="9"/>
      <c r="AC14" s="6"/>
      <c r="AD14" s="6"/>
      <c r="AE14" s="9"/>
      <c r="AG14" s="6"/>
      <c r="AH14" s="6"/>
      <c r="AI14" s="9"/>
    </row>
    <row r="15" spans="1:35">
      <c r="A15" s="6" t="s">
        <v>41</v>
      </c>
      <c r="B15" s="6">
        <v>76</v>
      </c>
      <c r="C15" s="9">
        <v>5.9999999999999995E-4</v>
      </c>
      <c r="E15" s="6"/>
      <c r="F15" s="6"/>
      <c r="G15" s="9"/>
      <c r="I15" s="6"/>
      <c r="J15" s="6"/>
      <c r="K15" s="30"/>
      <c r="M15" s="6"/>
      <c r="N15" s="6"/>
      <c r="O15" s="9"/>
      <c r="Q15" s="6"/>
      <c r="R15" s="6"/>
      <c r="S15" s="30"/>
      <c r="Y15" s="6"/>
      <c r="Z15" s="6"/>
      <c r="AA15" s="9"/>
      <c r="AC15" s="6"/>
      <c r="AD15" s="6"/>
      <c r="AE15" s="9"/>
      <c r="AG15" s="6"/>
      <c r="AH15" s="6"/>
      <c r="AI15" s="30"/>
    </row>
    <row r="16" spans="1:35">
      <c r="A16" s="6" t="s">
        <v>12</v>
      </c>
      <c r="B16" s="6">
        <v>66</v>
      </c>
      <c r="C16" s="9">
        <v>5.0000000000000001E-4</v>
      </c>
      <c r="E16" s="6"/>
      <c r="F16" s="6"/>
      <c r="G16" s="30"/>
      <c r="I16" s="6"/>
      <c r="J16" s="6"/>
      <c r="K16" s="30"/>
      <c r="M16" s="6"/>
      <c r="N16" s="6"/>
      <c r="O16" s="9"/>
      <c r="Q16" s="6"/>
      <c r="R16" s="6"/>
      <c r="S16" s="30"/>
      <c r="Y16" s="6"/>
      <c r="Z16" s="6"/>
      <c r="AA16" s="9"/>
      <c r="AC16" s="6"/>
      <c r="AD16" s="6"/>
      <c r="AE16" s="30"/>
      <c r="AG16" s="6"/>
      <c r="AH16" s="6"/>
      <c r="AI16" s="30"/>
    </row>
    <row r="17" spans="1:31">
      <c r="A17" s="6" t="s">
        <v>11</v>
      </c>
      <c r="B17" s="6">
        <v>63</v>
      </c>
      <c r="C17" s="9">
        <v>5.0000000000000001E-4</v>
      </c>
      <c r="E17" s="6"/>
      <c r="F17" s="6"/>
      <c r="G17" s="30"/>
      <c r="M17" s="6"/>
      <c r="N17" s="6"/>
      <c r="O17" s="9"/>
      <c r="Q17" s="6"/>
      <c r="R17" s="6"/>
      <c r="S17" s="30"/>
      <c r="Y17" s="6"/>
      <c r="Z17" s="6"/>
      <c r="AA17" s="9"/>
      <c r="AC17" s="6"/>
      <c r="AD17" s="6"/>
      <c r="AE17" s="30"/>
    </row>
    <row r="18" spans="1:31">
      <c r="A18" s="6" t="s">
        <v>21</v>
      </c>
      <c r="B18" s="6">
        <v>32</v>
      </c>
      <c r="C18" s="9">
        <v>2.9999999999999997E-4</v>
      </c>
      <c r="E18" s="6"/>
      <c r="F18" s="6"/>
      <c r="G18" s="30"/>
      <c r="M18" s="6"/>
      <c r="N18" s="6"/>
      <c r="O18" s="9"/>
      <c r="Q18" s="6"/>
      <c r="R18" s="6"/>
      <c r="S18" s="30"/>
      <c r="Y18" s="6"/>
      <c r="Z18" s="6"/>
      <c r="AA18" s="9"/>
      <c r="AC18" s="6"/>
      <c r="AD18" s="6"/>
      <c r="AE18" s="30"/>
    </row>
    <row r="19" spans="1:31">
      <c r="A19" s="6" t="s">
        <v>37</v>
      </c>
      <c r="B19" s="6">
        <v>32</v>
      </c>
      <c r="C19" s="9">
        <v>2.9999999999999997E-4</v>
      </c>
      <c r="E19" s="6"/>
      <c r="F19" s="6"/>
      <c r="G19" s="30"/>
      <c r="M19" s="6"/>
      <c r="N19" s="6"/>
      <c r="O19" s="9"/>
      <c r="Q19" s="6"/>
      <c r="R19" s="6"/>
      <c r="S19" s="30"/>
      <c r="Y19" s="6"/>
      <c r="Z19" s="6"/>
      <c r="AA19" s="9"/>
      <c r="AC19" s="6"/>
      <c r="AD19" s="6"/>
      <c r="AE19" s="30"/>
    </row>
    <row r="20" spans="1:31">
      <c r="A20" s="6" t="s">
        <v>18</v>
      </c>
      <c r="B20" s="6">
        <v>35</v>
      </c>
      <c r="C20" s="9">
        <v>2.9999999999999997E-4</v>
      </c>
      <c r="E20" s="6"/>
      <c r="F20" s="6"/>
      <c r="G20" s="30"/>
      <c r="M20" s="6"/>
      <c r="N20" s="6"/>
      <c r="O20" s="9"/>
      <c r="Y20" s="6"/>
      <c r="Z20" s="6"/>
      <c r="AA20" s="9"/>
      <c r="AC20" s="6"/>
      <c r="AD20" s="6"/>
      <c r="AE20" s="30"/>
    </row>
    <row r="21" spans="1:31">
      <c r="A21" s="6" t="s">
        <v>29</v>
      </c>
      <c r="B21" s="6">
        <v>31</v>
      </c>
      <c r="C21" s="9">
        <v>2.0000000000000001E-4</v>
      </c>
      <c r="E21" s="6"/>
      <c r="F21" s="6"/>
      <c r="G21" s="30"/>
      <c r="M21" s="6"/>
      <c r="N21" s="6"/>
      <c r="O21" s="9"/>
      <c r="Y21" s="6"/>
      <c r="Z21" s="6"/>
      <c r="AA21" s="9"/>
      <c r="AC21" s="6"/>
      <c r="AD21" s="6"/>
      <c r="AE21" s="30"/>
    </row>
    <row r="22" spans="1:31">
      <c r="A22" s="6" t="s">
        <v>30</v>
      </c>
      <c r="B22" s="6">
        <v>27</v>
      </c>
      <c r="C22" s="9">
        <v>2.0000000000000001E-4</v>
      </c>
      <c r="E22" s="6"/>
      <c r="F22" s="6"/>
      <c r="G22" s="30"/>
      <c r="M22" s="6"/>
      <c r="N22" s="6"/>
      <c r="O22" s="9"/>
      <c r="Y22" s="6"/>
      <c r="Z22" s="6"/>
      <c r="AA22" s="9"/>
    </row>
    <row r="23" spans="1:31">
      <c r="A23" s="6" t="s">
        <v>26</v>
      </c>
      <c r="B23" s="6">
        <v>28</v>
      </c>
      <c r="C23" s="9">
        <v>2.0000000000000001E-4</v>
      </c>
      <c r="E23" s="6"/>
      <c r="F23" s="6"/>
      <c r="G23" s="30"/>
      <c r="M23" s="6"/>
      <c r="N23" s="6"/>
      <c r="O23" s="9"/>
      <c r="Y23" s="6"/>
      <c r="Z23" s="6"/>
      <c r="AA23" s="9"/>
    </row>
    <row r="24" spans="1:31">
      <c r="A24" s="6" t="s">
        <v>10</v>
      </c>
      <c r="B24" s="6">
        <v>21</v>
      </c>
      <c r="C24" s="9">
        <v>2.0000000000000001E-4</v>
      </c>
      <c r="M24" s="6"/>
      <c r="N24" s="6"/>
      <c r="O24" s="9"/>
      <c r="Y24" s="6"/>
      <c r="Z24" s="6"/>
      <c r="AA24" s="9"/>
    </row>
    <row r="25" spans="1:31">
      <c r="A25" s="6" t="s">
        <v>14</v>
      </c>
      <c r="B25" s="6">
        <v>19</v>
      </c>
      <c r="C25" s="9">
        <v>2.0000000000000001E-4</v>
      </c>
      <c r="M25" s="6"/>
      <c r="N25" s="6"/>
      <c r="O25" s="9"/>
      <c r="Y25" s="6"/>
      <c r="Z25" s="6"/>
      <c r="AA25" s="9"/>
    </row>
    <row r="26" spans="1:31">
      <c r="A26" s="6" t="s">
        <v>40</v>
      </c>
      <c r="B26" s="6">
        <v>26</v>
      </c>
      <c r="C26" s="9">
        <v>2.0000000000000001E-4</v>
      </c>
      <c r="M26" s="6"/>
      <c r="N26" s="6"/>
      <c r="O26" s="9"/>
      <c r="Y26" s="6"/>
      <c r="Z26" s="6"/>
      <c r="AA26" s="9"/>
    </row>
    <row r="27" spans="1:31">
      <c r="A27" s="6" t="s">
        <v>19</v>
      </c>
      <c r="B27" s="6">
        <v>9</v>
      </c>
      <c r="C27" s="9">
        <v>1E-4</v>
      </c>
      <c r="M27" s="6"/>
      <c r="N27" s="6"/>
      <c r="O27" s="9"/>
      <c r="Y27" s="6"/>
      <c r="Z27" s="6"/>
      <c r="AA27" s="9"/>
    </row>
    <row r="28" spans="1:31">
      <c r="A28" s="6" t="s">
        <v>20</v>
      </c>
      <c r="B28" s="6">
        <v>15</v>
      </c>
      <c r="C28" s="9">
        <v>1E-4</v>
      </c>
      <c r="M28" s="6"/>
      <c r="N28" s="6"/>
      <c r="O28" s="9"/>
      <c r="Y28" s="6"/>
      <c r="Z28" s="6"/>
      <c r="AA28" s="9"/>
    </row>
    <row r="29" spans="1:31">
      <c r="A29" s="6" t="s">
        <v>45</v>
      </c>
      <c r="B29" s="6">
        <v>7</v>
      </c>
      <c r="C29" s="9">
        <v>1E-4</v>
      </c>
      <c r="M29" s="6"/>
      <c r="N29" s="6"/>
      <c r="O29" s="9"/>
      <c r="Y29" s="6"/>
      <c r="Z29" s="6"/>
      <c r="AA29" s="9"/>
    </row>
    <row r="30" spans="1:31">
      <c r="A30" s="6" t="s">
        <v>121</v>
      </c>
      <c r="B30" s="6">
        <v>7</v>
      </c>
      <c r="C30" s="9">
        <v>1E-4</v>
      </c>
      <c r="M30" s="6"/>
      <c r="N30" s="6"/>
      <c r="O30" s="9"/>
      <c r="Y30" s="6"/>
      <c r="Z30" s="6"/>
      <c r="AA30" s="9"/>
    </row>
    <row r="31" spans="1:31">
      <c r="A31" s="6" t="s">
        <v>17</v>
      </c>
      <c r="B31" s="6">
        <v>14</v>
      </c>
      <c r="C31" s="9">
        <v>1E-4</v>
      </c>
      <c r="M31" s="6"/>
      <c r="N31" s="6"/>
      <c r="O31" s="9"/>
      <c r="Y31" s="6"/>
      <c r="Z31" s="6"/>
      <c r="AA31" s="9"/>
    </row>
    <row r="32" spans="1:31">
      <c r="A32" s="6" t="s">
        <v>15</v>
      </c>
      <c r="B32" s="6">
        <v>16</v>
      </c>
      <c r="C32" s="9">
        <v>1E-4</v>
      </c>
      <c r="M32" s="6"/>
      <c r="N32" s="6"/>
      <c r="O32" s="9"/>
      <c r="Y32" s="6"/>
      <c r="Z32" s="6"/>
      <c r="AA32" s="9"/>
    </row>
    <row r="33" spans="1:27">
      <c r="A33" s="6" t="s">
        <v>22</v>
      </c>
      <c r="B33" s="6">
        <v>11</v>
      </c>
      <c r="C33" s="9">
        <v>1E-4</v>
      </c>
      <c r="M33" s="6"/>
      <c r="N33" s="6"/>
      <c r="O33" s="9"/>
      <c r="Y33" s="6"/>
      <c r="Z33" s="6"/>
      <c r="AA33" s="9"/>
    </row>
    <row r="34" spans="1:27">
      <c r="A34" s="6" t="s">
        <v>31</v>
      </c>
      <c r="B34" s="6">
        <v>15</v>
      </c>
      <c r="C34" s="9">
        <v>1E-4</v>
      </c>
      <c r="M34" s="6"/>
      <c r="N34" s="6"/>
      <c r="O34" s="30"/>
      <c r="Y34" s="6"/>
      <c r="Z34" s="6"/>
      <c r="AA34" s="9"/>
    </row>
    <row r="35" spans="1:27">
      <c r="A35" s="6" t="s">
        <v>24</v>
      </c>
      <c r="B35" s="6">
        <v>8</v>
      </c>
      <c r="C35" s="9">
        <v>1E-4</v>
      </c>
      <c r="M35" s="6"/>
      <c r="N35" s="6"/>
      <c r="O35" s="30"/>
      <c r="Y35" s="6"/>
      <c r="Z35" s="6"/>
      <c r="AA35" s="9"/>
    </row>
    <row r="36" spans="1:27">
      <c r="A36" s="6" t="s">
        <v>38</v>
      </c>
      <c r="B36" s="6">
        <v>12</v>
      </c>
      <c r="C36" s="9">
        <v>1E-4</v>
      </c>
      <c r="M36" s="6"/>
      <c r="N36" s="6"/>
      <c r="O36" s="30"/>
      <c r="Y36" s="6"/>
      <c r="Z36" s="6"/>
      <c r="AA36" s="9"/>
    </row>
    <row r="37" spans="1:27">
      <c r="A37" s="6" t="s">
        <v>27</v>
      </c>
      <c r="B37" s="6">
        <v>15</v>
      </c>
      <c r="C37" s="9">
        <v>1E-4</v>
      </c>
      <c r="M37" s="6"/>
      <c r="N37" s="6"/>
      <c r="O37" s="30"/>
      <c r="Y37" s="6"/>
      <c r="Z37" s="6"/>
      <c r="AA37" s="9"/>
    </row>
    <row r="38" spans="1:27">
      <c r="A38" s="6" t="s">
        <v>115</v>
      </c>
      <c r="B38" s="6">
        <v>3</v>
      </c>
      <c r="C38" s="30">
        <v>0</v>
      </c>
      <c r="M38" s="6"/>
      <c r="N38" s="6"/>
      <c r="O38" s="30"/>
      <c r="Y38" s="6"/>
      <c r="Z38" s="6"/>
      <c r="AA38" s="9"/>
    </row>
    <row r="39" spans="1:27">
      <c r="A39" s="6" t="s">
        <v>180</v>
      </c>
      <c r="B39" s="6">
        <v>2</v>
      </c>
      <c r="C39" s="30">
        <v>0</v>
      </c>
      <c r="M39" s="6"/>
      <c r="N39" s="6"/>
      <c r="O39" s="30"/>
      <c r="Y39" s="6"/>
      <c r="Z39" s="6"/>
      <c r="AA39" s="9"/>
    </row>
    <row r="40" spans="1:27">
      <c r="A40" s="6" t="s">
        <v>34</v>
      </c>
      <c r="B40" s="6">
        <v>5</v>
      </c>
      <c r="C40" s="30">
        <v>0</v>
      </c>
      <c r="M40" s="6"/>
      <c r="N40" s="6"/>
      <c r="O40" s="30"/>
      <c r="Y40" s="6"/>
      <c r="Z40" s="6"/>
      <c r="AA40" s="9"/>
    </row>
    <row r="41" spans="1:27">
      <c r="A41" s="6" t="s">
        <v>13</v>
      </c>
      <c r="B41" s="6">
        <v>4</v>
      </c>
      <c r="C41" s="30">
        <v>0</v>
      </c>
      <c r="M41" s="6"/>
      <c r="N41" s="6"/>
      <c r="O41" s="30"/>
      <c r="Y41" s="6"/>
      <c r="Z41" s="6"/>
      <c r="AA41" s="9"/>
    </row>
    <row r="42" spans="1:27">
      <c r="A42" s="6" t="s">
        <v>65</v>
      </c>
      <c r="B42" s="6">
        <v>3</v>
      </c>
      <c r="C42" s="30">
        <v>0</v>
      </c>
      <c r="M42" s="6"/>
      <c r="N42" s="6"/>
      <c r="O42" s="30"/>
      <c r="Y42" s="6"/>
      <c r="Z42" s="6"/>
      <c r="AA42" s="9"/>
    </row>
    <row r="43" spans="1:27">
      <c r="A43" s="6" t="s">
        <v>48</v>
      </c>
      <c r="B43" s="6">
        <v>2</v>
      </c>
      <c r="C43" s="30">
        <v>0</v>
      </c>
      <c r="M43" s="6"/>
      <c r="N43" s="6"/>
      <c r="O43" s="30"/>
      <c r="Y43" s="6"/>
      <c r="Z43" s="6"/>
      <c r="AA43" s="9"/>
    </row>
    <row r="44" spans="1:27">
      <c r="A44" s="6" t="s">
        <v>51</v>
      </c>
      <c r="B44" s="6">
        <v>2</v>
      </c>
      <c r="C44" s="30">
        <v>0</v>
      </c>
      <c r="M44" s="6"/>
      <c r="N44" s="6"/>
      <c r="O44" s="30"/>
      <c r="Y44" s="6"/>
      <c r="Z44" s="6"/>
      <c r="AA44" s="9"/>
    </row>
    <row r="45" spans="1:27">
      <c r="A45" s="6" t="s">
        <v>46</v>
      </c>
      <c r="B45" s="6">
        <v>2</v>
      </c>
      <c r="C45" s="30">
        <v>0</v>
      </c>
      <c r="M45" s="6"/>
      <c r="N45" s="6"/>
      <c r="O45" s="30"/>
      <c r="Y45" s="6"/>
      <c r="Z45" s="6"/>
      <c r="AA45" s="9"/>
    </row>
    <row r="46" spans="1:27">
      <c r="A46" s="6" t="s">
        <v>36</v>
      </c>
      <c r="B46" s="6">
        <v>1</v>
      </c>
      <c r="C46" s="30">
        <v>0</v>
      </c>
      <c r="Y46" s="6"/>
      <c r="Z46" s="6"/>
      <c r="AA46" s="9"/>
    </row>
    <row r="47" spans="1:27">
      <c r="A47" s="6" t="s">
        <v>16</v>
      </c>
      <c r="B47" s="6">
        <v>6</v>
      </c>
      <c r="C47" s="30">
        <v>0</v>
      </c>
      <c r="Y47" s="6"/>
      <c r="Z47" s="6"/>
      <c r="AA47" s="9"/>
    </row>
    <row r="48" spans="1:27">
      <c r="A48" s="6" t="s">
        <v>47</v>
      </c>
      <c r="B48" s="6">
        <v>2</v>
      </c>
      <c r="C48" s="30">
        <v>0</v>
      </c>
      <c r="Y48" s="6"/>
      <c r="Z48" s="6"/>
      <c r="AA48" s="9"/>
    </row>
    <row r="49" spans="1:27">
      <c r="A49" s="6" t="s">
        <v>55</v>
      </c>
      <c r="B49" s="6">
        <v>1</v>
      </c>
      <c r="C49" s="30">
        <v>0</v>
      </c>
      <c r="Y49" s="6"/>
      <c r="Z49" s="6"/>
      <c r="AA49" s="9"/>
    </row>
    <row r="50" spans="1:27">
      <c r="A50" s="6" t="s">
        <v>147</v>
      </c>
      <c r="B50" s="6">
        <v>1</v>
      </c>
      <c r="C50" s="30">
        <v>0</v>
      </c>
      <c r="Y50" s="6"/>
      <c r="Z50" s="6"/>
      <c r="AA50" s="9"/>
    </row>
    <row r="51" spans="1:27">
      <c r="A51" s="6" t="s">
        <v>39</v>
      </c>
      <c r="B51" s="6">
        <v>3</v>
      </c>
      <c r="C51" s="30">
        <v>0</v>
      </c>
      <c r="Y51" s="6"/>
      <c r="Z51" s="6"/>
      <c r="AA51" s="9"/>
    </row>
    <row r="52" spans="1:27">
      <c r="A52" s="6" t="s">
        <v>33</v>
      </c>
      <c r="B52" s="6">
        <v>4</v>
      </c>
      <c r="C52" s="30">
        <v>0</v>
      </c>
      <c r="Y52" s="6"/>
      <c r="Z52" s="6"/>
      <c r="AA52" s="9"/>
    </row>
    <row r="53" spans="1:27">
      <c r="A53" s="6" t="s">
        <v>68</v>
      </c>
      <c r="B53" s="6">
        <v>4</v>
      </c>
      <c r="C53" s="30">
        <v>0</v>
      </c>
      <c r="Y53" s="6"/>
      <c r="Z53" s="6"/>
      <c r="AA53" s="9"/>
    </row>
    <row r="54" spans="1:27">
      <c r="A54" s="6" t="s">
        <v>66</v>
      </c>
      <c r="B54" s="6">
        <v>1</v>
      </c>
      <c r="C54" s="30">
        <v>0</v>
      </c>
      <c r="Y54" s="6"/>
      <c r="Z54" s="6"/>
      <c r="AA54" s="9"/>
    </row>
    <row r="55" spans="1:27">
      <c r="A55" s="6" t="s">
        <v>43</v>
      </c>
      <c r="B55" s="6">
        <v>3</v>
      </c>
      <c r="C55" s="30">
        <v>0</v>
      </c>
      <c r="Y55" s="6"/>
      <c r="Z55" s="6"/>
      <c r="AA55" s="9"/>
    </row>
    <row r="56" spans="1:27">
      <c r="A56" s="6" t="s">
        <v>32</v>
      </c>
      <c r="B56" s="6">
        <v>3</v>
      </c>
      <c r="C56" s="30">
        <v>0</v>
      </c>
      <c r="Y56" s="6"/>
      <c r="Z56" s="6"/>
      <c r="AA56" s="9"/>
    </row>
    <row r="57" spans="1:27">
      <c r="A57" s="6" t="s">
        <v>25</v>
      </c>
      <c r="B57" s="6">
        <v>3</v>
      </c>
      <c r="C57" s="30">
        <v>0</v>
      </c>
      <c r="Y57" s="6"/>
      <c r="Z57" s="6"/>
      <c r="AA57" s="9"/>
    </row>
    <row r="58" spans="1:27">
      <c r="A58" s="6" t="s">
        <v>60</v>
      </c>
      <c r="B58" s="6">
        <v>3</v>
      </c>
      <c r="C58" s="30">
        <v>0</v>
      </c>
      <c r="Y58" s="6"/>
      <c r="Z58" s="6"/>
      <c r="AA58" s="9"/>
    </row>
    <row r="59" spans="1:27">
      <c r="A59" s="6" t="s">
        <v>64</v>
      </c>
      <c r="B59" s="6">
        <v>4</v>
      </c>
      <c r="C59" s="30">
        <v>0</v>
      </c>
      <c r="Y59" s="6"/>
      <c r="Z59" s="6"/>
      <c r="AA59" s="9"/>
    </row>
    <row r="60" spans="1:27">
      <c r="A60" s="6" t="s">
        <v>59</v>
      </c>
      <c r="B60" s="6">
        <v>2</v>
      </c>
      <c r="C60" s="30">
        <v>0</v>
      </c>
      <c r="Y60" s="6"/>
      <c r="Z60" s="6"/>
      <c r="AA60" s="9"/>
    </row>
    <row r="61" spans="1:27">
      <c r="A61" s="6" t="s">
        <v>58</v>
      </c>
      <c r="B61" s="6">
        <v>2</v>
      </c>
      <c r="C61" s="30">
        <v>0</v>
      </c>
      <c r="Y61" s="6"/>
      <c r="Z61" s="6"/>
      <c r="AA61" s="9"/>
    </row>
    <row r="62" spans="1:27">
      <c r="A62" s="6" t="s">
        <v>129</v>
      </c>
      <c r="B62" s="6">
        <v>1</v>
      </c>
      <c r="C62" s="30">
        <v>0</v>
      </c>
      <c r="Y62" s="6"/>
      <c r="Z62" s="6"/>
      <c r="AA62" s="34"/>
    </row>
    <row r="63" spans="1:27">
      <c r="A63" s="6" t="s">
        <v>57</v>
      </c>
      <c r="B63" s="6">
        <v>1</v>
      </c>
      <c r="C63" s="30">
        <v>0</v>
      </c>
    </row>
    <row r="64" spans="1:27">
      <c r="A64" s="6" t="s">
        <v>28</v>
      </c>
      <c r="B64" s="6">
        <v>1</v>
      </c>
      <c r="C64" s="30">
        <v>0</v>
      </c>
    </row>
    <row r="65" spans="1:3">
      <c r="A65" s="6" t="s">
        <v>69</v>
      </c>
      <c r="B65" s="6">
        <v>1</v>
      </c>
      <c r="C65" s="30">
        <v>0</v>
      </c>
    </row>
    <row r="66" spans="1:3">
      <c r="A66" s="6" t="s">
        <v>53</v>
      </c>
      <c r="B66" s="6">
        <v>1</v>
      </c>
      <c r="C66" s="30">
        <v>0</v>
      </c>
    </row>
    <row r="67" spans="1:3">
      <c r="A67" s="6" t="s">
        <v>152</v>
      </c>
      <c r="B67" s="6">
        <v>1</v>
      </c>
      <c r="C67" s="30">
        <v>0</v>
      </c>
    </row>
  </sheetData>
  <mergeCells count="18">
    <mergeCell ref="AC2:AC5"/>
    <mergeCell ref="AG2:AG5"/>
    <mergeCell ref="Y1:Z1"/>
    <mergeCell ref="AC1:AD1"/>
    <mergeCell ref="AG1:AH1"/>
    <mergeCell ref="A2:A5"/>
    <mergeCell ref="E2:E5"/>
    <mergeCell ref="I2:I5"/>
    <mergeCell ref="M2:M5"/>
    <mergeCell ref="Q2:Q5"/>
    <mergeCell ref="U2:U5"/>
    <mergeCell ref="Y2:Y5"/>
    <mergeCell ref="A1:B1"/>
    <mergeCell ref="E1:F1"/>
    <mergeCell ref="I1:J1"/>
    <mergeCell ref="M1:N1"/>
    <mergeCell ref="Q1:R1"/>
    <mergeCell ref="U1:V1"/>
  </mergeCells>
  <conditionalFormatting sqref="C9:C6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653F-DDB1-4BA4-A652-597F0EE8DCEE}">
  <sheetPr codeName="Sheet58"/>
  <dimension ref="A1:N61"/>
  <sheetViews>
    <sheetView showGridLines="0" zoomScaleNormal="100" workbookViewId="0">
      <selection activeCell="A2" sqref="A2:C61"/>
    </sheetView>
  </sheetViews>
  <sheetFormatPr defaultRowHeight="15"/>
  <cols>
    <col min="1" max="1" width="9.5703125" bestFit="1" customWidth="1"/>
    <col min="2" max="2" width="9.7109375" bestFit="1" customWidth="1"/>
    <col min="4" max="4" width="9.5703125" bestFit="1" customWidth="1"/>
    <col min="5" max="5" width="6.140625" bestFit="1" customWidth="1"/>
    <col min="6" max="6" width="9.5703125" bestFit="1" customWidth="1"/>
    <col min="7" max="7" width="11.28515625" customWidth="1"/>
    <col min="8" max="8" width="9.5703125" bestFit="1" customWidth="1"/>
    <col min="9" max="9" width="7.42578125" bestFit="1" customWidth="1"/>
    <col min="10" max="10" width="9.5703125" bestFit="1" customWidth="1"/>
    <col min="11" max="11" width="7.42578125" bestFit="1" customWidth="1"/>
    <col min="12" max="12" width="9.85546875" customWidth="1"/>
    <col min="20" max="20" width="9" customWidth="1"/>
  </cols>
  <sheetData>
    <row r="1" spans="1:14">
      <c r="A1" t="s">
        <v>182</v>
      </c>
      <c r="B1" t="s">
        <v>183</v>
      </c>
      <c r="C1" t="s">
        <v>184</v>
      </c>
    </row>
    <row r="2" spans="1:14">
      <c r="A2" s="6" t="s">
        <v>112</v>
      </c>
      <c r="B2" s="29">
        <v>124444</v>
      </c>
      <c r="C2" s="9">
        <v>0.98480000000000001</v>
      </c>
    </row>
    <row r="3" spans="1:14">
      <c r="A3" s="6" t="s">
        <v>2</v>
      </c>
      <c r="B3" s="6">
        <v>415</v>
      </c>
      <c r="C3" s="9">
        <v>3.3E-3</v>
      </c>
    </row>
    <row r="4" spans="1:14">
      <c r="A4" s="6" t="s">
        <v>9</v>
      </c>
      <c r="B4" s="6">
        <v>301</v>
      </c>
      <c r="C4" s="9">
        <v>2.3999999999999998E-3</v>
      </c>
    </row>
    <row r="5" spans="1:14">
      <c r="A5" s="6" t="s">
        <v>3</v>
      </c>
      <c r="B5" s="6">
        <v>253</v>
      </c>
      <c r="C5" s="9">
        <v>2E-3</v>
      </c>
    </row>
    <row r="6" spans="1:14">
      <c r="A6" s="6" t="s">
        <v>5</v>
      </c>
      <c r="B6" s="6">
        <v>95</v>
      </c>
      <c r="C6" s="9">
        <v>8.0000000000000004E-4</v>
      </c>
    </row>
    <row r="7" spans="1:14">
      <c r="A7" s="6" t="s">
        <v>8</v>
      </c>
      <c r="B7" s="6">
        <v>107</v>
      </c>
      <c r="C7" s="9">
        <v>8.0000000000000004E-4</v>
      </c>
    </row>
    <row r="8" spans="1:14">
      <c r="A8" s="6" t="s">
        <v>7</v>
      </c>
      <c r="B8" s="6">
        <v>88</v>
      </c>
      <c r="C8" s="9">
        <v>6.9999999999999999E-4</v>
      </c>
    </row>
    <row r="9" spans="1:14">
      <c r="A9" s="6" t="s">
        <v>41</v>
      </c>
      <c r="B9" s="6">
        <v>76</v>
      </c>
      <c r="C9" s="9">
        <v>5.9999999999999995E-4</v>
      </c>
    </row>
    <row r="10" spans="1:14">
      <c r="A10" s="6" t="s">
        <v>12</v>
      </c>
      <c r="B10" s="6">
        <v>66</v>
      </c>
      <c r="C10" s="9">
        <v>5.0000000000000001E-4</v>
      </c>
    </row>
    <row r="11" spans="1:14">
      <c r="A11" s="6" t="s">
        <v>11</v>
      </c>
      <c r="B11" s="6">
        <v>63</v>
      </c>
      <c r="C11" s="9">
        <v>5.0000000000000001E-4</v>
      </c>
      <c r="N11" s="39"/>
    </row>
    <row r="12" spans="1:14">
      <c r="A12" s="6" t="s">
        <v>21</v>
      </c>
      <c r="B12" s="6">
        <v>32</v>
      </c>
      <c r="C12" s="9">
        <v>2.9999999999999997E-4</v>
      </c>
    </row>
    <row r="13" spans="1:14">
      <c r="A13" s="6" t="s">
        <v>37</v>
      </c>
      <c r="B13" s="6">
        <v>32</v>
      </c>
      <c r="C13" s="9">
        <v>2.9999999999999997E-4</v>
      </c>
    </row>
    <row r="14" spans="1:14">
      <c r="A14" s="6" t="s">
        <v>18</v>
      </c>
      <c r="B14" s="6">
        <v>35</v>
      </c>
      <c r="C14" s="9">
        <v>2.9999999999999997E-4</v>
      </c>
    </row>
    <row r="15" spans="1:14">
      <c r="A15" s="6" t="s">
        <v>29</v>
      </c>
      <c r="B15" s="6">
        <v>31</v>
      </c>
      <c r="C15" s="9">
        <v>2.0000000000000001E-4</v>
      </c>
    </row>
    <row r="16" spans="1:14">
      <c r="A16" s="6" t="s">
        <v>30</v>
      </c>
      <c r="B16" s="6">
        <v>27</v>
      </c>
      <c r="C16" s="9">
        <v>2.0000000000000001E-4</v>
      </c>
    </row>
    <row r="17" spans="1:3">
      <c r="A17" s="6" t="s">
        <v>26</v>
      </c>
      <c r="B17" s="6">
        <v>28</v>
      </c>
      <c r="C17" s="9">
        <v>2.0000000000000001E-4</v>
      </c>
    </row>
    <row r="18" spans="1:3">
      <c r="A18" s="6" t="s">
        <v>10</v>
      </c>
      <c r="B18" s="6">
        <v>21</v>
      </c>
      <c r="C18" s="9">
        <v>2.0000000000000001E-4</v>
      </c>
    </row>
    <row r="19" spans="1:3">
      <c r="A19" s="6" t="s">
        <v>14</v>
      </c>
      <c r="B19" s="6">
        <v>19</v>
      </c>
      <c r="C19" s="9">
        <v>2.0000000000000001E-4</v>
      </c>
    </row>
    <row r="20" spans="1:3">
      <c r="A20" s="6" t="s">
        <v>40</v>
      </c>
      <c r="B20" s="6">
        <v>26</v>
      </c>
      <c r="C20" s="9">
        <v>2.0000000000000001E-4</v>
      </c>
    </row>
    <row r="21" spans="1:3">
      <c r="A21" s="6" t="s">
        <v>19</v>
      </c>
      <c r="B21" s="6">
        <v>9</v>
      </c>
      <c r="C21" s="9">
        <v>1E-4</v>
      </c>
    </row>
    <row r="22" spans="1:3">
      <c r="A22" s="6" t="s">
        <v>20</v>
      </c>
      <c r="B22" s="6">
        <v>15</v>
      </c>
      <c r="C22" s="9">
        <v>1E-4</v>
      </c>
    </row>
    <row r="23" spans="1:3">
      <c r="A23" s="6" t="s">
        <v>45</v>
      </c>
      <c r="B23" s="6">
        <v>7</v>
      </c>
      <c r="C23" s="9">
        <v>1E-4</v>
      </c>
    </row>
    <row r="24" spans="1:3">
      <c r="A24" s="6" t="s">
        <v>121</v>
      </c>
      <c r="B24" s="6">
        <v>7</v>
      </c>
      <c r="C24" s="9">
        <v>1E-4</v>
      </c>
    </row>
    <row r="25" spans="1:3">
      <c r="A25" s="6" t="s">
        <v>17</v>
      </c>
      <c r="B25" s="6">
        <v>14</v>
      </c>
      <c r="C25" s="9">
        <v>1E-4</v>
      </c>
    </row>
    <row r="26" spans="1:3">
      <c r="A26" s="6" t="s">
        <v>15</v>
      </c>
      <c r="B26" s="6">
        <v>16</v>
      </c>
      <c r="C26" s="9">
        <v>1E-4</v>
      </c>
    </row>
    <row r="27" spans="1:3">
      <c r="A27" s="6" t="s">
        <v>22</v>
      </c>
      <c r="B27" s="6">
        <v>11</v>
      </c>
      <c r="C27" s="9">
        <v>1E-4</v>
      </c>
    </row>
    <row r="28" spans="1:3">
      <c r="A28" s="6" t="s">
        <v>31</v>
      </c>
      <c r="B28" s="6">
        <v>15</v>
      </c>
      <c r="C28" s="9">
        <v>1E-4</v>
      </c>
    </row>
    <row r="29" spans="1:3">
      <c r="A29" s="6" t="s">
        <v>24</v>
      </c>
      <c r="B29" s="6">
        <v>8</v>
      </c>
      <c r="C29" s="9">
        <v>1E-4</v>
      </c>
    </row>
    <row r="30" spans="1:3">
      <c r="A30" s="6" t="s">
        <v>38</v>
      </c>
      <c r="B30" s="6">
        <v>12</v>
      </c>
      <c r="C30" s="9">
        <v>1E-4</v>
      </c>
    </row>
    <row r="31" spans="1:3">
      <c r="A31" s="6" t="s">
        <v>27</v>
      </c>
      <c r="B31" s="6">
        <v>15</v>
      </c>
      <c r="C31" s="9">
        <v>1E-4</v>
      </c>
    </row>
    <row r="32" spans="1:3">
      <c r="A32" s="6" t="s">
        <v>115</v>
      </c>
      <c r="B32" s="6">
        <v>3</v>
      </c>
      <c r="C32" s="30">
        <v>0</v>
      </c>
    </row>
    <row r="33" spans="1:3">
      <c r="A33" s="6" t="s">
        <v>180</v>
      </c>
      <c r="B33" s="6">
        <v>2</v>
      </c>
      <c r="C33" s="30">
        <v>0</v>
      </c>
    </row>
    <row r="34" spans="1:3">
      <c r="A34" s="6" t="s">
        <v>34</v>
      </c>
      <c r="B34" s="6">
        <v>5</v>
      </c>
      <c r="C34" s="30">
        <v>0</v>
      </c>
    </row>
    <row r="35" spans="1:3">
      <c r="A35" s="6" t="s">
        <v>13</v>
      </c>
      <c r="B35" s="6">
        <v>4</v>
      </c>
      <c r="C35" s="30">
        <v>0</v>
      </c>
    </row>
    <row r="36" spans="1:3">
      <c r="A36" s="6" t="s">
        <v>65</v>
      </c>
      <c r="B36" s="6">
        <v>3</v>
      </c>
      <c r="C36" s="30">
        <v>0</v>
      </c>
    </row>
    <row r="37" spans="1:3">
      <c r="A37" s="6" t="s">
        <v>48</v>
      </c>
      <c r="B37" s="6">
        <v>2</v>
      </c>
      <c r="C37" s="30">
        <v>0</v>
      </c>
    </row>
    <row r="38" spans="1:3">
      <c r="A38" s="6" t="s">
        <v>51</v>
      </c>
      <c r="B38" s="6">
        <v>2</v>
      </c>
      <c r="C38" s="30">
        <v>0</v>
      </c>
    </row>
    <row r="39" spans="1:3">
      <c r="A39" s="6" t="s">
        <v>46</v>
      </c>
      <c r="B39" s="6">
        <v>2</v>
      </c>
      <c r="C39" s="30">
        <v>0</v>
      </c>
    </row>
    <row r="40" spans="1:3">
      <c r="A40" s="6" t="s">
        <v>36</v>
      </c>
      <c r="B40" s="6">
        <v>1</v>
      </c>
      <c r="C40" s="30">
        <v>0</v>
      </c>
    </row>
    <row r="41" spans="1:3">
      <c r="A41" s="6" t="s">
        <v>16</v>
      </c>
      <c r="B41" s="6">
        <v>6</v>
      </c>
      <c r="C41" s="30">
        <v>0</v>
      </c>
    </row>
    <row r="42" spans="1:3">
      <c r="A42" s="6" t="s">
        <v>47</v>
      </c>
      <c r="B42" s="6">
        <v>2</v>
      </c>
      <c r="C42" s="30">
        <v>0</v>
      </c>
    </row>
    <row r="43" spans="1:3">
      <c r="A43" s="6" t="s">
        <v>55</v>
      </c>
      <c r="B43" s="6">
        <v>1</v>
      </c>
      <c r="C43" s="30">
        <v>0</v>
      </c>
    </row>
    <row r="44" spans="1:3">
      <c r="A44" s="6" t="s">
        <v>147</v>
      </c>
      <c r="B44" s="6">
        <v>1</v>
      </c>
      <c r="C44" s="30">
        <v>0</v>
      </c>
    </row>
    <row r="45" spans="1:3">
      <c r="A45" s="6" t="s">
        <v>39</v>
      </c>
      <c r="B45" s="6">
        <v>3</v>
      </c>
      <c r="C45" s="30">
        <v>0</v>
      </c>
    </row>
    <row r="46" spans="1:3">
      <c r="A46" s="6" t="s">
        <v>33</v>
      </c>
      <c r="B46" s="6">
        <v>4</v>
      </c>
      <c r="C46" s="30">
        <v>0</v>
      </c>
    </row>
    <row r="47" spans="1:3">
      <c r="A47" s="6" t="s">
        <v>68</v>
      </c>
      <c r="B47" s="6">
        <v>4</v>
      </c>
      <c r="C47" s="30">
        <v>0</v>
      </c>
    </row>
    <row r="48" spans="1:3">
      <c r="A48" s="6" t="s">
        <v>66</v>
      </c>
      <c r="B48" s="6">
        <v>1</v>
      </c>
      <c r="C48" s="30">
        <v>0</v>
      </c>
    </row>
    <row r="49" spans="1:3">
      <c r="A49" s="6" t="s">
        <v>43</v>
      </c>
      <c r="B49" s="6">
        <v>3</v>
      </c>
      <c r="C49" s="30">
        <v>0</v>
      </c>
    </row>
    <row r="50" spans="1:3">
      <c r="A50" s="6" t="s">
        <v>32</v>
      </c>
      <c r="B50" s="6">
        <v>3</v>
      </c>
      <c r="C50" s="30">
        <v>0</v>
      </c>
    </row>
    <row r="51" spans="1:3">
      <c r="A51" s="6" t="s">
        <v>25</v>
      </c>
      <c r="B51" s="6">
        <v>3</v>
      </c>
      <c r="C51" s="30">
        <v>0</v>
      </c>
    </row>
    <row r="52" spans="1:3">
      <c r="A52" s="6" t="s">
        <v>60</v>
      </c>
      <c r="B52" s="6">
        <v>3</v>
      </c>
      <c r="C52" s="30">
        <v>0</v>
      </c>
    </row>
    <row r="53" spans="1:3">
      <c r="A53" s="6" t="s">
        <v>64</v>
      </c>
      <c r="B53" s="6">
        <v>4</v>
      </c>
      <c r="C53" s="30">
        <v>0</v>
      </c>
    </row>
    <row r="54" spans="1:3">
      <c r="A54" s="6" t="s">
        <v>59</v>
      </c>
      <c r="B54" s="6">
        <v>2</v>
      </c>
      <c r="C54" s="30">
        <v>0</v>
      </c>
    </row>
    <row r="55" spans="1:3">
      <c r="A55" s="6" t="s">
        <v>58</v>
      </c>
      <c r="B55" s="6">
        <v>2</v>
      </c>
      <c r="C55" s="30">
        <v>0</v>
      </c>
    </row>
    <row r="56" spans="1:3">
      <c r="A56" s="6" t="s">
        <v>129</v>
      </c>
      <c r="B56" s="6">
        <v>1</v>
      </c>
      <c r="C56" s="30">
        <v>0</v>
      </c>
    </row>
    <row r="57" spans="1:3">
      <c r="A57" s="6" t="s">
        <v>57</v>
      </c>
      <c r="B57" s="6">
        <v>1</v>
      </c>
      <c r="C57" s="30">
        <v>0</v>
      </c>
    </row>
    <row r="58" spans="1:3">
      <c r="A58" s="6" t="s">
        <v>28</v>
      </c>
      <c r="B58" s="6">
        <v>1</v>
      </c>
      <c r="C58" s="30">
        <v>0</v>
      </c>
    </row>
    <row r="59" spans="1:3">
      <c r="A59" s="6" t="s">
        <v>69</v>
      </c>
      <c r="B59" s="6">
        <v>1</v>
      </c>
      <c r="C59" s="30">
        <v>0</v>
      </c>
    </row>
    <row r="60" spans="1:3">
      <c r="A60" s="6" t="s">
        <v>53</v>
      </c>
      <c r="B60" s="6">
        <v>1</v>
      </c>
      <c r="C60" s="30">
        <v>0</v>
      </c>
    </row>
    <row r="61" spans="1:3">
      <c r="A61" s="6" t="s">
        <v>152</v>
      </c>
      <c r="B61" s="6">
        <v>1</v>
      </c>
      <c r="C61" s="30">
        <v>0</v>
      </c>
    </row>
  </sheetData>
  <conditionalFormatting sqref="C62:C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71AA-9282-4239-B0E0-E97F19AD0DF8}">
  <sheetPr codeName="Sheet60"/>
  <dimension ref="A1:AI64"/>
  <sheetViews>
    <sheetView workbookViewId="0">
      <selection sqref="A1:B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0</v>
      </c>
      <c r="E2" s="41" t="s">
        <v>4</v>
      </c>
      <c r="F2" s="23" t="s">
        <v>105</v>
      </c>
      <c r="G2" s="23">
        <f>G3+G4</f>
        <v>0</v>
      </c>
      <c r="H2" s="22"/>
      <c r="I2" s="41" t="s">
        <v>6</v>
      </c>
      <c r="J2" s="23" t="s">
        <v>105</v>
      </c>
      <c r="K2" s="23">
        <f>K3+K4</f>
        <v>0</v>
      </c>
      <c r="M2" s="41" t="s">
        <v>104</v>
      </c>
      <c r="N2" s="23" t="s">
        <v>105</v>
      </c>
      <c r="O2" s="23">
        <f>O3+O4</f>
        <v>0</v>
      </c>
      <c r="Q2" s="41" t="s">
        <v>4</v>
      </c>
      <c r="R2" s="23" t="s">
        <v>105</v>
      </c>
      <c r="S2" s="23">
        <f>S3+S4</f>
        <v>0</v>
      </c>
      <c r="T2" s="22"/>
      <c r="U2" s="41" t="s">
        <v>6</v>
      </c>
      <c r="V2" s="23" t="s">
        <v>105</v>
      </c>
      <c r="W2" s="23">
        <f>W3+W4</f>
        <v>0</v>
      </c>
      <c r="Y2" s="41" t="s">
        <v>104</v>
      </c>
      <c r="Z2" s="23" t="s">
        <v>105</v>
      </c>
      <c r="AA2" s="23">
        <f>AA3+AA4</f>
        <v>0</v>
      </c>
      <c r="AC2" s="41" t="s">
        <v>4</v>
      </c>
      <c r="AD2" s="23" t="s">
        <v>105</v>
      </c>
      <c r="AE2" s="23">
        <f>AE3+AE4</f>
        <v>0</v>
      </c>
      <c r="AF2" s="22"/>
      <c r="AG2" s="41" t="s">
        <v>6</v>
      </c>
      <c r="AH2" s="23" t="s">
        <v>105</v>
      </c>
      <c r="AI2" s="23">
        <f>AI3+AI4</f>
        <v>0</v>
      </c>
    </row>
    <row r="3" spans="1:35">
      <c r="A3" s="42"/>
      <c r="B3" s="24" t="s">
        <v>106</v>
      </c>
      <c r="C3" s="24">
        <f>B8</f>
        <v>0</v>
      </c>
      <c r="E3" s="42"/>
      <c r="F3" s="24" t="s">
        <v>106</v>
      </c>
      <c r="G3" s="24">
        <f>F8</f>
        <v>0</v>
      </c>
      <c r="H3" s="22"/>
      <c r="I3" s="42"/>
      <c r="J3" s="24" t="s">
        <v>106</v>
      </c>
      <c r="K3" s="24">
        <f>J8</f>
        <v>0</v>
      </c>
      <c r="M3" s="42"/>
      <c r="N3" s="24" t="s">
        <v>106</v>
      </c>
      <c r="O3" s="24">
        <f>N8</f>
        <v>0</v>
      </c>
      <c r="Q3" s="42"/>
      <c r="R3" s="24" t="s">
        <v>106</v>
      </c>
      <c r="S3" s="24">
        <f>R8</f>
        <v>0</v>
      </c>
      <c r="T3" s="22"/>
      <c r="U3" s="42"/>
      <c r="V3" s="24" t="s">
        <v>106</v>
      </c>
      <c r="W3" s="24">
        <f>V8</f>
        <v>0</v>
      </c>
      <c r="Y3" s="42"/>
      <c r="Z3" s="24" t="s">
        <v>106</v>
      </c>
      <c r="AA3" s="24">
        <f>Z8</f>
        <v>0</v>
      </c>
      <c r="AC3" s="42"/>
      <c r="AD3" s="24" t="s">
        <v>106</v>
      </c>
      <c r="AE3" s="24">
        <f>AD8</f>
        <v>0</v>
      </c>
      <c r="AF3" s="22"/>
      <c r="AG3" s="42"/>
      <c r="AH3" s="24" t="s">
        <v>106</v>
      </c>
      <c r="AI3" s="24">
        <f>AH8</f>
        <v>0</v>
      </c>
    </row>
    <row r="4" spans="1:35">
      <c r="A4" s="42"/>
      <c r="B4" s="25" t="s">
        <v>107</v>
      </c>
      <c r="C4" s="25">
        <f>SUM(B9:B66)</f>
        <v>0</v>
      </c>
      <c r="E4" s="42"/>
      <c r="F4" s="25" t="s">
        <v>107</v>
      </c>
      <c r="G4" s="25">
        <f>SUM(F9:F33)</f>
        <v>0</v>
      </c>
      <c r="H4" s="22"/>
      <c r="I4" s="42"/>
      <c r="J4" s="25" t="s">
        <v>107</v>
      </c>
      <c r="K4" s="25">
        <f>SUM(J9:J31)</f>
        <v>0</v>
      </c>
      <c r="M4" s="42"/>
      <c r="N4" s="25" t="s">
        <v>107</v>
      </c>
      <c r="O4" s="25">
        <f>SUM(N9:N66)</f>
        <v>0</v>
      </c>
      <c r="Q4" s="42"/>
      <c r="R4" s="25" t="s">
        <v>107</v>
      </c>
      <c r="S4" s="25">
        <f>SUM(R9:R33)</f>
        <v>0</v>
      </c>
      <c r="T4" s="22"/>
      <c r="U4" s="42"/>
      <c r="V4" s="25" t="s">
        <v>107</v>
      </c>
      <c r="W4" s="25">
        <f>SUM(V9:V31)</f>
        <v>0</v>
      </c>
      <c r="Y4" s="42"/>
      <c r="Z4" s="25" t="s">
        <v>107</v>
      </c>
      <c r="AA4" s="25">
        <f>SUM(Z9:Z61)</f>
        <v>0</v>
      </c>
      <c r="AC4" s="42"/>
      <c r="AD4" s="25" t="s">
        <v>107</v>
      </c>
      <c r="AE4" s="25">
        <f>SUM(AD9:AD29)</f>
        <v>0</v>
      </c>
      <c r="AF4" s="22"/>
      <c r="AG4" s="42"/>
      <c r="AH4" s="25" t="s">
        <v>107</v>
      </c>
      <c r="AI4" s="25">
        <f>SUM(AH9:AH29)</f>
        <v>0</v>
      </c>
    </row>
    <row r="5" spans="1:35">
      <c r="A5" s="43"/>
      <c r="B5" s="23" t="s">
        <v>108</v>
      </c>
      <c r="C5" s="26">
        <f>SUM(C9:C179)</f>
        <v>0</v>
      </c>
      <c r="E5" s="43"/>
      <c r="F5" s="23" t="s">
        <v>108</v>
      </c>
      <c r="G5" s="26">
        <f>SUM(G9:G33)</f>
        <v>0</v>
      </c>
      <c r="H5" s="22"/>
      <c r="I5" s="43"/>
      <c r="J5" s="23" t="s">
        <v>108</v>
      </c>
      <c r="K5" s="26">
        <f>SUM(K9:K31)</f>
        <v>0</v>
      </c>
      <c r="M5" s="43"/>
      <c r="N5" s="23" t="s">
        <v>108</v>
      </c>
      <c r="O5" s="26">
        <f>SUM(O9:O179)</f>
        <v>0</v>
      </c>
      <c r="Q5" s="43"/>
      <c r="R5" s="23" t="s">
        <v>108</v>
      </c>
      <c r="S5" s="26">
        <f>SUM(S9:S33)</f>
        <v>0</v>
      </c>
      <c r="T5" s="22"/>
      <c r="U5" s="43"/>
      <c r="V5" s="23" t="s">
        <v>108</v>
      </c>
      <c r="W5" s="26">
        <f>SUM(W9:W31)</f>
        <v>0</v>
      </c>
      <c r="Y5" s="43"/>
      <c r="Z5" s="23" t="s">
        <v>108</v>
      </c>
      <c r="AA5" s="26">
        <f>SUM(AA9:AA158)</f>
        <v>0</v>
      </c>
      <c r="AC5" s="43"/>
      <c r="AD5" s="23" t="s">
        <v>108</v>
      </c>
      <c r="AE5" s="26">
        <f>SUM(AE9:AE29)</f>
        <v>0</v>
      </c>
      <c r="AF5" s="22"/>
      <c r="AG5" s="43"/>
      <c r="AH5" s="23" t="s">
        <v>108</v>
      </c>
      <c r="AI5" s="26">
        <f>SUM(AI9:AI29)</f>
        <v>0</v>
      </c>
    </row>
    <row r="7" spans="1:35">
      <c r="A7" s="38" t="s">
        <v>109</v>
      </c>
      <c r="B7" s="38" t="s">
        <v>110</v>
      </c>
      <c r="C7" s="16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185</v>
      </c>
      <c r="B8" s="29"/>
      <c r="C8" s="9"/>
      <c r="E8" s="6"/>
      <c r="F8" s="29"/>
      <c r="G8" s="9"/>
      <c r="I8" s="6"/>
      <c r="J8" s="29"/>
      <c r="K8" s="9"/>
      <c r="M8" s="6"/>
      <c r="N8" s="29"/>
      <c r="O8" s="9"/>
      <c r="Q8" s="6"/>
      <c r="R8" s="29"/>
      <c r="S8" s="9"/>
      <c r="U8" s="6"/>
      <c r="V8" s="29"/>
      <c r="W8" s="9"/>
      <c r="Y8" s="6"/>
      <c r="Z8" s="6"/>
      <c r="AA8" s="9"/>
      <c r="AC8" s="6"/>
      <c r="AD8" s="29"/>
      <c r="AE8" s="9"/>
      <c r="AG8" s="6"/>
      <c r="AH8" s="29"/>
      <c r="AI8" s="9"/>
    </row>
    <row r="9" spans="1:35">
      <c r="A9" s="6"/>
      <c r="B9" s="6"/>
      <c r="C9" s="9"/>
      <c r="E9" s="6"/>
      <c r="F9" s="6"/>
      <c r="G9" s="9"/>
      <c r="I9" s="6"/>
      <c r="J9" s="6"/>
      <c r="K9" s="9"/>
      <c r="M9" s="6"/>
      <c r="N9" s="6"/>
      <c r="O9" s="9"/>
      <c r="Q9" s="6"/>
      <c r="R9" s="6"/>
      <c r="S9" s="9"/>
      <c r="U9" s="6"/>
      <c r="V9" s="6"/>
      <c r="W9" s="9"/>
      <c r="Y9" s="6"/>
      <c r="Z9" s="6"/>
      <c r="AA9" s="9"/>
      <c r="AC9" s="6"/>
      <c r="AD9" s="6"/>
      <c r="AE9" s="9"/>
      <c r="AG9" s="6"/>
      <c r="AH9" s="6"/>
      <c r="AI9" s="9"/>
    </row>
    <row r="10" spans="1:35">
      <c r="A10" s="6"/>
      <c r="B10" s="6"/>
      <c r="C10" s="9"/>
      <c r="E10" s="6"/>
      <c r="F10" s="6"/>
      <c r="G10" s="9"/>
      <c r="I10" s="6"/>
      <c r="J10" s="6"/>
      <c r="K10" s="9"/>
      <c r="M10" s="6"/>
      <c r="N10" s="6"/>
      <c r="O10" s="9"/>
      <c r="Q10" s="6"/>
      <c r="R10" s="6"/>
      <c r="S10" s="9"/>
      <c r="U10" s="6"/>
      <c r="V10" s="6"/>
      <c r="W10" s="9"/>
      <c r="Y10" s="6"/>
      <c r="Z10" s="6"/>
      <c r="AA10" s="9"/>
      <c r="AC10" s="6"/>
      <c r="AD10" s="6"/>
      <c r="AE10" s="9"/>
      <c r="AG10" s="6"/>
      <c r="AH10" s="6"/>
      <c r="AI10" s="9"/>
    </row>
    <row r="11" spans="1:35">
      <c r="A11" s="6"/>
      <c r="B11" s="6"/>
      <c r="C11" s="9"/>
      <c r="E11" s="6"/>
      <c r="F11" s="6"/>
      <c r="G11" s="9"/>
      <c r="I11" s="6"/>
      <c r="J11" s="6"/>
      <c r="K11" s="9"/>
      <c r="M11" s="6"/>
      <c r="N11" s="6"/>
      <c r="O11" s="9"/>
      <c r="Q11" s="6"/>
      <c r="R11" s="6"/>
      <c r="S11" s="9"/>
      <c r="U11" s="6"/>
      <c r="V11" s="6"/>
      <c r="W11" s="9"/>
      <c r="Y11" s="6"/>
      <c r="Z11" s="6"/>
      <c r="AA11" s="9"/>
      <c r="AC11" s="6"/>
      <c r="AD11" s="6"/>
      <c r="AE11" s="9"/>
      <c r="AG11" s="6"/>
      <c r="AH11" s="6"/>
      <c r="AI11" s="9"/>
    </row>
    <row r="12" spans="1:35">
      <c r="A12" s="6"/>
      <c r="B12" s="6"/>
      <c r="C12" s="9"/>
      <c r="E12" s="6"/>
      <c r="F12" s="6"/>
      <c r="G12" s="9"/>
      <c r="I12" s="6"/>
      <c r="J12" s="6"/>
      <c r="K12" s="9"/>
      <c r="M12" s="6"/>
      <c r="N12" s="6"/>
      <c r="O12" s="9"/>
      <c r="Q12" s="6"/>
      <c r="R12" s="6"/>
      <c r="S12" s="9"/>
      <c r="U12" s="6"/>
      <c r="V12" s="6"/>
      <c r="W12" s="9"/>
      <c r="Y12" s="6"/>
      <c r="Z12" s="6"/>
      <c r="AA12" s="9"/>
      <c r="AC12" s="6"/>
      <c r="AD12" s="6"/>
      <c r="AE12" s="9"/>
      <c r="AG12" s="6"/>
      <c r="AH12" s="6"/>
      <c r="AI12" s="9"/>
    </row>
    <row r="13" spans="1:35">
      <c r="A13" s="6"/>
      <c r="B13" s="6"/>
      <c r="C13" s="9"/>
      <c r="E13" s="6"/>
      <c r="F13" s="6"/>
      <c r="G13" s="9"/>
      <c r="I13" s="6"/>
      <c r="J13" s="6"/>
      <c r="K13" s="9"/>
      <c r="M13" s="6"/>
      <c r="N13" s="6"/>
      <c r="O13" s="9"/>
      <c r="Q13" s="6"/>
      <c r="R13" s="6"/>
      <c r="S13" s="9"/>
      <c r="U13" s="6"/>
      <c r="V13" s="6"/>
      <c r="W13" s="9"/>
      <c r="Y13" s="6"/>
      <c r="Z13" s="6"/>
      <c r="AA13" s="9"/>
      <c r="AC13" s="6"/>
      <c r="AD13" s="6"/>
      <c r="AE13" s="9"/>
      <c r="AG13" s="6"/>
      <c r="AH13" s="6"/>
      <c r="AI13" s="9"/>
    </row>
    <row r="14" spans="1:35">
      <c r="A14" s="6"/>
      <c r="B14" s="6"/>
      <c r="C14" s="9"/>
      <c r="E14" s="6"/>
      <c r="F14" s="6"/>
      <c r="G14" s="9"/>
      <c r="I14" s="6"/>
      <c r="J14" s="6"/>
      <c r="K14" s="9"/>
      <c r="M14" s="6"/>
      <c r="N14" s="6"/>
      <c r="O14" s="9"/>
      <c r="Q14" s="6"/>
      <c r="R14" s="6"/>
      <c r="S14" s="9"/>
      <c r="U14" s="6"/>
      <c r="V14" s="6"/>
      <c r="W14" s="30"/>
      <c r="Y14" s="6"/>
      <c r="Z14" s="6"/>
      <c r="AA14" s="9"/>
      <c r="AC14" s="6"/>
      <c r="AD14" s="6"/>
      <c r="AE14" s="9"/>
      <c r="AG14" s="6"/>
      <c r="AH14" s="6"/>
      <c r="AI14" s="9"/>
    </row>
    <row r="15" spans="1:35">
      <c r="A15" s="6"/>
      <c r="B15" s="6"/>
      <c r="C15" s="9"/>
      <c r="E15" s="6"/>
      <c r="F15" s="6"/>
      <c r="G15" s="9"/>
      <c r="I15" s="6"/>
      <c r="J15" s="6"/>
      <c r="K15" s="30"/>
      <c r="M15" s="6"/>
      <c r="N15" s="6"/>
      <c r="O15" s="9"/>
      <c r="Q15" s="6"/>
      <c r="R15" s="6"/>
      <c r="S15" s="30"/>
      <c r="Y15" s="6"/>
      <c r="Z15" s="6"/>
      <c r="AA15" s="9"/>
      <c r="AC15" s="6"/>
      <c r="AD15" s="6"/>
      <c r="AE15" s="9"/>
      <c r="AG15" s="6"/>
      <c r="AH15" s="6"/>
      <c r="AI15" s="30"/>
    </row>
    <row r="16" spans="1:35">
      <c r="A16" s="6"/>
      <c r="B16" s="6"/>
      <c r="C16" s="9"/>
      <c r="E16" s="6"/>
      <c r="F16" s="6"/>
      <c r="G16" s="30"/>
      <c r="I16" s="6"/>
      <c r="J16" s="6"/>
      <c r="K16" s="30"/>
      <c r="M16" s="6"/>
      <c r="N16" s="6"/>
      <c r="O16" s="9"/>
      <c r="Q16" s="6"/>
      <c r="R16" s="6"/>
      <c r="S16" s="30"/>
      <c r="Y16" s="6"/>
      <c r="Z16" s="6"/>
      <c r="AA16" s="9"/>
      <c r="AC16" s="6"/>
      <c r="AD16" s="6"/>
      <c r="AE16" s="30"/>
      <c r="AG16" s="6"/>
      <c r="AH16" s="6"/>
      <c r="AI16" s="30"/>
    </row>
    <row r="17" spans="1:31">
      <c r="A17" s="6"/>
      <c r="B17" s="6"/>
      <c r="C17" s="9"/>
      <c r="E17" s="6"/>
      <c r="F17" s="6"/>
      <c r="G17" s="30"/>
      <c r="M17" s="6"/>
      <c r="N17" s="6"/>
      <c r="O17" s="9"/>
      <c r="Q17" s="6"/>
      <c r="R17" s="6"/>
      <c r="S17" s="30"/>
      <c r="Y17" s="6"/>
      <c r="Z17" s="6"/>
      <c r="AA17" s="9"/>
      <c r="AC17" s="6"/>
      <c r="AD17" s="6"/>
      <c r="AE17" s="30"/>
    </row>
    <row r="18" spans="1:31">
      <c r="A18" s="6"/>
      <c r="B18" s="6"/>
      <c r="C18" s="9"/>
      <c r="E18" s="6"/>
      <c r="F18" s="6"/>
      <c r="G18" s="30"/>
      <c r="M18" s="6"/>
      <c r="N18" s="6"/>
      <c r="O18" s="9"/>
      <c r="Q18" s="6"/>
      <c r="R18" s="6"/>
      <c r="S18" s="30"/>
      <c r="Y18" s="6"/>
      <c r="Z18" s="6"/>
      <c r="AA18" s="9"/>
      <c r="AC18" s="6"/>
      <c r="AD18" s="6"/>
      <c r="AE18" s="30"/>
    </row>
    <row r="19" spans="1:31">
      <c r="A19" s="6"/>
      <c r="B19" s="6"/>
      <c r="C19" s="9"/>
      <c r="E19" s="6"/>
      <c r="F19" s="6"/>
      <c r="G19" s="30"/>
      <c r="M19" s="6"/>
      <c r="N19" s="6"/>
      <c r="O19" s="9"/>
      <c r="Q19" s="6"/>
      <c r="R19" s="6"/>
      <c r="S19" s="30"/>
      <c r="Y19" s="6"/>
      <c r="Z19" s="6"/>
      <c r="AA19" s="9"/>
      <c r="AC19" s="6"/>
      <c r="AD19" s="6"/>
      <c r="AE19" s="30"/>
    </row>
    <row r="20" spans="1:31">
      <c r="A20" s="6"/>
      <c r="B20" s="6"/>
      <c r="C20" s="9"/>
      <c r="E20" s="6"/>
      <c r="F20" s="6"/>
      <c r="G20" s="30"/>
      <c r="M20" s="6"/>
      <c r="N20" s="6"/>
      <c r="O20" s="9"/>
      <c r="Y20" s="6"/>
      <c r="Z20" s="6"/>
      <c r="AA20" s="9"/>
      <c r="AC20" s="6"/>
      <c r="AD20" s="6"/>
      <c r="AE20" s="30"/>
    </row>
    <row r="21" spans="1:31">
      <c r="A21" s="6"/>
      <c r="B21" s="6"/>
      <c r="C21" s="9"/>
      <c r="E21" s="6"/>
      <c r="F21" s="6"/>
      <c r="G21" s="30"/>
      <c r="M21" s="6"/>
      <c r="N21" s="6"/>
      <c r="O21" s="9"/>
      <c r="Y21" s="6"/>
      <c r="Z21" s="6"/>
      <c r="AA21" s="9"/>
      <c r="AC21" s="6"/>
      <c r="AD21" s="6"/>
      <c r="AE21" s="30"/>
    </row>
    <row r="22" spans="1:31">
      <c r="A22" s="6"/>
      <c r="B22" s="6"/>
      <c r="C22" s="9"/>
      <c r="E22" s="6"/>
      <c r="F22" s="6"/>
      <c r="G22" s="30"/>
      <c r="M22" s="6"/>
      <c r="N22" s="6"/>
      <c r="O22" s="9"/>
      <c r="Y22" s="6"/>
      <c r="Z22" s="6"/>
      <c r="AA22" s="9"/>
    </row>
    <row r="23" spans="1:31">
      <c r="A23" s="6"/>
      <c r="B23" s="6"/>
      <c r="C23" s="9"/>
      <c r="E23" s="6"/>
      <c r="F23" s="6"/>
      <c r="G23" s="30"/>
      <c r="M23" s="6"/>
      <c r="N23" s="6"/>
      <c r="O23" s="9"/>
      <c r="Y23" s="6"/>
      <c r="Z23" s="6"/>
      <c r="AA23" s="9"/>
    </row>
    <row r="24" spans="1:31">
      <c r="A24" s="6"/>
      <c r="B24" s="6"/>
      <c r="C24" s="9"/>
      <c r="M24" s="6"/>
      <c r="N24" s="6"/>
      <c r="O24" s="9"/>
      <c r="Y24" s="6"/>
      <c r="Z24" s="6"/>
      <c r="AA24" s="9"/>
    </row>
    <row r="25" spans="1:31">
      <c r="A25" s="6"/>
      <c r="B25" s="6"/>
      <c r="C25" s="9"/>
      <c r="M25" s="6"/>
      <c r="N25" s="6"/>
      <c r="O25" s="9"/>
      <c r="Y25" s="6"/>
      <c r="Z25" s="6"/>
      <c r="AA25" s="9"/>
    </row>
    <row r="26" spans="1:31">
      <c r="A26" s="6"/>
      <c r="B26" s="6"/>
      <c r="C26" s="9"/>
      <c r="M26" s="6"/>
      <c r="N26" s="6"/>
      <c r="O26" s="9"/>
      <c r="Y26" s="6"/>
      <c r="Z26" s="6"/>
      <c r="AA26" s="9"/>
    </row>
    <row r="27" spans="1:31">
      <c r="A27" s="6"/>
      <c r="B27" s="6"/>
      <c r="C27" s="9"/>
      <c r="M27" s="6"/>
      <c r="N27" s="6"/>
      <c r="O27" s="9"/>
      <c r="Y27" s="6"/>
      <c r="Z27" s="6"/>
      <c r="AA27" s="9"/>
    </row>
    <row r="28" spans="1:31">
      <c r="A28" s="6"/>
      <c r="B28" s="6"/>
      <c r="C28" s="9"/>
      <c r="M28" s="6"/>
      <c r="N28" s="6"/>
      <c r="O28" s="9"/>
      <c r="Y28" s="6"/>
      <c r="Z28" s="6"/>
      <c r="AA28" s="9"/>
    </row>
    <row r="29" spans="1:31">
      <c r="A29" s="6"/>
      <c r="B29" s="6"/>
      <c r="C29" s="9"/>
      <c r="M29" s="6"/>
      <c r="N29" s="6"/>
      <c r="O29" s="9"/>
      <c r="Y29" s="6"/>
      <c r="Z29" s="6"/>
      <c r="AA29" s="9"/>
    </row>
    <row r="30" spans="1:31">
      <c r="A30" s="6"/>
      <c r="B30" s="6"/>
      <c r="C30" s="9"/>
      <c r="M30" s="6"/>
      <c r="N30" s="6"/>
      <c r="O30" s="9"/>
      <c r="Y30" s="6"/>
      <c r="Z30" s="6"/>
      <c r="AA30" s="9"/>
    </row>
    <row r="31" spans="1:31">
      <c r="A31" s="6"/>
      <c r="B31" s="6"/>
      <c r="C31" s="9"/>
      <c r="M31" s="6"/>
      <c r="N31" s="6"/>
      <c r="O31" s="9"/>
      <c r="Y31" s="6"/>
      <c r="Z31" s="6"/>
      <c r="AA31" s="9"/>
    </row>
    <row r="32" spans="1:31">
      <c r="A32" s="6"/>
      <c r="B32" s="6"/>
      <c r="C32" s="9"/>
      <c r="M32" s="6"/>
      <c r="N32" s="6"/>
      <c r="O32" s="9"/>
      <c r="Y32" s="6"/>
      <c r="Z32" s="6"/>
      <c r="AA32" s="9"/>
    </row>
    <row r="33" spans="1:27">
      <c r="A33" s="6"/>
      <c r="B33" s="6"/>
      <c r="C33" s="9"/>
      <c r="M33" s="6"/>
      <c r="N33" s="6"/>
      <c r="O33" s="9"/>
      <c r="Y33" s="6"/>
      <c r="Z33" s="6"/>
      <c r="AA33" s="9"/>
    </row>
    <row r="34" spans="1:27">
      <c r="A34" s="6"/>
      <c r="B34" s="6"/>
      <c r="C34" s="9"/>
      <c r="M34" s="6"/>
      <c r="N34" s="6"/>
      <c r="O34" s="30"/>
      <c r="Y34" s="6"/>
      <c r="Z34" s="6"/>
      <c r="AA34" s="9"/>
    </row>
    <row r="35" spans="1:27">
      <c r="A35" s="6"/>
      <c r="B35" s="6"/>
      <c r="C35" s="9"/>
      <c r="M35" s="6"/>
      <c r="N35" s="6"/>
      <c r="O35" s="30"/>
      <c r="Y35" s="6"/>
      <c r="Z35" s="6"/>
      <c r="AA35" s="9"/>
    </row>
    <row r="36" spans="1:27">
      <c r="A36" s="6"/>
      <c r="B36" s="6"/>
      <c r="C36" s="9"/>
      <c r="M36" s="6"/>
      <c r="N36" s="6"/>
      <c r="O36" s="30"/>
      <c r="Y36" s="6"/>
      <c r="Z36" s="6"/>
      <c r="AA36" s="9"/>
    </row>
    <row r="37" spans="1:27">
      <c r="A37" s="6"/>
      <c r="B37" s="6"/>
      <c r="C37" s="9"/>
      <c r="M37" s="6"/>
      <c r="N37" s="6"/>
      <c r="O37" s="30"/>
      <c r="Y37" s="6"/>
      <c r="Z37" s="6"/>
      <c r="AA37" s="9"/>
    </row>
    <row r="38" spans="1:27">
      <c r="A38" s="6"/>
      <c r="B38" s="6"/>
      <c r="C38" s="9"/>
      <c r="M38" s="6"/>
      <c r="N38" s="6"/>
      <c r="O38" s="30"/>
      <c r="Y38" s="6"/>
      <c r="Z38" s="6"/>
      <c r="AA38" s="9"/>
    </row>
    <row r="39" spans="1:27">
      <c r="A39" s="6"/>
      <c r="B39" s="6"/>
      <c r="C39" s="9"/>
      <c r="M39" s="6"/>
      <c r="N39" s="6"/>
      <c r="O39" s="30"/>
      <c r="Y39" s="6"/>
      <c r="Z39" s="6"/>
      <c r="AA39" s="9"/>
    </row>
    <row r="40" spans="1:27">
      <c r="A40" s="6"/>
      <c r="B40" s="6"/>
      <c r="C40" s="9"/>
      <c r="M40" s="6"/>
      <c r="N40" s="6"/>
      <c r="O40" s="30"/>
      <c r="Y40" s="6"/>
      <c r="Z40" s="6"/>
      <c r="AA40" s="9"/>
    </row>
    <row r="41" spans="1:27">
      <c r="A41" s="6"/>
      <c r="B41" s="6"/>
      <c r="C41" s="30"/>
      <c r="M41" s="6"/>
      <c r="N41" s="6"/>
      <c r="O41" s="30"/>
      <c r="Y41" s="6"/>
      <c r="Z41" s="6"/>
      <c r="AA41" s="9"/>
    </row>
    <row r="42" spans="1:27">
      <c r="A42" s="6"/>
      <c r="B42" s="6"/>
      <c r="C42" s="30"/>
      <c r="M42" s="6"/>
      <c r="N42" s="6"/>
      <c r="O42" s="30"/>
      <c r="Y42" s="6"/>
      <c r="Z42" s="6"/>
      <c r="AA42" s="9"/>
    </row>
    <row r="43" spans="1:27">
      <c r="A43" s="6"/>
      <c r="B43" s="6"/>
      <c r="C43" s="30"/>
      <c r="M43" s="6"/>
      <c r="N43" s="6"/>
      <c r="O43" s="30"/>
      <c r="Y43" s="6"/>
      <c r="Z43" s="6"/>
      <c r="AA43" s="9"/>
    </row>
    <row r="44" spans="1:27">
      <c r="A44" s="6"/>
      <c r="B44" s="6"/>
      <c r="C44" s="30"/>
      <c r="M44" s="6"/>
      <c r="N44" s="6"/>
      <c r="O44" s="30"/>
      <c r="Y44" s="6"/>
      <c r="Z44" s="6"/>
      <c r="AA44" s="9"/>
    </row>
    <row r="45" spans="1:27">
      <c r="A45" s="6"/>
      <c r="B45" s="6"/>
      <c r="C45" s="30"/>
      <c r="M45" s="6"/>
      <c r="N45" s="6"/>
      <c r="O45" s="30"/>
      <c r="Y45" s="6"/>
      <c r="Z45" s="6"/>
      <c r="AA45" s="9"/>
    </row>
    <row r="46" spans="1:27">
      <c r="A46" s="6"/>
      <c r="B46" s="6"/>
      <c r="C46" s="30"/>
      <c r="Y46" s="6"/>
      <c r="Z46" s="6"/>
      <c r="AA46" s="9"/>
    </row>
    <row r="47" spans="1:27">
      <c r="A47" s="6"/>
      <c r="B47" s="6"/>
      <c r="C47" s="30"/>
      <c r="Y47" s="6"/>
      <c r="Z47" s="6"/>
      <c r="AA47" s="9"/>
    </row>
    <row r="48" spans="1:27">
      <c r="A48" s="6"/>
      <c r="B48" s="6"/>
      <c r="C48" s="30"/>
      <c r="Y48" s="6"/>
      <c r="Z48" s="6"/>
      <c r="AA48" s="9"/>
    </row>
    <row r="49" spans="1:27">
      <c r="A49" s="6"/>
      <c r="B49" s="6"/>
      <c r="C49" s="30"/>
      <c r="Y49" s="6"/>
      <c r="Z49" s="6"/>
      <c r="AA49" s="9"/>
    </row>
    <row r="50" spans="1:27">
      <c r="A50" s="6"/>
      <c r="B50" s="6"/>
      <c r="C50" s="30"/>
      <c r="Y50" s="6"/>
      <c r="Z50" s="6"/>
      <c r="AA50" s="9"/>
    </row>
    <row r="51" spans="1:27">
      <c r="A51" s="6"/>
      <c r="B51" s="6"/>
      <c r="C51" s="30"/>
      <c r="Y51" s="6"/>
      <c r="Z51" s="6"/>
      <c r="AA51" s="9"/>
    </row>
    <row r="52" spans="1:27">
      <c r="A52" s="6"/>
      <c r="B52" s="6"/>
      <c r="C52" s="30"/>
      <c r="Y52" s="6"/>
      <c r="Z52" s="6"/>
      <c r="AA52" s="9"/>
    </row>
    <row r="53" spans="1:27">
      <c r="A53" s="6"/>
      <c r="B53" s="6"/>
      <c r="C53" s="30"/>
      <c r="Y53" s="6"/>
      <c r="Z53" s="6"/>
      <c r="AA53" s="9"/>
    </row>
    <row r="54" spans="1:27">
      <c r="A54" s="6"/>
      <c r="B54" s="6"/>
      <c r="C54" s="30"/>
      <c r="Y54" s="6"/>
      <c r="Z54" s="6"/>
      <c r="AA54" s="9"/>
    </row>
    <row r="55" spans="1:27">
      <c r="A55" s="6"/>
      <c r="B55" s="6"/>
      <c r="C55" s="30"/>
      <c r="Y55" s="6"/>
      <c r="Z55" s="6"/>
      <c r="AA55" s="9"/>
    </row>
    <row r="56" spans="1:27">
      <c r="A56" s="6"/>
      <c r="B56" s="6"/>
      <c r="C56" s="30"/>
      <c r="Y56" s="6"/>
      <c r="Z56" s="6"/>
      <c r="AA56" s="9"/>
    </row>
    <row r="57" spans="1:27">
      <c r="A57" s="6"/>
      <c r="B57" s="6"/>
      <c r="C57" s="30"/>
      <c r="Y57" s="6"/>
      <c r="Z57" s="6"/>
      <c r="AA57" s="9"/>
    </row>
    <row r="58" spans="1:27">
      <c r="A58" s="6"/>
      <c r="B58" s="6"/>
      <c r="C58" s="30"/>
      <c r="Y58" s="6"/>
      <c r="Z58" s="6"/>
      <c r="AA58" s="9"/>
    </row>
    <row r="59" spans="1:27">
      <c r="A59" s="6"/>
      <c r="B59" s="6"/>
      <c r="C59" s="30"/>
      <c r="Y59" s="6"/>
      <c r="Z59" s="6"/>
      <c r="AA59" s="9"/>
    </row>
    <row r="60" spans="1:27">
      <c r="A60" s="6"/>
      <c r="B60" s="6"/>
      <c r="C60" s="30"/>
      <c r="Y60" s="6"/>
      <c r="Z60" s="6"/>
      <c r="AA60" s="9"/>
    </row>
    <row r="61" spans="1:27">
      <c r="A61" s="6"/>
      <c r="B61" s="6"/>
      <c r="C61" s="30"/>
      <c r="Y61" s="6"/>
      <c r="Z61" s="6"/>
      <c r="AA61" s="9"/>
    </row>
    <row r="62" spans="1:27">
      <c r="A62" s="6"/>
      <c r="B62" s="6"/>
      <c r="C62" s="30"/>
      <c r="Y62" s="6"/>
      <c r="Z62" s="6"/>
      <c r="AA62" s="34"/>
    </row>
    <row r="63" spans="1:27">
      <c r="A63" s="6"/>
      <c r="B63" s="6"/>
      <c r="C63" s="30"/>
    </row>
    <row r="64" spans="1:27">
      <c r="A64" s="6"/>
      <c r="B64" s="6"/>
      <c r="C64" s="30"/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Sheet1</vt:lpstr>
      <vt:lpstr>Summary (New)</vt:lpstr>
      <vt:lpstr>1.Aug</vt:lpstr>
      <vt:lpstr>2.Aug</vt:lpstr>
      <vt:lpstr>3.Aug</vt:lpstr>
      <vt:lpstr>4.Aug</vt:lpstr>
      <vt:lpstr>5.Aug</vt:lpstr>
      <vt:lpstr>6.Aug</vt:lpstr>
      <vt:lpstr>7.Aug</vt:lpstr>
      <vt:lpstr>8.Aug</vt:lpstr>
      <vt:lpstr>9.Aug</vt:lpstr>
      <vt:lpstr>10.Aug</vt:lpstr>
      <vt:lpstr>11.Aug</vt:lpstr>
      <vt:lpstr>12.Aug</vt:lpstr>
      <vt:lpstr>13.Aug</vt:lpstr>
      <vt:lpstr>14.Aug</vt:lpstr>
      <vt:lpstr>15.Aug</vt:lpstr>
      <vt:lpstr>16.Aug</vt:lpstr>
      <vt:lpstr>17.Aug</vt:lpstr>
      <vt:lpstr>18.Aug</vt:lpstr>
      <vt:lpstr>19.Aug</vt:lpstr>
      <vt:lpstr>20.Aug</vt:lpstr>
      <vt:lpstr>21.Aug</vt:lpstr>
      <vt:lpstr>22.Aug</vt:lpstr>
      <vt:lpstr>23.Aug</vt:lpstr>
      <vt:lpstr>24.Aug</vt:lpstr>
      <vt:lpstr>25.Aug</vt:lpstr>
      <vt:lpstr>26.Aug</vt:lpstr>
      <vt:lpstr>27.Aug</vt:lpstr>
      <vt:lpstr>28.Aug</vt:lpstr>
      <vt:lpstr>29.Aug</vt:lpstr>
      <vt:lpstr>30.Aug</vt:lpstr>
      <vt:lpstr>31.Aug</vt:lpstr>
      <vt:lpstr>1.Sep</vt:lpstr>
      <vt:lpstr>2.Sep</vt:lpstr>
      <vt:lpstr>3.Sep</vt:lpstr>
      <vt:lpstr>4.Sep</vt:lpstr>
      <vt:lpstr>5.Sep</vt:lpstr>
      <vt:lpstr>6.Sep</vt:lpstr>
      <vt:lpstr>7.Sep</vt:lpstr>
      <vt:lpstr>8.Sep</vt:lpstr>
      <vt:lpstr>9.Sep</vt:lpstr>
      <vt:lpstr>10.Sep</vt:lpstr>
      <vt:lpstr>11.Sep</vt:lpstr>
      <vt:lpstr>12.Sep</vt:lpstr>
      <vt:lpstr>13.Sep</vt:lpstr>
      <vt:lpstr>14.Sep</vt:lpstr>
      <vt:lpstr>15.Sep</vt:lpstr>
      <vt:lpstr>16.Sep</vt:lpstr>
      <vt:lpstr>17.Sep</vt:lpstr>
      <vt:lpstr>18.Sep</vt:lpstr>
      <vt:lpstr>19.Sep</vt:lpstr>
      <vt:lpstr>20.Sep</vt:lpstr>
      <vt:lpstr>21.Sep</vt:lpstr>
      <vt:lpstr>22.Sep</vt:lpstr>
      <vt:lpstr>23.Sep</vt:lpstr>
      <vt:lpstr>24.Sep</vt:lpstr>
      <vt:lpstr>4.Oct</vt:lpstr>
      <vt:lpstr>Data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2022-10-03T01:41:08Z</dcterms:modified>
</cp:coreProperties>
</file>