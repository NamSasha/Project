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<sst xmlns="http://schemas.openxmlformats.org/spreadsheetml/2006/main" count="1419" uniqueCount="671">
  <si>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</si>
  <si>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</si>
  <si>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</si>
  <si>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</si>
  <si>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</si>
  <si>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</si>
  <si>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</si>
  <si>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</si>
  <si>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</si>
  <si>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</si>
  <si>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</si>
  <si>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</si>
  <si>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</si>
  <si>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</si>
  <si>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</si>
  <si>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</si>
  <si>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</si>
  <si>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</si>
  <si>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</si>
  <si>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</si>
  <si>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</si>
  <si>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</si>
  <si>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</si>
  <si>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</si>
  <si>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</si>
  <si>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</si>
  <si>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</si>
  <si>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</si>
  <si>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</si>
  <si>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</si>
  <si>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</si>
  <si>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</si>
  <si>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</si>
  <si>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</si>
  <si>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</si>
  <si>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</si>
  <si>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</si>
  <si>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</si>
  <si>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</si>
  <si>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</si>
  <si>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</si>
  <si>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</si>
  <si>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</si>
  <si>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</si>
  <si>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</si>
  <si>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</si>
  <si>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</si>
  <si>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</si>
  <si>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</si>
  <si>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</si>
  <si>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</si>
  <si>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</si>
  <si>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</si>
  <si>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</si>
  <si>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</si>
  <si>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</si>
  <si>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</si>
  <si>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</si>
  <si>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</si>
  <si>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</si>
  <si>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</si>
  <si>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</si>
  <si>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</si>
  <si>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</si>
  <si>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</si>
  <si>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</si>
  <si>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</si>
  <si>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</si>
  <si>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</si>
  <si>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</si>
  <si>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</si>
  <si>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</si>
  <si>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</si>
  <si>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</si>
  <si>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</si>
  <si>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</si>
  <si>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</si>
  <si>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</si>
  <si>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</si>
  <si>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</si>
  <si>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</si>
  <si>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</si>
  <si>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</si>
  <si>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</si>
  <si>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</si>
  <si>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</si>
  <si>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</si>
  <si>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</si>
  <si>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</si>
  <si>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</si>
  <si>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</si>
  <si>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</si>
  <si>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</si>
  <si>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</si>
  <si>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</si>
  <si>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</si>
  <si>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</si>
  <si>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</si>
  <si>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</si>
  <si>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</si>
  <si>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</si>
  <si>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</si>
  <si>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</si>
  <si>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</si>
  <si>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</si>
  <si>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</si>
  <si>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</si>
  <si>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</si>
  <si>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</si>
  <si>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</si>
  <si>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</si>
  <si>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</si>
  <si>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</si>
  <si>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</si>
  <si>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</si>
  <si>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</si>
  <si>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</si>
  <si>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</si>
  <si>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</si>
  <si>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</si>
  <si>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</si>
  <si>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</si>
  <si>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</si>
  <si>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</si>
  <si>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</si>
  <si>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</si>
  <si>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</si>
  <si>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</si>
  <si>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</si>
  <si>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</si>
  <si>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</si>
  <si>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</si>
  <si>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</si>
  <si>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</si>
  <si>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</si>
  <si>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</si>
  <si>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</si>
  <si>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</si>
  <si>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</si>
  <si>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</si>
  <si>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</si>
  <si>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</si>
  <si>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</si>
  <si>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</si>
  <si>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</si>
  <si>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</si>
  <si>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</si>
  <si>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</si>
  <si>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</si>
  <si>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</si>
  <si>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</si>
  <si>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</si>
  <si>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</si>
  <si>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</si>
  <si>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</si>
  <si>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</si>
  <si>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</si>
  <si>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</si>
  <si>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</si>
  <si>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</si>
  <si>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</si>
  <si>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</si>
  <si>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</si>
  <si>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</si>
  <si>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</si>
  <si>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</si>
  <si>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</si>
  <si>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</si>
  <si>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</si>
  <si>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</si>
  <si>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</si>
  <si>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</si>
  <si>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VSY832ZN9P06_2022092319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</si>
  <si>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</si>
  <si>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</si>
  <si>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</si>
  <si>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</si>
  <si>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</si>
  <si>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</si>
  <si>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</si>
  <si>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</si>
  <si>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</si>
  <si>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</si>
  <si>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</si>
  <si>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</si>
  <si>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</si>
  <si>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</si>
  <si>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</si>
  <si>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</si>
  <si>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</si>
  <si>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</si>
  <si>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</si>
  <si>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</si>
  <si>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</si>
  <si>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</si>
  <si>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</si>
  <si>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</si>
  <si>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</si>
  <si>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</si>
  <si>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</si>
  <si>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</si>
  <si>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</si>
  <si>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</si>
  <si>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</si>
  <si>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</si>
  <si>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</si>
  <si>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</si>
  <si>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</si>
  <si>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</si>
  <si>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T220923192441588VCMLEBC060</t>
  </si>
  <si>
    <t>'2022-09-23 19:24:50:708</t>
  </si>
  <si>
    <t>VCMLEBC060A</t>
  </si>
  <si>
    <t>DB_C1001</t>
  </si>
  <si>
    <t>210615ADOE</t>
  </si>
  <si>
    <t>R13A_OC_MFG_C10_21091603_b1779c9</t>
  </si>
  <si>
    <t xml:space="preserve"> VSY832ZN9P06</t>
  </si>
  <si>
    <t>22cc41110636</t>
  </si>
  <si>
    <t>0x5240f56287dee207</t>
  </si>
  <si>
    <t>AS4C346183GGA1B29939023112</t>
  </si>
  <si>
    <t>AJ7C3472F4AGB4B3A641</t>
  </si>
  <si>
    <t>DNA22243020940E09A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</si>
  <si>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</si>
  <si>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</si>
  <si>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</si>
  <si>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</si>
  <si>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</si>
  <si>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</si>
  <si>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T220923192603052VCMLEBC060</t>
  </si>
  <si>
    <t>'2022-09-23 19:26:12:400</t>
  </si>
  <si>
    <t>22cc41110291</t>
  </si>
  <si>
    <t>0x5240f56287decf03</t>
  </si>
  <si>
    <t>AS4C346163GAA1B2A142013107</t>
  </si>
  <si>
    <t>AJ7C3472F4APB4B3A630</t>
  </si>
  <si>
    <t>DNA22243020940C10A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</si>
  <si>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</si>
  <si>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</si>
  <si>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</si>
  <si>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</si>
  <si>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</si>
  <si>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</si>
  <si>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</si>
  <si>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</si>
  <si>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</si>
  <si>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</si>
  <si>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</si>
  <si>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</si>
  <si>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</si>
  <si>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</si>
  <si>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</si>
  <si>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</si>
  <si>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</si>
  <si>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</si>
  <si>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</si>
  <si>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</si>
  <si>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</si>
  <si>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</si>
  <si>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</si>
  <si>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</si>
  <si>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</si>
  <si>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</si>
  <si>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</si>
  <si>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</si>
  <si>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</si>
  <si>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</si>
  <si>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</si>
  <si>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T220923192508111VCMLEBC060</t>
  </si>
  <si>
    <t>'2022-09-23 19:25:38:053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</si>
  <si>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</si>
  <si>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</si>
  <si>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</si>
  <si>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</si>
  <si>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</si>
  <si>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</si>
  <si>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</si>
  <si>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</si>
  <si>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</si>
  <si>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</si>
  <si>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</si>
  <si>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</si>
  <si>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</si>
  <si>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</si>
  <si>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</si>
  <si>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</si>
  <si>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19:25:28:026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</si>
  <si>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</si>
  <si>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</si>
  <si>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</si>
  <si>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</si>
  <si>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</si>
  <si>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</si>
  <si>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</si>
  <si>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</si>
  <si>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</si>
  <si>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</si>
  <si>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</si>
  <si>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</si>
  <si>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</si>
  <si>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</si>
  <si>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</si>
  <si>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</si>
  <si>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</si>
  <si>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</si>
  <si>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</si>
  <si>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</si>
  <si>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</si>
  <si>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</si>
  <si>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</si>
  <si>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</si>
  <si>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</si>
  <si>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</si>
  <si>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</si>
  <si>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</si>
  <si>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</si>
  <si>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</si>
  <si>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</si>
  <si>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</si>
  <si>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</si>
  <si>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</si>
  <si>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</si>
  <si>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</si>
  <si>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</si>
  <si>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</si>
  <si>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</si>
  <si>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</si>
  <si>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</si>
  <si>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</si>
  <si>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</si>
  <si>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</si>
  <si>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</si>
  <si>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</si>
  <si>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</si>
  <si>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</si>
  <si>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</si>
  <si>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</si>
  <si>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</si>
  <si>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</si>
  <si>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</si>
  <si>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</si>
  <si>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</si>
  <si>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</si>
  <si>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</si>
  <si>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</si>
  <si>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</si>
  <si>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</si>
  <si>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</si>
  <si>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</si>
  <si>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</si>
  <si>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</si>
  <si>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</si>
  <si>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</si>
  <si>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</si>
  <si>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</si>
  <si>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</si>
  <si>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</si>
  <si>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</si>
  <si>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</si>
  <si>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</si>
  <si>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</si>
  <si>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</si>
  <si>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</si>
  <si>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</si>
  <si>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</si>
  <si>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</si>
  <si>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</si>
  <si>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</si>
  <si>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</si>
  <si>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</si>
  <si>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</si>
  <si>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</si>
  <si>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</si>
  <si>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</si>
  <si>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</si>
  <si>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</si>
  <si>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</si>
  <si>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</si>
  <si>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</si>
  <si>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</si>
  <si>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</si>
  <si>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</si>
  <si>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</si>
  <si>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</si>
  <si>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</si>
  <si>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</si>
  <si>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</si>
  <si>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</si>
  <si>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</si>
  <si>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</si>
  <si>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</si>
  <si>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</si>
  <si>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</si>
  <si>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</si>
  <si>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</si>
  <si>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</si>
  <si>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</si>
  <si>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</si>
  <si>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</si>
  <si>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</si>
  <si>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</si>
  <si>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</si>
  <si>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</si>
  <si>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</si>
  <si>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</si>
  <si>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</si>
  <si>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</si>
  <si>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</si>
  <si>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</si>
  <si>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</si>
  <si>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</si>
  <si>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</si>
  <si>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</si>
  <si>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</si>
  <si>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</si>
  <si>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</si>
  <si>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</si>
  <si>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</si>
  <si>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</si>
  <si>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</si>
  <si>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</si>
  <si>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</si>
  <si>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</si>
  <si>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</si>
  <si>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</si>
  <si>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</si>
  <si>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</si>
  <si>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</si>
  <si>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</si>
  <si>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</si>
  <si>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</si>
  <si>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</si>
  <si>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</si>
  <si>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</si>
  <si>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</si>
  <si>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</si>
  <si>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</si>
  <si>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</si>
  <si>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</si>
  <si>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</si>
  <si>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</si>
  <si>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</si>
  <si>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</si>
  <si>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</si>
  <si>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</si>
  <si>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</si>
  <si>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</si>
  <si>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</si>
  <si>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</si>
  <si>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</si>
  <si>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</si>
  <si>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</si>
  <si>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</si>
  <si>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</si>
  <si>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</si>
  <si>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</si>
  <si>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</si>
  <si>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</si>
  <si>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</si>
  <si>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</si>
  <si>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</si>
  <si>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</si>
  <si>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</si>
  <si>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</si>
  <si>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</si>
  <si>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</si>
  <si>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</si>
  <si>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</si>
  <si>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</si>
  <si>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</si>
  <si>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</si>
  <si>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</si>
  <si>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</si>
  <si>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</si>
  <si>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</si>
  <si>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</si>
  <si>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</si>
  <si>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</si>
  <si>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</si>
  <si>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</si>
  <si>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</si>
  <si>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</si>
  <si>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</si>
  <si>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</si>
  <si>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</si>
  <si>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</si>
  <si>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</si>
  <si>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</si>
  <si>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</si>
  <si>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</si>
  <si>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</si>
  <si>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</si>
  <si>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</si>
  <si>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</si>
  <si>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</si>
  <si>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</si>
  <si>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</si>
  <si>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</si>
  <si>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</si>
  <si>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</si>
  <si>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</si>
  <si>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</si>
  <si>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</si>
  <si>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</si>
  <si>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</si>
  <si>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</si>
  <si>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</si>
  <si>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</si>
  <si>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</si>
  <si>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</si>
  <si>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</si>
  <si>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</si>
  <si>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</si>
  <si>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</si>
  <si>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</si>
  <si>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</si>
  <si>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</si>
  <si>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</si>
  <si>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</si>
  <si>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</si>
  <si>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</si>
  <si>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</si>
  <si>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</si>
  <si>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</si>
  <si>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</si>
  <si>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</si>
  <si>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</si>
  <si>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</si>
  <si>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</si>
  <si>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</si>
  <si>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</si>
  <si>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</si>
  <si>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</si>
  <si>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</si>
  <si>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</si>
  <si>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</si>
  <si>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</si>
  <si>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</si>
  <si>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</si>
  <si>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</si>
  <si>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</si>
  <si>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</si>
  <si>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</si>
  <si>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</si>
  <si>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T220923192453350VCMLEBC060</t>
  </si>
  <si>
    <t>'2022-09-23 19:25:05:887</t>
  </si>
  <si>
    <t>R13A_IPQC_MFG_Laser_C10_21090805_b1779c9</t>
  </si>
  <si>
    <t>v9p4</t>
  </si>
  <si>
    <t>AG</t>
  </si>
  <si>
    <t>T220923192719959VCMLEBC060</t>
  </si>
  <si>
    <t>'2022-09-23 19:27:29:209</t>
  </si>
  <si>
    <t>22cc41110488</t>
  </si>
  <si>
    <t>0x5240f56287dedd07</t>
  </si>
  <si>
    <t>AS4C346163HFA1B2A233019118</t>
  </si>
  <si>
    <t>AJ7C3472F4AJB2B3A641</t>
  </si>
  <si>
    <t>DNA22243020940F03A</t>
  </si>
  <si>
    <t>T220923192833597VCMLEBC060</t>
  </si>
  <si>
    <t>'2022-09-23 19:28:42:433</t>
  </si>
  <si>
    <t>22cc41110666</t>
  </si>
  <si>
    <t>0x5240f56287deea01</t>
  </si>
  <si>
    <t>AS4C346183GCA1B2A135110100</t>
  </si>
  <si>
    <t>AJ7C3473049AB1B3A633</t>
  </si>
  <si>
    <t>DNA22243020940E02A</t>
  </si>
  <si>
    <t>T220923192943028VCMLEBC060</t>
  </si>
  <si>
    <t>'2022-09-23 19:29:51:937</t>
  </si>
  <si>
    <t>22cc41110518</t>
  </si>
  <si>
    <t>0x5240f56287ded105</t>
  </si>
  <si>
    <t>AS4C346183GFA1B29840009116</t>
  </si>
  <si>
    <t>AJ7C3472F4ALB3B3A636</t>
  </si>
  <si>
    <t>DNA22243020940E04A</t>
  </si>
  <si>
    <t>T220923193050032VCMLEBC060</t>
  </si>
  <si>
    <t>'2022-09-23 19:30:58:839</t>
  </si>
  <si>
    <t>22cc41110147</t>
  </si>
  <si>
    <t>0x5240f56287dee001</t>
  </si>
  <si>
    <t>AS4C346173G9A1B29833008115</t>
  </si>
  <si>
    <t>AJ7C3472F4AKB4B3A643</t>
  </si>
  <si>
    <t>DNA22243020940E01A</t>
  </si>
  <si>
    <t>T220923192629893VCMLEBC060</t>
  </si>
  <si>
    <t>'2022-09-23 19:26:59:812</t>
  </si>
  <si>
    <t>T220923192746576VCMLEBC060</t>
  </si>
  <si>
    <t>'2022-09-23 19:28:16:795</t>
  </si>
  <si>
    <t>T220923192859839VCMLEBC060</t>
  </si>
  <si>
    <t>'2022-09-23 19:29:29:719</t>
  </si>
  <si>
    <t>T220923193009366VCMLEBC060</t>
  </si>
  <si>
    <t>'2022-09-23 19:30:39:007</t>
  </si>
  <si>
    <t>'2022-09-23 19:26:49:783</t>
  </si>
  <si>
    <t>'2022-09-23 19:28:06:770</t>
  </si>
  <si>
    <t>'2022-09-23 19:29:19:688</t>
  </si>
  <si>
    <t>'2022-09-23 19:30:28:981</t>
  </si>
  <si>
    <t>T220923192615129VCMLEBC060</t>
  </si>
  <si>
    <t>'2022-09-23 19:26:27:664</t>
  </si>
  <si>
    <t>T220923192731854VCMLEBC060</t>
  </si>
  <si>
    <t>'2022-09-23 19:27:44:392</t>
  </si>
  <si>
    <t>T220923192845078VCMLEBC060</t>
  </si>
  <si>
    <t>'2022-09-23 19:28:57:612</t>
  </si>
  <si>
    <t>T220923192954605VCMLEBC060</t>
  </si>
  <si>
    <t>'2022-09-23 19:30:07:141</t>
  </si>
  <si>
    <t>T220923193101498VCMLEBC060</t>
  </si>
  <si>
    <t>'2022-09-23 19:31:14:034</t>
  </si>
  <si>
    <t>T220923193155809VCMLEBC060</t>
  </si>
  <si>
    <t>'2022-09-23 19:32:04:715</t>
  </si>
  <si>
    <t>22cc41110695</t>
  </si>
  <si>
    <t>0x5240f56287def101</t>
  </si>
  <si>
    <t>AS4C346183GBA1B29743022106</t>
  </si>
  <si>
    <t>AJ7C3472E4B1B2B3A637</t>
  </si>
  <si>
    <t>DNA22243020940E03A</t>
  </si>
  <si>
    <t>T220923193316004VCMLEBC060</t>
  </si>
  <si>
    <t>'2022-09-23 19:33:24:953</t>
  </si>
  <si>
    <t>22cc41110430</t>
  </si>
  <si>
    <t>0x5240f56287decc05</t>
  </si>
  <si>
    <t>AS4C346183GDA1B2A434103108</t>
  </si>
  <si>
    <t>AJ7C3473049EB3B3A643</t>
  </si>
  <si>
    <t>DNA22231060800H03A</t>
  </si>
  <si>
    <t>T220923193116264VCMLEBC060</t>
  </si>
  <si>
    <t>'2022-09-23 19:31:46:024</t>
  </si>
  <si>
    <t>T220923193222168VCMLEBC060</t>
  </si>
  <si>
    <t>'2022-09-23 19:32:51:899</t>
  </si>
  <si>
    <t>T220923193342380VCMLEBC060</t>
  </si>
  <si>
    <t>'2022-09-23 19:34:12:224</t>
  </si>
  <si>
    <t>'2022-09-23 19:31:35:999</t>
  </si>
  <si>
    <t>'2022-09-23 19:32:41:874</t>
  </si>
  <si>
    <t>'2022-09-23 19:34:02:193</t>
  </si>
  <si>
    <t>T220923193207407VCMLEBC060</t>
  </si>
  <si>
    <t>'2022-09-23 19:32:19:942</t>
  </si>
  <si>
    <t>T220923193327619VCMLEBC060</t>
  </si>
  <si>
    <t>'2022-09-23 19:33:40:158</t>
  </si>
  <si>
    <t>T220923193421735VCMLEBC060</t>
  </si>
  <si>
    <t>'2022-09-23 19:34:30:635</t>
  </si>
  <si>
    <t>22cc58200246</t>
  </si>
  <si>
    <t>0x5240f56287dedd05</t>
  </si>
  <si>
    <t>AS4C3441B6AKA8B2A241001026</t>
  </si>
  <si>
    <t>AJ8C352342PMB2B3A631</t>
  </si>
  <si>
    <t>DNA22244022970F10A</t>
  </si>
  <si>
    <t>T220923193607771VCMLEBC060</t>
  </si>
  <si>
    <t>'2022-09-23 19:36:16:586</t>
  </si>
  <si>
    <t>22cc41110338</t>
  </si>
  <si>
    <t>0x5240f56287dee807</t>
  </si>
  <si>
    <t>AS4C346183GEA1B29638007116</t>
  </si>
  <si>
    <t>AJ7C3472E4B5B2B3A630</t>
  </si>
  <si>
    <t>DNA22243020940C12A</t>
  </si>
  <si>
    <t>T220923193731229VCMLEBC060</t>
  </si>
  <si>
    <t>'2022-09-23 19:37:40:141</t>
  </si>
  <si>
    <t>22cc41110031</t>
  </si>
  <si>
    <t>0x5240f56287e08901</t>
  </si>
  <si>
    <t>AS4C346183FEA1B2A342006155</t>
  </si>
  <si>
    <t>AJ7C3473049BB1B3A632</t>
  </si>
  <si>
    <t>DNA22243020940C14A</t>
  </si>
  <si>
    <t>T220923193448101VCMLEBC060</t>
  </si>
  <si>
    <t>'2022-09-23 19:35:17:955</t>
  </si>
  <si>
    <t>T220923193634063VCMLEBC060</t>
  </si>
  <si>
    <t>'2022-09-23 19:37:03:896</t>
  </si>
  <si>
    <t>'2022-09-23 19:35:07:927</t>
  </si>
  <si>
    <t>'2022-09-23 19:36:53:865</t>
  </si>
  <si>
    <t>T220923193433302VCMLEBC060</t>
  </si>
  <si>
    <t>'2022-09-23 19:34:45:832</t>
  </si>
  <si>
    <t>T220923193619316VCMLEBC060</t>
  </si>
  <si>
    <t>'2022-09-23 19:36:31:855</t>
  </si>
  <si>
    <t>T220923193742872VCMLEBC060</t>
  </si>
  <si>
    <t>'2022-09-23 19:37:55:408</t>
  </si>
  <si>
    <t>T220923193837093VCMLEBC060</t>
  </si>
  <si>
    <t>'2022-09-23 19:38:45:990</t>
  </si>
  <si>
    <t>22cc41110123</t>
  </si>
  <si>
    <t>0x5240f562864fa407</t>
  </si>
  <si>
    <t>AS4C346173G6A1B2A239020117</t>
  </si>
  <si>
    <t>AJ7C3472E4B2B1B3A639</t>
  </si>
  <si>
    <t>DNA22243020940D08A</t>
  </si>
  <si>
    <t>T220923193757633VCMLEBC060</t>
  </si>
  <si>
    <t>'2022-09-23 19:38:27:654</t>
  </si>
  <si>
    <t>'2022-09-23 19:38:17:632</t>
  </si>
  <si>
    <t>T220923193903442VCMLEBC060</t>
  </si>
  <si>
    <t>'2022-09-23 19:39:33:103</t>
  </si>
  <si>
    <t>'2022-09-23 19:39:23:077</t>
  </si>
  <si>
    <t>T220923193848672VCMLEBC060</t>
  </si>
  <si>
    <t>'2022-09-23 19:39:01:202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</si>
</sst>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2.9232737838</c:v>
                </c:pt>
                <c:pt idx="1">
                  <c:v>4.5155163425999998</c:v>
                </c:pt>
                <c:pt idx="2">
                  <c:v>2.7793705716999999</c:v>
                </c:pt>
                <c:pt idx="3">
                  <c:v>3.1184462040000001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-6.0572919837000008</c:v>
                </c:pt>
                <c:pt idx="1">
                  <c:v>-3.8362537266999999</c:v>
                </c:pt>
                <c:pt idx="2">
                  <c:v>-5.0600596724999996</c:v>
                </c:pt>
                <c:pt idx="3">
                  <c:v>0.49971821149999984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3.4060535660333335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-4.9845351276333334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39744"/>
        <c:axId val="61041280"/>
      </c:scatterChart>
      <c:valAx>
        <c:axId val="610397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041280"/>
        <c:crosses val="autoZero"/>
        <c:crossBetween val="midCat"/>
        <c:majorUnit val="10"/>
      </c:valAx>
      <c:valAx>
        <c:axId val="610412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039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3.4422457615000002</c:v>
                </c:pt>
                <c:pt idx="1">
                  <c:v>2.4830689120999998</c:v>
                </c:pt>
                <c:pt idx="2">
                  <c:v>5.0857357939999996</c:v>
                </c:pt>
                <c:pt idx="3">
                  <c:v>3.9732583194000002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-3.4430287300000195E-2</c:v>
                </c:pt>
                <c:pt idx="1">
                  <c:v>-0.19904908160000012</c:v>
                </c:pt>
                <c:pt idx="2">
                  <c:v>-1.1371387576999998</c:v>
                </c:pt>
                <c:pt idx="3">
                  <c:v>-3.0288749531999999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3.0145869592000003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8.8746280866666513E-2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79552"/>
        <c:axId val="61489536"/>
      </c:scatterChart>
      <c:valAx>
        <c:axId val="614795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489536"/>
        <c:crosses val="autoZero"/>
        <c:crossBetween val="midCat"/>
        <c:majorUnit val="10"/>
      </c:valAx>
      <c:valAx>
        <c:axId val="614895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47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10.557342012099999</c:v>
                </c:pt>
                <c:pt idx="1">
                  <c:v>2.8653073342000002</c:v>
                </c:pt>
                <c:pt idx="2">
                  <c:v>1.3524278626999999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-4.5295777297999997</c:v>
                </c:pt>
                <c:pt idx="1">
                  <c:v>0.80863785900000007</c:v>
                </c:pt>
                <c:pt idx="2">
                  <c:v>-3.8790619739999999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6.5387787084999998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-2.8985304802333332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4112"/>
        <c:axId val="61515648"/>
      </c:scatterChart>
      <c:valAx>
        <c:axId val="615141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515648"/>
        <c:crosses val="autoZero"/>
        <c:crossBetween val="midCat"/>
        <c:majorUnit val="10"/>
      </c:valAx>
      <c:valAx>
        <c:axId val="615156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514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2.5210557588000002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-6.4209010535999997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2.2462636519000001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-3.1637750562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78624"/>
        <c:axId val="88780160"/>
      </c:scatterChart>
      <c:valAx>
        <c:axId val="887786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8780160"/>
        <c:crosses val="autoZero"/>
        <c:crossBetween val="midCat"/>
        <c:majorUnit val="10"/>
      </c:valAx>
      <c:valAx>
        <c:axId val="887801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877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93.492843828299996</c:v>
                </c:pt>
                <c:pt idx="1">
                  <c:v>92.796150584100005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92.777260017166668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58464"/>
        <c:axId val="130960000"/>
      </c:scatterChart>
      <c:valAx>
        <c:axId val="13095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0960000"/>
        <c:crosses val="autoZero"/>
        <c:crossBetween val="midCat"/>
      </c:valAx>
      <c:valAx>
        <c:axId val="1309600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0958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92.042785639100003</c:v>
                </c:pt>
                <c:pt idx="1">
                  <c:v>95.6562543199</c:v>
                </c:pt>
                <c:pt idx="2">
                  <c:v>85.935503289500005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91.01757466330001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005440"/>
        <c:axId val="131072768"/>
      </c:scatterChart>
      <c:valAx>
        <c:axId val="13100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072768"/>
        <c:crosses val="autoZero"/>
        <c:crossBetween val="midCat"/>
      </c:valAx>
      <c:valAx>
        <c:axId val="13107276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00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91.460966380499997</c:v>
                </c:pt>
                <c:pt idx="1">
                  <c:v>79.191389491799995</c:v>
                </c:pt>
                <c:pt idx="2">
                  <c:v>89.226607282100005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87.325303316566661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34208"/>
        <c:axId val="131135744"/>
      </c:scatterChart>
      <c:valAx>
        <c:axId val="13113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35744"/>
        <c:crosses val="autoZero"/>
        <c:crossBetween val="midCat"/>
      </c:valAx>
      <c:valAx>
        <c:axId val="1311357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3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93.557913175799996</c:v>
                </c:pt>
                <c:pt idx="1">
                  <c:v>93.423769183800005</c:v>
                </c:pt>
                <c:pt idx="2">
                  <c:v>95.317091544600004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93.268644567400017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66208"/>
        <c:axId val="131167744"/>
      </c:scatterChart>
      <c:valAx>
        <c:axId val="13116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67744"/>
        <c:crosses val="autoZero"/>
        <c:crossBetween val="midCat"/>
      </c:valAx>
      <c:valAx>
        <c:axId val="1311677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66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-2.532902956</c:v>
                </c:pt>
                <c:pt idx="1">
                  <c:v>1.9649105071999999</c:v>
                </c:pt>
                <c:pt idx="2">
                  <c:v>-0.60518217090000004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3.6099987029999996</c:v>
                </c:pt>
                <c:pt idx="1">
                  <c:v>-2.5510212778999999</c:v>
                </c:pt>
                <c:pt idx="2">
                  <c:v>-0.49805450440000021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-0.39105820656666673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0.18697430689999983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96544"/>
        <c:axId val="132398080"/>
      </c:scatterChart>
      <c:valAx>
        <c:axId val="1323965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398080"/>
        <c:crosses val="autoZero"/>
        <c:crossBetween val="midCat"/>
        <c:majorUnit val="10"/>
      </c:valAx>
      <c:valAx>
        <c:axId val="1323980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396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-4.0410764216999997</c:v>
                </c:pt>
                <c:pt idx="1">
                  <c:v>0.49623632429999986</c:v>
                </c:pt>
                <c:pt idx="2">
                  <c:v>-3.9402021170000001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-2.8266218305000002</c:v>
                </c:pt>
                <c:pt idx="1">
                  <c:v>1.2950372695999999</c:v>
                </c:pt>
                <c:pt idx="2">
                  <c:v>5.5682659148999996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-2.4950140714666666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1.345560451333333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430848"/>
        <c:axId val="132317952"/>
      </c:scatterChart>
      <c:valAx>
        <c:axId val="1324308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317952"/>
        <c:crosses val="autoZero"/>
        <c:crossBetween val="midCat"/>
        <c:majorUnit val="10"/>
      </c:valAx>
      <c:valAx>
        <c:axId val="1323179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430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-9.1566624641000001</c:v>
                </c:pt>
                <c:pt idx="1">
                  <c:v>-10.091356277500001</c:v>
                </c:pt>
                <c:pt idx="2">
                  <c:v>-1.3734831810000001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7.2106561660999997</c:v>
                </c:pt>
                <c:pt idx="1">
                  <c:v>2.8566961288000003</c:v>
                </c:pt>
                <c:pt idx="2">
                  <c:v>2.3966178893999999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-6.8738339742000001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4.1546567281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58912"/>
        <c:axId val="132360448"/>
      </c:scatterChart>
      <c:valAx>
        <c:axId val="1323589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360448"/>
        <c:crosses val="autoZero"/>
        <c:crossBetween val="midCat"/>
        <c:majorUnit val="10"/>
      </c:valAx>
      <c:valAx>
        <c:axId val="1323604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35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0.72115612029999987</c:v>
                </c:pt>
                <c:pt idx="1">
                  <c:v>0.84593868259999994</c:v>
                </c:pt>
                <c:pt idx="2">
                  <c:v>1.8418903351000004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-0.77723789220000006</c:v>
                </c:pt>
                <c:pt idx="1">
                  <c:v>8.1458568573000001</c:v>
                </c:pt>
                <c:pt idx="2">
                  <c:v>6.6402587891000007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1.1363283793333334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4.669625918066667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54784"/>
        <c:axId val="133660672"/>
      </c:scatterChart>
      <c:valAx>
        <c:axId val="1336547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660672"/>
        <c:crosses val="autoZero"/>
        <c:crossBetween val="midCat"/>
        <c:majorUnit val="10"/>
      </c:valAx>
      <c:valAx>
        <c:axId val="1336606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654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VSY832ZN9P06_2022092319_D50_ON_OC.csv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VSY832ZN9P06_2022092319_FPDC_INFD_normal.csv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VSY832ZN9P06_2022092319_INFDMargin_IPQC.csv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VSY832ZN9P06_2022092319_VCM_MEASURE.csv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172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K31" sqref="K31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545</v>
      </c>
      <c r="S31" s="84" t="s">
        <v>151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22cc41110636</v>
      </c>
      <c r="C34" s="44">
        <f>IPQC!S2+VLOOKUP($R$31,$AD$38:$AK$42,6,FALSE)+VLOOKUP('File location'!$B$1,'Tester offset'!$A$2:$D$4,2,FALSE)</f>
        <v>93.492843828299996</v>
      </c>
      <c r="D34" s="44">
        <f>IPQC!Z2+VLOOKUP($R$31,$AD$38:$AK$42,6,FALSE)</f>
        <v>86.130006358599999</v>
      </c>
      <c r="E34" s="44">
        <f>VCM!HU2-'Summary(3pcs)'!C34-'Summary(3pcs)'!$D$32</f>
        <v>158.84272147473791</v>
      </c>
      <c r="F34" s="90">
        <f>AVERAGEIF($A$34:$A$45,1,$C$34:$C$45)</f>
        <v>92.777260017166668</v>
      </c>
      <c r="G34" s="91">
        <f>AVERAGEIF($A$34:$A$45,1,$D$34:$D$45)</f>
        <v>83.243865710366663</v>
      </c>
      <c r="H34" s="91">
        <f>AVERAGEIF($A$34:$A$45,1,$E$34:$E$45)</f>
        <v>153.31837029230454</v>
      </c>
      <c r="I34" s="91">
        <f>85-F34</f>
        <v>-7.7772600171666681</v>
      </c>
      <c r="J34"/>
      <c r="K34" s="79">
        <f>T34</f>
        <v>1</v>
      </c>
      <c r="L34" s="80" t="str">
        <f>OC!J2</f>
        <v>22cc41110636</v>
      </c>
      <c r="M34" s="44">
        <f>OC!S2+VLOOKUP($R$31,$AD$38:$AK$42,4,FALSE)</f>
        <v>2.9232737838</v>
      </c>
      <c r="N34" s="44">
        <f>OC!T2+VLOOKUP($R$31,$AD$38:$AK$42,5,FALSE)</f>
        <v>-6.0572919837000008</v>
      </c>
      <c r="O34" s="92">
        <f>AVERAGEIF($K$34:$K$45,1,$M$34:$M$45)</f>
        <v>3.4060535660333335</v>
      </c>
      <c r="P34" s="92">
        <f>AVERAGEIF($K$34:$K$45,1,$N$34:$N$45)</f>
        <v>-4.9845351276333334</v>
      </c>
      <c r="Q34" s="90">
        <f>P34*0.001</f>
        <v>-4.9845351276333336E-3</v>
      </c>
      <c r="R34" s="90">
        <f>O34*0.001</f>
        <v>3.4060535660333335E-3</v>
      </c>
      <c r="T34" s="79">
        <v>1</v>
      </c>
      <c r="U34" s="80" t="str">
        <f>FPDC!J2</f>
        <v>22cc41110636</v>
      </c>
      <c r="V34" s="75">
        <f>FPDC!R2+VLOOKUP($R$31,$AD$38:$AK$42,2,FALSE)+VLOOKUP($R$31,$AD$38:$AK$42,7,FALSE)+VLOOKUP('File location'!$B$1,'Tester offset'!$A$2:$D$4,3,FALSE)</f>
        <v>0.72115612029999987</v>
      </c>
      <c r="W34" s="76">
        <f>FPDC!S2+VLOOKUP($R$31,$AD$38:$AK$42,3,FALSE)+VLOOKUP($R$31,$AD$38:$AK$42,8,FALSE)+VLOOKUP('File location'!$B$1,'Tester offset'!$A$2:$D$4,4,FALSE)</f>
        <v>-0.77723789220000006</v>
      </c>
      <c r="X34" s="92">
        <f>AVERAGEIF($T$34:$T$45,1,$V$34:$V$45)</f>
        <v>1.1363283793333334</v>
      </c>
      <c r="Y34" s="92">
        <f>AVERAGEIF($T$34:$T$45,1,$W$34:$W$45)</f>
        <v>4.669625918066667</v>
      </c>
      <c r="Z34" s="90">
        <f>(X34*-0.01)/4</f>
        <v>-2.8408209483333337E-3</v>
      </c>
      <c r="AA34" s="90">
        <f>(Y34*-0.01)/4</f>
        <v>-1.1674064795166668E-2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22cc41110291</v>
      </c>
      <c r="C35" s="44">
        <f>IPQC!S3+VLOOKUP($R$31,$AD$38:$AK$42,6,FALSE)+VLOOKUP('File location'!$B$1,'Tester offset'!$A$2:$D$4,2,FALSE)</f>
        <v>92.796150584100005</v>
      </c>
      <c r="D35" s="44">
        <f>IPQC!Z3+VLOOKUP($R$31,$AD$38:$AK$42,6,FALSE)</f>
        <v>82.5587608899</v>
      </c>
      <c r="E35" s="44">
        <f>VCM!HU3-'Summary(3pcs)'!C35-'Summary(3pcs)'!$D$32</f>
        <v>149.52690136003787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22cc41110291</v>
      </c>
      <c r="M35" s="44">
        <f>OC!S3+VLOOKUP($R$31,$AD$38:$AK$42,4,FALSE)</f>
        <v>4.5155163425999998</v>
      </c>
      <c r="N35" s="44">
        <f>OC!T3+VLOOKUP($R$31,$AD$38:$AK$42,5,FALSE)</f>
        <v>-3.8362537266999999</v>
      </c>
      <c r="O35" s="92"/>
      <c r="P35" s="92"/>
      <c r="Q35" s="90"/>
      <c r="R35" s="90"/>
      <c r="T35" s="79">
        <v>1</v>
      </c>
      <c r="U35" s="80" t="str">
        <f>FPDC!J3</f>
        <v>22cc41110291</v>
      </c>
      <c r="V35" s="75">
        <f>FPDC!R3+VLOOKUP($R$31,$AD$38:$AK$42,2,FALSE)+VLOOKUP($R$31,$AD$38:$AK$42,7,FALSE)+VLOOKUP('File location'!$B$1,'Tester offset'!$A$2:$D$4,3,FALSE)</f>
        <v>0.84593868259999994</v>
      </c>
      <c r="W35" s="76">
        <f>FPDC!S3+VLOOKUP($R$31,$AD$38:$AK$42,3,FALSE)+VLOOKUP($R$31,$AD$38:$AK$42,8,FALSE)+VLOOKUP('File location'!$B$1,'Tester offset'!$A$2:$D$4,4,FALSE)</f>
        <v>8.1458568573000001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22cc41110488</v>
      </c>
      <c r="C36" s="44">
        <f>IPQC!S4+VLOOKUP($R$31,$AD$38:$AK$42,6,FALSE)+VLOOKUP('File location'!$B$1,'Tester offset'!$A$2:$D$4,2,FALSE)</f>
        <v>92.042785639100003</v>
      </c>
      <c r="D36" s="44">
        <f>IPQC!Z4+VLOOKUP($R$31,$AD$38:$AK$42,6,FALSE)</f>
        <v>81.042829882600003</v>
      </c>
      <c r="E36" s="44">
        <f>VCM!HU4-'Summary(3pcs)'!C36-'Summary(3pcs)'!$D$32</f>
        <v>151.58548804213785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22cc41110488</v>
      </c>
      <c r="M36" s="44">
        <f>OC!S4+VLOOKUP($R$31,$AD$38:$AK$42,4,FALSE)</f>
        <v>2.7793705716999999</v>
      </c>
      <c r="N36" s="44">
        <f>OC!T4+VLOOKUP($R$31,$AD$38:$AK$42,5,FALSE)</f>
        <v>-5.0600596724999996</v>
      </c>
      <c r="O36" s="92"/>
      <c r="P36" s="92"/>
      <c r="Q36" s="90"/>
      <c r="R36" s="90"/>
      <c r="T36" s="79">
        <v>1</v>
      </c>
      <c r="U36" s="80" t="str">
        <f>FPDC!J4</f>
        <v>22cc41110488</v>
      </c>
      <c r="V36" s="75">
        <f>FPDC!R4+VLOOKUP($R$31,$AD$38:$AK$42,2,FALSE)+VLOOKUP($R$31,$AD$38:$AK$42,7,FALSE)+VLOOKUP('File location'!$B$1,'Tester offset'!$A$2:$D$4,3,FALSE)</f>
        <v>1.8418903351000004</v>
      </c>
      <c r="W36" s="76">
        <f>FPDC!S4+VLOOKUP($R$31,$AD$38:$AK$42,3,FALSE)+VLOOKUP($R$31,$AD$38:$AK$42,8,FALSE)+VLOOKUP('File location'!$B$1,'Tester offset'!$A$2:$D$4,4,FALSE)</f>
        <v>6.6402587891000007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22cc41110666</v>
      </c>
      <c r="C37" s="44">
        <f>IPQC!S5+VLOOKUP($R$31,$AD$38:$AK$42,6,FALSE)+VLOOKUP('File location'!$B$1,'Tester offset'!$A$2:$D$4,2,FALSE)</f>
        <v>95.6562543199</v>
      </c>
      <c r="D37" s="44">
        <f>IPQC!Z5+VLOOKUP($R$31,$AD$38:$AK$42,6,FALSE)</f>
        <v>84.815211163100003</v>
      </c>
      <c r="E37" s="44">
        <f>VCM!HU5-'Summary(3pcs)'!C37-'Summary(3pcs)'!$D$32</f>
        <v>158.80459584673793</v>
      </c>
      <c r="F37" s="90">
        <f>AVERAGEIF($A$34:$A$45,2,$C$34:$C$45)</f>
        <v>91.01757466330001</v>
      </c>
      <c r="G37" s="91">
        <f>AVERAGEIF($A$34:$A$45,2,$D$34:$D$45)</f>
        <v>79.299489097399999</v>
      </c>
      <c r="H37" s="91">
        <f>AVERAGEIF($A$34:$A$45,2,$E$34:$E$45)</f>
        <v>157.75379338523791</v>
      </c>
      <c r="I37" s="91">
        <f>85-F37</f>
        <v>-6.0175746633000102</v>
      </c>
      <c r="J37"/>
      <c r="K37" s="79">
        <f t="shared" si="1"/>
        <v>2</v>
      </c>
      <c r="L37" s="80" t="str">
        <f>OC!J5</f>
        <v>22cc41110666</v>
      </c>
      <c r="M37" s="44">
        <f>OC!S5+VLOOKUP($R$31,$AD$38:$AK$42,4,FALSE)</f>
        <v>3.1184462040000001</v>
      </c>
      <c r="N37" s="44">
        <f>OC!T5+VLOOKUP($R$31,$AD$38:$AK$42,5,FALSE)</f>
        <v>0.49971821149999984</v>
      </c>
      <c r="O37" s="92">
        <f>AVERAGEIF($K$34:$K$45,2,$M$34:$M$45)</f>
        <v>3.0145869592000003</v>
      </c>
      <c r="P37" s="92">
        <f>AVERAGEIF($K$34:$K$45,2,$N$34:$N$45)</f>
        <v>8.8746280866666513E-2</v>
      </c>
      <c r="Q37" s="90">
        <f>P37*0.001</f>
        <v>8.874628086666652E-5</v>
      </c>
      <c r="R37" s="90">
        <f>O37*0.001</f>
        <v>3.0145869592000003E-3</v>
      </c>
      <c r="T37" s="79">
        <v>2</v>
      </c>
      <c r="U37" s="80" t="str">
        <f>FPDC!J5</f>
        <v>22cc41110666</v>
      </c>
      <c r="V37" s="75">
        <f>FPDC!R5+VLOOKUP($R$31,$AD$38:$AK$42,2,FALSE)+VLOOKUP($R$31,$AD$38:$AK$42,7,FALSE)+VLOOKUP('File location'!$B$1,'Tester offset'!$A$2:$D$4,3,FALSE)</f>
        <v>-2.532902956</v>
      </c>
      <c r="W37" s="76">
        <f>FPDC!S5+VLOOKUP($R$31,$AD$38:$AK$42,3,FALSE)+VLOOKUP($R$31,$AD$38:$AK$42,8,FALSE)+VLOOKUP('File location'!$B$1,'Tester offset'!$A$2:$D$4,4,FALSE)</f>
        <v>3.6099987029999996</v>
      </c>
      <c r="X37" s="92">
        <f>AVERAGEIF($T$34:$T$45,2,$V$34:$V$45)</f>
        <v>-0.39105820656666673</v>
      </c>
      <c r="Y37" s="92">
        <f>AVERAGEIF($T$34:$T$45,2,$W$34:$W$45)</f>
        <v>0.18697430689999983</v>
      </c>
      <c r="Z37" s="90">
        <f>(X37*-0.01)/4</f>
        <v>9.7764551641666688E-4</v>
      </c>
      <c r="AA37" s="90">
        <f>(Y37*-0.01)/4</f>
        <v>-4.6743576724999958E-4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22cc41110518</v>
      </c>
      <c r="C38" s="44">
        <f>IPQC!S6+VLOOKUP($R$31,$AD$38:$AK$42,6,FALSE)+VLOOKUP('File location'!$B$1,'Tester offset'!$A$2:$D$4,2,FALSE)</f>
        <v>85.935503289500005</v>
      </c>
      <c r="D38" s="44">
        <f>IPQC!Z6+VLOOKUP($R$31,$AD$38:$AK$42,6,FALSE)</f>
        <v>74.256954498200002</v>
      </c>
      <c r="E38" s="44">
        <f>VCM!HU6-'Summary(3pcs)'!C38-'Summary(3pcs)'!$D$32</f>
        <v>166.59372638383792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22cc41110518</v>
      </c>
      <c r="M38" s="44">
        <f>OC!S6+VLOOKUP($R$31,$AD$38:$AK$42,4,FALSE)</f>
        <v>3.4422457615000002</v>
      </c>
      <c r="N38" s="44">
        <f>OC!T6+VLOOKUP($R$31,$AD$38:$AK$42,5,FALSE)</f>
        <v>-3.4430287300000195E-2</v>
      </c>
      <c r="O38" s="92"/>
      <c r="P38" s="92"/>
      <c r="Q38" s="90"/>
      <c r="R38" s="90"/>
      <c r="T38" s="79">
        <v>2</v>
      </c>
      <c r="U38" s="80" t="str">
        <f>FPDC!J6</f>
        <v>22cc41110518</v>
      </c>
      <c r="V38" s="75">
        <f>FPDC!R6+VLOOKUP($R$31,$AD$38:$AK$42,2,FALSE)+VLOOKUP($R$31,$AD$38:$AK$42,7,FALSE)+VLOOKUP('File location'!$B$1,'Tester offset'!$A$2:$D$4,3,FALSE)</f>
        <v>1.9649105071999999</v>
      </c>
      <c r="W38" s="76">
        <f>FPDC!S6+VLOOKUP($R$31,$AD$38:$AK$42,3,FALSE)+VLOOKUP($R$31,$AD$38:$AK$42,8,FALSE)+VLOOKUP('File location'!$B$1,'Tester offset'!$A$2:$D$4,4,FALSE)</f>
        <v>-2.5510212778999999</v>
      </c>
      <c r="X38" s="92"/>
      <c r="Y38" s="92"/>
      <c r="Z38" s="90"/>
      <c r="AA38" s="90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22cc41110147</v>
      </c>
      <c r="C39" s="44">
        <f>IPQC!S7+VLOOKUP($R$31,$AD$38:$AK$42,6,FALSE)+VLOOKUP('File location'!$B$1,'Tester offset'!$A$2:$D$4,2,FALSE)</f>
        <v>91.460966380499997</v>
      </c>
      <c r="D39" s="44">
        <f>IPQC!Z7+VLOOKUP($R$31,$AD$38:$AK$42,6,FALSE)</f>
        <v>78.826301630900005</v>
      </c>
      <c r="E39" s="44">
        <f>VCM!HU7-'Summary(3pcs)'!C39-'Summary(3pcs)'!$D$32</f>
        <v>147.86305792513792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22cc41110147</v>
      </c>
      <c r="M39" s="44">
        <f>OC!S7+VLOOKUP($R$31,$AD$38:$AK$42,4,FALSE)</f>
        <v>2.4830689120999998</v>
      </c>
      <c r="N39" s="44">
        <f>OC!T7+VLOOKUP($R$31,$AD$38:$AK$42,5,FALSE)</f>
        <v>-0.19904908160000012</v>
      </c>
      <c r="O39" s="92"/>
      <c r="P39" s="92"/>
      <c r="Q39" s="90"/>
      <c r="R39" s="90"/>
      <c r="T39" s="79">
        <v>2</v>
      </c>
      <c r="U39" s="80" t="str">
        <f>FPDC!J7</f>
        <v>22cc41110147</v>
      </c>
      <c r="V39" s="75">
        <f>FPDC!R7+VLOOKUP($R$31,$AD$38:$AK$42,2,FALSE)+VLOOKUP($R$31,$AD$38:$AK$42,7,FALSE)+VLOOKUP('File location'!$B$1,'Tester offset'!$A$2:$D$4,3,FALSE)</f>
        <v>-0.60518217090000004</v>
      </c>
      <c r="W39" s="76">
        <f>FPDC!S7+VLOOKUP($R$31,$AD$38:$AK$42,3,FALSE)+VLOOKUP($R$31,$AD$38:$AK$42,8,FALSE)+VLOOKUP('File location'!$B$1,'Tester offset'!$A$2:$D$4,4,FALSE)</f>
        <v>-0.49805450440000021</v>
      </c>
      <c r="X39" s="92"/>
      <c r="Y39" s="92"/>
      <c r="Z39" s="90"/>
      <c r="AA39" s="90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22cc41110695</v>
      </c>
      <c r="C40" s="44">
        <f>IPQC!S8+VLOOKUP($R$31,$AD$38:$AK$42,6,FALSE)+VLOOKUP('File location'!$B$1,'Tester offset'!$A$2:$D$4,2,FALSE)</f>
        <v>79.191389491799995</v>
      </c>
      <c r="D40" s="44">
        <f>IPQC!Z8+VLOOKUP($R$31,$AD$38:$AK$42,6,FALSE)</f>
        <v>68.040242754499999</v>
      </c>
      <c r="E40" s="44">
        <f>VCM!HU8-'Summary(3pcs)'!C40-'Summary(3pcs)'!$D$32</f>
        <v>159.07212705053792</v>
      </c>
      <c r="F40" s="90">
        <f>AVERAGEIF($A$34:$A$45,3,$C$34:$C$45)</f>
        <v>87.325303316566661</v>
      </c>
      <c r="G40" s="91">
        <f>AVERAGEIF($A$34:$A$45,3,$D$34:$D$45)</f>
        <v>78.737851763533328</v>
      </c>
      <c r="H40" s="91">
        <f>AVERAGEIF($A$34:$A$45,3,$E$34:$E$45)</f>
        <v>152.42838133967123</v>
      </c>
      <c r="I40" s="91">
        <f>85-F40</f>
        <v>-2.3253033165666608</v>
      </c>
      <c r="J40"/>
      <c r="K40" s="79">
        <f t="shared" si="1"/>
        <v>3</v>
      </c>
      <c r="L40" s="80" t="str">
        <f>OC!J8</f>
        <v>22cc41110695</v>
      </c>
      <c r="M40" s="44">
        <f>OC!S8+VLOOKUP($R$31,$AD$38:$AK$42,4,FALSE)</f>
        <v>5.0857357939999996</v>
      </c>
      <c r="N40" s="44">
        <f>OC!T8+VLOOKUP($R$31,$AD$38:$AK$42,5,FALSE)</f>
        <v>-1.1371387576999998</v>
      </c>
      <c r="O40" s="92">
        <f>AVERAGEIF($K$34:$K$45,3,$M$34:$M$45)</f>
        <v>6.5387787084999998</v>
      </c>
      <c r="P40" s="92">
        <f>AVERAGEIF($K$34:$K$45,3,$N$34:$N$45)</f>
        <v>-2.8985304802333332</v>
      </c>
      <c r="Q40" s="90">
        <f>P40*0.001</f>
        <v>-2.8985304802333334E-3</v>
      </c>
      <c r="R40" s="90">
        <f>O40*0.001</f>
        <v>6.5387787085000003E-3</v>
      </c>
      <c r="T40" s="79">
        <v>3</v>
      </c>
      <c r="U40" s="80" t="str">
        <f>FPDC!J8</f>
        <v>22cc41110695</v>
      </c>
      <c r="V40" s="75">
        <f>FPDC!R8+VLOOKUP($R$31,$AD$38:$AK$42,2,FALSE)+VLOOKUP($R$31,$AD$38:$AK$42,7,FALSE)+VLOOKUP('File location'!$B$1,'Tester offset'!$A$2:$D$4,3,FALSE)</f>
        <v>-4.0410764216999997</v>
      </c>
      <c r="W40" s="76">
        <f>FPDC!S8+VLOOKUP($R$31,$AD$38:$AK$42,3,FALSE)+VLOOKUP($R$31,$AD$38:$AK$42,8,FALSE)+VLOOKUP('File location'!$B$1,'Tester offset'!$A$2:$D$4,4,FALSE)</f>
        <v>-2.8266218305000002</v>
      </c>
      <c r="X40" s="92">
        <f>AVERAGEIF($T$34:$T$45,3,$V$34:$V$45)</f>
        <v>-2.4950140714666666</v>
      </c>
      <c r="Y40" s="92">
        <f>AVERAGEIF($T$34:$T$45,3,$W$34:$W$45)</f>
        <v>1.345560451333333</v>
      </c>
      <c r="Z40" s="90">
        <f>(X40*-0.01)/4</f>
        <v>6.2375351786666672E-3</v>
      </c>
      <c r="AA40" s="90">
        <f>(Y40*-0.01)/4</f>
        <v>-3.3639011283333325E-3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22cc41110430</v>
      </c>
      <c r="C41" s="44">
        <f>IPQC!S9+VLOOKUP($R$31,$AD$38:$AK$42,6,FALSE)+VLOOKUP('File location'!$B$1,'Tester offset'!$A$2:$D$4,2,FALSE)</f>
        <v>89.226607282100005</v>
      </c>
      <c r="D41" s="44">
        <f>IPQC!Z9+VLOOKUP($R$31,$AD$38:$AK$42,6,FALSE)</f>
        <v>83.619427168399994</v>
      </c>
      <c r="E41" s="44">
        <f>VCM!HU9-'Summary(3pcs)'!C41-'Summary(3pcs)'!$D$32</f>
        <v>150.89322575863787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22cc41110430</v>
      </c>
      <c r="M41" s="44">
        <f>OC!S9+VLOOKUP($R$31,$AD$38:$AK$42,4,FALSE)</f>
        <v>3.9732583194000002</v>
      </c>
      <c r="N41" s="44">
        <f>OC!T9+VLOOKUP($R$31,$AD$38:$AK$42,5,FALSE)</f>
        <v>-3.0288749531999999</v>
      </c>
      <c r="O41" s="92"/>
      <c r="P41" s="92"/>
      <c r="Q41" s="90"/>
      <c r="R41" s="90"/>
      <c r="T41" s="79">
        <v>3</v>
      </c>
      <c r="U41" s="80" t="str">
        <f>FPDC!J9</f>
        <v>22cc41110430</v>
      </c>
      <c r="V41" s="75">
        <f>FPDC!R9+VLOOKUP($R$31,$AD$38:$AK$42,2,FALSE)+VLOOKUP($R$31,$AD$38:$AK$42,7,FALSE)+VLOOKUP('File location'!$B$1,'Tester offset'!$A$2:$D$4,3,FALSE)</f>
        <v>0.49623632429999986</v>
      </c>
      <c r="W41" s="76">
        <f>FPDC!S9+VLOOKUP($R$31,$AD$38:$AK$42,3,FALSE)+VLOOKUP($R$31,$AD$38:$AK$42,8,FALSE)+VLOOKUP('File location'!$B$1,'Tester offset'!$A$2:$D$4,4,FALSE)</f>
        <v>1.2950372695999999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22cc58200246</v>
      </c>
      <c r="C42" s="44">
        <f>IPQC!S10+VLOOKUP($R$31,$AD$38:$AK$42,6,FALSE)+VLOOKUP('File location'!$B$1,'Tester offset'!$A$2:$D$4,2,FALSE)</f>
        <v>93.557913175799996</v>
      </c>
      <c r="D42" s="44">
        <f>IPQC!Z10+VLOOKUP($R$31,$AD$38:$AK$42,6,FALSE)</f>
        <v>84.553885367700005</v>
      </c>
      <c r="E42" s="44">
        <f>VCM!HU10-'Summary(3pcs)'!C42-'Summary(3pcs)'!$D$32</f>
        <v>147.31979120983794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22cc58200246</v>
      </c>
      <c r="M42" s="44">
        <f>OC!S10+VLOOKUP($R$31,$AD$38:$AK$42,4,FALSE)</f>
        <v>10.557342012099999</v>
      </c>
      <c r="N42" s="44">
        <f>OC!T10+VLOOKUP($R$31,$AD$38:$AK$42,5,FALSE)</f>
        <v>-4.5295777297999997</v>
      </c>
      <c r="O42" s="92"/>
      <c r="P42" s="92"/>
      <c r="Q42" s="90"/>
      <c r="R42" s="90"/>
      <c r="T42" s="79">
        <v>3</v>
      </c>
      <c r="U42" s="80" t="str">
        <f>FPDC!J10</f>
        <v>22cc58200246</v>
      </c>
      <c r="V42" s="75">
        <f>FPDC!R10+VLOOKUP($R$31,$AD$38:$AK$42,2,FALSE)+VLOOKUP($R$31,$AD$38:$AK$42,7,FALSE)+VLOOKUP('File location'!$B$1,'Tester offset'!$A$2:$D$4,3,FALSE)</f>
        <v>-3.9402021170000001</v>
      </c>
      <c r="W42" s="76">
        <f>FPDC!S10+VLOOKUP($R$31,$AD$38:$AK$42,3,FALSE)+VLOOKUP($R$31,$AD$38:$AK$42,8,FALSE)+VLOOKUP('File location'!$B$1,'Tester offset'!$A$2:$D$4,4,FALSE)</f>
        <v>5.5682659148999996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22cc41110338</v>
      </c>
      <c r="C43" s="44">
        <f>IPQC!S11+VLOOKUP($R$31,$AD$38:$AK$42,6,FALSE)+VLOOKUP('File location'!$B$1,'Tester offset'!$A$2:$D$4,2,FALSE)</f>
        <v>93.423769183800005</v>
      </c>
      <c r="D43" s="44">
        <f>IPQC!Z11+VLOOKUP($R$31,$AD$38:$AK$42,6,FALSE)</f>
        <v>87.018572508600002</v>
      </c>
      <c r="E43" s="44">
        <f>VCM!HU11-'Summary(3pcs)'!C43-'Summary(3pcs)'!$D$32</f>
        <v>144.64071525353791</v>
      </c>
      <c r="F43" s="90">
        <f>AVERAGEIF($A$34:$A$45,4,$C$34:$C$45)</f>
        <v>93.268644567400017</v>
      </c>
      <c r="G43" s="91">
        <f>AVERAGEIF($A$34:$A$45,4,$D$34:$D$45)</f>
        <v>83.556197188800013</v>
      </c>
      <c r="H43" s="91">
        <f>AVERAGEIF($A$34:$A$45,4,$E$34:$E$45)</f>
        <v>145.24025751077122</v>
      </c>
      <c r="I43" s="91">
        <f>85-F43</f>
        <v>-8.2686445674000169</v>
      </c>
      <c r="J43"/>
      <c r="K43" s="79">
        <f t="shared" si="1"/>
        <v>4</v>
      </c>
      <c r="L43" s="80" t="str">
        <f>OC!J11</f>
        <v>22cc41110338</v>
      </c>
      <c r="M43" s="44">
        <f>OC!S11+VLOOKUP($R$31,$AD$38:$AK$42,4,FALSE)</f>
        <v>2.8653073342000002</v>
      </c>
      <c r="N43" s="44">
        <f>OC!T11+VLOOKUP($R$31,$AD$38:$AK$42,5,FALSE)</f>
        <v>0.80863785900000007</v>
      </c>
      <c r="O43" s="92">
        <f>AVERAGEIF($K$34:$K$45,4,$M$34:$M$45)</f>
        <v>2.2462636519000001</v>
      </c>
      <c r="P43" s="92">
        <f>AVERAGEIF($K$34:$K$45,4,$N$34:$N$45)</f>
        <v>-3.1637750562</v>
      </c>
      <c r="Q43" s="90">
        <f>P43*0.001</f>
        <v>-3.1637750562000001E-3</v>
      </c>
      <c r="R43" s="90">
        <f>O43*0.001</f>
        <v>2.2462636519000002E-3</v>
      </c>
      <c r="T43" s="79">
        <v>4</v>
      </c>
      <c r="U43" s="80" t="str">
        <f>FPDC!J11</f>
        <v>22cc41110338</v>
      </c>
      <c r="V43" s="75">
        <f>FPDC!R11+VLOOKUP($R$31,$AD$38:$AK$42,2,FALSE)+VLOOKUP($R$31,$AD$38:$AK$42,7,FALSE)+VLOOKUP('File location'!$B$1,'Tester offset'!$A$2:$D$4,3,FALSE)</f>
        <v>-9.1566624641000001</v>
      </c>
      <c r="W43" s="76">
        <f>FPDC!S11+VLOOKUP($R$31,$AD$38:$AK$42,3,FALSE)+VLOOKUP($R$31,$AD$38:$AK$42,8,FALSE)+VLOOKUP('File location'!$B$1,'Tester offset'!$A$2:$D$4,4,FALSE)</f>
        <v>7.2106561660999997</v>
      </c>
      <c r="X43" s="92">
        <f>AVERAGEIF($T$34:$T$45,4,$V$34:$V$45)</f>
        <v>-6.8738339742000001</v>
      </c>
      <c r="Y43" s="92">
        <f>AVERAGEIF($T$34:$T$45,4,$W$34:$W$45)</f>
        <v>4.1546567281</v>
      </c>
      <c r="Z43" s="90">
        <f>(X43*-0.01)/4</f>
        <v>1.71845849355E-2</v>
      </c>
      <c r="AA43" s="90">
        <f>(Y43*-0.01)/4</f>
        <v>-1.038664182025E-2</v>
      </c>
    </row>
    <row r="44" spans="1:37" s="32" customFormat="1" ht="17.100000000000001" customHeight="1">
      <c r="A44" s="79">
        <f t="shared" si="0"/>
        <v>4</v>
      </c>
      <c r="B44" s="80" t="str">
        <f>IPQC!J12</f>
        <v>22cc41110031</v>
      </c>
      <c r="C44" s="44">
        <f>IPQC!S12+VLOOKUP($R$31,$AD$38:$AK$42,6,FALSE)+VLOOKUP('File location'!$B$1,'Tester offset'!$A$2:$D$4,2,FALSE)</f>
        <v>95.317091544600004</v>
      </c>
      <c r="D44" s="44">
        <f>IPQC!Z12+VLOOKUP($R$31,$AD$38:$AK$42,6,FALSE)</f>
        <v>84.051473050200002</v>
      </c>
      <c r="E44" s="44">
        <f>VCM!HU12-'Summary(3pcs)'!C44-'Summary(3pcs)'!$D$32</f>
        <v>144.64177284453785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22cc41110031</v>
      </c>
      <c r="M44" s="44">
        <f>OC!S12+VLOOKUP($R$31,$AD$38:$AK$42,4,FALSE)</f>
        <v>1.3524278626999999</v>
      </c>
      <c r="N44" s="44">
        <f>OC!T12+VLOOKUP($R$31,$AD$38:$AK$42,5,FALSE)</f>
        <v>-3.8790619739999999</v>
      </c>
      <c r="O44" s="92"/>
      <c r="P44" s="92"/>
      <c r="Q44" s="90"/>
      <c r="R44" s="90"/>
      <c r="T44" s="79">
        <v>4</v>
      </c>
      <c r="U44" s="80" t="str">
        <f>FPDC!J12</f>
        <v>22cc41110031</v>
      </c>
      <c r="V44" s="75">
        <f>FPDC!R12+VLOOKUP($R$31,$AD$38:$AK$42,2,FALSE)+VLOOKUP($R$31,$AD$38:$AK$42,7,FALSE)+VLOOKUP('File location'!$B$1,'Tester offset'!$A$2:$D$4,3,FALSE)</f>
        <v>-10.091356277500001</v>
      </c>
      <c r="W44" s="76">
        <f>FPDC!S12+VLOOKUP($R$31,$AD$38:$AK$42,3,FALSE)+VLOOKUP($R$31,$AD$38:$AK$42,8,FALSE)+VLOOKUP('File location'!$B$1,'Tester offset'!$A$2:$D$4,4,FALSE)</f>
        <v>2.8566961288000003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22cc41110123</v>
      </c>
      <c r="C45" s="44">
        <f>IPQC!S13+VLOOKUP($R$31,$AD$38:$AK$42,6,FALSE)+VLOOKUP('File location'!$B$1,'Tester offset'!$A$2:$D$4,2,FALSE)</f>
        <v>91.0650729738</v>
      </c>
      <c r="D45" s="44">
        <f>IPQC!Z13+VLOOKUP($R$31,$AD$38:$AK$42,6,FALSE)</f>
        <v>79.598546007600007</v>
      </c>
      <c r="E45" s="44">
        <f>VCM!HU13-'Summary(3pcs)'!C45-'Summary(3pcs)'!$D$32</f>
        <v>146.43828443423791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22cc41110123</v>
      </c>
      <c r="M45" s="44">
        <f>OC!S13+VLOOKUP($R$31,$AD$38:$AK$42,4,FALSE)</f>
        <v>2.5210557588000002</v>
      </c>
      <c r="N45" s="44">
        <f>OC!T13+VLOOKUP($R$31,$AD$38:$AK$42,5,FALSE)</f>
        <v>-6.4209010535999997</v>
      </c>
      <c r="O45" s="92"/>
      <c r="P45" s="92"/>
      <c r="Q45" s="90"/>
      <c r="R45" s="90"/>
      <c r="T45" s="79">
        <v>4</v>
      </c>
      <c r="U45" s="80" t="str">
        <f>FPDC!J13</f>
        <v>22cc41110123</v>
      </c>
      <c r="V45" s="75">
        <f>FPDC!R13+VLOOKUP($R$31,$AD$38:$AK$42,2,FALSE)+VLOOKUP($R$31,$AD$38:$AK$42,7,FALSE)+VLOOKUP('File location'!$B$1,'Tester offset'!$A$2:$D$4,3,FALSE)</f>
        <v>-1.3734831810000001</v>
      </c>
      <c r="W45" s="76">
        <f>FPDC!S13+VLOOKUP($R$31,$AD$38:$AK$42,3,FALSE)+VLOOKUP($R$31,$AD$38:$AK$42,8,FALSE)+VLOOKUP('File location'!$B$1,'Tester offset'!$A$2:$D$4,4,FALSE)</f>
        <v>2.3966178893999999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160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154</v>
      </c>
      <c r="G48" s="89"/>
      <c r="H48" s="78" t="s">
        <v>141</v>
      </c>
      <c r="I48" s="32"/>
      <c r="K48" s="32"/>
      <c r="L48" s="32"/>
      <c r="M48" s="32"/>
      <c r="N48" s="32"/>
      <c r="O48" s="93" t="s">
        <v>155</v>
      </c>
      <c r="P48" s="89"/>
      <c r="Q48" s="78" t="s">
        <v>161</v>
      </c>
      <c r="R48" s="32"/>
      <c r="S48" s="32"/>
      <c r="T48" s="32"/>
      <c r="U48" s="32"/>
      <c r="V48" s="32"/>
      <c r="W48" s="32"/>
      <c r="X48" s="32"/>
      <c r="Y48" s="93" t="s">
        <v>155</v>
      </c>
      <c r="Z48" s="89"/>
      <c r="AA48" s="78" t="s">
        <v>104</v>
      </c>
    </row>
    <row r="49" spans="6:27" ht="17.25">
      <c r="F49" s="89" t="s">
        <v>156</v>
      </c>
      <c r="G49" s="89"/>
      <c r="H49" s="78" t="s">
        <v>107</v>
      </c>
      <c r="I49" s="32"/>
      <c r="K49" s="32"/>
      <c r="L49" s="32"/>
      <c r="M49" s="32"/>
      <c r="N49" s="32"/>
      <c r="O49" s="93" t="s">
        <v>164</v>
      </c>
      <c r="P49" s="89"/>
      <c r="Q49" s="78" t="s">
        <v>162</v>
      </c>
      <c r="R49" s="32"/>
      <c r="S49" s="32"/>
      <c r="T49" s="32"/>
      <c r="U49" s="32"/>
      <c r="V49" s="32"/>
      <c r="W49" s="32"/>
      <c r="X49" s="32"/>
      <c r="Y49" s="93" t="s">
        <v>158</v>
      </c>
      <c r="Z49" s="89"/>
      <c r="AA49" s="78" t="s">
        <v>163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164</v>
      </c>
      <c r="P50" s="89"/>
      <c r="Q50" s="78" t="s">
        <v>165</v>
      </c>
      <c r="R50" s="32"/>
      <c r="S50" s="32"/>
      <c r="T50" s="32"/>
      <c r="U50" s="32"/>
      <c r="V50" s="32"/>
      <c r="W50" s="32"/>
      <c r="X50" s="32"/>
      <c r="Y50" s="93" t="s">
        <v>157</v>
      </c>
      <c r="Z50" s="89"/>
      <c r="AA50" s="78" t="s">
        <v>142</v>
      </c>
    </row>
    <row r="52" spans="6:27" ht="19.5">
      <c r="I52" s="45"/>
      <c r="J52" s="45"/>
      <c r="K52" s="81" t="s">
        <v>150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93.492843828299996</v>
      </c>
      <c r="L54" s="49">
        <f t="shared" ref="L54:L65" si="4">D34</f>
        <v>86.130006358599999</v>
      </c>
      <c r="M54" s="49">
        <f t="shared" ref="M54:M65" si="5">E34</f>
        <v>158.84272147473791</v>
      </c>
      <c r="N54" s="49">
        <f t="shared" ref="N54:O65" si="6">M34</f>
        <v>2.9232737838</v>
      </c>
      <c r="O54" s="49">
        <f t="shared" si="6"/>
        <v>-6.0572919837000008</v>
      </c>
      <c r="P54" s="49">
        <f t="shared" ref="P54:P65" si="7">V34</f>
        <v>0.72115612029999987</v>
      </c>
      <c r="Q54" s="50">
        <f t="shared" ref="Q54:Q65" si="8">W34</f>
        <v>-0.77723789220000006</v>
      </c>
    </row>
    <row r="55" spans="6:27" ht="19.5">
      <c r="I55" s="47">
        <f t="shared" si="2"/>
        <v>1</v>
      </c>
      <c r="J55" s="46"/>
      <c r="K55" s="51">
        <f t="shared" si="3"/>
        <v>92.796150584100005</v>
      </c>
      <c r="L55" s="52">
        <f t="shared" si="4"/>
        <v>82.5587608899</v>
      </c>
      <c r="M55" s="52">
        <f t="shared" si="5"/>
        <v>149.52690136003787</v>
      </c>
      <c r="N55" s="52">
        <f t="shared" si="6"/>
        <v>4.5155163425999998</v>
      </c>
      <c r="O55" s="52">
        <f t="shared" si="6"/>
        <v>-3.8362537266999999</v>
      </c>
      <c r="P55" s="52">
        <f t="shared" si="7"/>
        <v>0.84593868259999994</v>
      </c>
      <c r="Q55" s="53">
        <f t="shared" si="8"/>
        <v>8.1458568573000001</v>
      </c>
    </row>
    <row r="56" spans="6:27" ht="19.5">
      <c r="I56" s="47">
        <f t="shared" si="2"/>
        <v>1</v>
      </c>
      <c r="J56" s="46"/>
      <c r="K56" s="54">
        <f t="shared" si="3"/>
        <v>92.042785639100003</v>
      </c>
      <c r="L56" s="55">
        <f t="shared" si="4"/>
        <v>81.042829882600003</v>
      </c>
      <c r="M56" s="55">
        <f t="shared" si="5"/>
        <v>151.58548804213785</v>
      </c>
      <c r="N56" s="55">
        <f t="shared" si="6"/>
        <v>2.7793705716999999</v>
      </c>
      <c r="O56" s="55">
        <f t="shared" si="6"/>
        <v>-5.0600596724999996</v>
      </c>
      <c r="P56" s="55">
        <f t="shared" si="7"/>
        <v>1.8418903351000004</v>
      </c>
      <c r="Q56" s="56">
        <f t="shared" si="8"/>
        <v>6.6402587891000007</v>
      </c>
    </row>
    <row r="57" spans="6:27" ht="19.5">
      <c r="I57" s="47">
        <f t="shared" si="2"/>
        <v>2</v>
      </c>
      <c r="J57" s="46"/>
      <c r="K57" s="57">
        <f t="shared" si="3"/>
        <v>95.6562543199</v>
      </c>
      <c r="L57" s="58">
        <f t="shared" si="4"/>
        <v>84.815211163100003</v>
      </c>
      <c r="M57" s="58">
        <f t="shared" si="5"/>
        <v>158.80459584673793</v>
      </c>
      <c r="N57" s="58">
        <f t="shared" si="6"/>
        <v>3.1184462040000001</v>
      </c>
      <c r="O57" s="58">
        <f t="shared" si="6"/>
        <v>0.49971821149999984</v>
      </c>
      <c r="P57" s="58">
        <f t="shared" si="7"/>
        <v>-2.532902956</v>
      </c>
      <c r="Q57" s="59">
        <f t="shared" si="8"/>
        <v>3.6099987029999996</v>
      </c>
    </row>
    <row r="58" spans="6:27" ht="19.5">
      <c r="I58" s="47">
        <f t="shared" si="2"/>
        <v>2</v>
      </c>
      <c r="J58" s="46"/>
      <c r="K58" s="57">
        <f t="shared" si="3"/>
        <v>85.935503289500005</v>
      </c>
      <c r="L58" s="58">
        <f t="shared" si="4"/>
        <v>74.256954498200002</v>
      </c>
      <c r="M58" s="58">
        <f t="shared" si="5"/>
        <v>166.59372638383792</v>
      </c>
      <c r="N58" s="58">
        <f t="shared" si="6"/>
        <v>3.4422457615000002</v>
      </c>
      <c r="O58" s="58">
        <f t="shared" si="6"/>
        <v>-3.4430287300000195E-2</v>
      </c>
      <c r="P58" s="58">
        <f t="shared" si="7"/>
        <v>1.9649105071999999</v>
      </c>
      <c r="Q58" s="59">
        <f t="shared" si="8"/>
        <v>-2.5510212778999999</v>
      </c>
    </row>
    <row r="59" spans="6:27" ht="19.5">
      <c r="I59" s="47">
        <f t="shared" si="2"/>
        <v>2</v>
      </c>
      <c r="J59" s="46"/>
      <c r="K59" s="57">
        <f t="shared" si="3"/>
        <v>91.460966380499997</v>
      </c>
      <c r="L59" s="58">
        <f t="shared" si="4"/>
        <v>78.826301630900005</v>
      </c>
      <c r="M59" s="58">
        <f t="shared" si="5"/>
        <v>147.86305792513792</v>
      </c>
      <c r="N59" s="58">
        <f t="shared" si="6"/>
        <v>2.4830689120999998</v>
      </c>
      <c r="O59" s="58">
        <f t="shared" si="6"/>
        <v>-0.19904908160000012</v>
      </c>
      <c r="P59" s="58">
        <f t="shared" si="7"/>
        <v>-0.60518217090000004</v>
      </c>
      <c r="Q59" s="59">
        <f t="shared" si="8"/>
        <v>-0.49805450440000021</v>
      </c>
    </row>
    <row r="60" spans="6:27" ht="19.5">
      <c r="I60" s="47">
        <f t="shared" si="2"/>
        <v>3</v>
      </c>
      <c r="J60" s="46"/>
      <c r="K60" s="60">
        <f t="shared" si="3"/>
        <v>79.191389491799995</v>
      </c>
      <c r="L60" s="61">
        <f t="shared" si="4"/>
        <v>68.040242754499999</v>
      </c>
      <c r="M60" s="61">
        <f t="shared" si="5"/>
        <v>159.07212705053792</v>
      </c>
      <c r="N60" s="61">
        <f t="shared" si="6"/>
        <v>5.0857357939999996</v>
      </c>
      <c r="O60" s="61">
        <f t="shared" si="6"/>
        <v>-1.1371387576999998</v>
      </c>
      <c r="P60" s="61">
        <f t="shared" si="7"/>
        <v>-4.0410764216999997</v>
      </c>
      <c r="Q60" s="62">
        <f t="shared" si="8"/>
        <v>-2.8266218305000002</v>
      </c>
    </row>
    <row r="61" spans="6:27" ht="19.5">
      <c r="I61" s="47">
        <f t="shared" si="2"/>
        <v>3</v>
      </c>
      <c r="J61" s="46"/>
      <c r="K61" s="63">
        <f t="shared" si="3"/>
        <v>89.226607282100005</v>
      </c>
      <c r="L61" s="64">
        <f t="shared" si="4"/>
        <v>83.619427168399994</v>
      </c>
      <c r="M61" s="64">
        <f t="shared" si="5"/>
        <v>150.89322575863787</v>
      </c>
      <c r="N61" s="64">
        <f t="shared" si="6"/>
        <v>3.9732583194000002</v>
      </c>
      <c r="O61" s="64">
        <f t="shared" si="6"/>
        <v>-3.0288749531999999</v>
      </c>
      <c r="P61" s="64">
        <f t="shared" si="7"/>
        <v>0.49623632429999986</v>
      </c>
      <c r="Q61" s="65">
        <f t="shared" si="8"/>
        <v>1.2950372695999999</v>
      </c>
    </row>
    <row r="62" spans="6:27" ht="19.5">
      <c r="I62" s="47">
        <f t="shared" si="2"/>
        <v>3</v>
      </c>
      <c r="J62" s="46"/>
      <c r="K62" s="66">
        <f t="shared" si="3"/>
        <v>93.557913175799996</v>
      </c>
      <c r="L62" s="67">
        <f t="shared" si="4"/>
        <v>84.553885367700005</v>
      </c>
      <c r="M62" s="67">
        <f t="shared" si="5"/>
        <v>147.31979120983794</v>
      </c>
      <c r="N62" s="67">
        <f t="shared" si="6"/>
        <v>10.557342012099999</v>
      </c>
      <c r="O62" s="67">
        <f t="shared" si="6"/>
        <v>-4.5295777297999997</v>
      </c>
      <c r="P62" s="67">
        <f t="shared" si="7"/>
        <v>-3.9402021170000001</v>
      </c>
      <c r="Q62" s="68">
        <f t="shared" si="8"/>
        <v>5.5682659148999996</v>
      </c>
    </row>
    <row r="63" spans="6:27" ht="19.5">
      <c r="I63" s="47">
        <f t="shared" si="2"/>
        <v>4</v>
      </c>
      <c r="J63" s="46"/>
      <c r="K63" s="57">
        <f t="shared" si="3"/>
        <v>93.423769183800005</v>
      </c>
      <c r="L63" s="58">
        <f t="shared" si="4"/>
        <v>87.018572508600002</v>
      </c>
      <c r="M63" s="58">
        <f t="shared" si="5"/>
        <v>144.64071525353791</v>
      </c>
      <c r="N63" s="58">
        <f t="shared" si="6"/>
        <v>2.8653073342000002</v>
      </c>
      <c r="O63" s="58">
        <f t="shared" si="6"/>
        <v>0.80863785900000007</v>
      </c>
      <c r="P63" s="58">
        <f t="shared" si="7"/>
        <v>-9.1566624641000001</v>
      </c>
      <c r="Q63" s="59">
        <f t="shared" si="8"/>
        <v>7.2106561660999997</v>
      </c>
    </row>
    <row r="64" spans="6:27" ht="19.5">
      <c r="I64" s="47">
        <f t="shared" si="2"/>
        <v>4</v>
      </c>
      <c r="J64" s="46"/>
      <c r="K64" s="57">
        <f t="shared" si="3"/>
        <v>95.317091544600004</v>
      </c>
      <c r="L64" s="58">
        <f t="shared" si="4"/>
        <v>84.051473050200002</v>
      </c>
      <c r="M64" s="58">
        <f t="shared" si="5"/>
        <v>144.64177284453785</v>
      </c>
      <c r="N64" s="58">
        <f t="shared" si="6"/>
        <v>1.3524278626999999</v>
      </c>
      <c r="O64" s="58">
        <f t="shared" si="6"/>
        <v>-3.8790619739999999</v>
      </c>
      <c r="P64" s="58">
        <f t="shared" si="7"/>
        <v>-10.091356277500001</v>
      </c>
      <c r="Q64" s="59">
        <f t="shared" si="8"/>
        <v>2.8566961288000003</v>
      </c>
    </row>
    <row r="65" spans="9:17" ht="20.25" thickBot="1">
      <c r="I65" s="47">
        <f t="shared" si="2"/>
        <v>4</v>
      </c>
      <c r="J65" s="46"/>
      <c r="K65" s="69">
        <f t="shared" si="3"/>
        <v>91.0650729738</v>
      </c>
      <c r="L65" s="70">
        <f t="shared" si="4"/>
        <v>79.598546007600007</v>
      </c>
      <c r="M65" s="70">
        <f t="shared" si="5"/>
        <v>146.43828443423791</v>
      </c>
      <c r="N65" s="70">
        <f t="shared" si="6"/>
        <v>2.5210557588000002</v>
      </c>
      <c r="O65" s="70">
        <f t="shared" si="6"/>
        <v>-6.4209010535999997</v>
      </c>
      <c r="P65" s="70">
        <f t="shared" si="7"/>
        <v>-1.3734831810000001</v>
      </c>
      <c r="Q65" s="71">
        <f t="shared" si="8"/>
        <v>2.3966178893999999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</row>
    <row r="2" spans="1:36">
      <c r="A2" t="s">
        <v>209</v>
      </c>
      <c r="B2" t="s">
        <v>210</v>
      </c>
      <c r="C2" t="s">
        <v>211</v>
      </c>
      <c r="D2">
        <v>3</v>
      </c>
      <c r="E2" t="s">
        <v>212</v>
      </c>
      <c r="F2" t="s">
        <v>213</v>
      </c>
      <c r="G2" t="s">
        <v>214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2115.4232737838001</v>
      </c>
      <c r="R2">
        <v>1522.5572919837</v>
      </c>
      <c r="S2">
        <v>2.9232737838</v>
      </c>
      <c r="T2">
        <v>-10.057291983700001</v>
      </c>
      <c r="U2">
        <v>10.4735214546</v>
      </c>
      <c r="V2">
        <v>735.07749999999999</v>
      </c>
      <c r="W2">
        <v>382.85250000000002</v>
      </c>
      <c r="X2">
        <v>390.18950000000001</v>
      </c>
      <c r="Y2">
        <v>385.4248</v>
      </c>
      <c r="Z2">
        <v>386.68119999999999</v>
      </c>
      <c r="AA2">
        <v>560.68224999999995</v>
      </c>
      <c r="AB2" t="s">
        <v>221</v>
      </c>
      <c r="AC2" t="s">
        <v>222</v>
      </c>
      <c r="AD2" t="s">
        <v>223</v>
      </c>
      <c r="AE2" t="s">
        <v>224</v>
      </c>
      <c r="AF2" t="s">
        <v>225</v>
      </c>
      <c r="AG2">
        <v>7</v>
      </c>
      <c r="AH2" t="s">
        <v>226</v>
      </c>
      <c r="AJ2">
        <v>1</v>
      </c>
    </row>
    <row r="3" spans="1:36">
      <c r="A3" t="s">
        <v>227</v>
      </c>
      <c r="B3" t="s">
        <v>228</v>
      </c>
      <c r="C3" t="s">
        <v>211</v>
      </c>
      <c r="D3">
        <v>3</v>
      </c>
      <c r="E3" t="s">
        <v>212</v>
      </c>
      <c r="F3" t="s">
        <v>213</v>
      </c>
      <c r="G3" t="s">
        <v>214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2117.0155163426002</v>
      </c>
      <c r="R3">
        <v>1520.3362537267001</v>
      </c>
      <c r="S3">
        <v>4.5155163425999998</v>
      </c>
      <c r="T3">
        <v>-7.8362537266999999</v>
      </c>
      <c r="U3">
        <v>9.0441561414000002</v>
      </c>
      <c r="V3">
        <v>734.17010000000005</v>
      </c>
      <c r="W3">
        <v>384.37470000000002</v>
      </c>
      <c r="X3">
        <v>388.35789999999997</v>
      </c>
      <c r="Y3">
        <v>385.1995</v>
      </c>
      <c r="Z3">
        <v>384.96910000000003</v>
      </c>
      <c r="AA3">
        <v>559.94770000000005</v>
      </c>
      <c r="AB3" t="s">
        <v>221</v>
      </c>
      <c r="AC3" t="s">
        <v>222</v>
      </c>
      <c r="AD3" t="s">
        <v>223</v>
      </c>
      <c r="AE3" t="s">
        <v>224</v>
      </c>
      <c r="AF3" t="s">
        <v>225</v>
      </c>
      <c r="AG3">
        <v>7</v>
      </c>
      <c r="AH3" t="s">
        <v>226</v>
      </c>
      <c r="AJ3">
        <v>1</v>
      </c>
    </row>
    <row r="4" spans="1:36">
      <c r="A4" t="s">
        <v>546</v>
      </c>
      <c r="B4" t="s">
        <v>547</v>
      </c>
      <c r="C4" t="s">
        <v>211</v>
      </c>
      <c r="D4">
        <v>3</v>
      </c>
      <c r="E4" t="s">
        <v>212</v>
      </c>
      <c r="F4" t="s">
        <v>213</v>
      </c>
      <c r="G4" t="s">
        <v>214</v>
      </c>
      <c r="H4" t="s">
        <v>215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2115.2793705716999</v>
      </c>
      <c r="R4">
        <v>1521.5600596725001</v>
      </c>
      <c r="S4">
        <v>2.7793705716999999</v>
      </c>
      <c r="T4">
        <v>-9.0600596724999996</v>
      </c>
      <c r="U4">
        <v>9.4767917590999993</v>
      </c>
      <c r="V4">
        <v>734.90790000000004</v>
      </c>
      <c r="W4">
        <v>386.3433</v>
      </c>
      <c r="X4">
        <v>390.67250000000001</v>
      </c>
      <c r="Y4">
        <v>386.21280000000002</v>
      </c>
      <c r="Z4">
        <v>387.87630000000001</v>
      </c>
      <c r="AA4">
        <v>561.3420625</v>
      </c>
      <c r="AB4" t="s">
        <v>221</v>
      </c>
      <c r="AC4" t="s">
        <v>222</v>
      </c>
      <c r="AD4" t="s">
        <v>223</v>
      </c>
      <c r="AE4" t="s">
        <v>224</v>
      </c>
      <c r="AF4" t="s">
        <v>225</v>
      </c>
      <c r="AG4">
        <v>7</v>
      </c>
      <c r="AH4" t="s">
        <v>226</v>
      </c>
      <c r="AJ4">
        <v>1</v>
      </c>
    </row>
    <row r="5" spans="1:36">
      <c r="A5" t="s">
        <v>553</v>
      </c>
      <c r="B5" t="s">
        <v>554</v>
      </c>
      <c r="C5" t="s">
        <v>211</v>
      </c>
      <c r="D5">
        <v>3</v>
      </c>
      <c r="E5" t="s">
        <v>212</v>
      </c>
      <c r="F5" t="s">
        <v>213</v>
      </c>
      <c r="G5" t="s">
        <v>214</v>
      </c>
      <c r="H5" t="s">
        <v>215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2115.6184462040001</v>
      </c>
      <c r="R5">
        <v>1516.0002817884999</v>
      </c>
      <c r="S5">
        <v>3.1184462040000001</v>
      </c>
      <c r="T5">
        <v>-3.5002817885000002</v>
      </c>
      <c r="U5">
        <v>4.6879291084999997</v>
      </c>
      <c r="V5">
        <v>741.41129999999998</v>
      </c>
      <c r="W5">
        <v>385.9896</v>
      </c>
      <c r="X5">
        <v>392.3306</v>
      </c>
      <c r="Y5">
        <v>388.39370000000002</v>
      </c>
      <c r="Z5">
        <v>388.61559999999997</v>
      </c>
      <c r="AA5">
        <v>565.12183749999997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>
        <v>7</v>
      </c>
      <c r="AH5" t="s">
        <v>226</v>
      </c>
      <c r="AJ5">
        <v>1</v>
      </c>
    </row>
    <row r="6" spans="1:36">
      <c r="A6" t="s">
        <v>560</v>
      </c>
      <c r="B6" t="s">
        <v>561</v>
      </c>
      <c r="C6" t="s">
        <v>211</v>
      </c>
      <c r="D6">
        <v>3</v>
      </c>
      <c r="E6" t="s">
        <v>212</v>
      </c>
      <c r="F6" t="s">
        <v>213</v>
      </c>
      <c r="G6" t="s">
        <v>214</v>
      </c>
      <c r="H6" t="s">
        <v>215</v>
      </c>
      <c r="J6" t="s">
        <v>562</v>
      </c>
      <c r="K6" t="s">
        <v>563</v>
      </c>
      <c r="L6" t="s">
        <v>564</v>
      </c>
      <c r="M6" t="s">
        <v>565</v>
      </c>
      <c r="N6" t="s">
        <v>566</v>
      </c>
      <c r="O6">
        <v>0</v>
      </c>
      <c r="P6">
        <v>0</v>
      </c>
      <c r="Q6">
        <v>2115.9422457615001</v>
      </c>
      <c r="R6">
        <v>1516.5344302873</v>
      </c>
      <c r="S6">
        <v>3.4422457615000002</v>
      </c>
      <c r="T6">
        <v>-4.0344302873000002</v>
      </c>
      <c r="U6">
        <v>5.3033653113000003</v>
      </c>
      <c r="V6">
        <v>746.85</v>
      </c>
      <c r="W6">
        <v>393.02390000000003</v>
      </c>
      <c r="X6">
        <v>394.82279999999997</v>
      </c>
      <c r="Y6">
        <v>391.25529999999998</v>
      </c>
      <c r="Z6">
        <v>395.22989999999999</v>
      </c>
      <c r="AA6">
        <v>570.21648749999997</v>
      </c>
      <c r="AB6" t="s">
        <v>221</v>
      </c>
      <c r="AC6" t="s">
        <v>222</v>
      </c>
      <c r="AD6" t="s">
        <v>223</v>
      </c>
      <c r="AE6" t="s">
        <v>224</v>
      </c>
      <c r="AF6" t="s">
        <v>225</v>
      </c>
      <c r="AG6">
        <v>7</v>
      </c>
      <c r="AH6" t="s">
        <v>226</v>
      </c>
      <c r="AJ6">
        <v>1</v>
      </c>
    </row>
    <row r="7" spans="1:36">
      <c r="A7" t="s">
        <v>567</v>
      </c>
      <c r="B7" t="s">
        <v>568</v>
      </c>
      <c r="C7" t="s">
        <v>211</v>
      </c>
      <c r="D7">
        <v>3</v>
      </c>
      <c r="E7" t="s">
        <v>212</v>
      </c>
      <c r="F7" t="s">
        <v>213</v>
      </c>
      <c r="G7" t="s">
        <v>214</v>
      </c>
      <c r="H7" t="s">
        <v>215</v>
      </c>
      <c r="J7" t="s">
        <v>569</v>
      </c>
      <c r="K7" t="s">
        <v>570</v>
      </c>
      <c r="L7" t="s">
        <v>571</v>
      </c>
      <c r="M7" t="s">
        <v>572</v>
      </c>
      <c r="N7" t="s">
        <v>573</v>
      </c>
      <c r="O7">
        <v>0</v>
      </c>
      <c r="P7">
        <v>0</v>
      </c>
      <c r="Q7">
        <v>2114.9830689121</v>
      </c>
      <c r="R7">
        <v>1516.6990490815999</v>
      </c>
      <c r="S7">
        <v>2.4830689120999998</v>
      </c>
      <c r="T7">
        <v>-4.1990490816000001</v>
      </c>
      <c r="U7">
        <v>4.8782829367999998</v>
      </c>
      <c r="V7">
        <v>742.53560000000004</v>
      </c>
      <c r="W7">
        <v>388.6712</v>
      </c>
      <c r="X7">
        <v>392.23939999999999</v>
      </c>
      <c r="Y7">
        <v>389.84750000000003</v>
      </c>
      <c r="Z7">
        <v>390.87389999999999</v>
      </c>
      <c r="AA7">
        <v>566.47180000000003</v>
      </c>
      <c r="AB7" t="s">
        <v>221</v>
      </c>
      <c r="AC7" t="s">
        <v>222</v>
      </c>
      <c r="AD7" t="s">
        <v>223</v>
      </c>
      <c r="AE7" t="s">
        <v>224</v>
      </c>
      <c r="AF7" t="s">
        <v>225</v>
      </c>
      <c r="AG7">
        <v>7</v>
      </c>
      <c r="AH7" t="s">
        <v>226</v>
      </c>
      <c r="AJ7">
        <v>1</v>
      </c>
    </row>
    <row r="8" spans="1:36">
      <c r="A8" t="s">
        <v>596</v>
      </c>
      <c r="B8" t="s">
        <v>597</v>
      </c>
      <c r="C8" t="s">
        <v>211</v>
      </c>
      <c r="D8">
        <v>3</v>
      </c>
      <c r="E8" t="s">
        <v>212</v>
      </c>
      <c r="F8" t="s">
        <v>213</v>
      </c>
      <c r="G8" t="s">
        <v>214</v>
      </c>
      <c r="H8" t="s">
        <v>215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2117.5857357939999</v>
      </c>
      <c r="R8">
        <v>1517.6371387577001</v>
      </c>
      <c r="S8">
        <v>5.0857357939999996</v>
      </c>
      <c r="T8">
        <v>-5.1371387576999998</v>
      </c>
      <c r="U8">
        <v>7.2287552997000004</v>
      </c>
      <c r="V8">
        <v>734.97159999999997</v>
      </c>
      <c r="W8">
        <v>383.7527</v>
      </c>
      <c r="X8">
        <v>390.54180000000002</v>
      </c>
      <c r="Y8">
        <v>387.75650000000002</v>
      </c>
      <c r="Z8">
        <v>387.62389999999999</v>
      </c>
      <c r="AA8">
        <v>561.19516250000004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>
        <v>7</v>
      </c>
      <c r="AH8" t="s">
        <v>226</v>
      </c>
      <c r="AJ8">
        <v>1</v>
      </c>
    </row>
    <row r="9" spans="1:36">
      <c r="A9" t="s">
        <v>603</v>
      </c>
      <c r="B9" t="s">
        <v>604</v>
      </c>
      <c r="C9" t="s">
        <v>211</v>
      </c>
      <c r="D9">
        <v>3</v>
      </c>
      <c r="E9" t="s">
        <v>212</v>
      </c>
      <c r="F9" t="s">
        <v>213</v>
      </c>
      <c r="G9" t="s">
        <v>214</v>
      </c>
      <c r="H9" t="s">
        <v>215</v>
      </c>
      <c r="J9" t="s">
        <v>605</v>
      </c>
      <c r="K9" t="s">
        <v>606</v>
      </c>
      <c r="L9" t="s">
        <v>607</v>
      </c>
      <c r="M9" t="s">
        <v>608</v>
      </c>
      <c r="N9" t="s">
        <v>609</v>
      </c>
      <c r="O9">
        <v>0</v>
      </c>
      <c r="P9">
        <v>0</v>
      </c>
      <c r="Q9">
        <v>2116.4732583194</v>
      </c>
      <c r="R9">
        <v>1519.5288749532001</v>
      </c>
      <c r="S9">
        <v>3.9732583194000002</v>
      </c>
      <c r="T9">
        <v>-7.0288749531999999</v>
      </c>
      <c r="U9">
        <v>8.0741479291000005</v>
      </c>
      <c r="V9">
        <v>748.20270000000005</v>
      </c>
      <c r="W9">
        <v>392.88389999999998</v>
      </c>
      <c r="X9">
        <v>398.43340000000001</v>
      </c>
      <c r="Y9">
        <v>391.39980000000003</v>
      </c>
      <c r="Z9">
        <v>395.22300000000001</v>
      </c>
      <c r="AA9">
        <v>571.3438625</v>
      </c>
      <c r="AB9" t="s">
        <v>221</v>
      </c>
      <c r="AC9" t="s">
        <v>222</v>
      </c>
      <c r="AD9" t="s">
        <v>223</v>
      </c>
      <c r="AE9" t="s">
        <v>224</v>
      </c>
      <c r="AF9" t="s">
        <v>225</v>
      </c>
      <c r="AG9">
        <v>7</v>
      </c>
      <c r="AH9" t="s">
        <v>226</v>
      </c>
      <c r="AJ9">
        <v>1</v>
      </c>
    </row>
    <row r="10" spans="1:36">
      <c r="A10" t="s">
        <v>623</v>
      </c>
      <c r="B10" t="s">
        <v>624</v>
      </c>
      <c r="C10" t="s">
        <v>211</v>
      </c>
      <c r="D10">
        <v>3</v>
      </c>
      <c r="E10" t="s">
        <v>212</v>
      </c>
      <c r="F10" t="s">
        <v>213</v>
      </c>
      <c r="G10" t="s">
        <v>214</v>
      </c>
      <c r="H10" t="s">
        <v>215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2123.0573420121</v>
      </c>
      <c r="R10">
        <v>1521.0295777297999</v>
      </c>
      <c r="S10">
        <v>10.557342012099999</v>
      </c>
      <c r="T10">
        <v>-8.5295777297999997</v>
      </c>
      <c r="U10">
        <v>13.5724414388</v>
      </c>
      <c r="V10">
        <v>721.51689999999996</v>
      </c>
      <c r="W10">
        <v>379.82870000000003</v>
      </c>
      <c r="X10">
        <v>386.08980000000003</v>
      </c>
      <c r="Y10">
        <v>377.86360000000002</v>
      </c>
      <c r="Z10">
        <v>383.53870000000001</v>
      </c>
      <c r="AA10">
        <v>551.67354999999998</v>
      </c>
      <c r="AB10" t="s">
        <v>221</v>
      </c>
      <c r="AC10" t="s">
        <v>222</v>
      </c>
      <c r="AD10" t="s">
        <v>223</v>
      </c>
      <c r="AE10" t="s">
        <v>224</v>
      </c>
      <c r="AF10" t="s">
        <v>225</v>
      </c>
      <c r="AG10">
        <v>7</v>
      </c>
      <c r="AH10" t="s">
        <v>226</v>
      </c>
      <c r="AJ10">
        <v>1</v>
      </c>
    </row>
    <row r="11" spans="1:36">
      <c r="A11" t="s">
        <v>630</v>
      </c>
      <c r="B11" t="s">
        <v>631</v>
      </c>
      <c r="C11" t="s">
        <v>211</v>
      </c>
      <c r="D11">
        <v>3</v>
      </c>
      <c r="E11" t="s">
        <v>212</v>
      </c>
      <c r="F11" t="s">
        <v>213</v>
      </c>
      <c r="G11" t="s">
        <v>214</v>
      </c>
      <c r="H11" t="s">
        <v>215</v>
      </c>
      <c r="J11" t="s">
        <v>632</v>
      </c>
      <c r="K11" t="s">
        <v>633</v>
      </c>
      <c r="L11" t="s">
        <v>634</v>
      </c>
      <c r="M11" t="s">
        <v>635</v>
      </c>
      <c r="N11" t="s">
        <v>636</v>
      </c>
      <c r="O11">
        <v>0</v>
      </c>
      <c r="P11">
        <v>0</v>
      </c>
      <c r="Q11">
        <v>2115.3653073342002</v>
      </c>
      <c r="R11">
        <v>1515.6913621409999</v>
      </c>
      <c r="S11">
        <v>2.8653073342000002</v>
      </c>
      <c r="T11">
        <v>-3.1913621409999999</v>
      </c>
      <c r="U11">
        <v>4.2889134329000003</v>
      </c>
      <c r="V11">
        <v>747.13739999999996</v>
      </c>
      <c r="W11">
        <v>390.61649999999997</v>
      </c>
      <c r="X11">
        <v>393.70729999999998</v>
      </c>
      <c r="Y11">
        <v>392.41520000000003</v>
      </c>
      <c r="Z11">
        <v>390.5401</v>
      </c>
      <c r="AA11">
        <v>569.4785875</v>
      </c>
      <c r="AB11" t="s">
        <v>221</v>
      </c>
      <c r="AC11" t="s">
        <v>222</v>
      </c>
      <c r="AD11" t="s">
        <v>223</v>
      </c>
      <c r="AE11" t="s">
        <v>224</v>
      </c>
      <c r="AF11" t="s">
        <v>225</v>
      </c>
      <c r="AG11">
        <v>7</v>
      </c>
      <c r="AH11" t="s">
        <v>226</v>
      </c>
      <c r="AJ11">
        <v>1</v>
      </c>
    </row>
    <row r="12" spans="1:36">
      <c r="A12" t="s">
        <v>637</v>
      </c>
      <c r="B12" t="s">
        <v>638</v>
      </c>
      <c r="C12" t="s">
        <v>211</v>
      </c>
      <c r="D12">
        <v>3</v>
      </c>
      <c r="E12" t="s">
        <v>212</v>
      </c>
      <c r="F12" t="s">
        <v>213</v>
      </c>
      <c r="G12" t="s">
        <v>214</v>
      </c>
      <c r="H12" t="s">
        <v>215</v>
      </c>
      <c r="J12" t="s">
        <v>639</v>
      </c>
      <c r="K12" t="s">
        <v>640</v>
      </c>
      <c r="L12" t="s">
        <v>641</v>
      </c>
      <c r="M12" t="s">
        <v>642</v>
      </c>
      <c r="N12" t="s">
        <v>643</v>
      </c>
      <c r="O12">
        <v>0</v>
      </c>
      <c r="P12">
        <v>0</v>
      </c>
      <c r="Q12">
        <v>2113.8524278627001</v>
      </c>
      <c r="R12">
        <v>1520.379061974</v>
      </c>
      <c r="S12">
        <v>1.3524278626999999</v>
      </c>
      <c r="T12">
        <v>-7.8790619739999999</v>
      </c>
      <c r="U12">
        <v>7.9942903821</v>
      </c>
      <c r="V12">
        <v>733.41139999999996</v>
      </c>
      <c r="W12">
        <v>385.28559999999999</v>
      </c>
      <c r="X12">
        <v>388.25510000000003</v>
      </c>
      <c r="Y12">
        <v>387.41079999999999</v>
      </c>
      <c r="Z12">
        <v>383.86169999999998</v>
      </c>
      <c r="AA12">
        <v>559.80735000000004</v>
      </c>
      <c r="AB12" t="s">
        <v>221</v>
      </c>
      <c r="AC12" t="s">
        <v>222</v>
      </c>
      <c r="AD12" t="s">
        <v>223</v>
      </c>
      <c r="AE12" t="s">
        <v>224</v>
      </c>
      <c r="AF12" t="s">
        <v>225</v>
      </c>
      <c r="AG12">
        <v>7</v>
      </c>
      <c r="AH12" t="s">
        <v>226</v>
      </c>
      <c r="AJ12">
        <v>1</v>
      </c>
    </row>
    <row r="13" spans="1:36">
      <c r="A13" t="s">
        <v>656</v>
      </c>
      <c r="B13" t="s">
        <v>657</v>
      </c>
      <c r="C13" t="s">
        <v>211</v>
      </c>
      <c r="D13">
        <v>3</v>
      </c>
      <c r="E13" t="s">
        <v>212</v>
      </c>
      <c r="F13" t="s">
        <v>213</v>
      </c>
      <c r="G13" t="s">
        <v>214</v>
      </c>
      <c r="H13" t="s">
        <v>215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2115.0210557587998</v>
      </c>
      <c r="R13">
        <v>1522.9209010535999</v>
      </c>
      <c r="S13">
        <v>2.5210557588000002</v>
      </c>
      <c r="T13">
        <v>-10.4209010536</v>
      </c>
      <c r="U13">
        <v>10.7215157933</v>
      </c>
      <c r="V13">
        <v>735.63009999999997</v>
      </c>
      <c r="W13">
        <v>387.39960000000002</v>
      </c>
      <c r="X13">
        <v>387.98020000000002</v>
      </c>
      <c r="Y13">
        <v>385.76530000000002</v>
      </c>
      <c r="Z13">
        <v>387.11430000000001</v>
      </c>
      <c r="AA13">
        <v>561.34747500000003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>
        <v>7</v>
      </c>
      <c r="AH13" t="s">
        <v>226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234</v>
      </c>
      <c r="R1" t="s">
        <v>235</v>
      </c>
      <c r="S1" t="s">
        <v>236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248</v>
      </c>
      <c r="AF1" t="s">
        <v>249</v>
      </c>
      <c r="AG1" t="s">
        <v>250</v>
      </c>
      <c r="AH1" t="s">
        <v>251</v>
      </c>
      <c r="AI1" t="s">
        <v>252</v>
      </c>
      <c r="AJ1" t="s">
        <v>253</v>
      </c>
      <c r="AK1" t="s">
        <v>254</v>
      </c>
      <c r="AL1" t="s">
        <v>255</v>
      </c>
      <c r="AM1" t="s">
        <v>256</v>
      </c>
      <c r="AN1" t="s">
        <v>257</v>
      </c>
      <c r="AO1" t="s">
        <v>258</v>
      </c>
      <c r="AP1" t="s">
        <v>259</v>
      </c>
      <c r="AQ1" t="s">
        <v>260</v>
      </c>
      <c r="AR1" t="s">
        <v>261</v>
      </c>
      <c r="AS1" t="s">
        <v>262</v>
      </c>
      <c r="AT1" t="s">
        <v>263</v>
      </c>
      <c r="AU1" t="s">
        <v>264</v>
      </c>
      <c r="AV1" t="s">
        <v>206</v>
      </c>
      <c r="AW1" t="s">
        <v>207</v>
      </c>
      <c r="AX1" t="s">
        <v>208</v>
      </c>
    </row>
    <row r="2" spans="1:50">
      <c r="A2" t="s">
        <v>265</v>
      </c>
      <c r="B2" t="s">
        <v>266</v>
      </c>
      <c r="C2" t="s">
        <v>211</v>
      </c>
      <c r="D2">
        <v>3</v>
      </c>
      <c r="E2" t="s">
        <v>212</v>
      </c>
      <c r="F2" t="s">
        <v>213</v>
      </c>
      <c r="G2" t="s">
        <v>267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-3.1471299999999998E-5</v>
      </c>
      <c r="R2">
        <v>4.7211561202999999</v>
      </c>
      <c r="S2">
        <v>2.2227621077999999</v>
      </c>
      <c r="T2">
        <v>-7.2708797455000003</v>
      </c>
      <c r="U2">
        <v>-2.9889128208</v>
      </c>
      <c r="V2">
        <v>4.0003089904999998</v>
      </c>
      <c r="W2">
        <v>-1.2829904556</v>
      </c>
      <c r="X2">
        <v>0.71179521079999997</v>
      </c>
      <c r="Y2">
        <v>3.6293337344999999</v>
      </c>
      <c r="Z2">
        <v>-8.7539493999999995E-2</v>
      </c>
      <c r="AA2">
        <v>1.2799903154000001</v>
      </c>
      <c r="AB2">
        <v>0.51499682660000001</v>
      </c>
      <c r="AC2">
        <v>-1.2527891396999999</v>
      </c>
      <c r="AD2">
        <v>1.2990074158</v>
      </c>
      <c r="AE2">
        <v>-0.1318525076</v>
      </c>
      <c r="AF2">
        <v>-0.1076651812</v>
      </c>
      <c r="AG2">
        <v>-0.1967649162</v>
      </c>
      <c r="AH2">
        <v>-0.26347997779999999</v>
      </c>
      <c r="AI2">
        <v>2.6842773E-2</v>
      </c>
      <c r="AJ2">
        <v>-0.54295551779999995</v>
      </c>
      <c r="AK2">
        <v>2.3317220000000001E-4</v>
      </c>
      <c r="AL2">
        <v>4.9994379300000003E-2</v>
      </c>
      <c r="AM2">
        <v>0.1008946151</v>
      </c>
      <c r="AN2">
        <v>8.6499825099999997E-2</v>
      </c>
      <c r="AO2">
        <v>0.1039616838</v>
      </c>
      <c r="AP2">
        <v>0.14878565069999999</v>
      </c>
      <c r="AQ2">
        <v>5.2182359568000001</v>
      </c>
      <c r="AR2" t="s">
        <v>268</v>
      </c>
      <c r="AS2" t="s">
        <v>269</v>
      </c>
      <c r="AT2">
        <v>3</v>
      </c>
      <c r="AU2">
        <v>2.9</v>
      </c>
      <c r="AX2">
        <v>1</v>
      </c>
    </row>
    <row r="3" spans="1:50">
      <c r="A3" t="s">
        <v>574</v>
      </c>
      <c r="B3" t="s">
        <v>575</v>
      </c>
      <c r="C3" t="s">
        <v>211</v>
      </c>
      <c r="D3">
        <v>3</v>
      </c>
      <c r="E3" t="s">
        <v>212</v>
      </c>
      <c r="F3" t="s">
        <v>213</v>
      </c>
      <c r="G3" t="s">
        <v>267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-1.51396E-5</v>
      </c>
      <c r="R3">
        <v>4.8459386825999999</v>
      </c>
      <c r="S3">
        <v>11.1458568573</v>
      </c>
      <c r="T3">
        <v>-4.8178205490000003</v>
      </c>
      <c r="U3">
        <v>3.7720227242000002</v>
      </c>
      <c r="V3">
        <v>1.4776768683999999</v>
      </c>
      <c r="W3">
        <v>-0.43382614850000001</v>
      </c>
      <c r="X3">
        <v>-5.3538503647000004</v>
      </c>
      <c r="Y3">
        <v>4.1514964104000001</v>
      </c>
      <c r="Z3">
        <v>0.58719444269999999</v>
      </c>
      <c r="AA3">
        <v>0.3563756347</v>
      </c>
      <c r="AB3">
        <v>-2.0673666000000002</v>
      </c>
      <c r="AC3">
        <v>-0.52945792680000003</v>
      </c>
      <c r="AD3">
        <v>0.23667544130000001</v>
      </c>
      <c r="AE3">
        <v>1.5905178785</v>
      </c>
      <c r="AF3">
        <v>-0.92525005339999999</v>
      </c>
      <c r="AG3">
        <v>0.33630704880000001</v>
      </c>
      <c r="AH3">
        <v>-0.24356198309999999</v>
      </c>
      <c r="AI3">
        <v>-0.1399234533</v>
      </c>
      <c r="AJ3">
        <v>0.46540892119999999</v>
      </c>
      <c r="AK3">
        <v>1.9399559999999999E-4</v>
      </c>
      <c r="AL3">
        <v>4.6578977299999998E-2</v>
      </c>
      <c r="AM3">
        <v>7.7469311700000001E-2</v>
      </c>
      <c r="AN3">
        <v>0.24132516979999999</v>
      </c>
      <c r="AO3">
        <v>0.24132516979999999</v>
      </c>
      <c r="AP3">
        <v>0.2726123929</v>
      </c>
      <c r="AQ3">
        <v>12.153733862399999</v>
      </c>
      <c r="AR3" t="s">
        <v>268</v>
      </c>
      <c r="AS3" t="s">
        <v>269</v>
      </c>
      <c r="AT3">
        <v>3</v>
      </c>
      <c r="AU3">
        <v>2.9</v>
      </c>
      <c r="AX3">
        <v>1</v>
      </c>
    </row>
    <row r="4" spans="1:50">
      <c r="A4" t="s">
        <v>576</v>
      </c>
      <c r="B4" t="s">
        <v>577</v>
      </c>
      <c r="C4" t="s">
        <v>211</v>
      </c>
      <c r="D4">
        <v>3</v>
      </c>
      <c r="E4" t="s">
        <v>212</v>
      </c>
      <c r="F4" t="s">
        <v>213</v>
      </c>
      <c r="G4" t="s">
        <v>267</v>
      </c>
      <c r="H4" t="s">
        <v>215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3.1471299999999998E-5</v>
      </c>
      <c r="R4">
        <v>5.8418903351000004</v>
      </c>
      <c r="S4">
        <v>9.6402587891000007</v>
      </c>
      <c r="T4">
        <v>-3.8369262218000002</v>
      </c>
      <c r="U4">
        <v>3.2174508571999998</v>
      </c>
      <c r="V4">
        <v>0.81536853310000001</v>
      </c>
      <c r="W4">
        <v>-2.1681575775000002</v>
      </c>
      <c r="X4">
        <v>-3.2373933791999998</v>
      </c>
      <c r="Y4">
        <v>3.0822854041999999</v>
      </c>
      <c r="Z4">
        <v>0.55489253999999999</v>
      </c>
      <c r="AA4">
        <v>0.78617155549999995</v>
      </c>
      <c r="AB4">
        <v>-1.5495222807</v>
      </c>
      <c r="AC4">
        <v>-9.5686674099999994E-2</v>
      </c>
      <c r="AD4">
        <v>0.52034145590000003</v>
      </c>
      <c r="AE4">
        <v>0.68593752379999995</v>
      </c>
      <c r="AF4">
        <v>-0.60235309599999998</v>
      </c>
      <c r="AG4">
        <v>0.56503522399999995</v>
      </c>
      <c r="AH4">
        <v>-0.197286129</v>
      </c>
      <c r="AI4">
        <v>-2.1742582000000002E-3</v>
      </c>
      <c r="AJ4">
        <v>-3.4191489200000001E-2</v>
      </c>
      <c r="AK4">
        <v>2.012351E-4</v>
      </c>
      <c r="AL4">
        <v>4.89223674E-2</v>
      </c>
      <c r="AM4">
        <v>0.10468328</v>
      </c>
      <c r="AN4">
        <v>0.17555513980000001</v>
      </c>
      <c r="AO4">
        <v>0.19337008889999999</v>
      </c>
      <c r="AP4">
        <v>0.20963793989999999</v>
      </c>
      <c r="AQ4">
        <v>11.2721902134</v>
      </c>
      <c r="AR4" t="s">
        <v>268</v>
      </c>
      <c r="AS4" t="s">
        <v>269</v>
      </c>
      <c r="AT4">
        <v>3</v>
      </c>
      <c r="AU4">
        <v>2.9</v>
      </c>
      <c r="AX4">
        <v>1</v>
      </c>
    </row>
    <row r="5" spans="1:50">
      <c r="A5" t="s">
        <v>578</v>
      </c>
      <c r="B5" t="s">
        <v>579</v>
      </c>
      <c r="C5" t="s">
        <v>211</v>
      </c>
      <c r="D5">
        <v>3</v>
      </c>
      <c r="E5" t="s">
        <v>212</v>
      </c>
      <c r="F5" t="s">
        <v>213</v>
      </c>
      <c r="G5" t="s">
        <v>267</v>
      </c>
      <c r="H5" t="s">
        <v>215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-3.8147000000000001E-6</v>
      </c>
      <c r="R5">
        <v>1.467097044</v>
      </c>
      <c r="S5">
        <v>6.6099987029999996</v>
      </c>
      <c r="T5">
        <v>-7.1296539307</v>
      </c>
      <c r="U5">
        <v>1.5529236794000001</v>
      </c>
      <c r="V5">
        <v>1.7725284100000001</v>
      </c>
      <c r="W5">
        <v>1.4887588024</v>
      </c>
      <c r="X5">
        <v>-1.8444828986999999</v>
      </c>
      <c r="Y5">
        <v>4.0304102897999998</v>
      </c>
      <c r="Z5">
        <v>0.88818788530000004</v>
      </c>
      <c r="AA5">
        <v>1.2545621395</v>
      </c>
      <c r="AB5">
        <v>-1.3054513931</v>
      </c>
      <c r="AC5">
        <v>-0.72797626260000003</v>
      </c>
      <c r="AD5">
        <v>-1.4551196098000001</v>
      </c>
      <c r="AE5">
        <v>0.87825649979999998</v>
      </c>
      <c r="AF5">
        <v>-0.95249360800000005</v>
      </c>
      <c r="AG5">
        <v>-2.33972333E-2</v>
      </c>
      <c r="AH5">
        <v>-0.60392963889999995</v>
      </c>
      <c r="AI5">
        <v>2.3372679899999999E-2</v>
      </c>
      <c r="AJ5">
        <v>-0.43296495080000003</v>
      </c>
      <c r="AK5">
        <v>3.186749E-4</v>
      </c>
      <c r="AL5">
        <v>5.9576503900000001E-2</v>
      </c>
      <c r="AM5">
        <v>4.63254601E-2</v>
      </c>
      <c r="AN5">
        <v>0.1164289266</v>
      </c>
      <c r="AO5">
        <v>0.1164289266</v>
      </c>
      <c r="AP5">
        <v>0.1804018617</v>
      </c>
      <c r="AQ5">
        <v>6.7708534609999997</v>
      </c>
      <c r="AR5" t="s">
        <v>268</v>
      </c>
      <c r="AS5" t="s">
        <v>269</v>
      </c>
      <c r="AT5">
        <v>3</v>
      </c>
      <c r="AU5">
        <v>2.9</v>
      </c>
      <c r="AX5">
        <v>1</v>
      </c>
    </row>
    <row r="6" spans="1:50">
      <c r="A6" t="s">
        <v>580</v>
      </c>
      <c r="B6" t="s">
        <v>581</v>
      </c>
      <c r="C6" t="s">
        <v>211</v>
      </c>
      <c r="D6">
        <v>3</v>
      </c>
      <c r="E6" t="s">
        <v>212</v>
      </c>
      <c r="F6" t="s">
        <v>213</v>
      </c>
      <c r="G6" t="s">
        <v>267</v>
      </c>
      <c r="H6" t="s">
        <v>215</v>
      </c>
      <c r="J6" t="s">
        <v>562</v>
      </c>
      <c r="K6" t="s">
        <v>563</v>
      </c>
      <c r="L6" t="s">
        <v>564</v>
      </c>
      <c r="M6" t="s">
        <v>565</v>
      </c>
      <c r="N6" t="s">
        <v>566</v>
      </c>
      <c r="O6">
        <v>0</v>
      </c>
      <c r="P6">
        <v>0</v>
      </c>
      <c r="Q6">
        <v>2.5451200000000001E-5</v>
      </c>
      <c r="R6">
        <v>5.9649105071999999</v>
      </c>
      <c r="S6">
        <v>0.44897872210000001</v>
      </c>
      <c r="T6">
        <v>-7.3252797126999996</v>
      </c>
      <c r="U6">
        <v>-0.44474673269999998</v>
      </c>
      <c r="V6">
        <v>-3.3571701049999998</v>
      </c>
      <c r="W6">
        <v>-3.2833566666</v>
      </c>
      <c r="X6">
        <v>0.57412552829999997</v>
      </c>
      <c r="Y6">
        <v>4.7973718642999996</v>
      </c>
      <c r="Z6">
        <v>1.0011086464000001</v>
      </c>
      <c r="AA6">
        <v>1.2079019547000001</v>
      </c>
      <c r="AB6">
        <v>0.35956189039999997</v>
      </c>
      <c r="AC6">
        <v>1.5612432957</v>
      </c>
      <c r="AD6">
        <v>0.85039812329999998</v>
      </c>
      <c r="AE6">
        <v>-0.76235294340000004</v>
      </c>
      <c r="AF6">
        <v>-0.76079833509999995</v>
      </c>
      <c r="AG6">
        <v>0.37929353119999998</v>
      </c>
      <c r="AH6">
        <v>0.73249220849999996</v>
      </c>
      <c r="AI6">
        <v>-0.46109968420000003</v>
      </c>
      <c r="AJ6">
        <v>-0.20062136650000001</v>
      </c>
      <c r="AK6">
        <v>2.3129760000000001E-4</v>
      </c>
      <c r="AL6">
        <v>5.21324575E-2</v>
      </c>
      <c r="AM6">
        <v>0.12540096040000001</v>
      </c>
      <c r="AN6">
        <v>8.2050360700000005E-2</v>
      </c>
      <c r="AO6">
        <v>0.12540096040000001</v>
      </c>
      <c r="AP6">
        <v>0.19477209449999999</v>
      </c>
      <c r="AQ6">
        <v>5.9817839522999998</v>
      </c>
      <c r="AR6" t="s">
        <v>268</v>
      </c>
      <c r="AS6" t="s">
        <v>269</v>
      </c>
      <c r="AT6">
        <v>3</v>
      </c>
      <c r="AU6">
        <v>2.9</v>
      </c>
      <c r="AX6">
        <v>1</v>
      </c>
    </row>
    <row r="7" spans="1:50">
      <c r="A7" t="s">
        <v>610</v>
      </c>
      <c r="B7" t="s">
        <v>611</v>
      </c>
      <c r="C7" t="s">
        <v>211</v>
      </c>
      <c r="D7">
        <v>3</v>
      </c>
      <c r="E7" t="s">
        <v>212</v>
      </c>
      <c r="F7" t="s">
        <v>213</v>
      </c>
      <c r="G7" t="s">
        <v>267</v>
      </c>
      <c r="H7" t="s">
        <v>215</v>
      </c>
      <c r="J7" t="s">
        <v>569</v>
      </c>
      <c r="K7" t="s">
        <v>570</v>
      </c>
      <c r="L7" t="s">
        <v>571</v>
      </c>
      <c r="M7" t="s">
        <v>572</v>
      </c>
      <c r="N7" t="s">
        <v>573</v>
      </c>
      <c r="O7">
        <v>0</v>
      </c>
      <c r="P7">
        <v>0</v>
      </c>
      <c r="Q7">
        <v>-2.8490999999999999E-5</v>
      </c>
      <c r="R7">
        <v>3.3948178291</v>
      </c>
      <c r="S7">
        <v>2.5019454955999998</v>
      </c>
      <c r="T7">
        <v>-7.5900201796999998</v>
      </c>
      <c r="U7">
        <v>-1.1916270255999999</v>
      </c>
      <c r="V7">
        <v>3.0316343307000002</v>
      </c>
      <c r="W7">
        <v>-1.6073621511</v>
      </c>
      <c r="X7">
        <v>-3.0211582184000001</v>
      </c>
      <c r="Y7">
        <v>3.4430680274999999</v>
      </c>
      <c r="Z7">
        <v>1.2279655933</v>
      </c>
      <c r="AA7">
        <v>-2.9661774599999999E-2</v>
      </c>
      <c r="AB7">
        <v>0.20423126220000001</v>
      </c>
      <c r="AC7">
        <v>-1.4863381386000001</v>
      </c>
      <c r="AD7">
        <v>2.7881145499999999E-2</v>
      </c>
      <c r="AE7">
        <v>1.4266695975999999</v>
      </c>
      <c r="AF7">
        <v>-4.73737121E-2</v>
      </c>
      <c r="AG7">
        <v>4.2728871100000003E-2</v>
      </c>
      <c r="AH7">
        <v>-0.49035039540000003</v>
      </c>
      <c r="AI7">
        <v>8.9090138700000002E-2</v>
      </c>
      <c r="AJ7">
        <v>0.2526533306</v>
      </c>
      <c r="AK7">
        <v>1.8158120000000001E-4</v>
      </c>
      <c r="AL7">
        <v>4.4319406200000001E-2</v>
      </c>
      <c r="AM7">
        <v>9.4913110100000003E-2</v>
      </c>
      <c r="AN7">
        <v>8.9050799599999994E-2</v>
      </c>
      <c r="AO7">
        <v>0.1170556098</v>
      </c>
      <c r="AP7">
        <v>0.15064403409999999</v>
      </c>
      <c r="AQ7">
        <v>4.2171695906000002</v>
      </c>
      <c r="AR7" t="s">
        <v>268</v>
      </c>
      <c r="AS7" t="s">
        <v>269</v>
      </c>
      <c r="AT7">
        <v>3</v>
      </c>
      <c r="AU7">
        <v>2.9</v>
      </c>
      <c r="AX7">
        <v>1</v>
      </c>
    </row>
    <row r="8" spans="1:50">
      <c r="A8" t="s">
        <v>612</v>
      </c>
      <c r="B8" t="s">
        <v>613</v>
      </c>
      <c r="C8" t="s">
        <v>211</v>
      </c>
      <c r="D8">
        <v>3</v>
      </c>
      <c r="E8" t="s">
        <v>212</v>
      </c>
      <c r="F8" t="s">
        <v>213</v>
      </c>
      <c r="G8" t="s">
        <v>267</v>
      </c>
      <c r="H8" t="s">
        <v>215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7.1529999999999995E-7</v>
      </c>
      <c r="R8">
        <v>-4.1076421699999997E-2</v>
      </c>
      <c r="S8">
        <v>0.17337816950000001</v>
      </c>
      <c r="T8">
        <v>-10.065364837600001</v>
      </c>
      <c r="U8">
        <v>-1.9801585674</v>
      </c>
      <c r="V8">
        <v>7.1103963851999996</v>
      </c>
      <c r="W8">
        <v>-1.2908993958999999</v>
      </c>
      <c r="X8">
        <v>-2.5039203166999999</v>
      </c>
      <c r="Y8">
        <v>4.9847035408</v>
      </c>
      <c r="Z8">
        <v>0.37855839730000002</v>
      </c>
      <c r="AA8">
        <v>-1.1144469976</v>
      </c>
      <c r="AB8">
        <v>0.39812305570000001</v>
      </c>
      <c r="AC8">
        <v>-3.1348311900999999</v>
      </c>
      <c r="AD8">
        <v>-0.2322191596</v>
      </c>
      <c r="AE8">
        <v>0.97575390340000001</v>
      </c>
      <c r="AF8">
        <v>-0.39335078000000001</v>
      </c>
      <c r="AG8">
        <v>-0.58159446719999996</v>
      </c>
      <c r="AH8">
        <v>-0.46721637249999998</v>
      </c>
      <c r="AI8">
        <v>0.54989445209999999</v>
      </c>
      <c r="AJ8">
        <v>0.36498954890000002</v>
      </c>
      <c r="AK8">
        <v>2.8589080000000002E-4</v>
      </c>
      <c r="AL8">
        <v>5.4867640099999997E-2</v>
      </c>
      <c r="AM8">
        <v>0.136391595</v>
      </c>
      <c r="AN8">
        <v>0.12509508429999999</v>
      </c>
      <c r="AO8">
        <v>0.136391595</v>
      </c>
      <c r="AP8">
        <v>0.2090771645</v>
      </c>
      <c r="AQ8">
        <v>0.1781776139</v>
      </c>
      <c r="AR8" t="s">
        <v>268</v>
      </c>
      <c r="AS8" t="s">
        <v>269</v>
      </c>
      <c r="AT8">
        <v>3</v>
      </c>
      <c r="AU8">
        <v>2.9</v>
      </c>
      <c r="AX8">
        <v>1</v>
      </c>
    </row>
    <row r="9" spans="1:50">
      <c r="A9" t="s">
        <v>614</v>
      </c>
      <c r="B9" t="s">
        <v>615</v>
      </c>
      <c r="C9" t="s">
        <v>211</v>
      </c>
      <c r="D9">
        <v>3</v>
      </c>
      <c r="E9" t="s">
        <v>212</v>
      </c>
      <c r="F9" t="s">
        <v>213</v>
      </c>
      <c r="G9" t="s">
        <v>267</v>
      </c>
      <c r="H9" t="s">
        <v>215</v>
      </c>
      <c r="J9" t="s">
        <v>605</v>
      </c>
      <c r="K9" t="s">
        <v>606</v>
      </c>
      <c r="L9" t="s">
        <v>607</v>
      </c>
      <c r="M9" t="s">
        <v>608</v>
      </c>
      <c r="N9" t="s">
        <v>609</v>
      </c>
      <c r="O9">
        <v>0</v>
      </c>
      <c r="P9">
        <v>0</v>
      </c>
      <c r="Q9">
        <v>9.6560000000000004E-6</v>
      </c>
      <c r="R9">
        <v>4.4962363242999999</v>
      </c>
      <c r="S9">
        <v>4.2950372695999999</v>
      </c>
      <c r="T9">
        <v>-3.8801286221</v>
      </c>
      <c r="U9">
        <v>9.9590864182000001</v>
      </c>
      <c r="V9">
        <v>-1.6779357195</v>
      </c>
      <c r="W9">
        <v>-2.110820055</v>
      </c>
      <c r="X9">
        <v>-1.014896512</v>
      </c>
      <c r="Y9">
        <v>3.1361875534000001</v>
      </c>
      <c r="Z9">
        <v>-3.8489103300000001E-2</v>
      </c>
      <c r="AA9">
        <v>1.2267279625</v>
      </c>
      <c r="AB9">
        <v>-2.3864550591000002</v>
      </c>
      <c r="AC9">
        <v>-5.6226254000000002E-3</v>
      </c>
      <c r="AD9">
        <v>0.61393594740000001</v>
      </c>
      <c r="AE9">
        <v>0.1587039828</v>
      </c>
      <c r="AF9">
        <v>-0.3282862902</v>
      </c>
      <c r="AG9">
        <v>1.7089064120999999</v>
      </c>
      <c r="AH9">
        <v>-0.20978188510000001</v>
      </c>
      <c r="AI9">
        <v>0.7152634859</v>
      </c>
      <c r="AJ9">
        <v>0.41110694409999998</v>
      </c>
      <c r="AK9">
        <v>2.1240739999999999E-4</v>
      </c>
      <c r="AL9">
        <v>4.6788848899999999E-2</v>
      </c>
      <c r="AM9">
        <v>7.56076574E-2</v>
      </c>
      <c r="AN9">
        <v>7.4226103700000004E-2</v>
      </c>
      <c r="AO9">
        <v>0.232650727</v>
      </c>
      <c r="AP9">
        <v>0.232650727</v>
      </c>
      <c r="AQ9">
        <v>6.2179969629</v>
      </c>
      <c r="AR9" t="s">
        <v>268</v>
      </c>
      <c r="AS9" t="s">
        <v>269</v>
      </c>
      <c r="AT9">
        <v>4</v>
      </c>
      <c r="AU9">
        <v>2.9</v>
      </c>
      <c r="AX9">
        <v>1</v>
      </c>
    </row>
    <row r="10" spans="1:50">
      <c r="A10" t="s">
        <v>644</v>
      </c>
      <c r="B10" t="s">
        <v>645</v>
      </c>
      <c r="C10" t="s">
        <v>211</v>
      </c>
      <c r="D10">
        <v>3</v>
      </c>
      <c r="E10" t="s">
        <v>212</v>
      </c>
      <c r="F10" t="s">
        <v>213</v>
      </c>
      <c r="G10" t="s">
        <v>267</v>
      </c>
      <c r="H10" t="s">
        <v>215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3.5703200000000001E-5</v>
      </c>
      <c r="R10">
        <v>5.9797883000000003E-2</v>
      </c>
      <c r="S10">
        <v>8.5682659148999996</v>
      </c>
      <c r="T10">
        <v>-2.2395150661000001</v>
      </c>
      <c r="U10">
        <v>6.9425930976999997</v>
      </c>
      <c r="V10">
        <v>-1.1701691151</v>
      </c>
      <c r="W10">
        <v>-0.48730430009999998</v>
      </c>
      <c r="X10">
        <v>-5.4451131821000001</v>
      </c>
      <c r="Y10">
        <v>2.4547100067000001</v>
      </c>
      <c r="Z10">
        <v>-0.66244834659999996</v>
      </c>
      <c r="AA10">
        <v>-0.70886111259999995</v>
      </c>
      <c r="AB10">
        <v>-1.9158804416999999</v>
      </c>
      <c r="AC10">
        <v>-4.5201778400000003E-2</v>
      </c>
      <c r="AD10">
        <v>0.40725511310000001</v>
      </c>
      <c r="AE10">
        <v>2.0950613022</v>
      </c>
      <c r="AF10">
        <v>-0.2593813539</v>
      </c>
      <c r="AG10">
        <v>1.1565084457000001</v>
      </c>
      <c r="AH10">
        <v>0.49009579419999999</v>
      </c>
      <c r="AI10">
        <v>3.8719832900000001E-2</v>
      </c>
      <c r="AJ10">
        <v>0.61116421219999995</v>
      </c>
      <c r="AK10">
        <v>1.745525E-4</v>
      </c>
      <c r="AL10">
        <v>4.3316878400000002E-2</v>
      </c>
      <c r="AM10">
        <v>2.5223195600000001E-2</v>
      </c>
      <c r="AN10">
        <v>0.2242558748</v>
      </c>
      <c r="AO10">
        <v>0.2242558748</v>
      </c>
      <c r="AP10">
        <v>0.24177509550000001</v>
      </c>
      <c r="AQ10">
        <v>8.5684745768999999</v>
      </c>
      <c r="AR10" t="s">
        <v>268</v>
      </c>
      <c r="AS10" t="s">
        <v>269</v>
      </c>
      <c r="AT10">
        <v>3</v>
      </c>
      <c r="AU10">
        <v>2.9</v>
      </c>
      <c r="AX10">
        <v>1</v>
      </c>
    </row>
    <row r="11" spans="1:50">
      <c r="A11" t="s">
        <v>646</v>
      </c>
      <c r="B11" t="s">
        <v>647</v>
      </c>
      <c r="C11" t="s">
        <v>211</v>
      </c>
      <c r="D11">
        <v>3</v>
      </c>
      <c r="E11" t="s">
        <v>212</v>
      </c>
      <c r="F11" t="s">
        <v>213</v>
      </c>
      <c r="G11" t="s">
        <v>267</v>
      </c>
      <c r="H11" t="s">
        <v>215</v>
      </c>
      <c r="J11" t="s">
        <v>632</v>
      </c>
      <c r="K11" t="s">
        <v>633</v>
      </c>
      <c r="L11" t="s">
        <v>634</v>
      </c>
      <c r="M11" t="s">
        <v>635</v>
      </c>
      <c r="N11" t="s">
        <v>636</v>
      </c>
      <c r="O11">
        <v>0</v>
      </c>
      <c r="P11">
        <v>0</v>
      </c>
      <c r="Q11">
        <v>1.5974E-5</v>
      </c>
      <c r="R11">
        <v>-5.1566624641000001</v>
      </c>
      <c r="S11">
        <v>10.2106561661</v>
      </c>
      <c r="T11">
        <v>-4.7291860579999998</v>
      </c>
      <c r="U11">
        <v>0.49451518059999999</v>
      </c>
      <c r="V11">
        <v>4.5004787444999996</v>
      </c>
      <c r="W11">
        <v>-1.1951417923000001</v>
      </c>
      <c r="X11">
        <v>-5.0077314377000004</v>
      </c>
      <c r="Y11">
        <v>2.9802536964000002</v>
      </c>
      <c r="Z11">
        <v>-0.45074686409999998</v>
      </c>
      <c r="AA11">
        <v>-0.59311956170000002</v>
      </c>
      <c r="AB11">
        <v>-0.19555422659999999</v>
      </c>
      <c r="AC11">
        <v>-1.3516829014</v>
      </c>
      <c r="AD11">
        <v>0.50233227010000003</v>
      </c>
      <c r="AE11">
        <v>1.8833497763</v>
      </c>
      <c r="AF11">
        <v>-1.7154574400000001E-2</v>
      </c>
      <c r="AG11">
        <v>3.5334099100000002E-2</v>
      </c>
      <c r="AH11">
        <v>7.43488073E-2</v>
      </c>
      <c r="AI11">
        <v>0.1404309869</v>
      </c>
      <c r="AJ11">
        <v>0.54740136859999999</v>
      </c>
      <c r="AK11">
        <v>2.1221780000000001E-4</v>
      </c>
      <c r="AL11">
        <v>4.64935899E-2</v>
      </c>
      <c r="AM11">
        <v>9.7384899900000002E-2</v>
      </c>
      <c r="AN11">
        <v>0.23833985630000001</v>
      </c>
      <c r="AO11">
        <v>0.23833985630000001</v>
      </c>
      <c r="AP11">
        <v>0.23833985630000001</v>
      </c>
      <c r="AQ11">
        <v>11.438910223900001</v>
      </c>
      <c r="AR11" t="s">
        <v>268</v>
      </c>
      <c r="AS11" t="s">
        <v>269</v>
      </c>
      <c r="AT11">
        <v>3</v>
      </c>
      <c r="AU11">
        <v>2.9</v>
      </c>
      <c r="AX11">
        <v>1</v>
      </c>
    </row>
    <row r="12" spans="1:50">
      <c r="A12" t="s">
        <v>663</v>
      </c>
      <c r="B12" t="s">
        <v>664</v>
      </c>
      <c r="C12" t="s">
        <v>211</v>
      </c>
      <c r="D12">
        <v>3</v>
      </c>
      <c r="E12" t="s">
        <v>212</v>
      </c>
      <c r="F12" t="s">
        <v>213</v>
      </c>
      <c r="G12" t="s">
        <v>267</v>
      </c>
      <c r="H12" t="s">
        <v>215</v>
      </c>
      <c r="J12" t="s">
        <v>639</v>
      </c>
      <c r="K12" t="s">
        <v>640</v>
      </c>
      <c r="L12" t="s">
        <v>641</v>
      </c>
      <c r="M12" t="s">
        <v>642</v>
      </c>
      <c r="N12" t="s">
        <v>643</v>
      </c>
      <c r="O12">
        <v>0</v>
      </c>
      <c r="P12">
        <v>0</v>
      </c>
      <c r="Q12">
        <v>-2.9921500000000001E-5</v>
      </c>
      <c r="R12">
        <v>-6.0913562775000001</v>
      </c>
      <c r="S12">
        <v>5.8566961288000003</v>
      </c>
      <c r="T12">
        <v>-4.5824122429000003</v>
      </c>
      <c r="U12">
        <v>3.3939456940000001</v>
      </c>
      <c r="V12">
        <v>4.3605508803999999</v>
      </c>
      <c r="W12">
        <v>0.78160274029999999</v>
      </c>
      <c r="X12">
        <v>-2.8342752456999998</v>
      </c>
      <c r="Y12">
        <v>3.0984697342</v>
      </c>
      <c r="Z12">
        <v>0.38835287089999998</v>
      </c>
      <c r="AA12">
        <v>0.38787472249999999</v>
      </c>
      <c r="AB12">
        <v>-1.0764036179000001</v>
      </c>
      <c r="AC12">
        <v>-1.73092103</v>
      </c>
      <c r="AD12">
        <v>-0.63701969390000002</v>
      </c>
      <c r="AE12">
        <v>1.4524059296</v>
      </c>
      <c r="AF12">
        <v>-0.70096027849999998</v>
      </c>
      <c r="AG12">
        <v>0.32779505850000001</v>
      </c>
      <c r="AH12">
        <v>0.54819744829999995</v>
      </c>
      <c r="AI12">
        <v>0.52195400000000003</v>
      </c>
      <c r="AJ12">
        <v>-2.77775377E-2</v>
      </c>
      <c r="AK12">
        <v>1.7809710000000001E-4</v>
      </c>
      <c r="AL12">
        <v>4.29750271E-2</v>
      </c>
      <c r="AM12">
        <v>0.1267531365</v>
      </c>
      <c r="AN12">
        <v>0.14308571819999999</v>
      </c>
      <c r="AO12">
        <v>0.14814265069999999</v>
      </c>
      <c r="AP12">
        <v>0.20672398810000001</v>
      </c>
      <c r="AQ12">
        <v>8.4501781545999997</v>
      </c>
      <c r="AR12" t="s">
        <v>268</v>
      </c>
      <c r="AS12" t="s">
        <v>269</v>
      </c>
      <c r="AT12">
        <v>3</v>
      </c>
      <c r="AU12">
        <v>2.9</v>
      </c>
      <c r="AX12">
        <v>1</v>
      </c>
    </row>
    <row r="13" spans="1:50">
      <c r="A13" t="s">
        <v>666</v>
      </c>
      <c r="B13" t="s">
        <v>667</v>
      </c>
      <c r="C13" t="s">
        <v>211</v>
      </c>
      <c r="D13">
        <v>3</v>
      </c>
      <c r="E13" t="s">
        <v>212</v>
      </c>
      <c r="F13" t="s">
        <v>213</v>
      </c>
      <c r="G13" t="s">
        <v>267</v>
      </c>
      <c r="H13" t="s">
        <v>215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-7.5101999999999997E-6</v>
      </c>
      <c r="R13">
        <v>2.6265168189999999</v>
      </c>
      <c r="S13">
        <v>5.3966178893999999</v>
      </c>
      <c r="T13">
        <v>-7.9363169669999998</v>
      </c>
      <c r="U13">
        <v>-0.69741457699999998</v>
      </c>
      <c r="V13">
        <v>1.5476381778999999</v>
      </c>
      <c r="W13">
        <v>1.0985598564000001</v>
      </c>
      <c r="X13">
        <v>-0.83540749550000004</v>
      </c>
      <c r="Y13">
        <v>3.8968923092000001</v>
      </c>
      <c r="Z13">
        <v>-0.59171980619999998</v>
      </c>
      <c r="AA13">
        <v>4.30761874E-2</v>
      </c>
      <c r="AB13">
        <v>-0.89355677369999997</v>
      </c>
      <c r="AC13">
        <v>-0.18503081800000001</v>
      </c>
      <c r="AD13">
        <v>-0.64119827750000002</v>
      </c>
      <c r="AE13">
        <v>-0.4518709481</v>
      </c>
      <c r="AF13">
        <v>-1.0808782578</v>
      </c>
      <c r="AG13">
        <v>0.1144370437</v>
      </c>
      <c r="AH13">
        <v>-0.21971106530000001</v>
      </c>
      <c r="AI13">
        <v>0.56769227980000003</v>
      </c>
      <c r="AJ13">
        <v>0.6951090097</v>
      </c>
      <c r="AK13">
        <v>1.6329730000000001E-4</v>
      </c>
      <c r="AL13">
        <v>4.0635392100000001E-2</v>
      </c>
      <c r="AM13">
        <v>4.2870446999999999E-2</v>
      </c>
      <c r="AN13">
        <v>0.1071698219</v>
      </c>
      <c r="AO13">
        <v>0.1071698219</v>
      </c>
      <c r="AP13">
        <v>0.16911000009999999</v>
      </c>
      <c r="AQ13">
        <v>6.0018393218000003</v>
      </c>
      <c r="AR13" t="s">
        <v>268</v>
      </c>
      <c r="AS13" t="s">
        <v>269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270</v>
      </c>
      <c r="R1" t="s">
        <v>271</v>
      </c>
      <c r="S1" t="s">
        <v>272</v>
      </c>
      <c r="T1" t="s">
        <v>273</v>
      </c>
      <c r="U1" t="s">
        <v>274</v>
      </c>
      <c r="V1" t="s">
        <v>275</v>
      </c>
      <c r="W1" t="s">
        <v>276</v>
      </c>
      <c r="X1" t="s">
        <v>277</v>
      </c>
      <c r="Y1" t="s">
        <v>278</v>
      </c>
      <c r="Z1" t="s">
        <v>279</v>
      </c>
      <c r="AA1" t="s">
        <v>280</v>
      </c>
      <c r="AB1" t="s">
        <v>281</v>
      </c>
      <c r="AC1" t="s">
        <v>282</v>
      </c>
      <c r="AD1" t="s">
        <v>206</v>
      </c>
      <c r="AE1" t="s">
        <v>207</v>
      </c>
      <c r="AF1" t="s">
        <v>208</v>
      </c>
    </row>
    <row r="2" spans="1:32">
      <c r="A2" t="s">
        <v>265</v>
      </c>
      <c r="B2" t="s">
        <v>283</v>
      </c>
      <c r="C2" t="s">
        <v>211</v>
      </c>
      <c r="D2">
        <v>3</v>
      </c>
      <c r="E2" t="s">
        <v>212</v>
      </c>
      <c r="F2" t="s">
        <v>213</v>
      </c>
      <c r="G2" t="s">
        <v>267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2.3460410557000002</v>
      </c>
      <c r="R2">
        <v>16</v>
      </c>
      <c r="S2">
        <v>101.4928438283</v>
      </c>
      <c r="T2">
        <v>92.4889729203</v>
      </c>
      <c r="U2">
        <v>3.8254321166</v>
      </c>
      <c r="V2">
        <v>5.4885836000000002E-3</v>
      </c>
      <c r="W2">
        <v>-7.4235300000000004E-5</v>
      </c>
      <c r="X2">
        <v>3.7889220672000001</v>
      </c>
      <c r="Y2">
        <v>101.1920568556</v>
      </c>
      <c r="Z2">
        <v>86.130006358599999</v>
      </c>
      <c r="AA2">
        <v>330.34582706480001</v>
      </c>
      <c r="AB2">
        <v>353.40111179510001</v>
      </c>
      <c r="AC2">
        <v>1</v>
      </c>
      <c r="AF2">
        <v>1</v>
      </c>
    </row>
    <row r="3" spans="1:32">
      <c r="A3" t="s">
        <v>574</v>
      </c>
      <c r="B3" t="s">
        <v>582</v>
      </c>
      <c r="C3" t="s">
        <v>211</v>
      </c>
      <c r="D3">
        <v>3</v>
      </c>
      <c r="E3" t="s">
        <v>212</v>
      </c>
      <c r="F3" t="s">
        <v>213</v>
      </c>
      <c r="G3" t="s">
        <v>267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1.1730205279000001</v>
      </c>
      <c r="R3">
        <v>8</v>
      </c>
      <c r="S3">
        <v>100.7961505841</v>
      </c>
      <c r="T3">
        <v>96.2994073176</v>
      </c>
      <c r="U3">
        <v>3.8280573127999999</v>
      </c>
      <c r="V3">
        <v>4.7043705999999996E-3</v>
      </c>
      <c r="W3">
        <v>-7.4130199999999997E-5</v>
      </c>
      <c r="X3">
        <v>3.7499065868999999</v>
      </c>
      <c r="Y3">
        <v>100.59580196180001</v>
      </c>
      <c r="Z3">
        <v>82.5587608899</v>
      </c>
      <c r="AA3">
        <v>321.0300069502</v>
      </c>
      <c r="AB3">
        <v>343.22513713860002</v>
      </c>
      <c r="AC3">
        <v>1</v>
      </c>
      <c r="AF3">
        <v>1</v>
      </c>
    </row>
    <row r="4" spans="1:32">
      <c r="A4" t="s">
        <v>576</v>
      </c>
      <c r="B4" t="s">
        <v>583</v>
      </c>
      <c r="C4" t="s">
        <v>211</v>
      </c>
      <c r="D4">
        <v>3</v>
      </c>
      <c r="E4" t="s">
        <v>212</v>
      </c>
      <c r="F4" t="s">
        <v>213</v>
      </c>
      <c r="G4" t="s">
        <v>267</v>
      </c>
      <c r="H4" t="s">
        <v>215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1.1730205279000001</v>
      </c>
      <c r="R4">
        <v>8</v>
      </c>
      <c r="S4">
        <v>100.0427856391</v>
      </c>
      <c r="T4">
        <v>95.584235073299993</v>
      </c>
      <c r="U4">
        <v>3.7958053798</v>
      </c>
      <c r="V4">
        <v>4.4321615999999998E-3</v>
      </c>
      <c r="W4">
        <v>-6.5436499999999996E-5</v>
      </c>
      <c r="X4">
        <v>3.7458357479000002</v>
      </c>
      <c r="Y4">
        <v>99.542962610499998</v>
      </c>
      <c r="Z4">
        <v>81.042829882600003</v>
      </c>
      <c r="AA4">
        <v>323.0885936322</v>
      </c>
      <c r="AB4">
        <v>347.6396831143</v>
      </c>
      <c r="AC4">
        <v>1</v>
      </c>
      <c r="AF4">
        <v>1</v>
      </c>
    </row>
    <row r="5" spans="1:32">
      <c r="A5" t="s">
        <v>578</v>
      </c>
      <c r="B5" t="s">
        <v>584</v>
      </c>
      <c r="C5" t="s">
        <v>211</v>
      </c>
      <c r="D5">
        <v>3</v>
      </c>
      <c r="E5" t="s">
        <v>212</v>
      </c>
      <c r="F5" t="s">
        <v>213</v>
      </c>
      <c r="G5" t="s">
        <v>267</v>
      </c>
      <c r="H5" t="s">
        <v>215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2.3460410557000002</v>
      </c>
      <c r="R5">
        <v>16</v>
      </c>
      <c r="S5">
        <v>103.6562543199</v>
      </c>
      <c r="T5">
        <v>94.849152035900005</v>
      </c>
      <c r="U5">
        <v>3.7436266424000002</v>
      </c>
      <c r="V5">
        <v>4.5798278000000001E-3</v>
      </c>
      <c r="W5">
        <v>-6.2457099999999995E-5</v>
      </c>
      <c r="X5">
        <v>3.7001525434000002</v>
      </c>
      <c r="Y5">
        <v>102.5540530625</v>
      </c>
      <c r="Z5">
        <v>84.815211163100003</v>
      </c>
      <c r="AA5">
        <v>330.3077014369</v>
      </c>
      <c r="AB5">
        <v>354.89122995610001</v>
      </c>
      <c r="AC5">
        <v>1</v>
      </c>
      <c r="AF5">
        <v>1</v>
      </c>
    </row>
    <row r="6" spans="1:32">
      <c r="A6" t="s">
        <v>580</v>
      </c>
      <c r="B6" t="s">
        <v>585</v>
      </c>
      <c r="C6" t="s">
        <v>211</v>
      </c>
      <c r="D6">
        <v>3</v>
      </c>
      <c r="E6" t="s">
        <v>212</v>
      </c>
      <c r="F6" t="s">
        <v>213</v>
      </c>
      <c r="G6" t="s">
        <v>267</v>
      </c>
      <c r="H6" t="s">
        <v>215</v>
      </c>
      <c r="J6" t="s">
        <v>562</v>
      </c>
      <c r="K6" t="s">
        <v>563</v>
      </c>
      <c r="L6" t="s">
        <v>564</v>
      </c>
      <c r="M6" t="s">
        <v>565</v>
      </c>
      <c r="N6" t="s">
        <v>566</v>
      </c>
      <c r="O6">
        <v>0</v>
      </c>
      <c r="P6">
        <v>0</v>
      </c>
      <c r="Q6">
        <v>1.1730205279000001</v>
      </c>
      <c r="R6">
        <v>8</v>
      </c>
      <c r="S6">
        <v>93.935503289500005</v>
      </c>
      <c r="T6">
        <v>89.437060022200001</v>
      </c>
      <c r="U6">
        <v>3.8305687339999999</v>
      </c>
      <c r="V6">
        <v>3.7819921000000001E-3</v>
      </c>
      <c r="W6">
        <v>-5.9741499999999997E-5</v>
      </c>
      <c r="X6">
        <v>3.7436616069999999</v>
      </c>
      <c r="Y6">
        <v>93.534792985699994</v>
      </c>
      <c r="Z6">
        <v>74.256954498200002</v>
      </c>
      <c r="AA6">
        <v>338.09683197380002</v>
      </c>
      <c r="AB6">
        <v>362.89237344449998</v>
      </c>
      <c r="AC6">
        <v>1</v>
      </c>
      <c r="AF6">
        <v>1</v>
      </c>
    </row>
    <row r="7" spans="1:32">
      <c r="A7" t="s">
        <v>610</v>
      </c>
      <c r="B7" t="s">
        <v>616</v>
      </c>
      <c r="C7" t="s">
        <v>211</v>
      </c>
      <c r="D7">
        <v>3</v>
      </c>
      <c r="E7" t="s">
        <v>212</v>
      </c>
      <c r="F7" t="s">
        <v>213</v>
      </c>
      <c r="G7" t="s">
        <v>267</v>
      </c>
      <c r="H7" t="s">
        <v>215</v>
      </c>
      <c r="J7" t="s">
        <v>569</v>
      </c>
      <c r="K7" t="s">
        <v>570</v>
      </c>
      <c r="L7" t="s">
        <v>571</v>
      </c>
      <c r="M7" t="s">
        <v>572</v>
      </c>
      <c r="N7" t="s">
        <v>573</v>
      </c>
      <c r="O7">
        <v>0</v>
      </c>
      <c r="P7">
        <v>0</v>
      </c>
      <c r="Q7">
        <v>2.3460410557000002</v>
      </c>
      <c r="R7">
        <v>16</v>
      </c>
      <c r="S7">
        <v>99.460966380499997</v>
      </c>
      <c r="T7">
        <v>90.293252018399997</v>
      </c>
      <c r="U7">
        <v>3.8966211716000001</v>
      </c>
      <c r="V7">
        <v>4.9060750999999998E-3</v>
      </c>
      <c r="W7">
        <v>-7.1363499999999995E-5</v>
      </c>
      <c r="X7">
        <v>3.8581316992999999</v>
      </c>
      <c r="Y7">
        <v>99.360579127400001</v>
      </c>
      <c r="Z7">
        <v>78.826301630900005</v>
      </c>
      <c r="AA7">
        <v>319.36616351520001</v>
      </c>
      <c r="AB7">
        <v>345.74669018119999</v>
      </c>
      <c r="AC7">
        <v>1</v>
      </c>
      <c r="AF7">
        <v>1</v>
      </c>
    </row>
    <row r="8" spans="1:32">
      <c r="A8" t="s">
        <v>612</v>
      </c>
      <c r="B8" t="s">
        <v>617</v>
      </c>
      <c r="C8" t="s">
        <v>211</v>
      </c>
      <c r="D8">
        <v>3</v>
      </c>
      <c r="E8" t="s">
        <v>212</v>
      </c>
      <c r="F8" t="s">
        <v>213</v>
      </c>
      <c r="G8" t="s">
        <v>267</v>
      </c>
      <c r="H8" t="s">
        <v>215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0</v>
      </c>
      <c r="R8">
        <v>0</v>
      </c>
      <c r="S8">
        <v>87.191389491799995</v>
      </c>
      <c r="T8">
        <v>87.191389491799995</v>
      </c>
      <c r="U8">
        <v>3.7406250736</v>
      </c>
      <c r="V8">
        <v>3.6133656000000001E-3</v>
      </c>
      <c r="W8">
        <v>-6.2615199999999996E-5</v>
      </c>
      <c r="X8">
        <v>3.6232207856</v>
      </c>
      <c r="Y8">
        <v>86.990721490499993</v>
      </c>
      <c r="Z8">
        <v>68.040242754499999</v>
      </c>
      <c r="AA8">
        <v>330.57523264060001</v>
      </c>
      <c r="AB8">
        <v>352.79250050989998</v>
      </c>
      <c r="AC8">
        <v>1</v>
      </c>
      <c r="AF8">
        <v>1</v>
      </c>
    </row>
    <row r="9" spans="1:32">
      <c r="A9" t="s">
        <v>614</v>
      </c>
      <c r="B9" t="s">
        <v>618</v>
      </c>
      <c r="C9" t="s">
        <v>211</v>
      </c>
      <c r="D9">
        <v>3</v>
      </c>
      <c r="E9" t="s">
        <v>212</v>
      </c>
      <c r="F9" t="s">
        <v>213</v>
      </c>
      <c r="G9" t="s">
        <v>267</v>
      </c>
      <c r="H9" t="s">
        <v>215</v>
      </c>
      <c r="J9" t="s">
        <v>605</v>
      </c>
      <c r="K9" t="s">
        <v>606</v>
      </c>
      <c r="L9" t="s">
        <v>607</v>
      </c>
      <c r="M9" t="s">
        <v>608</v>
      </c>
      <c r="N9" t="s">
        <v>609</v>
      </c>
      <c r="O9">
        <v>0</v>
      </c>
      <c r="P9">
        <v>0</v>
      </c>
      <c r="Q9">
        <v>0</v>
      </c>
      <c r="R9">
        <v>0</v>
      </c>
      <c r="S9">
        <v>97.226607282100005</v>
      </c>
      <c r="T9">
        <v>97.226607282100005</v>
      </c>
      <c r="U9">
        <v>3.7696152033999999</v>
      </c>
      <c r="V9">
        <v>5.6724968999999998E-3</v>
      </c>
      <c r="W9">
        <v>-7.2960799999999994E-5</v>
      </c>
      <c r="X9">
        <v>3.7707287535999998</v>
      </c>
      <c r="Y9">
        <v>96.824909356500001</v>
      </c>
      <c r="Z9">
        <v>83.619427168399994</v>
      </c>
      <c r="AA9">
        <v>322.39633134870002</v>
      </c>
      <c r="AB9">
        <v>348.23405191310002</v>
      </c>
      <c r="AC9">
        <v>1</v>
      </c>
      <c r="AF9">
        <v>1</v>
      </c>
    </row>
    <row r="10" spans="1:32">
      <c r="A10" t="s">
        <v>644</v>
      </c>
      <c r="B10" t="s">
        <v>648</v>
      </c>
      <c r="C10" t="s">
        <v>211</v>
      </c>
      <c r="D10">
        <v>3</v>
      </c>
      <c r="E10" t="s">
        <v>212</v>
      </c>
      <c r="F10" t="s">
        <v>213</v>
      </c>
      <c r="G10" t="s">
        <v>267</v>
      </c>
      <c r="H10" t="s">
        <v>215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0</v>
      </c>
      <c r="R10">
        <v>0</v>
      </c>
      <c r="S10">
        <v>101.5579131758</v>
      </c>
      <c r="T10">
        <v>101.5579131758</v>
      </c>
      <c r="U10">
        <v>3.7982793126000001</v>
      </c>
      <c r="V10">
        <v>5.1307111000000001E-3</v>
      </c>
      <c r="W10">
        <v>-7.5922799999999998E-5</v>
      </c>
      <c r="X10">
        <v>3.7505324681999999</v>
      </c>
      <c r="Y10">
        <v>100.7561365263</v>
      </c>
      <c r="Z10">
        <v>84.553885367700005</v>
      </c>
      <c r="AA10">
        <v>318.82289679989998</v>
      </c>
      <c r="AB10">
        <v>343.85506409139998</v>
      </c>
      <c r="AC10">
        <v>1</v>
      </c>
      <c r="AF10">
        <v>1</v>
      </c>
    </row>
    <row r="11" spans="1:32">
      <c r="A11" t="s">
        <v>646</v>
      </c>
      <c r="B11" t="s">
        <v>649</v>
      </c>
      <c r="C11" t="s">
        <v>211</v>
      </c>
      <c r="D11">
        <v>3</v>
      </c>
      <c r="E11" t="s">
        <v>212</v>
      </c>
      <c r="F11" t="s">
        <v>213</v>
      </c>
      <c r="G11" t="s">
        <v>267</v>
      </c>
      <c r="H11" t="s">
        <v>215</v>
      </c>
      <c r="J11" t="s">
        <v>632</v>
      </c>
      <c r="K11" t="s">
        <v>633</v>
      </c>
      <c r="L11" t="s">
        <v>634</v>
      </c>
      <c r="M11" t="s">
        <v>635</v>
      </c>
      <c r="N11" t="s">
        <v>636</v>
      </c>
      <c r="O11">
        <v>0</v>
      </c>
      <c r="P11">
        <v>0</v>
      </c>
      <c r="Q11">
        <v>2.3460410557000002</v>
      </c>
      <c r="R11">
        <v>16</v>
      </c>
      <c r="S11">
        <v>101.4237691838</v>
      </c>
      <c r="T11">
        <v>92.362251244700005</v>
      </c>
      <c r="U11">
        <v>3.8502373996000001</v>
      </c>
      <c r="V11">
        <v>5.3930786000000001E-3</v>
      </c>
      <c r="W11">
        <v>-7.5902799999999994E-5</v>
      </c>
      <c r="X11">
        <v>3.82058103</v>
      </c>
      <c r="Y11">
        <v>101.0230489632</v>
      </c>
      <c r="Z11">
        <v>87.018572508600002</v>
      </c>
      <c r="AA11">
        <v>316.1438208436</v>
      </c>
      <c r="AB11">
        <v>340.22086239560002</v>
      </c>
      <c r="AC11">
        <v>1</v>
      </c>
      <c r="AF11">
        <v>1</v>
      </c>
    </row>
    <row r="12" spans="1:32">
      <c r="A12" t="s">
        <v>663</v>
      </c>
      <c r="B12" t="s">
        <v>665</v>
      </c>
      <c r="C12" t="s">
        <v>211</v>
      </c>
      <c r="D12">
        <v>3</v>
      </c>
      <c r="E12" t="s">
        <v>212</v>
      </c>
      <c r="F12" t="s">
        <v>213</v>
      </c>
      <c r="G12" t="s">
        <v>267</v>
      </c>
      <c r="H12" t="s">
        <v>215</v>
      </c>
      <c r="J12" t="s">
        <v>639</v>
      </c>
      <c r="K12" t="s">
        <v>640</v>
      </c>
      <c r="L12" t="s">
        <v>641</v>
      </c>
      <c r="M12" t="s">
        <v>642</v>
      </c>
      <c r="N12" t="s">
        <v>643</v>
      </c>
      <c r="O12">
        <v>0</v>
      </c>
      <c r="P12">
        <v>0</v>
      </c>
      <c r="Q12">
        <v>0</v>
      </c>
      <c r="R12">
        <v>0</v>
      </c>
      <c r="S12">
        <v>103.3170915446</v>
      </c>
      <c r="T12">
        <v>103.3170915446</v>
      </c>
      <c r="U12">
        <v>3.7556750382000001</v>
      </c>
      <c r="V12">
        <v>4.3406516000000003E-3</v>
      </c>
      <c r="W12">
        <v>-6.5518600000000007E-5</v>
      </c>
      <c r="X12">
        <v>3.7089629302999998</v>
      </c>
      <c r="Y12">
        <v>102.2049955662</v>
      </c>
      <c r="Z12">
        <v>84.051473050200002</v>
      </c>
      <c r="AA12">
        <v>316.14487843450001</v>
      </c>
      <c r="AB12">
        <v>340.88196619680002</v>
      </c>
      <c r="AC12">
        <v>1</v>
      </c>
      <c r="AF12">
        <v>1</v>
      </c>
    </row>
    <row r="13" spans="1:32">
      <c r="A13" t="s">
        <v>666</v>
      </c>
      <c r="B13" t="s">
        <v>668</v>
      </c>
      <c r="C13" t="s">
        <v>211</v>
      </c>
      <c r="D13">
        <v>3</v>
      </c>
      <c r="E13" t="s">
        <v>212</v>
      </c>
      <c r="F13" t="s">
        <v>213</v>
      </c>
      <c r="G13" t="s">
        <v>267</v>
      </c>
      <c r="H13" t="s">
        <v>215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1.1730205279000001</v>
      </c>
      <c r="R13">
        <v>8</v>
      </c>
      <c r="S13">
        <v>99.0650729738</v>
      </c>
      <c r="T13">
        <v>94.685605817799996</v>
      </c>
      <c r="U13">
        <v>3.7280567497999999</v>
      </c>
      <c r="V13">
        <v>4.7151370000000003E-3</v>
      </c>
      <c r="W13">
        <v>-6.6826600000000002E-5</v>
      </c>
      <c r="X13">
        <v>3.6898718401999999</v>
      </c>
      <c r="Y13">
        <v>98.964378145300003</v>
      </c>
      <c r="Z13">
        <v>79.598546007600007</v>
      </c>
      <c r="AA13">
        <v>317.94139002430001</v>
      </c>
      <c r="AB13">
        <v>341.49665637509997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284</v>
      </c>
      <c r="R1" t="s">
        <v>285</v>
      </c>
      <c r="S1" t="s">
        <v>286</v>
      </c>
      <c r="T1" t="s">
        <v>287</v>
      </c>
      <c r="U1" t="s">
        <v>288</v>
      </c>
      <c r="V1" t="s">
        <v>289</v>
      </c>
      <c r="W1" t="s">
        <v>290</v>
      </c>
      <c r="X1" t="s">
        <v>291</v>
      </c>
      <c r="Y1" t="s">
        <v>292</v>
      </c>
      <c r="Z1" t="s">
        <v>293</v>
      </c>
      <c r="AA1" t="s">
        <v>294</v>
      </c>
      <c r="AB1" t="s">
        <v>295</v>
      </c>
      <c r="AC1" t="s">
        <v>296</v>
      </c>
      <c r="AD1" t="s">
        <v>297</v>
      </c>
      <c r="AE1" t="s">
        <v>298</v>
      </c>
      <c r="AF1" t="s">
        <v>299</v>
      </c>
      <c r="AG1" t="s">
        <v>300</v>
      </c>
      <c r="AH1" t="s">
        <v>301</v>
      </c>
      <c r="AI1" t="s">
        <v>302</v>
      </c>
      <c r="AJ1" t="s">
        <v>303</v>
      </c>
      <c r="AK1" t="s">
        <v>304</v>
      </c>
      <c r="AL1" t="s">
        <v>305</v>
      </c>
      <c r="AM1" t="s">
        <v>306</v>
      </c>
      <c r="AN1" t="s">
        <v>307</v>
      </c>
      <c r="AO1" t="s">
        <v>308</v>
      </c>
      <c r="AP1" t="s">
        <v>309</v>
      </c>
      <c r="AQ1" t="s">
        <v>310</v>
      </c>
      <c r="AR1" t="s">
        <v>311</v>
      </c>
      <c r="AS1" t="s">
        <v>312</v>
      </c>
      <c r="AT1" t="s">
        <v>313</v>
      </c>
      <c r="AU1" t="s">
        <v>314</v>
      </c>
      <c r="AV1" t="s">
        <v>315</v>
      </c>
      <c r="AW1" t="s">
        <v>316</v>
      </c>
      <c r="AX1" t="s">
        <v>317</v>
      </c>
      <c r="AY1" t="s">
        <v>318</v>
      </c>
      <c r="AZ1" t="s">
        <v>319</v>
      </c>
      <c r="BA1" t="s">
        <v>320</v>
      </c>
      <c r="BB1" t="s">
        <v>321</v>
      </c>
      <c r="BC1" t="s">
        <v>322</v>
      </c>
      <c r="BD1" t="s">
        <v>323</v>
      </c>
      <c r="BE1" t="s">
        <v>324</v>
      </c>
      <c r="BF1" t="s">
        <v>325</v>
      </c>
      <c r="BG1" t="s">
        <v>326</v>
      </c>
      <c r="BH1" t="s">
        <v>327</v>
      </c>
      <c r="BI1" t="s">
        <v>328</v>
      </c>
      <c r="BJ1" t="s">
        <v>329</v>
      </c>
      <c r="BK1" t="s">
        <v>330</v>
      </c>
      <c r="BL1" t="s">
        <v>331</v>
      </c>
      <c r="BM1" t="s">
        <v>332</v>
      </c>
      <c r="BN1" t="s">
        <v>333</v>
      </c>
      <c r="BO1" t="s">
        <v>334</v>
      </c>
      <c r="BP1" t="s">
        <v>335</v>
      </c>
      <c r="BQ1" t="s">
        <v>336</v>
      </c>
      <c r="BR1" t="s">
        <v>337</v>
      </c>
      <c r="BS1" t="s">
        <v>338</v>
      </c>
      <c r="BT1" t="s">
        <v>339</v>
      </c>
      <c r="BU1" t="s">
        <v>340</v>
      </c>
      <c r="BV1" t="s">
        <v>341</v>
      </c>
      <c r="BW1" t="s">
        <v>342</v>
      </c>
      <c r="BX1" t="s">
        <v>343</v>
      </c>
      <c r="BY1" t="s">
        <v>344</v>
      </c>
      <c r="BZ1" t="s">
        <v>345</v>
      </c>
      <c r="CA1" t="s">
        <v>346</v>
      </c>
      <c r="CB1" t="s">
        <v>347</v>
      </c>
      <c r="CC1" t="s">
        <v>348</v>
      </c>
      <c r="CD1" t="s">
        <v>349</v>
      </c>
      <c r="CE1" t="s">
        <v>350</v>
      </c>
      <c r="CF1" t="s">
        <v>351</v>
      </c>
      <c r="CG1" t="s">
        <v>352</v>
      </c>
      <c r="CH1" t="s">
        <v>353</v>
      </c>
      <c r="CI1" t="s">
        <v>354</v>
      </c>
      <c r="CJ1" t="s">
        <v>355</v>
      </c>
      <c r="CK1" t="s">
        <v>356</v>
      </c>
      <c r="CL1" t="s">
        <v>357</v>
      </c>
      <c r="CM1" t="s">
        <v>358</v>
      </c>
      <c r="CN1" t="s">
        <v>359</v>
      </c>
      <c r="CO1" t="s">
        <v>360</v>
      </c>
      <c r="CP1" t="s">
        <v>361</v>
      </c>
      <c r="CQ1" t="s">
        <v>362</v>
      </c>
      <c r="CR1" t="s">
        <v>363</v>
      </c>
      <c r="CS1" t="s">
        <v>364</v>
      </c>
      <c r="CT1" t="s">
        <v>365</v>
      </c>
      <c r="CU1" t="s">
        <v>366</v>
      </c>
      <c r="CV1" t="s">
        <v>367</v>
      </c>
      <c r="CW1" t="s">
        <v>368</v>
      </c>
      <c r="CX1" t="s">
        <v>369</v>
      </c>
      <c r="CY1" t="s">
        <v>370</v>
      </c>
      <c r="CZ1" t="s">
        <v>371</v>
      </c>
      <c r="DA1" t="s">
        <v>372</v>
      </c>
      <c r="DB1" t="s">
        <v>373</v>
      </c>
      <c r="DC1" t="s">
        <v>374</v>
      </c>
      <c r="DD1" t="s">
        <v>375</v>
      </c>
      <c r="DE1" t="s">
        <v>376</v>
      </c>
      <c r="DF1" t="s">
        <v>377</v>
      </c>
      <c r="DG1" t="s">
        <v>378</v>
      </c>
      <c r="DH1" t="s">
        <v>379</v>
      </c>
      <c r="DI1" t="s">
        <v>380</v>
      </c>
      <c r="DJ1" t="s">
        <v>381</v>
      </c>
      <c r="DK1" t="s">
        <v>382</v>
      </c>
      <c r="DL1" t="s">
        <v>383</v>
      </c>
      <c r="DM1" t="s">
        <v>384</v>
      </c>
      <c r="DN1" t="s">
        <v>385</v>
      </c>
      <c r="DO1" t="s">
        <v>386</v>
      </c>
      <c r="DP1" t="s">
        <v>387</v>
      </c>
      <c r="DQ1" t="s">
        <v>388</v>
      </c>
      <c r="DR1" t="s">
        <v>389</v>
      </c>
      <c r="DS1" t="s">
        <v>390</v>
      </c>
      <c r="DT1" t="s">
        <v>391</v>
      </c>
      <c r="DU1" t="s">
        <v>392</v>
      </c>
      <c r="DV1" t="s">
        <v>393</v>
      </c>
      <c r="DW1" t="s">
        <v>394</v>
      </c>
      <c r="DX1" t="s">
        <v>395</v>
      </c>
      <c r="DY1" t="s">
        <v>396</v>
      </c>
      <c r="DZ1" t="s">
        <v>397</v>
      </c>
      <c r="EA1" t="s">
        <v>398</v>
      </c>
      <c r="EB1" t="s">
        <v>399</v>
      </c>
      <c r="EC1" t="s">
        <v>400</v>
      </c>
      <c r="ED1" t="s">
        <v>401</v>
      </c>
      <c r="EE1" t="s">
        <v>402</v>
      </c>
      <c r="EF1" t="s">
        <v>403</v>
      </c>
      <c r="EG1" t="s">
        <v>404</v>
      </c>
      <c r="EH1" t="s">
        <v>405</v>
      </c>
      <c r="EI1" t="s">
        <v>406</v>
      </c>
      <c r="EJ1" t="s">
        <v>407</v>
      </c>
      <c r="EK1" t="s">
        <v>408</v>
      </c>
      <c r="EL1" t="s">
        <v>409</v>
      </c>
      <c r="EM1" t="s">
        <v>410</v>
      </c>
      <c r="EN1" t="s">
        <v>411</v>
      </c>
      <c r="EO1" t="s">
        <v>412</v>
      </c>
      <c r="EP1" t="s">
        <v>413</v>
      </c>
      <c r="EQ1" t="s">
        <v>414</v>
      </c>
      <c r="ER1" t="s">
        <v>415</v>
      </c>
      <c r="ES1" t="s">
        <v>416</v>
      </c>
      <c r="ET1" t="s">
        <v>417</v>
      </c>
      <c r="EU1" t="s">
        <v>418</v>
      </c>
      <c r="EV1" t="s">
        <v>419</v>
      </c>
      <c r="EW1" t="s">
        <v>420</v>
      </c>
      <c r="EX1" t="s">
        <v>421</v>
      </c>
      <c r="EY1" t="s">
        <v>422</v>
      </c>
      <c r="EZ1" t="s">
        <v>423</v>
      </c>
      <c r="FA1" t="s">
        <v>424</v>
      </c>
      <c r="FB1" t="s">
        <v>425</v>
      </c>
      <c r="FC1" t="s">
        <v>426</v>
      </c>
      <c r="FD1" t="s">
        <v>427</v>
      </c>
      <c r="FE1" t="s">
        <v>428</v>
      </c>
      <c r="FF1" t="s">
        <v>429</v>
      </c>
      <c r="FG1" t="s">
        <v>430</v>
      </c>
      <c r="FH1" t="s">
        <v>431</v>
      </c>
      <c r="FI1" t="s">
        <v>432</v>
      </c>
      <c r="FJ1" t="s">
        <v>433</v>
      </c>
      <c r="FK1" t="s">
        <v>434</v>
      </c>
      <c r="FL1" t="s">
        <v>435</v>
      </c>
      <c r="FM1" t="s">
        <v>436</v>
      </c>
      <c r="FN1" t="s">
        <v>437</v>
      </c>
      <c r="FO1" t="s">
        <v>438</v>
      </c>
      <c r="FP1" t="s">
        <v>439</v>
      </c>
      <c r="FQ1" t="s">
        <v>440</v>
      </c>
      <c r="FR1" t="s">
        <v>441</v>
      </c>
      <c r="FS1" t="s">
        <v>442</v>
      </c>
      <c r="FT1" t="s">
        <v>443</v>
      </c>
      <c r="FU1" t="s">
        <v>444</v>
      </c>
      <c r="FV1" t="s">
        <v>445</v>
      </c>
      <c r="FW1" t="s">
        <v>446</v>
      </c>
      <c r="FX1" t="s">
        <v>447</v>
      </c>
      <c r="FY1" t="s">
        <v>448</v>
      </c>
      <c r="FZ1" t="s">
        <v>449</v>
      </c>
      <c r="GA1" t="s">
        <v>450</v>
      </c>
      <c r="GB1" t="s">
        <v>451</v>
      </c>
      <c r="GC1" t="s">
        <v>452</v>
      </c>
      <c r="GD1" t="s">
        <v>453</v>
      </c>
      <c r="GE1" t="s">
        <v>454</v>
      </c>
      <c r="GF1" t="s">
        <v>455</v>
      </c>
      <c r="GG1" t="s">
        <v>456</v>
      </c>
      <c r="GH1" t="s">
        <v>457</v>
      </c>
      <c r="GI1" t="s">
        <v>458</v>
      </c>
      <c r="GJ1" t="s">
        <v>459</v>
      </c>
      <c r="GK1" t="s">
        <v>460</v>
      </c>
      <c r="GL1" t="s">
        <v>461</v>
      </c>
      <c r="GM1" t="s">
        <v>462</v>
      </c>
      <c r="GN1" t="s">
        <v>463</v>
      </c>
      <c r="GO1" t="s">
        <v>464</v>
      </c>
      <c r="GP1" t="s">
        <v>465</v>
      </c>
      <c r="GQ1" t="s">
        <v>466</v>
      </c>
      <c r="GR1" t="s">
        <v>467</v>
      </c>
      <c r="GS1" t="s">
        <v>468</v>
      </c>
      <c r="GT1" t="s">
        <v>469</v>
      </c>
      <c r="GU1" t="s">
        <v>470</v>
      </c>
      <c r="GV1" t="s">
        <v>471</v>
      </c>
      <c r="GW1" t="s">
        <v>472</v>
      </c>
      <c r="GX1" t="s">
        <v>473</v>
      </c>
      <c r="GY1" t="s">
        <v>474</v>
      </c>
      <c r="GZ1" t="s">
        <v>475</v>
      </c>
      <c r="HA1" t="s">
        <v>476</v>
      </c>
      <c r="HB1" t="s">
        <v>477</v>
      </c>
      <c r="HC1" t="s">
        <v>478</v>
      </c>
      <c r="HD1" t="s">
        <v>479</v>
      </c>
      <c r="HE1" t="s">
        <v>480</v>
      </c>
      <c r="HF1" t="s">
        <v>481</v>
      </c>
      <c r="HG1" t="s">
        <v>482</v>
      </c>
      <c r="HH1" t="s">
        <v>483</v>
      </c>
      <c r="HI1" t="s">
        <v>484</v>
      </c>
      <c r="HJ1" t="s">
        <v>485</v>
      </c>
      <c r="HK1" t="s">
        <v>486</v>
      </c>
      <c r="HL1" t="s">
        <v>487</v>
      </c>
      <c r="HM1" t="s">
        <v>488</v>
      </c>
      <c r="HN1" t="s">
        <v>489</v>
      </c>
      <c r="HO1" t="s">
        <v>490</v>
      </c>
      <c r="HP1" t="s">
        <v>491</v>
      </c>
      <c r="HQ1" t="s">
        <v>492</v>
      </c>
      <c r="HR1" t="s">
        <v>493</v>
      </c>
      <c r="HS1" t="s">
        <v>494</v>
      </c>
      <c r="HT1" t="s">
        <v>495</v>
      </c>
      <c r="HU1" t="s">
        <v>496</v>
      </c>
      <c r="HV1" t="s">
        <v>497</v>
      </c>
      <c r="HW1" t="s">
        <v>498</v>
      </c>
      <c r="HX1" t="s">
        <v>499</v>
      </c>
      <c r="HY1" t="s">
        <v>500</v>
      </c>
      <c r="HZ1" t="s">
        <v>501</v>
      </c>
      <c r="IA1" t="s">
        <v>502</v>
      </c>
      <c r="IB1" t="s">
        <v>503</v>
      </c>
      <c r="IC1" t="s">
        <v>504</v>
      </c>
      <c r="ID1" t="s">
        <v>505</v>
      </c>
      <c r="IE1" t="s">
        <v>506</v>
      </c>
      <c r="IF1" t="s">
        <v>507</v>
      </c>
      <c r="IG1" t="s">
        <v>508</v>
      </c>
      <c r="IH1" t="s">
        <v>509</v>
      </c>
      <c r="II1" t="s">
        <v>510</v>
      </c>
      <c r="IJ1" t="s">
        <v>511</v>
      </c>
      <c r="IK1" t="s">
        <v>512</v>
      </c>
      <c r="IL1" t="s">
        <v>513</v>
      </c>
      <c r="IM1" t="s">
        <v>514</v>
      </c>
      <c r="IN1" t="s">
        <v>515</v>
      </c>
      <c r="IO1" t="s">
        <v>516</v>
      </c>
      <c r="IP1" t="s">
        <v>517</v>
      </c>
      <c r="IQ1" t="s">
        <v>518</v>
      </c>
      <c r="IR1" t="s">
        <v>519</v>
      </c>
      <c r="IS1" t="s">
        <v>520</v>
      </c>
      <c r="IT1" t="s">
        <v>521</v>
      </c>
      <c r="IU1" t="s">
        <v>522</v>
      </c>
      <c r="IV1" t="s">
        <v>523</v>
      </c>
      <c r="IW1" t="s">
        <v>524</v>
      </c>
      <c r="IX1" t="s">
        <v>525</v>
      </c>
      <c r="IY1" t="s">
        <v>526</v>
      </c>
      <c r="IZ1" t="s">
        <v>527</v>
      </c>
      <c r="JA1" t="s">
        <v>528</v>
      </c>
      <c r="JB1" t="s">
        <v>529</v>
      </c>
      <c r="JC1" t="s">
        <v>530</v>
      </c>
      <c r="JD1" t="s">
        <v>531</v>
      </c>
      <c r="JE1" t="s">
        <v>532</v>
      </c>
      <c r="JF1" t="s">
        <v>533</v>
      </c>
      <c r="JG1" t="s">
        <v>534</v>
      </c>
      <c r="JH1" t="s">
        <v>535</v>
      </c>
      <c r="JI1" t="s">
        <v>536</v>
      </c>
      <c r="JJ1" t="s">
        <v>537</v>
      </c>
      <c r="JK1" t="s">
        <v>277</v>
      </c>
      <c r="JL1" t="s">
        <v>538</v>
      </c>
      <c r="JM1" t="s">
        <v>539</v>
      </c>
      <c r="JN1" t="s">
        <v>540</v>
      </c>
      <c r="JO1" t="s">
        <v>206</v>
      </c>
      <c r="JP1" t="s">
        <v>207</v>
      </c>
      <c r="JQ1" t="s">
        <v>208</v>
      </c>
    </row>
    <row r="2" spans="1:277">
      <c r="A2" t="s">
        <v>541</v>
      </c>
      <c r="B2" t="s">
        <v>542</v>
      </c>
      <c r="C2" t="s">
        <v>211</v>
      </c>
      <c r="D2">
        <v>3</v>
      </c>
      <c r="E2" t="s">
        <v>212</v>
      </c>
      <c r="F2" t="s">
        <v>213</v>
      </c>
      <c r="G2" t="s">
        <v>543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0.79999999980000003</v>
      </c>
      <c r="R2">
        <v>0</v>
      </c>
      <c r="S2">
        <v>0.1000000011</v>
      </c>
      <c r="T2">
        <v>0.1000000011</v>
      </c>
      <c r="U2">
        <v>0.20000000039999999</v>
      </c>
      <c r="V2">
        <v>0.20000000039999999</v>
      </c>
      <c r="W2">
        <v>0.20000000039999999</v>
      </c>
      <c r="X2">
        <v>0.20000000039999999</v>
      </c>
      <c r="Y2">
        <v>0.20000000039999999</v>
      </c>
      <c r="Z2">
        <v>0.3000000015</v>
      </c>
      <c r="AA2">
        <v>0.50000000010000001</v>
      </c>
      <c r="AB2">
        <v>0.3000000015</v>
      </c>
      <c r="AC2">
        <v>0.3000000015</v>
      </c>
      <c r="AD2">
        <v>0.20000000039999999</v>
      </c>
      <c r="AE2">
        <v>0.20000000039999999</v>
      </c>
      <c r="AF2">
        <v>0.3000000015</v>
      </c>
      <c r="AG2">
        <v>0.40000000079999998</v>
      </c>
      <c r="AH2">
        <v>0.3000000015</v>
      </c>
      <c r="AI2">
        <v>0.3000000015</v>
      </c>
      <c r="AJ2">
        <v>0.3000000015</v>
      </c>
      <c r="AK2">
        <v>0.40000000079999998</v>
      </c>
      <c r="AL2">
        <v>0.50000000010000001</v>
      </c>
      <c r="AM2">
        <v>7.3000000010999999</v>
      </c>
      <c r="AN2">
        <v>15.0000000012</v>
      </c>
      <c r="AO2">
        <v>23.1000000003</v>
      </c>
      <c r="AP2">
        <v>31.100000000200001</v>
      </c>
      <c r="AQ2">
        <v>39.300000000399997</v>
      </c>
      <c r="AR2">
        <v>46.900000001199999</v>
      </c>
      <c r="AS2">
        <v>54.700000000599999</v>
      </c>
      <c r="AT2">
        <v>63.799999999900002</v>
      </c>
      <c r="AU2">
        <v>72.700000000599999</v>
      </c>
      <c r="AV2">
        <v>81.900000000999995</v>
      </c>
      <c r="AW2">
        <v>90.900000001099997</v>
      </c>
      <c r="AX2">
        <v>99.299999999899995</v>
      </c>
      <c r="AY2">
        <v>108.2000000006</v>
      </c>
      <c r="AZ2">
        <v>117.1000000013</v>
      </c>
      <c r="BA2">
        <v>126.50000000030001</v>
      </c>
      <c r="BB2">
        <v>135.70000000069999</v>
      </c>
      <c r="BC2">
        <v>144.60000000139999</v>
      </c>
      <c r="BD2">
        <v>153.10000000139999</v>
      </c>
      <c r="BE2">
        <v>162.00000000029999</v>
      </c>
      <c r="BF2">
        <v>171.50000000040001</v>
      </c>
      <c r="BG2">
        <v>180.60000000150001</v>
      </c>
      <c r="BH2">
        <v>190.00000000049999</v>
      </c>
      <c r="BI2">
        <v>198.3</v>
      </c>
      <c r="BJ2">
        <v>207.00000000029999</v>
      </c>
      <c r="BK2">
        <v>216.3</v>
      </c>
      <c r="BL2">
        <v>225.4000000012</v>
      </c>
      <c r="BM2">
        <v>234.80000000019999</v>
      </c>
      <c r="BN2">
        <v>243.90000000129999</v>
      </c>
      <c r="BO2">
        <v>252.3000000001</v>
      </c>
      <c r="BP2">
        <v>260.50000000030002</v>
      </c>
      <c r="BQ2">
        <v>269.70000000070002</v>
      </c>
      <c r="BR2">
        <v>278.60000000150001</v>
      </c>
      <c r="BS2">
        <v>287.50000000040001</v>
      </c>
      <c r="BT2">
        <v>296.3</v>
      </c>
      <c r="BU2">
        <v>304.29999999979998</v>
      </c>
      <c r="BV2">
        <v>312.7000000004</v>
      </c>
      <c r="BW2">
        <v>321.30000000140001</v>
      </c>
      <c r="BX2">
        <v>329.80000000130002</v>
      </c>
      <c r="BY2">
        <v>337.90000000039998</v>
      </c>
      <c r="BZ2">
        <v>346.40000000039998</v>
      </c>
      <c r="CA2">
        <v>353.80000000080003</v>
      </c>
      <c r="CB2">
        <v>361.5000000009</v>
      </c>
      <c r="CC2">
        <v>369.30000000029997</v>
      </c>
      <c r="CD2">
        <v>377.2000000008</v>
      </c>
      <c r="CE2">
        <v>385.20000000060003</v>
      </c>
      <c r="CF2">
        <v>393.29999999969999</v>
      </c>
      <c r="CG2">
        <v>400.40000000039998</v>
      </c>
      <c r="CH2">
        <v>407.10000000039997</v>
      </c>
      <c r="CI2">
        <v>414.00000000070003</v>
      </c>
      <c r="CJ2">
        <v>421.20000000070002</v>
      </c>
      <c r="CK2">
        <v>428.6000000011</v>
      </c>
      <c r="CL2">
        <v>436.20000000009998</v>
      </c>
      <c r="CM2">
        <v>441.30000000040002</v>
      </c>
      <c r="CN2">
        <v>447.29999999979998</v>
      </c>
      <c r="CO2">
        <v>453.1999999999</v>
      </c>
      <c r="CP2">
        <v>457.00000000030002</v>
      </c>
      <c r="CQ2">
        <v>457.00000000030002</v>
      </c>
      <c r="CR2">
        <v>457.20000000070002</v>
      </c>
      <c r="CS2">
        <v>457.40000000110001</v>
      </c>
      <c r="CT2">
        <v>457.20000000070002</v>
      </c>
      <c r="CU2">
        <v>457.20000000070002</v>
      </c>
      <c r="CV2">
        <v>457.20000000070002</v>
      </c>
      <c r="CW2">
        <v>457.20000000070002</v>
      </c>
      <c r="CX2">
        <v>457.40000000110001</v>
      </c>
      <c r="CY2">
        <v>457.3</v>
      </c>
      <c r="CZ2">
        <v>457.40000000110001</v>
      </c>
      <c r="DA2">
        <v>457.50000000040001</v>
      </c>
      <c r="DB2">
        <v>457.20000000070002</v>
      </c>
      <c r="DC2">
        <v>457.50000000040001</v>
      </c>
      <c r="DD2">
        <v>457.40000000110001</v>
      </c>
      <c r="DE2">
        <v>457.40000000110001</v>
      </c>
      <c r="DF2">
        <v>457.50000000040001</v>
      </c>
      <c r="DG2">
        <v>0.7000000005</v>
      </c>
      <c r="DH2">
        <v>0.50000000010000001</v>
      </c>
      <c r="DI2">
        <v>0.60000000119999997</v>
      </c>
      <c r="DJ2">
        <v>0.50000000010000001</v>
      </c>
      <c r="DK2">
        <v>0.50000000010000001</v>
      </c>
      <c r="DL2">
        <v>0.7000000005</v>
      </c>
      <c r="DM2">
        <v>0.79999999980000003</v>
      </c>
      <c r="DN2">
        <v>0.79999999980000003</v>
      </c>
      <c r="DO2">
        <v>0.60000000119999997</v>
      </c>
      <c r="DP2">
        <v>0.7000000005</v>
      </c>
      <c r="DQ2">
        <v>0.7000000005</v>
      </c>
      <c r="DR2">
        <v>0.60000000119999997</v>
      </c>
      <c r="DS2">
        <v>0.7000000005</v>
      </c>
      <c r="DT2">
        <v>0.7000000005</v>
      </c>
      <c r="DU2">
        <v>0.79999999980000003</v>
      </c>
      <c r="DV2">
        <v>0.60000000119999997</v>
      </c>
      <c r="DW2">
        <v>0.7000000005</v>
      </c>
      <c r="DX2">
        <v>0.7000000005</v>
      </c>
      <c r="DY2">
        <v>0.60000000119999997</v>
      </c>
      <c r="DZ2">
        <v>0.90000000089999999</v>
      </c>
      <c r="EA2">
        <v>1.0000000002</v>
      </c>
      <c r="EB2">
        <v>7.5000000015000001</v>
      </c>
      <c r="EC2">
        <v>14.9000000001</v>
      </c>
      <c r="ED2">
        <v>23.600000000400001</v>
      </c>
      <c r="EE2">
        <v>31.9</v>
      </c>
      <c r="EF2">
        <v>40.300000000600001</v>
      </c>
      <c r="EG2">
        <v>47.5999999999</v>
      </c>
      <c r="EH2">
        <v>55.900000001199999</v>
      </c>
      <c r="EI2">
        <v>64.700000000800003</v>
      </c>
      <c r="EJ2">
        <v>73.100000001400005</v>
      </c>
      <c r="EK2">
        <v>81.900000000999995</v>
      </c>
      <c r="EL2">
        <v>90.700000000700001</v>
      </c>
      <c r="EM2">
        <v>99.400000000999995</v>
      </c>
      <c r="EN2">
        <v>108.2999999999</v>
      </c>
      <c r="EO2">
        <v>117.60000000140001</v>
      </c>
      <c r="EP2">
        <v>126.8</v>
      </c>
      <c r="EQ2">
        <v>136.2000000008</v>
      </c>
      <c r="ER2">
        <v>145.2000000008</v>
      </c>
      <c r="ES2">
        <v>153.40000000110001</v>
      </c>
      <c r="ET2">
        <v>162.50000000040001</v>
      </c>
      <c r="EU2">
        <v>171.50000000040001</v>
      </c>
      <c r="EV2">
        <v>181.30000000019999</v>
      </c>
      <c r="EW2">
        <v>190.8000000003</v>
      </c>
      <c r="EX2">
        <v>199.40000000129999</v>
      </c>
      <c r="EY2">
        <v>207.9000000012</v>
      </c>
      <c r="EZ2">
        <v>217.4000000014</v>
      </c>
      <c r="FA2">
        <v>226.80000000039999</v>
      </c>
      <c r="FB2">
        <v>236.30000000050001</v>
      </c>
      <c r="FC2">
        <v>245.3999999998</v>
      </c>
      <c r="FD2">
        <v>253.5000000007</v>
      </c>
      <c r="FE2">
        <v>262.20000000099998</v>
      </c>
      <c r="FF2">
        <v>271.30000000029997</v>
      </c>
      <c r="FG2">
        <v>280.60000000000002</v>
      </c>
      <c r="FH2">
        <v>290.0000000009</v>
      </c>
      <c r="FI2">
        <v>298.60000000010001</v>
      </c>
      <c r="FJ2">
        <v>307.00000000070003</v>
      </c>
      <c r="FK2">
        <v>315.30000000019999</v>
      </c>
      <c r="FL2">
        <v>324.09999999979999</v>
      </c>
      <c r="FM2">
        <v>332.40000000110001</v>
      </c>
      <c r="FN2">
        <v>341.2000000008</v>
      </c>
      <c r="FO2">
        <v>349.29999999990002</v>
      </c>
      <c r="FP2">
        <v>357.1000000011</v>
      </c>
      <c r="FQ2">
        <v>365.20000000020002</v>
      </c>
      <c r="FR2">
        <v>373.40000000039998</v>
      </c>
      <c r="FS2">
        <v>381.30000000090001</v>
      </c>
      <c r="FT2">
        <v>389.10000000029999</v>
      </c>
      <c r="FU2">
        <v>397.00000000080001</v>
      </c>
      <c r="FV2">
        <v>403.9000000012</v>
      </c>
      <c r="FW2">
        <v>411.00000000009999</v>
      </c>
      <c r="FX2">
        <v>418.30000000119998</v>
      </c>
      <c r="FY2">
        <v>425.50000000120002</v>
      </c>
      <c r="FZ2">
        <v>432.60000000010001</v>
      </c>
      <c r="GA2">
        <v>438.90000000100002</v>
      </c>
      <c r="GB2">
        <v>443.80000000090001</v>
      </c>
      <c r="GC2">
        <v>449.30000000019999</v>
      </c>
      <c r="GD2">
        <v>454.99999999990001</v>
      </c>
      <c r="GE2">
        <v>457.20000000070002</v>
      </c>
      <c r="GF2">
        <v>457.20000000070002</v>
      </c>
      <c r="GG2">
        <v>457.3</v>
      </c>
      <c r="GH2">
        <v>457.20000000070002</v>
      </c>
      <c r="GI2">
        <v>457.40000000110001</v>
      </c>
      <c r="GJ2">
        <v>457.20000000070002</v>
      </c>
      <c r="GK2">
        <v>457.3</v>
      </c>
      <c r="GL2">
        <v>457.3</v>
      </c>
      <c r="GM2">
        <v>457.3</v>
      </c>
      <c r="GN2">
        <v>457.40000000110001</v>
      </c>
      <c r="GO2">
        <v>457.50000000040001</v>
      </c>
      <c r="GP2">
        <v>457.40000000110001</v>
      </c>
      <c r="GQ2">
        <v>457.40000000110001</v>
      </c>
      <c r="GR2">
        <v>457.3</v>
      </c>
      <c r="GS2">
        <v>457.40000000110001</v>
      </c>
      <c r="GT2">
        <v>457.3</v>
      </c>
      <c r="GU2">
        <v>457.40000000110001</v>
      </c>
      <c r="GV2">
        <v>457.3</v>
      </c>
      <c r="GW2">
        <v>1</v>
      </c>
      <c r="GX2">
        <v>92.599999999900007</v>
      </c>
      <c r="GY2">
        <v>90.900000001099997</v>
      </c>
      <c r="GZ2">
        <v>90.900000001099997</v>
      </c>
      <c r="HA2">
        <v>99.400000000999995</v>
      </c>
      <c r="HB2">
        <v>92.668007433599996</v>
      </c>
      <c r="HC2">
        <v>-8.4999999999</v>
      </c>
      <c r="HD2">
        <v>457.30002186029998</v>
      </c>
      <c r="HE2">
        <v>339.17066345960001</v>
      </c>
      <c r="HF2">
        <v>77.305169963799997</v>
      </c>
      <c r="HG2">
        <v>457.50000000040001</v>
      </c>
      <c r="HH2">
        <v>457.49997814009998</v>
      </c>
      <c r="HI2">
        <v>457.50000000040001</v>
      </c>
      <c r="HJ2">
        <v>457.50000000040001</v>
      </c>
      <c r="HK2">
        <v>103.22580645159999</v>
      </c>
      <c r="HL2">
        <v>3.7889220672000001</v>
      </c>
      <c r="HM2">
        <v>3.6819321489000001</v>
      </c>
      <c r="HN2">
        <v>3.7310662883000001</v>
      </c>
      <c r="HO2">
        <v>3.4943700966</v>
      </c>
      <c r="HP2">
        <v>3.8254321166</v>
      </c>
      <c r="HQ2">
        <v>2.9654231848000001</v>
      </c>
      <c r="HR2">
        <v>15.362837469800001</v>
      </c>
      <c r="HS2">
        <v>-21.114369501500001</v>
      </c>
      <c r="HT2">
        <v>-144</v>
      </c>
      <c r="HU2">
        <v>431.83867089310002</v>
      </c>
      <c r="HV2">
        <v>91.495601172999997</v>
      </c>
      <c r="HW2">
        <v>624</v>
      </c>
      <c r="HX2">
        <v>15.362837469800001</v>
      </c>
      <c r="HY2">
        <v>-21.114369501500001</v>
      </c>
      <c r="HZ2">
        <v>-144</v>
      </c>
      <c r="IA2">
        <v>431.83867089310002</v>
      </c>
      <c r="IB2">
        <v>91.495601172999997</v>
      </c>
      <c r="IC2">
        <v>624</v>
      </c>
      <c r="ID2">
        <v>25.661307247</v>
      </c>
      <c r="IE2">
        <v>0.3007869728</v>
      </c>
      <c r="IF2">
        <v>-30.4985337243</v>
      </c>
      <c r="IG2">
        <v>-208</v>
      </c>
      <c r="IH2">
        <v>454.89395562350001</v>
      </c>
      <c r="II2">
        <v>100.87976539589999</v>
      </c>
      <c r="IJ2">
        <v>688</v>
      </c>
      <c r="IK2">
        <v>416.4758334233</v>
      </c>
      <c r="IL2">
        <v>112.6099706745</v>
      </c>
      <c r="IM2">
        <v>442.94887965970003</v>
      </c>
      <c r="IN2">
        <v>121.9941348974</v>
      </c>
      <c r="IO2">
        <v>7.7000000001000002</v>
      </c>
      <c r="IP2">
        <v>6.3000000008999999</v>
      </c>
      <c r="IQ2">
        <v>9.7999999998000007</v>
      </c>
      <c r="IR2">
        <v>3.3897803645</v>
      </c>
      <c r="IS2">
        <v>3.3897803645</v>
      </c>
      <c r="IT2">
        <v>7.5999999989999996</v>
      </c>
      <c r="IU2">
        <v>-23.460410557199999</v>
      </c>
      <c r="IV2">
        <v>12.0000000006</v>
      </c>
      <c r="IW2">
        <v>75.073313783000003</v>
      </c>
      <c r="IX2">
        <v>7.9999999998</v>
      </c>
      <c r="IY2">
        <v>98.533724340199996</v>
      </c>
      <c r="IZ2">
        <v>-25.477137172500001</v>
      </c>
      <c r="JA2">
        <v>0.29323684950000001</v>
      </c>
      <c r="JB2">
        <v>-2.235297E-4</v>
      </c>
      <c r="JC2">
        <v>3.9610000000000001E-7</v>
      </c>
      <c r="JD2">
        <v>0.26392730759999999</v>
      </c>
      <c r="JE2">
        <v>0.3017612958</v>
      </c>
      <c r="JF2">
        <v>0.10590493099999999</v>
      </c>
      <c r="JG2">
        <v>92.4889729203</v>
      </c>
      <c r="JH2">
        <v>3.8254321166</v>
      </c>
      <c r="JI2">
        <v>5.4885836000000002E-3</v>
      </c>
      <c r="JJ2">
        <v>-7.4235300000000004E-5</v>
      </c>
      <c r="JK2">
        <v>3.7889220672000001</v>
      </c>
      <c r="JL2">
        <v>1.1301152559000001</v>
      </c>
      <c r="JM2">
        <v>0.3455891573</v>
      </c>
      <c r="JN2" t="s">
        <v>544</v>
      </c>
      <c r="JQ2">
        <v>1</v>
      </c>
    </row>
    <row r="3" spans="1:277">
      <c r="A3" t="s">
        <v>586</v>
      </c>
      <c r="B3" t="s">
        <v>587</v>
      </c>
      <c r="C3" t="s">
        <v>211</v>
      </c>
      <c r="D3">
        <v>3</v>
      </c>
      <c r="E3" t="s">
        <v>212</v>
      </c>
      <c r="F3" t="s">
        <v>213</v>
      </c>
      <c r="G3" t="s">
        <v>543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0.90000000089999999</v>
      </c>
      <c r="R3">
        <v>0.59999999940000004</v>
      </c>
      <c r="S3">
        <v>0.50000000010000001</v>
      </c>
      <c r="T3">
        <v>0.59999999940000004</v>
      </c>
      <c r="U3">
        <v>0.29999999970000002</v>
      </c>
      <c r="V3">
        <v>0.50000000010000001</v>
      </c>
      <c r="W3">
        <v>0.40000000079999998</v>
      </c>
      <c r="X3">
        <v>0.40000000079999998</v>
      </c>
      <c r="Y3">
        <v>0.29999999970000002</v>
      </c>
      <c r="Z3">
        <v>0.29999999970000002</v>
      </c>
      <c r="AA3">
        <v>0.29999999970000002</v>
      </c>
      <c r="AB3">
        <v>0.40000000079999998</v>
      </c>
      <c r="AC3">
        <v>0.40000000079999998</v>
      </c>
      <c r="AD3">
        <v>0.29999999970000002</v>
      </c>
      <c r="AE3">
        <v>0.20000000039999999</v>
      </c>
      <c r="AF3">
        <v>9.9999999300000003E-2</v>
      </c>
      <c r="AG3">
        <v>0</v>
      </c>
      <c r="AH3">
        <v>0</v>
      </c>
      <c r="AI3">
        <v>0</v>
      </c>
      <c r="AJ3">
        <v>0.20000000039999999</v>
      </c>
      <c r="AK3">
        <v>9.9999999300000003E-2</v>
      </c>
      <c r="AL3">
        <v>4.0000000008000001</v>
      </c>
      <c r="AM3">
        <v>10.8</v>
      </c>
      <c r="AN3">
        <v>17.700000000300001</v>
      </c>
      <c r="AO3">
        <v>25.9000000005</v>
      </c>
      <c r="AP3">
        <v>33.799999999199997</v>
      </c>
      <c r="AQ3">
        <v>42.999999999700002</v>
      </c>
      <c r="AR3">
        <v>51.4999999996</v>
      </c>
      <c r="AS3">
        <v>59.499999999400004</v>
      </c>
      <c r="AT3">
        <v>67.399999999900004</v>
      </c>
      <c r="AU3">
        <v>75.800000000500006</v>
      </c>
      <c r="AV3">
        <v>84.699999999400006</v>
      </c>
      <c r="AW3">
        <v>94.4</v>
      </c>
      <c r="AX3">
        <v>103.6999999997</v>
      </c>
      <c r="AY3">
        <v>112.000000001</v>
      </c>
      <c r="AZ3">
        <v>120.5000000009</v>
      </c>
      <c r="BA3">
        <v>129.10000000010001</v>
      </c>
      <c r="BB3">
        <v>138.3999999998</v>
      </c>
      <c r="BC3">
        <v>147.89999999989999</v>
      </c>
      <c r="BD3">
        <v>157.1000000004</v>
      </c>
      <c r="BE3">
        <v>165.60000000030001</v>
      </c>
      <c r="BF3">
        <v>173.8999999998</v>
      </c>
      <c r="BG3">
        <v>183.1000000002</v>
      </c>
      <c r="BH3">
        <v>192.30000000059999</v>
      </c>
      <c r="BI3">
        <v>201.30000000059999</v>
      </c>
      <c r="BJ3">
        <v>210.49999999920001</v>
      </c>
      <c r="BK3">
        <v>218.80000000059999</v>
      </c>
      <c r="BL3">
        <v>227.6000000002</v>
      </c>
      <c r="BM3">
        <v>236.10000000010001</v>
      </c>
      <c r="BN3">
        <v>245.19999999940001</v>
      </c>
      <c r="BO3">
        <v>254.10000000010001</v>
      </c>
      <c r="BP3">
        <v>262.50000000070003</v>
      </c>
      <c r="BQ3">
        <v>270.59999999979999</v>
      </c>
      <c r="BR3">
        <v>278.89999999930001</v>
      </c>
      <c r="BS3">
        <v>287.50000000040001</v>
      </c>
      <c r="BT3">
        <v>296.09999999960002</v>
      </c>
      <c r="BU3">
        <v>303.79999999969999</v>
      </c>
      <c r="BV3">
        <v>312.20000000030001</v>
      </c>
      <c r="BW3">
        <v>319.99999999969998</v>
      </c>
      <c r="BX3">
        <v>327.30000000080003</v>
      </c>
      <c r="BY3">
        <v>335.1000000002</v>
      </c>
      <c r="BZ3">
        <v>342.69999999919997</v>
      </c>
      <c r="CA3">
        <v>350.3000000001</v>
      </c>
      <c r="CB3">
        <v>358.40000000100002</v>
      </c>
      <c r="CC3">
        <v>365.29999999950002</v>
      </c>
      <c r="CD3">
        <v>372.40000000020001</v>
      </c>
      <c r="CE3">
        <v>378.69999999930002</v>
      </c>
      <c r="CF3">
        <v>385.50000000030002</v>
      </c>
      <c r="CG3">
        <v>392.49999999990001</v>
      </c>
      <c r="CH3">
        <v>399.49999999950001</v>
      </c>
      <c r="CI3">
        <v>406.1000000002</v>
      </c>
      <c r="CJ3">
        <v>413.20000000089999</v>
      </c>
      <c r="CK3">
        <v>419.7000000004</v>
      </c>
      <c r="CL3">
        <v>425.80000000090001</v>
      </c>
      <c r="CM3">
        <v>431.80000000029997</v>
      </c>
      <c r="CN3">
        <v>437.79999999969999</v>
      </c>
      <c r="CO3">
        <v>442.9</v>
      </c>
      <c r="CP3">
        <v>448.39999999930001</v>
      </c>
      <c r="CQ3">
        <v>454.49999999980002</v>
      </c>
      <c r="CR3">
        <v>458.39999999949998</v>
      </c>
      <c r="CS3">
        <v>458.50000000059998</v>
      </c>
      <c r="CT3">
        <v>458.39999999949998</v>
      </c>
      <c r="CU3">
        <v>458.69999999919997</v>
      </c>
      <c r="CV3">
        <v>458.80000000029997</v>
      </c>
      <c r="CW3">
        <v>458.89999999960003</v>
      </c>
      <c r="CX3">
        <v>458.69999999919997</v>
      </c>
      <c r="CY3">
        <v>458.80000000029997</v>
      </c>
      <c r="CZ3">
        <v>458.69999999919997</v>
      </c>
      <c r="DA3">
        <v>458.89999999960003</v>
      </c>
      <c r="DB3">
        <v>458.69999999919997</v>
      </c>
      <c r="DC3">
        <v>458.80000000029997</v>
      </c>
      <c r="DD3">
        <v>458.89999999960003</v>
      </c>
      <c r="DE3">
        <v>458.69999999919997</v>
      </c>
      <c r="DF3">
        <v>458.80000000029997</v>
      </c>
      <c r="DG3">
        <v>1.0000000002</v>
      </c>
      <c r="DH3">
        <v>0.90000000089999999</v>
      </c>
      <c r="DI3">
        <v>0.90000000089999999</v>
      </c>
      <c r="DJ3">
        <v>1.0999999995</v>
      </c>
      <c r="DK3">
        <v>1.0000000002</v>
      </c>
      <c r="DL3">
        <v>0.90000000089999999</v>
      </c>
      <c r="DM3">
        <v>0.79999999980000003</v>
      </c>
      <c r="DN3">
        <v>0.7000000005</v>
      </c>
      <c r="DO3">
        <v>0.90000000089999999</v>
      </c>
      <c r="DP3">
        <v>0.79999999980000003</v>
      </c>
      <c r="DQ3">
        <v>1.0000000002</v>
      </c>
      <c r="DR3">
        <v>0.7000000005</v>
      </c>
      <c r="DS3">
        <v>0.79999999980000003</v>
      </c>
      <c r="DT3">
        <v>0.59999999940000004</v>
      </c>
      <c r="DU3">
        <v>0.7000000005</v>
      </c>
      <c r="DV3">
        <v>0.59999999940000004</v>
      </c>
      <c r="DW3">
        <v>0.7000000005</v>
      </c>
      <c r="DX3">
        <v>0.59999999940000004</v>
      </c>
      <c r="DY3">
        <v>0.50000000010000001</v>
      </c>
      <c r="DZ3">
        <v>0.59999999940000004</v>
      </c>
      <c r="EA3">
        <v>6.4000000002000004</v>
      </c>
      <c r="EB3">
        <v>13.0000000008</v>
      </c>
      <c r="EC3">
        <v>20.599999999800001</v>
      </c>
      <c r="ED3">
        <v>28.399999999199999</v>
      </c>
      <c r="EE3">
        <v>36.5999999995</v>
      </c>
      <c r="EF3">
        <v>45.5999999995</v>
      </c>
      <c r="EG3">
        <v>53.599999999300003</v>
      </c>
      <c r="EH3">
        <v>61.200000000099998</v>
      </c>
      <c r="EI3">
        <v>69.199999999900001</v>
      </c>
      <c r="EJ3">
        <v>77.400000000099993</v>
      </c>
      <c r="EK3">
        <v>86.100000000400001</v>
      </c>
      <c r="EL3">
        <v>96.100000000700007</v>
      </c>
      <c r="EM3">
        <v>104.800000001</v>
      </c>
      <c r="EN3">
        <v>112.90000000009999</v>
      </c>
      <c r="EO3">
        <v>121.4999999993</v>
      </c>
      <c r="EP3">
        <v>130.4999999993</v>
      </c>
      <c r="EQ3">
        <v>139.6000000004</v>
      </c>
      <c r="ER3">
        <v>149.49999999950001</v>
      </c>
      <c r="ES3">
        <v>158.1999999999</v>
      </c>
      <c r="ET3">
        <v>166.69999999980001</v>
      </c>
      <c r="EU3">
        <v>175.40000000009999</v>
      </c>
      <c r="EV3">
        <v>184.49999999939999</v>
      </c>
      <c r="EW3">
        <v>194.1999999999</v>
      </c>
      <c r="EX3">
        <v>204.10000000080001</v>
      </c>
      <c r="EY3">
        <v>212.1999999999</v>
      </c>
      <c r="EZ3">
        <v>221.10000000069999</v>
      </c>
      <c r="FA3">
        <v>229.6999999999</v>
      </c>
      <c r="FB3">
        <v>239.2</v>
      </c>
      <c r="FC3">
        <v>248.9000000005</v>
      </c>
      <c r="FD3">
        <v>257.70000000009998</v>
      </c>
      <c r="FE3">
        <v>266.10000000069999</v>
      </c>
      <c r="FF3">
        <v>274.6999999999</v>
      </c>
      <c r="FG3">
        <v>283.1999999999</v>
      </c>
      <c r="FH3">
        <v>292.10000000060001</v>
      </c>
      <c r="FI3">
        <v>301.60000000069999</v>
      </c>
      <c r="FJ3">
        <v>310.1999999999</v>
      </c>
      <c r="FK3">
        <v>317.80000000069998</v>
      </c>
      <c r="FL3">
        <v>326.0000000009</v>
      </c>
      <c r="FM3">
        <v>334.39999999970001</v>
      </c>
      <c r="FN3">
        <v>342.59999999989998</v>
      </c>
      <c r="FO3">
        <v>351.09999999989998</v>
      </c>
      <c r="FP3">
        <v>359.70000000089999</v>
      </c>
      <c r="FQ3">
        <v>366.79999999979998</v>
      </c>
      <c r="FR3">
        <v>374.49999999990001</v>
      </c>
      <c r="FS3">
        <v>381.40000000020001</v>
      </c>
      <c r="FT3">
        <v>389.00000000099999</v>
      </c>
      <c r="FU3">
        <v>396.6</v>
      </c>
      <c r="FV3">
        <v>404.50000000059998</v>
      </c>
      <c r="FW3">
        <v>411.29999999979998</v>
      </c>
      <c r="FX3">
        <v>417.79999999929998</v>
      </c>
      <c r="FY3">
        <v>423.50000000080001</v>
      </c>
      <c r="FZ3">
        <v>429.40000000089998</v>
      </c>
      <c r="GA3">
        <v>435.49999999959999</v>
      </c>
      <c r="GB3">
        <v>440.09999999979999</v>
      </c>
      <c r="GC3">
        <v>444.60000000069999</v>
      </c>
      <c r="GD3">
        <v>449.70000000099998</v>
      </c>
      <c r="GE3">
        <v>454.49999999980002</v>
      </c>
      <c r="GF3">
        <v>458.20000000089999</v>
      </c>
      <c r="GG3">
        <v>458.59999999989998</v>
      </c>
      <c r="GH3">
        <v>458.50000000059998</v>
      </c>
      <c r="GI3">
        <v>458.69999999919997</v>
      </c>
      <c r="GJ3">
        <v>458.69999999919997</v>
      </c>
      <c r="GK3">
        <v>458.69999999919997</v>
      </c>
      <c r="GL3">
        <v>458.59999999989998</v>
      </c>
      <c r="GM3">
        <v>458.59999999989998</v>
      </c>
      <c r="GN3">
        <v>458.80000000029997</v>
      </c>
      <c r="GO3">
        <v>458.89999999960003</v>
      </c>
      <c r="GP3">
        <v>458.89999999960003</v>
      </c>
      <c r="GQ3">
        <v>459.00000000070003</v>
      </c>
      <c r="GR3">
        <v>458.69999999919997</v>
      </c>
      <c r="GS3">
        <v>458.69999999919997</v>
      </c>
      <c r="GT3">
        <v>458.89999999960003</v>
      </c>
      <c r="GU3">
        <v>459.00000000070003</v>
      </c>
      <c r="GV3">
        <v>458.80000000029997</v>
      </c>
      <c r="GW3">
        <v>1</v>
      </c>
      <c r="GX3">
        <v>97.099999999000005</v>
      </c>
      <c r="GY3">
        <v>94.4</v>
      </c>
      <c r="GZ3">
        <v>94.4</v>
      </c>
      <c r="HA3">
        <v>104.800000001</v>
      </c>
      <c r="HB3">
        <v>96.656977884499995</v>
      </c>
      <c r="HC3">
        <v>-10.400000001</v>
      </c>
      <c r="HD3">
        <v>458.80000000029997</v>
      </c>
      <c r="HE3">
        <v>325.16917964980001</v>
      </c>
      <c r="HF3">
        <v>78.419588190300004</v>
      </c>
      <c r="HG3">
        <v>459.00000000070003</v>
      </c>
      <c r="HH3">
        <v>459.00000000070003</v>
      </c>
      <c r="HI3">
        <v>458.89999999960003</v>
      </c>
      <c r="HJ3">
        <v>459.00000000070003</v>
      </c>
      <c r="HK3">
        <v>105.57184750730001</v>
      </c>
      <c r="HL3">
        <v>3.7499065868999999</v>
      </c>
      <c r="HM3">
        <v>3.545768249</v>
      </c>
      <c r="HN3">
        <v>3.6942831157999998</v>
      </c>
      <c r="HO3">
        <v>3.5302523108999999</v>
      </c>
      <c r="HP3">
        <v>3.8280573127999999</v>
      </c>
      <c r="HQ3">
        <v>2.8993621447</v>
      </c>
      <c r="HR3">
        <v>18.237389694099999</v>
      </c>
      <c r="HS3">
        <v>-21.114369501500001</v>
      </c>
      <c r="HT3">
        <v>-144</v>
      </c>
      <c r="HU3">
        <v>421.82615753419998</v>
      </c>
      <c r="HV3">
        <v>89.149560117299998</v>
      </c>
      <c r="HW3">
        <v>608</v>
      </c>
      <c r="HX3">
        <v>18.237389694099999</v>
      </c>
      <c r="HY3">
        <v>-21.114369501500001</v>
      </c>
      <c r="HZ3">
        <v>-144</v>
      </c>
      <c r="IA3">
        <v>421.82615753419998</v>
      </c>
      <c r="IB3">
        <v>89.149560117299998</v>
      </c>
      <c r="IC3">
        <v>608</v>
      </c>
      <c r="ID3">
        <v>37.173842466499998</v>
      </c>
      <c r="IE3">
        <v>0.2003486223</v>
      </c>
      <c r="IF3">
        <v>-30.4985337243</v>
      </c>
      <c r="IG3">
        <v>-208</v>
      </c>
      <c r="IH3">
        <v>444.02128772269998</v>
      </c>
      <c r="II3">
        <v>98.533724340199996</v>
      </c>
      <c r="IJ3">
        <v>672</v>
      </c>
      <c r="IK3">
        <v>403.58876784009999</v>
      </c>
      <c r="IL3">
        <v>110.26392961880001</v>
      </c>
      <c r="IM3">
        <v>430.25404728059999</v>
      </c>
      <c r="IN3">
        <v>119.6480938416</v>
      </c>
      <c r="IO3">
        <v>7.5999999989999996</v>
      </c>
      <c r="IP3">
        <v>6.1000000004999997</v>
      </c>
      <c r="IQ3">
        <v>10.0000000002</v>
      </c>
      <c r="IR3">
        <v>3.6425139462999998</v>
      </c>
      <c r="IS3">
        <v>3.6425139462999998</v>
      </c>
      <c r="IT3">
        <v>9.7999999998000007</v>
      </c>
      <c r="IU3">
        <v>-23.460410557199999</v>
      </c>
      <c r="IV3">
        <v>19.0000000002</v>
      </c>
      <c r="IW3">
        <v>82.1114369501</v>
      </c>
      <c r="IX3">
        <v>11.9000000013</v>
      </c>
      <c r="IY3">
        <v>100.87976539589999</v>
      </c>
      <c r="IZ3">
        <v>-26.470217034499999</v>
      </c>
      <c r="JA3">
        <v>0.29313500619999999</v>
      </c>
      <c r="JB3">
        <v>-2.2385269999999999E-4</v>
      </c>
      <c r="JC3">
        <v>4.1800000000000001E-7</v>
      </c>
      <c r="JD3">
        <v>0.26667330950000001</v>
      </c>
      <c r="JE3">
        <v>0.42734283769999998</v>
      </c>
      <c r="JF3">
        <v>0.12145226119999999</v>
      </c>
      <c r="JG3">
        <v>96.2994073176</v>
      </c>
      <c r="JH3">
        <v>3.8280573127999999</v>
      </c>
      <c r="JI3">
        <v>4.7043705999999996E-3</v>
      </c>
      <c r="JJ3">
        <v>-7.4130199999999997E-5</v>
      </c>
      <c r="JK3">
        <v>3.7499065868999999</v>
      </c>
      <c r="JL3">
        <v>0.83235241069999999</v>
      </c>
      <c r="JM3">
        <v>0.35821879569999998</v>
      </c>
      <c r="JN3" t="s">
        <v>544</v>
      </c>
      <c r="JQ3">
        <v>1</v>
      </c>
    </row>
    <row r="4" spans="1:277">
      <c r="A4" t="s">
        <v>588</v>
      </c>
      <c r="B4" t="s">
        <v>589</v>
      </c>
      <c r="C4" t="s">
        <v>211</v>
      </c>
      <c r="D4">
        <v>3</v>
      </c>
      <c r="E4" t="s">
        <v>212</v>
      </c>
      <c r="F4" t="s">
        <v>213</v>
      </c>
      <c r="G4" t="s">
        <v>543</v>
      </c>
      <c r="H4" t="s">
        <v>215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3.8999999996999999</v>
      </c>
      <c r="R4">
        <v>1.3999999992000001</v>
      </c>
      <c r="S4">
        <v>1.3999999992000001</v>
      </c>
      <c r="T4">
        <v>1.8</v>
      </c>
      <c r="U4">
        <v>1.5999999996000001</v>
      </c>
      <c r="V4">
        <v>1.8999999993000001</v>
      </c>
      <c r="W4">
        <v>1.5999999996000001</v>
      </c>
      <c r="X4">
        <v>1.0999999995</v>
      </c>
      <c r="Y4">
        <v>1.0000000002</v>
      </c>
      <c r="Z4">
        <v>1.0999999995</v>
      </c>
      <c r="AA4">
        <v>1.4999999985000001</v>
      </c>
      <c r="AB4">
        <v>1.2999999999</v>
      </c>
      <c r="AC4">
        <v>1.2999999999</v>
      </c>
      <c r="AD4">
        <v>0.89999999909999995</v>
      </c>
      <c r="AE4">
        <v>1.0999999995</v>
      </c>
      <c r="AF4">
        <v>1.0000000002</v>
      </c>
      <c r="AG4">
        <v>0.50000000010000001</v>
      </c>
      <c r="AH4">
        <v>0.69999999869999996</v>
      </c>
      <c r="AI4">
        <v>0.69999999869999996</v>
      </c>
      <c r="AJ4">
        <v>0.50000000010000001</v>
      </c>
      <c r="AK4">
        <v>0</v>
      </c>
      <c r="AL4">
        <v>3.3999999995999999</v>
      </c>
      <c r="AM4">
        <v>10.3999999992</v>
      </c>
      <c r="AN4">
        <v>18.599999999400001</v>
      </c>
      <c r="AO4">
        <v>26.199999998399999</v>
      </c>
      <c r="AP4">
        <v>34.200000000099998</v>
      </c>
      <c r="AQ4">
        <v>42.199999999900001</v>
      </c>
      <c r="AR4">
        <v>50.099999998599998</v>
      </c>
      <c r="AS4">
        <v>58.199999999500001</v>
      </c>
      <c r="AT4">
        <v>66.899999999800002</v>
      </c>
      <c r="AU4">
        <v>75.600000000099996</v>
      </c>
      <c r="AV4">
        <v>84.299999998600001</v>
      </c>
      <c r="AW4">
        <v>93.299999998600001</v>
      </c>
      <c r="AX4">
        <v>102.9999999992</v>
      </c>
      <c r="AY4">
        <v>111.6000000002</v>
      </c>
      <c r="AZ4">
        <v>120.8999999999</v>
      </c>
      <c r="BA4">
        <v>129.3999999998</v>
      </c>
      <c r="BB4">
        <v>137.99999999900001</v>
      </c>
      <c r="BC4">
        <v>147.10000000010001</v>
      </c>
      <c r="BD4">
        <v>155.69999999929999</v>
      </c>
      <c r="BE4">
        <v>164.49999999900001</v>
      </c>
      <c r="BF4">
        <v>173.49999999900001</v>
      </c>
      <c r="BG4">
        <v>182.60000000010001</v>
      </c>
      <c r="BH4">
        <v>191.49999999900001</v>
      </c>
      <c r="BI4">
        <v>200.29999999859999</v>
      </c>
      <c r="BJ4">
        <v>208.6999999992</v>
      </c>
      <c r="BK4">
        <v>217.7999999985</v>
      </c>
      <c r="BL4">
        <v>226.99999999900001</v>
      </c>
      <c r="BM4">
        <v>235.6</v>
      </c>
      <c r="BN4">
        <v>244.1999999992</v>
      </c>
      <c r="BO4">
        <v>252.89999999950001</v>
      </c>
      <c r="BP4">
        <v>261.59999999979999</v>
      </c>
      <c r="BQ4">
        <v>270.199999999</v>
      </c>
      <c r="BR4">
        <v>279.3000000001</v>
      </c>
      <c r="BS4">
        <v>287.89999999939999</v>
      </c>
      <c r="BT4">
        <v>296.09999999960002</v>
      </c>
      <c r="BU4">
        <v>303.89999999899999</v>
      </c>
      <c r="BV4">
        <v>312.5999999993</v>
      </c>
      <c r="BW4">
        <v>320.70000000020002</v>
      </c>
      <c r="BX4">
        <v>329.39999999870003</v>
      </c>
      <c r="BY4">
        <v>337.59999999889999</v>
      </c>
      <c r="BZ4">
        <v>344.99999999929997</v>
      </c>
      <c r="CA4">
        <v>352.69999999949999</v>
      </c>
      <c r="CB4">
        <v>360.39999999960003</v>
      </c>
      <c r="CC4">
        <v>367.9999999986</v>
      </c>
      <c r="CD4">
        <v>375.79999999979998</v>
      </c>
      <c r="CE4">
        <v>383.39999999880001</v>
      </c>
      <c r="CF4">
        <v>390.89999999849999</v>
      </c>
      <c r="CG4">
        <v>397.89999999989999</v>
      </c>
      <c r="CH4">
        <v>404.99999999879998</v>
      </c>
      <c r="CI4">
        <v>412.39999999930001</v>
      </c>
      <c r="CJ4">
        <v>419.3999999989</v>
      </c>
      <c r="CK4">
        <v>426.49999999959999</v>
      </c>
      <c r="CL4">
        <v>433.29999999879999</v>
      </c>
      <c r="CM4">
        <v>440.89999999960003</v>
      </c>
      <c r="CN4">
        <v>446.1999999985</v>
      </c>
      <c r="CO4">
        <v>450.69999999940001</v>
      </c>
      <c r="CP4">
        <v>451.69999999959998</v>
      </c>
      <c r="CQ4">
        <v>451.9</v>
      </c>
      <c r="CR4">
        <v>451.79999999889998</v>
      </c>
      <c r="CS4">
        <v>451.79999999889998</v>
      </c>
      <c r="CT4">
        <v>451.59999999849998</v>
      </c>
      <c r="CU4">
        <v>451.79999999889998</v>
      </c>
      <c r="CV4">
        <v>451.9</v>
      </c>
      <c r="CW4">
        <v>451.9</v>
      </c>
      <c r="CX4">
        <v>451.99999999929997</v>
      </c>
      <c r="CY4">
        <v>451.9</v>
      </c>
      <c r="CZ4">
        <v>451.9</v>
      </c>
      <c r="DA4">
        <v>451.9</v>
      </c>
      <c r="DB4">
        <v>451.79999999889998</v>
      </c>
      <c r="DC4">
        <v>451.79999999889998</v>
      </c>
      <c r="DD4">
        <v>451.99999999929997</v>
      </c>
      <c r="DE4">
        <v>451.9</v>
      </c>
      <c r="DF4">
        <v>451.9</v>
      </c>
      <c r="DG4">
        <v>3.0999999999000001</v>
      </c>
      <c r="DH4">
        <v>1.4999999985000001</v>
      </c>
      <c r="DI4">
        <v>1.4999999985000001</v>
      </c>
      <c r="DJ4">
        <v>1.0999999995</v>
      </c>
      <c r="DK4">
        <v>1.0999999995</v>
      </c>
      <c r="DL4">
        <v>1.1999999988000001</v>
      </c>
      <c r="DM4">
        <v>1.2999999999</v>
      </c>
      <c r="DN4">
        <v>1.0999999995</v>
      </c>
      <c r="DO4">
        <v>1.1999999988000001</v>
      </c>
      <c r="DP4">
        <v>1.0000000002</v>
      </c>
      <c r="DQ4">
        <v>1.0999999995</v>
      </c>
      <c r="DR4">
        <v>0.69999999869999996</v>
      </c>
      <c r="DS4">
        <v>0.59999999940000004</v>
      </c>
      <c r="DT4">
        <v>0.39999999899999999</v>
      </c>
      <c r="DU4">
        <v>0.29999999970000002</v>
      </c>
      <c r="DV4">
        <v>0.69999999869999996</v>
      </c>
      <c r="DW4">
        <v>0.79999999980000003</v>
      </c>
      <c r="DX4">
        <v>0.89999999909999995</v>
      </c>
      <c r="DY4">
        <v>0.19999999860000001</v>
      </c>
      <c r="DZ4">
        <v>0.29999999970000002</v>
      </c>
      <c r="EA4">
        <v>3.3999999995999999</v>
      </c>
      <c r="EB4">
        <v>11.5999999998</v>
      </c>
      <c r="EC4">
        <v>19.0999999995</v>
      </c>
      <c r="ED4">
        <v>26.599999999200001</v>
      </c>
      <c r="EE4">
        <v>34.799999999400001</v>
      </c>
      <c r="EF4">
        <v>42.799999999299999</v>
      </c>
      <c r="EG4">
        <v>50.699999999799999</v>
      </c>
      <c r="EH4">
        <v>58.599999998500003</v>
      </c>
      <c r="EI4">
        <v>67.699999999599996</v>
      </c>
      <c r="EJ4">
        <v>75.799999998700002</v>
      </c>
      <c r="EK4">
        <v>84.799999998700002</v>
      </c>
      <c r="EL4">
        <v>92.799999998499999</v>
      </c>
      <c r="EM4">
        <v>102.1000000001</v>
      </c>
      <c r="EN4">
        <v>111.6000000002</v>
      </c>
      <c r="EO4">
        <v>120.7999999988</v>
      </c>
      <c r="EP4">
        <v>129.79999999879999</v>
      </c>
      <c r="EQ4">
        <v>138.2999999987</v>
      </c>
      <c r="ER4">
        <v>146.79999999859999</v>
      </c>
      <c r="ES4">
        <v>155.6</v>
      </c>
      <c r="ET4">
        <v>164.69999999940001</v>
      </c>
      <c r="EU4">
        <v>174.29999999879999</v>
      </c>
      <c r="EV4">
        <v>182.8999999998</v>
      </c>
      <c r="EW4">
        <v>191.9999999991</v>
      </c>
      <c r="EX4">
        <v>200.8999999998</v>
      </c>
      <c r="EY4">
        <v>209.29999999859999</v>
      </c>
      <c r="EZ4">
        <v>218.6000000002</v>
      </c>
      <c r="FA4">
        <v>227.79999999879999</v>
      </c>
      <c r="FB4">
        <v>236.6000000002</v>
      </c>
      <c r="FC4">
        <v>244.99999999900001</v>
      </c>
      <c r="FD4">
        <v>254.3999999998</v>
      </c>
      <c r="FE4">
        <v>262.99999999900001</v>
      </c>
      <c r="FF4">
        <v>271.89999999970001</v>
      </c>
      <c r="FG4">
        <v>280.69999999930002</v>
      </c>
      <c r="FH4">
        <v>289.29999999850003</v>
      </c>
      <c r="FI4">
        <v>297.79999999850003</v>
      </c>
      <c r="FJ4">
        <v>306.39999999949998</v>
      </c>
      <c r="FK4">
        <v>314.89999999939999</v>
      </c>
      <c r="FL4">
        <v>323.4999999986</v>
      </c>
      <c r="FM4">
        <v>331.89999999920002</v>
      </c>
      <c r="FN4">
        <v>340.19999999869998</v>
      </c>
      <c r="FO4">
        <v>347.69999999840002</v>
      </c>
      <c r="FP4">
        <v>356.09999999910002</v>
      </c>
      <c r="FQ4">
        <v>363.7999999992</v>
      </c>
      <c r="FR4">
        <v>372.19999999980001</v>
      </c>
      <c r="FS4">
        <v>380.19999999959998</v>
      </c>
      <c r="FT4">
        <v>388.10000000010001</v>
      </c>
      <c r="FU4">
        <v>394.9999999986</v>
      </c>
      <c r="FV4">
        <v>402.29999999969999</v>
      </c>
      <c r="FW4">
        <v>409.29999999929998</v>
      </c>
      <c r="FX4">
        <v>416.49999999940002</v>
      </c>
      <c r="FY4">
        <v>423.9999999991</v>
      </c>
      <c r="FZ4">
        <v>431.39999999949998</v>
      </c>
      <c r="GA4">
        <v>437.5</v>
      </c>
      <c r="GB4">
        <v>443.49999999940002</v>
      </c>
      <c r="GC4">
        <v>447.79999999990002</v>
      </c>
      <c r="GD4">
        <v>451.59999999849998</v>
      </c>
      <c r="GE4">
        <v>451.69999999959998</v>
      </c>
      <c r="GF4">
        <v>451.69999999959998</v>
      </c>
      <c r="GG4">
        <v>451.9</v>
      </c>
      <c r="GH4">
        <v>451.9</v>
      </c>
      <c r="GI4">
        <v>451.79999999889998</v>
      </c>
      <c r="GJ4">
        <v>451.69999999959998</v>
      </c>
      <c r="GK4">
        <v>451.79999999889998</v>
      </c>
      <c r="GL4">
        <v>451.79999999889998</v>
      </c>
      <c r="GM4">
        <v>451.9</v>
      </c>
      <c r="GN4">
        <v>452.09999999860003</v>
      </c>
      <c r="GO4">
        <v>451.99999999929997</v>
      </c>
      <c r="GP4">
        <v>452.09999999860003</v>
      </c>
      <c r="GQ4">
        <v>451.9</v>
      </c>
      <c r="GR4">
        <v>451.99999999929997</v>
      </c>
      <c r="GS4">
        <v>452.09999999860003</v>
      </c>
      <c r="GT4">
        <v>451.9</v>
      </c>
      <c r="GU4">
        <v>451.99999999929997</v>
      </c>
      <c r="GV4">
        <v>451.99999999929997</v>
      </c>
      <c r="GW4">
        <v>1</v>
      </c>
      <c r="GX4">
        <v>92.099999999800005</v>
      </c>
      <c r="GY4">
        <v>93.299999998600001</v>
      </c>
      <c r="GZ4">
        <v>93.299999998600001</v>
      </c>
      <c r="HA4">
        <v>102.1000000001</v>
      </c>
      <c r="HB4">
        <v>95.201913504100006</v>
      </c>
      <c r="HC4">
        <v>-8.8000000014000008</v>
      </c>
      <c r="HD4">
        <v>451.99997787789999</v>
      </c>
      <c r="HE4">
        <v>327.92946576719999</v>
      </c>
      <c r="HF4">
        <v>76.201957747600005</v>
      </c>
      <c r="HG4">
        <v>452.09999999860003</v>
      </c>
      <c r="HH4">
        <v>452.09999999860003</v>
      </c>
      <c r="HI4">
        <v>451.99999999929997</v>
      </c>
      <c r="HJ4">
        <v>452.09999999860003</v>
      </c>
      <c r="HK4">
        <v>100.87976539589999</v>
      </c>
      <c r="HL4">
        <v>3.7458357479000002</v>
      </c>
      <c r="HM4">
        <v>3.6272493397000001</v>
      </c>
      <c r="HN4">
        <v>3.6797205611999999</v>
      </c>
      <c r="HO4">
        <v>3.5211227917999999</v>
      </c>
      <c r="HP4">
        <v>3.7958053798</v>
      </c>
      <c r="HQ4">
        <v>3.0258586114999999</v>
      </c>
      <c r="HR4">
        <v>18.9999557565</v>
      </c>
      <c r="HS4">
        <v>-21.114369501500001</v>
      </c>
      <c r="HT4">
        <v>-144</v>
      </c>
      <c r="HU4">
        <v>423.13137927129998</v>
      </c>
      <c r="HV4">
        <v>89.149560117299998</v>
      </c>
      <c r="HW4">
        <v>608</v>
      </c>
      <c r="HX4">
        <v>18.9999557565</v>
      </c>
      <c r="HY4">
        <v>-21.114369501500001</v>
      </c>
      <c r="HZ4">
        <v>-144</v>
      </c>
      <c r="IA4">
        <v>423.13137927129998</v>
      </c>
      <c r="IB4">
        <v>89.149560117299998</v>
      </c>
      <c r="IC4">
        <v>608</v>
      </c>
      <c r="ID4">
        <v>28.968620727299999</v>
      </c>
      <c r="IE4">
        <v>0.49982302849999999</v>
      </c>
      <c r="IF4">
        <v>-30.4985337243</v>
      </c>
      <c r="IG4">
        <v>-208</v>
      </c>
      <c r="IH4">
        <v>447.68246875339997</v>
      </c>
      <c r="II4">
        <v>98.533724340199996</v>
      </c>
      <c r="IJ4">
        <v>672</v>
      </c>
      <c r="IK4">
        <v>404.13142351480002</v>
      </c>
      <c r="IL4">
        <v>110.26392961880001</v>
      </c>
      <c r="IM4">
        <v>433.47606459500003</v>
      </c>
      <c r="IN4">
        <v>119.6480938416</v>
      </c>
      <c r="IO4">
        <v>8.2000000001999993</v>
      </c>
      <c r="IP4">
        <v>7.6000000007999997</v>
      </c>
      <c r="IQ4">
        <v>9.7000000004999993</v>
      </c>
      <c r="IR4">
        <v>2.9663166404000001</v>
      </c>
      <c r="IS4">
        <v>2.9663166404000001</v>
      </c>
      <c r="IT4">
        <v>8.7000000002999993</v>
      </c>
      <c r="IU4">
        <v>-23.460410557199999</v>
      </c>
      <c r="IV4">
        <v>12.300000000300001</v>
      </c>
      <c r="IW4">
        <v>77.419354838700002</v>
      </c>
      <c r="IX4">
        <v>10.200000000599999</v>
      </c>
      <c r="IY4">
        <v>96.187683284499997</v>
      </c>
      <c r="IZ4">
        <v>-26.3586246817</v>
      </c>
      <c r="JA4">
        <v>0.29180610070000002</v>
      </c>
      <c r="JB4">
        <v>-1.9836490000000001E-4</v>
      </c>
      <c r="JC4">
        <v>3.6279999999999999E-7</v>
      </c>
      <c r="JD4">
        <v>0.26696312049999998</v>
      </c>
      <c r="JE4">
        <v>0.26489397850000002</v>
      </c>
      <c r="JF4">
        <v>0.11396339129999999</v>
      </c>
      <c r="JG4">
        <v>95.584235073299993</v>
      </c>
      <c r="JH4">
        <v>3.7958053798</v>
      </c>
      <c r="JI4">
        <v>4.4321615999999998E-3</v>
      </c>
      <c r="JJ4">
        <v>-6.5436499999999996E-5</v>
      </c>
      <c r="JK4">
        <v>3.7458357479000002</v>
      </c>
      <c r="JL4">
        <v>0.96986440159999998</v>
      </c>
      <c r="JM4">
        <v>0.38379006630000001</v>
      </c>
      <c r="JN4" t="s">
        <v>544</v>
      </c>
      <c r="JQ4">
        <v>1</v>
      </c>
    </row>
    <row r="5" spans="1:277">
      <c r="A5" t="s">
        <v>590</v>
      </c>
      <c r="B5" t="s">
        <v>591</v>
      </c>
      <c r="C5" t="s">
        <v>211</v>
      </c>
      <c r="D5">
        <v>3</v>
      </c>
      <c r="E5" t="s">
        <v>212</v>
      </c>
      <c r="F5" t="s">
        <v>213</v>
      </c>
      <c r="G5" t="s">
        <v>543</v>
      </c>
      <c r="H5" t="s">
        <v>215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0</v>
      </c>
      <c r="R5">
        <v>0.69999999869999996</v>
      </c>
      <c r="S5">
        <v>0.69999999869999996</v>
      </c>
      <c r="T5">
        <v>0.69999999869999996</v>
      </c>
      <c r="U5">
        <v>0.79999999980000003</v>
      </c>
      <c r="V5">
        <v>0.79999999980000003</v>
      </c>
      <c r="W5">
        <v>0.59999999940000004</v>
      </c>
      <c r="X5">
        <v>0.69999999869999996</v>
      </c>
      <c r="Y5">
        <v>0.59999999940000004</v>
      </c>
      <c r="Z5">
        <v>0.79999999980000003</v>
      </c>
      <c r="AA5">
        <v>0.89999999909999995</v>
      </c>
      <c r="AB5">
        <v>0.79999999980000003</v>
      </c>
      <c r="AC5">
        <v>0.69999999869999996</v>
      </c>
      <c r="AD5">
        <v>0.69999999869999996</v>
      </c>
      <c r="AE5">
        <v>0.69999999869999996</v>
      </c>
      <c r="AF5">
        <v>0.79999999980000003</v>
      </c>
      <c r="AG5">
        <v>0.89999999909999995</v>
      </c>
      <c r="AH5">
        <v>0.89999999909999995</v>
      </c>
      <c r="AI5">
        <v>0.99999999839999998</v>
      </c>
      <c r="AJ5">
        <v>1.0999999995</v>
      </c>
      <c r="AK5">
        <v>1.0999999995</v>
      </c>
      <c r="AL5">
        <v>4.5999999984000004</v>
      </c>
      <c r="AM5">
        <v>11.0999999997</v>
      </c>
      <c r="AN5">
        <v>18.399999998999998</v>
      </c>
      <c r="AO5">
        <v>26.299999999499999</v>
      </c>
      <c r="AP5">
        <v>34.299999999299999</v>
      </c>
      <c r="AQ5">
        <v>42.299999999199997</v>
      </c>
      <c r="AR5">
        <v>50.699999999799999</v>
      </c>
      <c r="AS5">
        <v>58.699999999600003</v>
      </c>
      <c r="AT5">
        <v>66.899999999800002</v>
      </c>
      <c r="AU5">
        <v>74.899999999599999</v>
      </c>
      <c r="AV5">
        <v>83.599999999900007</v>
      </c>
      <c r="AW5">
        <v>92.799999998499999</v>
      </c>
      <c r="AX5">
        <v>102.1000000001</v>
      </c>
      <c r="AY5">
        <v>110.6999999993</v>
      </c>
      <c r="AZ5">
        <v>119.09999999990001</v>
      </c>
      <c r="BA5">
        <v>127.7999999984</v>
      </c>
      <c r="BB5">
        <v>136.79999999840001</v>
      </c>
      <c r="BC5">
        <v>145.59999999979999</v>
      </c>
      <c r="BD5">
        <v>154.49999999869999</v>
      </c>
      <c r="BE5">
        <v>163.09999999979999</v>
      </c>
      <c r="BF5">
        <v>171.5999999997</v>
      </c>
      <c r="BG5">
        <v>180.39999999930001</v>
      </c>
      <c r="BH5">
        <v>189.5999999997</v>
      </c>
      <c r="BI5">
        <v>198.39999999930001</v>
      </c>
      <c r="BJ5">
        <v>207.19999999890001</v>
      </c>
      <c r="BK5">
        <v>216.3</v>
      </c>
      <c r="BL5">
        <v>224.39999999919999</v>
      </c>
      <c r="BM5">
        <v>233.0999999995</v>
      </c>
      <c r="BN5">
        <v>241.9999999984</v>
      </c>
      <c r="BO5">
        <v>251.0999999995</v>
      </c>
      <c r="BP5">
        <v>259.59999999939998</v>
      </c>
      <c r="BQ5">
        <v>267.7999999996</v>
      </c>
      <c r="BR5">
        <v>276.39999999880001</v>
      </c>
      <c r="BS5">
        <v>284.89999999870003</v>
      </c>
      <c r="BT5">
        <v>293.49999999980002</v>
      </c>
      <c r="BU5">
        <v>302.29999999939997</v>
      </c>
      <c r="BV5">
        <v>310.59999999889999</v>
      </c>
      <c r="BW5">
        <v>318.40000000010002</v>
      </c>
      <c r="BX5">
        <v>326.39999999989999</v>
      </c>
      <c r="BY5">
        <v>334.60000000010001</v>
      </c>
      <c r="BZ5">
        <v>342.79999999850003</v>
      </c>
      <c r="CA5">
        <v>350.99999999869999</v>
      </c>
      <c r="CB5">
        <v>358.8</v>
      </c>
      <c r="CC5">
        <v>366</v>
      </c>
      <c r="CD5">
        <v>373.49999999969998</v>
      </c>
      <c r="CE5">
        <v>381.49999999950001</v>
      </c>
      <c r="CF5">
        <v>389.09999999849998</v>
      </c>
      <c r="CG5">
        <v>396.29999999850003</v>
      </c>
      <c r="CH5">
        <v>403.89999999930001</v>
      </c>
      <c r="CI5">
        <v>411.19999999859999</v>
      </c>
      <c r="CJ5">
        <v>418.20000000009998</v>
      </c>
      <c r="CK5">
        <v>425.19999999970003</v>
      </c>
      <c r="CL5">
        <v>432.29999999860001</v>
      </c>
      <c r="CM5">
        <v>436.59999999910002</v>
      </c>
      <c r="CN5">
        <v>442.39999999989999</v>
      </c>
      <c r="CO5">
        <v>448.99999999869999</v>
      </c>
      <c r="CP5">
        <v>455.89999999899999</v>
      </c>
      <c r="CQ5">
        <v>460.39999999989999</v>
      </c>
      <c r="CR5">
        <v>460.79999999889998</v>
      </c>
      <c r="CS5">
        <v>460.69999999959998</v>
      </c>
      <c r="CT5">
        <v>460.79999999889998</v>
      </c>
      <c r="CU5">
        <v>460.59999999849998</v>
      </c>
      <c r="CV5">
        <v>460.69999999959998</v>
      </c>
      <c r="CW5">
        <v>460.69999999959998</v>
      </c>
      <c r="CX5">
        <v>460.59999999849998</v>
      </c>
      <c r="CY5">
        <v>460.69999999959998</v>
      </c>
      <c r="CZ5">
        <v>460.69999999959998</v>
      </c>
      <c r="DA5">
        <v>461.09999999860003</v>
      </c>
      <c r="DB5">
        <v>460.79999999889998</v>
      </c>
      <c r="DC5">
        <v>461.09999999860003</v>
      </c>
      <c r="DD5">
        <v>461.09999999860003</v>
      </c>
      <c r="DE5">
        <v>460.99999999929997</v>
      </c>
      <c r="DF5">
        <v>460.99999999929997</v>
      </c>
      <c r="DG5">
        <v>0.29999999970000002</v>
      </c>
      <c r="DH5">
        <v>1.5999999996000001</v>
      </c>
      <c r="DI5">
        <v>1.4999999985000001</v>
      </c>
      <c r="DJ5">
        <v>1.5999999996000001</v>
      </c>
      <c r="DK5">
        <v>1.5999999996000001</v>
      </c>
      <c r="DL5">
        <v>1.6999999989000001</v>
      </c>
      <c r="DM5">
        <v>1.8</v>
      </c>
      <c r="DN5">
        <v>1.6999999989000001</v>
      </c>
      <c r="DO5">
        <v>1.6999999989000001</v>
      </c>
      <c r="DP5">
        <v>1.8</v>
      </c>
      <c r="DQ5">
        <v>1.8</v>
      </c>
      <c r="DR5">
        <v>1.8999999993000001</v>
      </c>
      <c r="DS5">
        <v>1.8</v>
      </c>
      <c r="DT5">
        <v>1.6999999989000001</v>
      </c>
      <c r="DU5">
        <v>1.6999999989000001</v>
      </c>
      <c r="DV5">
        <v>1.8</v>
      </c>
      <c r="DW5">
        <v>1.8</v>
      </c>
      <c r="DX5">
        <v>1.8</v>
      </c>
      <c r="DY5">
        <v>1.9999999986000001</v>
      </c>
      <c r="DZ5">
        <v>1.8</v>
      </c>
      <c r="EA5">
        <v>5.5999999986000004</v>
      </c>
      <c r="EB5">
        <v>12.699999999299999</v>
      </c>
      <c r="EC5">
        <v>19.599999999600001</v>
      </c>
      <c r="ED5">
        <v>27.299999999699999</v>
      </c>
      <c r="EE5">
        <v>35.0999999991</v>
      </c>
      <c r="EF5">
        <v>43.299999999400001</v>
      </c>
      <c r="EG5">
        <v>51.4999999996</v>
      </c>
      <c r="EH5">
        <v>59.4000000001</v>
      </c>
      <c r="EI5">
        <v>67.299999998800004</v>
      </c>
      <c r="EJ5">
        <v>75.600000000099996</v>
      </c>
      <c r="EK5">
        <v>83.899999999599999</v>
      </c>
      <c r="EL5">
        <v>92.699999999200003</v>
      </c>
      <c r="EM5">
        <v>101.7999999985</v>
      </c>
      <c r="EN5">
        <v>110.999999999</v>
      </c>
      <c r="EO5">
        <v>119.3999999996</v>
      </c>
      <c r="EP5">
        <v>127.99999999880001</v>
      </c>
      <c r="EQ5">
        <v>136.69999999909999</v>
      </c>
      <c r="ER5">
        <v>145.79999999840001</v>
      </c>
      <c r="ES5">
        <v>154.99999999880001</v>
      </c>
      <c r="ET5">
        <v>163.2999999983</v>
      </c>
      <c r="EU5">
        <v>171.99999999869999</v>
      </c>
      <c r="EV5">
        <v>181.09999999979999</v>
      </c>
      <c r="EW5">
        <v>190.09999999979999</v>
      </c>
      <c r="EX5">
        <v>199.29999999840001</v>
      </c>
      <c r="EY5">
        <v>207.89999999939999</v>
      </c>
      <c r="EZ5">
        <v>216.89999999939999</v>
      </c>
      <c r="FA5">
        <v>225.3000000001</v>
      </c>
      <c r="FB5">
        <v>234.39999999939999</v>
      </c>
      <c r="FC5">
        <v>243.3000000001</v>
      </c>
      <c r="FD5">
        <v>252.59999999979999</v>
      </c>
      <c r="FE5">
        <v>261.199999999</v>
      </c>
      <c r="FF5">
        <v>269.39999999920002</v>
      </c>
      <c r="FG5">
        <v>277.99999999840003</v>
      </c>
      <c r="FH5">
        <v>286.69999999869998</v>
      </c>
      <c r="FI5">
        <v>295.59999999950003</v>
      </c>
      <c r="FJ5">
        <v>304.59999999950003</v>
      </c>
      <c r="FK5">
        <v>312.69999999859999</v>
      </c>
      <c r="FL5">
        <v>320.49999999980002</v>
      </c>
      <c r="FM5">
        <v>328.99999999969998</v>
      </c>
      <c r="FN5">
        <v>336.89999999840001</v>
      </c>
      <c r="FO5">
        <v>345.49999999940002</v>
      </c>
      <c r="FP5">
        <v>353.90000000010002</v>
      </c>
      <c r="FQ5">
        <v>362.4</v>
      </c>
      <c r="FR5">
        <v>369.29999999850003</v>
      </c>
      <c r="FS5">
        <v>376.9999999986</v>
      </c>
      <c r="FT5">
        <v>384.89999999909998</v>
      </c>
      <c r="FU5">
        <v>392.59999999920001</v>
      </c>
      <c r="FV5">
        <v>400.2</v>
      </c>
      <c r="FW5">
        <v>407.79999999900002</v>
      </c>
      <c r="FX5">
        <v>415.39999999989999</v>
      </c>
      <c r="FY5">
        <v>421.89999999939999</v>
      </c>
      <c r="FZ5">
        <v>429.39999999909998</v>
      </c>
      <c r="GA5">
        <v>434.59999999870001</v>
      </c>
      <c r="GB5">
        <v>438.99999999850002</v>
      </c>
      <c r="GC5">
        <v>445.20000000009998</v>
      </c>
      <c r="GD5">
        <v>451.79999999889998</v>
      </c>
      <c r="GE5">
        <v>458.69999999919997</v>
      </c>
      <c r="GF5">
        <v>460.59999999849998</v>
      </c>
      <c r="GG5">
        <v>460.59999999849998</v>
      </c>
      <c r="GH5">
        <v>460.59999999849998</v>
      </c>
      <c r="GI5">
        <v>460.69999999959998</v>
      </c>
      <c r="GJ5">
        <v>460.59999999849998</v>
      </c>
      <c r="GK5">
        <v>460.49999999919999</v>
      </c>
      <c r="GL5">
        <v>460.59999999849998</v>
      </c>
      <c r="GM5">
        <v>460.49999999919999</v>
      </c>
      <c r="GN5">
        <v>460.99999999929997</v>
      </c>
      <c r="GO5">
        <v>460.99999999929997</v>
      </c>
      <c r="GP5">
        <v>460.69999999959998</v>
      </c>
      <c r="GQ5">
        <v>460.79999999889998</v>
      </c>
      <c r="GR5">
        <v>460.79999999889998</v>
      </c>
      <c r="GS5">
        <v>460.9</v>
      </c>
      <c r="GT5">
        <v>461.09999999860003</v>
      </c>
      <c r="GU5">
        <v>460.99999999929997</v>
      </c>
      <c r="GV5">
        <v>461.09999999860003</v>
      </c>
      <c r="GW5">
        <v>1</v>
      </c>
      <c r="GX5">
        <v>95.900000000299997</v>
      </c>
      <c r="GY5">
        <v>92.799999998499999</v>
      </c>
      <c r="GZ5">
        <v>92.799999998499999</v>
      </c>
      <c r="HA5">
        <v>101.7999999985</v>
      </c>
      <c r="HB5">
        <v>94.699154195000006</v>
      </c>
      <c r="HC5">
        <v>-9</v>
      </c>
      <c r="HD5">
        <v>461.099989155</v>
      </c>
      <c r="HE5">
        <v>339.26480156169998</v>
      </c>
      <c r="HF5">
        <v>75.858111038299995</v>
      </c>
      <c r="HG5">
        <v>461.09999999860003</v>
      </c>
      <c r="HH5">
        <v>461.09999999860003</v>
      </c>
      <c r="HI5">
        <v>461.09999999860003</v>
      </c>
      <c r="HJ5">
        <v>461.09999999860003</v>
      </c>
      <c r="HK5">
        <v>105.57184750730001</v>
      </c>
      <c r="HL5">
        <v>3.7001525434000002</v>
      </c>
      <c r="HM5">
        <v>3.5884805877999999</v>
      </c>
      <c r="HN5">
        <v>3.6336713122000002</v>
      </c>
      <c r="HO5">
        <v>3.4666930991</v>
      </c>
      <c r="HP5">
        <v>3.7436266424000002</v>
      </c>
      <c r="HQ5">
        <v>2.9531454860999999</v>
      </c>
      <c r="HR5">
        <v>18.8410431567</v>
      </c>
      <c r="HS5">
        <v>-21.114369501500001</v>
      </c>
      <c r="HT5">
        <v>-144</v>
      </c>
      <c r="HU5">
        <v>433.96395575669999</v>
      </c>
      <c r="HV5">
        <v>93.841642228699996</v>
      </c>
      <c r="HW5">
        <v>640</v>
      </c>
      <c r="HX5">
        <v>18.8410431567</v>
      </c>
      <c r="HY5">
        <v>-21.114369501500001</v>
      </c>
      <c r="HZ5">
        <v>-144</v>
      </c>
      <c r="IA5">
        <v>433.96395575669999</v>
      </c>
      <c r="IB5">
        <v>93.841642228699996</v>
      </c>
      <c r="IC5">
        <v>640</v>
      </c>
      <c r="ID5">
        <v>27.136044241899999</v>
      </c>
      <c r="IE5">
        <v>1.1022012574</v>
      </c>
      <c r="IF5">
        <v>-30.4985337243</v>
      </c>
      <c r="IG5">
        <v>-208</v>
      </c>
      <c r="IH5">
        <v>458.54748427599998</v>
      </c>
      <c r="II5">
        <v>103.22580645159999</v>
      </c>
      <c r="IJ5">
        <v>704</v>
      </c>
      <c r="IK5">
        <v>415.12291260000001</v>
      </c>
      <c r="IL5">
        <v>114.9560117302</v>
      </c>
      <c r="IM5">
        <v>440.0712969004</v>
      </c>
      <c r="IN5">
        <v>124.3401759531</v>
      </c>
      <c r="IO5">
        <v>7.2999999992999998</v>
      </c>
      <c r="IP5">
        <v>6.9000000003000004</v>
      </c>
      <c r="IQ5">
        <v>9.3000000015000008</v>
      </c>
      <c r="IR5">
        <v>3.1903948840999998</v>
      </c>
      <c r="IS5">
        <v>3.1903948840999998</v>
      </c>
      <c r="IT5">
        <v>8.4999999999</v>
      </c>
      <c r="IU5">
        <v>-23.460410557199999</v>
      </c>
      <c r="IV5">
        <v>11.5000000005</v>
      </c>
      <c r="IW5">
        <v>84.457478005900001</v>
      </c>
      <c r="IX5">
        <v>9.7000000004999993</v>
      </c>
      <c r="IY5">
        <v>103.22580645159999</v>
      </c>
      <c r="IZ5">
        <v>-26.5702099857</v>
      </c>
      <c r="JA5">
        <v>0.29676115619999999</v>
      </c>
      <c r="JB5">
        <v>-2.0536729999999999E-4</v>
      </c>
      <c r="JC5">
        <v>3.6489999999999999E-7</v>
      </c>
      <c r="JD5">
        <v>0.27025912800000002</v>
      </c>
      <c r="JE5">
        <v>0.48393066940000001</v>
      </c>
      <c r="JF5">
        <v>0.1159738781</v>
      </c>
      <c r="JG5">
        <v>94.849152035900005</v>
      </c>
      <c r="JH5">
        <v>3.7436266424000002</v>
      </c>
      <c r="JI5">
        <v>4.5798278000000001E-3</v>
      </c>
      <c r="JJ5">
        <v>-6.2457099999999995E-5</v>
      </c>
      <c r="JK5">
        <v>3.7001525434000002</v>
      </c>
      <c r="JL5">
        <v>0.94125573090000003</v>
      </c>
      <c r="JM5">
        <v>0.35121840780000002</v>
      </c>
      <c r="JN5" t="s">
        <v>544</v>
      </c>
      <c r="JQ5">
        <v>1</v>
      </c>
    </row>
    <row r="6" spans="1:277">
      <c r="A6" t="s">
        <v>592</v>
      </c>
      <c r="B6" t="s">
        <v>593</v>
      </c>
      <c r="C6" t="s">
        <v>211</v>
      </c>
      <c r="D6">
        <v>3</v>
      </c>
      <c r="E6" t="s">
        <v>212</v>
      </c>
      <c r="F6" t="s">
        <v>213</v>
      </c>
      <c r="G6" t="s">
        <v>543</v>
      </c>
      <c r="H6" t="s">
        <v>215</v>
      </c>
      <c r="J6" t="s">
        <v>562</v>
      </c>
      <c r="K6" t="s">
        <v>563</v>
      </c>
      <c r="L6" t="s">
        <v>564</v>
      </c>
      <c r="M6" t="s">
        <v>565</v>
      </c>
      <c r="N6" t="s">
        <v>566</v>
      </c>
      <c r="O6">
        <v>0</v>
      </c>
      <c r="P6">
        <v>0</v>
      </c>
      <c r="Q6">
        <v>9.9999999300000003E-2</v>
      </c>
      <c r="R6">
        <v>9.9999999300000003E-2</v>
      </c>
      <c r="S6">
        <v>9.9999999300000003E-2</v>
      </c>
      <c r="T6">
        <v>9.9999999300000003E-2</v>
      </c>
      <c r="U6">
        <v>0</v>
      </c>
      <c r="V6">
        <v>0.29999999970000002</v>
      </c>
      <c r="W6">
        <v>0.20000000039999999</v>
      </c>
      <c r="X6">
        <v>0</v>
      </c>
      <c r="Y6">
        <v>0.20000000039999999</v>
      </c>
      <c r="Z6">
        <v>9.9999999300000003E-2</v>
      </c>
      <c r="AA6">
        <v>0.20000000039999999</v>
      </c>
      <c r="AB6">
        <v>0.29999999970000002</v>
      </c>
      <c r="AC6">
        <v>0.20000000039999999</v>
      </c>
      <c r="AD6">
        <v>0.20000000039999999</v>
      </c>
      <c r="AE6">
        <v>0.20000000039999999</v>
      </c>
      <c r="AF6">
        <v>0</v>
      </c>
      <c r="AG6">
        <v>0.20000000039999999</v>
      </c>
      <c r="AH6">
        <v>9.9999999300000003E-2</v>
      </c>
      <c r="AI6">
        <v>0.39999999899999999</v>
      </c>
      <c r="AJ6">
        <v>0.29999999970000002</v>
      </c>
      <c r="AK6">
        <v>0.39999999899999999</v>
      </c>
      <c r="AL6">
        <v>0.39999999899999999</v>
      </c>
      <c r="AM6">
        <v>4.8000000005999999</v>
      </c>
      <c r="AN6">
        <v>11.3999999994</v>
      </c>
      <c r="AO6">
        <v>19.199999998799999</v>
      </c>
      <c r="AP6">
        <v>27.399999998999998</v>
      </c>
      <c r="AQ6">
        <v>35.599999999200001</v>
      </c>
      <c r="AR6">
        <v>44.3999999989</v>
      </c>
      <c r="AS6">
        <v>52.799999999500002</v>
      </c>
      <c r="AT6">
        <v>60.599999998900003</v>
      </c>
      <c r="AU6">
        <v>68.699999999799999</v>
      </c>
      <c r="AV6">
        <v>77.499999999400004</v>
      </c>
      <c r="AW6">
        <v>87.299999999199997</v>
      </c>
      <c r="AX6">
        <v>97.499999999899998</v>
      </c>
      <c r="AY6">
        <v>106.20000000020001</v>
      </c>
      <c r="AZ6">
        <v>114.9999999998</v>
      </c>
      <c r="BA6">
        <v>122.9000000003</v>
      </c>
      <c r="BB6">
        <v>132.19999999999999</v>
      </c>
      <c r="BC6">
        <v>141.7999999994</v>
      </c>
      <c r="BD6">
        <v>150.49999999970001</v>
      </c>
      <c r="BE6">
        <v>159.09999999889999</v>
      </c>
      <c r="BF6">
        <v>167.79999999930001</v>
      </c>
      <c r="BG6">
        <v>176.2999999992</v>
      </c>
      <c r="BH6">
        <v>185.49999999959999</v>
      </c>
      <c r="BI6">
        <v>195.099999999</v>
      </c>
      <c r="BJ6">
        <v>203.90000000040001</v>
      </c>
      <c r="BK6">
        <v>212.2999999992</v>
      </c>
      <c r="BL6">
        <v>221.2</v>
      </c>
      <c r="BM6">
        <v>229.49999999950001</v>
      </c>
      <c r="BN6">
        <v>238.49999999950001</v>
      </c>
      <c r="BO6">
        <v>248.2</v>
      </c>
      <c r="BP6">
        <v>256.99999999959999</v>
      </c>
      <c r="BQ6">
        <v>265.10000000050002</v>
      </c>
      <c r="BR6">
        <v>273.60000000039997</v>
      </c>
      <c r="BS6">
        <v>281.79999999879999</v>
      </c>
      <c r="BT6">
        <v>290.69999999959998</v>
      </c>
      <c r="BU6">
        <v>299.69999999959998</v>
      </c>
      <c r="BV6">
        <v>308.1000000002</v>
      </c>
      <c r="BW6">
        <v>316.19999999930002</v>
      </c>
      <c r="BX6">
        <v>324.39999999949998</v>
      </c>
      <c r="BY6">
        <v>331.89999999920002</v>
      </c>
      <c r="BZ6">
        <v>339.79999999969999</v>
      </c>
      <c r="CA6">
        <v>348.79999999979998</v>
      </c>
      <c r="CB6">
        <v>356.7999999996</v>
      </c>
      <c r="CC6">
        <v>364.09999999889999</v>
      </c>
      <c r="CD6">
        <v>371.79999999900002</v>
      </c>
      <c r="CE6">
        <v>379.19999999940001</v>
      </c>
      <c r="CF6">
        <v>386.59999999979999</v>
      </c>
      <c r="CG6">
        <v>394.29999999990002</v>
      </c>
      <c r="CH6">
        <v>401.8999999989</v>
      </c>
      <c r="CI6">
        <v>408.90000000039998</v>
      </c>
      <c r="CJ6">
        <v>415.60000000029999</v>
      </c>
      <c r="CK6">
        <v>422.50000000059998</v>
      </c>
      <c r="CL6">
        <v>429.20000000049998</v>
      </c>
      <c r="CM6">
        <v>435.79999999929998</v>
      </c>
      <c r="CN6">
        <v>442.79999999889998</v>
      </c>
      <c r="CO6">
        <v>449.39999999949998</v>
      </c>
      <c r="CP6">
        <v>456.00000000009999</v>
      </c>
      <c r="CQ6">
        <v>456.50000000019998</v>
      </c>
      <c r="CR6">
        <v>456.79999999990002</v>
      </c>
      <c r="CS6">
        <v>457.00000000030002</v>
      </c>
      <c r="CT6">
        <v>457.00000000030002</v>
      </c>
      <c r="CU6">
        <v>457.19999999890001</v>
      </c>
      <c r="CV6">
        <v>457.19999999890001</v>
      </c>
      <c r="CW6">
        <v>457.3</v>
      </c>
      <c r="CX6">
        <v>457.3</v>
      </c>
      <c r="CY6">
        <v>457.19999999890001</v>
      </c>
      <c r="CZ6">
        <v>457.19999999890001</v>
      </c>
      <c r="DA6">
        <v>457.39999999930001</v>
      </c>
      <c r="DB6">
        <v>457.39999999930001</v>
      </c>
      <c r="DC6">
        <v>457.699999999</v>
      </c>
      <c r="DD6">
        <v>457.39999999930001</v>
      </c>
      <c r="DE6">
        <v>457.39999999930001</v>
      </c>
      <c r="DF6">
        <v>457.3</v>
      </c>
      <c r="DG6">
        <v>0.39999999899999999</v>
      </c>
      <c r="DH6">
        <v>0.50000000010000001</v>
      </c>
      <c r="DI6">
        <v>0.7000000005</v>
      </c>
      <c r="DJ6">
        <v>0.79999999980000003</v>
      </c>
      <c r="DK6">
        <v>0.7000000005</v>
      </c>
      <c r="DL6">
        <v>0.79999999980000003</v>
      </c>
      <c r="DM6">
        <v>0.7000000005</v>
      </c>
      <c r="DN6">
        <v>0.7000000005</v>
      </c>
      <c r="DO6">
        <v>0.59999999940000004</v>
      </c>
      <c r="DP6">
        <v>0.50000000010000001</v>
      </c>
      <c r="DQ6">
        <v>0.7000000005</v>
      </c>
      <c r="DR6">
        <v>0.79999999980000003</v>
      </c>
      <c r="DS6">
        <v>0.7000000005</v>
      </c>
      <c r="DT6">
        <v>0.7000000005</v>
      </c>
      <c r="DU6">
        <v>0.59999999940000004</v>
      </c>
      <c r="DV6">
        <v>0.79999999980000003</v>
      </c>
      <c r="DW6">
        <v>0.89999999909999995</v>
      </c>
      <c r="DX6">
        <v>0.7000000005</v>
      </c>
      <c r="DY6">
        <v>0.79999999980000003</v>
      </c>
      <c r="DZ6">
        <v>0.7000000005</v>
      </c>
      <c r="EA6">
        <v>0.89999999909999995</v>
      </c>
      <c r="EB6">
        <v>5.1999999996000001</v>
      </c>
      <c r="EC6">
        <v>12.0000000006</v>
      </c>
      <c r="ED6">
        <v>19.8999999993</v>
      </c>
      <c r="EE6">
        <v>28.399999999199999</v>
      </c>
      <c r="EF6">
        <v>37.000000000299998</v>
      </c>
      <c r="EG6">
        <v>45.099999999399998</v>
      </c>
      <c r="EH6">
        <v>53.299999999599997</v>
      </c>
      <c r="EI6">
        <v>61.200000000099998</v>
      </c>
      <c r="EJ6">
        <v>68.999999999500005</v>
      </c>
      <c r="EK6">
        <v>77.999999999500005</v>
      </c>
      <c r="EL6">
        <v>87.599999998900003</v>
      </c>
      <c r="EM6">
        <v>96.999999999799996</v>
      </c>
      <c r="EN6">
        <v>106.7999999996</v>
      </c>
      <c r="EO6">
        <v>114.599999999</v>
      </c>
      <c r="EP6">
        <v>123.4000000004</v>
      </c>
      <c r="EQ6">
        <v>132.40000000040001</v>
      </c>
      <c r="ER6">
        <v>142.20000000019999</v>
      </c>
      <c r="ES6">
        <v>150.9000000005</v>
      </c>
      <c r="ET6">
        <v>159.599999999</v>
      </c>
      <c r="EU6">
        <v>168.099999999</v>
      </c>
      <c r="EV6">
        <v>176.79999999930001</v>
      </c>
      <c r="EW6">
        <v>186.4999999998</v>
      </c>
      <c r="EX6">
        <v>195.79999999949999</v>
      </c>
      <c r="EY6">
        <v>204.70000000019999</v>
      </c>
      <c r="EZ6">
        <v>213.4000000005</v>
      </c>
      <c r="FA6">
        <v>221.79999999930001</v>
      </c>
      <c r="FB6">
        <v>230.7000000001</v>
      </c>
      <c r="FC6">
        <v>240.40000000059999</v>
      </c>
      <c r="FD6">
        <v>249.29999999949999</v>
      </c>
      <c r="FE6">
        <v>257.99999999980002</v>
      </c>
      <c r="FF6">
        <v>266.40000000039998</v>
      </c>
      <c r="FG6">
        <v>274.40000000020001</v>
      </c>
      <c r="FH6">
        <v>283.7999999992</v>
      </c>
      <c r="FI6">
        <v>293.40000000049997</v>
      </c>
      <c r="FJ6">
        <v>301.79999999929998</v>
      </c>
      <c r="FK6">
        <v>310.4000000003</v>
      </c>
      <c r="FL6">
        <v>318.40000000010002</v>
      </c>
      <c r="FM6">
        <v>326.1000000002</v>
      </c>
      <c r="FN6">
        <v>334.69999999940001</v>
      </c>
      <c r="FO6">
        <v>343.6000000002</v>
      </c>
      <c r="FP6">
        <v>351.80000000040002</v>
      </c>
      <c r="FQ6">
        <v>359.89999999949998</v>
      </c>
      <c r="FR6">
        <v>367.59999999960002</v>
      </c>
      <c r="FS6">
        <v>375.0999999993</v>
      </c>
      <c r="FT6">
        <v>382.29999999929998</v>
      </c>
      <c r="FU6">
        <v>390.7999999992</v>
      </c>
      <c r="FV6">
        <v>398.49999999929997</v>
      </c>
      <c r="FW6">
        <v>405.6</v>
      </c>
      <c r="FX6">
        <v>412.8000000001</v>
      </c>
      <c r="FY6">
        <v>419.79999999969999</v>
      </c>
      <c r="FZ6">
        <v>426.79999999929998</v>
      </c>
      <c r="GA6">
        <v>432.69999999940001</v>
      </c>
      <c r="GB6">
        <v>440.39999999949998</v>
      </c>
      <c r="GC6">
        <v>446.3999999989</v>
      </c>
      <c r="GD6">
        <v>452.60000000050002</v>
      </c>
      <c r="GE6">
        <v>456.89999999920002</v>
      </c>
      <c r="GF6">
        <v>457.00000000030002</v>
      </c>
      <c r="GG6">
        <v>457.00000000030002</v>
      </c>
      <c r="GH6">
        <v>457.09999999960002</v>
      </c>
      <c r="GI6">
        <v>457.19999999890001</v>
      </c>
      <c r="GJ6">
        <v>457.19999999890001</v>
      </c>
      <c r="GK6">
        <v>457.3</v>
      </c>
      <c r="GL6">
        <v>457.3</v>
      </c>
      <c r="GM6">
        <v>457.09999999960002</v>
      </c>
      <c r="GN6">
        <v>457.09999999960002</v>
      </c>
      <c r="GO6">
        <v>457.19999999890001</v>
      </c>
      <c r="GP6">
        <v>457.3</v>
      </c>
      <c r="GQ6">
        <v>457.3</v>
      </c>
      <c r="GR6">
        <v>457.3</v>
      </c>
      <c r="GS6">
        <v>457.39999999930001</v>
      </c>
      <c r="GT6">
        <v>457.50000000040001</v>
      </c>
      <c r="GU6">
        <v>457.39999999930001</v>
      </c>
      <c r="GV6">
        <v>457.3</v>
      </c>
      <c r="GW6">
        <v>1</v>
      </c>
      <c r="GX6">
        <v>90.799999999899995</v>
      </c>
      <c r="GY6">
        <v>87.299999999199997</v>
      </c>
      <c r="GZ6">
        <v>87.299999999199997</v>
      </c>
      <c r="HA6">
        <v>96.999999999799996</v>
      </c>
      <c r="HB6">
        <v>89.253567915399998</v>
      </c>
      <c r="HC6">
        <v>-9.7000000004999993</v>
      </c>
      <c r="HD6">
        <v>457.3</v>
      </c>
      <c r="HE6">
        <v>342.77876734799997</v>
      </c>
      <c r="HF6">
        <v>69.575019124099995</v>
      </c>
      <c r="HG6">
        <v>457.699999999</v>
      </c>
      <c r="HH6">
        <v>457.49997814490001</v>
      </c>
      <c r="HI6">
        <v>457.699999999</v>
      </c>
      <c r="HJ6">
        <v>457.50000000040001</v>
      </c>
      <c r="HK6">
        <v>103.22580645159999</v>
      </c>
      <c r="HL6">
        <v>3.7436616069999999</v>
      </c>
      <c r="HM6">
        <v>3.6396612484999999</v>
      </c>
      <c r="HN6">
        <v>3.6756279472000002</v>
      </c>
      <c r="HO6">
        <v>3.6254735543000001</v>
      </c>
      <c r="HP6">
        <v>3.8305687339999999</v>
      </c>
      <c r="HQ6">
        <v>2.9620893990999999</v>
      </c>
      <c r="HR6">
        <v>19.678548791299999</v>
      </c>
      <c r="HS6">
        <v>-18.7683284457</v>
      </c>
      <c r="HT6">
        <v>-128</v>
      </c>
      <c r="HU6">
        <v>432.0323352634</v>
      </c>
      <c r="HV6">
        <v>93.841642228699996</v>
      </c>
      <c r="HW6">
        <v>640</v>
      </c>
      <c r="HX6">
        <v>19.678548791299999</v>
      </c>
      <c r="HY6">
        <v>-18.7683284457</v>
      </c>
      <c r="HZ6">
        <v>-128</v>
      </c>
      <c r="IA6">
        <v>432.0323352634</v>
      </c>
      <c r="IB6">
        <v>93.841642228699996</v>
      </c>
      <c r="IC6">
        <v>640</v>
      </c>
      <c r="ID6">
        <v>25.467642881500002</v>
      </c>
      <c r="IE6">
        <v>0.40071030390000001</v>
      </c>
      <c r="IF6">
        <v>-28.152492668600001</v>
      </c>
      <c r="IG6">
        <v>-192</v>
      </c>
      <c r="IH6">
        <v>456.82787673399997</v>
      </c>
      <c r="II6">
        <v>103.22580645159999</v>
      </c>
      <c r="IJ6">
        <v>704</v>
      </c>
      <c r="IK6">
        <v>412.35378647210001</v>
      </c>
      <c r="IL6">
        <v>112.6099706745</v>
      </c>
      <c r="IM6">
        <v>441.0867227608</v>
      </c>
      <c r="IN6">
        <v>121.9941348974</v>
      </c>
      <c r="IO6">
        <v>7.8999999987000002</v>
      </c>
      <c r="IP6">
        <v>6.9999999996</v>
      </c>
      <c r="IQ6">
        <v>10.200000000599999</v>
      </c>
      <c r="IR6">
        <v>3.8696137856999999</v>
      </c>
      <c r="IS6">
        <v>3.8696137856999999</v>
      </c>
      <c r="IT6">
        <v>8.4999999999</v>
      </c>
      <c r="IU6">
        <v>-21.114369501500001</v>
      </c>
      <c r="IV6">
        <v>12.0000000006</v>
      </c>
      <c r="IW6">
        <v>68.035190615800005</v>
      </c>
      <c r="IX6">
        <v>10.5999999996</v>
      </c>
      <c r="IY6">
        <v>98.533724340199996</v>
      </c>
      <c r="IZ6">
        <v>-24.272156060899999</v>
      </c>
      <c r="JA6">
        <v>0.28502315319999999</v>
      </c>
      <c r="JB6">
        <v>-1.7679020000000001E-4</v>
      </c>
      <c r="JC6">
        <v>3.4120000000000001E-7</v>
      </c>
      <c r="JD6">
        <v>0.26711815999999999</v>
      </c>
      <c r="JE6">
        <v>0.45848312660000001</v>
      </c>
      <c r="JF6">
        <v>0.15389268589999999</v>
      </c>
      <c r="JG6">
        <v>89.437060022200001</v>
      </c>
      <c r="JH6">
        <v>3.8305687339999999</v>
      </c>
      <c r="JI6">
        <v>3.7819921000000001E-3</v>
      </c>
      <c r="JJ6">
        <v>-5.9741499999999997E-5</v>
      </c>
      <c r="JK6">
        <v>3.7436616069999999</v>
      </c>
      <c r="JL6">
        <v>1.3622649475999999</v>
      </c>
      <c r="JM6">
        <v>0.47454444229999998</v>
      </c>
      <c r="JN6" t="s">
        <v>544</v>
      </c>
      <c r="JQ6">
        <v>1</v>
      </c>
    </row>
    <row r="7" spans="1:277">
      <c r="A7" t="s">
        <v>594</v>
      </c>
      <c r="B7" t="s">
        <v>595</v>
      </c>
      <c r="C7" t="s">
        <v>211</v>
      </c>
      <c r="D7">
        <v>3</v>
      </c>
      <c r="E7" t="s">
        <v>212</v>
      </c>
      <c r="F7" t="s">
        <v>213</v>
      </c>
      <c r="G7" t="s">
        <v>543</v>
      </c>
      <c r="H7" t="s">
        <v>215</v>
      </c>
      <c r="J7" t="s">
        <v>569</v>
      </c>
      <c r="K7" t="s">
        <v>570</v>
      </c>
      <c r="L7" t="s">
        <v>571</v>
      </c>
      <c r="M7" t="s">
        <v>572</v>
      </c>
      <c r="N7" t="s">
        <v>573</v>
      </c>
      <c r="O7">
        <v>0</v>
      </c>
      <c r="P7">
        <v>0</v>
      </c>
      <c r="Q7">
        <v>2.0000000004</v>
      </c>
      <c r="R7">
        <v>0.7000000005</v>
      </c>
      <c r="S7">
        <v>0.40000000079999998</v>
      </c>
      <c r="T7">
        <v>0.59999999940000004</v>
      </c>
      <c r="U7">
        <v>0.50000000010000001</v>
      </c>
      <c r="V7">
        <v>0.59999999940000004</v>
      </c>
      <c r="W7">
        <v>0.50000000010000001</v>
      </c>
      <c r="X7">
        <v>0.40000000079999998</v>
      </c>
      <c r="Y7">
        <v>0.59999999940000004</v>
      </c>
      <c r="Z7">
        <v>0.50000000010000001</v>
      </c>
      <c r="AA7">
        <v>0.59999999940000004</v>
      </c>
      <c r="AB7">
        <v>0.50000000010000001</v>
      </c>
      <c r="AC7">
        <v>0.29999999970000002</v>
      </c>
      <c r="AD7">
        <v>0.40000000079999998</v>
      </c>
      <c r="AE7">
        <v>0.40000000079999998</v>
      </c>
      <c r="AF7">
        <v>0.40000000079999998</v>
      </c>
      <c r="AG7">
        <v>0.20000000039999999</v>
      </c>
      <c r="AH7">
        <v>0.29999999970000002</v>
      </c>
      <c r="AI7">
        <v>0.50000000010000001</v>
      </c>
      <c r="AJ7">
        <v>9.9999999300000003E-2</v>
      </c>
      <c r="AK7">
        <v>9.9999999300000003E-2</v>
      </c>
      <c r="AL7">
        <v>0</v>
      </c>
      <c r="AM7">
        <v>4.8999999999000003</v>
      </c>
      <c r="AN7">
        <v>12.3999999996</v>
      </c>
      <c r="AO7">
        <v>20.200000000799999</v>
      </c>
      <c r="AP7">
        <v>27.200000000399999</v>
      </c>
      <c r="AQ7">
        <v>35.5</v>
      </c>
      <c r="AR7">
        <v>44.100000000999998</v>
      </c>
      <c r="AS7">
        <v>52.499999999800004</v>
      </c>
      <c r="AT7">
        <v>61.4000000005</v>
      </c>
      <c r="AU7">
        <v>70.4000000005</v>
      </c>
      <c r="AV7">
        <v>78.199999999900001</v>
      </c>
      <c r="AW7">
        <v>88.200000000100005</v>
      </c>
      <c r="AX7">
        <v>97.799999999600004</v>
      </c>
      <c r="AY7">
        <v>107</v>
      </c>
      <c r="AZ7">
        <v>116.29999999970001</v>
      </c>
      <c r="BA7">
        <v>125.40000000080001</v>
      </c>
      <c r="BB7">
        <v>133.40000000059999</v>
      </c>
      <c r="BC7">
        <v>142.9000000007</v>
      </c>
      <c r="BD7">
        <v>152.0999999993</v>
      </c>
      <c r="BE7">
        <v>161.40000000090001</v>
      </c>
      <c r="BF7">
        <v>171.00000000029999</v>
      </c>
      <c r="BG7">
        <v>179.7000000006</v>
      </c>
      <c r="BH7">
        <v>188.7999999999</v>
      </c>
      <c r="BI7">
        <v>197.7000000006</v>
      </c>
      <c r="BJ7">
        <v>206.7000000006</v>
      </c>
      <c r="BK7">
        <v>216.3</v>
      </c>
      <c r="BL7">
        <v>225.80000000019999</v>
      </c>
      <c r="BM7">
        <v>233.89999999930001</v>
      </c>
      <c r="BN7">
        <v>243.2000000008</v>
      </c>
      <c r="BO7">
        <v>252.2000000008</v>
      </c>
      <c r="BP7">
        <v>261.0999999997</v>
      </c>
      <c r="BQ7">
        <v>270.39999999939999</v>
      </c>
      <c r="BR7">
        <v>279.50000000059998</v>
      </c>
      <c r="BS7">
        <v>287.09999999960002</v>
      </c>
      <c r="BT7">
        <v>296.20000000070002</v>
      </c>
      <c r="BU7">
        <v>304.50000000019998</v>
      </c>
      <c r="BV7">
        <v>313.40000000089998</v>
      </c>
      <c r="BW7">
        <v>322.20000000049998</v>
      </c>
      <c r="BX7">
        <v>331.09999999939998</v>
      </c>
      <c r="BY7">
        <v>337.99999999969998</v>
      </c>
      <c r="BZ7">
        <v>346.99999999980002</v>
      </c>
      <c r="CA7">
        <v>355.10000000069999</v>
      </c>
      <c r="CB7">
        <v>362.99999999940002</v>
      </c>
      <c r="CC7">
        <v>370.69999999949999</v>
      </c>
      <c r="CD7">
        <v>379.10000000010001</v>
      </c>
      <c r="CE7">
        <v>386.3000000001</v>
      </c>
      <c r="CF7">
        <v>393.70000000049998</v>
      </c>
      <c r="CG7">
        <v>401.20000000020002</v>
      </c>
      <c r="CH7">
        <v>408.1999999999</v>
      </c>
      <c r="CI7">
        <v>415.80000000069998</v>
      </c>
      <c r="CJ7">
        <v>423.50000000080001</v>
      </c>
      <c r="CK7">
        <v>430.8000000001</v>
      </c>
      <c r="CL7">
        <v>437.20000000030001</v>
      </c>
      <c r="CM7">
        <v>443.30000000080003</v>
      </c>
      <c r="CN7">
        <v>448.7000000008</v>
      </c>
      <c r="CO7">
        <v>451.49999999919999</v>
      </c>
      <c r="CP7">
        <v>451.60000000029999</v>
      </c>
      <c r="CQ7">
        <v>451.49999999919999</v>
      </c>
      <c r="CR7">
        <v>451.60000000029999</v>
      </c>
      <c r="CS7">
        <v>451.69999999959998</v>
      </c>
      <c r="CT7">
        <v>451.80000000069998</v>
      </c>
      <c r="CU7">
        <v>451.80000000069998</v>
      </c>
      <c r="CV7">
        <v>451.69999999959998</v>
      </c>
      <c r="CW7">
        <v>451.80000000069998</v>
      </c>
      <c r="CX7">
        <v>451.69999999959998</v>
      </c>
      <c r="CY7">
        <v>451.69999999959998</v>
      </c>
      <c r="CZ7">
        <v>451.80000000069998</v>
      </c>
      <c r="DA7">
        <v>451.80000000069998</v>
      </c>
      <c r="DB7">
        <v>451.80000000069998</v>
      </c>
      <c r="DC7">
        <v>451.80000000069998</v>
      </c>
      <c r="DD7">
        <v>451.80000000069998</v>
      </c>
      <c r="DE7">
        <v>451.9</v>
      </c>
      <c r="DF7">
        <v>451.80000000069998</v>
      </c>
      <c r="DG7">
        <v>1.8</v>
      </c>
      <c r="DH7">
        <v>1.0000000002</v>
      </c>
      <c r="DI7">
        <v>1.0000000002</v>
      </c>
      <c r="DJ7">
        <v>1.0000000002</v>
      </c>
      <c r="DK7">
        <v>1.2000000006</v>
      </c>
      <c r="DL7">
        <v>0.90000000089999999</v>
      </c>
      <c r="DM7">
        <v>1.0000000002</v>
      </c>
      <c r="DN7">
        <v>0.7000000005</v>
      </c>
      <c r="DO7">
        <v>0.59999999940000004</v>
      </c>
      <c r="DP7">
        <v>0.90000000089999999</v>
      </c>
      <c r="DQ7">
        <v>0.79999999980000003</v>
      </c>
      <c r="DR7">
        <v>1.0000000002</v>
      </c>
      <c r="DS7">
        <v>0.79999999980000003</v>
      </c>
      <c r="DT7">
        <v>0.90000000089999999</v>
      </c>
      <c r="DU7">
        <v>1.0000000002</v>
      </c>
      <c r="DV7">
        <v>0.7000000005</v>
      </c>
      <c r="DW7">
        <v>0.59999999940000004</v>
      </c>
      <c r="DX7">
        <v>0.50000000010000001</v>
      </c>
      <c r="DY7">
        <v>0.7000000005</v>
      </c>
      <c r="DZ7">
        <v>0.7000000005</v>
      </c>
      <c r="EA7">
        <v>0.59999999940000004</v>
      </c>
      <c r="EB7">
        <v>5.4</v>
      </c>
      <c r="EC7">
        <v>13.300000000500001</v>
      </c>
      <c r="ED7">
        <v>20.8999999995</v>
      </c>
      <c r="EE7">
        <v>28.299999999899999</v>
      </c>
      <c r="EF7">
        <v>36.700000000599999</v>
      </c>
      <c r="EG7">
        <v>44.799999999699999</v>
      </c>
      <c r="EH7">
        <v>53.100000000999998</v>
      </c>
      <c r="EI7">
        <v>61.999999999899998</v>
      </c>
      <c r="EJ7">
        <v>70.999999999899998</v>
      </c>
      <c r="EK7">
        <v>78.400000000299997</v>
      </c>
      <c r="EL7">
        <v>87.7</v>
      </c>
      <c r="EM7">
        <v>96.999999999799996</v>
      </c>
      <c r="EN7">
        <v>107</v>
      </c>
      <c r="EO7">
        <v>116.2000000004</v>
      </c>
      <c r="EP7">
        <v>125.40000000080001</v>
      </c>
      <c r="EQ7">
        <v>133.40000000059999</v>
      </c>
      <c r="ER7">
        <v>143</v>
      </c>
      <c r="ES7">
        <v>152.40000000090001</v>
      </c>
      <c r="ET7">
        <v>161.5000000002</v>
      </c>
      <c r="EU7">
        <v>171.00000000029999</v>
      </c>
      <c r="EV7">
        <v>180.09999999959999</v>
      </c>
      <c r="EW7">
        <v>189.09999999959999</v>
      </c>
      <c r="EX7">
        <v>198.39999999930001</v>
      </c>
      <c r="EY7">
        <v>207.3</v>
      </c>
      <c r="EZ7">
        <v>217.00000000060001</v>
      </c>
      <c r="FA7">
        <v>226.80000000039999</v>
      </c>
      <c r="FB7">
        <v>234.59999999979999</v>
      </c>
      <c r="FC7">
        <v>244.1999999992</v>
      </c>
      <c r="FD7">
        <v>253.00000000060001</v>
      </c>
      <c r="FE7">
        <v>262.60000000000002</v>
      </c>
      <c r="FF7">
        <v>272.19999999940001</v>
      </c>
      <c r="FG7">
        <v>281.0000000009</v>
      </c>
      <c r="FH7">
        <v>289.19999999930002</v>
      </c>
      <c r="FI7">
        <v>298.19999999930002</v>
      </c>
      <c r="FJ7">
        <v>307.00000000070003</v>
      </c>
      <c r="FK7">
        <v>315.80000000029997</v>
      </c>
      <c r="FL7">
        <v>324.80000000029997</v>
      </c>
      <c r="FM7">
        <v>333.50000000059998</v>
      </c>
      <c r="FN7">
        <v>341.39999999930001</v>
      </c>
      <c r="FO7">
        <v>349.70000000070002</v>
      </c>
      <c r="FP7">
        <v>357.90000000089998</v>
      </c>
      <c r="FQ7">
        <v>366.2000000004</v>
      </c>
      <c r="FR7">
        <v>374.59999999920001</v>
      </c>
      <c r="FS7">
        <v>382.49999999969998</v>
      </c>
      <c r="FT7">
        <v>389.30000000069998</v>
      </c>
      <c r="FU7">
        <v>397.99999999919999</v>
      </c>
      <c r="FV7">
        <v>405.19999999919997</v>
      </c>
      <c r="FW7">
        <v>412.39999999930001</v>
      </c>
      <c r="FX7">
        <v>419.79999999969999</v>
      </c>
      <c r="FY7">
        <v>427.10000000079998</v>
      </c>
      <c r="FZ7">
        <v>433.99999999929997</v>
      </c>
      <c r="GA7">
        <v>440.00000000049999</v>
      </c>
      <c r="GB7">
        <v>445.40000000049997</v>
      </c>
      <c r="GC7">
        <v>450.19999999930002</v>
      </c>
      <c r="GD7">
        <v>451.60000000029999</v>
      </c>
      <c r="GE7">
        <v>451.80000000069998</v>
      </c>
      <c r="GF7">
        <v>451.80000000069998</v>
      </c>
      <c r="GG7">
        <v>451.49999999919999</v>
      </c>
      <c r="GH7">
        <v>451.60000000029999</v>
      </c>
      <c r="GI7">
        <v>451.69999999959998</v>
      </c>
      <c r="GJ7">
        <v>451.60000000029999</v>
      </c>
      <c r="GK7">
        <v>451.60000000029999</v>
      </c>
      <c r="GL7">
        <v>451.69999999959998</v>
      </c>
      <c r="GM7">
        <v>451.60000000029999</v>
      </c>
      <c r="GN7">
        <v>451.60000000029999</v>
      </c>
      <c r="GO7">
        <v>451.60000000029999</v>
      </c>
      <c r="GP7">
        <v>451.60000000029999</v>
      </c>
      <c r="GQ7">
        <v>451.60000000029999</v>
      </c>
      <c r="GR7">
        <v>451.69999999959998</v>
      </c>
      <c r="GS7">
        <v>451.9</v>
      </c>
      <c r="GT7">
        <v>451.80000000069998</v>
      </c>
      <c r="GU7">
        <v>451.9</v>
      </c>
      <c r="GV7">
        <v>451.80000000069998</v>
      </c>
      <c r="GW7">
        <v>1</v>
      </c>
      <c r="GX7">
        <v>88.999999999899998</v>
      </c>
      <c r="GY7">
        <v>88.200000000100005</v>
      </c>
      <c r="GZ7">
        <v>88.200000000100005</v>
      </c>
      <c r="HA7">
        <v>96.999999999799996</v>
      </c>
      <c r="HB7">
        <v>90.003230803299999</v>
      </c>
      <c r="HC7">
        <v>-8.7999999996000007</v>
      </c>
      <c r="HD7">
        <v>451.80000000069998</v>
      </c>
      <c r="HE7">
        <v>328.8238990923</v>
      </c>
      <c r="HF7">
        <v>69.368566053699993</v>
      </c>
      <c r="HG7">
        <v>451.9</v>
      </c>
      <c r="HH7">
        <v>451.9</v>
      </c>
      <c r="HI7">
        <v>451.9</v>
      </c>
      <c r="HJ7">
        <v>451.9</v>
      </c>
      <c r="HK7">
        <v>100.87976539589999</v>
      </c>
      <c r="HL7">
        <v>3.8581316992999999</v>
      </c>
      <c r="HM7">
        <v>3.7374888189000002</v>
      </c>
      <c r="HN7">
        <v>3.7863302498000002</v>
      </c>
      <c r="HO7">
        <v>3.6370500909999999</v>
      </c>
      <c r="HP7">
        <v>3.8966211716000001</v>
      </c>
      <c r="HQ7">
        <v>3.1352100625000001</v>
      </c>
      <c r="HR7">
        <v>20.634664749599999</v>
      </c>
      <c r="HS7">
        <v>-18.7683284457</v>
      </c>
      <c r="HT7">
        <v>-128</v>
      </c>
      <c r="HU7">
        <v>418.82712989570001</v>
      </c>
      <c r="HV7">
        <v>86.803519061599999</v>
      </c>
      <c r="HW7">
        <v>592</v>
      </c>
      <c r="HX7">
        <v>20.634664749599999</v>
      </c>
      <c r="HY7">
        <v>-18.7683284457</v>
      </c>
      <c r="HZ7">
        <v>-128</v>
      </c>
      <c r="IA7">
        <v>418.82712989570001</v>
      </c>
      <c r="IB7">
        <v>86.803519061599999</v>
      </c>
      <c r="IC7">
        <v>592</v>
      </c>
      <c r="ID7">
        <v>33.072870104400003</v>
      </c>
      <c r="IE7">
        <v>0.1003872531</v>
      </c>
      <c r="IF7">
        <v>-28.152492668600001</v>
      </c>
      <c r="IG7">
        <v>-192</v>
      </c>
      <c r="IH7">
        <v>445.20765656169999</v>
      </c>
      <c r="II7">
        <v>96.187683284499997</v>
      </c>
      <c r="IJ7">
        <v>656</v>
      </c>
      <c r="IK7">
        <v>398.19246514600002</v>
      </c>
      <c r="IL7">
        <v>105.57184750730001</v>
      </c>
      <c r="IM7">
        <v>428.39295198000002</v>
      </c>
      <c r="IN7">
        <v>114.9560117302</v>
      </c>
      <c r="IO7">
        <v>7.9000000005000004</v>
      </c>
      <c r="IP7">
        <v>6.8999999985000002</v>
      </c>
      <c r="IQ7">
        <v>10.0000000002</v>
      </c>
      <c r="IR7">
        <v>3.1698790679000002</v>
      </c>
      <c r="IS7">
        <v>3.1698790679000002</v>
      </c>
      <c r="IT7">
        <v>8.4999999999</v>
      </c>
      <c r="IU7">
        <v>-21.114369501500001</v>
      </c>
      <c r="IV7">
        <v>11.800000000200001</v>
      </c>
      <c r="IW7">
        <v>75.073313783000003</v>
      </c>
      <c r="IX7">
        <v>9.2000000003999993</v>
      </c>
      <c r="IY7">
        <v>93.841642228699996</v>
      </c>
      <c r="IZ7">
        <v>-24.2169147641</v>
      </c>
      <c r="JA7">
        <v>0.28288161099999998</v>
      </c>
      <c r="JB7">
        <v>-1.902583E-4</v>
      </c>
      <c r="JC7">
        <v>3.5079999999999999E-7</v>
      </c>
      <c r="JD7">
        <v>0.25919281090000001</v>
      </c>
      <c r="JE7">
        <v>0.31065296599999997</v>
      </c>
      <c r="JF7">
        <v>0.1158153053</v>
      </c>
      <c r="JG7">
        <v>90.293252018399997</v>
      </c>
      <c r="JH7">
        <v>3.8966211716000001</v>
      </c>
      <c r="JI7">
        <v>4.9060750999999998E-3</v>
      </c>
      <c r="JJ7">
        <v>-7.1363499999999995E-5</v>
      </c>
      <c r="JK7">
        <v>3.8581316992999999</v>
      </c>
      <c r="JL7">
        <v>1.2745183785</v>
      </c>
      <c r="JM7">
        <v>0.4018915347</v>
      </c>
      <c r="JN7" t="s">
        <v>544</v>
      </c>
      <c r="JQ7">
        <v>1</v>
      </c>
    </row>
    <row r="8" spans="1:277">
      <c r="A8" t="s">
        <v>619</v>
      </c>
      <c r="B8" t="s">
        <v>620</v>
      </c>
      <c r="C8" t="s">
        <v>211</v>
      </c>
      <c r="D8">
        <v>3</v>
      </c>
      <c r="E8" t="s">
        <v>212</v>
      </c>
      <c r="F8" t="s">
        <v>213</v>
      </c>
      <c r="G8" t="s">
        <v>543</v>
      </c>
      <c r="H8" t="s">
        <v>215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1.1999999988000001</v>
      </c>
      <c r="R8">
        <v>0.59999999940000004</v>
      </c>
      <c r="S8">
        <v>0.89999999909999995</v>
      </c>
      <c r="T8">
        <v>0.79999999980000003</v>
      </c>
      <c r="U8">
        <v>0.69999999869999996</v>
      </c>
      <c r="V8">
        <v>0.39999999899999999</v>
      </c>
      <c r="W8">
        <v>0.59999999940000004</v>
      </c>
      <c r="X8">
        <v>0.69999999869999996</v>
      </c>
      <c r="Y8">
        <v>0.39999999899999999</v>
      </c>
      <c r="Z8">
        <v>0.69999999869999996</v>
      </c>
      <c r="AA8">
        <v>0.79999999980000003</v>
      </c>
      <c r="AB8">
        <v>0.69999999869999996</v>
      </c>
      <c r="AC8">
        <v>0.59999999940000004</v>
      </c>
      <c r="AD8">
        <v>0.59999999940000004</v>
      </c>
      <c r="AE8">
        <v>9.9999999300000003E-2</v>
      </c>
      <c r="AF8">
        <v>0.50000000010000001</v>
      </c>
      <c r="AG8">
        <v>0.39999999899999999</v>
      </c>
      <c r="AH8">
        <v>0.39999999899999999</v>
      </c>
      <c r="AI8">
        <v>0.59999999940000004</v>
      </c>
      <c r="AJ8">
        <v>0.29999999970000002</v>
      </c>
      <c r="AK8">
        <v>0.19999999860000001</v>
      </c>
      <c r="AL8">
        <v>0</v>
      </c>
      <c r="AM8">
        <v>5.2999999988999997</v>
      </c>
      <c r="AN8">
        <v>11.199999998999999</v>
      </c>
      <c r="AO8">
        <v>18.599999999400001</v>
      </c>
      <c r="AP8">
        <v>26.299999999499999</v>
      </c>
      <c r="AQ8">
        <v>35.5</v>
      </c>
      <c r="AR8">
        <v>43.299999999400001</v>
      </c>
      <c r="AS8">
        <v>50.4000000001</v>
      </c>
      <c r="AT8">
        <v>59.099999998599998</v>
      </c>
      <c r="AU8">
        <v>66.899999999800002</v>
      </c>
      <c r="AV8">
        <v>75.099999999999994</v>
      </c>
      <c r="AW8">
        <v>85.4999999992</v>
      </c>
      <c r="AX8">
        <v>94.900000000099993</v>
      </c>
      <c r="AY8">
        <v>103.1999999996</v>
      </c>
      <c r="AZ8">
        <v>111.8999999999</v>
      </c>
      <c r="BA8">
        <v>119.6</v>
      </c>
      <c r="BB8">
        <v>128.09999999990001</v>
      </c>
      <c r="BC8">
        <v>137.89999999969999</v>
      </c>
      <c r="BD8">
        <v>146.6</v>
      </c>
      <c r="BE8">
        <v>154.8000000003</v>
      </c>
      <c r="BF8">
        <v>163.8000000003</v>
      </c>
      <c r="BG8">
        <v>171.699999999</v>
      </c>
      <c r="BH8">
        <v>180.09999999959999</v>
      </c>
      <c r="BI8">
        <v>189.8000000001</v>
      </c>
      <c r="BJ8">
        <v>198.19999999890001</v>
      </c>
      <c r="BK8">
        <v>206.5999999995</v>
      </c>
      <c r="BL8">
        <v>215.29999999980001</v>
      </c>
      <c r="BM8">
        <v>223.09999999920001</v>
      </c>
      <c r="BN8">
        <v>231.39999999880001</v>
      </c>
      <c r="BO8">
        <v>241.19999999859999</v>
      </c>
      <c r="BP8">
        <v>249.09999999909999</v>
      </c>
      <c r="BQ8">
        <v>257.09999999889999</v>
      </c>
      <c r="BR8">
        <v>265.29999999910001</v>
      </c>
      <c r="BS8">
        <v>272.69999999949999</v>
      </c>
      <c r="BT8">
        <v>280.69999999930002</v>
      </c>
      <c r="BU8">
        <v>289.9999999991</v>
      </c>
      <c r="BV8">
        <v>297.80000000029997</v>
      </c>
      <c r="BW8">
        <v>305.09999999960002</v>
      </c>
      <c r="BX8">
        <v>312.5999999993</v>
      </c>
      <c r="BY8">
        <v>319.2999999992</v>
      </c>
      <c r="BZ8">
        <v>326.69999999959998</v>
      </c>
      <c r="CA8">
        <v>334.39999999970001</v>
      </c>
      <c r="CB8">
        <v>342.69999999919997</v>
      </c>
      <c r="CC8">
        <v>349.69999999880002</v>
      </c>
      <c r="CD8">
        <v>356.20000000020002</v>
      </c>
      <c r="CE8">
        <v>363.40000000020001</v>
      </c>
      <c r="CF8">
        <v>370.3999999998</v>
      </c>
      <c r="CG8">
        <v>376.19999999880002</v>
      </c>
      <c r="CH8">
        <v>382.79999999939997</v>
      </c>
      <c r="CI8">
        <v>390.40000000020001</v>
      </c>
      <c r="CJ8">
        <v>397.10000000010001</v>
      </c>
      <c r="CK8">
        <v>403.29999999990002</v>
      </c>
      <c r="CL8">
        <v>409.79999999939997</v>
      </c>
      <c r="CM8">
        <v>416.19999999970003</v>
      </c>
      <c r="CN8">
        <v>422.39999999949998</v>
      </c>
      <c r="CO8">
        <v>427.89999999880001</v>
      </c>
      <c r="CP8">
        <v>434.90000000020001</v>
      </c>
      <c r="CQ8">
        <v>440.19999999909999</v>
      </c>
      <c r="CR8">
        <v>445.09999999899998</v>
      </c>
      <c r="CS8">
        <v>448.5999999997</v>
      </c>
      <c r="CT8">
        <v>448.5999999997</v>
      </c>
      <c r="CU8">
        <v>448.89999999939999</v>
      </c>
      <c r="CV8">
        <v>448.8000000001</v>
      </c>
      <c r="CW8">
        <v>448.699999999</v>
      </c>
      <c r="CX8">
        <v>448.8000000001</v>
      </c>
      <c r="CY8">
        <v>448.5999999997</v>
      </c>
      <c r="CZ8">
        <v>448.89999999939999</v>
      </c>
      <c r="DA8">
        <v>448.99999999869999</v>
      </c>
      <c r="DB8">
        <v>448.99999999869999</v>
      </c>
      <c r="DC8">
        <v>449.09999999979999</v>
      </c>
      <c r="DD8">
        <v>449.09999999979999</v>
      </c>
      <c r="DE8">
        <v>449.09999999979999</v>
      </c>
      <c r="DF8">
        <v>449.09999999979999</v>
      </c>
      <c r="DG8">
        <v>1.5999999996000001</v>
      </c>
      <c r="DH8">
        <v>1.0000000002</v>
      </c>
      <c r="DI8">
        <v>1.1999999988000001</v>
      </c>
      <c r="DJ8">
        <v>1.1999999988000001</v>
      </c>
      <c r="DK8">
        <v>1.0000000002</v>
      </c>
      <c r="DL8">
        <v>0.89999999909999995</v>
      </c>
      <c r="DM8">
        <v>0.89999999909999995</v>
      </c>
      <c r="DN8">
        <v>1.0000000002</v>
      </c>
      <c r="DO8">
        <v>0.89999999909999995</v>
      </c>
      <c r="DP8">
        <v>1.0999999995</v>
      </c>
      <c r="DQ8">
        <v>1.0000000002</v>
      </c>
      <c r="DR8">
        <v>0.89999999909999995</v>
      </c>
      <c r="DS8">
        <v>0.69999999869999996</v>
      </c>
      <c r="DT8">
        <v>0.69999999869999996</v>
      </c>
      <c r="DU8">
        <v>0.59999999940000004</v>
      </c>
      <c r="DV8">
        <v>0.69999999869999996</v>
      </c>
      <c r="DW8">
        <v>0.89999999909999995</v>
      </c>
      <c r="DX8">
        <v>0.69999999869999996</v>
      </c>
      <c r="DY8">
        <v>0.89999999909999995</v>
      </c>
      <c r="DZ8">
        <v>0.59999999940000004</v>
      </c>
      <c r="EA8">
        <v>0.79999999980000003</v>
      </c>
      <c r="EB8">
        <v>5.4</v>
      </c>
      <c r="EC8">
        <v>12.8999999997</v>
      </c>
      <c r="ED8">
        <v>21.699999999300001</v>
      </c>
      <c r="EE8">
        <v>28.9999999986</v>
      </c>
      <c r="EF8">
        <v>36.899999999199999</v>
      </c>
      <c r="EG8">
        <v>44.299999999599997</v>
      </c>
      <c r="EH8">
        <v>52.099999998999998</v>
      </c>
      <c r="EI8">
        <v>59.499999999400004</v>
      </c>
      <c r="EJ8">
        <v>67.999999999300002</v>
      </c>
      <c r="EK8">
        <v>77.299999998999994</v>
      </c>
      <c r="EL8">
        <v>85.9</v>
      </c>
      <c r="EM8">
        <v>94.999999999300002</v>
      </c>
      <c r="EN8">
        <v>103.9999999994</v>
      </c>
      <c r="EO8">
        <v>111.8999999999</v>
      </c>
      <c r="EP8">
        <v>120.69999999949999</v>
      </c>
      <c r="EQ8">
        <v>130.29999999890001</v>
      </c>
      <c r="ER8">
        <v>138.99999999920001</v>
      </c>
      <c r="ES8">
        <v>147.6000000002</v>
      </c>
      <c r="ET8">
        <v>156.1000000002</v>
      </c>
      <c r="EU8">
        <v>164.1</v>
      </c>
      <c r="EV8">
        <v>173.49999999900001</v>
      </c>
      <c r="EW8">
        <v>182.8999999998</v>
      </c>
      <c r="EX8">
        <v>191.69999999940001</v>
      </c>
      <c r="EY8">
        <v>199.7999999985</v>
      </c>
      <c r="EZ8">
        <v>208.59999999990001</v>
      </c>
      <c r="FA8">
        <v>216.89999999939999</v>
      </c>
      <c r="FB8">
        <v>225.69999999909999</v>
      </c>
      <c r="FC8">
        <v>235.49999999889999</v>
      </c>
      <c r="FD8">
        <v>244.1999999992</v>
      </c>
      <c r="FE8">
        <v>252.0999999997</v>
      </c>
      <c r="FF8">
        <v>260.59999999960002</v>
      </c>
      <c r="FG8">
        <v>268.29999999969999</v>
      </c>
      <c r="FH8">
        <v>276.8999999989</v>
      </c>
      <c r="FI8">
        <v>286.59999999950003</v>
      </c>
      <c r="FJ8">
        <v>294.89999999899999</v>
      </c>
      <c r="FK8">
        <v>302.70000000020002</v>
      </c>
      <c r="FL8">
        <v>310.7</v>
      </c>
      <c r="FM8">
        <v>317.60000000029999</v>
      </c>
      <c r="FN8">
        <v>326.29999999879999</v>
      </c>
      <c r="FO8">
        <v>335.1000000002</v>
      </c>
      <c r="FP8">
        <v>343.19999999930002</v>
      </c>
      <c r="FQ8">
        <v>350.59999999979999</v>
      </c>
      <c r="FR8">
        <v>357.89999999909998</v>
      </c>
      <c r="FS8">
        <v>365.09999999910002</v>
      </c>
      <c r="FT8">
        <v>371.79999999900002</v>
      </c>
      <c r="FU8">
        <v>379.2999999987</v>
      </c>
      <c r="FV8">
        <v>387.19999999919997</v>
      </c>
      <c r="FW8">
        <v>393.89999999909998</v>
      </c>
      <c r="FX8">
        <v>400.70000000009998</v>
      </c>
      <c r="FY8">
        <v>406.9</v>
      </c>
      <c r="FZ8">
        <v>413.49999999869999</v>
      </c>
      <c r="GA8">
        <v>419.09999999920001</v>
      </c>
      <c r="GB8">
        <v>424.49999999919999</v>
      </c>
      <c r="GC8">
        <v>430.699999999</v>
      </c>
      <c r="GD8">
        <v>435.7</v>
      </c>
      <c r="GE8">
        <v>440.39999999949998</v>
      </c>
      <c r="GF8">
        <v>444.7</v>
      </c>
      <c r="GG8">
        <v>448.19999999890001</v>
      </c>
      <c r="GH8">
        <v>448.699999999</v>
      </c>
      <c r="GI8">
        <v>448.89999999939999</v>
      </c>
      <c r="GJ8">
        <v>448.8000000001</v>
      </c>
      <c r="GK8">
        <v>448.89999999939999</v>
      </c>
      <c r="GL8">
        <v>448.699999999</v>
      </c>
      <c r="GM8">
        <v>448.89999999939999</v>
      </c>
      <c r="GN8">
        <v>448.8000000001</v>
      </c>
      <c r="GO8">
        <v>448.89999999939999</v>
      </c>
      <c r="GP8">
        <v>449.09999999979999</v>
      </c>
      <c r="GQ8">
        <v>449.09999999979999</v>
      </c>
      <c r="GR8">
        <v>448.99999999869999</v>
      </c>
      <c r="GS8">
        <v>448.89999999939999</v>
      </c>
      <c r="GT8">
        <v>448.8000000001</v>
      </c>
      <c r="GU8">
        <v>448.89999999939999</v>
      </c>
      <c r="GV8">
        <v>449.09999999979999</v>
      </c>
      <c r="GW8">
        <v>1</v>
      </c>
      <c r="GX8">
        <v>87.400000000299997</v>
      </c>
      <c r="GY8">
        <v>85.4999999992</v>
      </c>
      <c r="GZ8">
        <v>85.4999999992</v>
      </c>
      <c r="HA8">
        <v>94.999999999300002</v>
      </c>
      <c r="HB8">
        <v>87.409095969000006</v>
      </c>
      <c r="HC8">
        <v>-9.5000000001</v>
      </c>
      <c r="HD8">
        <v>449.09999999979999</v>
      </c>
      <c r="HE8">
        <v>330.3575261634</v>
      </c>
      <c r="HF8">
        <v>68.257949231699996</v>
      </c>
      <c r="HG8">
        <v>449.09999999979999</v>
      </c>
      <c r="HH8">
        <v>449.09999999979999</v>
      </c>
      <c r="HI8">
        <v>449.09999999979999</v>
      </c>
      <c r="HJ8">
        <v>449.09999999979999</v>
      </c>
      <c r="HK8">
        <v>107.91788856300001</v>
      </c>
      <c r="HL8">
        <v>3.6232207856</v>
      </c>
      <c r="HM8">
        <v>3.4437582867000001</v>
      </c>
      <c r="HN8">
        <v>3.5753706723000001</v>
      </c>
      <c r="HO8">
        <v>3.5388228039</v>
      </c>
      <c r="HP8">
        <v>3.7406250736</v>
      </c>
      <c r="HQ8">
        <v>2.7645783156000001</v>
      </c>
      <c r="HR8">
        <v>19.1511467373</v>
      </c>
      <c r="HS8">
        <v>-18.7683284457</v>
      </c>
      <c r="HT8">
        <v>-128</v>
      </c>
      <c r="HU8">
        <v>417.76662213240002</v>
      </c>
      <c r="HV8">
        <v>93.841642228699996</v>
      </c>
      <c r="HW8">
        <v>640</v>
      </c>
      <c r="HX8">
        <v>19.1511467373</v>
      </c>
      <c r="HY8">
        <v>-18.7683284457</v>
      </c>
      <c r="HZ8">
        <v>-128</v>
      </c>
      <c r="IA8">
        <v>417.76662213240002</v>
      </c>
      <c r="IB8">
        <v>93.841642228699996</v>
      </c>
      <c r="IC8">
        <v>640</v>
      </c>
      <c r="ID8">
        <v>31.333377867399999</v>
      </c>
      <c r="IE8">
        <v>0.20066800130000001</v>
      </c>
      <c r="IF8">
        <v>-28.152492668600001</v>
      </c>
      <c r="IG8">
        <v>-192</v>
      </c>
      <c r="IH8">
        <v>439.98389000169999</v>
      </c>
      <c r="II8">
        <v>103.22580645159999</v>
      </c>
      <c r="IJ8">
        <v>704</v>
      </c>
      <c r="IK8">
        <v>398.61547539510002</v>
      </c>
      <c r="IL8">
        <v>112.6099706745</v>
      </c>
      <c r="IM8">
        <v>424.41784680479998</v>
      </c>
      <c r="IN8">
        <v>121.9941348974</v>
      </c>
      <c r="IO8">
        <v>7.4999999997</v>
      </c>
      <c r="IP8">
        <v>7.0000000014000001</v>
      </c>
      <c r="IQ8">
        <v>10.3999999992</v>
      </c>
      <c r="IR8">
        <v>4.5886010021999999</v>
      </c>
      <c r="IS8">
        <v>4.5886010021999999</v>
      </c>
      <c r="IT8">
        <v>10.5000000003</v>
      </c>
      <c r="IU8">
        <v>-21.114369501500001</v>
      </c>
      <c r="IV8">
        <v>17.9000000007</v>
      </c>
      <c r="IW8">
        <v>86.803519061599999</v>
      </c>
      <c r="IX8">
        <v>12.5000000007</v>
      </c>
      <c r="IY8">
        <v>103.22580645159999</v>
      </c>
      <c r="IZ8">
        <v>-24.298226236400001</v>
      </c>
      <c r="JA8">
        <v>0.29410982450000001</v>
      </c>
      <c r="JB8">
        <v>-2.0463210000000001E-4</v>
      </c>
      <c r="JC8">
        <v>4.1899999999999998E-7</v>
      </c>
      <c r="JD8">
        <v>0.2759975335</v>
      </c>
      <c r="JE8">
        <v>0.43563199720000001</v>
      </c>
      <c r="JF8">
        <v>0.15681452379999999</v>
      </c>
      <c r="JG8">
        <v>87.191389491799995</v>
      </c>
      <c r="JH8">
        <v>3.7406250736</v>
      </c>
      <c r="JI8">
        <v>3.6133656000000001E-3</v>
      </c>
      <c r="JJ8">
        <v>-6.2615199999999996E-5</v>
      </c>
      <c r="JK8">
        <v>3.6232207856</v>
      </c>
      <c r="JL8">
        <v>1.4005538977000001</v>
      </c>
      <c r="JM8">
        <v>0.47010993909999998</v>
      </c>
      <c r="JN8" t="s">
        <v>544</v>
      </c>
      <c r="JQ8">
        <v>1</v>
      </c>
    </row>
    <row r="9" spans="1:277">
      <c r="A9" t="s">
        <v>621</v>
      </c>
      <c r="B9" t="s">
        <v>622</v>
      </c>
      <c r="C9" t="s">
        <v>211</v>
      </c>
      <c r="D9">
        <v>3</v>
      </c>
      <c r="E9" t="s">
        <v>212</v>
      </c>
      <c r="F9" t="s">
        <v>213</v>
      </c>
      <c r="G9" t="s">
        <v>543</v>
      </c>
      <c r="H9" t="s">
        <v>215</v>
      </c>
      <c r="J9" t="s">
        <v>605</v>
      </c>
      <c r="K9" t="s">
        <v>606</v>
      </c>
      <c r="L9" t="s">
        <v>607</v>
      </c>
      <c r="M9" t="s">
        <v>608</v>
      </c>
      <c r="N9" t="s">
        <v>609</v>
      </c>
      <c r="O9">
        <v>0</v>
      </c>
      <c r="P9">
        <v>0</v>
      </c>
      <c r="Q9">
        <v>0</v>
      </c>
      <c r="R9">
        <v>0.50000000010000001</v>
      </c>
      <c r="S9">
        <v>0.7000000005</v>
      </c>
      <c r="T9">
        <v>0.50000000010000001</v>
      </c>
      <c r="U9">
        <v>0.7000000005</v>
      </c>
      <c r="V9">
        <v>0.7000000005</v>
      </c>
      <c r="W9">
        <v>0.60000000119999997</v>
      </c>
      <c r="X9">
        <v>0.50000000010000001</v>
      </c>
      <c r="Y9">
        <v>0.40000000079999998</v>
      </c>
      <c r="Z9">
        <v>0.50000000010000001</v>
      </c>
      <c r="AA9">
        <v>0.60000000119999997</v>
      </c>
      <c r="AB9">
        <v>0.29999999970000002</v>
      </c>
      <c r="AC9">
        <v>0.50000000010000001</v>
      </c>
      <c r="AD9">
        <v>0.50000000010000001</v>
      </c>
      <c r="AE9">
        <v>0.7000000005</v>
      </c>
      <c r="AF9">
        <v>0.50000000010000001</v>
      </c>
      <c r="AG9">
        <v>0.60000000119999997</v>
      </c>
      <c r="AH9">
        <v>0.50000000010000001</v>
      </c>
      <c r="AI9">
        <v>0.40000000079999998</v>
      </c>
      <c r="AJ9">
        <v>0.50000000010000001</v>
      </c>
      <c r="AK9">
        <v>0.40000000079999998</v>
      </c>
      <c r="AL9">
        <v>5.9000000001000004</v>
      </c>
      <c r="AM9">
        <v>13.300000000500001</v>
      </c>
      <c r="AN9">
        <v>20.0000000004</v>
      </c>
      <c r="AO9">
        <v>27.700000000599999</v>
      </c>
      <c r="AP9">
        <v>36.900000001000002</v>
      </c>
      <c r="AQ9">
        <v>44.700000000400003</v>
      </c>
      <c r="AR9">
        <v>52.900000000600002</v>
      </c>
      <c r="AS9">
        <v>61.100000000800001</v>
      </c>
      <c r="AT9">
        <v>68.600000000500003</v>
      </c>
      <c r="AU9">
        <v>77.300000000799997</v>
      </c>
      <c r="AV9">
        <v>86.199999999699997</v>
      </c>
      <c r="AW9">
        <v>95.699999999900001</v>
      </c>
      <c r="AX9">
        <v>104.1999999998</v>
      </c>
      <c r="AY9">
        <v>113.3000000009</v>
      </c>
      <c r="AZ9">
        <v>120.8999999999</v>
      </c>
      <c r="BA9">
        <v>130.00000000099999</v>
      </c>
      <c r="BB9">
        <v>139.10000000030001</v>
      </c>
      <c r="BC9">
        <v>148.50000000110001</v>
      </c>
      <c r="BD9">
        <v>157.00000000110001</v>
      </c>
      <c r="BE9">
        <v>166.1999999997</v>
      </c>
      <c r="BF9">
        <v>174.39999999989999</v>
      </c>
      <c r="BG9">
        <v>183.39999999989999</v>
      </c>
      <c r="BH9">
        <v>193.40000000009999</v>
      </c>
      <c r="BI9">
        <v>202.00000000110001</v>
      </c>
      <c r="BJ9">
        <v>210.80000000070001</v>
      </c>
      <c r="BK9">
        <v>220.00000000119999</v>
      </c>
      <c r="BL9">
        <v>228.30000000070001</v>
      </c>
      <c r="BM9">
        <v>236.80000000059999</v>
      </c>
      <c r="BN9">
        <v>247.00000000119999</v>
      </c>
      <c r="BO9">
        <v>255.50000000110001</v>
      </c>
      <c r="BP9">
        <v>264.19999999959998</v>
      </c>
      <c r="BQ9">
        <v>272.10000000010001</v>
      </c>
      <c r="BR9">
        <v>280.60000000000002</v>
      </c>
      <c r="BS9">
        <v>289.60000000010001</v>
      </c>
      <c r="BT9">
        <v>299.1000000002</v>
      </c>
      <c r="BU9">
        <v>307.10000000000002</v>
      </c>
      <c r="BV9">
        <v>315.50000000059998</v>
      </c>
      <c r="BW9">
        <v>324.20000000089999</v>
      </c>
      <c r="BX9">
        <v>331.70000000060003</v>
      </c>
      <c r="BY9">
        <v>339.5</v>
      </c>
      <c r="BZ9">
        <v>349.00000000019998</v>
      </c>
      <c r="CA9">
        <v>356.40000000060002</v>
      </c>
      <c r="CB9">
        <v>364.2</v>
      </c>
      <c r="CC9">
        <v>372.00000000120002</v>
      </c>
      <c r="CD9">
        <v>379.10000000010001</v>
      </c>
      <c r="CE9">
        <v>386.70000000089999</v>
      </c>
      <c r="CF9">
        <v>395.50000000049999</v>
      </c>
      <c r="CG9">
        <v>402.60000000129997</v>
      </c>
      <c r="CH9">
        <v>409.40000000049997</v>
      </c>
      <c r="CI9">
        <v>416.60000000050002</v>
      </c>
      <c r="CJ9">
        <v>424.2000000013</v>
      </c>
      <c r="CK9">
        <v>430.5999999997</v>
      </c>
      <c r="CL9">
        <v>438.29999999979998</v>
      </c>
      <c r="CM9">
        <v>444.1999999999</v>
      </c>
      <c r="CN9">
        <v>449.70000000099998</v>
      </c>
      <c r="CO9">
        <v>450.00000000070003</v>
      </c>
      <c r="CP9">
        <v>450.20000000110002</v>
      </c>
      <c r="CQ9">
        <v>450.30000000040002</v>
      </c>
      <c r="CR9">
        <v>450.50000000080001</v>
      </c>
      <c r="CS9">
        <v>450.39999999970001</v>
      </c>
      <c r="CT9">
        <v>450.39999999970001</v>
      </c>
      <c r="CU9">
        <v>450.30000000040002</v>
      </c>
      <c r="CV9">
        <v>450.1</v>
      </c>
      <c r="CW9">
        <v>450.30000000040002</v>
      </c>
      <c r="CX9">
        <v>450.50000000080001</v>
      </c>
      <c r="CY9">
        <v>450.70000000120001</v>
      </c>
      <c r="CZ9">
        <v>450.50000000080001</v>
      </c>
      <c r="DA9">
        <v>450.30000000040002</v>
      </c>
      <c r="DB9">
        <v>450.1</v>
      </c>
      <c r="DC9">
        <v>450.39999999970001</v>
      </c>
      <c r="DD9">
        <v>450.50000000080001</v>
      </c>
      <c r="DE9">
        <v>450.60000000010001</v>
      </c>
      <c r="DF9">
        <v>450.39999999970001</v>
      </c>
      <c r="DG9">
        <v>0.40000000079999998</v>
      </c>
      <c r="DH9">
        <v>1.400000001</v>
      </c>
      <c r="DI9">
        <v>1.2999999999</v>
      </c>
      <c r="DJ9">
        <v>1.2999999999</v>
      </c>
      <c r="DK9">
        <v>1.2999999999</v>
      </c>
      <c r="DL9">
        <v>1.2000000006</v>
      </c>
      <c r="DM9">
        <v>1.400000001</v>
      </c>
      <c r="DN9">
        <v>1.2999999999</v>
      </c>
      <c r="DO9">
        <v>1.400000001</v>
      </c>
      <c r="DP9">
        <v>1.2000000006</v>
      </c>
      <c r="DQ9">
        <v>1.2000000006</v>
      </c>
      <c r="DR9">
        <v>1.2000000006</v>
      </c>
      <c r="DS9">
        <v>1.2000000006</v>
      </c>
      <c r="DT9">
        <v>1.2000000006</v>
      </c>
      <c r="DU9">
        <v>0.90000000089999999</v>
      </c>
      <c r="DV9">
        <v>1.1000000013</v>
      </c>
      <c r="DW9">
        <v>1.2000000006</v>
      </c>
      <c r="DX9">
        <v>1.2999999999</v>
      </c>
      <c r="DY9">
        <v>1.2999999999</v>
      </c>
      <c r="DZ9">
        <v>1.2999999999</v>
      </c>
      <c r="EA9">
        <v>6.9000000003000004</v>
      </c>
      <c r="EB9">
        <v>13.5000000009</v>
      </c>
      <c r="EC9">
        <v>21.300000000299999</v>
      </c>
      <c r="ED9">
        <v>30.200000001100001</v>
      </c>
      <c r="EE9">
        <v>38.000000000500002</v>
      </c>
      <c r="EF9">
        <v>45.500000000199996</v>
      </c>
      <c r="EG9">
        <v>53.400000000699997</v>
      </c>
      <c r="EH9">
        <v>60.900000000399999</v>
      </c>
      <c r="EI9">
        <v>69.500000001399997</v>
      </c>
      <c r="EJ9">
        <v>77.699999999799999</v>
      </c>
      <c r="EK9">
        <v>87.400000000299997</v>
      </c>
      <c r="EL9">
        <v>96.000000001399997</v>
      </c>
      <c r="EM9">
        <v>104.4000000002</v>
      </c>
      <c r="EN9">
        <v>113.4000000002</v>
      </c>
      <c r="EO9">
        <v>121.2000000014</v>
      </c>
      <c r="EP9">
        <v>130.30000000070001</v>
      </c>
      <c r="EQ9">
        <v>140.00000000119999</v>
      </c>
      <c r="ER9">
        <v>148.6000000004</v>
      </c>
      <c r="ES9">
        <v>157.50000000119999</v>
      </c>
      <c r="ET9">
        <v>166.00000000110001</v>
      </c>
      <c r="EU9">
        <v>175.00000000110001</v>
      </c>
      <c r="EV9">
        <v>185.00000000130001</v>
      </c>
      <c r="EW9">
        <v>194.1999999999</v>
      </c>
      <c r="EX9">
        <v>202.69999999980001</v>
      </c>
      <c r="EY9">
        <v>211.80000000090001</v>
      </c>
      <c r="EZ9">
        <v>219.69999999960001</v>
      </c>
      <c r="FA9">
        <v>229.10000000049999</v>
      </c>
      <c r="FB9">
        <v>239.2</v>
      </c>
      <c r="FC9">
        <v>248.0000000014</v>
      </c>
      <c r="FD9">
        <v>256.50000000130001</v>
      </c>
      <c r="FE9">
        <v>265.40000000020001</v>
      </c>
      <c r="FF9">
        <v>273.80000000080003</v>
      </c>
      <c r="FG9">
        <v>282.60000000050002</v>
      </c>
      <c r="FH9">
        <v>292.300000001</v>
      </c>
      <c r="FI9">
        <v>300.80000000090001</v>
      </c>
      <c r="FJ9">
        <v>309.30000000080003</v>
      </c>
      <c r="FK9">
        <v>317.80000000069998</v>
      </c>
      <c r="FL9">
        <v>325.20000000110002</v>
      </c>
      <c r="FM9">
        <v>334.00000000070003</v>
      </c>
      <c r="FN9">
        <v>343.39999999970001</v>
      </c>
      <c r="FO9">
        <v>351.6</v>
      </c>
      <c r="FP9">
        <v>359.3000000001</v>
      </c>
      <c r="FQ9">
        <v>367.60000000140002</v>
      </c>
      <c r="FR9">
        <v>374.9000000007</v>
      </c>
      <c r="FS9">
        <v>382.49999999969998</v>
      </c>
      <c r="FT9">
        <v>390.99999999959999</v>
      </c>
      <c r="FU9">
        <v>398.60000000039997</v>
      </c>
      <c r="FV9">
        <v>405.89999999970001</v>
      </c>
      <c r="FW9">
        <v>413.20000000089999</v>
      </c>
      <c r="FX9">
        <v>420.50000000019998</v>
      </c>
      <c r="FY9">
        <v>426.00000000130001</v>
      </c>
      <c r="FZ9">
        <v>433.1000000002</v>
      </c>
      <c r="GA9">
        <v>440.50000000059998</v>
      </c>
      <c r="GB9">
        <v>445.60000000090002</v>
      </c>
      <c r="GC9">
        <v>450.20000000110002</v>
      </c>
      <c r="GD9">
        <v>450.20000000110002</v>
      </c>
      <c r="GE9">
        <v>450.1</v>
      </c>
      <c r="GF9">
        <v>450.30000000040002</v>
      </c>
      <c r="GG9">
        <v>450.20000000110002</v>
      </c>
      <c r="GH9">
        <v>450.1</v>
      </c>
      <c r="GI9">
        <v>450.30000000040002</v>
      </c>
      <c r="GJ9">
        <v>450.39999999970001</v>
      </c>
      <c r="GK9">
        <v>450.60000000010001</v>
      </c>
      <c r="GL9">
        <v>450.60000000010001</v>
      </c>
      <c r="GM9">
        <v>450.30000000040002</v>
      </c>
      <c r="GN9">
        <v>450.20000000110002</v>
      </c>
      <c r="GO9">
        <v>450.39999999970001</v>
      </c>
      <c r="GP9">
        <v>450.39999999970001</v>
      </c>
      <c r="GQ9">
        <v>450.60000000010001</v>
      </c>
      <c r="GR9">
        <v>450.60000000010001</v>
      </c>
      <c r="GS9">
        <v>450.60000000010001</v>
      </c>
      <c r="GT9">
        <v>450.30000000040002</v>
      </c>
      <c r="GU9">
        <v>450.30000000040002</v>
      </c>
      <c r="GV9">
        <v>450.50000000080001</v>
      </c>
      <c r="GW9">
        <v>1</v>
      </c>
      <c r="GX9">
        <v>98.799999999799994</v>
      </c>
      <c r="GY9">
        <v>95.699999999900001</v>
      </c>
      <c r="GZ9">
        <v>95.699999999900001</v>
      </c>
      <c r="HA9">
        <v>104.4000000002</v>
      </c>
      <c r="HB9">
        <v>97.631938741499994</v>
      </c>
      <c r="HC9">
        <v>-8.7000000002999993</v>
      </c>
      <c r="HD9">
        <v>450.49997780569998</v>
      </c>
      <c r="HE9">
        <v>321.99099988929999</v>
      </c>
      <c r="HF9">
        <v>84.024758627699995</v>
      </c>
      <c r="HG9">
        <v>450.70000000120001</v>
      </c>
      <c r="HH9">
        <v>450.59997780499998</v>
      </c>
      <c r="HI9">
        <v>450.70000000120001</v>
      </c>
      <c r="HJ9">
        <v>450.60000000010001</v>
      </c>
      <c r="HK9">
        <v>98.533724340199996</v>
      </c>
      <c r="HL9">
        <v>3.7707287535999998</v>
      </c>
      <c r="HM9">
        <v>3.6618963519999999</v>
      </c>
      <c r="HN9">
        <v>3.7007865284000001</v>
      </c>
      <c r="HO9">
        <v>3.3829861261</v>
      </c>
      <c r="HP9">
        <v>3.7696152033999999</v>
      </c>
      <c r="HQ9">
        <v>3.1051544558000002</v>
      </c>
      <c r="HR9">
        <v>13.6071801137</v>
      </c>
      <c r="HS9">
        <v>-23.460410557199999</v>
      </c>
      <c r="HT9">
        <v>-160</v>
      </c>
      <c r="HU9">
        <v>419.62293863079998</v>
      </c>
      <c r="HV9">
        <v>86.803519061599999</v>
      </c>
      <c r="HW9">
        <v>592</v>
      </c>
      <c r="HX9">
        <v>13.6071801137</v>
      </c>
      <c r="HY9">
        <v>-23.460410557199999</v>
      </c>
      <c r="HZ9">
        <v>-160</v>
      </c>
      <c r="IA9">
        <v>419.62293863079998</v>
      </c>
      <c r="IB9">
        <v>86.803519061599999</v>
      </c>
      <c r="IC9">
        <v>592</v>
      </c>
      <c r="ID9">
        <v>30.9770391743</v>
      </c>
      <c r="IE9">
        <v>0.40169792560000001</v>
      </c>
      <c r="IF9">
        <v>-32.844574780099997</v>
      </c>
      <c r="IG9">
        <v>-224</v>
      </c>
      <c r="IH9">
        <v>445.46065919519998</v>
      </c>
      <c r="II9">
        <v>96.187683284499997</v>
      </c>
      <c r="IJ9">
        <v>656</v>
      </c>
      <c r="IK9">
        <v>406.01575851699999</v>
      </c>
      <c r="IL9">
        <v>110.26392961880001</v>
      </c>
      <c r="IM9">
        <v>432.21473754239997</v>
      </c>
      <c r="IN9">
        <v>119.6480938416</v>
      </c>
      <c r="IO9">
        <v>7.7999999993999998</v>
      </c>
      <c r="IP9">
        <v>7.7000000001000002</v>
      </c>
      <c r="IQ9">
        <v>10.200000000599999</v>
      </c>
      <c r="IR9">
        <v>2.6163626321</v>
      </c>
      <c r="IS9">
        <v>2.6163626321</v>
      </c>
      <c r="IT9">
        <v>7.9999999998</v>
      </c>
      <c r="IU9">
        <v>-23.460410557199999</v>
      </c>
      <c r="IV9">
        <v>12.0999999999</v>
      </c>
      <c r="IW9">
        <v>65.689149560100006</v>
      </c>
      <c r="IX9">
        <v>9.9000000009000004</v>
      </c>
      <c r="IY9">
        <v>93.841642228699996</v>
      </c>
      <c r="IZ9">
        <v>-27.2662182553</v>
      </c>
      <c r="JA9">
        <v>0.29910898660000002</v>
      </c>
      <c r="JB9">
        <v>-2.272024E-4</v>
      </c>
      <c r="JC9">
        <v>3.855E-7</v>
      </c>
      <c r="JD9">
        <v>0.26520072519999999</v>
      </c>
      <c r="JE9">
        <v>0.25038715420000002</v>
      </c>
      <c r="JF9">
        <v>9.4523022799999995E-2</v>
      </c>
      <c r="JG9">
        <v>97.226607282100005</v>
      </c>
      <c r="JH9">
        <v>3.7696152033999999</v>
      </c>
      <c r="JI9">
        <v>5.6724968999999998E-3</v>
      </c>
      <c r="JJ9">
        <v>-7.2960799999999994E-5</v>
      </c>
      <c r="JK9">
        <v>3.7707287535999998</v>
      </c>
      <c r="JL9">
        <v>0.92456620970000003</v>
      </c>
      <c r="JM9">
        <v>0.33410915740000002</v>
      </c>
      <c r="JN9" t="s">
        <v>544</v>
      </c>
      <c r="JQ9">
        <v>1</v>
      </c>
    </row>
    <row r="10" spans="1:277">
      <c r="A10" t="s">
        <v>650</v>
      </c>
      <c r="B10" t="s">
        <v>651</v>
      </c>
      <c r="C10" t="s">
        <v>211</v>
      </c>
      <c r="D10">
        <v>3</v>
      </c>
      <c r="E10" t="s">
        <v>212</v>
      </c>
      <c r="F10" t="s">
        <v>213</v>
      </c>
      <c r="G10" t="s">
        <v>543</v>
      </c>
      <c r="H10" t="s">
        <v>215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0</v>
      </c>
      <c r="R10">
        <v>0.39999999899999999</v>
      </c>
      <c r="S10">
        <v>0.59999999940000004</v>
      </c>
      <c r="T10">
        <v>0.59999999940000004</v>
      </c>
      <c r="U10">
        <v>0.59999999940000004</v>
      </c>
      <c r="V10">
        <v>0.39999999899999999</v>
      </c>
      <c r="W10">
        <v>0.50000000010000001</v>
      </c>
      <c r="X10">
        <v>0.50000000010000001</v>
      </c>
      <c r="Y10">
        <v>0.39999999899999999</v>
      </c>
      <c r="Z10">
        <v>0.39999999899999999</v>
      </c>
      <c r="AA10">
        <v>0.39999999899999999</v>
      </c>
      <c r="AB10">
        <v>0.39999999899999999</v>
      </c>
      <c r="AC10">
        <v>0.69999999869999996</v>
      </c>
      <c r="AD10">
        <v>0.59999999940000004</v>
      </c>
      <c r="AE10">
        <v>0.59999999940000004</v>
      </c>
      <c r="AF10">
        <v>0.69999999869999996</v>
      </c>
      <c r="AG10">
        <v>0.59999999940000004</v>
      </c>
      <c r="AH10">
        <v>0.69999999869999996</v>
      </c>
      <c r="AI10">
        <v>0.79999999980000003</v>
      </c>
      <c r="AJ10">
        <v>0.79999999980000003</v>
      </c>
      <c r="AK10">
        <v>2.8999999994999999</v>
      </c>
      <c r="AL10">
        <v>9.0999999992999996</v>
      </c>
      <c r="AM10">
        <v>16.499999999700002</v>
      </c>
      <c r="AN10">
        <v>24.399999998399998</v>
      </c>
      <c r="AO10">
        <v>32.199999999600003</v>
      </c>
      <c r="AP10">
        <v>39.600000000100003</v>
      </c>
      <c r="AQ10">
        <v>47.5999999999</v>
      </c>
      <c r="AR10">
        <v>55.599999999700003</v>
      </c>
      <c r="AS10">
        <v>63.999999998500002</v>
      </c>
      <c r="AT10">
        <v>72.699999998799996</v>
      </c>
      <c r="AU10">
        <v>81.4999999984</v>
      </c>
      <c r="AV10">
        <v>90.000000000100002</v>
      </c>
      <c r="AW10">
        <v>99.299999999899995</v>
      </c>
      <c r="AX10">
        <v>108.39999999920001</v>
      </c>
      <c r="AY10">
        <v>117.1999999988</v>
      </c>
      <c r="AZ10">
        <v>126.5999999996</v>
      </c>
      <c r="BA10">
        <v>135.1999999988</v>
      </c>
      <c r="BB10">
        <v>143.59999999940001</v>
      </c>
      <c r="BC10">
        <v>152.59999999940001</v>
      </c>
      <c r="BD10">
        <v>161.5000000002</v>
      </c>
      <c r="BE10">
        <v>170.29999999980001</v>
      </c>
      <c r="BF10">
        <v>179.3999999991</v>
      </c>
      <c r="BG10">
        <v>187.89999999899999</v>
      </c>
      <c r="BH10">
        <v>196.79999999969999</v>
      </c>
      <c r="BI10">
        <v>205.89999999899999</v>
      </c>
      <c r="BJ10">
        <v>214.69999999859999</v>
      </c>
      <c r="BK10">
        <v>223.59999999940001</v>
      </c>
      <c r="BL10">
        <v>232.79999999980001</v>
      </c>
      <c r="BM10">
        <v>240.7999999996</v>
      </c>
      <c r="BN10">
        <v>249.09999999909999</v>
      </c>
      <c r="BO10">
        <v>258.29999999950002</v>
      </c>
      <c r="BP10">
        <v>267.09999999910002</v>
      </c>
      <c r="BQ10">
        <v>275.39999999859998</v>
      </c>
      <c r="BR10">
        <v>284.09999999889999</v>
      </c>
      <c r="BS10">
        <v>292.0999999988</v>
      </c>
      <c r="BT10">
        <v>300.09999999860003</v>
      </c>
      <c r="BU10">
        <v>308.69999999959998</v>
      </c>
      <c r="BV10">
        <v>316.8999999998</v>
      </c>
      <c r="BW10">
        <v>324.89999999960003</v>
      </c>
      <c r="BX10">
        <v>332.4999999986</v>
      </c>
      <c r="BY10">
        <v>340.29999999979998</v>
      </c>
      <c r="BZ10">
        <v>347.39999999870003</v>
      </c>
      <c r="CA10">
        <v>354.99999999959999</v>
      </c>
      <c r="CB10">
        <v>362.79999999900002</v>
      </c>
      <c r="CC10">
        <v>370.6000000002</v>
      </c>
      <c r="CD10">
        <v>377.79999999839998</v>
      </c>
      <c r="CE10">
        <v>384.59999999939998</v>
      </c>
      <c r="CF10">
        <v>391.99999999980002</v>
      </c>
      <c r="CG10">
        <v>398.4</v>
      </c>
      <c r="CH10">
        <v>405.49999999890002</v>
      </c>
      <c r="CI10">
        <v>412.3</v>
      </c>
      <c r="CJ10">
        <v>419.89999999899999</v>
      </c>
      <c r="CK10">
        <v>426.49999999959999</v>
      </c>
      <c r="CL10">
        <v>432.9999999991</v>
      </c>
      <c r="CM10">
        <v>439.5999999997</v>
      </c>
      <c r="CN10">
        <v>445.89999999880001</v>
      </c>
      <c r="CO10">
        <v>450.7999999987</v>
      </c>
      <c r="CP10">
        <v>452.99999999950001</v>
      </c>
      <c r="CQ10">
        <v>453.0999999988</v>
      </c>
      <c r="CR10">
        <v>452.99999999950001</v>
      </c>
      <c r="CS10">
        <v>452.89999999840001</v>
      </c>
      <c r="CT10">
        <v>452.79999999910001</v>
      </c>
      <c r="CU10">
        <v>452.69999999980001</v>
      </c>
      <c r="CV10">
        <v>452.79999999910001</v>
      </c>
      <c r="CW10">
        <v>453.0999999988</v>
      </c>
      <c r="CX10">
        <v>452.99999999950001</v>
      </c>
      <c r="CY10">
        <v>452.79999999910001</v>
      </c>
      <c r="CZ10">
        <v>452.69999999980001</v>
      </c>
      <c r="DA10">
        <v>452.49999999940002</v>
      </c>
      <c r="DB10">
        <v>452.49999999940002</v>
      </c>
      <c r="DC10">
        <v>452.40000000010002</v>
      </c>
      <c r="DD10">
        <v>452.49999999940002</v>
      </c>
      <c r="DE10">
        <v>452.49999999940002</v>
      </c>
      <c r="DF10">
        <v>452.69999999980001</v>
      </c>
      <c r="DG10">
        <v>0.79999999980000003</v>
      </c>
      <c r="DH10">
        <v>1.0999999995</v>
      </c>
      <c r="DI10">
        <v>1.0000000002</v>
      </c>
      <c r="DJ10">
        <v>1.2999999999</v>
      </c>
      <c r="DK10">
        <v>1.2999999999</v>
      </c>
      <c r="DL10">
        <v>1.2999999999</v>
      </c>
      <c r="DM10">
        <v>1.0999999995</v>
      </c>
      <c r="DN10">
        <v>1.2999999999</v>
      </c>
      <c r="DO10">
        <v>1.1999999988000001</v>
      </c>
      <c r="DP10">
        <v>1.1999999988000001</v>
      </c>
      <c r="DQ10">
        <v>1.0999999995</v>
      </c>
      <c r="DR10">
        <v>1.2999999999</v>
      </c>
      <c r="DS10">
        <v>1.1999999988000001</v>
      </c>
      <c r="DT10">
        <v>1.2999999999</v>
      </c>
      <c r="DU10">
        <v>1.2999999999</v>
      </c>
      <c r="DV10">
        <v>1.2999999999</v>
      </c>
      <c r="DW10">
        <v>1.4999999985000001</v>
      </c>
      <c r="DX10">
        <v>1.3999999992000001</v>
      </c>
      <c r="DY10">
        <v>1.4999999985000001</v>
      </c>
      <c r="DZ10">
        <v>4.6999999995000001</v>
      </c>
      <c r="EA10">
        <v>11.8999999995</v>
      </c>
      <c r="EB10">
        <v>19.399999999199999</v>
      </c>
      <c r="EC10">
        <v>27</v>
      </c>
      <c r="ED10">
        <v>34.299999999299999</v>
      </c>
      <c r="EE10">
        <v>42.199999999900001</v>
      </c>
      <c r="EF10">
        <v>49.799999998899999</v>
      </c>
      <c r="EG10">
        <v>57.699999999399999</v>
      </c>
      <c r="EH10">
        <v>66.099999999999994</v>
      </c>
      <c r="EI10">
        <v>74.499999998800007</v>
      </c>
      <c r="EJ10">
        <v>82.800000000099999</v>
      </c>
      <c r="EK10">
        <v>90.999999998500002</v>
      </c>
      <c r="EL10">
        <v>99.599999999600001</v>
      </c>
      <c r="EM10">
        <v>108.5999999996</v>
      </c>
      <c r="EN10">
        <v>118.39999999939999</v>
      </c>
      <c r="EO10">
        <v>127.49999999870001</v>
      </c>
      <c r="EP10">
        <v>135.9999999986</v>
      </c>
      <c r="EQ10">
        <v>144.80000000000001</v>
      </c>
      <c r="ER10">
        <v>153.80000000000001</v>
      </c>
      <c r="ES10">
        <v>162.69999999890001</v>
      </c>
      <c r="ET10">
        <v>171.8000000001</v>
      </c>
      <c r="EU10">
        <v>180.99999999869999</v>
      </c>
      <c r="EV10">
        <v>189.3</v>
      </c>
      <c r="EW10">
        <v>198.5999999997</v>
      </c>
      <c r="EX10">
        <v>207.699999999</v>
      </c>
      <c r="EY10">
        <v>216.699999999</v>
      </c>
      <c r="EZ10">
        <v>225.59999999979999</v>
      </c>
      <c r="FA10">
        <v>234.59999999979999</v>
      </c>
      <c r="FB10">
        <v>243.39999999939999</v>
      </c>
      <c r="FC10">
        <v>252.39999999939999</v>
      </c>
      <c r="FD10">
        <v>261.39999999939999</v>
      </c>
      <c r="FE10">
        <v>270.39999999939999</v>
      </c>
      <c r="FF10">
        <v>279.39999999939999</v>
      </c>
      <c r="FG10">
        <v>287.69999999890001</v>
      </c>
      <c r="FH10">
        <v>296.09999999960002</v>
      </c>
      <c r="FI10">
        <v>305.09999999960002</v>
      </c>
      <c r="FJ10">
        <v>313.69999999880002</v>
      </c>
      <c r="FK10">
        <v>322.19999999869998</v>
      </c>
      <c r="FL10">
        <v>331.00000000009999</v>
      </c>
      <c r="FM10">
        <v>338.79999999950002</v>
      </c>
      <c r="FN10">
        <v>346.79999999929998</v>
      </c>
      <c r="FO10">
        <v>354.7999999992</v>
      </c>
      <c r="FP10">
        <v>362.99999999940002</v>
      </c>
      <c r="FQ10">
        <v>371.09999999849998</v>
      </c>
      <c r="FR10">
        <v>378.89999999970001</v>
      </c>
      <c r="FS10">
        <v>386.39999999939999</v>
      </c>
      <c r="FT10">
        <v>393.69999999869998</v>
      </c>
      <c r="FU10">
        <v>400.79999999939997</v>
      </c>
      <c r="FV10">
        <v>407.90000000020001</v>
      </c>
      <c r="FW10">
        <v>414.60000000010001</v>
      </c>
      <c r="FX10">
        <v>421.8000000001</v>
      </c>
      <c r="FY10">
        <v>428.3999999989</v>
      </c>
      <c r="FZ10">
        <v>434.40000000010002</v>
      </c>
      <c r="GA10">
        <v>440.59999999989998</v>
      </c>
      <c r="GB10">
        <v>445.79999999950002</v>
      </c>
      <c r="GC10">
        <v>449.69999999919997</v>
      </c>
      <c r="GD10">
        <v>453.0999999988</v>
      </c>
      <c r="GE10">
        <v>453.39999999849999</v>
      </c>
      <c r="GF10">
        <v>453.0999999988</v>
      </c>
      <c r="GG10">
        <v>453.0999999988</v>
      </c>
      <c r="GH10">
        <v>452.79999999910001</v>
      </c>
      <c r="GI10">
        <v>452.59999999870001</v>
      </c>
      <c r="GJ10">
        <v>452.59999999870001</v>
      </c>
      <c r="GK10">
        <v>452.69999999980001</v>
      </c>
      <c r="GL10">
        <v>452.89999999840001</v>
      </c>
      <c r="GM10">
        <v>452.79999999910001</v>
      </c>
      <c r="GN10">
        <v>452.49999999940002</v>
      </c>
      <c r="GO10">
        <v>452.59999999870001</v>
      </c>
      <c r="GP10">
        <v>452.40000000010002</v>
      </c>
      <c r="GQ10">
        <v>452.59999999870001</v>
      </c>
      <c r="GR10">
        <v>452.59999999870001</v>
      </c>
      <c r="GS10">
        <v>452.59999999870001</v>
      </c>
      <c r="GT10">
        <v>452.79999999910001</v>
      </c>
      <c r="GU10">
        <v>452.79999999910001</v>
      </c>
      <c r="GV10">
        <v>452.69999999980001</v>
      </c>
      <c r="GW10">
        <v>1</v>
      </c>
      <c r="GX10">
        <v>102.30000000050001</v>
      </c>
      <c r="GY10">
        <v>99.299999999899995</v>
      </c>
      <c r="GZ10">
        <v>99.299999999899995</v>
      </c>
      <c r="HA10">
        <v>108.5999999996</v>
      </c>
      <c r="HB10">
        <v>101.4336018537</v>
      </c>
      <c r="HC10">
        <v>-9.2999999997000007</v>
      </c>
      <c r="HD10">
        <v>452.69999999980001</v>
      </c>
      <c r="HE10">
        <v>318.94720812200001</v>
      </c>
      <c r="HF10">
        <v>84.429574045500004</v>
      </c>
      <c r="HG10">
        <v>453.39999999849999</v>
      </c>
      <c r="HH10">
        <v>453.3942617509</v>
      </c>
      <c r="HI10">
        <v>453.0999999988</v>
      </c>
      <c r="HJ10">
        <v>453.39999999849999</v>
      </c>
      <c r="HK10">
        <v>100.87976539589999</v>
      </c>
      <c r="HL10">
        <v>3.7505324681999999</v>
      </c>
      <c r="HM10">
        <v>3.5805115723999998</v>
      </c>
      <c r="HN10">
        <v>3.6783374234999999</v>
      </c>
      <c r="HO10">
        <v>3.4321804660000002</v>
      </c>
      <c r="HP10">
        <v>3.7982793126000001</v>
      </c>
      <c r="HQ10">
        <v>2.9728056007000001</v>
      </c>
      <c r="HR10">
        <v>17.0040278082</v>
      </c>
      <c r="HS10">
        <v>-23.460410557199999</v>
      </c>
      <c r="HT10">
        <v>-160</v>
      </c>
      <c r="HU10">
        <v>420.3808099757</v>
      </c>
      <c r="HV10">
        <v>86.803519061599999</v>
      </c>
      <c r="HW10">
        <v>592</v>
      </c>
      <c r="HX10">
        <v>17.0040278082</v>
      </c>
      <c r="HY10">
        <v>-23.460410557199999</v>
      </c>
      <c r="HZ10">
        <v>-160</v>
      </c>
      <c r="IA10">
        <v>420.3808099757</v>
      </c>
      <c r="IB10">
        <v>86.803519061599999</v>
      </c>
      <c r="IC10">
        <v>592</v>
      </c>
      <c r="ID10">
        <v>33.013451775199997</v>
      </c>
      <c r="IE10">
        <v>0.80177664950000005</v>
      </c>
      <c r="IF10">
        <v>-32.844574780099997</v>
      </c>
      <c r="IG10">
        <v>-224</v>
      </c>
      <c r="IH10">
        <v>445.41297726720001</v>
      </c>
      <c r="II10">
        <v>96.187683284499997</v>
      </c>
      <c r="IJ10">
        <v>656</v>
      </c>
      <c r="IK10">
        <v>403.37678216760003</v>
      </c>
      <c r="IL10">
        <v>110.26392961880001</v>
      </c>
      <c r="IM10">
        <v>430.5225667629</v>
      </c>
      <c r="IN10">
        <v>119.6480938416</v>
      </c>
      <c r="IO10">
        <v>7.4999999997</v>
      </c>
      <c r="IP10">
        <v>6.6000000005999997</v>
      </c>
      <c r="IQ10">
        <v>9.7999999998000007</v>
      </c>
      <c r="IR10">
        <v>2.8039438987</v>
      </c>
      <c r="IS10">
        <v>2.8039438987</v>
      </c>
      <c r="IT10">
        <v>10.299999999900001</v>
      </c>
      <c r="IU10">
        <v>-25.806451612899998</v>
      </c>
      <c r="IV10">
        <v>16.300000001099999</v>
      </c>
      <c r="IW10">
        <v>86.803519061599999</v>
      </c>
      <c r="IX10">
        <v>12.800000000400001</v>
      </c>
      <c r="IY10">
        <v>96.187683284499997</v>
      </c>
      <c r="IZ10">
        <v>-28.287879512</v>
      </c>
      <c r="JA10">
        <v>0.2985589267</v>
      </c>
      <c r="JB10">
        <v>-2.355147E-4</v>
      </c>
      <c r="JC10">
        <v>4.1800000000000001E-7</v>
      </c>
      <c r="JD10">
        <v>0.26662880760000002</v>
      </c>
      <c r="JE10">
        <v>0.25006182170000002</v>
      </c>
      <c r="JF10">
        <v>0.11847098490000001</v>
      </c>
      <c r="JG10">
        <v>101.5579131758</v>
      </c>
      <c r="JH10">
        <v>3.7982793126000001</v>
      </c>
      <c r="JI10">
        <v>5.1307111000000001E-3</v>
      </c>
      <c r="JJ10">
        <v>-7.5922799999999998E-5</v>
      </c>
      <c r="JK10">
        <v>3.7505324681999999</v>
      </c>
      <c r="JL10">
        <v>0.82402369499999994</v>
      </c>
      <c r="JM10">
        <v>0.37813621339999998</v>
      </c>
      <c r="JN10" t="s">
        <v>544</v>
      </c>
      <c r="JQ10">
        <v>1</v>
      </c>
    </row>
    <row r="11" spans="1:277">
      <c r="A11" t="s">
        <v>652</v>
      </c>
      <c r="B11" t="s">
        <v>653</v>
      </c>
      <c r="C11" t="s">
        <v>211</v>
      </c>
      <c r="D11">
        <v>3</v>
      </c>
      <c r="E11" t="s">
        <v>212</v>
      </c>
      <c r="F11" t="s">
        <v>213</v>
      </c>
      <c r="G11" t="s">
        <v>543</v>
      </c>
      <c r="H11" t="s">
        <v>215</v>
      </c>
      <c r="J11" t="s">
        <v>632</v>
      </c>
      <c r="K11" t="s">
        <v>633</v>
      </c>
      <c r="L11" t="s">
        <v>634</v>
      </c>
      <c r="M11" t="s">
        <v>635</v>
      </c>
      <c r="N11" t="s">
        <v>636</v>
      </c>
      <c r="O11">
        <v>0</v>
      </c>
      <c r="P11">
        <v>0</v>
      </c>
      <c r="Q11">
        <v>0</v>
      </c>
      <c r="R11">
        <v>0</v>
      </c>
      <c r="S11">
        <v>0.20000000039999999</v>
      </c>
      <c r="T11">
        <v>0.20000000039999999</v>
      </c>
      <c r="U11">
        <v>0.39999999899999999</v>
      </c>
      <c r="V11">
        <v>0.50000000010000001</v>
      </c>
      <c r="W11">
        <v>0.50000000010000001</v>
      </c>
      <c r="X11">
        <v>0.50000000010000001</v>
      </c>
      <c r="Y11">
        <v>0.29999999970000002</v>
      </c>
      <c r="Z11">
        <v>0.20000000039999999</v>
      </c>
      <c r="AA11">
        <v>0.20000000039999999</v>
      </c>
      <c r="AB11">
        <v>0.50000000010000001</v>
      </c>
      <c r="AC11">
        <v>0.29999999970000002</v>
      </c>
      <c r="AD11">
        <v>0.39999999899999999</v>
      </c>
      <c r="AE11">
        <v>0.20000000039999999</v>
      </c>
      <c r="AF11">
        <v>0.50000000010000001</v>
      </c>
      <c r="AG11">
        <v>0.29999999970000002</v>
      </c>
      <c r="AH11">
        <v>0.20000000039999999</v>
      </c>
      <c r="AI11">
        <v>0.29999999970000002</v>
      </c>
      <c r="AJ11">
        <v>0.39999999899999999</v>
      </c>
      <c r="AK11">
        <v>0.59999999940000004</v>
      </c>
      <c r="AL11">
        <v>1.7000000007</v>
      </c>
      <c r="AM11">
        <v>6.6000000005999997</v>
      </c>
      <c r="AN11">
        <v>13.9999999992</v>
      </c>
      <c r="AO11">
        <v>22.1000000001</v>
      </c>
      <c r="AP11">
        <v>30.199999999199999</v>
      </c>
      <c r="AQ11">
        <v>38.899999999599999</v>
      </c>
      <c r="AR11">
        <v>46.899999999400002</v>
      </c>
      <c r="AS11">
        <v>55.200000000700001</v>
      </c>
      <c r="AT11">
        <v>63.399999999099997</v>
      </c>
      <c r="AU11">
        <v>72.500000000200004</v>
      </c>
      <c r="AV11">
        <v>81.399999999100004</v>
      </c>
      <c r="AW11">
        <v>90.799999999899995</v>
      </c>
      <c r="AX11">
        <v>99.399999999200006</v>
      </c>
      <c r="AY11">
        <v>108.0000000002</v>
      </c>
      <c r="AZ11">
        <v>117.2000000006</v>
      </c>
      <c r="BA11">
        <v>126.50000000030001</v>
      </c>
      <c r="BB11">
        <v>135.89999999930001</v>
      </c>
      <c r="BC11">
        <v>144.50000000029999</v>
      </c>
      <c r="BD11">
        <v>153.0000000002</v>
      </c>
      <c r="BE11">
        <v>161.7999999999</v>
      </c>
      <c r="BF11">
        <v>171.09999999959999</v>
      </c>
      <c r="BG11">
        <v>180.699999999</v>
      </c>
      <c r="BH11">
        <v>190.19999999909999</v>
      </c>
      <c r="BI11">
        <v>198.89999999939999</v>
      </c>
      <c r="BJ11">
        <v>207.89999999939999</v>
      </c>
      <c r="BK11">
        <v>216.8000000001</v>
      </c>
      <c r="BL11">
        <v>225.89999999950001</v>
      </c>
      <c r="BM11">
        <v>234.89999999950001</v>
      </c>
      <c r="BN11">
        <v>244.3000000003</v>
      </c>
      <c r="BO11">
        <v>252.50000000049999</v>
      </c>
      <c r="BP11">
        <v>261.199999999</v>
      </c>
      <c r="BQ11">
        <v>270.39999999939999</v>
      </c>
      <c r="BR11">
        <v>279.199999999</v>
      </c>
      <c r="BS11">
        <v>288.30000000019999</v>
      </c>
      <c r="BT11">
        <v>296.89999999939999</v>
      </c>
      <c r="BU11">
        <v>304.70000000060003</v>
      </c>
      <c r="BV11">
        <v>312.89999999899999</v>
      </c>
      <c r="BW11">
        <v>321.5999999993</v>
      </c>
      <c r="BX11">
        <v>330.20000000030001</v>
      </c>
      <c r="BY11">
        <v>338.59999999910002</v>
      </c>
      <c r="BZ11">
        <v>347.20000000020002</v>
      </c>
      <c r="CA11">
        <v>354.19999999980001</v>
      </c>
      <c r="CB11">
        <v>361.80000000059999</v>
      </c>
      <c r="CC11">
        <v>370.10000000010001</v>
      </c>
      <c r="CD11">
        <v>377.80000000019999</v>
      </c>
      <c r="CE11">
        <v>385.8</v>
      </c>
      <c r="CF11">
        <v>393.79999999979998</v>
      </c>
      <c r="CG11">
        <v>400.79999999939997</v>
      </c>
      <c r="CH11">
        <v>407.49999999929997</v>
      </c>
      <c r="CI11">
        <v>414.49999999900001</v>
      </c>
      <c r="CJ11">
        <v>422.19999999909999</v>
      </c>
      <c r="CK11">
        <v>429.20000000049998</v>
      </c>
      <c r="CL11">
        <v>436.09999999899998</v>
      </c>
      <c r="CM11">
        <v>441.30000000040002</v>
      </c>
      <c r="CN11">
        <v>446.20000000030001</v>
      </c>
      <c r="CO11">
        <v>450.8999999998</v>
      </c>
      <c r="CP11">
        <v>450.8999999998</v>
      </c>
      <c r="CQ11">
        <v>450.60000000010001</v>
      </c>
      <c r="CR11">
        <v>450.80000000050001</v>
      </c>
      <c r="CS11">
        <v>450.80000000050001</v>
      </c>
      <c r="CT11">
        <v>450.8999999998</v>
      </c>
      <c r="CU11">
        <v>450.9999999991</v>
      </c>
      <c r="CV11">
        <v>450.9999999991</v>
      </c>
      <c r="CW11">
        <v>451.1000000002</v>
      </c>
      <c r="CX11">
        <v>450.9999999991</v>
      </c>
      <c r="CY11">
        <v>450.8999999998</v>
      </c>
      <c r="CZ11">
        <v>450.8999999998</v>
      </c>
      <c r="DA11">
        <v>450.8999999998</v>
      </c>
      <c r="DB11">
        <v>450.8999999998</v>
      </c>
      <c r="DC11">
        <v>450.9999999991</v>
      </c>
      <c r="DD11">
        <v>451.1000000002</v>
      </c>
      <c r="DE11">
        <v>451.1000000002</v>
      </c>
      <c r="DF11">
        <v>451.30000000059999</v>
      </c>
      <c r="DG11">
        <v>0.20000000039999999</v>
      </c>
      <c r="DH11">
        <v>0.39999999899999999</v>
      </c>
      <c r="DI11">
        <v>0.59999999940000004</v>
      </c>
      <c r="DJ11">
        <v>0.79999999980000003</v>
      </c>
      <c r="DK11">
        <v>0.59999999940000004</v>
      </c>
      <c r="DL11">
        <v>0.20000000039999999</v>
      </c>
      <c r="DM11">
        <v>0.50000000010000001</v>
      </c>
      <c r="DN11">
        <v>0.29999999970000002</v>
      </c>
      <c r="DO11">
        <v>0.59999999940000004</v>
      </c>
      <c r="DP11">
        <v>0.7000000005</v>
      </c>
      <c r="DQ11">
        <v>0.79999999980000003</v>
      </c>
      <c r="DR11">
        <v>0.79999999980000003</v>
      </c>
      <c r="DS11">
        <v>0.7000000005</v>
      </c>
      <c r="DT11">
        <v>0.7000000005</v>
      </c>
      <c r="DU11">
        <v>0.59999999940000004</v>
      </c>
      <c r="DV11">
        <v>0.50000000010000001</v>
      </c>
      <c r="DW11">
        <v>0.59999999940000004</v>
      </c>
      <c r="DX11">
        <v>0.7000000005</v>
      </c>
      <c r="DY11">
        <v>1.0000000002</v>
      </c>
      <c r="DZ11">
        <v>0.89999999909999995</v>
      </c>
      <c r="EA11">
        <v>2.3000000000999998</v>
      </c>
      <c r="EB11">
        <v>7.4999999997</v>
      </c>
      <c r="EC11">
        <v>15.299999999100001</v>
      </c>
      <c r="ED11">
        <v>23.699999999700001</v>
      </c>
      <c r="EE11">
        <v>31.800000000699999</v>
      </c>
      <c r="EF11">
        <v>40.100000000199998</v>
      </c>
      <c r="EG11">
        <v>47.699999999200003</v>
      </c>
      <c r="EH11">
        <v>56.000000000500002</v>
      </c>
      <c r="EI11">
        <v>64.200000000700001</v>
      </c>
      <c r="EJ11">
        <v>72.899999999200006</v>
      </c>
      <c r="EK11">
        <v>81.799999999899995</v>
      </c>
      <c r="EL11">
        <v>91.000000000300005</v>
      </c>
      <c r="EM11">
        <v>99.599999999600001</v>
      </c>
      <c r="EN11">
        <v>108.5999999996</v>
      </c>
      <c r="EO11">
        <v>117.50000000030001</v>
      </c>
      <c r="EP11">
        <v>127.00000000039999</v>
      </c>
      <c r="EQ11">
        <v>136.3000000001</v>
      </c>
      <c r="ER11">
        <v>145.00000000040001</v>
      </c>
      <c r="ES11">
        <v>153.59999999959999</v>
      </c>
      <c r="ET11">
        <v>162.69999999890001</v>
      </c>
      <c r="EU11">
        <v>171.699999999</v>
      </c>
      <c r="EV11">
        <v>181.50000000060001</v>
      </c>
      <c r="EW11">
        <v>191.19999999929999</v>
      </c>
      <c r="EX11">
        <v>199.8000000003</v>
      </c>
      <c r="EY11">
        <v>208.99999999889999</v>
      </c>
      <c r="EZ11">
        <v>217.8999999996</v>
      </c>
      <c r="FA11">
        <v>226.99999999900001</v>
      </c>
      <c r="FB11">
        <v>236.6000000002</v>
      </c>
      <c r="FC11">
        <v>245.4999999991</v>
      </c>
      <c r="FD11">
        <v>254.10000000010001</v>
      </c>
      <c r="FE11">
        <v>263.19999999940001</v>
      </c>
      <c r="FF11">
        <v>271.99999999900001</v>
      </c>
      <c r="FG11">
        <v>281.3999999998</v>
      </c>
      <c r="FH11">
        <v>290.69999999959998</v>
      </c>
      <c r="FI11">
        <v>299.19999999949999</v>
      </c>
      <c r="FJ11">
        <v>307.30000000040002</v>
      </c>
      <c r="FK11">
        <v>315.59999999989998</v>
      </c>
      <c r="FL11">
        <v>324.30000000019999</v>
      </c>
      <c r="FM11">
        <v>333.19999999909999</v>
      </c>
      <c r="FN11">
        <v>342.09999999979999</v>
      </c>
      <c r="FO11">
        <v>350.19999999890001</v>
      </c>
      <c r="FP11">
        <v>357.59999999939998</v>
      </c>
      <c r="FQ11">
        <v>365.20000000020002</v>
      </c>
      <c r="FR11">
        <v>373.59999999899998</v>
      </c>
      <c r="FS11">
        <v>381.49999999950001</v>
      </c>
      <c r="FT11">
        <v>389.49999999929997</v>
      </c>
      <c r="FU11">
        <v>397.4999999991</v>
      </c>
      <c r="FV11">
        <v>404.00000000049999</v>
      </c>
      <c r="FW11">
        <v>411.09999999939998</v>
      </c>
      <c r="FX11">
        <v>418.49999999980002</v>
      </c>
      <c r="FY11">
        <v>425.29999999900002</v>
      </c>
      <c r="FZ11">
        <v>432.39999999970001</v>
      </c>
      <c r="GA11">
        <v>437.79999999969999</v>
      </c>
      <c r="GB11">
        <v>441.80000000050001</v>
      </c>
      <c r="GC11">
        <v>447.29999999979998</v>
      </c>
      <c r="GD11">
        <v>450.69999999940001</v>
      </c>
      <c r="GE11">
        <v>451.19999999949999</v>
      </c>
      <c r="GF11">
        <v>450.8999999998</v>
      </c>
      <c r="GG11">
        <v>451.19999999949999</v>
      </c>
      <c r="GH11">
        <v>450.9999999991</v>
      </c>
      <c r="GI11">
        <v>450.8999999998</v>
      </c>
      <c r="GJ11">
        <v>450.69999999940001</v>
      </c>
      <c r="GK11">
        <v>450.80000000050001</v>
      </c>
      <c r="GL11">
        <v>450.8999999998</v>
      </c>
      <c r="GM11">
        <v>450.9999999991</v>
      </c>
      <c r="GN11">
        <v>451.19999999949999</v>
      </c>
      <c r="GO11">
        <v>451.19999999949999</v>
      </c>
      <c r="GP11">
        <v>450.9999999991</v>
      </c>
      <c r="GQ11">
        <v>450.8999999998</v>
      </c>
      <c r="GR11">
        <v>450.80000000050001</v>
      </c>
      <c r="GS11">
        <v>450.69999999940001</v>
      </c>
      <c r="GT11">
        <v>450.8999999998</v>
      </c>
      <c r="GU11">
        <v>451.1000000002</v>
      </c>
      <c r="GV11">
        <v>451.19999999949999</v>
      </c>
      <c r="GW11">
        <v>1</v>
      </c>
      <c r="GX11">
        <v>93.400000001600006</v>
      </c>
      <c r="GY11">
        <v>90.799999999899995</v>
      </c>
      <c r="GZ11">
        <v>90.799999999899995</v>
      </c>
      <c r="HA11">
        <v>99.599999999600001</v>
      </c>
      <c r="HB11">
        <v>92.656531855799997</v>
      </c>
      <c r="HC11">
        <v>-8.7999999996000007</v>
      </c>
      <c r="HD11">
        <v>451.19999999949999</v>
      </c>
      <c r="HE11">
        <v>324.91105817160002</v>
      </c>
      <c r="HF11">
        <v>78.251335180699996</v>
      </c>
      <c r="HG11">
        <v>451.30000000059999</v>
      </c>
      <c r="HH11">
        <v>451.19999999949999</v>
      </c>
      <c r="HI11">
        <v>451.30000000059999</v>
      </c>
      <c r="HJ11">
        <v>451.19999999949999</v>
      </c>
      <c r="HK11">
        <v>100.87976539589999</v>
      </c>
      <c r="HL11">
        <v>3.82058103</v>
      </c>
      <c r="HM11">
        <v>3.7035079208999999</v>
      </c>
      <c r="HN11">
        <v>3.7457759850999999</v>
      </c>
      <c r="HO11">
        <v>3.5209783680000002</v>
      </c>
      <c r="HP11">
        <v>3.8502373996000001</v>
      </c>
      <c r="HQ11">
        <v>3.0707659907</v>
      </c>
      <c r="HR11">
        <v>14.405196675099999</v>
      </c>
      <c r="HS11">
        <v>-21.114369501500001</v>
      </c>
      <c r="HT11">
        <v>-144</v>
      </c>
      <c r="HU11">
        <v>417.5675900274</v>
      </c>
      <c r="HV11">
        <v>86.803519061599999</v>
      </c>
      <c r="HW11">
        <v>592</v>
      </c>
      <c r="HX11">
        <v>14.405196675099999</v>
      </c>
      <c r="HY11">
        <v>-21.114369501500001</v>
      </c>
      <c r="HZ11">
        <v>-144</v>
      </c>
      <c r="IA11">
        <v>417.5675900274</v>
      </c>
      <c r="IB11">
        <v>86.803519061599999</v>
      </c>
      <c r="IC11">
        <v>592</v>
      </c>
      <c r="ID11">
        <v>33.6324099721</v>
      </c>
      <c r="IE11">
        <v>0.40072022060000001</v>
      </c>
      <c r="IF11">
        <v>-30.4985337243</v>
      </c>
      <c r="IG11">
        <v>-208</v>
      </c>
      <c r="IH11">
        <v>441.64463157940003</v>
      </c>
      <c r="II11">
        <v>96.187683284499997</v>
      </c>
      <c r="IJ11">
        <v>656</v>
      </c>
      <c r="IK11">
        <v>403.1623933523</v>
      </c>
      <c r="IL11">
        <v>107.91788856300001</v>
      </c>
      <c r="IM11">
        <v>430.09951246430001</v>
      </c>
      <c r="IN11">
        <v>117.3020527859</v>
      </c>
      <c r="IO11">
        <v>7.7999999993999998</v>
      </c>
      <c r="IP11">
        <v>7.1000000006999997</v>
      </c>
      <c r="IQ11">
        <v>9.8000000016000008</v>
      </c>
      <c r="IR11">
        <v>2.9845277986999998</v>
      </c>
      <c r="IS11">
        <v>2.9845277986999998</v>
      </c>
      <c r="IT11">
        <v>8.6999999984999992</v>
      </c>
      <c r="IU11">
        <v>-23.460410557199999</v>
      </c>
      <c r="IV11">
        <v>11.8999999995</v>
      </c>
      <c r="IW11">
        <v>63.3431085044</v>
      </c>
      <c r="IX11">
        <v>8.5999999991999996</v>
      </c>
      <c r="IY11">
        <v>93.841642228699996</v>
      </c>
      <c r="IZ11">
        <v>-25.218916545100001</v>
      </c>
      <c r="JA11">
        <v>0.28990446520000002</v>
      </c>
      <c r="JB11">
        <v>-2.142406E-4</v>
      </c>
      <c r="JC11">
        <v>3.868E-7</v>
      </c>
      <c r="JD11">
        <v>0.2617402935</v>
      </c>
      <c r="JE11">
        <v>0.22698118589999999</v>
      </c>
      <c r="JF11">
        <v>9.7807815199999995E-2</v>
      </c>
      <c r="JG11">
        <v>92.362251244700005</v>
      </c>
      <c r="JH11">
        <v>3.8502373996000001</v>
      </c>
      <c r="JI11">
        <v>5.3930786000000001E-3</v>
      </c>
      <c r="JJ11">
        <v>-7.5902799999999994E-5</v>
      </c>
      <c r="JK11">
        <v>3.82058103</v>
      </c>
      <c r="JL11">
        <v>0.72267880179999999</v>
      </c>
      <c r="JM11">
        <v>0.32236353070000001</v>
      </c>
      <c r="JN11" t="s">
        <v>544</v>
      </c>
      <c r="JQ11">
        <v>1</v>
      </c>
    </row>
    <row r="12" spans="1:277">
      <c r="A12" t="s">
        <v>654</v>
      </c>
      <c r="B12" t="s">
        <v>655</v>
      </c>
      <c r="C12" t="s">
        <v>211</v>
      </c>
      <c r="D12">
        <v>3</v>
      </c>
      <c r="E12" t="s">
        <v>212</v>
      </c>
      <c r="F12" t="s">
        <v>213</v>
      </c>
      <c r="G12" t="s">
        <v>543</v>
      </c>
      <c r="H12" t="s">
        <v>215</v>
      </c>
      <c r="J12" t="s">
        <v>639</v>
      </c>
      <c r="K12" t="s">
        <v>640</v>
      </c>
      <c r="L12" t="s">
        <v>641</v>
      </c>
      <c r="M12" t="s">
        <v>642</v>
      </c>
      <c r="N12" t="s">
        <v>643</v>
      </c>
      <c r="O12">
        <v>0</v>
      </c>
      <c r="P12">
        <v>0</v>
      </c>
      <c r="Q12">
        <v>0</v>
      </c>
      <c r="R12">
        <v>0.7000000005</v>
      </c>
      <c r="S12">
        <v>0.90000000089999999</v>
      </c>
      <c r="T12">
        <v>0.29999999970000002</v>
      </c>
      <c r="U12">
        <v>0.20000000039999999</v>
      </c>
      <c r="V12">
        <v>0.29999999970000002</v>
      </c>
      <c r="W12">
        <v>0.29999999970000002</v>
      </c>
      <c r="X12">
        <v>0.50000000010000001</v>
      </c>
      <c r="Y12">
        <v>0.59999999940000004</v>
      </c>
      <c r="Z12">
        <v>0.90000000089999999</v>
      </c>
      <c r="AA12">
        <v>0.90000000089999999</v>
      </c>
      <c r="AB12">
        <v>0.90000000089999999</v>
      </c>
      <c r="AC12">
        <v>0.50000000010000001</v>
      </c>
      <c r="AD12">
        <v>0.50000000010000001</v>
      </c>
      <c r="AE12">
        <v>0.59999999940000004</v>
      </c>
      <c r="AF12">
        <v>0.7000000005</v>
      </c>
      <c r="AG12">
        <v>0.90000000089999999</v>
      </c>
      <c r="AH12">
        <v>1.0999999995</v>
      </c>
      <c r="AI12">
        <v>1.0999999995</v>
      </c>
      <c r="AJ12">
        <v>2.7000000008999998</v>
      </c>
      <c r="AK12">
        <v>7.6000000007999997</v>
      </c>
      <c r="AL12">
        <v>12.8999999997</v>
      </c>
      <c r="AM12">
        <v>18.799999999800001</v>
      </c>
      <c r="AN12">
        <v>26.200000000199999</v>
      </c>
      <c r="AO12">
        <v>33.799999999199997</v>
      </c>
      <c r="AP12">
        <v>41.999999999499998</v>
      </c>
      <c r="AQ12">
        <v>50.4000000001</v>
      </c>
      <c r="AR12">
        <v>58.9</v>
      </c>
      <c r="AS12">
        <v>66.800000000500006</v>
      </c>
      <c r="AT12">
        <v>74.699999999200003</v>
      </c>
      <c r="AU12">
        <v>82.800000000099999</v>
      </c>
      <c r="AV12">
        <v>91.599999999700003</v>
      </c>
      <c r="AW12">
        <v>101.3999999996</v>
      </c>
      <c r="AX12">
        <v>110.6</v>
      </c>
      <c r="AY12">
        <v>119.3000000003</v>
      </c>
      <c r="AZ12">
        <v>127.8000000002</v>
      </c>
      <c r="BA12">
        <v>136.0999999997</v>
      </c>
      <c r="BB12">
        <v>144.89999999930001</v>
      </c>
      <c r="BC12">
        <v>154.20000000089999</v>
      </c>
      <c r="BD12">
        <v>162.89999999939999</v>
      </c>
      <c r="BE12">
        <v>171.3</v>
      </c>
      <c r="BF12">
        <v>180.20000000069999</v>
      </c>
      <c r="BG12">
        <v>188.7999999999</v>
      </c>
      <c r="BH12">
        <v>197.7999999999</v>
      </c>
      <c r="BI12">
        <v>206.7000000006</v>
      </c>
      <c r="BJ12">
        <v>215.00000000009999</v>
      </c>
      <c r="BK12">
        <v>223.59999999940001</v>
      </c>
      <c r="BL12">
        <v>232.29999999969999</v>
      </c>
      <c r="BM12">
        <v>240.9000000007</v>
      </c>
      <c r="BN12">
        <v>248.9999999998</v>
      </c>
      <c r="BO12">
        <v>257.99999999980002</v>
      </c>
      <c r="BP12">
        <v>266.79999999939997</v>
      </c>
      <c r="BQ12">
        <v>275.10000000069999</v>
      </c>
      <c r="BR12">
        <v>283.4000000003</v>
      </c>
      <c r="BS12">
        <v>291.60000000050002</v>
      </c>
      <c r="BT12">
        <v>299.80000000069998</v>
      </c>
      <c r="BU12">
        <v>307.50000000080001</v>
      </c>
      <c r="BV12">
        <v>316.80000000050001</v>
      </c>
      <c r="BW12">
        <v>325.8999999998</v>
      </c>
      <c r="BX12">
        <v>336.60000000050002</v>
      </c>
      <c r="BY12">
        <v>339.90000000089998</v>
      </c>
      <c r="BZ12">
        <v>347.10000000090002</v>
      </c>
      <c r="CA12">
        <v>354.7999999992</v>
      </c>
      <c r="CB12">
        <v>363.10000000050002</v>
      </c>
      <c r="CC12">
        <v>370.30000000050001</v>
      </c>
      <c r="CD12">
        <v>378.69999999930002</v>
      </c>
      <c r="CE12">
        <v>385.8</v>
      </c>
      <c r="CF12">
        <v>392.29999999950002</v>
      </c>
      <c r="CG12">
        <v>398.99999999940002</v>
      </c>
      <c r="CH12">
        <v>406.50000000099999</v>
      </c>
      <c r="CI12">
        <v>413.09999999979999</v>
      </c>
      <c r="CJ12">
        <v>420.40000000089998</v>
      </c>
      <c r="CK12">
        <v>427.29999999939997</v>
      </c>
      <c r="CL12">
        <v>433.9</v>
      </c>
      <c r="CM12">
        <v>440.59999999989998</v>
      </c>
      <c r="CN12">
        <v>445.20000000009998</v>
      </c>
      <c r="CO12">
        <v>449.80000000029997</v>
      </c>
      <c r="CP12">
        <v>454.20000000009998</v>
      </c>
      <c r="CQ12">
        <v>456.20000000049998</v>
      </c>
      <c r="CR12">
        <v>456.20000000049998</v>
      </c>
      <c r="CS12">
        <v>456.20000000049998</v>
      </c>
      <c r="CT12">
        <v>456.40000000089998</v>
      </c>
      <c r="CU12">
        <v>456.20000000049998</v>
      </c>
      <c r="CV12">
        <v>456.20000000049998</v>
      </c>
      <c r="CW12">
        <v>456.40000000089998</v>
      </c>
      <c r="CX12">
        <v>456.50000000019998</v>
      </c>
      <c r="CY12">
        <v>456.20000000049998</v>
      </c>
      <c r="CZ12">
        <v>456.29999999979998</v>
      </c>
      <c r="DA12">
        <v>456.29999999979998</v>
      </c>
      <c r="DB12">
        <v>456.20000000049998</v>
      </c>
      <c r="DC12">
        <v>456.29999999979998</v>
      </c>
      <c r="DD12">
        <v>456.09999999939998</v>
      </c>
      <c r="DE12">
        <v>456.40000000089998</v>
      </c>
      <c r="DF12">
        <v>456.20000000049998</v>
      </c>
      <c r="DG12">
        <v>1.0000000002</v>
      </c>
      <c r="DH12">
        <v>1.8999999993000001</v>
      </c>
      <c r="DI12">
        <v>2.0999999997000001</v>
      </c>
      <c r="DJ12">
        <v>2.0999999997000001</v>
      </c>
      <c r="DK12">
        <v>2.0000000004</v>
      </c>
      <c r="DL12">
        <v>2.0999999997000001</v>
      </c>
      <c r="DM12">
        <v>2.0000000004</v>
      </c>
      <c r="DN12">
        <v>2.0000000004</v>
      </c>
      <c r="DO12">
        <v>1.8</v>
      </c>
      <c r="DP12">
        <v>1.8</v>
      </c>
      <c r="DQ12">
        <v>1.7000000007</v>
      </c>
      <c r="DR12">
        <v>2.0000000004</v>
      </c>
      <c r="DS12">
        <v>2.2000000007999998</v>
      </c>
      <c r="DT12">
        <v>2.0999999997000001</v>
      </c>
      <c r="DU12">
        <v>2.3000000000999998</v>
      </c>
      <c r="DV12">
        <v>1.8</v>
      </c>
      <c r="DW12">
        <v>2.0999999997000001</v>
      </c>
      <c r="DX12">
        <v>1.8999999993000001</v>
      </c>
      <c r="DY12">
        <v>3.5000000007000001</v>
      </c>
      <c r="DZ12">
        <v>9.2000000003999993</v>
      </c>
      <c r="EA12">
        <v>14.199999999599999</v>
      </c>
      <c r="EB12">
        <v>20.599999999800001</v>
      </c>
      <c r="EC12">
        <v>27.900000000999999</v>
      </c>
      <c r="ED12">
        <v>35.599999999200001</v>
      </c>
      <c r="EE12">
        <v>42.7</v>
      </c>
      <c r="EF12">
        <v>51.4999999996</v>
      </c>
      <c r="EG12">
        <v>59.4000000001</v>
      </c>
      <c r="EH12">
        <v>67.399999999900004</v>
      </c>
      <c r="EI12">
        <v>75.600000000099996</v>
      </c>
      <c r="EJ12">
        <v>83.699999999200003</v>
      </c>
      <c r="EK12">
        <v>91.399999999299993</v>
      </c>
      <c r="EL12">
        <v>101.1999999992</v>
      </c>
      <c r="EM12">
        <v>110.3999999996</v>
      </c>
      <c r="EN12">
        <v>119.6999999993</v>
      </c>
      <c r="EO12">
        <v>128.09999999990001</v>
      </c>
      <c r="EP12">
        <v>136.70000000089999</v>
      </c>
      <c r="EQ12">
        <v>144.70000000069999</v>
      </c>
      <c r="ER12">
        <v>154.59999999979999</v>
      </c>
      <c r="ES12">
        <v>163.39999999950001</v>
      </c>
      <c r="ET12">
        <v>172.30000000019999</v>
      </c>
      <c r="EU12">
        <v>181.09999999979999</v>
      </c>
      <c r="EV12">
        <v>189.8000000001</v>
      </c>
      <c r="EW12">
        <v>198.20000000069999</v>
      </c>
      <c r="EX12">
        <v>207.89999999939999</v>
      </c>
      <c r="EY12">
        <v>216.8000000001</v>
      </c>
      <c r="EZ12">
        <v>225.70000000089999</v>
      </c>
      <c r="FA12">
        <v>234.39999999939999</v>
      </c>
      <c r="FB12">
        <v>242.39999999919999</v>
      </c>
      <c r="FC12">
        <v>251.2999999999</v>
      </c>
      <c r="FD12">
        <v>260.89999999930001</v>
      </c>
      <c r="FE12">
        <v>269.29999999990002</v>
      </c>
      <c r="FF12">
        <v>278.50000000030002</v>
      </c>
      <c r="FG12">
        <v>286.79999999990002</v>
      </c>
      <c r="FH12">
        <v>294.5999999993</v>
      </c>
      <c r="FI12">
        <v>303.09999999920001</v>
      </c>
      <c r="FJ12">
        <v>312.5</v>
      </c>
      <c r="FK12">
        <v>320.79999999950002</v>
      </c>
      <c r="FL12">
        <v>329.29999999939997</v>
      </c>
      <c r="FM12">
        <v>337.2999999992</v>
      </c>
      <c r="FN12">
        <v>344.69999999959998</v>
      </c>
      <c r="FO12">
        <v>352.6000000002</v>
      </c>
      <c r="FP12">
        <v>361.5000000009</v>
      </c>
      <c r="FQ12">
        <v>369.30000000029997</v>
      </c>
      <c r="FR12">
        <v>377.3000000001</v>
      </c>
      <c r="FS12">
        <v>384.59999999939998</v>
      </c>
      <c r="FT12">
        <v>391.79999999939997</v>
      </c>
      <c r="FU12">
        <v>398.69999999970003</v>
      </c>
      <c r="FV12">
        <v>406.0000000009</v>
      </c>
      <c r="FW12">
        <v>413.69999999919997</v>
      </c>
      <c r="FX12">
        <v>420.79999999990002</v>
      </c>
      <c r="FY12">
        <v>427.40000000049997</v>
      </c>
      <c r="FZ12">
        <v>434.10000000039997</v>
      </c>
      <c r="GA12">
        <v>440.09999999979999</v>
      </c>
      <c r="GB12">
        <v>444.60000000069999</v>
      </c>
      <c r="GC12">
        <v>448.5999999997</v>
      </c>
      <c r="GD12">
        <v>452.60000000050002</v>
      </c>
      <c r="GE12">
        <v>456.29999999979998</v>
      </c>
      <c r="GF12">
        <v>456.29999999979998</v>
      </c>
      <c r="GG12">
        <v>456.29999999979998</v>
      </c>
      <c r="GH12">
        <v>456.20000000049998</v>
      </c>
      <c r="GI12">
        <v>456.00000000009999</v>
      </c>
      <c r="GJ12">
        <v>456.20000000049998</v>
      </c>
      <c r="GK12">
        <v>456.09999999939998</v>
      </c>
      <c r="GL12">
        <v>456.00000000009999</v>
      </c>
      <c r="GM12">
        <v>456.20000000049998</v>
      </c>
      <c r="GN12">
        <v>456.20000000049998</v>
      </c>
      <c r="GO12">
        <v>456.20000000049998</v>
      </c>
      <c r="GP12">
        <v>456.29999999979998</v>
      </c>
      <c r="GQ12">
        <v>456.09999999939998</v>
      </c>
      <c r="GR12">
        <v>456.20000000049998</v>
      </c>
      <c r="GS12">
        <v>456.29999999979998</v>
      </c>
      <c r="GT12">
        <v>456.20000000049998</v>
      </c>
      <c r="GU12">
        <v>456.20000000049998</v>
      </c>
      <c r="GV12">
        <v>456.20000000049998</v>
      </c>
      <c r="GW12">
        <v>1</v>
      </c>
      <c r="GX12">
        <v>104.2999999991</v>
      </c>
      <c r="GY12">
        <v>101.3999999996</v>
      </c>
      <c r="GZ12">
        <v>101.3999999996</v>
      </c>
      <c r="HA12">
        <v>110.3999999996</v>
      </c>
      <c r="HB12">
        <v>103.4885285412</v>
      </c>
      <c r="HC12">
        <v>-9</v>
      </c>
      <c r="HD12">
        <v>456.20000000049998</v>
      </c>
      <c r="HE12">
        <v>315.97344143790002</v>
      </c>
      <c r="HF12">
        <v>84.222910046799996</v>
      </c>
      <c r="HG12">
        <v>456.50000000019998</v>
      </c>
      <c r="HH12">
        <v>456.29999999979998</v>
      </c>
      <c r="HI12">
        <v>456.50000000019998</v>
      </c>
      <c r="HJ12">
        <v>456.29999999979998</v>
      </c>
      <c r="HK12">
        <v>103.22580645159999</v>
      </c>
      <c r="HL12">
        <v>3.7089629302999998</v>
      </c>
      <c r="HM12">
        <v>3.5723186096999999</v>
      </c>
      <c r="HN12">
        <v>3.6444896939000002</v>
      </c>
      <c r="HO12">
        <v>3.4438256558</v>
      </c>
      <c r="HP12">
        <v>3.7556750382000001</v>
      </c>
      <c r="HQ12">
        <v>3.0282250199999998</v>
      </c>
      <c r="HR12">
        <v>19.2656184945</v>
      </c>
      <c r="HS12">
        <v>-23.460410557199999</v>
      </c>
      <c r="HT12">
        <v>-160</v>
      </c>
      <c r="HU12">
        <v>419.46196997919998</v>
      </c>
      <c r="HV12">
        <v>86.803519061599999</v>
      </c>
      <c r="HW12">
        <v>592</v>
      </c>
      <c r="HX12">
        <v>19.2656184945</v>
      </c>
      <c r="HY12">
        <v>-23.460410557199999</v>
      </c>
      <c r="HZ12">
        <v>-160</v>
      </c>
      <c r="IA12">
        <v>419.46196997919998</v>
      </c>
      <c r="IB12">
        <v>86.803519061599999</v>
      </c>
      <c r="IC12">
        <v>592</v>
      </c>
      <c r="ID12">
        <v>36.838030020700003</v>
      </c>
      <c r="IE12">
        <v>1.1120959785</v>
      </c>
      <c r="IF12">
        <v>-32.844574780099997</v>
      </c>
      <c r="IG12">
        <v>-224</v>
      </c>
      <c r="IH12">
        <v>444.19905774149998</v>
      </c>
      <c r="II12">
        <v>96.187683284499997</v>
      </c>
      <c r="IJ12">
        <v>656</v>
      </c>
      <c r="IK12">
        <v>400.19635148470002</v>
      </c>
      <c r="IL12">
        <v>110.26392961880001</v>
      </c>
      <c r="IM12">
        <v>425.46875205399999</v>
      </c>
      <c r="IN12">
        <v>119.6480938416</v>
      </c>
      <c r="IO12">
        <v>7.4000000004000004</v>
      </c>
      <c r="IP12">
        <v>6.6999999999000002</v>
      </c>
      <c r="IQ12">
        <v>10.700000000699999</v>
      </c>
      <c r="IR12">
        <v>3.2342760988000001</v>
      </c>
      <c r="IS12">
        <v>3.2342760988000001</v>
      </c>
      <c r="IT12">
        <v>9.1000000010999997</v>
      </c>
      <c r="IU12">
        <v>-23.460410557199999</v>
      </c>
      <c r="IV12">
        <v>14.699999999699999</v>
      </c>
      <c r="IW12">
        <v>84.457478005900001</v>
      </c>
      <c r="IX12">
        <v>12.800000000400001</v>
      </c>
      <c r="IY12">
        <v>93.841642228699996</v>
      </c>
      <c r="IZ12">
        <v>-28.9154678254</v>
      </c>
      <c r="JA12">
        <v>0.29786739229999998</v>
      </c>
      <c r="JB12">
        <v>-2.0965830000000001E-4</v>
      </c>
      <c r="JC12">
        <v>3.7409999999999999E-7</v>
      </c>
      <c r="JD12">
        <v>0.26961714599999997</v>
      </c>
      <c r="JE12">
        <v>0.3407308778</v>
      </c>
      <c r="JF12">
        <v>0.13050936199999999</v>
      </c>
      <c r="JG12">
        <v>103.3170915446</v>
      </c>
      <c r="JH12">
        <v>3.7556750382000001</v>
      </c>
      <c r="JI12">
        <v>4.3406516000000003E-3</v>
      </c>
      <c r="JJ12">
        <v>-6.5518600000000007E-5</v>
      </c>
      <c r="JK12">
        <v>3.7089629302999998</v>
      </c>
      <c r="JL12">
        <v>1.3560705126999999</v>
      </c>
      <c r="JM12">
        <v>0.44567162700000001</v>
      </c>
      <c r="JN12" t="s">
        <v>544</v>
      </c>
      <c r="JQ12">
        <v>1</v>
      </c>
    </row>
    <row r="13" spans="1:277">
      <c r="A13" t="s">
        <v>669</v>
      </c>
      <c r="B13" t="s">
        <v>670</v>
      </c>
      <c r="C13" t="s">
        <v>211</v>
      </c>
      <c r="D13">
        <v>3</v>
      </c>
      <c r="E13" t="s">
        <v>212</v>
      </c>
      <c r="F13" t="s">
        <v>213</v>
      </c>
      <c r="G13" t="s">
        <v>543</v>
      </c>
      <c r="H13" t="s">
        <v>215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1.6000000014</v>
      </c>
      <c r="R13">
        <v>1.0000000002</v>
      </c>
      <c r="S13">
        <v>1.1000000013</v>
      </c>
      <c r="T13">
        <v>1.2000000006</v>
      </c>
      <c r="U13">
        <v>0.90000000089999999</v>
      </c>
      <c r="V13">
        <v>0.90000000089999999</v>
      </c>
      <c r="W13">
        <v>0.80000000159999995</v>
      </c>
      <c r="X13">
        <v>0.60000000119999997</v>
      </c>
      <c r="Y13">
        <v>0.60000000119999997</v>
      </c>
      <c r="Z13">
        <v>0.50000000010000001</v>
      </c>
      <c r="AA13">
        <v>0.80000000159999995</v>
      </c>
      <c r="AB13">
        <v>0.80000000159999995</v>
      </c>
      <c r="AC13">
        <v>0.60000000119999997</v>
      </c>
      <c r="AD13">
        <v>0.3000000015</v>
      </c>
      <c r="AE13">
        <v>0.60000000119999997</v>
      </c>
      <c r="AF13">
        <v>0.40000000079999998</v>
      </c>
      <c r="AG13">
        <v>0.3000000015</v>
      </c>
      <c r="AH13">
        <v>0.20000000039999999</v>
      </c>
      <c r="AI13">
        <v>0.3000000015</v>
      </c>
      <c r="AJ13">
        <v>0.1000000011</v>
      </c>
      <c r="AK13">
        <v>0</v>
      </c>
      <c r="AL13">
        <v>3.9000000015</v>
      </c>
      <c r="AM13">
        <v>11.300000000100001</v>
      </c>
      <c r="AN13">
        <v>19.0000000002</v>
      </c>
      <c r="AO13">
        <v>26.300000001400001</v>
      </c>
      <c r="AP13">
        <v>34.300000001199997</v>
      </c>
      <c r="AQ13">
        <v>42.100000000599998</v>
      </c>
      <c r="AR13">
        <v>50.4000000001</v>
      </c>
      <c r="AS13">
        <v>58.200000001299998</v>
      </c>
      <c r="AT13">
        <v>66.800000000500006</v>
      </c>
      <c r="AU13">
        <v>74.800000000300003</v>
      </c>
      <c r="AV13">
        <v>83.599999999900007</v>
      </c>
      <c r="AW13">
        <v>92.500000000699998</v>
      </c>
      <c r="AX13">
        <v>101.9000000015</v>
      </c>
      <c r="AY13">
        <v>110.09999999990001</v>
      </c>
      <c r="AZ13">
        <v>119.20000000100001</v>
      </c>
      <c r="BA13">
        <v>127.60000000159999</v>
      </c>
      <c r="BB13">
        <v>136.59999999979999</v>
      </c>
      <c r="BC13">
        <v>145.10000000150001</v>
      </c>
      <c r="BD13">
        <v>153.60000000150001</v>
      </c>
      <c r="BE13">
        <v>162.30000000000001</v>
      </c>
      <c r="BF13">
        <v>171.60000000150001</v>
      </c>
      <c r="BG13">
        <v>180.10000000139999</v>
      </c>
      <c r="BH13">
        <v>188.900000001</v>
      </c>
      <c r="BI13">
        <v>197.40000000090001</v>
      </c>
      <c r="BJ13">
        <v>205.6000000011</v>
      </c>
      <c r="BK13">
        <v>214.5</v>
      </c>
      <c r="BL13">
        <v>223.40000000079999</v>
      </c>
      <c r="BM13">
        <v>232</v>
      </c>
      <c r="BN13">
        <v>240.70000000030001</v>
      </c>
      <c r="BO13">
        <v>249.40000000059999</v>
      </c>
      <c r="BP13">
        <v>257.30000000109999</v>
      </c>
      <c r="BQ13">
        <v>265.6999999999</v>
      </c>
      <c r="BR13">
        <v>274.5000000014</v>
      </c>
      <c r="BS13">
        <v>282.90000000020001</v>
      </c>
      <c r="BT13">
        <v>291.40000000010002</v>
      </c>
      <c r="BU13">
        <v>299.1000000002</v>
      </c>
      <c r="BV13">
        <v>307.10000000000002</v>
      </c>
      <c r="BW13">
        <v>315.30000000019999</v>
      </c>
      <c r="BX13">
        <v>323.40000000110001</v>
      </c>
      <c r="BY13">
        <v>331.20000000049998</v>
      </c>
      <c r="BZ13">
        <v>339.1000000011</v>
      </c>
      <c r="CA13">
        <v>346.40000000039998</v>
      </c>
      <c r="CB13">
        <v>354.10000000050002</v>
      </c>
      <c r="CC13">
        <v>360.80000000040002</v>
      </c>
      <c r="CD13">
        <v>368.60000000159999</v>
      </c>
      <c r="CE13">
        <v>376.00000000019998</v>
      </c>
      <c r="CF13">
        <v>382.99999999980002</v>
      </c>
      <c r="CG13">
        <v>390.10000000050002</v>
      </c>
      <c r="CH13">
        <v>396.6</v>
      </c>
      <c r="CI13">
        <v>403.50000000030002</v>
      </c>
      <c r="CJ13">
        <v>409.99999999990001</v>
      </c>
      <c r="CK13">
        <v>416.60000000050002</v>
      </c>
      <c r="CL13">
        <v>423.20000000110002</v>
      </c>
      <c r="CM13">
        <v>429.90000000100002</v>
      </c>
      <c r="CN13">
        <v>436.00000000149998</v>
      </c>
      <c r="CO13">
        <v>440.80000000029997</v>
      </c>
      <c r="CP13">
        <v>445.60000000090002</v>
      </c>
      <c r="CQ13">
        <v>452.10000000039997</v>
      </c>
      <c r="CR13">
        <v>452.69999999980001</v>
      </c>
      <c r="CS13">
        <v>452.80000000090001</v>
      </c>
      <c r="CT13">
        <v>452.90000000020001</v>
      </c>
      <c r="CU13">
        <v>452.69999999980001</v>
      </c>
      <c r="CV13">
        <v>452.90000000020001</v>
      </c>
      <c r="CW13">
        <v>452.90000000020001</v>
      </c>
      <c r="CX13">
        <v>452.30000000080003</v>
      </c>
      <c r="CY13">
        <v>453.4000000003</v>
      </c>
      <c r="CZ13">
        <v>452.90000000020001</v>
      </c>
      <c r="DA13">
        <v>453.00000000130001</v>
      </c>
      <c r="DB13">
        <v>453.00000000130001</v>
      </c>
      <c r="DC13">
        <v>452.60000000050002</v>
      </c>
      <c r="DD13">
        <v>453.00000000130001</v>
      </c>
      <c r="DE13">
        <v>452.69999999980001</v>
      </c>
      <c r="DF13">
        <v>453.60000000069999</v>
      </c>
      <c r="DG13">
        <v>1.6000000014</v>
      </c>
      <c r="DH13">
        <v>1.2000000006</v>
      </c>
      <c r="DI13">
        <v>1.2000000006</v>
      </c>
      <c r="DJ13">
        <v>1.2000000006</v>
      </c>
      <c r="DK13">
        <v>1.0000000002</v>
      </c>
      <c r="DL13">
        <v>0.90000000089999999</v>
      </c>
      <c r="DM13">
        <v>0.90000000089999999</v>
      </c>
      <c r="DN13">
        <v>0.90000000089999999</v>
      </c>
      <c r="DO13">
        <v>0.90000000089999999</v>
      </c>
      <c r="DP13">
        <v>0.90000000089999999</v>
      </c>
      <c r="DQ13">
        <v>0.90000000089999999</v>
      </c>
      <c r="DR13">
        <v>0.80000000159999995</v>
      </c>
      <c r="DS13">
        <v>0.60000000119999997</v>
      </c>
      <c r="DT13">
        <v>0.7000000005</v>
      </c>
      <c r="DU13">
        <v>0.60000000119999997</v>
      </c>
      <c r="DV13">
        <v>0.80000000159999995</v>
      </c>
      <c r="DW13">
        <v>0.80000000159999995</v>
      </c>
      <c r="DX13">
        <v>0.80000000159999995</v>
      </c>
      <c r="DY13">
        <v>1.0000000002</v>
      </c>
      <c r="DZ13">
        <v>0.80000000159999995</v>
      </c>
      <c r="EA13">
        <v>5.5000000011000001</v>
      </c>
      <c r="EB13">
        <v>13.1000000001</v>
      </c>
      <c r="EC13">
        <v>20.599999999800001</v>
      </c>
      <c r="ED13">
        <v>28.0000000002</v>
      </c>
      <c r="EE13">
        <v>36.100000001200002</v>
      </c>
      <c r="EF13">
        <v>44.6000000011</v>
      </c>
      <c r="EG13">
        <v>51.400000000299997</v>
      </c>
      <c r="EH13">
        <v>59.5000000012</v>
      </c>
      <c r="EI13">
        <v>68.200000001500001</v>
      </c>
      <c r="EJ13">
        <v>76.000000000900002</v>
      </c>
      <c r="EK13">
        <v>84.5000000008</v>
      </c>
      <c r="EL13">
        <v>92.500000000699998</v>
      </c>
      <c r="EM13">
        <v>101.6</v>
      </c>
      <c r="EN13">
        <v>110.70000000109999</v>
      </c>
      <c r="EO13">
        <v>119.9000000015</v>
      </c>
      <c r="EP13">
        <v>128.3000000003</v>
      </c>
      <c r="EQ13">
        <v>137.09999999990001</v>
      </c>
      <c r="ER13">
        <v>145.70000000089999</v>
      </c>
      <c r="ES13">
        <v>153.9000000012</v>
      </c>
      <c r="ET13">
        <v>163.30000000019999</v>
      </c>
      <c r="EU13">
        <v>172.30000000019999</v>
      </c>
      <c r="EV13">
        <v>181.10000000159999</v>
      </c>
      <c r="EW13">
        <v>189.8000000001</v>
      </c>
      <c r="EX13">
        <v>198.7000000008</v>
      </c>
      <c r="EY13">
        <v>207.00000000029999</v>
      </c>
      <c r="EZ13">
        <v>216.50000000049999</v>
      </c>
      <c r="FA13">
        <v>225.3000000001</v>
      </c>
      <c r="FB13">
        <v>234.2000000008</v>
      </c>
      <c r="FC13">
        <v>242.60000000139999</v>
      </c>
      <c r="FD13">
        <v>251.50000000029999</v>
      </c>
      <c r="FE13">
        <v>259.70000000049998</v>
      </c>
      <c r="FF13">
        <v>268.79999999979998</v>
      </c>
      <c r="FG13">
        <v>277.60000000129997</v>
      </c>
      <c r="FH13">
        <v>286.79999999990002</v>
      </c>
      <c r="FI13">
        <v>294.7000000004</v>
      </c>
      <c r="FJ13">
        <v>303.4000000007</v>
      </c>
      <c r="FK13">
        <v>311.00000000149998</v>
      </c>
      <c r="FL13">
        <v>319.90000000039998</v>
      </c>
      <c r="FM13">
        <v>328.1999999999</v>
      </c>
      <c r="FN13">
        <v>336.80000000090001</v>
      </c>
      <c r="FO13">
        <v>344.50000000109998</v>
      </c>
      <c r="FP13">
        <v>352.30000000050001</v>
      </c>
      <c r="FQ13">
        <v>359.80000000019999</v>
      </c>
      <c r="FR13">
        <v>367.90000000110001</v>
      </c>
      <c r="FS13">
        <v>375.70000000049998</v>
      </c>
      <c r="FT13">
        <v>382.99999999980002</v>
      </c>
      <c r="FU13">
        <v>391.0000000014</v>
      </c>
      <c r="FV13">
        <v>397.70000000139999</v>
      </c>
      <c r="FW13">
        <v>404.80000000029997</v>
      </c>
      <c r="FX13">
        <v>411.50000000019998</v>
      </c>
      <c r="FY13">
        <v>418.40000000049997</v>
      </c>
      <c r="FZ13">
        <v>425.20000000149997</v>
      </c>
      <c r="GA13">
        <v>431.40000000129999</v>
      </c>
      <c r="GB13">
        <v>436.70000000020002</v>
      </c>
      <c r="GC13">
        <v>441.00000000070003</v>
      </c>
      <c r="GD13">
        <v>445.49999999980002</v>
      </c>
      <c r="GE13">
        <v>450.70000000120001</v>
      </c>
      <c r="GF13">
        <v>453.300000001</v>
      </c>
      <c r="GG13">
        <v>452.50000000120002</v>
      </c>
      <c r="GH13">
        <v>453.1999999999</v>
      </c>
      <c r="GI13">
        <v>452.80000000090001</v>
      </c>
      <c r="GJ13">
        <v>453.1999999999</v>
      </c>
      <c r="GK13">
        <v>453.300000001</v>
      </c>
      <c r="GL13">
        <v>453.300000001</v>
      </c>
      <c r="GM13">
        <v>453.5000000014</v>
      </c>
      <c r="GN13">
        <v>453.300000001</v>
      </c>
      <c r="GO13">
        <v>453.300000001</v>
      </c>
      <c r="GP13">
        <v>452.50000000120002</v>
      </c>
      <c r="GQ13">
        <v>452.90000000020001</v>
      </c>
      <c r="GR13">
        <v>453.300000001</v>
      </c>
      <c r="GS13">
        <v>452.69999999980001</v>
      </c>
      <c r="GT13">
        <v>452.80000000090001</v>
      </c>
      <c r="GU13">
        <v>452.80000000090001</v>
      </c>
      <c r="GV13">
        <v>452.90000000020001</v>
      </c>
      <c r="GW13">
        <v>1</v>
      </c>
      <c r="GX13">
        <v>94.799999998900006</v>
      </c>
      <c r="GY13">
        <v>92.500000000699998</v>
      </c>
      <c r="GZ13">
        <v>92.500000000699998</v>
      </c>
      <c r="HA13">
        <v>101.6</v>
      </c>
      <c r="HB13">
        <v>94.448064409899999</v>
      </c>
      <c r="HC13">
        <v>-9.0999999992999996</v>
      </c>
      <c r="HD13">
        <v>452.90015440629998</v>
      </c>
      <c r="HE13">
        <v>322.55839858820002</v>
      </c>
      <c r="HF13">
        <v>74.981537443700006</v>
      </c>
      <c r="HG13">
        <v>453.60000000069999</v>
      </c>
      <c r="HH13">
        <v>453.4998014793</v>
      </c>
      <c r="HI13">
        <v>453.60000000069999</v>
      </c>
      <c r="HJ13">
        <v>453.5000000014</v>
      </c>
      <c r="HK13">
        <v>105.57184750730001</v>
      </c>
      <c r="HL13">
        <v>3.6898718401999999</v>
      </c>
      <c r="HM13">
        <v>3.5320540836999998</v>
      </c>
      <c r="HN13">
        <v>3.6242254209000002</v>
      </c>
      <c r="HO13">
        <v>3.4395652266000001</v>
      </c>
      <c r="HP13">
        <v>3.7280567497999999</v>
      </c>
      <c r="HQ13">
        <v>2.9754192814999998</v>
      </c>
      <c r="HR13">
        <v>19.4665269662</v>
      </c>
      <c r="HS13">
        <v>-21.114369501500001</v>
      </c>
      <c r="HT13">
        <v>-144</v>
      </c>
      <c r="HU13">
        <v>417.00646299810001</v>
      </c>
      <c r="HV13">
        <v>89.149560117299998</v>
      </c>
      <c r="HW13">
        <v>608</v>
      </c>
      <c r="HX13">
        <v>19.4665269662</v>
      </c>
      <c r="HY13">
        <v>-21.114369501500001</v>
      </c>
      <c r="HZ13">
        <v>-144</v>
      </c>
      <c r="IA13">
        <v>417.00646299810001</v>
      </c>
      <c r="IB13">
        <v>89.149560117299998</v>
      </c>
      <c r="IC13">
        <v>608</v>
      </c>
      <c r="ID13">
        <v>36.493338481199999</v>
      </c>
      <c r="IE13">
        <v>0.1006948285</v>
      </c>
      <c r="IF13">
        <v>-30.4985337243</v>
      </c>
      <c r="IG13">
        <v>-208</v>
      </c>
      <c r="IH13">
        <v>440.56172934889997</v>
      </c>
      <c r="II13">
        <v>98.533724340199996</v>
      </c>
      <c r="IJ13">
        <v>672</v>
      </c>
      <c r="IK13">
        <v>397.53993603200001</v>
      </c>
      <c r="IL13">
        <v>110.26392961880001</v>
      </c>
      <c r="IM13">
        <v>426.36935039129997</v>
      </c>
      <c r="IN13">
        <v>119.6480938416</v>
      </c>
      <c r="IO13">
        <v>7.7000000001000002</v>
      </c>
      <c r="IP13">
        <v>6.4999999995</v>
      </c>
      <c r="IQ13">
        <v>9.5000000001</v>
      </c>
      <c r="IR13">
        <v>2.8136197107999998</v>
      </c>
      <c r="IS13">
        <v>2.8136197107999998</v>
      </c>
      <c r="IT13">
        <v>9.2999999997000007</v>
      </c>
      <c r="IU13">
        <v>-23.460410557199999</v>
      </c>
      <c r="IV13">
        <v>15.200000001599999</v>
      </c>
      <c r="IW13">
        <v>91.495601172999997</v>
      </c>
      <c r="IX13">
        <v>11.0999999997</v>
      </c>
      <c r="IY13">
        <v>98.533724340199996</v>
      </c>
      <c r="IZ13">
        <v>-26.673721134200001</v>
      </c>
      <c r="JA13">
        <v>0.29900643399999999</v>
      </c>
      <c r="JB13">
        <v>-2.157951E-4</v>
      </c>
      <c r="JC13">
        <v>3.9229999999999999E-7</v>
      </c>
      <c r="JD13">
        <v>0.27101212270000002</v>
      </c>
      <c r="JE13">
        <v>0.21580893270000001</v>
      </c>
      <c r="JF13">
        <v>0.1090593636</v>
      </c>
      <c r="JG13">
        <v>94.685605817799996</v>
      </c>
      <c r="JH13">
        <v>3.7280567497999999</v>
      </c>
      <c r="JI13">
        <v>4.7151370000000003E-3</v>
      </c>
      <c r="JJ13">
        <v>-6.6826600000000002E-5</v>
      </c>
      <c r="JK13">
        <v>3.6898718401999999</v>
      </c>
      <c r="JL13">
        <v>0.79975421719999995</v>
      </c>
      <c r="JM13">
        <v>0.32757160489999998</v>
      </c>
      <c r="JN13" t="s">
        <v>544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86.130006358599999</v>
      </c>
      <c r="D16" s="9">
        <f>AVERAGE(C18:C20)</f>
        <v>80.038331847966674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82.5587608899</v>
      </c>
      <c r="D17" s="9">
        <f>AVERAGE(C21:C23)</f>
        <v>76.828657184600004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81.042829882600003</v>
      </c>
      <c r="D18" s="11">
        <f>AVERAGE(C24:C26)</f>
        <v>85.207976975500003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84.815211163100003</v>
      </c>
      <c r="D19" s="6">
        <f>AVERAGE('Summary(3pcs)'!E34:E35)</f>
        <v>154.18481141738789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74.256954498200002</v>
      </c>
      <c r="D20" s="9">
        <f>AVERAGE('Summary(3pcs)'!E36:E38)</f>
        <v>158.99460342423791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78.826301630900005</v>
      </c>
      <c r="D21" s="9">
        <f>AVERAGE('Summary(3pcs)'!E39:E41)</f>
        <v>152.60947024477125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68.040242754499999</v>
      </c>
      <c r="D22" s="11">
        <f>AVERAGE('Summary(3pcs)'!E42:E44)</f>
        <v>145.53409310263791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83.619427168399994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84.553885367700005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87.018572508600002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84.051473050200002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2.9232737838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4.5155163425999998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3.1184462040000001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3.4422457615000002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2.4830689120999998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3.9732583194000002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10.557342012099999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2.8653073342000002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3.4998705229750002</v>
      </c>
      <c r="C39" s="5">
        <f>'Summary(3pcs)'!M34</f>
        <v>2.9232737838</v>
      </c>
      <c r="D39" s="11">
        <f t="shared" si="0"/>
        <v>1.3524278626999999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4.5155163425999998</v>
      </c>
      <c r="D40" s="6">
        <f t="shared" si="0"/>
        <v>2.5210557588000002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3.1184462040000001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3.4422457615000002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4.9697441444499999</v>
      </c>
      <c r="C43" s="8">
        <f>'Summary(3pcs)'!M39</f>
        <v>2.4830689120999998</v>
      </c>
      <c r="D43" s="6">
        <f t="shared" ref="D43:D54" si="2">C55</f>
        <v>-6.0572919837000008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3.9732583194000002</v>
      </c>
      <c r="D44" s="9">
        <f t="shared" si="2"/>
        <v>-3.8362537266999999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10.557342012099999</v>
      </c>
      <c r="D45" s="11">
        <f t="shared" si="2"/>
        <v>0.49971821149999984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2.8653073342000002</v>
      </c>
      <c r="D46" s="6">
        <f t="shared" si="2"/>
        <v>-3.4430287300000195E-2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1.3524278626999999</v>
      </c>
      <c r="D47" s="9">
        <f t="shared" si="2"/>
        <v>-0.19904908160000012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2.5210557588000002</v>
      </c>
      <c r="D48" s="11">
        <f t="shared" si="2"/>
        <v>-3.0288749531999999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-4.5295777297999997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0.80863785900000007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-3.8790619739999999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-6.4209010535999997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-2.3570644465500008</v>
      </c>
      <c r="C55" s="5">
        <f>'Summary(3pcs)'!N34</f>
        <v>-6.0572919837000008</v>
      </c>
      <c r="D55" s="6">
        <f>AVERAGE(D31:D33)</f>
        <v>3.5190787768000003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-3.8362537266999999</v>
      </c>
      <c r="D56" s="9">
        <f>AVERAGE(D34:D36)</f>
        <v>3.2995243310000002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0.49971821149999984</v>
      </c>
      <c r="D57" s="9">
        <f>AVERAGE(D37:D39)</f>
        <v>4.9250257363333327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-3.4430287300000195E-2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-1.7372159763999999</v>
      </c>
      <c r="C59" s="8">
        <f>'Summary(3pcs)'!N39</f>
        <v>-0.19904908160000012</v>
      </c>
      <c r="D59" s="9">
        <f>AVERAGE(D43:D45)</f>
        <v>-3.1312758329666672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-3.0288749531999999</v>
      </c>
      <c r="D60" s="9">
        <f>AVERAGE(D46:D48)</f>
        <v>-1.0874514407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-4.5295777297999997</v>
      </c>
      <c r="D61" s="9">
        <f>AVERAGE(D49:D51)</f>
        <v>-2.5333339482666664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0.80863785900000007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-3.8790619739999999</v>
      </c>
      <c r="D63" s="6">
        <f>AVERAGE(C71:C73)</f>
        <v>1.1363283793333334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-6.4209010535999997</v>
      </c>
      <c r="D64" s="9">
        <f>AVERAGE(C74:C76)</f>
        <v>-0.39105820656666673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-2.4950140714666666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-6.8738339742000001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4.669625918066667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0.18697430689999983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1.345560451333333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4.1546567281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0.72115612029999987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0.84593868259999994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1.8418903351000004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-2.532902956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1.9649105071999999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-0.60518217090000004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-4.0410764216999997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0.49623632429999986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-3.9402021170000001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-9.1566624641000001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-10.091356277500001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-1.3734831810000001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-0.77723789220000006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8.1458568573000001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6.6402587891000007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3.6099987029999996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-2.5510212778999999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-0.49805450440000021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-2.8266218305000002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1.2950372695999999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5.5682659148999996</v>
      </c>
    </row>
    <row r="96" spans="1:7">
      <c r="A96" s="1" t="s">
        <v>87</v>
      </c>
      <c r="C96" s="5">
        <f>'Summary(3pcs)'!W43</f>
        <v>7.2106561660999997</v>
      </c>
    </row>
    <row r="97" spans="1:3">
      <c r="A97" s="1" t="s">
        <v>87</v>
      </c>
      <c r="C97" s="8">
        <f>'Summary(3pcs)'!W44</f>
        <v>2.8566961288000003</v>
      </c>
    </row>
    <row r="98" spans="1:3" ht="17.25" thickBot="1">
      <c r="A98" s="1" t="s">
        <v>87</v>
      </c>
      <c r="C98" s="10">
        <f>'Summary(3pcs)'!W45</f>
        <v>2.3966178893999999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2022-09-23T10:39:36Z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