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<sst xmlns="http://schemas.openxmlformats.org/spreadsheetml/2006/main" count="1473" uniqueCount="710">
  <si>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</si>
  <si>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</si>
  <si>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</si>
  <si>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</si>
  <si>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</si>
  <si>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</si>
  <si>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</si>
  <si>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</si>
  <si>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</si>
  <si>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</si>
  <si>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</si>
  <si>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</si>
  <si>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</si>
  <si>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</si>
  <si>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</si>
  <si>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</si>
  <si>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</si>
  <si>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</si>
  <si>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</si>
  <si>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</si>
  <si>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</si>
  <si>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</si>
  <si>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</si>
  <si>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</si>
  <si>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</si>
  <si>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</si>
  <si>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</si>
  <si>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</si>
  <si>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</si>
  <si>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</si>
  <si>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</si>
  <si>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</si>
  <si>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</si>
  <si>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</si>
  <si>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</si>
  <si>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</si>
  <si>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</si>
  <si>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</si>
  <si>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</si>
  <si>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</si>
  <si>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</si>
  <si>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</si>
  <si>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</si>
  <si>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</si>
  <si>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</si>
  <si>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</si>
  <si>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</si>
  <si>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</si>
  <si>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</si>
  <si>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</si>
  <si>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</si>
  <si>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</si>
  <si>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</si>
  <si>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</si>
  <si>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</si>
  <si>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</si>
  <si>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</si>
  <si>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</si>
  <si>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</si>
  <si>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</si>
  <si>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</si>
  <si>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</si>
  <si>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</si>
  <si>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</si>
  <si>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</si>
  <si>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</si>
  <si>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</si>
  <si>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</si>
  <si>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</si>
  <si>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</si>
  <si>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</si>
  <si>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</si>
  <si>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</si>
  <si>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</si>
  <si>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</si>
  <si>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</si>
  <si>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</si>
  <si>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</si>
  <si>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</si>
  <si>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</si>
  <si>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</si>
  <si>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</si>
  <si>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</si>
  <si>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</si>
  <si>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</si>
  <si>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</si>
  <si>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</si>
  <si>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</si>
  <si>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</si>
  <si>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</si>
  <si>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</si>
  <si>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</si>
  <si>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</si>
  <si>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</si>
  <si>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</si>
  <si>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</si>
  <si>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</si>
  <si>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</si>
  <si>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</si>
  <si>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</si>
  <si>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</si>
  <si>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</si>
  <si>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</si>
  <si>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</si>
  <si>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</si>
  <si>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</si>
  <si>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</si>
  <si>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</si>
  <si>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</si>
  <si>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</si>
  <si>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</si>
  <si>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</si>
  <si>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</si>
  <si>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</si>
  <si>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</si>
  <si>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</si>
  <si>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</si>
  <si>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</si>
  <si>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</si>
  <si>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</si>
  <si>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</si>
  <si>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</si>
  <si>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</si>
  <si>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</si>
  <si>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</si>
  <si>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</si>
  <si>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</si>
  <si>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</si>
  <si>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</si>
  <si>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</si>
  <si>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</si>
  <si>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</si>
  <si>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</si>
  <si>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</si>
  <si>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</si>
  <si>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</si>
  <si>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</si>
  <si>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</si>
  <si>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</si>
  <si>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</si>
  <si>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</si>
  <si>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</si>
  <si>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</si>
  <si>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</si>
  <si>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</si>
  <si>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</si>
  <si>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</si>
  <si>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</si>
  <si>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</si>
  <si>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</si>
  <si>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</si>
  <si>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</si>
  <si>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</si>
  <si>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</si>
  <si>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</si>
  <si>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</si>
  <si>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</si>
  <si>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</si>
  <si>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</si>
  <si>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</si>
  <si>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</si>
  <si>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</si>
  <si>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</si>
  <si>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</si>
  <si>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</si>
  <si>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</si>
  <si>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</si>
  <si>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</si>
  <si>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</si>
  <si>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</si>
  <si>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</si>
  <si>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</si>
  <si>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D:\EVMS\TP\ELOG\VSY832XN9P02_2022092321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</si>
  <si>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</si>
  <si>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</si>
  <si>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</si>
  <si>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</si>
  <si>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</si>
  <si>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</si>
  <si>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</si>
  <si>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</si>
  <si>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</si>
  <si>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</si>
  <si>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</si>
  <si>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</si>
  <si>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</si>
  <si>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</si>
  <si>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</si>
  <si>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</si>
  <si>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</si>
  <si>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</si>
  <si>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</si>
  <si>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</si>
  <si>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</si>
  <si>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</si>
  <si>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</si>
  <si>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</si>
  <si>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</si>
  <si>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</si>
  <si>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</si>
  <si>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</si>
  <si>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</si>
  <si>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</si>
  <si>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</si>
  <si>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</si>
  <si>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</si>
  <si>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</si>
  <si>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</si>
  <si>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</si>
  <si>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</si>
  <si>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T220923210547106VCMLEBC040</t>
  </si>
  <si>
    <t>'20220923210548</t>
  </si>
  <si>
    <t>'2022-09-23 21:05:56:016</t>
  </si>
  <si>
    <t>VCMLEBC040A</t>
  </si>
  <si>
    <t>DB_M_C2001</t>
  </si>
  <si>
    <t>220217A</t>
  </si>
  <si>
    <t>EPSSWEXCEPTION_POR_R22A_OC_MFG_C20_22051701_5d43eac</t>
  </si>
  <si>
    <t>VSY832XN9P02</t>
  </si>
  <si>
    <t>22cb59110197</t>
  </si>
  <si>
    <t>0x52800662eb345802</t>
  </si>
  <si>
    <t>MFEC367EA0RC22B5C241030136</t>
  </si>
  <si>
    <t>MF4C3664AK7U13A7A641</t>
  </si>
  <si>
    <t>DNA22312033700B06A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</si>
  <si>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</si>
  <si>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</si>
  <si>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</si>
  <si>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</si>
  <si>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</si>
  <si>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</si>
  <si>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T220923210652079VCMLEBC040</t>
  </si>
  <si>
    <t>'20220923210653</t>
  </si>
  <si>
    <t>'2022-09-23 21:07:01:126</t>
  </si>
  <si>
    <t>22cb59110921</t>
  </si>
  <si>
    <t>0x52800662eb2f2808</t>
  </si>
  <si>
    <t>MFEC367EA0R722B5C037030125</t>
  </si>
  <si>
    <t>MF4C3664AK8613A7A635</t>
  </si>
  <si>
    <t>DNA22302061840E03A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</si>
  <si>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</si>
  <si>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</si>
  <si>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</si>
  <si>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</si>
  <si>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</si>
  <si>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</si>
  <si>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</si>
  <si>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</si>
  <si>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</si>
  <si>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</si>
  <si>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</si>
  <si>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</si>
  <si>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</si>
  <si>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</si>
  <si>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</si>
  <si>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</si>
  <si>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</si>
  <si>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</si>
  <si>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</si>
  <si>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</si>
  <si>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</si>
  <si>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</si>
  <si>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</si>
  <si>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</si>
  <si>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</si>
  <si>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</si>
  <si>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</si>
  <si>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</si>
  <si>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</si>
  <si>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</si>
  <si>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</si>
  <si>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T220923210613542VCMLEBC040</t>
  </si>
  <si>
    <t>'20220923210615</t>
  </si>
  <si>
    <t>'2022-09-23 21:06:42:338</t>
  </si>
  <si>
    <t>EPSSWEXCEPTION_POR_R22A_IPQC_MFG_SFRInfinity_C20_22051701_5d43eac</t>
  </si>
  <si>
    <t>D6x_Wide</t>
  </si>
  <si>
    <t>Normal</t>
  </si>
  <si>
    <t>T220923210718610VCMLEBC040</t>
  </si>
  <si>
    <t>'20220923210720</t>
  </si>
  <si>
    <t>'2022-09-23 21:07:47:729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</si>
  <si>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</si>
  <si>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</si>
  <si>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</si>
  <si>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</si>
  <si>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</si>
  <si>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</si>
  <si>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</si>
  <si>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</si>
  <si>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</si>
  <si>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</si>
  <si>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</si>
  <si>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</si>
  <si>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</si>
  <si>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21:06:32:307</t>
  </si>
  <si>
    <t>'2022-09-23 21:07:37:705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</si>
  <si>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</si>
  <si>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</si>
  <si>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</si>
  <si>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</si>
  <si>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</si>
  <si>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</si>
  <si>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</si>
  <si>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</si>
  <si>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</si>
  <si>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</si>
  <si>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</si>
  <si>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</si>
  <si>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</si>
  <si>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</si>
  <si>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</si>
  <si>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</si>
  <si>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</si>
  <si>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</si>
  <si>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</si>
  <si>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</si>
  <si>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</si>
  <si>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</si>
  <si>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</si>
  <si>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</si>
  <si>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</si>
  <si>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</si>
  <si>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</si>
  <si>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</si>
  <si>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</si>
  <si>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</si>
  <si>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</si>
  <si>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</si>
  <si>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</si>
  <si>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</si>
  <si>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</si>
  <si>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</si>
  <si>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</si>
  <si>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</si>
  <si>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</si>
  <si>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</si>
  <si>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</si>
  <si>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</si>
  <si>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</si>
  <si>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</si>
  <si>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</si>
  <si>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</si>
  <si>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</si>
  <si>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</si>
  <si>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</si>
  <si>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</si>
  <si>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</si>
  <si>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</si>
  <si>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</si>
  <si>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</si>
  <si>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</si>
  <si>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</si>
  <si>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</si>
  <si>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</si>
  <si>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</si>
  <si>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</si>
  <si>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</si>
  <si>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</si>
  <si>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</si>
  <si>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</si>
  <si>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</si>
  <si>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</si>
  <si>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</si>
  <si>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</si>
  <si>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</si>
  <si>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</si>
  <si>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</si>
  <si>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</si>
  <si>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</si>
  <si>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</si>
  <si>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</si>
  <si>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</si>
  <si>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</si>
  <si>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</si>
  <si>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</si>
  <si>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</si>
  <si>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</si>
  <si>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</si>
  <si>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</si>
  <si>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</si>
  <si>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</si>
  <si>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</si>
  <si>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</si>
  <si>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</si>
  <si>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</si>
  <si>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</si>
  <si>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</si>
  <si>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</si>
  <si>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</si>
  <si>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</si>
  <si>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</si>
  <si>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</si>
  <si>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</si>
  <si>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</si>
  <si>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</si>
  <si>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</si>
  <si>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</si>
  <si>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</si>
  <si>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</si>
  <si>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</si>
  <si>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</si>
  <si>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</si>
  <si>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</si>
  <si>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</si>
  <si>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</si>
  <si>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</si>
  <si>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</si>
  <si>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</si>
  <si>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</si>
  <si>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</si>
  <si>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</si>
  <si>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</si>
  <si>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</si>
  <si>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</si>
  <si>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</si>
  <si>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</si>
  <si>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</si>
  <si>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</si>
  <si>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</si>
  <si>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</si>
  <si>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</si>
  <si>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</si>
  <si>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</si>
  <si>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</si>
  <si>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</si>
  <si>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</si>
  <si>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</si>
  <si>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</si>
  <si>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</si>
  <si>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</si>
  <si>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</si>
  <si>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</si>
  <si>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</si>
  <si>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</si>
  <si>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</si>
  <si>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</si>
  <si>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</si>
  <si>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</si>
  <si>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</si>
  <si>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</si>
  <si>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</si>
  <si>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</si>
  <si>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</si>
  <si>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</si>
  <si>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</si>
  <si>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</si>
  <si>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</si>
  <si>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</si>
  <si>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</si>
  <si>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</si>
  <si>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</si>
  <si>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</si>
  <si>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</si>
  <si>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</si>
  <si>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</si>
  <si>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</si>
  <si>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</si>
  <si>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</si>
  <si>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</si>
  <si>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</si>
  <si>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</si>
  <si>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</si>
  <si>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</si>
  <si>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</si>
  <si>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</si>
  <si>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</si>
  <si>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</si>
  <si>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</si>
  <si>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</si>
  <si>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</si>
  <si>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</si>
  <si>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</si>
  <si>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</si>
  <si>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</si>
  <si>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</si>
  <si>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</si>
  <si>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</si>
  <si>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</si>
  <si>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</si>
  <si>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</si>
  <si>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</si>
  <si>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</si>
  <si>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</si>
  <si>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</si>
  <si>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</si>
  <si>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</si>
  <si>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</si>
  <si>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</si>
  <si>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</si>
  <si>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</si>
  <si>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</si>
  <si>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</si>
  <si>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</si>
  <si>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</si>
  <si>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</si>
  <si>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</si>
  <si>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</si>
  <si>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</si>
  <si>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</si>
  <si>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</si>
  <si>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</si>
  <si>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</si>
  <si>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</si>
  <si>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</si>
  <si>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</si>
  <si>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</si>
  <si>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</si>
  <si>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</si>
  <si>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</si>
  <si>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</si>
  <si>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</si>
  <si>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</si>
  <si>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</si>
  <si>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</si>
  <si>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</si>
  <si>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</si>
  <si>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</si>
  <si>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</si>
  <si>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</si>
  <si>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</si>
  <si>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</si>
  <si>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</si>
  <si>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</si>
  <si>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</si>
  <si>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</si>
  <si>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</si>
  <si>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</si>
  <si>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</si>
  <si>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</si>
  <si>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</si>
  <si>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</si>
  <si>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</si>
  <si>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</si>
  <si>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</si>
  <si>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</si>
  <si>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</si>
  <si>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</si>
  <si>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</si>
  <si>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</si>
  <si>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</si>
  <si>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</si>
  <si>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</si>
  <si>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</si>
  <si>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</si>
  <si>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</si>
  <si>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</si>
  <si>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</si>
  <si>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</si>
  <si>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</si>
  <si>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</si>
  <si>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</si>
  <si>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</si>
  <si>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</si>
  <si>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</si>
  <si>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</si>
  <si>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</si>
  <si>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T220923210558824VCMLEBC040</t>
  </si>
  <si>
    <t>'20220923210600</t>
  </si>
  <si>
    <t>'2022-09-23 21:06:11:383</t>
  </si>
  <si>
    <t>EPSSWEXCEPTION_POR_R22A_IPQC_MFG_Laser_C20_22051701_5d43eac</t>
  </si>
  <si>
    <t>v9p402</t>
  </si>
  <si>
    <t>T220923210703898VCMLEBC040</t>
  </si>
  <si>
    <t>'20220923210705</t>
  </si>
  <si>
    <t>'2022-09-23 21:07:16:454</t>
  </si>
  <si>
    <t>T220923210901233VCMLEBC040</t>
  </si>
  <si>
    <t>'20220923210902</t>
  </si>
  <si>
    <t>'2022-09-23 21:09:10:356</t>
  </si>
  <si>
    <t>22cb59110277</t>
  </si>
  <si>
    <t>0x52800562eb307c05</t>
  </si>
  <si>
    <t>MFEC367EA0PN22B5B738065135</t>
  </si>
  <si>
    <t>MF4C3664AK7S13A7A629</t>
  </si>
  <si>
    <t>DNA22302062580F10A</t>
  </si>
  <si>
    <t>T220923211105464VCMLEBC040</t>
  </si>
  <si>
    <t>'20220923211107</t>
  </si>
  <si>
    <t>'2022-09-23 21:11:14:277</t>
  </si>
  <si>
    <t>22cb59110671</t>
  </si>
  <si>
    <t>0x52800662ec762a02</t>
  </si>
  <si>
    <t>MFEC367EA0PS22B5B942025124</t>
  </si>
  <si>
    <t>MF4C3664AK7N13A7A644</t>
  </si>
  <si>
    <t>DNA22312034980L14A</t>
  </si>
  <si>
    <t>T220923210927962VCMLEBC040</t>
  </si>
  <si>
    <t>'20220923210929</t>
  </si>
  <si>
    <t>'2022-09-23 21:09:56:627</t>
  </si>
  <si>
    <t>T220923211131866VCMLEBC040</t>
  </si>
  <si>
    <t>'20220923211133</t>
  </si>
  <si>
    <t>'2022-09-23 21:12:00:687</t>
  </si>
  <si>
    <t>'2022-09-23 21:09:46:599</t>
  </si>
  <si>
    <t>'2022-09-23 21:11:50:664</t>
  </si>
  <si>
    <t>T220923210913158VCMLEBC040</t>
  </si>
  <si>
    <t>'20220923210914</t>
  </si>
  <si>
    <t>'2022-09-23 21:09:25:712</t>
  </si>
  <si>
    <t>T220923211117062VCMLEBC040</t>
  </si>
  <si>
    <t>'20220923211118</t>
  </si>
  <si>
    <t>'2022-09-23 21:11:29:616</t>
  </si>
  <si>
    <t>T220923211319530VCMLEBC040</t>
  </si>
  <si>
    <t>'20220923211321</t>
  </si>
  <si>
    <t>'2022-09-23 21:13:28:801</t>
  </si>
  <si>
    <t>22cb59110870</t>
  </si>
  <si>
    <t>0x52800562eb308307</t>
  </si>
  <si>
    <t>MFEC367EA0RG22B5C434026101</t>
  </si>
  <si>
    <t>MF4C3664AKYL13A7A645</t>
  </si>
  <si>
    <t>DNA22287024080H10A</t>
  </si>
  <si>
    <t>T220923211346373VCMLEBC040</t>
  </si>
  <si>
    <t>'20220923211348</t>
  </si>
  <si>
    <t>'2022-09-23 21:14:05:819</t>
  </si>
  <si>
    <t>T220923211331564VCMLEBC040</t>
  </si>
  <si>
    <t>'20220923211333</t>
  </si>
  <si>
    <t>'2022-09-23 21:13:44:127</t>
  </si>
  <si>
    <t>'2022-09-23 21:14:15:844</t>
  </si>
  <si>
    <t>T220923211435623VCMLEBC040</t>
  </si>
  <si>
    <t>'20220923211437</t>
  </si>
  <si>
    <t>'2022-09-23 21:14:44:906</t>
  </si>
  <si>
    <t>22cb59100698</t>
  </si>
  <si>
    <t>0x52800662eb300405</t>
  </si>
  <si>
    <t>MF9C3739A5CH34B6A740026137</t>
  </si>
  <si>
    <t>MF4C3664AKTK13A7A634</t>
  </si>
  <si>
    <t>DNA22265023780K14A</t>
  </si>
  <si>
    <t>T220923211448059VCMLEBC040</t>
  </si>
  <si>
    <t>'20220923211449</t>
  </si>
  <si>
    <t>'2022-09-23 21:15:00:623</t>
  </si>
  <si>
    <t>T220923211502787VCMLEBC040</t>
  </si>
  <si>
    <t>'20220923211504</t>
  </si>
  <si>
    <t>'2022-09-23 21:15:32:929</t>
  </si>
  <si>
    <t>'2022-09-23 21:15:22:902</t>
  </si>
  <si>
    <t>T220923211624757VCMLEBC040</t>
  </si>
  <si>
    <t>'20220923211626</t>
  </si>
  <si>
    <t>'2022-09-23 21:16:33:582</t>
  </si>
  <si>
    <t>22cb59110785</t>
  </si>
  <si>
    <t>0x52800662eb2f2106</t>
  </si>
  <si>
    <t>MFEC367EA0RD22B5C239025131</t>
  </si>
  <si>
    <t>MF4C3664AK8513A7A645</t>
  </si>
  <si>
    <t>DNA22302061840F06A</t>
  </si>
  <si>
    <t>T220923211651076VCMLEBC040</t>
  </si>
  <si>
    <t>'20220923211652</t>
  </si>
  <si>
    <t>'2022-09-23 21:17:20:811</t>
  </si>
  <si>
    <t>'2022-09-23 21:17:10:783</t>
  </si>
  <si>
    <t>T220923211636350VCMLEBC040</t>
  </si>
  <si>
    <t>'20220923211637</t>
  </si>
  <si>
    <t>'2022-09-23 21:16:48:906</t>
  </si>
  <si>
    <t>T220923211830878VCMLEBC040</t>
  </si>
  <si>
    <t>'20220923211832</t>
  </si>
  <si>
    <t>'2022-09-23 21:18:40:183</t>
  </si>
  <si>
    <t>22cb59110969</t>
  </si>
  <si>
    <t>0x52800562eb30cf05</t>
  </si>
  <si>
    <t>MF9C3739A57D34B6B340018128</t>
  </si>
  <si>
    <t>MF4C3664AKTV13A7A646</t>
  </si>
  <si>
    <t>DNA22265023740B14A</t>
  </si>
  <si>
    <t>T220923211842946VCMLEBC040</t>
  </si>
  <si>
    <t>'20220923211844</t>
  </si>
  <si>
    <t>'2022-09-23 21:18:55:498</t>
  </si>
  <si>
    <t>T220923211857667VCMLEBC040</t>
  </si>
  <si>
    <t>'20220923211859</t>
  </si>
  <si>
    <t>'2022-09-23 21:19:16:992</t>
  </si>
  <si>
    <t>'2022-09-23 21:19:27:016</t>
  </si>
  <si>
    <t>T220923211936255VCMLEBC040</t>
  </si>
  <si>
    <t>'20220923211937</t>
  </si>
  <si>
    <t>'2022-09-23 21:19:45:193</t>
  </si>
  <si>
    <t>22cb59110904</t>
  </si>
  <si>
    <t>0x52800662eb345405</t>
  </si>
  <si>
    <t>MFEC367EA0R922B5C541020111</t>
  </si>
  <si>
    <t>MF4C3664AK8213A7A642</t>
  </si>
  <si>
    <t>DNA22302061720B05A</t>
  </si>
  <si>
    <t>T220923211947950VCMLEBC040</t>
  </si>
  <si>
    <t>'20220923211949</t>
  </si>
  <si>
    <t>'2022-09-23 21:20:00:507</t>
  </si>
  <si>
    <t>T220923212002665VCMLEBC040</t>
  </si>
  <si>
    <t>'20220923212004</t>
  </si>
  <si>
    <t>'2022-09-23 21:20:31:773</t>
  </si>
  <si>
    <t>'2022-09-23 21:20:21:750</t>
  </si>
  <si>
    <t>T220923212041401VCMLEBC040</t>
  </si>
  <si>
    <t>'20220923212043</t>
  </si>
  <si>
    <t>'2022-09-23 21:20:50:337</t>
  </si>
  <si>
    <t>22cb59100919</t>
  </si>
  <si>
    <t>0x52800562eb2fad08</t>
  </si>
  <si>
    <t>MF9C3739A5CR34B6A637021135</t>
  </si>
  <si>
    <t>MF4C3664AKTJ13A7A639</t>
  </si>
  <si>
    <t>DNA22265023740F04A</t>
  </si>
  <si>
    <t>T220923212107965VCMLEBC040</t>
  </si>
  <si>
    <t>'20220923212109</t>
  </si>
  <si>
    <t>'2022-09-23 21:21:37:645</t>
  </si>
  <si>
    <t>'2022-09-23 21:21:27:617</t>
  </si>
  <si>
    <t>T220923212053159VCMLEBC040</t>
  </si>
  <si>
    <t>'20220923212054</t>
  </si>
  <si>
    <t>'2022-09-23 21:21:05:731</t>
  </si>
  <si>
    <t>T220923212147362VCMLEBC040</t>
  </si>
  <si>
    <t>'20220923212149</t>
  </si>
  <si>
    <t>'2022-09-23 21:21:56:176</t>
  </si>
  <si>
    <t>22cb59110975</t>
  </si>
  <si>
    <t>0x52800562eb31be03</t>
  </si>
  <si>
    <t>MFEC367EA0RK22B5B841034126</t>
  </si>
  <si>
    <t>MF4C3664AK8113A7A640</t>
  </si>
  <si>
    <t>DNA22302061840E01A</t>
  </si>
  <si>
    <t>T220923212327835VCMLEBC040</t>
  </si>
  <si>
    <t>'20220923212329</t>
  </si>
  <si>
    <t>'2022-09-23 21:23:36:729</t>
  </si>
  <si>
    <t>22cb59100951</t>
  </si>
  <si>
    <t>0x52800662eb2f3b01</t>
  </si>
  <si>
    <t>MF9C3739A5C734B6A938000133</t>
  </si>
  <si>
    <t>MF4C3664AKWK13A7A653</t>
  </si>
  <si>
    <t>DNA22265024970F10A</t>
  </si>
  <si>
    <t>T220923212213692VCMLEBC040</t>
  </si>
  <si>
    <t>'20220923212215</t>
  </si>
  <si>
    <t>'2022-09-23 21:22:42:891</t>
  </si>
  <si>
    <t>'2022-09-23 21:22:32:865</t>
  </si>
  <si>
    <t>T220923212158938VCMLEBC040</t>
  </si>
  <si>
    <t>'20220923212200</t>
  </si>
  <si>
    <t>'2022-09-23 21:22:11:500</t>
  </si>
  <si>
    <t>T220923212354304VCMLEBC040</t>
  </si>
  <si>
    <t>'20220923212355</t>
  </si>
  <si>
    <t>'2022-09-23 21:24:14:205</t>
  </si>
  <si>
    <t>T220923212339499VCMLEBC040</t>
  </si>
  <si>
    <t>'20220923212341</t>
  </si>
  <si>
    <t>'2022-09-23 21:23:52:055</t>
  </si>
  <si>
    <t>'2022-09-23 21:24:24:236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</si>
</sst>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-3.1943704293000001</c:v>
                </c:pt>
                <c:pt idx="1">
                  <c:v>3.0426031026000002</c:v>
                </c:pt>
                <c:pt idx="2">
                  <c:v>-1.6094431281999999</c:v>
                </c:pt>
                <c:pt idx="3">
                  <c:v>-1.4944963228999999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-0.27030900449999962</c:v>
                </c:pt>
                <c:pt idx="1">
                  <c:v>-3.7056893624000002</c:v>
                </c:pt>
                <c:pt idx="2">
                  <c:v>-2.1105856963000003</c:v>
                </c:pt>
                <c:pt idx="3">
                  <c:v>1.3194538757999998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-0.58707015163333331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-2.0288613544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30336"/>
        <c:axId val="132711168"/>
      </c:scatterChart>
      <c:valAx>
        <c:axId val="1276303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711168"/>
        <c:crosses val="autoZero"/>
        <c:crossBetween val="midCat"/>
        <c:majorUnit val="10"/>
      </c:valAx>
      <c:valAx>
        <c:axId val="1327111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630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1.4375206556</c:v>
                </c:pt>
                <c:pt idx="1">
                  <c:v>-1.4961606288</c:v>
                </c:pt>
                <c:pt idx="2">
                  <c:v>2.0324493421000001</c:v>
                </c:pt>
                <c:pt idx="3">
                  <c:v>7.9267071499000004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6.1062028636000001</c:v>
                </c:pt>
                <c:pt idx="1">
                  <c:v>3.2358726073000001</c:v>
                </c:pt>
                <c:pt idx="2">
                  <c:v>-2.9766893332000004</c:v>
                </c:pt>
                <c:pt idx="3">
                  <c:v>-3.4916188547999996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-0.51771209870000001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3.5538431155666665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43936"/>
        <c:axId val="132745472"/>
      </c:scatterChart>
      <c:valAx>
        <c:axId val="1327439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745472"/>
        <c:crosses val="autoZero"/>
        <c:crossBetween val="midCat"/>
        <c:majorUnit val="10"/>
      </c:valAx>
      <c:valAx>
        <c:axId val="1327454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743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5.4748849400999999</c:v>
                </c:pt>
                <c:pt idx="1">
                  <c:v>7.8339780104000001</c:v>
                </c:pt>
                <c:pt idx="2">
                  <c:v>5.1836932824000002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0.18446134670000003</c:v>
                </c:pt>
                <c:pt idx="1">
                  <c:v>4.0484190519999999</c:v>
                </c:pt>
                <c:pt idx="2">
                  <c:v>3.8026942983000001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5.1446804773666663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-2.0946156137666665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40192"/>
        <c:axId val="137641984"/>
      </c:scatterChart>
      <c:valAx>
        <c:axId val="1376401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41984"/>
        <c:crosses val="autoZero"/>
        <c:crossBetween val="midCat"/>
        <c:majorUnit val="10"/>
      </c:valAx>
      <c:valAx>
        <c:axId val="1376419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640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3.2033801526999999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4.7440080367000004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5.4070171484999996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4.1983737956666669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149888"/>
        <c:axId val="138151424"/>
      </c:scatterChart>
      <c:valAx>
        <c:axId val="1381498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151424"/>
        <c:crosses val="autoZero"/>
        <c:crossBetween val="midCat"/>
        <c:majorUnit val="10"/>
      </c:valAx>
      <c:valAx>
        <c:axId val="138151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14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78.398349093899995</c:v>
                </c:pt>
                <c:pt idx="1">
                  <c:v>89.214347082499998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83.909384603566664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185728"/>
        <c:axId val="138199808"/>
      </c:scatterChart>
      <c:valAx>
        <c:axId val="13818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199808"/>
        <c:crosses val="autoZero"/>
        <c:crossBetween val="midCat"/>
      </c:valAx>
      <c:valAx>
        <c:axId val="1381998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18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84.1154576343</c:v>
                </c:pt>
                <c:pt idx="1">
                  <c:v>87.244859559600002</c:v>
                </c:pt>
                <c:pt idx="2">
                  <c:v>83.903045011499998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87.415198852833328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53056"/>
        <c:axId val="138254592"/>
      </c:scatterChart>
      <c:valAx>
        <c:axId val="13825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254592"/>
        <c:crosses val="autoZero"/>
        <c:crossBetween val="midCat"/>
      </c:valAx>
      <c:valAx>
        <c:axId val="1382545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25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91.097691987399998</c:v>
                </c:pt>
                <c:pt idx="1">
                  <c:v>87.974563422299994</c:v>
                </c:pt>
                <c:pt idx="2">
                  <c:v>89.457430101300005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88.492208417933327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91456"/>
        <c:axId val="138305536"/>
      </c:scatterChart>
      <c:valAx>
        <c:axId val="13829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05536"/>
        <c:crosses val="autoZero"/>
        <c:crossBetween val="midCat"/>
      </c:valAx>
      <c:valAx>
        <c:axId val="13830553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29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88.044631730199995</c:v>
                </c:pt>
                <c:pt idx="1">
                  <c:v>92.614438704700007</c:v>
                </c:pt>
                <c:pt idx="2">
                  <c:v>90.163832669599998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92.76417561753334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23840"/>
        <c:axId val="138325376"/>
      </c:scatterChart>
      <c:valAx>
        <c:axId val="13832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25376"/>
        <c:crosses val="autoZero"/>
        <c:crossBetween val="midCat"/>
      </c:valAx>
      <c:valAx>
        <c:axId val="1383253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2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-0.66589713099999992</c:v>
                </c:pt>
                <c:pt idx="1">
                  <c:v>1.8580999373999996</c:v>
                </c:pt>
                <c:pt idx="2">
                  <c:v>-5.7973966599000004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2.8428797721999999</c:v>
                </c:pt>
                <c:pt idx="1">
                  <c:v>0.43984055519999998</c:v>
                </c:pt>
                <c:pt idx="2">
                  <c:v>3.7025566101000003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-1.5350646178333338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2.3284256458333332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41312"/>
        <c:axId val="140555392"/>
      </c:scatterChart>
      <c:valAx>
        <c:axId val="1405413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555392"/>
        <c:crosses val="autoZero"/>
        <c:crossBetween val="midCat"/>
        <c:majorUnit val="10"/>
      </c:valAx>
      <c:valAx>
        <c:axId val="1405553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54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-0.60377669329999994</c:v>
                </c:pt>
                <c:pt idx="1">
                  <c:v>-6.3801679610999997</c:v>
                </c:pt>
                <c:pt idx="2">
                  <c:v>3.0305256843999997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1.0687627792000001</c:v>
                </c:pt>
                <c:pt idx="1">
                  <c:v>1.1820178031999999</c:v>
                </c:pt>
                <c:pt idx="2">
                  <c:v>3.7498703002999996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-1.3178063233333335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2.0002169609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96352"/>
        <c:axId val="140597888"/>
      </c:scatterChart>
      <c:valAx>
        <c:axId val="1405963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597888"/>
        <c:crosses val="autoZero"/>
        <c:crossBetween val="midCat"/>
        <c:majorUnit val="10"/>
      </c:valAx>
      <c:valAx>
        <c:axId val="1405978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59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-4.0722260475000001</c:v>
                </c:pt>
                <c:pt idx="1">
                  <c:v>-3.3038706779</c:v>
                </c:pt>
                <c:pt idx="2">
                  <c:v>-4.8210251331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-0.52517533299999997</c:v>
                </c:pt>
                <c:pt idx="1">
                  <c:v>-1.3591775894</c:v>
                </c:pt>
                <c:pt idx="2">
                  <c:v>-4.2207844256999998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-4.065707286166667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-2.0350457826999997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13280"/>
        <c:axId val="140919168"/>
      </c:scatterChart>
      <c:valAx>
        <c:axId val="1409132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919168"/>
        <c:crosses val="autoZero"/>
        <c:crossBetween val="midCat"/>
        <c:majorUnit val="10"/>
      </c:valAx>
      <c:valAx>
        <c:axId val="1409191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913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-3.7877144814000001</c:v>
                </c:pt>
                <c:pt idx="1">
                  <c:v>-0.57921195029999994</c:v>
                </c:pt>
                <c:pt idx="2">
                  <c:v>-8.4964752196999989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2.7966313361999999</c:v>
                </c:pt>
                <c:pt idx="1">
                  <c:v>-0.76128602030000003</c:v>
                </c:pt>
                <c:pt idx="2">
                  <c:v>2.4415874480999999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-4.2878005504666659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1.4923109213333332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0128"/>
        <c:axId val="140961664"/>
      </c:scatterChart>
      <c:valAx>
        <c:axId val="1409601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961664"/>
        <c:crosses val="autoZero"/>
        <c:crossBetween val="midCat"/>
        <c:majorUnit val="10"/>
      </c:valAx>
      <c:valAx>
        <c:axId val="1409616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096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D:\EVMS\TP\ELOG\VSY832XN9P02_2022092321_D50_ON_OC.csv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D:\EVMS\TP\ELOG\VSY832XN9P02_2022092321_FPDC_INFD_normal.csv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D:\EVMS\TP\ELOG\VSY832XN9P02_2022092321_INFDMargin_IPQC.csv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D:\EVMS\TP\ELOG\VSY832XN9P02_2022092321_VCM_MEASURE.csv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4" zoomScale="70" zoomScaleNormal="70" workbookViewId="0">
      <selection activeCell="T50" sqref="T50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22cb59110197</v>
      </c>
      <c r="C35" s="50">
        <f>IPQC!T2+VLOOKUP($R$32,$AD$39:$AK$43,6,FALSE)+VLOOKUP('File location'!$B$1,'Tester offset'!$A$2:$D$4,2,FALSE)</f>
        <v>78.398349093899995</v>
      </c>
      <c r="D35" s="50">
        <f>IPQC!AA2+VLOOKUP($R$32,$AD$39:$AK$43,6,FALSE)</f>
        <v>54.034220218800002</v>
      </c>
      <c r="E35" s="50">
        <f>VCM!HV2-'Summary(3pcs)'!C35-'Summary(3pcs)'!$D$33</f>
        <v>158.73355579733794</v>
      </c>
      <c r="F35" s="86">
        <f>AVERAGEIF($A$35:$A$46,1,$C$35:$C$46)</f>
        <v>83.909384603566664</v>
      </c>
      <c r="G35" s="90">
        <f>AVERAGEIF($A$35:$A$46,1,$D$35:$D$46)</f>
        <v>62.583337725466663</v>
      </c>
      <c r="H35" s="90">
        <f>AVERAGEIF($A$35:$A$46,1,$E$35:$E$46)</f>
        <v>151.16052982190459</v>
      </c>
      <c r="I35" s="90">
        <f>85-F35</f>
        <v>1.0906153964333356</v>
      </c>
      <c r="K35" s="78">
        <f>T35</f>
        <v>1</v>
      </c>
      <c r="L35" s="79" t="str">
        <f>OC!K2</f>
        <v>22cb59110197</v>
      </c>
      <c r="M35" s="50">
        <f>OC!T2+VLOOKUP($R$32,$AD$39:$AK$43,4,FALSE)</f>
        <v>-3.1943704293000001</v>
      </c>
      <c r="N35" s="50">
        <f>OC!U2+VLOOKUP($R$32,$AD$39:$AK$43,5,FALSE)</f>
        <v>-0.27030900449999962</v>
      </c>
      <c r="O35" s="85">
        <f>AVERAGEIF($K$35:$K$46,1,$M$35:$M$46)</f>
        <v>-0.58707015163333331</v>
      </c>
      <c r="P35" s="85">
        <f>AVERAGEIF($K$35:$K$46,1,$N$35:$N$46)</f>
        <v>-2.0288613544</v>
      </c>
      <c r="Q35" s="86">
        <f>P35*0.001</f>
        <v>-2.0288613544000001E-3</v>
      </c>
      <c r="R35" s="86">
        <f>O35*0.001</f>
        <v>-5.8707015163333336E-4</v>
      </c>
      <c r="S35" s="34"/>
      <c r="T35" s="78">
        <v>1</v>
      </c>
      <c r="U35" s="79" t="str">
        <f>FPDC!K2</f>
        <v>22cb59110197</v>
      </c>
      <c r="V35" s="76">
        <f>FPDC!S2+VLOOKUP($R$32,$AD$39:$AK$43,2,FALSE)+VLOOKUP($R$32,$AD$39:$AK$43,7,FALSE)+VLOOKUP('File location'!$B$1,'Tester offset'!$A$2:$D$4,3,FALSE)</f>
        <v>-3.7877144814000001</v>
      </c>
      <c r="W35" s="77">
        <f>FPDC!T2+VLOOKUP($R$32,$AD$39:$AK$43,3,FALSE)+VLOOKUP($R$32,$AD$39:$AK$43,8,FALSE)+VLOOKUP('File location'!$B$1,'Tester offset'!$A$2:$D$4,4,FALSE)</f>
        <v>2.7966313361999999</v>
      </c>
      <c r="X35" s="85">
        <f>AVERAGEIF($T$35:$T$46,1,$V$35:$V$46)</f>
        <v>-4.2878005504666659</v>
      </c>
      <c r="Y35" s="85">
        <f>AVERAGEIF($T$35:$T$46,1,$W$35:$W$46)</f>
        <v>1.4923109213333332</v>
      </c>
      <c r="Z35" s="86">
        <f>(X35*-0.01)/4</f>
        <v>1.0719501376166665E-2</v>
      </c>
      <c r="AA35" s="86">
        <f>(Y35*-0.01)/4</f>
        <v>-3.7307773033333331E-3</v>
      </c>
    </row>
    <row r="36" spans="1:37" ht="17.100000000000001" customHeight="1">
      <c r="A36" s="78">
        <f t="shared" ref="A36:A46" si="0">T36</f>
        <v>1</v>
      </c>
      <c r="B36" s="79" t="str">
        <f>IPQC!K3</f>
        <v>22cb59110921</v>
      </c>
      <c r="C36" s="50">
        <f>IPQC!T3+VLOOKUP($R$32,$AD$39:$AK$43,6,FALSE)+VLOOKUP('File location'!$B$1,'Tester offset'!$A$2:$D$4,2,FALSE)</f>
        <v>89.214347082499998</v>
      </c>
      <c r="D36" s="50">
        <f>IPQC!AA3+VLOOKUP($R$32,$AD$39:$AK$43,6,FALSE)</f>
        <v>71.135993116500003</v>
      </c>
      <c r="E36" s="50">
        <f>VCM!HV3-'Summary(3pcs)'!C36-'Summary(3pcs)'!$D$33</f>
        <v>143.45384207493788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22cb59110921</v>
      </c>
      <c r="M36" s="50">
        <f>OC!T3+VLOOKUP($R$32,$AD$39:$AK$43,4,FALSE)</f>
        <v>3.0426031026000002</v>
      </c>
      <c r="N36" s="50">
        <f>OC!U3+VLOOKUP($R$32,$AD$39:$AK$43,5,FALSE)</f>
        <v>-3.7056893624000002</v>
      </c>
      <c r="O36" s="85"/>
      <c r="P36" s="85"/>
      <c r="Q36" s="86"/>
      <c r="R36" s="86"/>
      <c r="S36" s="34"/>
      <c r="T36" s="78">
        <v>1</v>
      </c>
      <c r="U36" s="79" t="str">
        <f>FPDC!K3</f>
        <v>22cb59110921</v>
      </c>
      <c r="V36" s="76">
        <f>FPDC!S3+VLOOKUP($R$32,$AD$39:$AK$43,2,FALSE)+VLOOKUP($R$32,$AD$39:$AK$43,7,FALSE)+VLOOKUP('File location'!$B$1,'Tester offset'!$A$2:$D$4,3,FALSE)</f>
        <v>-0.57921195029999994</v>
      </c>
      <c r="W36" s="77">
        <f>FPDC!T3+VLOOKUP($R$32,$AD$39:$AK$43,3,FALSE)+VLOOKUP($R$32,$AD$39:$AK$43,8,FALSE)+VLOOKUP('File location'!$B$1,'Tester offset'!$A$2:$D$4,4,FALSE)</f>
        <v>-0.76128602030000003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22cb59110277</v>
      </c>
      <c r="C37" s="50">
        <f>IPQC!T4+VLOOKUP($R$32,$AD$39:$AK$43,6,FALSE)+VLOOKUP('File location'!$B$1,'Tester offset'!$A$2:$D$4,2,FALSE)</f>
        <v>84.1154576343</v>
      </c>
      <c r="D37" s="50">
        <f>IPQC!AA4+VLOOKUP($R$32,$AD$39:$AK$43,6,FALSE)</f>
        <v>62.579799841099998</v>
      </c>
      <c r="E37" s="50">
        <f>VCM!HV4-'Summary(3pcs)'!C37-'Summary(3pcs)'!$D$33</f>
        <v>151.29419159343792</v>
      </c>
      <c r="F37" s="86"/>
      <c r="G37" s="90"/>
      <c r="H37" s="90"/>
      <c r="I37" s="90"/>
      <c r="K37" s="78">
        <f t="shared" si="1"/>
        <v>1</v>
      </c>
      <c r="L37" s="79" t="str">
        <f>OC!K4</f>
        <v>22cb59110277</v>
      </c>
      <c r="M37" s="50">
        <f>OC!T4+VLOOKUP($R$32,$AD$39:$AK$43,4,FALSE)</f>
        <v>-1.6094431281999999</v>
      </c>
      <c r="N37" s="50">
        <f>OC!U4+VLOOKUP($R$32,$AD$39:$AK$43,5,FALSE)</f>
        <v>-2.1105856963000003</v>
      </c>
      <c r="O37" s="85"/>
      <c r="P37" s="85"/>
      <c r="Q37" s="86"/>
      <c r="R37" s="86"/>
      <c r="S37" s="34"/>
      <c r="T37" s="78">
        <v>1</v>
      </c>
      <c r="U37" s="79" t="str">
        <f>FPDC!K4</f>
        <v>22cb59110277</v>
      </c>
      <c r="V37" s="76">
        <f>FPDC!S4+VLOOKUP($R$32,$AD$39:$AK$43,2,FALSE)+VLOOKUP($R$32,$AD$39:$AK$43,7,FALSE)+VLOOKUP('File location'!$B$1,'Tester offset'!$A$2:$D$4,3,FALSE)</f>
        <v>-8.4964752196999989</v>
      </c>
      <c r="W37" s="77">
        <f>FPDC!T4+VLOOKUP($R$32,$AD$39:$AK$43,3,FALSE)+VLOOKUP($R$32,$AD$39:$AK$43,8,FALSE)+VLOOKUP('File location'!$B$1,'Tester offset'!$A$2:$D$4,4,FALSE)</f>
        <v>2.4415874480999999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22cb59110671</v>
      </c>
      <c r="C38" s="50">
        <f>IPQC!T5+VLOOKUP($R$32,$AD$39:$AK$43,6,FALSE)+VLOOKUP('File location'!$B$1,'Tester offset'!$A$2:$D$4,2,FALSE)</f>
        <v>87.244859559600002</v>
      </c>
      <c r="D38" s="50">
        <f>IPQC!AA5+VLOOKUP($R$32,$AD$39:$AK$43,6,FALSE)</f>
        <v>69.654194779299999</v>
      </c>
      <c r="E38" s="50">
        <f>VCM!HV5-'Summary(3pcs)'!C38-'Summary(3pcs)'!$D$33</f>
        <v>163.77926801363793</v>
      </c>
      <c r="F38" s="86">
        <f>AVERAGEIF($A$35:$A$46,2,$C$35:$C$46)</f>
        <v>87.415198852833328</v>
      </c>
      <c r="G38" s="90">
        <f>AVERAGEIF($A$35:$A$46,2,$D$35:$D$46)</f>
        <v>67.59645364793333</v>
      </c>
      <c r="H38" s="90">
        <f>AVERAGEIF($A$35:$A$46,2,$E$35:$E$46)</f>
        <v>148.94249121437124</v>
      </c>
      <c r="I38" s="90">
        <f>85-F38</f>
        <v>-2.4151988528333277</v>
      </c>
      <c r="K38" s="78">
        <f t="shared" si="1"/>
        <v>2</v>
      </c>
      <c r="L38" s="79" t="str">
        <f>OC!K5</f>
        <v>22cb59110671</v>
      </c>
      <c r="M38" s="50">
        <f>OC!T5+VLOOKUP($R$32,$AD$39:$AK$43,4,FALSE)</f>
        <v>-1.4944963228999999</v>
      </c>
      <c r="N38" s="50">
        <f>OC!U5+VLOOKUP($R$32,$AD$39:$AK$43,5,FALSE)</f>
        <v>1.3194538757999998</v>
      </c>
      <c r="O38" s="85">
        <f>AVERAGEIF($K$35:$K$46,2,$M$35:$M$46)</f>
        <v>-0.51771209870000001</v>
      </c>
      <c r="P38" s="85">
        <f>AVERAGEIF($K$35:$K$46,2,$N$35:$N$46)</f>
        <v>3.5538431155666665</v>
      </c>
      <c r="Q38" s="86">
        <f>P38*0.001</f>
        <v>3.5538431155666666E-3</v>
      </c>
      <c r="R38" s="86">
        <f>O38*0.001</f>
        <v>-5.1771209870000003E-4</v>
      </c>
      <c r="S38" s="34"/>
      <c r="T38" s="78">
        <v>2</v>
      </c>
      <c r="U38" s="79" t="str">
        <f>FPDC!K5</f>
        <v>22cb59110671</v>
      </c>
      <c r="V38" s="76">
        <f>FPDC!S5+VLOOKUP($R$32,$AD$39:$AK$43,2,FALSE)+VLOOKUP($R$32,$AD$39:$AK$43,7,FALSE)+VLOOKUP('File location'!$B$1,'Tester offset'!$A$2:$D$4,3,FALSE)</f>
        <v>-0.66589713099999992</v>
      </c>
      <c r="W38" s="77">
        <f>FPDC!T5+VLOOKUP($R$32,$AD$39:$AK$43,3,FALSE)+VLOOKUP($R$32,$AD$39:$AK$43,8,FALSE)+VLOOKUP('File location'!$B$1,'Tester offset'!$A$2:$D$4,4,FALSE)</f>
        <v>2.8428797721999999</v>
      </c>
      <c r="X38" s="85">
        <f>AVERAGEIF($T$35:$T$46,2,$V$35:$V$46)</f>
        <v>-1.5350646178333338</v>
      </c>
      <c r="Y38" s="85">
        <f>AVERAGEIF($T$35:$T$46,2,$W$35:$W$46)</f>
        <v>2.3284256458333332</v>
      </c>
      <c r="Z38" s="86">
        <f>(X38*-0.01)/4</f>
        <v>3.8376615445833346E-3</v>
      </c>
      <c r="AA38" s="86">
        <f>(Y38*-0.01)/4</f>
        <v>-5.8210641145833332E-3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22cb59110870</v>
      </c>
      <c r="C39" s="50">
        <f>IPQC!T6+VLOOKUP($R$32,$AD$39:$AK$43,6,FALSE)+VLOOKUP('File location'!$B$1,'Tester offset'!$A$2:$D$4,2,FALSE)</f>
        <v>83.903045011499998</v>
      </c>
      <c r="D39" s="50">
        <f>IPQC!AA6+VLOOKUP($R$32,$AD$39:$AK$43,6,FALSE)</f>
        <v>61.1476746616</v>
      </c>
      <c r="E39" s="50">
        <f>VCM!HV6-'Summary(3pcs)'!C39-'Summary(3pcs)'!$D$33</f>
        <v>154.75628454633789</v>
      </c>
      <c r="F39" s="86"/>
      <c r="G39" s="90"/>
      <c r="H39" s="90"/>
      <c r="I39" s="90"/>
      <c r="K39" s="78">
        <f t="shared" si="1"/>
        <v>2</v>
      </c>
      <c r="L39" s="79" t="str">
        <f>OC!K6</f>
        <v>22cb59110870</v>
      </c>
      <c r="M39" s="50">
        <f>OC!T6+VLOOKUP($R$32,$AD$39:$AK$43,4,FALSE)</f>
        <v>1.4375206556</v>
      </c>
      <c r="N39" s="50">
        <f>OC!U6+VLOOKUP($R$32,$AD$39:$AK$43,5,FALSE)</f>
        <v>6.1062028636000001</v>
      </c>
      <c r="O39" s="85"/>
      <c r="P39" s="85"/>
      <c r="Q39" s="86"/>
      <c r="R39" s="86"/>
      <c r="S39" s="34"/>
      <c r="T39" s="78">
        <v>2</v>
      </c>
      <c r="U39" s="79" t="str">
        <f>FPDC!K6</f>
        <v>22cb59110870</v>
      </c>
      <c r="V39" s="76">
        <f>FPDC!S6+VLOOKUP($R$32,$AD$39:$AK$43,2,FALSE)+VLOOKUP($R$32,$AD$39:$AK$43,7,FALSE)+VLOOKUP('File location'!$B$1,'Tester offset'!$A$2:$D$4,3,FALSE)</f>
        <v>1.8580999373999996</v>
      </c>
      <c r="W39" s="77">
        <f>FPDC!T6+VLOOKUP($R$32,$AD$39:$AK$43,3,FALSE)+VLOOKUP($R$32,$AD$39:$AK$43,8,FALSE)+VLOOKUP('File location'!$B$1,'Tester offset'!$A$2:$D$4,4,FALSE)</f>
        <v>0.43984055519999998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22cb59100698</v>
      </c>
      <c r="C40" s="50">
        <f>IPQC!T7+VLOOKUP($R$32,$AD$39:$AK$43,6,FALSE)+VLOOKUP('File location'!$B$1,'Tester offset'!$A$2:$D$4,2,FALSE)</f>
        <v>91.097691987399998</v>
      </c>
      <c r="D40" s="50">
        <f>IPQC!AA7+VLOOKUP($R$32,$AD$39:$AK$43,6,FALSE)</f>
        <v>71.987491502899999</v>
      </c>
      <c r="E40" s="50">
        <f>VCM!HV7-'Summary(3pcs)'!C40-'Summary(3pcs)'!$D$33</f>
        <v>128.29192108313794</v>
      </c>
      <c r="F40" s="86"/>
      <c r="G40" s="90"/>
      <c r="H40" s="90"/>
      <c r="I40" s="90"/>
      <c r="K40" s="78">
        <f t="shared" si="1"/>
        <v>2</v>
      </c>
      <c r="L40" s="79" t="str">
        <f>OC!K7</f>
        <v>22cb59100698</v>
      </c>
      <c r="M40" s="50">
        <f>OC!T7+VLOOKUP($R$32,$AD$39:$AK$43,4,FALSE)</f>
        <v>-1.4961606288</v>
      </c>
      <c r="N40" s="50">
        <f>OC!U7+VLOOKUP($R$32,$AD$39:$AK$43,5,FALSE)</f>
        <v>3.2358726073000001</v>
      </c>
      <c r="O40" s="85"/>
      <c r="P40" s="85"/>
      <c r="Q40" s="86"/>
      <c r="R40" s="86"/>
      <c r="S40" s="34"/>
      <c r="T40" s="78">
        <v>2</v>
      </c>
      <c r="U40" s="79" t="str">
        <f>FPDC!K7</f>
        <v>22cb59100698</v>
      </c>
      <c r="V40" s="76">
        <f>FPDC!S7+VLOOKUP($R$32,$AD$39:$AK$43,2,FALSE)+VLOOKUP($R$32,$AD$39:$AK$43,7,FALSE)+VLOOKUP('File location'!$B$1,'Tester offset'!$A$2:$D$4,3,FALSE)</f>
        <v>-5.7973966599000004</v>
      </c>
      <c r="W40" s="77">
        <f>FPDC!T7+VLOOKUP($R$32,$AD$39:$AK$43,3,FALSE)+VLOOKUP($R$32,$AD$39:$AK$43,8,FALSE)+VLOOKUP('File location'!$B$1,'Tester offset'!$A$2:$D$4,4,FALSE)</f>
        <v>3.7025566101000003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22cb59110785</v>
      </c>
      <c r="C41" s="50">
        <f>IPQC!T8+VLOOKUP($R$32,$AD$39:$AK$43,6,FALSE)+VLOOKUP('File location'!$B$1,'Tester offset'!$A$2:$D$4,2,FALSE)</f>
        <v>87.974563422299994</v>
      </c>
      <c r="D41" s="50">
        <f>IPQC!AA8+VLOOKUP($R$32,$AD$39:$AK$43,6,FALSE)</f>
        <v>64.272870253199997</v>
      </c>
      <c r="E41" s="50">
        <f>VCM!HV8-'Summary(3pcs)'!C41-'Summary(3pcs)'!$D$33</f>
        <v>137.79679615143795</v>
      </c>
      <c r="F41" s="86">
        <f>AVERAGEIF($A$35:$A$46,3,$C$35:$C$46)</f>
        <v>88.492208417933327</v>
      </c>
      <c r="G41" s="90">
        <f>AVERAGEIF($A$35:$A$46,3,$D$35:$D$46)</f>
        <v>67.669887982333321</v>
      </c>
      <c r="H41" s="90">
        <f>AVERAGEIF($A$35:$A$46,3,$E$35:$E$46)</f>
        <v>146.88012895843792</v>
      </c>
      <c r="I41" s="90">
        <f>85-F41</f>
        <v>-3.4922084179333268</v>
      </c>
      <c r="K41" s="78">
        <f t="shared" si="1"/>
        <v>3</v>
      </c>
      <c r="L41" s="79" t="str">
        <f>OC!K8</f>
        <v>22cb59110785</v>
      </c>
      <c r="M41" s="50">
        <f>OC!T8+VLOOKUP($R$32,$AD$39:$AK$43,4,FALSE)</f>
        <v>2.0324493421000001</v>
      </c>
      <c r="N41" s="50">
        <f>OC!U8+VLOOKUP($R$32,$AD$39:$AK$43,5,FALSE)</f>
        <v>-2.9766893332000004</v>
      </c>
      <c r="O41" s="85">
        <f>AVERAGEIF($K$35:$K$46,3,$M$35:$M$46)</f>
        <v>5.1446804773666663</v>
      </c>
      <c r="P41" s="85">
        <f>AVERAGEIF($K$35:$K$46,3,$N$35:$N$46)</f>
        <v>-2.0946156137666665</v>
      </c>
      <c r="Q41" s="86">
        <f>P41*0.001</f>
        <v>-2.0946156137666666E-3</v>
      </c>
      <c r="R41" s="86">
        <f>O41*0.001</f>
        <v>5.1446804773666666E-3</v>
      </c>
      <c r="S41" s="34"/>
      <c r="T41" s="78">
        <v>3</v>
      </c>
      <c r="U41" s="79" t="str">
        <f>FPDC!K8</f>
        <v>22cb59110785</v>
      </c>
      <c r="V41" s="76">
        <f>FPDC!S8+VLOOKUP($R$32,$AD$39:$AK$43,2,FALSE)+VLOOKUP($R$32,$AD$39:$AK$43,7,FALSE)+VLOOKUP('File location'!$B$1,'Tester offset'!$A$2:$D$4,3,FALSE)</f>
        <v>-0.60377669329999994</v>
      </c>
      <c r="W41" s="77">
        <f>FPDC!T8+VLOOKUP($R$32,$AD$39:$AK$43,3,FALSE)+VLOOKUP($R$32,$AD$39:$AK$43,8,FALSE)+VLOOKUP('File location'!$B$1,'Tester offset'!$A$2:$D$4,4,FALSE)</f>
        <v>1.0687627792000001</v>
      </c>
      <c r="X41" s="85">
        <f>AVERAGEIF($T$35:$T$46,3,$V$35:$V$46)</f>
        <v>-1.3178063233333335</v>
      </c>
      <c r="Y41" s="85">
        <f>AVERAGEIF($T$35:$T$46,3,$W$35:$W$46)</f>
        <v>2.0002169609</v>
      </c>
      <c r="Z41" s="86">
        <f>(X41*-0.01)/4</f>
        <v>3.2945158083333339E-3</v>
      </c>
      <c r="AA41" s="86">
        <f>(Y41*-0.01)/4</f>
        <v>-5.00054240225E-3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22cb59110969</v>
      </c>
      <c r="C42" s="50">
        <f>IPQC!T9+VLOOKUP($R$32,$AD$39:$AK$43,6,FALSE)+VLOOKUP('File location'!$B$1,'Tester offset'!$A$2:$D$4,2,FALSE)</f>
        <v>89.457430101300005</v>
      </c>
      <c r="D42" s="50">
        <f>IPQC!AA9+VLOOKUP($R$32,$AD$39:$AK$43,6,FALSE)</f>
        <v>70.710470420199997</v>
      </c>
      <c r="E42" s="50">
        <f>VCM!HV9-'Summary(3pcs)'!C42-'Summary(3pcs)'!$D$33</f>
        <v>154.26044910643787</v>
      </c>
      <c r="F42" s="86"/>
      <c r="G42" s="90"/>
      <c r="H42" s="90"/>
      <c r="I42" s="90"/>
      <c r="K42" s="78">
        <f t="shared" si="1"/>
        <v>3</v>
      </c>
      <c r="L42" s="79" t="str">
        <f>OC!K9</f>
        <v>22cb59110969</v>
      </c>
      <c r="M42" s="50">
        <f>OC!T9+VLOOKUP($R$32,$AD$39:$AK$43,4,FALSE)</f>
        <v>7.9267071499000004</v>
      </c>
      <c r="N42" s="50">
        <f>OC!U9+VLOOKUP($R$32,$AD$39:$AK$43,5,FALSE)</f>
        <v>-3.4916188547999996</v>
      </c>
      <c r="O42" s="85"/>
      <c r="P42" s="85"/>
      <c r="Q42" s="86"/>
      <c r="R42" s="86"/>
      <c r="S42" s="34"/>
      <c r="T42" s="78">
        <v>3</v>
      </c>
      <c r="U42" s="79" t="str">
        <f>FPDC!K9</f>
        <v>22cb59110969</v>
      </c>
      <c r="V42" s="76">
        <f>FPDC!S9+VLOOKUP($R$32,$AD$39:$AK$43,2,FALSE)+VLOOKUP($R$32,$AD$39:$AK$43,7,FALSE)+VLOOKUP('File location'!$B$1,'Tester offset'!$A$2:$D$4,3,FALSE)</f>
        <v>-6.3801679610999997</v>
      </c>
      <c r="W42" s="77">
        <f>FPDC!T9+VLOOKUP($R$32,$AD$39:$AK$43,3,FALSE)+VLOOKUP($R$32,$AD$39:$AK$43,8,FALSE)+VLOOKUP('File location'!$B$1,'Tester offset'!$A$2:$D$4,4,FALSE)</f>
        <v>1.1820178031999999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22cb59110904</v>
      </c>
      <c r="C43" s="50">
        <f>IPQC!T10+VLOOKUP($R$32,$AD$39:$AK$43,6,FALSE)+VLOOKUP('File location'!$B$1,'Tester offset'!$A$2:$D$4,2,FALSE)</f>
        <v>88.044631730199995</v>
      </c>
      <c r="D43" s="50">
        <f>IPQC!AA10+VLOOKUP($R$32,$AD$39:$AK$43,6,FALSE)</f>
        <v>68.026323273599999</v>
      </c>
      <c r="E43" s="50">
        <f>VCM!HV10-'Summary(3pcs)'!C43-'Summary(3pcs)'!$D$33</f>
        <v>148.58314161743795</v>
      </c>
      <c r="F43" s="86"/>
      <c r="G43" s="90"/>
      <c r="H43" s="90"/>
      <c r="I43" s="90"/>
      <c r="K43" s="78">
        <f t="shared" si="1"/>
        <v>3</v>
      </c>
      <c r="L43" s="79" t="str">
        <f>OC!K10</f>
        <v>22cb59110904</v>
      </c>
      <c r="M43" s="50">
        <f>OC!T10+VLOOKUP($R$32,$AD$39:$AK$43,4,FALSE)</f>
        <v>5.4748849400999999</v>
      </c>
      <c r="N43" s="50">
        <f>OC!U10+VLOOKUP($R$32,$AD$39:$AK$43,5,FALSE)</f>
        <v>0.18446134670000003</v>
      </c>
      <c r="O43" s="85"/>
      <c r="P43" s="85"/>
      <c r="Q43" s="86"/>
      <c r="R43" s="86"/>
      <c r="S43" s="34"/>
      <c r="T43" s="78">
        <v>3</v>
      </c>
      <c r="U43" s="79" t="str">
        <f>FPDC!K10</f>
        <v>22cb59110904</v>
      </c>
      <c r="V43" s="76">
        <f>FPDC!S10+VLOOKUP($R$32,$AD$39:$AK$43,2,FALSE)+VLOOKUP($R$32,$AD$39:$AK$43,7,FALSE)+VLOOKUP('File location'!$B$1,'Tester offset'!$A$2:$D$4,3,FALSE)</f>
        <v>3.0305256843999997</v>
      </c>
      <c r="W43" s="77">
        <f>FPDC!T10+VLOOKUP($R$32,$AD$39:$AK$43,3,FALSE)+VLOOKUP($R$32,$AD$39:$AK$43,8,FALSE)+VLOOKUP('File location'!$B$1,'Tester offset'!$A$2:$D$4,4,FALSE)</f>
        <v>3.7498703002999996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22cb59100919</v>
      </c>
      <c r="C44" s="50">
        <f>IPQC!T11+VLOOKUP($R$32,$AD$39:$AK$43,6,FALSE)+VLOOKUP('File location'!$B$1,'Tester offset'!$A$2:$D$4,2,FALSE)</f>
        <v>92.614438704700007</v>
      </c>
      <c r="D44" s="50">
        <f>IPQC!AA11+VLOOKUP($R$32,$AD$39:$AK$43,6,FALSE)</f>
        <v>76.1779417053</v>
      </c>
      <c r="E44" s="50">
        <f>VCM!HV11-'Summary(3pcs)'!C44-'Summary(3pcs)'!$D$33</f>
        <v>129.64744792623787</v>
      </c>
      <c r="F44" s="86">
        <f>AVERAGEIF($A$35:$A$46,4,$C$35:$C$46)</f>
        <v>92.76417561753334</v>
      </c>
      <c r="G44" s="90">
        <f>AVERAGEIF($A$35:$A$46,4,$D$35:$D$46)</f>
        <v>74.988263777266667</v>
      </c>
      <c r="H44" s="90">
        <f>AVERAGEIF($A$35:$A$46,4,$E$35:$E$46)</f>
        <v>131.83611214907123</v>
      </c>
      <c r="I44" s="90">
        <f>85-F44</f>
        <v>-7.7641756175333398</v>
      </c>
      <c r="K44" s="78">
        <f t="shared" si="1"/>
        <v>4</v>
      </c>
      <c r="L44" s="79" t="str">
        <f>OC!K11</f>
        <v>22cb59100919</v>
      </c>
      <c r="M44" s="50">
        <f>OC!T11+VLOOKUP($R$32,$AD$39:$AK$43,4,FALSE)</f>
        <v>7.8339780104000001</v>
      </c>
      <c r="N44" s="50">
        <f>OC!U11+VLOOKUP($R$32,$AD$39:$AK$43,5,FALSE)</f>
        <v>4.0484190519999999</v>
      </c>
      <c r="O44" s="85">
        <f>AVERAGEIF($K$35:$K$46,4,$M$35:$M$46)</f>
        <v>5.4070171484999996</v>
      </c>
      <c r="P44" s="85">
        <f>AVERAGEIF($K$35:$K$46,4,$N$35:$N$46)</f>
        <v>4.1983737956666669</v>
      </c>
      <c r="Q44" s="86">
        <f>P44*0.001</f>
        <v>4.1983737956666671E-3</v>
      </c>
      <c r="R44" s="86">
        <f>O44*0.001</f>
        <v>5.4070171484999997E-3</v>
      </c>
      <c r="S44" s="34"/>
      <c r="T44" s="78">
        <v>4</v>
      </c>
      <c r="U44" s="79" t="str">
        <f>FPDC!K11</f>
        <v>22cb59100919</v>
      </c>
      <c r="V44" s="76">
        <f>FPDC!S11+VLOOKUP($R$32,$AD$39:$AK$43,2,FALSE)+VLOOKUP($R$32,$AD$39:$AK$43,7,FALSE)+VLOOKUP('File location'!$B$1,'Tester offset'!$A$2:$D$4,3,FALSE)</f>
        <v>-4.0722260475000001</v>
      </c>
      <c r="W44" s="77">
        <f>FPDC!T11+VLOOKUP($R$32,$AD$39:$AK$43,3,FALSE)+VLOOKUP($R$32,$AD$39:$AK$43,8,FALSE)+VLOOKUP('File location'!$B$1,'Tester offset'!$A$2:$D$4,4,FALSE)</f>
        <v>-0.52517533299999997</v>
      </c>
      <c r="X44" s="85">
        <f>AVERAGEIF($T$35:$T$46,4,$V$35:$V$46)</f>
        <v>-4.065707286166667</v>
      </c>
      <c r="Y44" s="85">
        <f>AVERAGEIF($T$35:$T$46,4,$W$35:$W$46)</f>
        <v>-2.0350457826999997</v>
      </c>
      <c r="Z44" s="86">
        <f>(X44*-0.01)/4</f>
        <v>1.0164268215416668E-2</v>
      </c>
      <c r="AA44" s="86">
        <f>(Y44*-0.01)/4</f>
        <v>5.0876144567499997E-3</v>
      </c>
    </row>
    <row r="45" spans="1:37" ht="17.100000000000001" customHeight="1">
      <c r="A45" s="78">
        <f t="shared" si="0"/>
        <v>4</v>
      </c>
      <c r="B45" s="79" t="str">
        <f>IPQC!K12</f>
        <v>22cb59110975</v>
      </c>
      <c r="C45" s="50">
        <f>IPQC!T12+VLOOKUP($R$32,$AD$39:$AK$43,6,FALSE)+VLOOKUP('File location'!$B$1,'Tester offset'!$A$2:$D$4,2,FALSE)</f>
        <v>90.163832669599998</v>
      </c>
      <c r="D45" s="50">
        <f>IPQC!AA12+VLOOKUP($R$32,$AD$39:$AK$43,6,FALSE)</f>
        <v>69.518752227999997</v>
      </c>
      <c r="E45" s="50">
        <f>VCM!HV12-'Summary(3pcs)'!C45-'Summary(3pcs)'!$D$33</f>
        <v>152.54086517653786</v>
      </c>
      <c r="F45" s="86"/>
      <c r="G45" s="90"/>
      <c r="H45" s="90"/>
      <c r="I45" s="90"/>
      <c r="K45" s="78">
        <f t="shared" si="1"/>
        <v>4</v>
      </c>
      <c r="L45" s="79" t="str">
        <f>OC!K12</f>
        <v>22cb59110975</v>
      </c>
      <c r="M45" s="50">
        <f>OC!T12+VLOOKUP($R$32,$AD$39:$AK$43,4,FALSE)</f>
        <v>5.1836932824000002</v>
      </c>
      <c r="N45" s="50">
        <f>OC!U12+VLOOKUP($R$32,$AD$39:$AK$43,5,FALSE)</f>
        <v>3.8026942983000001</v>
      </c>
      <c r="O45" s="85"/>
      <c r="P45" s="85"/>
      <c r="Q45" s="86"/>
      <c r="R45" s="86"/>
      <c r="S45" s="34"/>
      <c r="T45" s="78">
        <v>4</v>
      </c>
      <c r="U45" s="79" t="str">
        <f>FPDC!K12</f>
        <v>22cb59110975</v>
      </c>
      <c r="V45" s="76">
        <f>FPDC!S12+VLOOKUP($R$32,$AD$39:$AK$43,2,FALSE)+VLOOKUP($R$32,$AD$39:$AK$43,7,FALSE)+VLOOKUP('File location'!$B$1,'Tester offset'!$A$2:$D$4,3,FALSE)</f>
        <v>-3.3038706779</v>
      </c>
      <c r="W45" s="77">
        <f>FPDC!T12+VLOOKUP($R$32,$AD$39:$AK$43,3,FALSE)+VLOOKUP($R$32,$AD$39:$AK$43,8,FALSE)+VLOOKUP('File location'!$B$1,'Tester offset'!$A$2:$D$4,4,FALSE)</f>
        <v>-1.3591775894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22cb59100951</v>
      </c>
      <c r="C46" s="50">
        <f>IPQC!T13+VLOOKUP($R$32,$AD$39:$AK$43,6,FALSE)+VLOOKUP('File location'!$B$1,'Tester offset'!$A$2:$D$4,2,FALSE)</f>
        <v>95.514255478300001</v>
      </c>
      <c r="D46" s="50">
        <f>IPQC!AA13+VLOOKUP($R$32,$AD$39:$AK$43,6,FALSE)</f>
        <v>79.268097398500004</v>
      </c>
      <c r="E46" s="50">
        <f>VCM!HV13-'Summary(3pcs)'!C46-'Summary(3pcs)'!$D$33</f>
        <v>113.32002334443791</v>
      </c>
      <c r="F46" s="86"/>
      <c r="G46" s="90"/>
      <c r="H46" s="90"/>
      <c r="I46" s="90"/>
      <c r="K46" s="78">
        <f t="shared" si="1"/>
        <v>4</v>
      </c>
      <c r="L46" s="79" t="str">
        <f>OC!K13</f>
        <v>22cb59100951</v>
      </c>
      <c r="M46" s="50">
        <f>OC!T13+VLOOKUP($R$32,$AD$39:$AK$43,4,FALSE)</f>
        <v>3.2033801526999999</v>
      </c>
      <c r="N46" s="50">
        <f>OC!U13+VLOOKUP($R$32,$AD$39:$AK$43,5,FALSE)</f>
        <v>4.7440080367000004</v>
      </c>
      <c r="O46" s="85"/>
      <c r="P46" s="85"/>
      <c r="Q46" s="86"/>
      <c r="R46" s="86"/>
      <c r="S46" s="34"/>
      <c r="T46" s="78">
        <v>4</v>
      </c>
      <c r="U46" s="79" t="str">
        <f>FPDC!K13</f>
        <v>22cb59100951</v>
      </c>
      <c r="V46" s="76">
        <f>FPDC!S13+VLOOKUP($R$32,$AD$39:$AK$43,2,FALSE)+VLOOKUP($R$32,$AD$39:$AK$43,7,FALSE)+VLOOKUP('File location'!$B$1,'Tester offset'!$A$2:$D$4,3,FALSE)</f>
        <v>-4.8210251331</v>
      </c>
      <c r="W46" s="77">
        <f>FPDC!T13+VLOOKUP($R$32,$AD$39:$AK$43,3,FALSE)+VLOOKUP($R$32,$AD$39:$AK$43,8,FALSE)+VLOOKUP('File location'!$B$1,'Tester offset'!$A$2:$D$4,4,FALSE)</f>
        <v>-4.2207844256999998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78.398349093899995</v>
      </c>
      <c r="L55" s="52">
        <f t="shared" ref="L55:L66" si="4">D35</f>
        <v>54.034220218800002</v>
      </c>
      <c r="M55" s="52">
        <f t="shared" ref="M55:M66" si="5">E35</f>
        <v>158.73355579733794</v>
      </c>
      <c r="N55" s="52">
        <f t="shared" ref="N55:O66" si="6">M35</f>
        <v>-3.1943704293000001</v>
      </c>
      <c r="O55" s="52">
        <f t="shared" si="6"/>
        <v>-0.27030900449999962</v>
      </c>
      <c r="P55" s="52">
        <f t="shared" ref="P55:P66" si="7">V35</f>
        <v>-3.7877144814000001</v>
      </c>
      <c r="Q55" s="53">
        <f t="shared" ref="Q55:Q66" si="8">W35</f>
        <v>2.7966313361999999</v>
      </c>
    </row>
    <row r="56" spans="6:27" ht="19.5">
      <c r="I56" s="43">
        <f t="shared" si="2"/>
        <v>1</v>
      </c>
      <c r="J56" s="44"/>
      <c r="K56" s="54">
        <f t="shared" si="3"/>
        <v>89.214347082499998</v>
      </c>
      <c r="L56" s="55">
        <f t="shared" si="4"/>
        <v>71.135993116500003</v>
      </c>
      <c r="M56" s="55">
        <f t="shared" si="5"/>
        <v>143.45384207493788</v>
      </c>
      <c r="N56" s="55">
        <f t="shared" si="6"/>
        <v>3.0426031026000002</v>
      </c>
      <c r="O56" s="55">
        <f t="shared" si="6"/>
        <v>-3.7056893624000002</v>
      </c>
      <c r="P56" s="55">
        <f t="shared" si="7"/>
        <v>-0.57921195029999994</v>
      </c>
      <c r="Q56" s="56">
        <f t="shared" si="8"/>
        <v>-0.76128602030000003</v>
      </c>
    </row>
    <row r="57" spans="6:27" ht="19.5">
      <c r="I57" s="43">
        <f t="shared" si="2"/>
        <v>1</v>
      </c>
      <c r="J57" s="44"/>
      <c r="K57" s="57">
        <f t="shared" si="3"/>
        <v>84.1154576343</v>
      </c>
      <c r="L57" s="58">
        <f t="shared" si="4"/>
        <v>62.579799841099998</v>
      </c>
      <c r="M57" s="58">
        <f t="shared" si="5"/>
        <v>151.29419159343792</v>
      </c>
      <c r="N57" s="58">
        <f t="shared" si="6"/>
        <v>-1.6094431281999999</v>
      </c>
      <c r="O57" s="58">
        <f t="shared" si="6"/>
        <v>-2.1105856963000003</v>
      </c>
      <c r="P57" s="58">
        <f t="shared" si="7"/>
        <v>-8.4964752196999989</v>
      </c>
      <c r="Q57" s="59">
        <f t="shared" si="8"/>
        <v>2.4415874480999999</v>
      </c>
    </row>
    <row r="58" spans="6:27" ht="19.5">
      <c r="I58" s="43">
        <f t="shared" si="2"/>
        <v>2</v>
      </c>
      <c r="J58" s="44"/>
      <c r="K58" s="60">
        <f t="shared" si="3"/>
        <v>87.244859559600002</v>
      </c>
      <c r="L58" s="61">
        <f t="shared" si="4"/>
        <v>69.654194779299999</v>
      </c>
      <c r="M58" s="61">
        <f t="shared" si="5"/>
        <v>163.77926801363793</v>
      </c>
      <c r="N58" s="61">
        <f t="shared" si="6"/>
        <v>-1.4944963228999999</v>
      </c>
      <c r="O58" s="61">
        <f t="shared" si="6"/>
        <v>1.3194538757999998</v>
      </c>
      <c r="P58" s="61">
        <f t="shared" si="7"/>
        <v>-0.66589713099999992</v>
      </c>
      <c r="Q58" s="62">
        <f t="shared" si="8"/>
        <v>2.8428797721999999</v>
      </c>
    </row>
    <row r="59" spans="6:27" ht="19.5">
      <c r="I59" s="43">
        <f t="shared" si="2"/>
        <v>2</v>
      </c>
      <c r="J59" s="44"/>
      <c r="K59" s="60">
        <f t="shared" si="3"/>
        <v>83.903045011499998</v>
      </c>
      <c r="L59" s="61">
        <f t="shared" si="4"/>
        <v>61.1476746616</v>
      </c>
      <c r="M59" s="61">
        <f t="shared" si="5"/>
        <v>154.75628454633789</v>
      </c>
      <c r="N59" s="61">
        <f t="shared" si="6"/>
        <v>1.4375206556</v>
      </c>
      <c r="O59" s="61">
        <f t="shared" si="6"/>
        <v>6.1062028636000001</v>
      </c>
      <c r="P59" s="61">
        <f t="shared" si="7"/>
        <v>1.8580999373999996</v>
      </c>
      <c r="Q59" s="62">
        <f t="shared" si="8"/>
        <v>0.43984055519999998</v>
      </c>
    </row>
    <row r="60" spans="6:27" ht="19.5">
      <c r="I60" s="43">
        <f t="shared" si="2"/>
        <v>2</v>
      </c>
      <c r="J60" s="44"/>
      <c r="K60" s="60">
        <f t="shared" si="3"/>
        <v>91.097691987399998</v>
      </c>
      <c r="L60" s="61">
        <f t="shared" si="4"/>
        <v>71.987491502899999</v>
      </c>
      <c r="M60" s="61">
        <f t="shared" si="5"/>
        <v>128.29192108313794</v>
      </c>
      <c r="N60" s="61">
        <f t="shared" si="6"/>
        <v>-1.4961606288</v>
      </c>
      <c r="O60" s="61">
        <f t="shared" si="6"/>
        <v>3.2358726073000001</v>
      </c>
      <c r="P60" s="61">
        <f t="shared" si="7"/>
        <v>-5.7973966599000004</v>
      </c>
      <c r="Q60" s="62">
        <f t="shared" si="8"/>
        <v>3.7025566101000003</v>
      </c>
    </row>
    <row r="61" spans="6:27" ht="19.5">
      <c r="I61" s="43">
        <f t="shared" si="2"/>
        <v>3</v>
      </c>
      <c r="J61" s="44"/>
      <c r="K61" s="66">
        <f t="shared" si="3"/>
        <v>87.974563422299994</v>
      </c>
      <c r="L61" s="67">
        <f t="shared" si="4"/>
        <v>64.272870253199997</v>
      </c>
      <c r="M61" s="67">
        <f t="shared" si="5"/>
        <v>137.79679615143795</v>
      </c>
      <c r="N61" s="67">
        <f t="shared" si="6"/>
        <v>2.0324493421000001</v>
      </c>
      <c r="O61" s="67">
        <f t="shared" si="6"/>
        <v>-2.9766893332000004</v>
      </c>
      <c r="P61" s="67">
        <f t="shared" si="7"/>
        <v>-0.60377669329999994</v>
      </c>
      <c r="Q61" s="68">
        <f t="shared" si="8"/>
        <v>1.0687627792000001</v>
      </c>
    </row>
    <row r="62" spans="6:27" ht="19.5">
      <c r="I62" s="43">
        <f t="shared" si="2"/>
        <v>3</v>
      </c>
      <c r="J62" s="44"/>
      <c r="K62" s="69">
        <f t="shared" si="3"/>
        <v>89.457430101300005</v>
      </c>
      <c r="L62" s="70">
        <f t="shared" si="4"/>
        <v>70.710470420199997</v>
      </c>
      <c r="M62" s="70">
        <f t="shared" si="5"/>
        <v>154.26044910643787</v>
      </c>
      <c r="N62" s="70">
        <f t="shared" si="6"/>
        <v>7.9267071499000004</v>
      </c>
      <c r="O62" s="70">
        <f t="shared" si="6"/>
        <v>-3.4916188547999996</v>
      </c>
      <c r="P62" s="70">
        <f t="shared" si="7"/>
        <v>-6.3801679610999997</v>
      </c>
      <c r="Q62" s="71">
        <f t="shared" si="8"/>
        <v>1.1820178031999999</v>
      </c>
    </row>
    <row r="63" spans="6:27" ht="19.5">
      <c r="I63" s="43">
        <f t="shared" si="2"/>
        <v>3</v>
      </c>
      <c r="J63" s="44"/>
      <c r="K63" s="72">
        <f t="shared" si="3"/>
        <v>88.044631730199995</v>
      </c>
      <c r="L63" s="73">
        <f t="shared" si="4"/>
        <v>68.026323273599999</v>
      </c>
      <c r="M63" s="73">
        <f t="shared" si="5"/>
        <v>148.58314161743795</v>
      </c>
      <c r="N63" s="73">
        <f t="shared" si="6"/>
        <v>5.4748849400999999</v>
      </c>
      <c r="O63" s="73">
        <f t="shared" si="6"/>
        <v>0.18446134670000003</v>
      </c>
      <c r="P63" s="73">
        <f t="shared" si="7"/>
        <v>3.0305256843999997</v>
      </c>
      <c r="Q63" s="74">
        <f t="shared" si="8"/>
        <v>3.7498703002999996</v>
      </c>
    </row>
    <row r="64" spans="6:27" ht="19.5">
      <c r="I64" s="43">
        <f t="shared" si="2"/>
        <v>4</v>
      </c>
      <c r="J64" s="44"/>
      <c r="K64" s="60">
        <f t="shared" si="3"/>
        <v>92.614438704700007</v>
      </c>
      <c r="L64" s="61">
        <f t="shared" si="4"/>
        <v>76.1779417053</v>
      </c>
      <c r="M64" s="61">
        <f t="shared" si="5"/>
        <v>129.64744792623787</v>
      </c>
      <c r="N64" s="61">
        <f t="shared" si="6"/>
        <v>7.8339780104000001</v>
      </c>
      <c r="O64" s="61">
        <f t="shared" si="6"/>
        <v>4.0484190519999999</v>
      </c>
      <c r="P64" s="61">
        <f t="shared" si="7"/>
        <v>-4.0722260475000001</v>
      </c>
      <c r="Q64" s="62">
        <f t="shared" si="8"/>
        <v>-0.52517533299999997</v>
      </c>
    </row>
    <row r="65" spans="9:17" ht="19.5">
      <c r="I65" s="43">
        <f t="shared" si="2"/>
        <v>4</v>
      </c>
      <c r="J65" s="44"/>
      <c r="K65" s="60">
        <f t="shared" si="3"/>
        <v>90.163832669599998</v>
      </c>
      <c r="L65" s="61">
        <f t="shared" si="4"/>
        <v>69.518752227999997</v>
      </c>
      <c r="M65" s="61">
        <f t="shared" si="5"/>
        <v>152.54086517653786</v>
      </c>
      <c r="N65" s="61">
        <f t="shared" si="6"/>
        <v>5.1836932824000002</v>
      </c>
      <c r="O65" s="61">
        <f t="shared" si="6"/>
        <v>3.8026942983000001</v>
      </c>
      <c r="P65" s="61">
        <f t="shared" si="7"/>
        <v>-3.3038706779</v>
      </c>
      <c r="Q65" s="62">
        <f t="shared" si="8"/>
        <v>-1.3591775894</v>
      </c>
    </row>
    <row r="66" spans="9:17" ht="20.25" thickBot="1">
      <c r="I66" s="43">
        <f t="shared" si="2"/>
        <v>4</v>
      </c>
      <c r="J66" s="44"/>
      <c r="K66" s="63">
        <f t="shared" si="3"/>
        <v>95.514255478300001</v>
      </c>
      <c r="L66" s="64">
        <f t="shared" si="4"/>
        <v>79.268097398500004</v>
      </c>
      <c r="M66" s="64">
        <f t="shared" si="5"/>
        <v>113.32002334443791</v>
      </c>
      <c r="N66" s="64">
        <f t="shared" si="6"/>
        <v>3.2033801526999999</v>
      </c>
      <c r="O66" s="64">
        <f t="shared" si="6"/>
        <v>4.7440080367000004</v>
      </c>
      <c r="P66" s="64">
        <f t="shared" si="7"/>
        <v>-4.8210251331</v>
      </c>
      <c r="Q66" s="65">
        <f t="shared" si="8"/>
        <v>-4.2207844256999998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2109.3056295707001</v>
      </c>
      <c r="S2">
        <v>1516.7703090044999</v>
      </c>
      <c r="T2">
        <v>-3.1943704293000001</v>
      </c>
      <c r="U2">
        <v>-4.2703090044999996</v>
      </c>
      <c r="V2">
        <v>5.3328736563000003</v>
      </c>
      <c r="W2">
        <v>721.94960000000003</v>
      </c>
      <c r="X2">
        <v>391.63780000000003</v>
      </c>
      <c r="Y2">
        <v>392.56139999999999</v>
      </c>
      <c r="Z2">
        <v>390.88029999999998</v>
      </c>
      <c r="AA2">
        <v>387.42570000000001</v>
      </c>
      <c r="AB2">
        <v>556.28795000000002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229</v>
      </c>
      <c r="B3" t="s">
        <v>230</v>
      </c>
      <c r="C3" t="s">
        <v>231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2115.5426031026</v>
      </c>
      <c r="S3">
        <v>1520.2056893624001</v>
      </c>
      <c r="T3">
        <v>3.0426031026000002</v>
      </c>
      <c r="U3">
        <v>-7.7056893624000002</v>
      </c>
      <c r="V3">
        <v>8.2846292729000002</v>
      </c>
      <c r="W3">
        <v>721.3528</v>
      </c>
      <c r="X3">
        <v>387.3648</v>
      </c>
      <c r="Y3">
        <v>392.13639999999998</v>
      </c>
      <c r="Z3">
        <v>389.74009999999998</v>
      </c>
      <c r="AA3">
        <v>390.14960000000002</v>
      </c>
      <c r="AB3">
        <v>555.60026249999999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560</v>
      </c>
      <c r="B4" t="s">
        <v>561</v>
      </c>
      <c r="C4" t="s">
        <v>562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2110.8905568718001</v>
      </c>
      <c r="S4">
        <v>1518.6105856962999</v>
      </c>
      <c r="T4">
        <v>-1.6094431281999999</v>
      </c>
      <c r="U4">
        <v>-6.1105856963000003</v>
      </c>
      <c r="V4">
        <v>6.3189844702000002</v>
      </c>
      <c r="W4">
        <v>721.78160000000003</v>
      </c>
      <c r="X4">
        <v>388.00940000000003</v>
      </c>
      <c r="Y4">
        <v>392.63490000000002</v>
      </c>
      <c r="Z4">
        <v>389.0643</v>
      </c>
      <c r="AA4">
        <v>387.96899999999999</v>
      </c>
      <c r="AB4">
        <v>555.60050000000001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  <row r="5" spans="1:37">
      <c r="A5" t="s">
        <v>568</v>
      </c>
      <c r="B5" t="s">
        <v>569</v>
      </c>
      <c r="C5" t="s">
        <v>570</v>
      </c>
      <c r="D5" t="s">
        <v>213</v>
      </c>
      <c r="E5">
        <v>3</v>
      </c>
      <c r="F5" t="s">
        <v>214</v>
      </c>
      <c r="G5" t="s">
        <v>215</v>
      </c>
      <c r="H5" t="s">
        <v>216</v>
      </c>
      <c r="I5" t="s">
        <v>217</v>
      </c>
      <c r="K5" t="s">
        <v>571</v>
      </c>
      <c r="L5" t="s">
        <v>572</v>
      </c>
      <c r="M5" t="s">
        <v>573</v>
      </c>
      <c r="N5" t="s">
        <v>574</v>
      </c>
      <c r="O5" t="s">
        <v>575</v>
      </c>
      <c r="P5">
        <v>0</v>
      </c>
      <c r="Q5">
        <v>0</v>
      </c>
      <c r="R5">
        <v>2111.0055036771</v>
      </c>
      <c r="S5">
        <v>1515.1805461242</v>
      </c>
      <c r="T5">
        <v>-1.4944963228999999</v>
      </c>
      <c r="U5">
        <v>-2.6805461242000002</v>
      </c>
      <c r="V5">
        <v>3.0690139756999999</v>
      </c>
      <c r="W5">
        <v>720.30110000000002</v>
      </c>
      <c r="X5">
        <v>388.01639999999998</v>
      </c>
      <c r="Y5">
        <v>394.21699999999998</v>
      </c>
      <c r="Z5">
        <v>389.27960000000002</v>
      </c>
      <c r="AA5">
        <v>389.1497</v>
      </c>
      <c r="AB5">
        <v>555.23338750000005</v>
      </c>
      <c r="AC5" t="s">
        <v>223</v>
      </c>
      <c r="AD5" t="s">
        <v>224</v>
      </c>
      <c r="AE5" t="s">
        <v>225</v>
      </c>
      <c r="AF5" t="s">
        <v>226</v>
      </c>
      <c r="AG5" t="s">
        <v>227</v>
      </c>
      <c r="AH5">
        <v>8</v>
      </c>
      <c r="AI5" t="s">
        <v>228</v>
      </c>
      <c r="AK5" s="17">
        <v>1</v>
      </c>
    </row>
    <row r="6" spans="1:37">
      <c r="A6" t="s">
        <v>590</v>
      </c>
      <c r="B6" t="s">
        <v>591</v>
      </c>
      <c r="C6" t="s">
        <v>592</v>
      </c>
      <c r="D6" t="s">
        <v>213</v>
      </c>
      <c r="E6">
        <v>3</v>
      </c>
      <c r="F6" t="s">
        <v>214</v>
      </c>
      <c r="G6" t="s">
        <v>215</v>
      </c>
      <c r="H6" t="s">
        <v>216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2113.9375206556001</v>
      </c>
      <c r="S6">
        <v>1510.3937971364001</v>
      </c>
      <c r="T6">
        <v>1.4375206556</v>
      </c>
      <c r="U6">
        <v>2.1062028636000001</v>
      </c>
      <c r="V6">
        <v>2.5500110074000002</v>
      </c>
      <c r="W6">
        <v>734.3836</v>
      </c>
      <c r="X6">
        <v>396.90069999999997</v>
      </c>
      <c r="Y6">
        <v>402.91930000000002</v>
      </c>
      <c r="Z6">
        <v>398.91750000000002</v>
      </c>
      <c r="AA6">
        <v>398.00650000000002</v>
      </c>
      <c r="AB6">
        <v>566.78480000000002</v>
      </c>
      <c r="AC6" t="s">
        <v>223</v>
      </c>
      <c r="AD6" t="s">
        <v>224</v>
      </c>
      <c r="AE6" t="s">
        <v>225</v>
      </c>
      <c r="AF6" t="s">
        <v>226</v>
      </c>
      <c r="AG6" t="s">
        <v>227</v>
      </c>
      <c r="AH6">
        <v>8</v>
      </c>
      <c r="AI6" t="s">
        <v>228</v>
      </c>
      <c r="AK6" s="17">
        <v>1</v>
      </c>
    </row>
    <row r="7" spans="1:37">
      <c r="A7" t="s">
        <v>605</v>
      </c>
      <c r="B7" t="s">
        <v>606</v>
      </c>
      <c r="C7" t="s">
        <v>607</v>
      </c>
      <c r="D7" t="s">
        <v>213</v>
      </c>
      <c r="E7">
        <v>3</v>
      </c>
      <c r="F7" t="s">
        <v>214</v>
      </c>
      <c r="G7" t="s">
        <v>215</v>
      </c>
      <c r="H7" t="s">
        <v>216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2111.0038393711998</v>
      </c>
      <c r="S7">
        <v>1513.2641273926999</v>
      </c>
      <c r="T7">
        <v>-1.4961606288</v>
      </c>
      <c r="U7">
        <v>-0.76412739269999996</v>
      </c>
      <c r="V7">
        <v>1.6799962201</v>
      </c>
      <c r="W7">
        <v>735.62580000000003</v>
      </c>
      <c r="X7">
        <v>394.68009999999998</v>
      </c>
      <c r="Y7">
        <v>398.26519999999999</v>
      </c>
      <c r="Z7">
        <v>396.024</v>
      </c>
      <c r="AA7">
        <v>393.16359999999997</v>
      </c>
      <c r="AB7">
        <v>565.57951249999996</v>
      </c>
      <c r="AC7" t="s">
        <v>223</v>
      </c>
      <c r="AD7" t="s">
        <v>224</v>
      </c>
      <c r="AE7" t="s">
        <v>225</v>
      </c>
      <c r="AF7" t="s">
        <v>226</v>
      </c>
      <c r="AG7" t="s">
        <v>227</v>
      </c>
      <c r="AH7">
        <v>8</v>
      </c>
      <c r="AI7" t="s">
        <v>228</v>
      </c>
      <c r="AK7" s="17">
        <v>1</v>
      </c>
    </row>
    <row r="8" spans="1:37">
      <c r="A8" t="s">
        <v>620</v>
      </c>
      <c r="B8" t="s">
        <v>621</v>
      </c>
      <c r="C8" t="s">
        <v>622</v>
      </c>
      <c r="D8" t="s">
        <v>213</v>
      </c>
      <c r="E8">
        <v>3</v>
      </c>
      <c r="F8" t="s">
        <v>214</v>
      </c>
      <c r="G8" t="s">
        <v>215</v>
      </c>
      <c r="H8" t="s">
        <v>216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2114.5324493420999</v>
      </c>
      <c r="S8">
        <v>1519.4766893332001</v>
      </c>
      <c r="T8">
        <v>2.0324493421000001</v>
      </c>
      <c r="U8">
        <v>-6.9766893332000004</v>
      </c>
      <c r="V8">
        <v>7.2667079466000004</v>
      </c>
      <c r="W8">
        <v>730.32870000000003</v>
      </c>
      <c r="X8">
        <v>392.92579999999998</v>
      </c>
      <c r="Y8">
        <v>398.28210000000001</v>
      </c>
      <c r="Z8">
        <v>394.87900000000002</v>
      </c>
      <c r="AA8">
        <v>393.1771</v>
      </c>
      <c r="AB8">
        <v>562.57235000000003</v>
      </c>
      <c r="AC8" t="s">
        <v>223</v>
      </c>
      <c r="AD8" t="s">
        <v>224</v>
      </c>
      <c r="AE8" t="s">
        <v>225</v>
      </c>
      <c r="AF8" t="s">
        <v>226</v>
      </c>
      <c r="AG8" t="s">
        <v>227</v>
      </c>
      <c r="AH8">
        <v>8</v>
      </c>
      <c r="AI8" t="s">
        <v>228</v>
      </c>
      <c r="AK8" s="17">
        <v>1</v>
      </c>
    </row>
    <row r="9" spans="1:37">
      <c r="A9" t="s">
        <v>635</v>
      </c>
      <c r="B9" t="s">
        <v>636</v>
      </c>
      <c r="C9" t="s">
        <v>637</v>
      </c>
      <c r="D9" t="s">
        <v>213</v>
      </c>
      <c r="E9">
        <v>3</v>
      </c>
      <c r="F9" t="s">
        <v>214</v>
      </c>
      <c r="G9" t="s">
        <v>215</v>
      </c>
      <c r="H9" t="s">
        <v>216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2120.4267071498998</v>
      </c>
      <c r="S9">
        <v>1519.9916188548</v>
      </c>
      <c r="T9">
        <v>7.9267071499000004</v>
      </c>
      <c r="U9">
        <v>-7.4916188547999996</v>
      </c>
      <c r="V9">
        <v>10.906742836699999</v>
      </c>
      <c r="W9">
        <v>734.15250000000003</v>
      </c>
      <c r="X9">
        <v>395.70850000000002</v>
      </c>
      <c r="Y9">
        <v>401.6096</v>
      </c>
      <c r="Z9">
        <v>395.36059999999998</v>
      </c>
      <c r="AA9">
        <v>399.47919999999999</v>
      </c>
      <c r="AB9">
        <v>566.09598749999998</v>
      </c>
      <c r="AC9" t="s">
        <v>223</v>
      </c>
      <c r="AD9" t="s">
        <v>224</v>
      </c>
      <c r="AE9" t="s">
        <v>225</v>
      </c>
      <c r="AF9" t="s">
        <v>226</v>
      </c>
      <c r="AG9" t="s">
        <v>227</v>
      </c>
      <c r="AH9">
        <v>8</v>
      </c>
      <c r="AI9" t="s">
        <v>228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213</v>
      </c>
      <c r="E10">
        <v>3</v>
      </c>
      <c r="F10" t="s">
        <v>214</v>
      </c>
      <c r="G10" t="s">
        <v>215</v>
      </c>
      <c r="H10" t="s">
        <v>216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2117.9748849400999</v>
      </c>
      <c r="S10">
        <v>1516.3155386533001</v>
      </c>
      <c r="T10">
        <v>5.4748849400999999</v>
      </c>
      <c r="U10">
        <v>-3.8155386533</v>
      </c>
      <c r="V10">
        <v>6.6732825747</v>
      </c>
      <c r="W10">
        <v>749.85339999999997</v>
      </c>
      <c r="X10">
        <v>404.51769999999999</v>
      </c>
      <c r="Y10">
        <v>410.00909999999999</v>
      </c>
      <c r="Z10">
        <v>403.4119</v>
      </c>
      <c r="AA10">
        <v>407.6617</v>
      </c>
      <c r="AB10">
        <v>578.12675000000002</v>
      </c>
      <c r="AC10" t="s">
        <v>223</v>
      </c>
      <c r="AD10" t="s">
        <v>224</v>
      </c>
      <c r="AE10" t="s">
        <v>225</v>
      </c>
      <c r="AF10" t="s">
        <v>226</v>
      </c>
      <c r="AG10" t="s">
        <v>227</v>
      </c>
      <c r="AH10">
        <v>8</v>
      </c>
      <c r="AI10" t="s">
        <v>228</v>
      </c>
      <c r="AK10" s="17">
        <v>1</v>
      </c>
    </row>
    <row r="11" spans="1:37">
      <c r="A11" t="s">
        <v>665</v>
      </c>
      <c r="B11" t="s">
        <v>666</v>
      </c>
      <c r="C11" t="s">
        <v>667</v>
      </c>
      <c r="D11" t="s">
        <v>213</v>
      </c>
      <c r="E11">
        <v>3</v>
      </c>
      <c r="F11" t="s">
        <v>214</v>
      </c>
      <c r="G11" t="s">
        <v>215</v>
      </c>
      <c r="H11" t="s">
        <v>216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2120.3339780104002</v>
      </c>
      <c r="S11">
        <v>1512.4515809479999</v>
      </c>
      <c r="T11">
        <v>7.8339780104000001</v>
      </c>
      <c r="U11">
        <v>4.8419051999999997E-2</v>
      </c>
      <c r="V11">
        <v>7.8341276395000001</v>
      </c>
      <c r="W11">
        <v>749.33370000000002</v>
      </c>
      <c r="X11">
        <v>402.71850000000001</v>
      </c>
      <c r="Y11">
        <v>404.50290000000001</v>
      </c>
      <c r="Z11">
        <v>400.78280000000001</v>
      </c>
      <c r="AA11">
        <v>403.23219999999998</v>
      </c>
      <c r="AB11">
        <v>576.07140000000004</v>
      </c>
      <c r="AC11" t="s">
        <v>223</v>
      </c>
      <c r="AD11" t="s">
        <v>224</v>
      </c>
      <c r="AE11" t="s">
        <v>225</v>
      </c>
      <c r="AF11" t="s">
        <v>226</v>
      </c>
      <c r="AG11" t="s">
        <v>227</v>
      </c>
      <c r="AH11">
        <v>8</v>
      </c>
      <c r="AI11" t="s">
        <v>228</v>
      </c>
      <c r="AK11" s="17">
        <v>1</v>
      </c>
    </row>
    <row r="12" spans="1:37">
      <c r="A12" t="s">
        <v>680</v>
      </c>
      <c r="B12" t="s">
        <v>681</v>
      </c>
      <c r="C12" t="s">
        <v>682</v>
      </c>
      <c r="D12" t="s">
        <v>213</v>
      </c>
      <c r="E12">
        <v>3</v>
      </c>
      <c r="F12" t="s">
        <v>214</v>
      </c>
      <c r="G12" t="s">
        <v>215</v>
      </c>
      <c r="H12" t="s">
        <v>216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2117.6836932823999</v>
      </c>
      <c r="S12">
        <v>1512.6973057017001</v>
      </c>
      <c r="T12">
        <v>5.1836932824000002</v>
      </c>
      <c r="U12">
        <v>-0.1973057017</v>
      </c>
      <c r="V12">
        <v>5.1874469235999996</v>
      </c>
      <c r="W12">
        <v>721.3963</v>
      </c>
      <c r="X12">
        <v>392.30029999999999</v>
      </c>
      <c r="Y12">
        <v>395.96120000000002</v>
      </c>
      <c r="Z12">
        <v>388.5301</v>
      </c>
      <c r="AA12">
        <v>391.6773</v>
      </c>
      <c r="AB12">
        <v>556.75676250000004</v>
      </c>
      <c r="AC12" t="s">
        <v>223</v>
      </c>
      <c r="AD12" t="s">
        <v>224</v>
      </c>
      <c r="AE12" t="s">
        <v>225</v>
      </c>
      <c r="AF12" t="s">
        <v>226</v>
      </c>
      <c r="AG12" t="s">
        <v>227</v>
      </c>
      <c r="AH12">
        <v>8</v>
      </c>
      <c r="AI12" t="s">
        <v>228</v>
      </c>
      <c r="AK12" s="17">
        <v>1</v>
      </c>
    </row>
    <row r="13" spans="1:37">
      <c r="A13" t="s">
        <v>688</v>
      </c>
      <c r="B13" t="s">
        <v>689</v>
      </c>
      <c r="C13" t="s">
        <v>690</v>
      </c>
      <c r="D13" t="s">
        <v>213</v>
      </c>
      <c r="E13">
        <v>3</v>
      </c>
      <c r="F13" t="s">
        <v>214</v>
      </c>
      <c r="G13" t="s">
        <v>215</v>
      </c>
      <c r="H13" t="s">
        <v>216</v>
      </c>
      <c r="I13" t="s">
        <v>217</v>
      </c>
      <c r="K13" t="s">
        <v>691</v>
      </c>
      <c r="L13" t="s">
        <v>692</v>
      </c>
      <c r="M13" t="s">
        <v>693</v>
      </c>
      <c r="N13" t="s">
        <v>694</v>
      </c>
      <c r="O13" t="s">
        <v>695</v>
      </c>
      <c r="P13">
        <v>0</v>
      </c>
      <c r="Q13">
        <v>0</v>
      </c>
      <c r="R13">
        <v>2115.7033801527</v>
      </c>
      <c r="S13">
        <v>1511.7559919632999</v>
      </c>
      <c r="T13">
        <v>3.2033801526999999</v>
      </c>
      <c r="U13">
        <v>0.74400803670000004</v>
      </c>
      <c r="V13">
        <v>3.2886459768999998</v>
      </c>
      <c r="W13">
        <v>734.19039999999995</v>
      </c>
      <c r="X13">
        <v>395.8614</v>
      </c>
      <c r="Y13">
        <v>399.48540000000003</v>
      </c>
      <c r="Z13">
        <v>396.08190000000002</v>
      </c>
      <c r="AA13">
        <v>393.68290000000002</v>
      </c>
      <c r="AB13">
        <v>565.23415</v>
      </c>
      <c r="AC13" t="s">
        <v>223</v>
      </c>
      <c r="AD13" t="s">
        <v>224</v>
      </c>
      <c r="AE13" t="s">
        <v>225</v>
      </c>
      <c r="AF13" t="s">
        <v>226</v>
      </c>
      <c r="AG13" t="s">
        <v>227</v>
      </c>
      <c r="AH13">
        <v>8</v>
      </c>
      <c r="AI13" t="s">
        <v>228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237</v>
      </c>
      <c r="S1" t="s">
        <v>238</v>
      </c>
      <c r="T1" t="s">
        <v>239</v>
      </c>
      <c r="U1" t="s">
        <v>240</v>
      </c>
      <c r="V1" t="s">
        <v>241</v>
      </c>
      <c r="W1" t="s">
        <v>242</v>
      </c>
      <c r="X1" t="s">
        <v>243</v>
      </c>
      <c r="Y1" t="s">
        <v>244</v>
      </c>
      <c r="Z1" t="s">
        <v>245</v>
      </c>
      <c r="AA1" t="s">
        <v>246</v>
      </c>
      <c r="AB1" t="s">
        <v>247</v>
      </c>
      <c r="AC1" t="s">
        <v>248</v>
      </c>
      <c r="AD1" t="s">
        <v>249</v>
      </c>
      <c r="AE1" t="s">
        <v>250</v>
      </c>
      <c r="AF1" t="s">
        <v>251</v>
      </c>
      <c r="AG1" t="s">
        <v>252</v>
      </c>
      <c r="AH1" t="s">
        <v>253</v>
      </c>
      <c r="AI1" t="s">
        <v>254</v>
      </c>
      <c r="AJ1" t="s">
        <v>255</v>
      </c>
      <c r="AK1" t="s">
        <v>256</v>
      </c>
      <c r="AL1" t="s">
        <v>257</v>
      </c>
      <c r="AM1" t="s">
        <v>258</v>
      </c>
      <c r="AN1" t="s">
        <v>259</v>
      </c>
      <c r="AO1" t="s">
        <v>260</v>
      </c>
      <c r="AP1" t="s">
        <v>261</v>
      </c>
      <c r="AQ1" t="s">
        <v>262</v>
      </c>
      <c r="AR1" t="s">
        <v>263</v>
      </c>
      <c r="AS1" t="s">
        <v>264</v>
      </c>
      <c r="AT1" t="s">
        <v>265</v>
      </c>
      <c r="AU1" t="s">
        <v>266</v>
      </c>
      <c r="AV1" t="s">
        <v>267</v>
      </c>
      <c r="AW1" t="s">
        <v>207</v>
      </c>
      <c r="AX1" t="s">
        <v>208</v>
      </c>
      <c r="AY1" s="17" t="s">
        <v>209</v>
      </c>
    </row>
    <row r="2" spans="1:51">
      <c r="A2" t="s">
        <v>268</v>
      </c>
      <c r="B2" t="s">
        <v>269</v>
      </c>
      <c r="C2" t="s">
        <v>270</v>
      </c>
      <c r="D2" t="s">
        <v>213</v>
      </c>
      <c r="E2">
        <v>3</v>
      </c>
      <c r="F2" t="s">
        <v>214</v>
      </c>
      <c r="G2" t="s">
        <v>215</v>
      </c>
      <c r="H2" t="s">
        <v>271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4.2915000000000003E-6</v>
      </c>
      <c r="S2">
        <v>-0.7877144814</v>
      </c>
      <c r="T2">
        <v>5.7966313361999999</v>
      </c>
      <c r="U2">
        <v>8.0886669158999993</v>
      </c>
      <c r="V2">
        <v>8.3296308516999993</v>
      </c>
      <c r="W2">
        <v>-6.3397979735999996</v>
      </c>
      <c r="X2">
        <v>-0.30524486299999998</v>
      </c>
      <c r="Y2">
        <v>-2.2824840545999998</v>
      </c>
      <c r="Z2">
        <v>-1.5263814925999999</v>
      </c>
      <c r="AA2">
        <v>-1.3871327639</v>
      </c>
      <c r="AB2">
        <v>1.4856672286999999</v>
      </c>
      <c r="AC2">
        <v>-2.1973848343000002</v>
      </c>
      <c r="AD2">
        <v>1.4704786539000001</v>
      </c>
      <c r="AE2">
        <v>0.222104311</v>
      </c>
      <c r="AF2">
        <v>1.1832435131000001</v>
      </c>
      <c r="AG2">
        <v>3.44223902E-2</v>
      </c>
      <c r="AH2">
        <v>0.25262314079999998</v>
      </c>
      <c r="AI2">
        <v>-0.46274703740000001</v>
      </c>
      <c r="AJ2">
        <v>0.9260830283</v>
      </c>
      <c r="AK2">
        <v>-0.57715356350000002</v>
      </c>
      <c r="AL2">
        <v>1.2332010000000001E-4</v>
      </c>
      <c r="AM2">
        <v>3.65087017E-2</v>
      </c>
      <c r="AN2">
        <v>0.1044168323</v>
      </c>
      <c r="AO2">
        <v>0.1698616594</v>
      </c>
      <c r="AP2">
        <v>0.22726084290000001</v>
      </c>
      <c r="AQ2">
        <v>0.22726084290000001</v>
      </c>
      <c r="AR2">
        <v>5.8499084566999997</v>
      </c>
      <c r="AS2" t="s">
        <v>272</v>
      </c>
      <c r="AT2" t="s">
        <v>273</v>
      </c>
      <c r="AU2">
        <v>4</v>
      </c>
      <c r="AV2">
        <v>2.9</v>
      </c>
      <c r="AY2" s="17">
        <v>1</v>
      </c>
    </row>
    <row r="3" spans="1:51">
      <c r="A3" t="s">
        <v>274</v>
      </c>
      <c r="B3" t="s">
        <v>275</v>
      </c>
      <c r="C3" t="s">
        <v>276</v>
      </c>
      <c r="D3" t="s">
        <v>213</v>
      </c>
      <c r="E3">
        <v>3</v>
      </c>
      <c r="F3" t="s">
        <v>214</v>
      </c>
      <c r="G3" t="s">
        <v>215</v>
      </c>
      <c r="H3" t="s">
        <v>271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4.1007999999999998E-5</v>
      </c>
      <c r="S3">
        <v>2.4207880497000001</v>
      </c>
      <c r="T3">
        <v>2.2387139797</v>
      </c>
      <c r="U3">
        <v>4.8034205436999997</v>
      </c>
      <c r="V3">
        <v>3.6109564303999999</v>
      </c>
      <c r="W3">
        <v>-0.73676186799999999</v>
      </c>
      <c r="X3">
        <v>0.49776673319999998</v>
      </c>
      <c r="Y3">
        <v>-2.6675379276000002</v>
      </c>
      <c r="Z3">
        <v>-0.27868926529999999</v>
      </c>
      <c r="AA3">
        <v>-0.35046470169999999</v>
      </c>
      <c r="AB3">
        <v>-0.6276621819</v>
      </c>
      <c r="AC3">
        <v>-1.0140482186999999</v>
      </c>
      <c r="AD3">
        <v>0.19999983909999999</v>
      </c>
      <c r="AE3">
        <v>-0.45296496149999999</v>
      </c>
      <c r="AF3">
        <v>1.0812282562</v>
      </c>
      <c r="AG3">
        <v>-0.1669005603</v>
      </c>
      <c r="AH3">
        <v>-0.47753852610000003</v>
      </c>
      <c r="AI3">
        <v>-0.1248308122</v>
      </c>
      <c r="AJ3">
        <v>-0.29561501740000001</v>
      </c>
      <c r="AK3">
        <v>9.8288327499999995E-2</v>
      </c>
      <c r="AL3">
        <v>2.022731E-4</v>
      </c>
      <c r="AM3">
        <v>4.8220470500000001E-2</v>
      </c>
      <c r="AN3">
        <v>4.2231872699999999E-2</v>
      </c>
      <c r="AO3">
        <v>7.5697235799999998E-2</v>
      </c>
      <c r="AP3">
        <v>0.12907405199999999</v>
      </c>
      <c r="AQ3">
        <v>0.12907405199999999</v>
      </c>
      <c r="AR3">
        <v>3.2972799494</v>
      </c>
      <c r="AS3" t="s">
        <v>272</v>
      </c>
      <c r="AT3" t="s">
        <v>273</v>
      </c>
      <c r="AU3">
        <v>3</v>
      </c>
      <c r="AV3">
        <v>2.9</v>
      </c>
      <c r="AY3" s="17">
        <v>1</v>
      </c>
    </row>
    <row r="4" spans="1:51">
      <c r="A4" t="s">
        <v>576</v>
      </c>
      <c r="B4" t="s">
        <v>577</v>
      </c>
      <c r="C4" t="s">
        <v>578</v>
      </c>
      <c r="D4" t="s">
        <v>213</v>
      </c>
      <c r="E4">
        <v>3</v>
      </c>
      <c r="F4" t="s">
        <v>214</v>
      </c>
      <c r="G4" t="s">
        <v>215</v>
      </c>
      <c r="H4" t="s">
        <v>271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-1.07288E-5</v>
      </c>
      <c r="S4">
        <v>-5.4964752196999997</v>
      </c>
      <c r="T4">
        <v>5.4415874480999999</v>
      </c>
      <c r="U4">
        <v>4.4538755417000004</v>
      </c>
      <c r="V4">
        <v>7.4879503249999999</v>
      </c>
      <c r="W4">
        <v>-2.6257717609000002</v>
      </c>
      <c r="X4">
        <v>0.84931790829999998</v>
      </c>
      <c r="Y4">
        <v>-2.8548641204999998</v>
      </c>
      <c r="Z4">
        <v>-9.8770856899999995E-2</v>
      </c>
      <c r="AA4">
        <v>1.3687611000000001E-3</v>
      </c>
      <c r="AB4">
        <v>2.0542945862000002</v>
      </c>
      <c r="AC4">
        <v>-2.2989673614999999</v>
      </c>
      <c r="AD4">
        <v>1.2129691839000001</v>
      </c>
      <c r="AE4">
        <v>0.4160348177</v>
      </c>
      <c r="AF4">
        <v>1.4164407253</v>
      </c>
      <c r="AG4">
        <v>-0.2036932856</v>
      </c>
      <c r="AH4">
        <v>-2.3371458099999999E-2</v>
      </c>
      <c r="AI4">
        <v>0.4124364257</v>
      </c>
      <c r="AJ4">
        <v>0.2114150524</v>
      </c>
      <c r="AK4">
        <v>-0.2789770365</v>
      </c>
      <c r="AL4">
        <v>1.2392039999999999E-4</v>
      </c>
      <c r="AM4">
        <v>3.6959242099999998E-2</v>
      </c>
      <c r="AN4">
        <v>0.1049281359</v>
      </c>
      <c r="AO4">
        <v>0.1276191622</v>
      </c>
      <c r="AP4">
        <v>0.23543304200000001</v>
      </c>
      <c r="AQ4">
        <v>0.23543304200000001</v>
      </c>
      <c r="AR4">
        <v>7.7344756639999996</v>
      </c>
      <c r="AS4" t="s">
        <v>272</v>
      </c>
      <c r="AT4" t="s">
        <v>273</v>
      </c>
      <c r="AU4">
        <v>4</v>
      </c>
      <c r="AV4">
        <v>2.9</v>
      </c>
      <c r="AY4" s="17">
        <v>1</v>
      </c>
    </row>
    <row r="5" spans="1:51">
      <c r="A5" t="s">
        <v>579</v>
      </c>
      <c r="B5" t="s">
        <v>580</v>
      </c>
      <c r="C5" t="s">
        <v>581</v>
      </c>
      <c r="D5" t="s">
        <v>213</v>
      </c>
      <c r="E5">
        <v>3</v>
      </c>
      <c r="F5" t="s">
        <v>214</v>
      </c>
      <c r="G5" t="s">
        <v>215</v>
      </c>
      <c r="H5" t="s">
        <v>271</v>
      </c>
      <c r="I5" t="s">
        <v>217</v>
      </c>
      <c r="K5" t="s">
        <v>571</v>
      </c>
      <c r="L5" t="s">
        <v>572</v>
      </c>
      <c r="M5" t="s">
        <v>573</v>
      </c>
      <c r="N5" t="s">
        <v>574</v>
      </c>
      <c r="O5" t="s">
        <v>575</v>
      </c>
      <c r="P5">
        <v>0</v>
      </c>
      <c r="Q5">
        <v>0</v>
      </c>
      <c r="R5">
        <v>1.192E-7</v>
      </c>
      <c r="S5">
        <v>2.3341028690000001</v>
      </c>
      <c r="T5">
        <v>5.8428797721999999</v>
      </c>
      <c r="U5">
        <v>3.6859903335999999</v>
      </c>
      <c r="V5">
        <v>3.4587538242</v>
      </c>
      <c r="W5">
        <v>-2.9817612170999999</v>
      </c>
      <c r="X5">
        <v>1.51722431E-2</v>
      </c>
      <c r="Y5">
        <v>-4.5547013283000002</v>
      </c>
      <c r="Z5">
        <v>-1.2137989998000001</v>
      </c>
      <c r="AA5">
        <v>-1.3960957527</v>
      </c>
      <c r="AB5">
        <v>-1.3161110878</v>
      </c>
      <c r="AC5">
        <v>-1.8014470338999999</v>
      </c>
      <c r="AD5">
        <v>0.97156786920000004</v>
      </c>
      <c r="AE5">
        <v>-0.42749983070000003</v>
      </c>
      <c r="AF5">
        <v>2.4203844069999998</v>
      </c>
      <c r="AG5">
        <v>0.53134822849999996</v>
      </c>
      <c r="AH5">
        <v>-0.87918019290000005</v>
      </c>
      <c r="AI5">
        <v>-0.53075110910000001</v>
      </c>
      <c r="AJ5">
        <v>5.7325840000000003E-2</v>
      </c>
      <c r="AK5">
        <v>0.75418198110000001</v>
      </c>
      <c r="AL5">
        <v>2.2563729999999999E-4</v>
      </c>
      <c r="AM5">
        <v>4.90910336E-2</v>
      </c>
      <c r="AN5">
        <v>8.3119459500000006E-2</v>
      </c>
      <c r="AO5">
        <v>0.1807085574</v>
      </c>
      <c r="AP5">
        <v>0.19019502399999999</v>
      </c>
      <c r="AQ5">
        <v>0.19019502399999999</v>
      </c>
      <c r="AR5">
        <v>6.2918423562000001</v>
      </c>
      <c r="AS5" t="s">
        <v>272</v>
      </c>
      <c r="AT5" t="s">
        <v>273</v>
      </c>
      <c r="AU5">
        <v>3</v>
      </c>
      <c r="AV5">
        <v>2.9</v>
      </c>
      <c r="AY5" s="17">
        <v>1</v>
      </c>
    </row>
    <row r="6" spans="1:51">
      <c r="A6" t="s">
        <v>598</v>
      </c>
      <c r="B6" t="s">
        <v>599</v>
      </c>
      <c r="C6" t="s">
        <v>604</v>
      </c>
      <c r="D6" t="s">
        <v>213</v>
      </c>
      <c r="E6">
        <v>3</v>
      </c>
      <c r="F6" t="s">
        <v>214</v>
      </c>
      <c r="G6" t="s">
        <v>215</v>
      </c>
      <c r="H6" t="s">
        <v>271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2.9444699999999999E-5</v>
      </c>
      <c r="S6">
        <v>4.8580999373999996</v>
      </c>
      <c r="T6">
        <v>3.4398405552</v>
      </c>
      <c r="U6">
        <v>6.3989982605</v>
      </c>
      <c r="V6">
        <v>6.4546575545999998</v>
      </c>
      <c r="W6">
        <v>-8.3841495514000002</v>
      </c>
      <c r="X6">
        <v>-1.0965021849000001</v>
      </c>
      <c r="Y6">
        <v>-2.5971763133999999</v>
      </c>
      <c r="Z6">
        <v>-0.97856438160000003</v>
      </c>
      <c r="AA6">
        <v>-0.2561607957</v>
      </c>
      <c r="AB6">
        <v>0.31810224059999997</v>
      </c>
      <c r="AC6">
        <v>-2.1715214251999999</v>
      </c>
      <c r="AD6">
        <v>2.7731566429000001</v>
      </c>
      <c r="AE6">
        <v>0.57690823079999998</v>
      </c>
      <c r="AF6">
        <v>1.1910043955</v>
      </c>
      <c r="AG6">
        <v>5.6860461799999998E-2</v>
      </c>
      <c r="AH6">
        <v>-1.1728482246</v>
      </c>
      <c r="AI6">
        <v>4.3681859999999996E-3</v>
      </c>
      <c r="AJ6">
        <v>0.30159443619999998</v>
      </c>
      <c r="AK6">
        <v>-5.4686368000000001E-3</v>
      </c>
      <c r="AL6">
        <v>1.7568879999999999E-4</v>
      </c>
      <c r="AM6">
        <v>4.4674821199999999E-2</v>
      </c>
      <c r="AN6">
        <v>0.1829347908</v>
      </c>
      <c r="AO6">
        <v>0.17100813979999999</v>
      </c>
      <c r="AP6">
        <v>0.21468602119999999</v>
      </c>
      <c r="AQ6">
        <v>0.21468602119999999</v>
      </c>
      <c r="AR6">
        <v>5.9526160675000002</v>
      </c>
      <c r="AS6" t="s">
        <v>272</v>
      </c>
      <c r="AT6" t="s">
        <v>273</v>
      </c>
      <c r="AU6">
        <v>4</v>
      </c>
      <c r="AV6">
        <v>2.9</v>
      </c>
      <c r="AY6" s="17">
        <v>1</v>
      </c>
    </row>
    <row r="7" spans="1:51">
      <c r="A7" t="s">
        <v>616</v>
      </c>
      <c r="B7" t="s">
        <v>617</v>
      </c>
      <c r="C7" t="s">
        <v>618</v>
      </c>
      <c r="D7" t="s">
        <v>213</v>
      </c>
      <c r="E7">
        <v>3</v>
      </c>
      <c r="F7" t="s">
        <v>214</v>
      </c>
      <c r="G7" t="s">
        <v>215</v>
      </c>
      <c r="H7" t="s">
        <v>271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-2.4199500000000001E-5</v>
      </c>
      <c r="S7">
        <v>-2.7973966599</v>
      </c>
      <c r="T7">
        <v>6.7025566101000003</v>
      </c>
      <c r="U7">
        <v>6.7486028670999998</v>
      </c>
      <c r="V7">
        <v>5.7920370101999996</v>
      </c>
      <c r="W7">
        <v>-2.8865976334000001</v>
      </c>
      <c r="X7">
        <v>-0.52316176889999999</v>
      </c>
      <c r="Y7">
        <v>-2.5763127803999999</v>
      </c>
      <c r="Z7">
        <v>-0.91059231760000003</v>
      </c>
      <c r="AA7">
        <v>-0.36833220719999998</v>
      </c>
      <c r="AB7">
        <v>0.52299177649999995</v>
      </c>
      <c r="AC7">
        <v>-2.4507913589000001</v>
      </c>
      <c r="AD7">
        <v>1.0212641953999999</v>
      </c>
      <c r="AE7">
        <v>-0.34699285029999999</v>
      </c>
      <c r="AF7">
        <v>1.0266189575</v>
      </c>
      <c r="AG7">
        <v>-0.32185184960000002</v>
      </c>
      <c r="AH7">
        <v>-0.42346358299999998</v>
      </c>
      <c r="AI7">
        <v>1.5129625799999999E-2</v>
      </c>
      <c r="AJ7">
        <v>-0.33692705630000003</v>
      </c>
      <c r="AK7">
        <v>8.7640345100000003E-2</v>
      </c>
      <c r="AL7">
        <v>1.747083E-4</v>
      </c>
      <c r="AM7">
        <v>4.3765023399999999E-2</v>
      </c>
      <c r="AN7">
        <v>5.9146754400000001E-2</v>
      </c>
      <c r="AO7">
        <v>0.13253939149999999</v>
      </c>
      <c r="AP7">
        <v>0.20286780600000001</v>
      </c>
      <c r="AQ7">
        <v>0.20286780600000001</v>
      </c>
      <c r="AR7">
        <v>7.2628984011000002</v>
      </c>
      <c r="AS7" t="s">
        <v>272</v>
      </c>
      <c r="AT7" t="s">
        <v>273</v>
      </c>
      <c r="AU7">
        <v>3</v>
      </c>
      <c r="AV7">
        <v>2.9</v>
      </c>
      <c r="AY7" s="17">
        <v>1</v>
      </c>
    </row>
    <row r="8" spans="1:51">
      <c r="A8" t="s">
        <v>628</v>
      </c>
      <c r="B8" t="s">
        <v>629</v>
      </c>
      <c r="C8" t="s">
        <v>630</v>
      </c>
      <c r="D8" t="s">
        <v>213</v>
      </c>
      <c r="E8">
        <v>3</v>
      </c>
      <c r="F8" t="s">
        <v>214</v>
      </c>
      <c r="G8" t="s">
        <v>215</v>
      </c>
      <c r="H8" t="s">
        <v>271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6.9140999999999996E-6</v>
      </c>
      <c r="S8">
        <v>2.3962233067000001</v>
      </c>
      <c r="T8">
        <v>4.0687627792000001</v>
      </c>
      <c r="U8">
        <v>7.5891370773000002</v>
      </c>
      <c r="V8">
        <v>7.4959893226999998</v>
      </c>
      <c r="W8">
        <v>-6.5857105254999997</v>
      </c>
      <c r="X8">
        <v>1.1518056393</v>
      </c>
      <c r="Y8">
        <v>-2.3202829360999999</v>
      </c>
      <c r="Z8">
        <v>-0.98199820520000003</v>
      </c>
      <c r="AA8">
        <v>0.21331417559999999</v>
      </c>
      <c r="AB8">
        <v>0.2480871677</v>
      </c>
      <c r="AC8">
        <v>-2.4282579422000001</v>
      </c>
      <c r="AD8">
        <v>2.2561545372</v>
      </c>
      <c r="AE8">
        <v>-0.6601950526</v>
      </c>
      <c r="AF8">
        <v>0.52696895600000004</v>
      </c>
      <c r="AG8">
        <v>-7.0513710399999999E-2</v>
      </c>
      <c r="AH8">
        <v>-1.1462432145999999</v>
      </c>
      <c r="AI8">
        <v>-0.5197531581</v>
      </c>
      <c r="AJ8">
        <v>-0.80581408740000005</v>
      </c>
      <c r="AK8">
        <v>-8.8153228200000003E-2</v>
      </c>
      <c r="AL8">
        <v>1.5406409999999999E-4</v>
      </c>
      <c r="AM8">
        <v>4.0717363399999998E-2</v>
      </c>
      <c r="AN8">
        <v>0.11308287829999999</v>
      </c>
      <c r="AO8">
        <v>0.1530752182</v>
      </c>
      <c r="AP8">
        <v>0.2289575636</v>
      </c>
      <c r="AQ8">
        <v>0.2289575636</v>
      </c>
      <c r="AR8">
        <v>4.7219399286000003</v>
      </c>
      <c r="AS8" t="s">
        <v>272</v>
      </c>
      <c r="AT8" t="s">
        <v>273</v>
      </c>
      <c r="AU8">
        <v>3</v>
      </c>
      <c r="AV8">
        <v>2.9</v>
      </c>
      <c r="AY8" s="17">
        <v>1</v>
      </c>
    </row>
    <row r="9" spans="1:51">
      <c r="A9" t="s">
        <v>646</v>
      </c>
      <c r="B9" t="s">
        <v>647</v>
      </c>
      <c r="C9" t="s">
        <v>649</v>
      </c>
      <c r="D9" t="s">
        <v>213</v>
      </c>
      <c r="E9">
        <v>3</v>
      </c>
      <c r="F9" t="s">
        <v>214</v>
      </c>
      <c r="G9" t="s">
        <v>215</v>
      </c>
      <c r="H9" t="s">
        <v>271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2.8609999999999998E-6</v>
      </c>
      <c r="S9">
        <v>-3.3801679611000002</v>
      </c>
      <c r="T9">
        <v>4.1820178031999999</v>
      </c>
      <c r="U9">
        <v>3.7249364853000002</v>
      </c>
      <c r="V9">
        <v>3.3787038325999998</v>
      </c>
      <c r="W9">
        <v>-5.5230998993</v>
      </c>
      <c r="X9">
        <v>0.2187464237</v>
      </c>
      <c r="Y9">
        <v>-2.2499361038000001</v>
      </c>
      <c r="Z9">
        <v>-0.34379506110000002</v>
      </c>
      <c r="AA9">
        <v>0.16162851449999999</v>
      </c>
      <c r="AB9">
        <v>-0.21180570130000001</v>
      </c>
      <c r="AC9">
        <v>-1.2768504620000001</v>
      </c>
      <c r="AD9">
        <v>2.0092005730000002</v>
      </c>
      <c r="AE9">
        <v>0.14967715740000001</v>
      </c>
      <c r="AF9">
        <v>1.1789104938999999</v>
      </c>
      <c r="AG9">
        <v>-0.15262129899999999</v>
      </c>
      <c r="AH9">
        <v>-0.31208378079999999</v>
      </c>
      <c r="AI9">
        <v>-1.52262449E-2</v>
      </c>
      <c r="AJ9">
        <v>-0.69594138859999999</v>
      </c>
      <c r="AK9">
        <v>-0.16251857580000001</v>
      </c>
      <c r="AL9">
        <v>1.916323E-4</v>
      </c>
      <c r="AM9">
        <v>4.54277955E-2</v>
      </c>
      <c r="AN9">
        <v>0.13046906890000001</v>
      </c>
      <c r="AO9">
        <v>0.13999404009999999</v>
      </c>
      <c r="AP9">
        <v>0.13999404009999999</v>
      </c>
      <c r="AQ9">
        <v>0.13999404009999999</v>
      </c>
      <c r="AR9">
        <v>5.3772491435000003</v>
      </c>
      <c r="AS9" t="s">
        <v>272</v>
      </c>
      <c r="AT9" t="s">
        <v>273</v>
      </c>
      <c r="AU9">
        <v>3</v>
      </c>
      <c r="AV9">
        <v>2.9</v>
      </c>
      <c r="AY9" s="17">
        <v>1</v>
      </c>
    </row>
    <row r="10" spans="1:51">
      <c r="A10" t="s">
        <v>661</v>
      </c>
      <c r="B10" t="s">
        <v>662</v>
      </c>
      <c r="C10" t="s">
        <v>663</v>
      </c>
      <c r="D10" t="s">
        <v>213</v>
      </c>
      <c r="E10">
        <v>3</v>
      </c>
      <c r="F10" t="s">
        <v>214</v>
      </c>
      <c r="G10" t="s">
        <v>215</v>
      </c>
      <c r="H10" t="s">
        <v>271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2.3603399999999998E-5</v>
      </c>
      <c r="S10">
        <v>6.0305256843999997</v>
      </c>
      <c r="T10">
        <v>6.7498703002999996</v>
      </c>
      <c r="U10">
        <v>4.2233624458000003</v>
      </c>
      <c r="V10">
        <v>3.5316076279000002</v>
      </c>
      <c r="W10">
        <v>-4.2899961472000001</v>
      </c>
      <c r="X10">
        <v>-0.95179402830000004</v>
      </c>
      <c r="Y10">
        <v>-4.3246459961000001</v>
      </c>
      <c r="Z10">
        <v>-0.31985262040000001</v>
      </c>
      <c r="AA10">
        <v>0.7706076503</v>
      </c>
      <c r="AB10">
        <v>0.2658789158</v>
      </c>
      <c r="AC10">
        <v>-2.0555634499000002</v>
      </c>
      <c r="AD10">
        <v>1.2301276922</v>
      </c>
      <c r="AE10">
        <v>0.31927198169999998</v>
      </c>
      <c r="AF10">
        <v>1.6892250776</v>
      </c>
      <c r="AG10">
        <v>-0.28381645680000001</v>
      </c>
      <c r="AH10">
        <v>-1.5288770198999999</v>
      </c>
      <c r="AI10">
        <v>-0.71382820609999997</v>
      </c>
      <c r="AJ10">
        <v>-5.3090810799999999E-2</v>
      </c>
      <c r="AK10">
        <v>-0.10521930459999999</v>
      </c>
      <c r="AL10">
        <v>2.0541870000000001E-4</v>
      </c>
      <c r="AM10">
        <v>4.49144691E-2</v>
      </c>
      <c r="AN10">
        <v>0.1158279926</v>
      </c>
      <c r="AO10">
        <v>0.15776304899999999</v>
      </c>
      <c r="AP10">
        <v>0.22195065019999999</v>
      </c>
      <c r="AQ10">
        <v>0.22195065019999999</v>
      </c>
      <c r="AR10">
        <v>9.0514081280000003</v>
      </c>
      <c r="AS10" t="s">
        <v>272</v>
      </c>
      <c r="AT10" t="s">
        <v>273</v>
      </c>
      <c r="AU10">
        <v>3</v>
      </c>
      <c r="AV10">
        <v>2.9</v>
      </c>
      <c r="AY10" s="17">
        <v>1</v>
      </c>
    </row>
    <row r="11" spans="1:51">
      <c r="A11" t="s">
        <v>673</v>
      </c>
      <c r="B11" t="s">
        <v>674</v>
      </c>
      <c r="C11" t="s">
        <v>675</v>
      </c>
      <c r="D11" t="s">
        <v>213</v>
      </c>
      <c r="E11">
        <v>3</v>
      </c>
      <c r="F11" t="s">
        <v>214</v>
      </c>
      <c r="G11" t="s">
        <v>215</v>
      </c>
      <c r="H11" t="s">
        <v>271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2.5987599999999998E-5</v>
      </c>
      <c r="S11">
        <v>-1.0722260475000001</v>
      </c>
      <c r="T11">
        <v>2.474824667</v>
      </c>
      <c r="U11">
        <v>4.6373577118</v>
      </c>
      <c r="V11">
        <v>5.8359899521000003</v>
      </c>
      <c r="W11">
        <v>-5.1218948364000001</v>
      </c>
      <c r="X11">
        <v>-0.62688207630000004</v>
      </c>
      <c r="Y11">
        <v>-3.0727591515000001</v>
      </c>
      <c r="Z11">
        <v>-0.57431721690000004</v>
      </c>
      <c r="AA11">
        <v>9.3077778799999997E-2</v>
      </c>
      <c r="AB11">
        <v>0.15513503549999999</v>
      </c>
      <c r="AC11">
        <v>-2.2721600532999999</v>
      </c>
      <c r="AD11">
        <v>1.7489334345000001</v>
      </c>
      <c r="AE11">
        <v>0.15593135359999999</v>
      </c>
      <c r="AF11">
        <v>1.9905307293000001</v>
      </c>
      <c r="AG11">
        <v>-0.18593256180000001</v>
      </c>
      <c r="AH11">
        <v>-1.1483066082</v>
      </c>
      <c r="AI11">
        <v>-0.42694002390000002</v>
      </c>
      <c r="AJ11">
        <v>-0.71053910259999997</v>
      </c>
      <c r="AK11">
        <v>-0.44117957349999998</v>
      </c>
      <c r="AL11">
        <v>1.983357E-4</v>
      </c>
      <c r="AM11">
        <v>4.5963115999999998E-2</v>
      </c>
      <c r="AN11">
        <v>8.9325442899999996E-2</v>
      </c>
      <c r="AO11">
        <v>0.1078552306</v>
      </c>
      <c r="AP11">
        <v>0.16039121149999999</v>
      </c>
      <c r="AQ11">
        <v>0.16039121149999999</v>
      </c>
      <c r="AR11">
        <v>2.6971143522999999</v>
      </c>
      <c r="AS11" t="s">
        <v>272</v>
      </c>
      <c r="AT11" t="s">
        <v>273</v>
      </c>
      <c r="AU11">
        <v>3</v>
      </c>
      <c r="AV11">
        <v>2.9</v>
      </c>
      <c r="AY11" s="17">
        <v>1</v>
      </c>
    </row>
    <row r="12" spans="1:51">
      <c r="A12" t="s">
        <v>696</v>
      </c>
      <c r="B12" t="s">
        <v>697</v>
      </c>
      <c r="C12" t="s">
        <v>698</v>
      </c>
      <c r="D12" t="s">
        <v>213</v>
      </c>
      <c r="E12">
        <v>3</v>
      </c>
      <c r="F12" t="s">
        <v>214</v>
      </c>
      <c r="G12" t="s">
        <v>215</v>
      </c>
      <c r="H12" t="s">
        <v>271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-3.0993999999999999E-6</v>
      </c>
      <c r="S12">
        <v>-0.3038706779</v>
      </c>
      <c r="T12">
        <v>1.6408224106</v>
      </c>
      <c r="U12">
        <v>4.6853761673000003</v>
      </c>
      <c r="V12">
        <v>4.3004846573000002</v>
      </c>
      <c r="W12">
        <v>-4.0288434028999998</v>
      </c>
      <c r="X12">
        <v>0.23537909979999999</v>
      </c>
      <c r="Y12">
        <v>-4.2065773010000003</v>
      </c>
      <c r="Z12">
        <v>-0.7454818487</v>
      </c>
      <c r="AA12">
        <v>0.10306990150000001</v>
      </c>
      <c r="AB12">
        <v>-9.9511086900000004E-2</v>
      </c>
      <c r="AC12">
        <v>-1.4838137627000001</v>
      </c>
      <c r="AD12">
        <v>1.1237168312000001</v>
      </c>
      <c r="AE12">
        <v>-0.58342128989999997</v>
      </c>
      <c r="AF12">
        <v>2.3910870551999999</v>
      </c>
      <c r="AG12">
        <v>0.2298278064</v>
      </c>
      <c r="AH12">
        <v>-0.76000052689999997</v>
      </c>
      <c r="AI12">
        <v>-8.6006552E-2</v>
      </c>
      <c r="AJ12">
        <v>-0.58626484869999995</v>
      </c>
      <c r="AK12">
        <v>2.87403613E-2</v>
      </c>
      <c r="AL12">
        <v>1.6228560000000001E-4</v>
      </c>
      <c r="AM12">
        <v>4.08076905E-2</v>
      </c>
      <c r="AN12">
        <v>6.1012543699999998E-2</v>
      </c>
      <c r="AO12">
        <v>0.11390247940000001</v>
      </c>
      <c r="AP12">
        <v>0.13636258239999999</v>
      </c>
      <c r="AQ12">
        <v>0.13636258239999999</v>
      </c>
      <c r="AR12">
        <v>1.6687227366999999</v>
      </c>
      <c r="AS12" t="s">
        <v>272</v>
      </c>
      <c r="AT12" t="s">
        <v>273</v>
      </c>
      <c r="AU12">
        <v>3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709</v>
      </c>
      <c r="D13" t="s">
        <v>213</v>
      </c>
      <c r="E13">
        <v>3</v>
      </c>
      <c r="F13" t="s">
        <v>214</v>
      </c>
      <c r="G13" t="s">
        <v>215</v>
      </c>
      <c r="H13" t="s">
        <v>271</v>
      </c>
      <c r="I13" t="s">
        <v>217</v>
      </c>
      <c r="K13" t="s">
        <v>691</v>
      </c>
      <c r="L13" t="s">
        <v>692</v>
      </c>
      <c r="M13" t="s">
        <v>693</v>
      </c>
      <c r="N13" t="s">
        <v>694</v>
      </c>
      <c r="O13" t="s">
        <v>695</v>
      </c>
      <c r="P13">
        <v>0</v>
      </c>
      <c r="Q13">
        <v>0</v>
      </c>
      <c r="R13">
        <v>1.2159300000000001E-5</v>
      </c>
      <c r="S13">
        <v>-1.8210251331</v>
      </c>
      <c r="T13">
        <v>-1.2207844257</v>
      </c>
      <c r="U13">
        <v>5.6652297974000003</v>
      </c>
      <c r="V13">
        <v>4.9088478088</v>
      </c>
      <c r="W13">
        <v>-5.4841156006</v>
      </c>
      <c r="X13">
        <v>0.9134276509</v>
      </c>
      <c r="Y13">
        <v>-2.5400061607</v>
      </c>
      <c r="Z13">
        <v>-1.6081917286</v>
      </c>
      <c r="AA13">
        <v>-0.32735908029999999</v>
      </c>
      <c r="AB13">
        <v>-0.62401568890000003</v>
      </c>
      <c r="AC13">
        <v>-2.2245848178999998</v>
      </c>
      <c r="AD13">
        <v>1.4099013805</v>
      </c>
      <c r="AE13">
        <v>-9.8998839999999994E-4</v>
      </c>
      <c r="AF13">
        <v>1.4423172473999999</v>
      </c>
      <c r="AG13">
        <v>0.42130255700000002</v>
      </c>
      <c r="AH13">
        <v>-0.36545193199999998</v>
      </c>
      <c r="AI13">
        <v>0.24959588050000001</v>
      </c>
      <c r="AJ13">
        <v>-0.49005162720000001</v>
      </c>
      <c r="AK13">
        <v>2.8957635200000002E-2</v>
      </c>
      <c r="AL13">
        <v>1.7806610000000001E-4</v>
      </c>
      <c r="AM13">
        <v>4.3798632900000002E-2</v>
      </c>
      <c r="AN13">
        <v>0.1060122848</v>
      </c>
      <c r="AO13">
        <v>0.1061149836</v>
      </c>
      <c r="AP13">
        <v>0.13910809160000001</v>
      </c>
      <c r="AQ13">
        <v>0.13910809160000001</v>
      </c>
      <c r="AR13">
        <v>2.1923610901999999</v>
      </c>
      <c r="AS13" t="s">
        <v>272</v>
      </c>
      <c r="AT13" t="s">
        <v>273</v>
      </c>
      <c r="AU13">
        <v>3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277</v>
      </c>
      <c r="S1" t="s">
        <v>278</v>
      </c>
      <c r="T1" t="s">
        <v>279</v>
      </c>
      <c r="U1" t="s">
        <v>280</v>
      </c>
      <c r="V1" t="s">
        <v>281</v>
      </c>
      <c r="W1" t="s">
        <v>282</v>
      </c>
      <c r="X1" t="s">
        <v>283</v>
      </c>
      <c r="Y1" t="s">
        <v>284</v>
      </c>
      <c r="Z1" t="s">
        <v>285</v>
      </c>
      <c r="AA1" t="s">
        <v>286</v>
      </c>
      <c r="AB1" t="s">
        <v>287</v>
      </c>
      <c r="AC1" t="s">
        <v>288</v>
      </c>
      <c r="AD1" t="s">
        <v>289</v>
      </c>
      <c r="AE1" t="s">
        <v>207</v>
      </c>
      <c r="AF1" t="s">
        <v>208</v>
      </c>
      <c r="AG1" s="17" t="s">
        <v>209</v>
      </c>
    </row>
    <row r="2" spans="1:33">
      <c r="A2" t="s">
        <v>268</v>
      </c>
      <c r="B2" t="s">
        <v>269</v>
      </c>
      <c r="C2" t="s">
        <v>290</v>
      </c>
      <c r="D2" t="s">
        <v>213</v>
      </c>
      <c r="E2">
        <v>3</v>
      </c>
      <c r="F2" t="s">
        <v>214</v>
      </c>
      <c r="G2" t="s">
        <v>215</v>
      </c>
      <c r="H2" t="s">
        <v>271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-11.7302052786</v>
      </c>
      <c r="S2">
        <v>-80</v>
      </c>
      <c r="T2">
        <v>72.398349093899995</v>
      </c>
      <c r="U2">
        <v>114.8109933918</v>
      </c>
      <c r="V2">
        <v>3.6576715458</v>
      </c>
      <c r="W2">
        <v>2.7164562E-3</v>
      </c>
      <c r="X2">
        <v>-7.3613400000000002E-5</v>
      </c>
      <c r="Y2">
        <v>3.4399465876000002</v>
      </c>
      <c r="Z2">
        <v>69.090901230499995</v>
      </c>
      <c r="AA2">
        <v>48.034220218800002</v>
      </c>
      <c r="AB2">
        <v>344.23666138739998</v>
      </c>
      <c r="AC2">
        <v>365.85879533790001</v>
      </c>
      <c r="AD2">
        <v>1</v>
      </c>
      <c r="AG2" s="17">
        <v>1</v>
      </c>
    </row>
    <row r="3" spans="1:33">
      <c r="A3" t="s">
        <v>274</v>
      </c>
      <c r="B3" t="s">
        <v>275</v>
      </c>
      <c r="C3" t="s">
        <v>291</v>
      </c>
      <c r="D3" t="s">
        <v>213</v>
      </c>
      <c r="E3">
        <v>3</v>
      </c>
      <c r="F3" t="s">
        <v>214</v>
      </c>
      <c r="G3" t="s">
        <v>215</v>
      </c>
      <c r="H3" t="s">
        <v>271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-10.557184750699999</v>
      </c>
      <c r="S3">
        <v>-72</v>
      </c>
      <c r="T3">
        <v>83.214347082499998</v>
      </c>
      <c r="U3">
        <v>120.0675188076</v>
      </c>
      <c r="V3">
        <v>3.526328962</v>
      </c>
      <c r="W3">
        <v>2.6235E-3</v>
      </c>
      <c r="X3">
        <v>-7.0144199999999998E-5</v>
      </c>
      <c r="Y3">
        <v>3.3280841730000001</v>
      </c>
      <c r="Z3">
        <v>82.502749000099996</v>
      </c>
      <c r="AA3">
        <v>65.135993116500003</v>
      </c>
      <c r="AB3">
        <v>328.95694766499997</v>
      </c>
      <c r="AC3">
        <v>350.81633207520002</v>
      </c>
      <c r="AD3">
        <v>1</v>
      </c>
      <c r="AG3" s="17">
        <v>1</v>
      </c>
    </row>
    <row r="4" spans="1:33">
      <c r="A4" t="s">
        <v>576</v>
      </c>
      <c r="B4" t="s">
        <v>577</v>
      </c>
      <c r="C4" t="s">
        <v>582</v>
      </c>
      <c r="D4" t="s">
        <v>213</v>
      </c>
      <c r="E4">
        <v>3</v>
      </c>
      <c r="F4" t="s">
        <v>214</v>
      </c>
      <c r="G4" t="s">
        <v>215</v>
      </c>
      <c r="H4" t="s">
        <v>271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-9.3841642229000009</v>
      </c>
      <c r="S4">
        <v>-64</v>
      </c>
      <c r="T4">
        <v>78.1154576343</v>
      </c>
      <c r="U4">
        <v>112.3117554964</v>
      </c>
      <c r="V4">
        <v>3.6693072527999999</v>
      </c>
      <c r="W4">
        <v>2.0609611000000001E-3</v>
      </c>
      <c r="X4">
        <v>-6.7268799999999995E-5</v>
      </c>
      <c r="Y4">
        <v>3.4426678729</v>
      </c>
      <c r="Z4">
        <v>76.507604229699993</v>
      </c>
      <c r="AA4">
        <v>56.579799841099998</v>
      </c>
      <c r="AB4">
        <v>336.79729718350001</v>
      </c>
      <c r="AC4">
        <v>358.93429172549997</v>
      </c>
      <c r="AD4">
        <v>1</v>
      </c>
      <c r="AG4" s="17">
        <v>1</v>
      </c>
    </row>
    <row r="5" spans="1:33">
      <c r="A5" t="s">
        <v>579</v>
      </c>
      <c r="B5" t="s">
        <v>580</v>
      </c>
      <c r="C5" t="s">
        <v>583</v>
      </c>
      <c r="D5" t="s">
        <v>213</v>
      </c>
      <c r="E5">
        <v>3</v>
      </c>
      <c r="F5" t="s">
        <v>214</v>
      </c>
      <c r="G5" t="s">
        <v>215</v>
      </c>
      <c r="H5" t="s">
        <v>271</v>
      </c>
      <c r="I5" t="s">
        <v>217</v>
      </c>
      <c r="K5" t="s">
        <v>571</v>
      </c>
      <c r="L5" t="s">
        <v>572</v>
      </c>
      <c r="M5" t="s">
        <v>573</v>
      </c>
      <c r="N5" t="s">
        <v>574</v>
      </c>
      <c r="O5" t="s">
        <v>575</v>
      </c>
      <c r="P5">
        <v>0</v>
      </c>
      <c r="Q5">
        <v>0</v>
      </c>
      <c r="R5">
        <v>-9.3841642229000009</v>
      </c>
      <c r="S5">
        <v>-64</v>
      </c>
      <c r="T5">
        <v>81.244859559600002</v>
      </c>
      <c r="U5">
        <v>115.1881066122</v>
      </c>
      <c r="V5">
        <v>3.6509247990999998</v>
      </c>
      <c r="W5">
        <v>2.9340518999999999E-3</v>
      </c>
      <c r="X5">
        <v>-7.1698000000000004E-5</v>
      </c>
      <c r="Y5">
        <v>3.4291689768000002</v>
      </c>
      <c r="Z5">
        <v>80.839278013400005</v>
      </c>
      <c r="AA5">
        <v>63.654194779299999</v>
      </c>
      <c r="AB5">
        <v>349.28237360370002</v>
      </c>
      <c r="AC5">
        <v>371.14594666329998</v>
      </c>
      <c r="AD5">
        <v>1</v>
      </c>
      <c r="AG5" s="17">
        <v>1</v>
      </c>
    </row>
    <row r="6" spans="1:33">
      <c r="A6" t="s">
        <v>598</v>
      </c>
      <c r="B6" t="s">
        <v>599</v>
      </c>
      <c r="C6" t="s">
        <v>600</v>
      </c>
      <c r="D6" t="s">
        <v>213</v>
      </c>
      <c r="E6">
        <v>3</v>
      </c>
      <c r="F6" t="s">
        <v>214</v>
      </c>
      <c r="G6" t="s">
        <v>215</v>
      </c>
      <c r="H6" t="s">
        <v>271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-11.7302052786</v>
      </c>
      <c r="S6">
        <v>-80</v>
      </c>
      <c r="T6">
        <v>77.903045011499998</v>
      </c>
      <c r="U6">
        <v>120.51475531219999</v>
      </c>
      <c r="V6">
        <v>3.6793052843999998</v>
      </c>
      <c r="W6">
        <v>3.0538089000000002E-3</v>
      </c>
      <c r="X6">
        <v>-7.87453E-5</v>
      </c>
      <c r="Y6">
        <v>3.4768992419</v>
      </c>
      <c r="Z6">
        <v>76.196300336899995</v>
      </c>
      <c r="AA6">
        <v>55.1476746616</v>
      </c>
      <c r="AB6">
        <v>340.25939013639999</v>
      </c>
      <c r="AC6">
        <v>363.1461767573</v>
      </c>
      <c r="AD6">
        <v>1</v>
      </c>
      <c r="AG6" s="17">
        <v>1</v>
      </c>
    </row>
    <row r="7" spans="1:33">
      <c r="A7" t="s">
        <v>616</v>
      </c>
      <c r="B7" t="s">
        <v>617</v>
      </c>
      <c r="C7" t="s">
        <v>619</v>
      </c>
      <c r="D7" t="s">
        <v>213</v>
      </c>
      <c r="E7">
        <v>3</v>
      </c>
      <c r="F7" t="s">
        <v>214</v>
      </c>
      <c r="G7" t="s">
        <v>215</v>
      </c>
      <c r="H7" t="s">
        <v>271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-5.8651026392999999</v>
      </c>
      <c r="S7">
        <v>-40</v>
      </c>
      <c r="T7">
        <v>85.097691987399998</v>
      </c>
      <c r="U7">
        <v>105.63484361579999</v>
      </c>
      <c r="V7">
        <v>3.5210883366000001</v>
      </c>
      <c r="W7">
        <v>2.9102374000000001E-3</v>
      </c>
      <c r="X7">
        <v>-7.0790200000000005E-5</v>
      </c>
      <c r="Y7">
        <v>3.3312861069999999</v>
      </c>
      <c r="Z7">
        <v>82.381388835999999</v>
      </c>
      <c r="AA7">
        <v>65.987491502899999</v>
      </c>
      <c r="AB7">
        <v>313.79502667320003</v>
      </c>
      <c r="AC7">
        <v>336.2342313442</v>
      </c>
      <c r="AD7">
        <v>1</v>
      </c>
      <c r="AG7" s="17">
        <v>1</v>
      </c>
    </row>
    <row r="8" spans="1:33">
      <c r="A8" t="s">
        <v>628</v>
      </c>
      <c r="B8" t="s">
        <v>629</v>
      </c>
      <c r="C8" t="s">
        <v>631</v>
      </c>
      <c r="D8" t="s">
        <v>213</v>
      </c>
      <c r="E8">
        <v>3</v>
      </c>
      <c r="F8" t="s">
        <v>214</v>
      </c>
      <c r="G8" t="s">
        <v>215</v>
      </c>
      <c r="H8" t="s">
        <v>271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-10.557184750699999</v>
      </c>
      <c r="S8">
        <v>-72</v>
      </c>
      <c r="T8">
        <v>81.974563422299994</v>
      </c>
      <c r="U8">
        <v>119.22711538519999</v>
      </c>
      <c r="V8">
        <v>3.5733127682000001</v>
      </c>
      <c r="W8">
        <v>3.4121963999999999E-3</v>
      </c>
      <c r="X8">
        <v>-7.7566199999999996E-5</v>
      </c>
      <c r="Y8">
        <v>3.4133795654000001</v>
      </c>
      <c r="Z8">
        <v>78.943674509199994</v>
      </c>
      <c r="AA8">
        <v>58.272870253199997</v>
      </c>
      <c r="AB8">
        <v>323.29990174149998</v>
      </c>
      <c r="AC8">
        <v>345.62861699130002</v>
      </c>
      <c r="AD8">
        <v>1</v>
      </c>
      <c r="AG8" s="17">
        <v>1</v>
      </c>
    </row>
    <row r="9" spans="1:33">
      <c r="A9" t="s">
        <v>646</v>
      </c>
      <c r="B9" t="s">
        <v>647</v>
      </c>
      <c r="C9" t="s">
        <v>648</v>
      </c>
      <c r="D9" t="s">
        <v>213</v>
      </c>
      <c r="E9">
        <v>3</v>
      </c>
      <c r="F9" t="s">
        <v>214</v>
      </c>
      <c r="G9" t="s">
        <v>215</v>
      </c>
      <c r="H9" t="s">
        <v>271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-8.2111436950000005</v>
      </c>
      <c r="S9">
        <v>-56</v>
      </c>
      <c r="T9">
        <v>83.457430101300005</v>
      </c>
      <c r="U9">
        <v>111.927824161</v>
      </c>
      <c r="V9">
        <v>3.4903545415999999</v>
      </c>
      <c r="W9">
        <v>2.2905567999999999E-3</v>
      </c>
      <c r="X9">
        <v>-6.3171100000000002E-5</v>
      </c>
      <c r="Y9">
        <v>3.2429139685999999</v>
      </c>
      <c r="Z9">
        <v>82.447251649500004</v>
      </c>
      <c r="AA9">
        <v>64.710470420199997</v>
      </c>
      <c r="AB9">
        <v>339.76355469650002</v>
      </c>
      <c r="AC9">
        <v>360.85436765110001</v>
      </c>
      <c r="AD9">
        <v>1</v>
      </c>
      <c r="AG9" s="17">
        <v>1</v>
      </c>
    </row>
    <row r="10" spans="1:33">
      <c r="A10" t="s">
        <v>661</v>
      </c>
      <c r="B10" t="s">
        <v>662</v>
      </c>
      <c r="C10" t="s">
        <v>664</v>
      </c>
      <c r="D10" t="s">
        <v>213</v>
      </c>
      <c r="E10">
        <v>3</v>
      </c>
      <c r="F10" t="s">
        <v>214</v>
      </c>
      <c r="G10" t="s">
        <v>215</v>
      </c>
      <c r="H10" t="s">
        <v>271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-11.7302052786</v>
      </c>
      <c r="S10">
        <v>-80</v>
      </c>
      <c r="T10">
        <v>82.044631730199995</v>
      </c>
      <c r="U10">
        <v>123.6678850415</v>
      </c>
      <c r="V10">
        <v>3.5942407270999999</v>
      </c>
      <c r="W10">
        <v>3.0285872999999998E-3</v>
      </c>
      <c r="X10">
        <v>-7.5091600000000005E-5</v>
      </c>
      <c r="Y10">
        <v>3.4106486567999998</v>
      </c>
      <c r="Z10">
        <v>80.741624544000004</v>
      </c>
      <c r="AA10">
        <v>62.026323273599999</v>
      </c>
      <c r="AB10">
        <v>334.08624720749998</v>
      </c>
      <c r="AC10">
        <v>356.10959712459999</v>
      </c>
      <c r="AD10">
        <v>1</v>
      </c>
      <c r="AG10" s="17">
        <v>1</v>
      </c>
    </row>
    <row r="11" spans="1:33">
      <c r="A11" t="s">
        <v>673</v>
      </c>
      <c r="B11" t="s">
        <v>674</v>
      </c>
      <c r="C11" t="s">
        <v>676</v>
      </c>
      <c r="D11" t="s">
        <v>213</v>
      </c>
      <c r="E11">
        <v>3</v>
      </c>
      <c r="F11" t="s">
        <v>214</v>
      </c>
      <c r="G11" t="s">
        <v>215</v>
      </c>
      <c r="H11" t="s">
        <v>271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-5.8651026392999999</v>
      </c>
      <c r="S11">
        <v>-40</v>
      </c>
      <c r="T11">
        <v>86.614438704700007</v>
      </c>
      <c r="U11">
        <v>106.30385526009999</v>
      </c>
      <c r="V11">
        <v>3.3769178654999998</v>
      </c>
      <c r="W11">
        <v>3.0064000999999998E-3</v>
      </c>
      <c r="X11">
        <v>-6.5102800000000003E-5</v>
      </c>
      <c r="Y11">
        <v>3.1988451515</v>
      </c>
      <c r="Z11">
        <v>86.608559620500003</v>
      </c>
      <c r="AA11">
        <v>70.1779417053</v>
      </c>
      <c r="AB11">
        <v>315.15055351630002</v>
      </c>
      <c r="AC11">
        <v>336.7445410684</v>
      </c>
      <c r="AD11">
        <v>1</v>
      </c>
      <c r="AG11" s="17">
        <v>1</v>
      </c>
    </row>
    <row r="12" spans="1:33">
      <c r="A12" t="s">
        <v>696</v>
      </c>
      <c r="B12" t="s">
        <v>697</v>
      </c>
      <c r="C12" t="s">
        <v>699</v>
      </c>
      <c r="D12" t="s">
        <v>213</v>
      </c>
      <c r="E12">
        <v>3</v>
      </c>
      <c r="F12" t="s">
        <v>214</v>
      </c>
      <c r="G12" t="s">
        <v>215</v>
      </c>
      <c r="H12" t="s">
        <v>271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-9.3841642229000009</v>
      </c>
      <c r="S12">
        <v>-64</v>
      </c>
      <c r="T12">
        <v>84.163832669599998</v>
      </c>
      <c r="U12">
        <v>118.1756298425</v>
      </c>
      <c r="V12">
        <v>3.6611170952999998</v>
      </c>
      <c r="W12">
        <v>3.1916904000000002E-3</v>
      </c>
      <c r="X12">
        <v>-7.7031800000000003E-5</v>
      </c>
      <c r="Y12">
        <v>3.4596637636000001</v>
      </c>
      <c r="Z12">
        <v>82.959104641899998</v>
      </c>
      <c r="AA12">
        <v>63.518752227999997</v>
      </c>
      <c r="AB12">
        <v>338.04397076660001</v>
      </c>
      <c r="AC12">
        <v>359.89451251949998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705</v>
      </c>
      <c r="D13" t="s">
        <v>213</v>
      </c>
      <c r="E13">
        <v>3</v>
      </c>
      <c r="F13" t="s">
        <v>214</v>
      </c>
      <c r="G13" t="s">
        <v>215</v>
      </c>
      <c r="H13" t="s">
        <v>271</v>
      </c>
      <c r="I13" t="s">
        <v>217</v>
      </c>
      <c r="K13" t="s">
        <v>691</v>
      </c>
      <c r="L13" t="s">
        <v>692</v>
      </c>
      <c r="M13" t="s">
        <v>693</v>
      </c>
      <c r="N13" t="s">
        <v>694</v>
      </c>
      <c r="O13" t="s">
        <v>695</v>
      </c>
      <c r="P13">
        <v>0</v>
      </c>
      <c r="Q13">
        <v>0</v>
      </c>
      <c r="R13">
        <v>-7.0381231672000002</v>
      </c>
      <c r="S13">
        <v>-48</v>
      </c>
      <c r="T13">
        <v>89.514255478300001</v>
      </c>
      <c r="U13">
        <v>113.201628875</v>
      </c>
      <c r="V13">
        <v>3.3954037734</v>
      </c>
      <c r="W13">
        <v>3.7094534999999999E-3</v>
      </c>
      <c r="X13">
        <v>-7.5001500000000003E-5</v>
      </c>
      <c r="Y13">
        <v>3.2650243004999999</v>
      </c>
      <c r="Z13">
        <v>88.110072298000006</v>
      </c>
      <c r="AA13">
        <v>73.268097398500004</v>
      </c>
      <c r="AB13">
        <v>298.82312893450001</v>
      </c>
      <c r="AC13">
        <v>320.41674408170002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292</v>
      </c>
      <c r="S1" t="s">
        <v>293</v>
      </c>
      <c r="T1" t="s">
        <v>294</v>
      </c>
      <c r="U1" t="s">
        <v>295</v>
      </c>
      <c r="V1" t="s">
        <v>296</v>
      </c>
      <c r="W1" t="s">
        <v>297</v>
      </c>
      <c r="X1" t="s">
        <v>298</v>
      </c>
      <c r="Y1" t="s">
        <v>299</v>
      </c>
      <c r="Z1" t="s">
        <v>300</v>
      </c>
      <c r="AA1" t="s">
        <v>301</v>
      </c>
      <c r="AB1" t="s">
        <v>302</v>
      </c>
      <c r="AC1" t="s">
        <v>303</v>
      </c>
      <c r="AD1" t="s">
        <v>304</v>
      </c>
      <c r="AE1" t="s">
        <v>305</v>
      </c>
      <c r="AF1" t="s">
        <v>306</v>
      </c>
      <c r="AG1" t="s">
        <v>307</v>
      </c>
      <c r="AH1" t="s">
        <v>308</v>
      </c>
      <c r="AI1" t="s">
        <v>309</v>
      </c>
      <c r="AJ1" t="s">
        <v>310</v>
      </c>
      <c r="AK1" t="s">
        <v>311</v>
      </c>
      <c r="AL1" t="s">
        <v>312</v>
      </c>
      <c r="AM1" t="s">
        <v>313</v>
      </c>
      <c r="AN1" t="s">
        <v>314</v>
      </c>
      <c r="AO1" t="s">
        <v>315</v>
      </c>
      <c r="AP1" t="s">
        <v>316</v>
      </c>
      <c r="AQ1" t="s">
        <v>317</v>
      </c>
      <c r="AR1" t="s">
        <v>318</v>
      </c>
      <c r="AS1" t="s">
        <v>319</v>
      </c>
      <c r="AT1" t="s">
        <v>320</v>
      </c>
      <c r="AU1" t="s">
        <v>321</v>
      </c>
      <c r="AV1" t="s">
        <v>322</v>
      </c>
      <c r="AW1" t="s">
        <v>323</v>
      </c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  <c r="DZ1" t="s">
        <v>404</v>
      </c>
      <c r="EA1" t="s">
        <v>405</v>
      </c>
      <c r="EB1" t="s">
        <v>406</v>
      </c>
      <c r="EC1" t="s">
        <v>407</v>
      </c>
      <c r="ED1" t="s">
        <v>408</v>
      </c>
      <c r="EE1" t="s">
        <v>409</v>
      </c>
      <c r="EF1" t="s">
        <v>410</v>
      </c>
      <c r="EG1" t="s">
        <v>411</v>
      </c>
      <c r="EH1" t="s">
        <v>412</v>
      </c>
      <c r="EI1" t="s">
        <v>413</v>
      </c>
      <c r="EJ1" t="s">
        <v>414</v>
      </c>
      <c r="EK1" t="s">
        <v>415</v>
      </c>
      <c r="EL1" t="s">
        <v>416</v>
      </c>
      <c r="EM1" t="s">
        <v>417</v>
      </c>
      <c r="EN1" t="s">
        <v>418</v>
      </c>
      <c r="EO1" t="s">
        <v>419</v>
      </c>
      <c r="EP1" t="s">
        <v>420</v>
      </c>
      <c r="EQ1" t="s">
        <v>421</v>
      </c>
      <c r="ER1" t="s">
        <v>422</v>
      </c>
      <c r="ES1" t="s">
        <v>423</v>
      </c>
      <c r="ET1" t="s">
        <v>424</v>
      </c>
      <c r="EU1" t="s">
        <v>425</v>
      </c>
      <c r="EV1" t="s">
        <v>426</v>
      </c>
      <c r="EW1" t="s">
        <v>427</v>
      </c>
      <c r="EX1" t="s">
        <v>428</v>
      </c>
      <c r="EY1" t="s">
        <v>429</v>
      </c>
      <c r="EZ1" t="s">
        <v>430</v>
      </c>
      <c r="FA1" t="s">
        <v>431</v>
      </c>
      <c r="FB1" t="s">
        <v>432</v>
      </c>
      <c r="FC1" t="s">
        <v>433</v>
      </c>
      <c r="FD1" t="s">
        <v>434</v>
      </c>
      <c r="FE1" t="s">
        <v>435</v>
      </c>
      <c r="FF1" t="s">
        <v>436</v>
      </c>
      <c r="FG1" t="s">
        <v>437</v>
      </c>
      <c r="FH1" t="s">
        <v>438</v>
      </c>
      <c r="FI1" t="s">
        <v>439</v>
      </c>
      <c r="FJ1" t="s">
        <v>440</v>
      </c>
      <c r="FK1" t="s">
        <v>441</v>
      </c>
      <c r="FL1" t="s">
        <v>442</v>
      </c>
      <c r="FM1" t="s">
        <v>443</v>
      </c>
      <c r="FN1" t="s">
        <v>444</v>
      </c>
      <c r="FO1" t="s">
        <v>445</v>
      </c>
      <c r="FP1" t="s">
        <v>446</v>
      </c>
      <c r="FQ1" t="s">
        <v>447</v>
      </c>
      <c r="FR1" t="s">
        <v>448</v>
      </c>
      <c r="FS1" t="s">
        <v>449</v>
      </c>
      <c r="FT1" t="s">
        <v>450</v>
      </c>
      <c r="FU1" t="s">
        <v>451</v>
      </c>
      <c r="FV1" t="s">
        <v>452</v>
      </c>
      <c r="FW1" t="s">
        <v>453</v>
      </c>
      <c r="FX1" t="s">
        <v>454</v>
      </c>
      <c r="FY1" t="s">
        <v>455</v>
      </c>
      <c r="FZ1" t="s">
        <v>456</v>
      </c>
      <c r="GA1" t="s">
        <v>457</v>
      </c>
      <c r="GB1" t="s">
        <v>458</v>
      </c>
      <c r="GC1" t="s">
        <v>459</v>
      </c>
      <c r="GD1" t="s">
        <v>460</v>
      </c>
      <c r="GE1" t="s">
        <v>461</v>
      </c>
      <c r="GF1" t="s">
        <v>462</v>
      </c>
      <c r="GG1" t="s">
        <v>463</v>
      </c>
      <c r="GH1" t="s">
        <v>464</v>
      </c>
      <c r="GI1" t="s">
        <v>465</v>
      </c>
      <c r="GJ1" t="s">
        <v>466</v>
      </c>
      <c r="GK1" t="s">
        <v>467</v>
      </c>
      <c r="GL1" t="s">
        <v>468</v>
      </c>
      <c r="GM1" t="s">
        <v>469</v>
      </c>
      <c r="GN1" t="s">
        <v>470</v>
      </c>
      <c r="GO1" t="s">
        <v>471</v>
      </c>
      <c r="GP1" t="s">
        <v>472</v>
      </c>
      <c r="GQ1" t="s">
        <v>473</v>
      </c>
      <c r="GR1" t="s">
        <v>474</v>
      </c>
      <c r="GS1" t="s">
        <v>475</v>
      </c>
      <c r="GT1" t="s">
        <v>476</v>
      </c>
      <c r="GU1" t="s">
        <v>477</v>
      </c>
      <c r="GV1" t="s">
        <v>478</v>
      </c>
      <c r="GW1" t="s">
        <v>479</v>
      </c>
      <c r="GX1" t="s">
        <v>480</v>
      </c>
      <c r="GY1" t="s">
        <v>481</v>
      </c>
      <c r="GZ1" t="s">
        <v>482</v>
      </c>
      <c r="HA1" t="s">
        <v>483</v>
      </c>
      <c r="HB1" t="s">
        <v>484</v>
      </c>
      <c r="HC1" t="s">
        <v>485</v>
      </c>
      <c r="HD1" t="s">
        <v>486</v>
      </c>
      <c r="HE1" t="s">
        <v>487</v>
      </c>
      <c r="HF1" t="s">
        <v>488</v>
      </c>
      <c r="HG1" t="s">
        <v>489</v>
      </c>
      <c r="HH1" t="s">
        <v>490</v>
      </c>
      <c r="HI1" t="s">
        <v>491</v>
      </c>
      <c r="HJ1" t="s">
        <v>492</v>
      </c>
      <c r="HK1" t="s">
        <v>493</v>
      </c>
      <c r="HL1" t="s">
        <v>494</v>
      </c>
      <c r="HM1" t="s">
        <v>495</v>
      </c>
      <c r="HN1" t="s">
        <v>496</v>
      </c>
      <c r="HO1" t="s">
        <v>497</v>
      </c>
      <c r="HP1" t="s">
        <v>498</v>
      </c>
      <c r="HQ1" t="s">
        <v>499</v>
      </c>
      <c r="HR1" t="s">
        <v>500</v>
      </c>
      <c r="HS1" t="s">
        <v>501</v>
      </c>
      <c r="HT1" t="s">
        <v>502</v>
      </c>
      <c r="HU1" t="s">
        <v>503</v>
      </c>
      <c r="HV1" t="s">
        <v>504</v>
      </c>
      <c r="HW1" t="s">
        <v>505</v>
      </c>
      <c r="HX1" t="s">
        <v>506</v>
      </c>
      <c r="HY1" t="s">
        <v>507</v>
      </c>
      <c r="HZ1" t="s">
        <v>508</v>
      </c>
      <c r="IA1" t="s">
        <v>509</v>
      </c>
      <c r="IB1" t="s">
        <v>510</v>
      </c>
      <c r="IC1" t="s">
        <v>511</v>
      </c>
      <c r="ID1" t="s">
        <v>512</v>
      </c>
      <c r="IE1" t="s">
        <v>513</v>
      </c>
      <c r="IF1" t="s">
        <v>514</v>
      </c>
      <c r="IG1" t="s">
        <v>515</v>
      </c>
      <c r="IH1" t="s">
        <v>516</v>
      </c>
      <c r="II1" t="s">
        <v>517</v>
      </c>
      <c r="IJ1" t="s">
        <v>518</v>
      </c>
      <c r="IK1" t="s">
        <v>519</v>
      </c>
      <c r="IL1" t="s">
        <v>520</v>
      </c>
      <c r="IM1" t="s">
        <v>521</v>
      </c>
      <c r="IN1" t="s">
        <v>522</v>
      </c>
      <c r="IO1" t="s">
        <v>523</v>
      </c>
      <c r="IP1" t="s">
        <v>524</v>
      </c>
      <c r="IQ1" t="s">
        <v>525</v>
      </c>
      <c r="IR1" t="s">
        <v>526</v>
      </c>
      <c r="IS1" t="s">
        <v>527</v>
      </c>
      <c r="IT1" t="s">
        <v>528</v>
      </c>
      <c r="IU1" t="s">
        <v>529</v>
      </c>
      <c r="IV1" t="s">
        <v>530</v>
      </c>
      <c r="IW1" t="s">
        <v>531</v>
      </c>
      <c r="IX1" t="s">
        <v>532</v>
      </c>
      <c r="IY1" t="s">
        <v>533</v>
      </c>
      <c r="IZ1" t="s">
        <v>534</v>
      </c>
      <c r="JA1" t="s">
        <v>535</v>
      </c>
      <c r="JB1" t="s">
        <v>536</v>
      </c>
      <c r="JC1" t="s">
        <v>537</v>
      </c>
      <c r="JD1" t="s">
        <v>538</v>
      </c>
      <c r="JE1" t="s">
        <v>539</v>
      </c>
      <c r="JF1" t="s">
        <v>540</v>
      </c>
      <c r="JG1" t="s">
        <v>541</v>
      </c>
      <c r="JH1" t="s">
        <v>542</v>
      </c>
      <c r="JI1" t="s">
        <v>543</v>
      </c>
      <c r="JJ1" t="s">
        <v>544</v>
      </c>
      <c r="JK1" t="s">
        <v>545</v>
      </c>
      <c r="JL1" t="s">
        <v>284</v>
      </c>
      <c r="JM1" t="s">
        <v>546</v>
      </c>
      <c r="JN1" t="s">
        <v>547</v>
      </c>
      <c r="JO1" t="s">
        <v>548</v>
      </c>
      <c r="JP1" t="s">
        <v>549</v>
      </c>
      <c r="JQ1" t="s">
        <v>550</v>
      </c>
      <c r="JR1" s="17" t="s">
        <v>551</v>
      </c>
      <c r="JS1" s="17" t="s">
        <v>207</v>
      </c>
      <c r="JT1" s="17" t="s">
        <v>208</v>
      </c>
      <c r="JU1" s="17" t="s">
        <v>209</v>
      </c>
    </row>
    <row r="2" spans="1:281">
      <c r="A2" t="s">
        <v>552</v>
      </c>
      <c r="B2" t="s">
        <v>553</v>
      </c>
      <c r="C2" t="s">
        <v>554</v>
      </c>
      <c r="D2" t="s">
        <v>213</v>
      </c>
      <c r="E2">
        <v>3</v>
      </c>
      <c r="F2" t="s">
        <v>214</v>
      </c>
      <c r="G2" t="s">
        <v>215</v>
      </c>
      <c r="H2" t="s">
        <v>555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1.0999999995</v>
      </c>
      <c r="S2">
        <v>1.5999999996000001</v>
      </c>
      <c r="T2">
        <v>1.4999999985000001</v>
      </c>
      <c r="U2">
        <v>1.5999999996000001</v>
      </c>
      <c r="V2">
        <v>1.6999999989000001</v>
      </c>
      <c r="W2">
        <v>1.5999999996000001</v>
      </c>
      <c r="X2">
        <v>1.6999999989000001</v>
      </c>
      <c r="Y2">
        <v>1.8</v>
      </c>
      <c r="Z2">
        <v>1.5999999996000001</v>
      </c>
      <c r="AA2">
        <v>1.6999999989000001</v>
      </c>
      <c r="AB2">
        <v>1.8</v>
      </c>
      <c r="AC2">
        <v>1.8</v>
      </c>
      <c r="AD2">
        <v>1.9999999986000001</v>
      </c>
      <c r="AE2">
        <v>1.8999999993000001</v>
      </c>
      <c r="AF2">
        <v>1.0999999995</v>
      </c>
      <c r="AG2">
        <v>0</v>
      </c>
      <c r="AH2">
        <v>1.3999999992000001</v>
      </c>
      <c r="AI2">
        <v>3.2999999985000001</v>
      </c>
      <c r="AJ2">
        <v>5.0999999985000004</v>
      </c>
      <c r="AK2">
        <v>10.699999998899999</v>
      </c>
      <c r="AL2">
        <v>16.9999999998</v>
      </c>
      <c r="AM2">
        <v>23.9999999994</v>
      </c>
      <c r="AN2">
        <v>31.0999999983</v>
      </c>
      <c r="AO2">
        <v>38.899999999599999</v>
      </c>
      <c r="AP2">
        <v>47.899999999599999</v>
      </c>
      <c r="AQ2">
        <v>55.499999998600003</v>
      </c>
      <c r="AR2">
        <v>63.099999999399998</v>
      </c>
      <c r="AS2">
        <v>70.799999999500002</v>
      </c>
      <c r="AT2">
        <v>78.199999999900001</v>
      </c>
      <c r="AU2">
        <v>86.499999999400004</v>
      </c>
      <c r="AV2">
        <v>95.299999998999994</v>
      </c>
      <c r="AW2">
        <v>104.5999999988</v>
      </c>
      <c r="AX2">
        <v>113.0999999987</v>
      </c>
      <c r="AY2">
        <v>121.4</v>
      </c>
      <c r="AZ2">
        <v>129.19999999940001</v>
      </c>
      <c r="BA2">
        <v>137.99999999900001</v>
      </c>
      <c r="BB2">
        <v>146.49999999889999</v>
      </c>
      <c r="BC2">
        <v>156.3999999998</v>
      </c>
      <c r="BD2">
        <v>164.79999999859999</v>
      </c>
      <c r="BE2">
        <v>173.19999999929999</v>
      </c>
      <c r="BF2">
        <v>180.99999999869999</v>
      </c>
      <c r="BG2">
        <v>188.7999999999</v>
      </c>
      <c r="BH2">
        <v>197.5999999995</v>
      </c>
      <c r="BI2">
        <v>207.19999999890001</v>
      </c>
      <c r="BJ2">
        <v>215.4999999984</v>
      </c>
      <c r="BK2">
        <v>223.59999999940001</v>
      </c>
      <c r="BL2">
        <v>231.7999999996</v>
      </c>
      <c r="BM2">
        <v>238.6999999999</v>
      </c>
      <c r="BN2">
        <v>247.09999999870001</v>
      </c>
      <c r="BO2">
        <v>256.19999999980001</v>
      </c>
      <c r="BP2">
        <v>264.39999999999998</v>
      </c>
      <c r="BQ2">
        <v>271.99999999900001</v>
      </c>
      <c r="BR2">
        <v>279.79999999839998</v>
      </c>
      <c r="BS2">
        <v>287.69999999890001</v>
      </c>
      <c r="BT2">
        <v>295.39999999909998</v>
      </c>
      <c r="BU2">
        <v>303.1999999985</v>
      </c>
      <c r="BV2">
        <v>310.49999999959999</v>
      </c>
      <c r="BW2">
        <v>318.09999999860003</v>
      </c>
      <c r="BX2">
        <v>325.10000000000002</v>
      </c>
      <c r="BY2">
        <v>331.79999999990002</v>
      </c>
      <c r="BZ2">
        <v>338.89999999880001</v>
      </c>
      <c r="CA2">
        <v>346.0999999988</v>
      </c>
      <c r="CB2">
        <v>353.29999999889998</v>
      </c>
      <c r="CC2">
        <v>359.59999999979999</v>
      </c>
      <c r="CD2">
        <v>366.0999999993</v>
      </c>
      <c r="CE2">
        <v>372.7999999992</v>
      </c>
      <c r="CF2">
        <v>378.99999999900001</v>
      </c>
      <c r="CG2">
        <v>385.19999999880002</v>
      </c>
      <c r="CH2">
        <v>391.39999999859998</v>
      </c>
      <c r="CI2">
        <v>397.4999999991</v>
      </c>
      <c r="CJ2">
        <v>403.69999999890001</v>
      </c>
      <c r="CK2">
        <v>409.69999999829997</v>
      </c>
      <c r="CL2">
        <v>415.49999999919999</v>
      </c>
      <c r="CM2">
        <v>421.3</v>
      </c>
      <c r="CN2">
        <v>427.09999999899998</v>
      </c>
      <c r="CO2">
        <v>432.29999999860001</v>
      </c>
      <c r="CP2">
        <v>437.5</v>
      </c>
      <c r="CQ2">
        <v>443.09999999860003</v>
      </c>
      <c r="CR2">
        <v>448.7999999983</v>
      </c>
      <c r="CS2">
        <v>452.89999999840001</v>
      </c>
      <c r="CT2">
        <v>452.89999999840001</v>
      </c>
      <c r="CU2">
        <v>452.89999999840001</v>
      </c>
      <c r="CV2">
        <v>453.0999999988</v>
      </c>
      <c r="CW2">
        <v>453.0999999988</v>
      </c>
      <c r="CX2">
        <v>453.0999999988</v>
      </c>
      <c r="CY2">
        <v>453.1999999999</v>
      </c>
      <c r="CZ2">
        <v>453.0999999988</v>
      </c>
      <c r="DA2">
        <v>453.0999999988</v>
      </c>
      <c r="DB2">
        <v>453.1999999999</v>
      </c>
      <c r="DC2">
        <v>453.0999999988</v>
      </c>
      <c r="DD2">
        <v>453.0999999988</v>
      </c>
      <c r="DE2">
        <v>453.0999999988</v>
      </c>
      <c r="DF2">
        <v>452.99999999950001</v>
      </c>
      <c r="DG2">
        <v>453.0999999988</v>
      </c>
      <c r="DH2">
        <v>1.8999999993000001</v>
      </c>
      <c r="DI2">
        <v>2.6999999991000001</v>
      </c>
      <c r="DJ2">
        <v>2.7999999984000001</v>
      </c>
      <c r="DK2">
        <v>2.7999999984000001</v>
      </c>
      <c r="DL2">
        <v>2.6999999991000001</v>
      </c>
      <c r="DM2">
        <v>2.8999999994999999</v>
      </c>
      <c r="DN2">
        <v>2.7999999984000001</v>
      </c>
      <c r="DO2">
        <v>2.8999999994999999</v>
      </c>
      <c r="DP2">
        <v>2.6999999991000001</v>
      </c>
      <c r="DQ2">
        <v>2.6999999991000001</v>
      </c>
      <c r="DR2">
        <v>2.7999999984000001</v>
      </c>
      <c r="DS2">
        <v>2.5999999998000001</v>
      </c>
      <c r="DT2">
        <v>2.7999999984000001</v>
      </c>
      <c r="DU2">
        <v>2.5999999998000001</v>
      </c>
      <c r="DV2">
        <v>1.2999999999</v>
      </c>
      <c r="DW2">
        <v>1.0999999995</v>
      </c>
      <c r="DX2">
        <v>2.8999999994999999</v>
      </c>
      <c r="DY2">
        <v>4.1999999994000001</v>
      </c>
      <c r="DZ2">
        <v>8.1999999983999992</v>
      </c>
      <c r="EA2">
        <v>15.299999999100001</v>
      </c>
      <c r="EB2">
        <v>22.8999999999</v>
      </c>
      <c r="EC2">
        <v>30.0999999999</v>
      </c>
      <c r="ED2">
        <v>38.999999998900002</v>
      </c>
      <c r="EE2">
        <v>46.699999998999999</v>
      </c>
      <c r="EF2">
        <v>53.3999999989</v>
      </c>
      <c r="EG2">
        <v>60.7</v>
      </c>
      <c r="EH2">
        <v>68.799999999099995</v>
      </c>
      <c r="EI2">
        <v>76.699999999599996</v>
      </c>
      <c r="EJ2">
        <v>85.099999998399994</v>
      </c>
      <c r="EK2">
        <v>94.4999999992</v>
      </c>
      <c r="EL2">
        <v>102.8999999999</v>
      </c>
      <c r="EM2">
        <v>110.7999999986</v>
      </c>
      <c r="EN2">
        <v>118.49999999870001</v>
      </c>
      <c r="EO2">
        <v>127.5999999998</v>
      </c>
      <c r="EP2">
        <v>136.199999999</v>
      </c>
      <c r="EQ2">
        <v>146.2999999985</v>
      </c>
      <c r="ER2">
        <v>154.89999999950001</v>
      </c>
      <c r="ES2">
        <v>163.19999999909999</v>
      </c>
      <c r="ET2">
        <v>171.09999999959999</v>
      </c>
      <c r="EU2">
        <v>179.19999999870001</v>
      </c>
      <c r="EV2">
        <v>187.89999999899999</v>
      </c>
      <c r="EW2">
        <v>197.5999999995</v>
      </c>
      <c r="EX2">
        <v>206.29999999980001</v>
      </c>
      <c r="EY2">
        <v>214.99999999830001</v>
      </c>
      <c r="EZ2">
        <v>222.89999999880001</v>
      </c>
      <c r="FA2">
        <v>229.99999999959999</v>
      </c>
      <c r="FB2">
        <v>238.49999999950001</v>
      </c>
      <c r="FC2">
        <v>248.09999999889999</v>
      </c>
      <c r="FD2">
        <v>255.99999999939999</v>
      </c>
      <c r="FE2">
        <v>264.49999999929997</v>
      </c>
      <c r="FF2">
        <v>272.09999999830001</v>
      </c>
      <c r="FG2">
        <v>280.09999999989998</v>
      </c>
      <c r="FH2">
        <v>287.49999999850002</v>
      </c>
      <c r="FI2">
        <v>295.89999999920002</v>
      </c>
      <c r="FJ2">
        <v>303.69999999859999</v>
      </c>
      <c r="FK2">
        <v>311.39999999870003</v>
      </c>
      <c r="FL2">
        <v>318.99999999950001</v>
      </c>
      <c r="FM2">
        <v>325.8999999998</v>
      </c>
      <c r="FN2">
        <v>333.29999999839998</v>
      </c>
      <c r="FO2">
        <v>340.29999999979998</v>
      </c>
      <c r="FP2">
        <v>347.69999999840002</v>
      </c>
      <c r="FQ2">
        <v>354.6999999999</v>
      </c>
      <c r="FR2">
        <v>361.19999999940001</v>
      </c>
      <c r="FS2">
        <v>368.199999999</v>
      </c>
      <c r="FT2">
        <v>374.59999999920001</v>
      </c>
      <c r="FU2">
        <v>380.89999999830002</v>
      </c>
      <c r="FV2">
        <v>387.29999999850003</v>
      </c>
      <c r="FW2">
        <v>393.69999999869998</v>
      </c>
      <c r="FX2">
        <v>399.89999999849999</v>
      </c>
      <c r="FY2">
        <v>405.89999999970001</v>
      </c>
      <c r="FZ2">
        <v>411.89999999920002</v>
      </c>
      <c r="GA2">
        <v>417.2999999992</v>
      </c>
      <c r="GB2">
        <v>423.29999999860001</v>
      </c>
      <c r="GC2">
        <v>428.3999999989</v>
      </c>
      <c r="GD2">
        <v>433.49999999919999</v>
      </c>
      <c r="GE2">
        <v>438.49999999840003</v>
      </c>
      <c r="GF2">
        <v>443.89999999840001</v>
      </c>
      <c r="GG2">
        <v>448.89999999939999</v>
      </c>
      <c r="GH2">
        <v>452.89999999840001</v>
      </c>
      <c r="GI2">
        <v>452.99999999950001</v>
      </c>
      <c r="GJ2">
        <v>452.99999999950001</v>
      </c>
      <c r="GK2">
        <v>453.0999999988</v>
      </c>
      <c r="GL2">
        <v>453.0999999988</v>
      </c>
      <c r="GM2">
        <v>452.89999999840001</v>
      </c>
      <c r="GN2">
        <v>452.99999999950001</v>
      </c>
      <c r="GO2">
        <v>452.99999999950001</v>
      </c>
      <c r="GP2">
        <v>452.89999999840001</v>
      </c>
      <c r="GQ2">
        <v>453.0999999988</v>
      </c>
      <c r="GR2">
        <v>452.89999999840001</v>
      </c>
      <c r="GS2">
        <v>453.1999999999</v>
      </c>
      <c r="GT2">
        <v>453.0999999988</v>
      </c>
      <c r="GU2">
        <v>453.0999999988</v>
      </c>
      <c r="GV2">
        <v>453.0999999988</v>
      </c>
      <c r="GW2">
        <v>453.0999999988</v>
      </c>
      <c r="GX2">
        <v>1</v>
      </c>
      <c r="GY2">
        <v>114.4000000004</v>
      </c>
      <c r="GZ2">
        <v>113.0999999987</v>
      </c>
      <c r="HA2">
        <v>113.0999999987</v>
      </c>
      <c r="HB2">
        <v>118.49999999870001</v>
      </c>
      <c r="HC2">
        <v>114.4799404157</v>
      </c>
      <c r="HD2">
        <v>-5.4</v>
      </c>
      <c r="HE2">
        <v>453.0999999988</v>
      </c>
      <c r="HF2">
        <v>302.15507006550001</v>
      </c>
      <c r="HG2">
        <v>90.115811540600006</v>
      </c>
      <c r="HH2">
        <v>453.1999999999</v>
      </c>
      <c r="HI2">
        <v>453.1999999999</v>
      </c>
      <c r="HJ2">
        <v>453.1999999999</v>
      </c>
      <c r="HK2">
        <v>453.1999999999</v>
      </c>
      <c r="HL2">
        <v>107.91788856300001</v>
      </c>
      <c r="HM2">
        <v>3.4399465876000002</v>
      </c>
      <c r="HN2">
        <v>3.3289905659999999</v>
      </c>
      <c r="HO2">
        <v>3.4126307918999998</v>
      </c>
      <c r="HP2">
        <v>3.3703938285000001</v>
      </c>
      <c r="HQ2">
        <v>3.6576715458</v>
      </c>
      <c r="HR2">
        <v>2.3060084189999999</v>
      </c>
      <c r="HS2">
        <v>24.3641288751</v>
      </c>
      <c r="HT2">
        <v>-25.806451612899998</v>
      </c>
      <c r="HU2">
        <v>-176</v>
      </c>
      <c r="HV2">
        <v>416.63501048130001</v>
      </c>
      <c r="HW2">
        <v>91.495601172999997</v>
      </c>
      <c r="HX2">
        <v>624</v>
      </c>
      <c r="HY2">
        <v>24.3641288751</v>
      </c>
      <c r="HZ2">
        <v>-25.806451612899998</v>
      </c>
      <c r="IA2">
        <v>-176</v>
      </c>
      <c r="IB2">
        <v>416.63501048130001</v>
      </c>
      <c r="IC2">
        <v>91.495601172999997</v>
      </c>
      <c r="ID2">
        <v>624</v>
      </c>
      <c r="IE2">
        <v>36.564989518700003</v>
      </c>
      <c r="IF2">
        <v>3.3074478634000002</v>
      </c>
      <c r="IG2">
        <v>-35.190615835800003</v>
      </c>
      <c r="IH2">
        <v>-240</v>
      </c>
      <c r="II2">
        <v>438.25714443179999</v>
      </c>
      <c r="IJ2">
        <v>100.87976539589999</v>
      </c>
      <c r="IK2">
        <v>688</v>
      </c>
      <c r="IL2">
        <v>392.27088160609998</v>
      </c>
      <c r="IM2">
        <v>117.3020527859</v>
      </c>
      <c r="IN2">
        <v>417.1246276068</v>
      </c>
      <c r="IO2">
        <v>126.6862170088</v>
      </c>
      <c r="IP2">
        <v>7.6000000007999997</v>
      </c>
      <c r="IQ2">
        <v>5.9999999994</v>
      </c>
      <c r="IR2">
        <v>10.0999999995</v>
      </c>
      <c r="IS2">
        <v>5.8212817439000002</v>
      </c>
      <c r="IT2">
        <v>5.8212817439000002</v>
      </c>
      <c r="IU2">
        <v>5.9000000001000004</v>
      </c>
      <c r="IV2">
        <v>-28.152492668600001</v>
      </c>
      <c r="IW2">
        <v>9.3999999990000003</v>
      </c>
      <c r="IX2">
        <v>35.190615835800003</v>
      </c>
      <c r="IY2">
        <v>6.3999999984000002</v>
      </c>
      <c r="IZ2">
        <v>103.22580645159999</v>
      </c>
      <c r="JA2">
        <v>-33.432771819700001</v>
      </c>
      <c r="JB2">
        <v>0.32111060089999999</v>
      </c>
      <c r="JC2">
        <v>-3.2399609999999999E-4</v>
      </c>
      <c r="JD2">
        <v>6.5229999999999998E-7</v>
      </c>
      <c r="JE2">
        <v>0.29070218809999998</v>
      </c>
      <c r="JF2">
        <v>0.27067275260000001</v>
      </c>
      <c r="JG2">
        <v>0.1098763931</v>
      </c>
      <c r="JH2">
        <v>114.8109933918</v>
      </c>
      <c r="JI2">
        <v>3.6576715458</v>
      </c>
      <c r="JJ2">
        <v>2.7164562E-3</v>
      </c>
      <c r="JK2">
        <v>-7.3613400000000002E-5</v>
      </c>
      <c r="JL2">
        <v>3.4399465876000002</v>
      </c>
      <c r="JM2">
        <v>1.3435907316</v>
      </c>
      <c r="JN2">
        <v>0.51773940959999998</v>
      </c>
      <c r="JO2">
        <v>3.2395000003000001</v>
      </c>
      <c r="JP2">
        <v>2.5574999997000001</v>
      </c>
      <c r="JQ2">
        <v>4.3051249998000003</v>
      </c>
      <c r="JR2" s="17" t="s">
        <v>556</v>
      </c>
      <c r="JU2" s="17">
        <v>1</v>
      </c>
    </row>
    <row r="3" spans="1:281">
      <c r="A3" t="s">
        <v>557</v>
      </c>
      <c r="B3" t="s">
        <v>558</v>
      </c>
      <c r="C3" t="s">
        <v>559</v>
      </c>
      <c r="D3" t="s">
        <v>213</v>
      </c>
      <c r="E3">
        <v>3</v>
      </c>
      <c r="F3" t="s">
        <v>214</v>
      </c>
      <c r="G3" t="s">
        <v>215</v>
      </c>
      <c r="H3" t="s">
        <v>555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0</v>
      </c>
      <c r="S3">
        <v>0.40000000079999998</v>
      </c>
      <c r="T3">
        <v>0.40000000079999998</v>
      </c>
      <c r="U3">
        <v>0.40000000079999998</v>
      </c>
      <c r="V3">
        <v>0.3000000015</v>
      </c>
      <c r="W3">
        <v>0.3000000015</v>
      </c>
      <c r="X3">
        <v>0.40000000079999998</v>
      </c>
      <c r="Y3">
        <v>0.3000000015</v>
      </c>
      <c r="Z3">
        <v>0.20000000039999999</v>
      </c>
      <c r="AA3">
        <v>0.20000000039999999</v>
      </c>
      <c r="AB3">
        <v>0.20000000039999999</v>
      </c>
      <c r="AC3">
        <v>0.20000000039999999</v>
      </c>
      <c r="AD3">
        <v>0.3000000015</v>
      </c>
      <c r="AE3">
        <v>0.20000000039999999</v>
      </c>
      <c r="AF3">
        <v>0.3000000015</v>
      </c>
      <c r="AG3">
        <v>0.7000000005</v>
      </c>
      <c r="AH3">
        <v>3.6</v>
      </c>
      <c r="AI3">
        <v>6.4000000002000004</v>
      </c>
      <c r="AJ3">
        <v>10.9000000011</v>
      </c>
      <c r="AK3">
        <v>17.800000001400001</v>
      </c>
      <c r="AL3">
        <v>25.1000000007</v>
      </c>
      <c r="AM3">
        <v>32.100000000400001</v>
      </c>
      <c r="AN3">
        <v>39.200000001100001</v>
      </c>
      <c r="AO3">
        <v>46.6000000015</v>
      </c>
      <c r="AP3">
        <v>54.200000000499998</v>
      </c>
      <c r="AQ3">
        <v>61.600000000900003</v>
      </c>
      <c r="AR3">
        <v>69.199999999900001</v>
      </c>
      <c r="AS3">
        <v>77.200000001500001</v>
      </c>
      <c r="AT3">
        <v>85.300000000599994</v>
      </c>
      <c r="AU3">
        <v>93.1</v>
      </c>
      <c r="AV3">
        <v>101.09999999990001</v>
      </c>
      <c r="AW3">
        <v>109.2000000008</v>
      </c>
      <c r="AX3">
        <v>117.2999999999</v>
      </c>
      <c r="AY3">
        <v>126.2999999999</v>
      </c>
      <c r="AZ3">
        <v>135.1000000013</v>
      </c>
      <c r="BA3">
        <v>143</v>
      </c>
      <c r="BB3">
        <v>151.20000000019999</v>
      </c>
      <c r="BC3">
        <v>159.4999999998</v>
      </c>
      <c r="BD3">
        <v>167.7</v>
      </c>
      <c r="BE3">
        <v>176.00000000130001</v>
      </c>
      <c r="BF3">
        <v>184.40000000009999</v>
      </c>
      <c r="BG3">
        <v>192.30000000059999</v>
      </c>
      <c r="BH3">
        <v>200.60000000010001</v>
      </c>
      <c r="BI3">
        <v>208.70000000100001</v>
      </c>
      <c r="BJ3">
        <v>216.8000000001</v>
      </c>
      <c r="BK3">
        <v>224.50000000029999</v>
      </c>
      <c r="BL3">
        <v>232.90000000090001</v>
      </c>
      <c r="BM3">
        <v>241</v>
      </c>
      <c r="BN3">
        <v>248.40000000040001</v>
      </c>
      <c r="BO3">
        <v>256.10000000050002</v>
      </c>
      <c r="BP3">
        <v>264.00000000099999</v>
      </c>
      <c r="BQ3">
        <v>271.70000000110002</v>
      </c>
      <c r="BR3">
        <v>278.9000000012</v>
      </c>
      <c r="BS3">
        <v>286.79999999990002</v>
      </c>
      <c r="BT3">
        <v>294.30000000140001</v>
      </c>
      <c r="BU3">
        <v>301.4000000003</v>
      </c>
      <c r="BV3">
        <v>308.50000000099999</v>
      </c>
      <c r="BW3">
        <v>315.50000000059998</v>
      </c>
      <c r="BX3">
        <v>322.70000000060003</v>
      </c>
      <c r="BY3">
        <v>329.49999999980002</v>
      </c>
      <c r="BZ3">
        <v>336.40000000010002</v>
      </c>
      <c r="CA3">
        <v>343.6000000002</v>
      </c>
      <c r="CB3">
        <v>350.00000000040001</v>
      </c>
      <c r="CC3">
        <v>356.60000000100001</v>
      </c>
      <c r="CD3">
        <v>362.70000000149997</v>
      </c>
      <c r="CE3">
        <v>368.90000000129999</v>
      </c>
      <c r="CF3">
        <v>375.40000000079999</v>
      </c>
      <c r="CG3">
        <v>381.40000000020001</v>
      </c>
      <c r="CH3">
        <v>387.40000000139997</v>
      </c>
      <c r="CI3">
        <v>394.00000000019998</v>
      </c>
      <c r="CJ3">
        <v>399.9000000003</v>
      </c>
      <c r="CK3">
        <v>405.6</v>
      </c>
      <c r="CL3">
        <v>411.00000000009999</v>
      </c>
      <c r="CM3">
        <v>416.40000000010002</v>
      </c>
      <c r="CN3">
        <v>422.00000000049999</v>
      </c>
      <c r="CO3">
        <v>427.40000000049997</v>
      </c>
      <c r="CP3">
        <v>432.80000000050001</v>
      </c>
      <c r="CQ3">
        <v>438.10000000119999</v>
      </c>
      <c r="CR3">
        <v>443.10000000039997</v>
      </c>
      <c r="CS3">
        <v>447.40000000089998</v>
      </c>
      <c r="CT3">
        <v>448.10000000140002</v>
      </c>
      <c r="CU3">
        <v>448.10000000140002</v>
      </c>
      <c r="CV3">
        <v>448.20000000070002</v>
      </c>
      <c r="CW3">
        <v>448.20000000070002</v>
      </c>
      <c r="CX3">
        <v>448.20000000070002</v>
      </c>
      <c r="CY3">
        <v>448.3</v>
      </c>
      <c r="CZ3">
        <v>448.10000000140002</v>
      </c>
      <c r="DA3">
        <v>448.3</v>
      </c>
      <c r="DB3">
        <v>448.3</v>
      </c>
      <c r="DC3">
        <v>448.40000000110001</v>
      </c>
      <c r="DD3">
        <v>448.20000000070002</v>
      </c>
      <c r="DE3">
        <v>448.3</v>
      </c>
      <c r="DF3">
        <v>448.20000000070002</v>
      </c>
      <c r="DG3">
        <v>448.10000000140002</v>
      </c>
      <c r="DH3">
        <v>1.2999999999</v>
      </c>
      <c r="DI3">
        <v>1.8</v>
      </c>
      <c r="DJ3">
        <v>1.7000000007</v>
      </c>
      <c r="DK3">
        <v>1.6000000014</v>
      </c>
      <c r="DL3">
        <v>1.6000000014</v>
      </c>
      <c r="DM3">
        <v>1.6000000014</v>
      </c>
      <c r="DN3">
        <v>1.6000000014</v>
      </c>
      <c r="DO3">
        <v>1.6000000014</v>
      </c>
      <c r="DP3">
        <v>1.5000000003</v>
      </c>
      <c r="DQ3">
        <v>1.6000000014</v>
      </c>
      <c r="DR3">
        <v>1.6000000014</v>
      </c>
      <c r="DS3">
        <v>1.5000000003</v>
      </c>
      <c r="DT3">
        <v>1.5000000003</v>
      </c>
      <c r="DU3">
        <v>1.5000000003</v>
      </c>
      <c r="DV3">
        <v>1.6000000014</v>
      </c>
      <c r="DW3">
        <v>3.3000000002999998</v>
      </c>
      <c r="DX3">
        <v>6.1999999998000002</v>
      </c>
      <c r="DY3">
        <v>9.2000000003999993</v>
      </c>
      <c r="DZ3">
        <v>16.300000001099999</v>
      </c>
      <c r="EA3">
        <v>23.800000000800001</v>
      </c>
      <c r="EB3">
        <v>31.100000000200001</v>
      </c>
      <c r="EC3">
        <v>38.099999999799998</v>
      </c>
      <c r="ED3">
        <v>45.700000000599999</v>
      </c>
      <c r="EE3">
        <v>53.100000000999998</v>
      </c>
      <c r="EF3">
        <v>60.300000001000001</v>
      </c>
      <c r="EG3">
        <v>67.800000000699995</v>
      </c>
      <c r="EH3">
        <v>75.899999999800002</v>
      </c>
      <c r="EI3">
        <v>84.1</v>
      </c>
      <c r="EJ3">
        <v>91.599999999700003</v>
      </c>
      <c r="EK3">
        <v>99.500000000300005</v>
      </c>
      <c r="EL3">
        <v>107.6000000012</v>
      </c>
      <c r="EM3">
        <v>115.80000000139999</v>
      </c>
      <c r="EN3">
        <v>124.4999999999</v>
      </c>
      <c r="EO3">
        <v>133.80000000140001</v>
      </c>
      <c r="EP3">
        <v>141.40000000040001</v>
      </c>
      <c r="EQ3">
        <v>149.9000000003</v>
      </c>
      <c r="ER3">
        <v>158.00000000130001</v>
      </c>
      <c r="ES3">
        <v>166.2000000015</v>
      </c>
      <c r="ET3">
        <v>174.2000000013</v>
      </c>
      <c r="EU3">
        <v>183.30000000059999</v>
      </c>
      <c r="EV3">
        <v>191.1</v>
      </c>
      <c r="EW3">
        <v>199.70000000100001</v>
      </c>
      <c r="EX3">
        <v>207.8000000001</v>
      </c>
      <c r="EY3">
        <v>215.90000000110001</v>
      </c>
      <c r="EZ3">
        <v>224.1000000013</v>
      </c>
      <c r="FA3">
        <v>232.2000000004</v>
      </c>
      <c r="FB3">
        <v>240.49999999990001</v>
      </c>
      <c r="FC3">
        <v>248.10000000069999</v>
      </c>
      <c r="FD3">
        <v>256.10000000050002</v>
      </c>
      <c r="FE3">
        <v>264.10000000029999</v>
      </c>
      <c r="FF3">
        <v>271.80000000040002</v>
      </c>
      <c r="FG3">
        <v>279.20000000089999</v>
      </c>
      <c r="FH3">
        <v>287.20000000070002</v>
      </c>
      <c r="FI3">
        <v>294.90000000079999</v>
      </c>
      <c r="FJ3">
        <v>302.10000000079998</v>
      </c>
      <c r="FK3">
        <v>309.60000000050002</v>
      </c>
      <c r="FL3">
        <v>316.40000000150002</v>
      </c>
      <c r="FM3">
        <v>323.8000000001</v>
      </c>
      <c r="FN3">
        <v>330.7000000004</v>
      </c>
      <c r="FO3">
        <v>337.7</v>
      </c>
      <c r="FP3">
        <v>344.70000000149997</v>
      </c>
      <c r="FQ3">
        <v>351.20000000099998</v>
      </c>
      <c r="FR3">
        <v>358.00000000019998</v>
      </c>
      <c r="FS3">
        <v>364.40000000039998</v>
      </c>
      <c r="FT3">
        <v>370.6000000002</v>
      </c>
      <c r="FU3">
        <v>377.10000000150001</v>
      </c>
      <c r="FV3">
        <v>383.20000000020002</v>
      </c>
      <c r="FW3">
        <v>389.30000000069998</v>
      </c>
      <c r="FX3">
        <v>395.50000000049999</v>
      </c>
      <c r="FY3">
        <v>401.30000000140001</v>
      </c>
      <c r="FZ3">
        <v>407.10000000039997</v>
      </c>
      <c r="GA3">
        <v>412.8000000001</v>
      </c>
      <c r="GB3">
        <v>418.20000000009998</v>
      </c>
      <c r="GC3">
        <v>423.60000000010001</v>
      </c>
      <c r="GD3">
        <v>429.00000000009999</v>
      </c>
      <c r="GE3">
        <v>434.30000000080003</v>
      </c>
      <c r="GF3">
        <v>438.90000000100002</v>
      </c>
      <c r="GG3">
        <v>443.60000000050002</v>
      </c>
      <c r="GH3">
        <v>447.00000000009999</v>
      </c>
      <c r="GI3">
        <v>448.00000000030002</v>
      </c>
      <c r="GJ3">
        <v>448.10000000140002</v>
      </c>
      <c r="GK3">
        <v>447.90000000100002</v>
      </c>
      <c r="GL3">
        <v>447.90000000100002</v>
      </c>
      <c r="GM3">
        <v>448.00000000030002</v>
      </c>
      <c r="GN3">
        <v>448.00000000030002</v>
      </c>
      <c r="GO3">
        <v>448.40000000110001</v>
      </c>
      <c r="GP3">
        <v>448.00000000030002</v>
      </c>
      <c r="GQ3">
        <v>448.20000000070002</v>
      </c>
      <c r="GR3">
        <v>448.20000000070002</v>
      </c>
      <c r="GS3">
        <v>448.10000000140002</v>
      </c>
      <c r="GT3">
        <v>448.10000000140002</v>
      </c>
      <c r="GU3">
        <v>448.3</v>
      </c>
      <c r="GV3">
        <v>448.10000000140002</v>
      </c>
      <c r="GW3">
        <v>448.00000000030002</v>
      </c>
      <c r="GX3">
        <v>1</v>
      </c>
      <c r="GY3">
        <v>119.6999999993</v>
      </c>
      <c r="GZ3">
        <v>117.2999999999</v>
      </c>
      <c r="HA3">
        <v>117.2999999999</v>
      </c>
      <c r="HB3">
        <v>124.4999999999</v>
      </c>
      <c r="HC3">
        <v>119.2415189025</v>
      </c>
      <c r="HD3">
        <v>-7.2</v>
      </c>
      <c r="HE3">
        <v>448.00006691229999</v>
      </c>
      <c r="HF3">
        <v>292.92977584490001</v>
      </c>
      <c r="HG3">
        <v>101.1631649366</v>
      </c>
      <c r="HH3">
        <v>448.40000000110001</v>
      </c>
      <c r="HI3">
        <v>448.40000000110001</v>
      </c>
      <c r="HJ3">
        <v>448.40000000110001</v>
      </c>
      <c r="HK3">
        <v>448.40000000110001</v>
      </c>
      <c r="HL3">
        <v>110.26392961880001</v>
      </c>
      <c r="HM3">
        <v>3.3280841730000001</v>
      </c>
      <c r="HN3">
        <v>3.2414498016</v>
      </c>
      <c r="HO3">
        <v>3.2865394129999999</v>
      </c>
      <c r="HP3">
        <v>3.170566956</v>
      </c>
      <c r="HQ3">
        <v>3.526328962</v>
      </c>
      <c r="HR3">
        <v>2.2447805964000001</v>
      </c>
      <c r="HS3">
        <v>18.078353966000002</v>
      </c>
      <c r="HT3">
        <v>-30.4985337243</v>
      </c>
      <c r="HU3">
        <v>-208</v>
      </c>
      <c r="HV3">
        <v>412.17129474749999</v>
      </c>
      <c r="HW3">
        <v>91.495601172999997</v>
      </c>
      <c r="HX3">
        <v>624</v>
      </c>
      <c r="HY3">
        <v>18.078353966000002</v>
      </c>
      <c r="HZ3">
        <v>-30.4985337243</v>
      </c>
      <c r="IA3">
        <v>-208</v>
      </c>
      <c r="IB3">
        <v>412.17129474749999</v>
      </c>
      <c r="IC3">
        <v>91.495601172999997</v>
      </c>
      <c r="ID3">
        <v>624</v>
      </c>
      <c r="IE3">
        <v>36.228705253699999</v>
      </c>
      <c r="IF3">
        <v>0.7115980824</v>
      </c>
      <c r="IG3">
        <v>-39.8826979472</v>
      </c>
      <c r="IH3">
        <v>-272</v>
      </c>
      <c r="II3">
        <v>434.03067915769998</v>
      </c>
      <c r="IJ3">
        <v>100.87976539589999</v>
      </c>
      <c r="IK3">
        <v>688</v>
      </c>
      <c r="IL3">
        <v>394.09294078149998</v>
      </c>
      <c r="IM3">
        <v>121.9941348974</v>
      </c>
      <c r="IN3">
        <v>416.69601873520003</v>
      </c>
      <c r="IO3">
        <v>131.37829912020001</v>
      </c>
      <c r="IP3">
        <v>7.1000000006999997</v>
      </c>
      <c r="IQ3">
        <v>5.4</v>
      </c>
      <c r="IR3">
        <v>9.3000000015000008</v>
      </c>
      <c r="IS3">
        <v>6.0780910964999997</v>
      </c>
      <c r="IT3">
        <v>6.0780910964999997</v>
      </c>
      <c r="IU3">
        <v>5.4</v>
      </c>
      <c r="IV3">
        <v>-32.844574780099997</v>
      </c>
      <c r="IW3">
        <v>8.3000000013000008</v>
      </c>
      <c r="IX3">
        <v>65.689149560100006</v>
      </c>
      <c r="IY3">
        <v>6.9999999996</v>
      </c>
      <c r="IZ3">
        <v>98.533724340199996</v>
      </c>
      <c r="JA3">
        <v>-36.321141396999998</v>
      </c>
      <c r="JB3">
        <v>0.33520869860000002</v>
      </c>
      <c r="JC3">
        <v>-3.4584459999999998E-4</v>
      </c>
      <c r="JD3">
        <v>6.9080000000000002E-7</v>
      </c>
      <c r="JE3">
        <v>0.30047316950000003</v>
      </c>
      <c r="JF3">
        <v>0.2072925343</v>
      </c>
      <c r="JG3">
        <v>8.2347779699999998E-2</v>
      </c>
      <c r="JH3">
        <v>120.0675188076</v>
      </c>
      <c r="JI3">
        <v>3.526328962</v>
      </c>
      <c r="JJ3">
        <v>2.6235E-3</v>
      </c>
      <c r="JK3">
        <v>-7.0144199999999998E-5</v>
      </c>
      <c r="JL3">
        <v>3.3280841730000001</v>
      </c>
      <c r="JM3">
        <v>1.2247049524</v>
      </c>
      <c r="JN3">
        <v>0.56480596540000005</v>
      </c>
      <c r="JO3">
        <v>3.0263750002999998</v>
      </c>
      <c r="JP3">
        <v>2.3017500000000002</v>
      </c>
      <c r="JQ3">
        <v>3.9641250007000002</v>
      </c>
      <c r="JR3" s="17" t="s">
        <v>556</v>
      </c>
      <c r="JU3" s="17">
        <v>1</v>
      </c>
    </row>
    <row r="4" spans="1:281">
      <c r="A4" t="s">
        <v>584</v>
      </c>
      <c r="B4" t="s">
        <v>585</v>
      </c>
      <c r="C4" t="s">
        <v>586</v>
      </c>
      <c r="D4" t="s">
        <v>213</v>
      </c>
      <c r="E4">
        <v>3</v>
      </c>
      <c r="F4" t="s">
        <v>214</v>
      </c>
      <c r="G4" t="s">
        <v>215</v>
      </c>
      <c r="H4" t="s">
        <v>555</v>
      </c>
      <c r="I4" t="s">
        <v>217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0</v>
      </c>
      <c r="S4">
        <v>0.1000000011</v>
      </c>
      <c r="T4">
        <v>0.20000000039999999</v>
      </c>
      <c r="U4">
        <v>0.40000000079999998</v>
      </c>
      <c r="V4">
        <v>0.50000000010000001</v>
      </c>
      <c r="W4">
        <v>0.50000000010000001</v>
      </c>
      <c r="X4">
        <v>0.50000000010000001</v>
      </c>
      <c r="Y4">
        <v>0.60000000119999997</v>
      </c>
      <c r="Z4">
        <v>0.40000000079999998</v>
      </c>
      <c r="AA4">
        <v>0.50000000010000001</v>
      </c>
      <c r="AB4">
        <v>0.7000000005</v>
      </c>
      <c r="AC4">
        <v>0.7000000005</v>
      </c>
      <c r="AD4">
        <v>0.7000000005</v>
      </c>
      <c r="AE4">
        <v>0.60000000119999997</v>
      </c>
      <c r="AF4">
        <v>0.60000000119999997</v>
      </c>
      <c r="AG4">
        <v>0.40000000079999998</v>
      </c>
      <c r="AH4">
        <v>0.20000000039999999</v>
      </c>
      <c r="AI4">
        <v>1.6000000014</v>
      </c>
      <c r="AJ4">
        <v>3.2000000009999998</v>
      </c>
      <c r="AK4">
        <v>7.3000000010999999</v>
      </c>
      <c r="AL4">
        <v>13.8999999999</v>
      </c>
      <c r="AM4">
        <v>21.200000000999999</v>
      </c>
      <c r="AN4">
        <v>28.6000000015</v>
      </c>
      <c r="AO4">
        <v>36.100000001200002</v>
      </c>
      <c r="AP4">
        <v>44.200000000300001</v>
      </c>
      <c r="AQ4">
        <v>52.300000001199997</v>
      </c>
      <c r="AR4">
        <v>59.800000000899999</v>
      </c>
      <c r="AS4">
        <v>67.6000000003</v>
      </c>
      <c r="AT4">
        <v>76.200000001299998</v>
      </c>
      <c r="AU4">
        <v>84.1</v>
      </c>
      <c r="AV4">
        <v>92.200000001000006</v>
      </c>
      <c r="AW4">
        <v>101.20000000100001</v>
      </c>
      <c r="AX4">
        <v>110.09999999990001</v>
      </c>
      <c r="AY4">
        <v>118.7000000009</v>
      </c>
      <c r="AZ4">
        <v>127.9000000013</v>
      </c>
      <c r="BA4">
        <v>136.4000000012</v>
      </c>
      <c r="BB4">
        <v>144.70000000069999</v>
      </c>
      <c r="BC4">
        <v>153.60000000150001</v>
      </c>
      <c r="BD4">
        <v>162.30000000000001</v>
      </c>
      <c r="BE4">
        <v>170.00000000009999</v>
      </c>
      <c r="BF4">
        <v>178.90000000079999</v>
      </c>
      <c r="BG4">
        <v>187.6000000011</v>
      </c>
      <c r="BH4">
        <v>195.90000000059999</v>
      </c>
      <c r="BI4">
        <v>204.6000000009</v>
      </c>
      <c r="BJ4">
        <v>212.99999999970001</v>
      </c>
      <c r="BK4">
        <v>220.9000000003</v>
      </c>
      <c r="BL4">
        <v>229.10000000049999</v>
      </c>
      <c r="BM4">
        <v>237.8000000008</v>
      </c>
      <c r="BN4">
        <v>245.80000000059999</v>
      </c>
      <c r="BO4">
        <v>254.00000000079999</v>
      </c>
      <c r="BP4">
        <v>262.09999999989998</v>
      </c>
      <c r="BQ4">
        <v>270.00000000040001</v>
      </c>
      <c r="BR4">
        <v>277.2000000004</v>
      </c>
      <c r="BS4">
        <v>285.5</v>
      </c>
      <c r="BT4">
        <v>293.70000000020002</v>
      </c>
      <c r="BU4">
        <v>301.10000000060001</v>
      </c>
      <c r="BV4">
        <v>308.80000000069998</v>
      </c>
      <c r="BW4">
        <v>316.10000000000002</v>
      </c>
      <c r="BX4">
        <v>323.3</v>
      </c>
      <c r="BY4">
        <v>329.90000000060002</v>
      </c>
      <c r="BZ4">
        <v>337.10000000060001</v>
      </c>
      <c r="CA4">
        <v>344.70000000149997</v>
      </c>
      <c r="CB4">
        <v>351.50000000070003</v>
      </c>
      <c r="CC4">
        <v>358.60000000140002</v>
      </c>
      <c r="CD4">
        <v>364.90000000049997</v>
      </c>
      <c r="CE4">
        <v>371.90000000010002</v>
      </c>
      <c r="CF4">
        <v>378.00000000059998</v>
      </c>
      <c r="CG4">
        <v>383.80000000140001</v>
      </c>
      <c r="CH4">
        <v>390.40000000020001</v>
      </c>
      <c r="CI4">
        <v>397.20000000120001</v>
      </c>
      <c r="CJ4">
        <v>403.40000000110001</v>
      </c>
      <c r="CK4">
        <v>409.40000000049997</v>
      </c>
      <c r="CL4">
        <v>415.39999999989999</v>
      </c>
      <c r="CM4">
        <v>421.00000000030002</v>
      </c>
      <c r="CN4">
        <v>426.99999999969998</v>
      </c>
      <c r="CO4">
        <v>432.39999999970001</v>
      </c>
      <c r="CP4">
        <v>437.7000000004</v>
      </c>
      <c r="CQ4">
        <v>442.60000000029999</v>
      </c>
      <c r="CR4">
        <v>447.90000000100002</v>
      </c>
      <c r="CS4">
        <v>448.40000000110001</v>
      </c>
      <c r="CT4">
        <v>448.50000000040001</v>
      </c>
      <c r="CU4">
        <v>448.5999999997</v>
      </c>
      <c r="CV4">
        <v>448.5999999997</v>
      </c>
      <c r="CW4">
        <v>448.7000000008</v>
      </c>
      <c r="CX4">
        <v>448.5999999997</v>
      </c>
      <c r="CY4">
        <v>448.5999999997</v>
      </c>
      <c r="CZ4">
        <v>448.5999999997</v>
      </c>
      <c r="DA4">
        <v>448.7000000008</v>
      </c>
      <c r="DB4">
        <v>448.7000000008</v>
      </c>
      <c r="DC4">
        <v>448.5999999997</v>
      </c>
      <c r="DD4">
        <v>448.8000000001</v>
      </c>
      <c r="DE4">
        <v>448.9000000012</v>
      </c>
      <c r="DF4">
        <v>448.8000000001</v>
      </c>
      <c r="DG4">
        <v>448.8000000001</v>
      </c>
      <c r="DH4">
        <v>0.60000000119999997</v>
      </c>
      <c r="DI4">
        <v>1.400000001</v>
      </c>
      <c r="DJ4">
        <v>1.5000000003</v>
      </c>
      <c r="DK4">
        <v>1.400000001</v>
      </c>
      <c r="DL4">
        <v>1.2000000006</v>
      </c>
      <c r="DM4">
        <v>1.5000000003</v>
      </c>
      <c r="DN4">
        <v>1.400000001</v>
      </c>
      <c r="DO4">
        <v>1.5000000003</v>
      </c>
      <c r="DP4">
        <v>1.5000000003</v>
      </c>
      <c r="DQ4">
        <v>1.5000000003</v>
      </c>
      <c r="DR4">
        <v>1.5000000003</v>
      </c>
      <c r="DS4">
        <v>1.6000000014</v>
      </c>
      <c r="DT4">
        <v>1.5000000003</v>
      </c>
      <c r="DU4">
        <v>1.400000001</v>
      </c>
      <c r="DV4">
        <v>1.2000000006</v>
      </c>
      <c r="DW4">
        <v>0.79999999980000003</v>
      </c>
      <c r="DX4">
        <v>1.2999999999</v>
      </c>
      <c r="DY4">
        <v>3.0999999999000001</v>
      </c>
      <c r="DZ4">
        <v>5.4</v>
      </c>
      <c r="EA4">
        <v>12.200000000999999</v>
      </c>
      <c r="EB4">
        <v>20.0999999997</v>
      </c>
      <c r="EC4">
        <v>27.4000000009</v>
      </c>
      <c r="ED4">
        <v>34.999999999899998</v>
      </c>
      <c r="EE4">
        <v>42.6000000007</v>
      </c>
      <c r="EF4">
        <v>51.000000001300002</v>
      </c>
      <c r="EG4">
        <v>58.300000000600001</v>
      </c>
      <c r="EH4">
        <v>65.900000001400002</v>
      </c>
      <c r="EI4">
        <v>74.500000000599996</v>
      </c>
      <c r="EJ4">
        <v>82.700000000800003</v>
      </c>
      <c r="EK4">
        <v>90.799999999899995</v>
      </c>
      <c r="EL4">
        <v>99.600000001400005</v>
      </c>
      <c r="EM4">
        <v>107.90000000089999</v>
      </c>
      <c r="EN4">
        <v>116.2000000004</v>
      </c>
      <c r="EO4">
        <v>126.0000000002</v>
      </c>
      <c r="EP4">
        <v>134.60000000119999</v>
      </c>
      <c r="EQ4">
        <v>143.2000000004</v>
      </c>
      <c r="ER4">
        <v>151.8000000015</v>
      </c>
      <c r="ES4">
        <v>160.5</v>
      </c>
      <c r="ET4">
        <v>168.6000000009</v>
      </c>
      <c r="EU4">
        <v>177.3000000012</v>
      </c>
      <c r="EV4">
        <v>186.10000000080001</v>
      </c>
      <c r="EW4">
        <v>194.5000000014</v>
      </c>
      <c r="EX4">
        <v>203.10000000060001</v>
      </c>
      <c r="EY4">
        <v>211.80000000090001</v>
      </c>
      <c r="EZ4">
        <v>219.30000000070001</v>
      </c>
      <c r="FA4">
        <v>227.5000000009</v>
      </c>
      <c r="FB4">
        <v>236.6000000002</v>
      </c>
      <c r="FC4">
        <v>245.00000000079999</v>
      </c>
      <c r="FD4">
        <v>253.09999999990001</v>
      </c>
      <c r="FE4">
        <v>261.0999999997</v>
      </c>
      <c r="FF4">
        <v>269.00000000019998</v>
      </c>
      <c r="FG4">
        <v>276.30000000140001</v>
      </c>
      <c r="FH4">
        <v>284.80000000130002</v>
      </c>
      <c r="FI4">
        <v>292.99999999969998</v>
      </c>
      <c r="FJ4">
        <v>300.60000000050002</v>
      </c>
      <c r="FK4">
        <v>308.39999999989999</v>
      </c>
      <c r="FL4">
        <v>315.59999999989998</v>
      </c>
      <c r="FM4">
        <v>322.79999999990002</v>
      </c>
      <c r="FN4">
        <v>329.70000000020002</v>
      </c>
      <c r="FO4">
        <v>336.80000000090001</v>
      </c>
      <c r="FP4">
        <v>344.50000000109998</v>
      </c>
      <c r="FQ4">
        <v>351.50000000070003</v>
      </c>
      <c r="FR4">
        <v>358.40000000100002</v>
      </c>
      <c r="FS4">
        <v>365.49999999990001</v>
      </c>
      <c r="FT4">
        <v>371.69999999970003</v>
      </c>
      <c r="FU4">
        <v>377.70000000089999</v>
      </c>
      <c r="FV4">
        <v>383.70000000030001</v>
      </c>
      <c r="FW4">
        <v>390.6999999999</v>
      </c>
      <c r="FX4">
        <v>397.5000000009</v>
      </c>
      <c r="FY4">
        <v>403.60000000150001</v>
      </c>
      <c r="FZ4">
        <v>409.49999999980002</v>
      </c>
      <c r="GA4">
        <v>415.39999999989999</v>
      </c>
      <c r="GB4">
        <v>421.20000000070002</v>
      </c>
      <c r="GC4">
        <v>426.7</v>
      </c>
      <c r="GD4">
        <v>432.30000000040002</v>
      </c>
      <c r="GE4">
        <v>437.20000000030001</v>
      </c>
      <c r="GF4">
        <v>442.0000000009</v>
      </c>
      <c r="GG4">
        <v>446.7000000004</v>
      </c>
      <c r="GH4">
        <v>448.3</v>
      </c>
      <c r="GI4">
        <v>448.40000000110001</v>
      </c>
      <c r="GJ4">
        <v>448.3</v>
      </c>
      <c r="GK4">
        <v>448.50000000040001</v>
      </c>
      <c r="GL4">
        <v>448.50000000040001</v>
      </c>
      <c r="GM4">
        <v>448.40000000110001</v>
      </c>
      <c r="GN4">
        <v>448.7000000008</v>
      </c>
      <c r="GO4">
        <v>448.5999999997</v>
      </c>
      <c r="GP4">
        <v>448.5999999997</v>
      </c>
      <c r="GQ4">
        <v>448.7000000008</v>
      </c>
      <c r="GR4">
        <v>448.7000000008</v>
      </c>
      <c r="GS4">
        <v>448.7000000008</v>
      </c>
      <c r="GT4">
        <v>448.7000000008</v>
      </c>
      <c r="GU4">
        <v>448.8000000001</v>
      </c>
      <c r="GV4">
        <v>448.8000000001</v>
      </c>
      <c r="GW4">
        <v>448.8000000001</v>
      </c>
      <c r="GX4">
        <v>1</v>
      </c>
      <c r="GY4">
        <v>112.1999999996</v>
      </c>
      <c r="GZ4">
        <v>110.09999999990001</v>
      </c>
      <c r="HA4">
        <v>110.09999999990001</v>
      </c>
      <c r="HB4">
        <v>116.2000000004</v>
      </c>
      <c r="HC4">
        <v>111.63774089339999</v>
      </c>
      <c r="HD4">
        <v>-6.1000000004999997</v>
      </c>
      <c r="HE4">
        <v>448.8000000001</v>
      </c>
      <c r="HF4">
        <v>303.27501392440001</v>
      </c>
      <c r="HG4">
        <v>90.102083100200005</v>
      </c>
      <c r="HH4">
        <v>448.9000000012</v>
      </c>
      <c r="HI4">
        <v>448.8000000001</v>
      </c>
      <c r="HJ4">
        <v>448.9000000012</v>
      </c>
      <c r="HK4">
        <v>448.8000000001</v>
      </c>
      <c r="HL4">
        <v>107.91788856300001</v>
      </c>
      <c r="HM4">
        <v>3.4426678729</v>
      </c>
      <c r="HN4">
        <v>3.3641408341000001</v>
      </c>
      <c r="HO4">
        <v>3.3964224473</v>
      </c>
      <c r="HP4">
        <v>3.4285373934000001</v>
      </c>
      <c r="HQ4">
        <v>3.6693072527999999</v>
      </c>
      <c r="HR4">
        <v>2.3570329290999998</v>
      </c>
      <c r="HS4">
        <v>21.535657793199999</v>
      </c>
      <c r="HT4">
        <v>-25.806451612899998</v>
      </c>
      <c r="HU4">
        <v>-176</v>
      </c>
      <c r="HV4">
        <v>414.91275481780002</v>
      </c>
      <c r="HW4">
        <v>91.495601172999997</v>
      </c>
      <c r="HX4">
        <v>624</v>
      </c>
      <c r="HY4">
        <v>21.535657793199999</v>
      </c>
      <c r="HZ4">
        <v>-25.806451612899998</v>
      </c>
      <c r="IA4">
        <v>-176</v>
      </c>
      <c r="IB4">
        <v>414.91275481780002</v>
      </c>
      <c r="IC4">
        <v>91.495601172999997</v>
      </c>
      <c r="ID4">
        <v>624</v>
      </c>
      <c r="IE4">
        <v>33.887245182299999</v>
      </c>
      <c r="IF4">
        <v>1.6078534045999999</v>
      </c>
      <c r="IG4">
        <v>-35.190615835800003</v>
      </c>
      <c r="IH4">
        <v>-240</v>
      </c>
      <c r="II4">
        <v>437.04974935979999</v>
      </c>
      <c r="IJ4">
        <v>100.87976539589999</v>
      </c>
      <c r="IK4">
        <v>688</v>
      </c>
      <c r="IL4">
        <v>393.3770970246</v>
      </c>
      <c r="IM4">
        <v>117.3020527859</v>
      </c>
      <c r="IN4">
        <v>418.97608332290002</v>
      </c>
      <c r="IO4">
        <v>126.6862170088</v>
      </c>
      <c r="IP4">
        <v>7.8999999987000002</v>
      </c>
      <c r="IQ4">
        <v>5.6000000003999997</v>
      </c>
      <c r="IR4">
        <v>9.7999999998000007</v>
      </c>
      <c r="IS4">
        <v>6.4818298630999998</v>
      </c>
      <c r="IT4">
        <v>6.4818298630999998</v>
      </c>
      <c r="IU4">
        <v>6.1999999998000002</v>
      </c>
      <c r="IV4">
        <v>-28.152492668600001</v>
      </c>
      <c r="IW4">
        <v>7.6000000007999997</v>
      </c>
      <c r="IX4">
        <v>46.920821114399999</v>
      </c>
      <c r="IY4">
        <v>5.3000000006999999</v>
      </c>
      <c r="IZ4">
        <v>98.533724340199996</v>
      </c>
      <c r="JA4">
        <v>-32.244900767099999</v>
      </c>
      <c r="JB4">
        <v>0.31271643360000001</v>
      </c>
      <c r="JC4">
        <v>-2.843403E-4</v>
      </c>
      <c r="JD4">
        <v>6.0080000000000003E-7</v>
      </c>
      <c r="JE4">
        <v>0.29047240019999998</v>
      </c>
      <c r="JF4">
        <v>0.2546182957</v>
      </c>
      <c r="JG4">
        <v>0.1121005622</v>
      </c>
      <c r="JH4">
        <v>112.3117554964</v>
      </c>
      <c r="JI4">
        <v>3.6693072527999999</v>
      </c>
      <c r="JJ4">
        <v>2.0609611000000001E-3</v>
      </c>
      <c r="JK4">
        <v>-6.7268799999999995E-5</v>
      </c>
      <c r="JL4">
        <v>3.4426678729</v>
      </c>
      <c r="JM4">
        <v>1.3870490147000001</v>
      </c>
      <c r="JN4">
        <v>0.60640218319999994</v>
      </c>
      <c r="JO4">
        <v>3.3673749994</v>
      </c>
      <c r="JP4">
        <v>2.3870000002</v>
      </c>
      <c r="JQ4">
        <v>4.1772499998999999</v>
      </c>
      <c r="JR4" s="17" t="s">
        <v>556</v>
      </c>
      <c r="JU4" s="17">
        <v>1</v>
      </c>
    </row>
    <row r="5" spans="1:281">
      <c r="A5" t="s">
        <v>587</v>
      </c>
      <c r="B5" t="s">
        <v>588</v>
      </c>
      <c r="C5" t="s">
        <v>589</v>
      </c>
      <c r="D5" t="s">
        <v>213</v>
      </c>
      <c r="E5">
        <v>3</v>
      </c>
      <c r="F5" t="s">
        <v>214</v>
      </c>
      <c r="G5" t="s">
        <v>215</v>
      </c>
      <c r="H5" t="s">
        <v>555</v>
      </c>
      <c r="I5" t="s">
        <v>217</v>
      </c>
      <c r="K5" t="s">
        <v>571</v>
      </c>
      <c r="L5" t="s">
        <v>572</v>
      </c>
      <c r="M5" t="s">
        <v>573</v>
      </c>
      <c r="N5" t="s">
        <v>574</v>
      </c>
      <c r="O5" t="s">
        <v>575</v>
      </c>
      <c r="P5">
        <v>0</v>
      </c>
      <c r="Q5">
        <v>0</v>
      </c>
      <c r="R5">
        <v>2.3999999993999999</v>
      </c>
      <c r="S5">
        <v>0.59999999940000004</v>
      </c>
      <c r="T5">
        <v>0.50000000010000001</v>
      </c>
      <c r="U5">
        <v>0.50000000010000001</v>
      </c>
      <c r="V5">
        <v>0.39999999899999999</v>
      </c>
      <c r="W5">
        <v>0.29999999970000002</v>
      </c>
      <c r="X5">
        <v>0.29999999970000002</v>
      </c>
      <c r="Y5">
        <v>0.29999999970000002</v>
      </c>
      <c r="Z5">
        <v>0.29999999970000002</v>
      </c>
      <c r="AA5">
        <v>0.39999999899999999</v>
      </c>
      <c r="AB5">
        <v>0.20000000039999999</v>
      </c>
      <c r="AC5">
        <v>0.20000000039999999</v>
      </c>
      <c r="AD5">
        <v>0.20000000039999999</v>
      </c>
      <c r="AE5">
        <v>0.20000000039999999</v>
      </c>
      <c r="AF5">
        <v>9.9999999300000003E-2</v>
      </c>
      <c r="AG5">
        <v>0</v>
      </c>
      <c r="AH5">
        <v>0.39999999899999999</v>
      </c>
      <c r="AI5">
        <v>1.8</v>
      </c>
      <c r="AJ5">
        <v>3.8000000003999999</v>
      </c>
      <c r="AK5">
        <v>10.5999999996</v>
      </c>
      <c r="AL5">
        <v>17.299999999499999</v>
      </c>
      <c r="AM5">
        <v>24.499999999500002</v>
      </c>
      <c r="AN5">
        <v>31.9999999992</v>
      </c>
      <c r="AO5">
        <v>39.600000000100003</v>
      </c>
      <c r="AP5">
        <v>47.300000000200001</v>
      </c>
      <c r="AQ5">
        <v>55.099999999600001</v>
      </c>
      <c r="AR5">
        <v>63.099999999399998</v>
      </c>
      <c r="AS5">
        <v>70.899999998799998</v>
      </c>
      <c r="AT5">
        <v>79.099999999000005</v>
      </c>
      <c r="AU5">
        <v>87.499999999600007</v>
      </c>
      <c r="AV5">
        <v>95.799999999099995</v>
      </c>
      <c r="AW5">
        <v>103.9999999994</v>
      </c>
      <c r="AX5">
        <v>112.79999999899999</v>
      </c>
      <c r="AY5">
        <v>121.6000000004</v>
      </c>
      <c r="AZ5">
        <v>130.10000000030001</v>
      </c>
      <c r="BA5">
        <v>138.99999999920001</v>
      </c>
      <c r="BB5">
        <v>147.3999999998</v>
      </c>
      <c r="BC5">
        <v>155.99999999900001</v>
      </c>
      <c r="BD5">
        <v>164.39999999969999</v>
      </c>
      <c r="BE5">
        <v>172.99999999889999</v>
      </c>
      <c r="BF5">
        <v>181.09999999979999</v>
      </c>
      <c r="BG5">
        <v>190.00000000049999</v>
      </c>
      <c r="BH5">
        <v>198.5999999997</v>
      </c>
      <c r="BI5">
        <v>207.19999999890001</v>
      </c>
      <c r="BJ5">
        <v>215.29999999980001</v>
      </c>
      <c r="BK5">
        <v>223.89999999899999</v>
      </c>
      <c r="BL5">
        <v>232</v>
      </c>
      <c r="BM5">
        <v>240.29999999949999</v>
      </c>
      <c r="BN5">
        <v>248.9000000005</v>
      </c>
      <c r="BO5">
        <v>257.09999999889999</v>
      </c>
      <c r="BP5">
        <v>264.79999999900002</v>
      </c>
      <c r="BQ5">
        <v>273.10000000029999</v>
      </c>
      <c r="BR5">
        <v>280.80000000050001</v>
      </c>
      <c r="BS5">
        <v>288.89999999960003</v>
      </c>
      <c r="BT5">
        <v>296.5999999997</v>
      </c>
      <c r="BU5">
        <v>304.69999999880002</v>
      </c>
      <c r="BV5">
        <v>311.89999999880001</v>
      </c>
      <c r="BW5">
        <v>319.0999999988</v>
      </c>
      <c r="BX5">
        <v>326.79999999889998</v>
      </c>
      <c r="BY5">
        <v>333.89999999960003</v>
      </c>
      <c r="BZ5">
        <v>341.00000000030002</v>
      </c>
      <c r="CA5">
        <v>348</v>
      </c>
      <c r="CB5">
        <v>355.2</v>
      </c>
      <c r="CC5">
        <v>362.19999999959998</v>
      </c>
      <c r="CD5">
        <v>368.80000000019999</v>
      </c>
      <c r="CE5">
        <v>374.8999999989</v>
      </c>
      <c r="CF5">
        <v>381.9000000003</v>
      </c>
      <c r="CG5">
        <v>388.19999999940001</v>
      </c>
      <c r="CH5">
        <v>394.59999999960002</v>
      </c>
      <c r="CI5">
        <v>400.59999999899998</v>
      </c>
      <c r="CJ5">
        <v>406.9</v>
      </c>
      <c r="CK5">
        <v>413.00000000049999</v>
      </c>
      <c r="CL5">
        <v>418.99999999990001</v>
      </c>
      <c r="CM5">
        <v>424.19999999949999</v>
      </c>
      <c r="CN5">
        <v>430.00000000030002</v>
      </c>
      <c r="CO5">
        <v>436.09999999899998</v>
      </c>
      <c r="CP5">
        <v>441.60000000010001</v>
      </c>
      <c r="CQ5">
        <v>447.29999999979998</v>
      </c>
      <c r="CR5">
        <v>452.69999999980001</v>
      </c>
      <c r="CS5">
        <v>457.39999999930001</v>
      </c>
      <c r="CT5">
        <v>459.49999999900001</v>
      </c>
      <c r="CU5">
        <v>459.49999999900001</v>
      </c>
      <c r="CV5">
        <v>459.49999999900001</v>
      </c>
      <c r="CW5">
        <v>459.39999999970001</v>
      </c>
      <c r="CX5">
        <v>459.39999999970001</v>
      </c>
      <c r="CY5">
        <v>459.39999999970001</v>
      </c>
      <c r="CZ5">
        <v>459.39999999970001</v>
      </c>
      <c r="DA5">
        <v>459.60000000010001</v>
      </c>
      <c r="DB5">
        <v>459.60000000010001</v>
      </c>
      <c r="DC5">
        <v>459.49999999900001</v>
      </c>
      <c r="DD5">
        <v>459.60000000010001</v>
      </c>
      <c r="DE5">
        <v>459.49999999900001</v>
      </c>
      <c r="DF5">
        <v>459.60000000010001</v>
      </c>
      <c r="DG5">
        <v>459.49999999900001</v>
      </c>
      <c r="DH5">
        <v>3.3000000002999998</v>
      </c>
      <c r="DI5">
        <v>1.8</v>
      </c>
      <c r="DJ5">
        <v>1.6999999989000001</v>
      </c>
      <c r="DK5">
        <v>1.5000000003</v>
      </c>
      <c r="DL5">
        <v>1.8</v>
      </c>
      <c r="DM5">
        <v>1.5999999996000001</v>
      </c>
      <c r="DN5">
        <v>1.5000000003</v>
      </c>
      <c r="DO5">
        <v>1.5999999996000001</v>
      </c>
      <c r="DP5">
        <v>1.3999999992000001</v>
      </c>
      <c r="DQ5">
        <v>1.5000000003</v>
      </c>
      <c r="DR5">
        <v>1.3999999992000001</v>
      </c>
      <c r="DS5">
        <v>1.1999999988000001</v>
      </c>
      <c r="DT5">
        <v>1.3999999992000001</v>
      </c>
      <c r="DU5">
        <v>1.3999999992000001</v>
      </c>
      <c r="DV5">
        <v>1.5000000003</v>
      </c>
      <c r="DW5">
        <v>1.2999999999</v>
      </c>
      <c r="DX5">
        <v>2.3000000000999998</v>
      </c>
      <c r="DY5">
        <v>4.3999999998000003</v>
      </c>
      <c r="DZ5">
        <v>9.3999999990000003</v>
      </c>
      <c r="EA5">
        <v>16.599999999000001</v>
      </c>
      <c r="EB5">
        <v>23.799999999000001</v>
      </c>
      <c r="EC5">
        <v>31.199999999399999</v>
      </c>
      <c r="ED5">
        <v>38.5999999999</v>
      </c>
      <c r="EE5">
        <v>46.3</v>
      </c>
      <c r="EF5">
        <v>53.899999999000002</v>
      </c>
      <c r="EG5">
        <v>61.999999999899998</v>
      </c>
      <c r="EH5">
        <v>69.900000000399999</v>
      </c>
      <c r="EI5">
        <v>77.999999999500005</v>
      </c>
      <c r="EJ5">
        <v>86.5999999987</v>
      </c>
      <c r="EK5">
        <v>94.4</v>
      </c>
      <c r="EL5">
        <v>102.7999999988</v>
      </c>
      <c r="EM5">
        <v>111.3999999998</v>
      </c>
      <c r="EN5">
        <v>120.19999999940001</v>
      </c>
      <c r="EO5">
        <v>128.80000000039999</v>
      </c>
      <c r="EP5">
        <v>137.99999999900001</v>
      </c>
      <c r="EQ5">
        <v>146.3000000003</v>
      </c>
      <c r="ER5">
        <v>154.69999999909999</v>
      </c>
      <c r="ES5">
        <v>163.30000000019999</v>
      </c>
      <c r="ET5">
        <v>171.8000000001</v>
      </c>
      <c r="EU5">
        <v>180.3</v>
      </c>
      <c r="EV5">
        <v>188.89999999919999</v>
      </c>
      <c r="EW5">
        <v>197.7999999999</v>
      </c>
      <c r="EX5">
        <v>206.5000000002</v>
      </c>
      <c r="EY5">
        <v>214.5</v>
      </c>
      <c r="EZ5">
        <v>223.2000000004</v>
      </c>
      <c r="FA5">
        <v>231.59999999920001</v>
      </c>
      <c r="FB5">
        <v>239.9999999998</v>
      </c>
      <c r="FC5">
        <v>248.7000000001</v>
      </c>
      <c r="FD5">
        <v>256.49999999950001</v>
      </c>
      <c r="FE5">
        <v>264.60000000039997</v>
      </c>
      <c r="FF5">
        <v>272.79999999879999</v>
      </c>
      <c r="FG5">
        <v>280.60000000000002</v>
      </c>
      <c r="FH5">
        <v>288.59999999989998</v>
      </c>
      <c r="FI5">
        <v>296.5999999997</v>
      </c>
      <c r="FJ5">
        <v>304.69999999880002</v>
      </c>
      <c r="FK5">
        <v>311.99999999990001</v>
      </c>
      <c r="FL5">
        <v>319.1999999999</v>
      </c>
      <c r="FM5">
        <v>327.10000000039997</v>
      </c>
      <c r="FN5">
        <v>334.49999999900001</v>
      </c>
      <c r="FO5">
        <v>341.8000000001</v>
      </c>
      <c r="FP5">
        <v>348.70000000049998</v>
      </c>
      <c r="FQ5">
        <v>356.09999999910002</v>
      </c>
      <c r="FR5">
        <v>362.99999999940002</v>
      </c>
      <c r="FS5">
        <v>369.69999999930002</v>
      </c>
      <c r="FT5">
        <v>376.19999999880002</v>
      </c>
      <c r="FU5">
        <v>383.09999999910002</v>
      </c>
      <c r="FV5">
        <v>389.4</v>
      </c>
      <c r="FW5">
        <v>395.99999999879998</v>
      </c>
      <c r="FX5">
        <v>401.7999999996</v>
      </c>
      <c r="FY5">
        <v>408.1999999999</v>
      </c>
      <c r="FZ5">
        <v>414.19999999930002</v>
      </c>
      <c r="GA5">
        <v>420.00000000009999</v>
      </c>
      <c r="GB5">
        <v>425.49999999940002</v>
      </c>
      <c r="GC5">
        <v>431.00000000049999</v>
      </c>
      <c r="GD5">
        <v>436.70000000020002</v>
      </c>
      <c r="GE5">
        <v>442.19999999949999</v>
      </c>
      <c r="GF5">
        <v>447.79999999990002</v>
      </c>
      <c r="GG5">
        <v>452.49999999940002</v>
      </c>
      <c r="GH5">
        <v>456.79999999990002</v>
      </c>
      <c r="GI5">
        <v>459.39999999970001</v>
      </c>
      <c r="GJ5">
        <v>459.39999999970001</v>
      </c>
      <c r="GK5">
        <v>459.49999999900001</v>
      </c>
      <c r="GL5">
        <v>459.39999999970001</v>
      </c>
      <c r="GM5">
        <v>459.19999999930002</v>
      </c>
      <c r="GN5">
        <v>459.39999999970001</v>
      </c>
      <c r="GO5">
        <v>459.30000000040002</v>
      </c>
      <c r="GP5">
        <v>459.39999999970001</v>
      </c>
      <c r="GQ5">
        <v>459.39999999970001</v>
      </c>
      <c r="GR5">
        <v>459.39999999970001</v>
      </c>
      <c r="GS5">
        <v>459.49999999900001</v>
      </c>
      <c r="GT5">
        <v>459.49999999900001</v>
      </c>
      <c r="GU5">
        <v>459.39999999970001</v>
      </c>
      <c r="GV5">
        <v>459.49999999900001</v>
      </c>
      <c r="GW5">
        <v>459.60000000010001</v>
      </c>
      <c r="GX5">
        <v>1</v>
      </c>
      <c r="GY5">
        <v>112.90000000009999</v>
      </c>
      <c r="GZ5">
        <v>112.79999999899999</v>
      </c>
      <c r="HA5">
        <v>112.79999999899999</v>
      </c>
      <c r="HB5">
        <v>120.19999999940001</v>
      </c>
      <c r="HC5">
        <v>114.6759656176</v>
      </c>
      <c r="HD5">
        <v>-7.4000000004000004</v>
      </c>
      <c r="HE5">
        <v>459.60000000010001</v>
      </c>
      <c r="HF5">
        <v>315.85126754570001</v>
      </c>
      <c r="HG5">
        <v>97.085300837299997</v>
      </c>
      <c r="HH5">
        <v>459.60000000010001</v>
      </c>
      <c r="HI5">
        <v>459.60000000010001</v>
      </c>
      <c r="HJ5">
        <v>459.60000000010001</v>
      </c>
      <c r="HK5">
        <v>459.60000000010001</v>
      </c>
      <c r="HL5">
        <v>110.26392961880001</v>
      </c>
      <c r="HM5">
        <v>3.4291689768000002</v>
      </c>
      <c r="HN5">
        <v>3.3592405753999999</v>
      </c>
      <c r="HO5">
        <v>3.3816817459999999</v>
      </c>
      <c r="HP5">
        <v>3.3152474686</v>
      </c>
      <c r="HQ5">
        <v>3.6509247990999998</v>
      </c>
      <c r="HR5">
        <v>2.2252984440999999</v>
      </c>
      <c r="HS5">
        <v>17.590664780299999</v>
      </c>
      <c r="HT5">
        <v>-28.152492668600001</v>
      </c>
      <c r="HU5">
        <v>-192</v>
      </c>
      <c r="HV5">
        <v>430.52723316330002</v>
      </c>
      <c r="HW5">
        <v>96.187683284499997</v>
      </c>
      <c r="HX5">
        <v>656</v>
      </c>
      <c r="HY5">
        <v>17.590664780299999</v>
      </c>
      <c r="HZ5">
        <v>-28.152492668600001</v>
      </c>
      <c r="IA5">
        <v>-192</v>
      </c>
      <c r="IB5">
        <v>430.52723316330002</v>
      </c>
      <c r="IC5">
        <v>96.187683284499997</v>
      </c>
      <c r="ID5">
        <v>656</v>
      </c>
      <c r="IE5">
        <v>29.0727668368</v>
      </c>
      <c r="IF5">
        <v>0.40558154619999998</v>
      </c>
      <c r="IG5">
        <v>-37.536656891500002</v>
      </c>
      <c r="IH5">
        <v>-256</v>
      </c>
      <c r="II5">
        <v>452.39080622289998</v>
      </c>
      <c r="IJ5">
        <v>105.57184750730001</v>
      </c>
      <c r="IK5">
        <v>720</v>
      </c>
      <c r="IL5">
        <v>412.9365683831</v>
      </c>
      <c r="IM5">
        <v>124.3401759531</v>
      </c>
      <c r="IN5">
        <v>438.04878685580002</v>
      </c>
      <c r="IO5">
        <v>133.724340176</v>
      </c>
      <c r="IP5">
        <v>7.2</v>
      </c>
      <c r="IQ5">
        <v>5.6999999997000002</v>
      </c>
      <c r="IR5">
        <v>9.1999999985999992</v>
      </c>
      <c r="IS5">
        <v>6.6499423355999996</v>
      </c>
      <c r="IT5">
        <v>6.6499423355999996</v>
      </c>
      <c r="IU5">
        <v>5.9999999994</v>
      </c>
      <c r="IV5">
        <v>-30.4985337243</v>
      </c>
      <c r="IW5">
        <v>8.4000000006000004</v>
      </c>
      <c r="IX5">
        <v>35.190615835800003</v>
      </c>
      <c r="IY5">
        <v>6.1999999998000002</v>
      </c>
      <c r="IZ5">
        <v>103.22580645159999</v>
      </c>
      <c r="JA5">
        <v>-33.634039587099998</v>
      </c>
      <c r="JB5">
        <v>0.32278159820000002</v>
      </c>
      <c r="JC5">
        <v>-3.2821009999999998E-4</v>
      </c>
      <c r="JD5">
        <v>6.4379999999999998E-7</v>
      </c>
      <c r="JE5">
        <v>0.29161584239999999</v>
      </c>
      <c r="JF5">
        <v>0.312973006</v>
      </c>
      <c r="JG5">
        <v>9.5283237899999998E-2</v>
      </c>
      <c r="JH5">
        <v>115.1881066122</v>
      </c>
      <c r="JI5">
        <v>3.6509247990999998</v>
      </c>
      <c r="JJ5">
        <v>2.9340518999999999E-3</v>
      </c>
      <c r="JK5">
        <v>-7.1698000000000004E-5</v>
      </c>
      <c r="JL5">
        <v>3.4291689768000002</v>
      </c>
      <c r="JM5">
        <v>1.2600004483</v>
      </c>
      <c r="JN5">
        <v>0.48224859809999998</v>
      </c>
      <c r="JO5">
        <v>3.069</v>
      </c>
      <c r="JP5">
        <v>2.4296249999000001</v>
      </c>
      <c r="JQ5">
        <v>3.9214999993999999</v>
      </c>
      <c r="JR5" s="17" t="s">
        <v>556</v>
      </c>
      <c r="JU5" s="17">
        <v>1</v>
      </c>
    </row>
    <row r="6" spans="1:281">
      <c r="A6" t="s">
        <v>601</v>
      </c>
      <c r="B6" t="s">
        <v>602</v>
      </c>
      <c r="C6" t="s">
        <v>603</v>
      </c>
      <c r="D6" t="s">
        <v>213</v>
      </c>
      <c r="E6">
        <v>3</v>
      </c>
      <c r="F6" t="s">
        <v>214</v>
      </c>
      <c r="G6" t="s">
        <v>215</v>
      </c>
      <c r="H6" t="s">
        <v>555</v>
      </c>
      <c r="I6" t="s">
        <v>217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0</v>
      </c>
      <c r="S6">
        <v>0.7000000005</v>
      </c>
      <c r="T6">
        <v>0.79999999980000003</v>
      </c>
      <c r="U6">
        <v>0.60000000119999997</v>
      </c>
      <c r="V6">
        <v>0.79999999980000003</v>
      </c>
      <c r="W6">
        <v>0.7000000005</v>
      </c>
      <c r="X6">
        <v>0.7000000005</v>
      </c>
      <c r="Y6">
        <v>0.90000000089999999</v>
      </c>
      <c r="Z6">
        <v>0.79999999980000003</v>
      </c>
      <c r="AA6">
        <v>0.90000000089999999</v>
      </c>
      <c r="AB6">
        <v>1.0000000002</v>
      </c>
      <c r="AC6">
        <v>1.1000000013</v>
      </c>
      <c r="AD6">
        <v>1.1000000013</v>
      </c>
      <c r="AE6">
        <v>1.2000000006</v>
      </c>
      <c r="AF6">
        <v>1.400000001</v>
      </c>
      <c r="AG6">
        <v>1.400000001</v>
      </c>
      <c r="AH6">
        <v>1.7000000007</v>
      </c>
      <c r="AI6">
        <v>2.4000000012</v>
      </c>
      <c r="AJ6">
        <v>8.2000000001999993</v>
      </c>
      <c r="AK6">
        <v>15.1000000005</v>
      </c>
      <c r="AL6">
        <v>22.399999999799999</v>
      </c>
      <c r="AM6">
        <v>29.200000000900001</v>
      </c>
      <c r="AN6">
        <v>36.299999999800001</v>
      </c>
      <c r="AO6">
        <v>44.6000000011</v>
      </c>
      <c r="AP6">
        <v>52.200000000099998</v>
      </c>
      <c r="AQ6">
        <v>59.699999999799999</v>
      </c>
      <c r="AR6">
        <v>68.000000001100005</v>
      </c>
      <c r="AS6">
        <v>76.200000001299998</v>
      </c>
      <c r="AT6">
        <v>83.800000000300003</v>
      </c>
      <c r="AU6">
        <v>91.800000000099999</v>
      </c>
      <c r="AV6">
        <v>100.5999999998</v>
      </c>
      <c r="AW6">
        <v>108.8</v>
      </c>
      <c r="AX6">
        <v>118.0999999997</v>
      </c>
      <c r="AY6">
        <v>128.00000000060001</v>
      </c>
      <c r="AZ6">
        <v>135.90000000110001</v>
      </c>
      <c r="BA6">
        <v>144.2000000006</v>
      </c>
      <c r="BB6">
        <v>153.20000000069999</v>
      </c>
      <c r="BC6">
        <v>161.5000000002</v>
      </c>
      <c r="BD6">
        <v>170.29999999980001</v>
      </c>
      <c r="BE6">
        <v>179.5000000002</v>
      </c>
      <c r="BF6">
        <v>187.4000000007</v>
      </c>
      <c r="BG6">
        <v>195.6000000009</v>
      </c>
      <c r="BH6">
        <v>204.4999999998</v>
      </c>
      <c r="BI6">
        <v>212.90000000040001</v>
      </c>
      <c r="BJ6">
        <v>221.2</v>
      </c>
      <c r="BK6">
        <v>230.10000000069999</v>
      </c>
      <c r="BL6">
        <v>238.19999999980001</v>
      </c>
      <c r="BM6">
        <v>245.89999999989999</v>
      </c>
      <c r="BN6">
        <v>254.30000000050001</v>
      </c>
      <c r="BO6">
        <v>262.50000000070003</v>
      </c>
      <c r="BP6">
        <v>270.2000000008</v>
      </c>
      <c r="BQ6">
        <v>278.60000000150001</v>
      </c>
      <c r="BR6">
        <v>286.70000000060003</v>
      </c>
      <c r="BS6">
        <v>293.90000000060002</v>
      </c>
      <c r="BT6">
        <v>301.4000000003</v>
      </c>
      <c r="BU6">
        <v>309.60000000050002</v>
      </c>
      <c r="BV6">
        <v>316.80000000050001</v>
      </c>
      <c r="BW6">
        <v>323.9000000012</v>
      </c>
      <c r="BX6">
        <v>331.79999999990002</v>
      </c>
      <c r="BY6">
        <v>339.3000000015</v>
      </c>
      <c r="BZ6">
        <v>345.60000000060001</v>
      </c>
      <c r="CA6">
        <v>352.3999999998</v>
      </c>
      <c r="CB6">
        <v>359.50000000049999</v>
      </c>
      <c r="CC6">
        <v>366.50000000009999</v>
      </c>
      <c r="CD6">
        <v>372.6999999999</v>
      </c>
      <c r="CE6">
        <v>379.3999999998</v>
      </c>
      <c r="CF6">
        <v>386.3000000001</v>
      </c>
      <c r="CG6">
        <v>392.60000000100001</v>
      </c>
      <c r="CH6">
        <v>398.4</v>
      </c>
      <c r="CI6">
        <v>404.00000000049999</v>
      </c>
      <c r="CJ6">
        <v>410.20000000030001</v>
      </c>
      <c r="CK6">
        <v>416.69999999980001</v>
      </c>
      <c r="CL6">
        <v>422.40000000129999</v>
      </c>
      <c r="CM6">
        <v>427.80000000130002</v>
      </c>
      <c r="CN6">
        <v>433.9</v>
      </c>
      <c r="CO6">
        <v>439.7000000008</v>
      </c>
      <c r="CP6">
        <v>445.10000000079998</v>
      </c>
      <c r="CQ6">
        <v>448.00000000030002</v>
      </c>
      <c r="CR6">
        <v>451.39999999989999</v>
      </c>
      <c r="CS6">
        <v>452.80000000090001</v>
      </c>
      <c r="CT6">
        <v>452.69999999980001</v>
      </c>
      <c r="CU6">
        <v>452.80000000090001</v>
      </c>
      <c r="CV6">
        <v>452.80000000090001</v>
      </c>
      <c r="CW6">
        <v>452.69999999980001</v>
      </c>
      <c r="CX6">
        <v>452.90000000020001</v>
      </c>
      <c r="CY6">
        <v>452.80000000090001</v>
      </c>
      <c r="CZ6">
        <v>452.69999999980001</v>
      </c>
      <c r="DA6">
        <v>452.80000000090001</v>
      </c>
      <c r="DB6">
        <v>452.90000000020001</v>
      </c>
      <c r="DC6">
        <v>452.80000000090001</v>
      </c>
      <c r="DD6">
        <v>452.90000000020001</v>
      </c>
      <c r="DE6">
        <v>452.90000000020001</v>
      </c>
      <c r="DF6">
        <v>452.90000000020001</v>
      </c>
      <c r="DG6">
        <v>453.00000000130001</v>
      </c>
      <c r="DH6">
        <v>0.90000000089999999</v>
      </c>
      <c r="DI6">
        <v>1.7000000007</v>
      </c>
      <c r="DJ6">
        <v>1.9000000011</v>
      </c>
      <c r="DK6">
        <v>1.9000000011</v>
      </c>
      <c r="DL6">
        <v>1.8</v>
      </c>
      <c r="DM6">
        <v>1.9000000011</v>
      </c>
      <c r="DN6">
        <v>2.0000000004</v>
      </c>
      <c r="DO6">
        <v>2.0000000004</v>
      </c>
      <c r="DP6">
        <v>2.0000000004</v>
      </c>
      <c r="DQ6">
        <v>2.2000000007999998</v>
      </c>
      <c r="DR6">
        <v>2.3000000000999998</v>
      </c>
      <c r="DS6">
        <v>2.4000000012</v>
      </c>
      <c r="DT6">
        <v>2.4000000012</v>
      </c>
      <c r="DU6">
        <v>2.5000000005</v>
      </c>
      <c r="DV6">
        <v>2.5999999998000001</v>
      </c>
      <c r="DW6">
        <v>2.8000000001999998</v>
      </c>
      <c r="DX6">
        <v>3.0000000006</v>
      </c>
      <c r="DY6">
        <v>7.4000000004000004</v>
      </c>
      <c r="DZ6">
        <v>14.200000001399999</v>
      </c>
      <c r="EA6">
        <v>21.800000000400001</v>
      </c>
      <c r="EB6">
        <v>28.700000000799999</v>
      </c>
      <c r="EC6">
        <v>35.5</v>
      </c>
      <c r="ED6">
        <v>43.600000000900003</v>
      </c>
      <c r="EE6">
        <v>51.199999999900001</v>
      </c>
      <c r="EF6">
        <v>58.800000000700003</v>
      </c>
      <c r="EG6">
        <v>66.700000001199996</v>
      </c>
      <c r="EH6">
        <v>75.200000001099994</v>
      </c>
      <c r="EI6">
        <v>82.500000000399993</v>
      </c>
      <c r="EJ6">
        <v>90.400000000999995</v>
      </c>
      <c r="EK6">
        <v>98.900000000899993</v>
      </c>
      <c r="EL6">
        <v>107.1000000011</v>
      </c>
      <c r="EM6">
        <v>115.70000000029999</v>
      </c>
      <c r="EN6">
        <v>125.7000000005</v>
      </c>
      <c r="EO6">
        <v>134.50000000009999</v>
      </c>
      <c r="EP6">
        <v>142.80000000140001</v>
      </c>
      <c r="EQ6">
        <v>152.10000000119999</v>
      </c>
      <c r="ER6">
        <v>160.20000000030001</v>
      </c>
      <c r="ES6">
        <v>168.99999999990001</v>
      </c>
      <c r="ET6">
        <v>178.30000000140001</v>
      </c>
      <c r="EU6">
        <v>186.3000000012</v>
      </c>
      <c r="EV6">
        <v>194.300000001</v>
      </c>
      <c r="EW6">
        <v>203.4000000003</v>
      </c>
      <c r="EX6">
        <v>212.0000000014</v>
      </c>
      <c r="EY6">
        <v>220.50000000130001</v>
      </c>
      <c r="EZ6">
        <v>229.50000000130001</v>
      </c>
      <c r="FA6">
        <v>237.90000000009999</v>
      </c>
      <c r="FB6">
        <v>245.7000000013</v>
      </c>
      <c r="FC6">
        <v>254.3999999998</v>
      </c>
      <c r="FD6">
        <v>262.70000000110002</v>
      </c>
      <c r="FE6">
        <v>270.50000000049999</v>
      </c>
      <c r="FF6">
        <v>279.20000000089999</v>
      </c>
      <c r="FG6">
        <v>287.40000000110001</v>
      </c>
      <c r="FH6">
        <v>294.5</v>
      </c>
      <c r="FI6">
        <v>302.20000000009998</v>
      </c>
      <c r="FJ6">
        <v>310.5000000014</v>
      </c>
      <c r="FK6">
        <v>318.00000000109998</v>
      </c>
      <c r="FL6">
        <v>325.50000000080001</v>
      </c>
      <c r="FM6">
        <v>333.20000000089999</v>
      </c>
      <c r="FN6">
        <v>340.60000000140002</v>
      </c>
      <c r="FO6">
        <v>347.30000000130002</v>
      </c>
      <c r="FP6">
        <v>354.10000000050002</v>
      </c>
      <c r="FQ6">
        <v>361.6000000002</v>
      </c>
      <c r="FR6">
        <v>368.4000000012</v>
      </c>
      <c r="FS6">
        <v>375</v>
      </c>
      <c r="FT6">
        <v>381.6999999999</v>
      </c>
      <c r="FU6">
        <v>388.5000000009</v>
      </c>
      <c r="FV6">
        <v>394.8</v>
      </c>
      <c r="FW6">
        <v>400.40000000039998</v>
      </c>
      <c r="FX6">
        <v>406.50000000099999</v>
      </c>
      <c r="FY6">
        <v>412.9000000012</v>
      </c>
      <c r="FZ6">
        <v>418.90000000060002</v>
      </c>
      <c r="GA6">
        <v>424.30000000059999</v>
      </c>
      <c r="GB6">
        <v>430.20000000070002</v>
      </c>
      <c r="GC6">
        <v>435.7</v>
      </c>
      <c r="GD6">
        <v>441.30000000040002</v>
      </c>
      <c r="GE6">
        <v>445.90000000060002</v>
      </c>
      <c r="GF6">
        <v>448.7000000008</v>
      </c>
      <c r="GG6">
        <v>451.50000000099999</v>
      </c>
      <c r="GH6">
        <v>452.69999999980001</v>
      </c>
      <c r="GI6">
        <v>452.69999999980001</v>
      </c>
      <c r="GJ6">
        <v>452.80000000090001</v>
      </c>
      <c r="GK6">
        <v>452.80000000090001</v>
      </c>
      <c r="GL6">
        <v>452.80000000090001</v>
      </c>
      <c r="GM6">
        <v>452.80000000090001</v>
      </c>
      <c r="GN6">
        <v>452.90000000020001</v>
      </c>
      <c r="GO6">
        <v>452.90000000020001</v>
      </c>
      <c r="GP6">
        <v>452.80000000090001</v>
      </c>
      <c r="GQ6">
        <v>452.90000000020001</v>
      </c>
      <c r="GR6">
        <v>452.90000000020001</v>
      </c>
      <c r="GS6">
        <v>452.90000000020001</v>
      </c>
      <c r="GT6">
        <v>452.80000000090001</v>
      </c>
      <c r="GU6">
        <v>452.80000000090001</v>
      </c>
      <c r="GV6">
        <v>452.90000000020001</v>
      </c>
      <c r="GW6">
        <v>452.90000000020001</v>
      </c>
      <c r="GX6">
        <v>1</v>
      </c>
      <c r="GY6">
        <v>120.7999999988</v>
      </c>
      <c r="GZ6">
        <v>118.0999999997</v>
      </c>
      <c r="HA6">
        <v>118.0999999997</v>
      </c>
      <c r="HB6">
        <v>125.7000000005</v>
      </c>
      <c r="HC6">
        <v>120.1453471685</v>
      </c>
      <c r="HD6">
        <v>-7.6000000007999997</v>
      </c>
      <c r="HE6">
        <v>452.90000000020001</v>
      </c>
      <c r="HF6">
        <v>298.0170879794</v>
      </c>
      <c r="HG6">
        <v>97.389976818600005</v>
      </c>
      <c r="HH6">
        <v>453.00000000130001</v>
      </c>
      <c r="HI6">
        <v>452.90000000020001</v>
      </c>
      <c r="HJ6">
        <v>453.00000000130001</v>
      </c>
      <c r="HK6">
        <v>452.90000000020001</v>
      </c>
      <c r="HL6">
        <v>107.91788856300001</v>
      </c>
      <c r="HM6">
        <v>3.4768992419</v>
      </c>
      <c r="HN6">
        <v>3.3788681462999999</v>
      </c>
      <c r="HO6">
        <v>3.4307666322000001</v>
      </c>
      <c r="HP6">
        <v>3.320128779</v>
      </c>
      <c r="HQ6">
        <v>3.6793052843999998</v>
      </c>
      <c r="HR6">
        <v>2.3462774439</v>
      </c>
      <c r="HS6">
        <v>22.7553703498</v>
      </c>
      <c r="HT6">
        <v>-28.152492668600001</v>
      </c>
      <c r="HU6">
        <v>-192</v>
      </c>
      <c r="HV6">
        <v>418.1624351479</v>
      </c>
      <c r="HW6">
        <v>89.149560117299998</v>
      </c>
      <c r="HX6">
        <v>608</v>
      </c>
      <c r="HY6">
        <v>22.7553703498</v>
      </c>
      <c r="HZ6">
        <v>-28.152492668600001</v>
      </c>
      <c r="IA6">
        <v>-192</v>
      </c>
      <c r="IB6">
        <v>418.1624351479</v>
      </c>
      <c r="IC6">
        <v>89.149560117299998</v>
      </c>
      <c r="ID6">
        <v>608</v>
      </c>
      <c r="IE6">
        <v>34.737564852299997</v>
      </c>
      <c r="IF6">
        <v>1.7067446744999999</v>
      </c>
      <c r="IG6">
        <v>-37.536656891500002</v>
      </c>
      <c r="IH6">
        <v>-256</v>
      </c>
      <c r="II6">
        <v>441.04922176880001</v>
      </c>
      <c r="IJ6">
        <v>98.533724340199996</v>
      </c>
      <c r="IK6">
        <v>672</v>
      </c>
      <c r="IL6">
        <v>395.40706479810001</v>
      </c>
      <c r="IM6">
        <v>117.3020527859</v>
      </c>
      <c r="IN6">
        <v>421.39271442810002</v>
      </c>
      <c r="IO6">
        <v>126.6862170088</v>
      </c>
      <c r="IP6">
        <v>7.5999999989999996</v>
      </c>
      <c r="IQ6">
        <v>6.0999999987000004</v>
      </c>
      <c r="IR6">
        <v>10.0000000002</v>
      </c>
      <c r="IS6">
        <v>5.7449417650000001</v>
      </c>
      <c r="IT6">
        <v>5.7449417650000001</v>
      </c>
      <c r="IU6">
        <v>6.6999999999000002</v>
      </c>
      <c r="IV6">
        <v>-30.4985337243</v>
      </c>
      <c r="IW6">
        <v>9.2999999997000007</v>
      </c>
      <c r="IX6">
        <v>58.651026393000002</v>
      </c>
      <c r="IY6">
        <v>7.8999999987000002</v>
      </c>
      <c r="IZ6">
        <v>96.187683284499997</v>
      </c>
      <c r="JA6">
        <v>-35.049991348699997</v>
      </c>
      <c r="JB6">
        <v>0.32281491299999998</v>
      </c>
      <c r="JC6">
        <v>-3.344787E-4</v>
      </c>
      <c r="JD6">
        <v>6.5150000000000003E-7</v>
      </c>
      <c r="JE6">
        <v>0.28761259109999998</v>
      </c>
      <c r="JF6">
        <v>0.31715161069999998</v>
      </c>
      <c r="JG6">
        <v>0.12552893379999999</v>
      </c>
      <c r="JH6">
        <v>120.51475531219999</v>
      </c>
      <c r="JI6">
        <v>3.6793052843999998</v>
      </c>
      <c r="JJ6">
        <v>3.0538089000000002E-3</v>
      </c>
      <c r="JK6">
        <v>-7.87453E-5</v>
      </c>
      <c r="JL6">
        <v>3.4768992419</v>
      </c>
      <c r="JM6">
        <v>1.6448802811000001</v>
      </c>
      <c r="JN6">
        <v>0.62346064940000001</v>
      </c>
      <c r="JO6">
        <v>3.2394999996</v>
      </c>
      <c r="JP6">
        <v>2.6001249994000002</v>
      </c>
      <c r="JQ6">
        <v>4.2625000001000002</v>
      </c>
      <c r="JR6" s="17" t="s">
        <v>556</v>
      </c>
      <c r="JU6" s="17">
        <v>1</v>
      </c>
    </row>
    <row r="7" spans="1:281">
      <c r="A7" t="s">
        <v>613</v>
      </c>
      <c r="B7" t="s">
        <v>614</v>
      </c>
      <c r="C7" t="s">
        <v>615</v>
      </c>
      <c r="D7" t="s">
        <v>213</v>
      </c>
      <c r="E7">
        <v>3</v>
      </c>
      <c r="F7" t="s">
        <v>214</v>
      </c>
      <c r="G7" t="s">
        <v>215</v>
      </c>
      <c r="H7" t="s">
        <v>555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0</v>
      </c>
      <c r="S7">
        <v>0.7000000005</v>
      </c>
      <c r="T7">
        <v>0.50000000010000001</v>
      </c>
      <c r="U7">
        <v>0.7000000005</v>
      </c>
      <c r="V7">
        <v>0.50000000010000001</v>
      </c>
      <c r="W7">
        <v>0.7000000005</v>
      </c>
      <c r="X7">
        <v>0.79999999980000003</v>
      </c>
      <c r="Y7">
        <v>0.7000000005</v>
      </c>
      <c r="Z7">
        <v>0.7000000005</v>
      </c>
      <c r="AA7">
        <v>0.79999999980000003</v>
      </c>
      <c r="AB7">
        <v>0.59999999940000004</v>
      </c>
      <c r="AC7">
        <v>1.0000000002</v>
      </c>
      <c r="AD7">
        <v>1.0000000002</v>
      </c>
      <c r="AE7">
        <v>1.0000000002</v>
      </c>
      <c r="AF7">
        <v>1.0000000002</v>
      </c>
      <c r="AG7">
        <v>1.0999999995</v>
      </c>
      <c r="AH7">
        <v>1.2000000006</v>
      </c>
      <c r="AI7">
        <v>2.7000000008999998</v>
      </c>
      <c r="AJ7">
        <v>4.6000000001999997</v>
      </c>
      <c r="AK7">
        <v>6.7999999991999998</v>
      </c>
      <c r="AL7">
        <v>12.0999999999</v>
      </c>
      <c r="AM7">
        <v>18.799999999800001</v>
      </c>
      <c r="AN7">
        <v>25.799999999400001</v>
      </c>
      <c r="AO7">
        <v>33.100000000599998</v>
      </c>
      <c r="AP7">
        <v>40.699999999600003</v>
      </c>
      <c r="AQ7">
        <v>48.1</v>
      </c>
      <c r="AR7">
        <v>54.799999999900002</v>
      </c>
      <c r="AS7">
        <v>63.299999999800001</v>
      </c>
      <c r="AT7">
        <v>71.099999999199994</v>
      </c>
      <c r="AU7">
        <v>78.799999999299999</v>
      </c>
      <c r="AV7">
        <v>86.900000000199995</v>
      </c>
      <c r="AW7">
        <v>94.900000000099993</v>
      </c>
      <c r="AX7">
        <v>103.6999999997</v>
      </c>
      <c r="AY7">
        <v>111.0000000008</v>
      </c>
      <c r="AZ7">
        <v>120.6000000002</v>
      </c>
      <c r="BA7">
        <v>128.3000000003</v>
      </c>
      <c r="BB7">
        <v>136.70000000089999</v>
      </c>
      <c r="BC7">
        <v>145.00000000040001</v>
      </c>
      <c r="BD7">
        <v>153.39999999919999</v>
      </c>
      <c r="BE7">
        <v>161.40000000090001</v>
      </c>
      <c r="BF7">
        <v>168.70000000019999</v>
      </c>
      <c r="BG7">
        <v>178.09999999920001</v>
      </c>
      <c r="BH7">
        <v>185.99999999970001</v>
      </c>
      <c r="BI7">
        <v>194.1999999999</v>
      </c>
      <c r="BJ7">
        <v>202.69999999980001</v>
      </c>
      <c r="BK7">
        <v>210.60000000030001</v>
      </c>
      <c r="BL7">
        <v>218.1</v>
      </c>
      <c r="BM7">
        <v>225.50000000049999</v>
      </c>
      <c r="BN7">
        <v>233.70000000069999</v>
      </c>
      <c r="BO7">
        <v>241.90000000090001</v>
      </c>
      <c r="BP7">
        <v>249.59999999920001</v>
      </c>
      <c r="BQ7">
        <v>257.49999999969998</v>
      </c>
      <c r="BR7">
        <v>264.90000000010002</v>
      </c>
      <c r="BS7">
        <v>271.89999999970001</v>
      </c>
      <c r="BT7">
        <v>278.8</v>
      </c>
      <c r="BU7">
        <v>287.00000000030002</v>
      </c>
      <c r="BV7">
        <v>294.20000000030001</v>
      </c>
      <c r="BW7">
        <v>301.49999999959999</v>
      </c>
      <c r="BX7">
        <v>308.60000000029999</v>
      </c>
      <c r="BY7">
        <v>315.69999999919997</v>
      </c>
      <c r="BZ7">
        <v>322.20000000049998</v>
      </c>
      <c r="CA7">
        <v>328.4000000003</v>
      </c>
      <c r="CB7">
        <v>334.8999999998</v>
      </c>
      <c r="CC7">
        <v>342.20000000099998</v>
      </c>
      <c r="CD7">
        <v>348.50000000009999</v>
      </c>
      <c r="CE7">
        <v>354.60000000060001</v>
      </c>
      <c r="CF7">
        <v>361.6000000002</v>
      </c>
      <c r="CG7">
        <v>367.70000000070002</v>
      </c>
      <c r="CH7">
        <v>373.2</v>
      </c>
      <c r="CI7">
        <v>378.89999999970001</v>
      </c>
      <c r="CJ7">
        <v>384.29999999969999</v>
      </c>
      <c r="CK7">
        <v>390.10000000050002</v>
      </c>
      <c r="CL7">
        <v>396.69999999930002</v>
      </c>
      <c r="CM7">
        <v>402.29999999969999</v>
      </c>
      <c r="CN7">
        <v>407.60000000050002</v>
      </c>
      <c r="CO7">
        <v>413.59999999989998</v>
      </c>
      <c r="CP7">
        <v>418.79999999950002</v>
      </c>
      <c r="CQ7">
        <v>423.80000000050001</v>
      </c>
      <c r="CR7">
        <v>428.5999999993</v>
      </c>
      <c r="CS7">
        <v>433.39999999989999</v>
      </c>
      <c r="CT7">
        <v>438.40000000089998</v>
      </c>
      <c r="CU7">
        <v>442.99999999929997</v>
      </c>
      <c r="CV7">
        <v>448.8000000001</v>
      </c>
      <c r="CW7">
        <v>452.60000000050002</v>
      </c>
      <c r="CX7">
        <v>453.60000000069999</v>
      </c>
      <c r="CY7">
        <v>453.7</v>
      </c>
      <c r="CZ7">
        <v>453.49999999959999</v>
      </c>
      <c r="DA7">
        <v>453.60000000069999</v>
      </c>
      <c r="DB7">
        <v>453.79999999929998</v>
      </c>
      <c r="DC7">
        <v>453.79999999929998</v>
      </c>
      <c r="DD7">
        <v>453.79999999929998</v>
      </c>
      <c r="DE7">
        <v>453.90000000039998</v>
      </c>
      <c r="DF7">
        <v>453.7</v>
      </c>
      <c r="DG7">
        <v>453.90000000039998</v>
      </c>
      <c r="DH7">
        <v>1.2999999999</v>
      </c>
      <c r="DI7">
        <v>1.7000000007</v>
      </c>
      <c r="DJ7">
        <v>1.7000000007</v>
      </c>
      <c r="DK7">
        <v>1.8</v>
      </c>
      <c r="DL7">
        <v>1.7000000007</v>
      </c>
      <c r="DM7">
        <v>1.7000000007</v>
      </c>
      <c r="DN7">
        <v>1.7000000007</v>
      </c>
      <c r="DO7">
        <v>1.8</v>
      </c>
      <c r="DP7">
        <v>1.8</v>
      </c>
      <c r="DQ7">
        <v>2.0000000004</v>
      </c>
      <c r="DR7">
        <v>2.0000000004</v>
      </c>
      <c r="DS7">
        <v>1.8</v>
      </c>
      <c r="DT7">
        <v>2.2000000007999998</v>
      </c>
      <c r="DU7">
        <v>1.8999999993000001</v>
      </c>
      <c r="DV7">
        <v>2.2000000007999998</v>
      </c>
      <c r="DW7">
        <v>2.5000000005</v>
      </c>
      <c r="DX7">
        <v>2.5000000005</v>
      </c>
      <c r="DY7">
        <v>4.6999999995000001</v>
      </c>
      <c r="DZ7">
        <v>6.9999999996</v>
      </c>
      <c r="EA7">
        <v>11.0999999997</v>
      </c>
      <c r="EB7">
        <v>17.9000000007</v>
      </c>
      <c r="EC7">
        <v>25.2</v>
      </c>
      <c r="ED7">
        <v>32.600000000500003</v>
      </c>
      <c r="EE7">
        <v>39.899999999800002</v>
      </c>
      <c r="EF7">
        <v>47.800000000300003</v>
      </c>
      <c r="EG7">
        <v>54.700000000599999</v>
      </c>
      <c r="EH7">
        <v>62.700000000400003</v>
      </c>
      <c r="EI7">
        <v>70.499999999799996</v>
      </c>
      <c r="EJ7">
        <v>77.999999999500005</v>
      </c>
      <c r="EK7">
        <v>86.300000000799997</v>
      </c>
      <c r="EL7">
        <v>94.199999999499994</v>
      </c>
      <c r="EM7">
        <v>102.6000000002</v>
      </c>
      <c r="EN7">
        <v>110.3000000003</v>
      </c>
      <c r="EO7">
        <v>119.3999999996</v>
      </c>
      <c r="EP7">
        <v>127.3000000001</v>
      </c>
      <c r="EQ7">
        <v>135.80000000000001</v>
      </c>
      <c r="ER7">
        <v>144.2000000006</v>
      </c>
      <c r="ES7">
        <v>153.0000000002</v>
      </c>
      <c r="ET7">
        <v>160.90000000079999</v>
      </c>
      <c r="EU7">
        <v>168.70000000019999</v>
      </c>
      <c r="EV7">
        <v>177.4999999998</v>
      </c>
      <c r="EW7">
        <v>185.7</v>
      </c>
      <c r="EX7">
        <v>194.1999999999</v>
      </c>
      <c r="EY7">
        <v>202.60000000049999</v>
      </c>
      <c r="EZ7">
        <v>210.80000000070001</v>
      </c>
      <c r="FA7">
        <v>218.19999999929999</v>
      </c>
      <c r="FB7">
        <v>226.09999999990001</v>
      </c>
      <c r="FC7">
        <v>234.59999999979999</v>
      </c>
      <c r="FD7">
        <v>242.50000000029999</v>
      </c>
      <c r="FE7">
        <v>250.70000000050001</v>
      </c>
      <c r="FF7">
        <v>258.7999999996</v>
      </c>
      <c r="FG7">
        <v>266.29999999929998</v>
      </c>
      <c r="FH7">
        <v>273.69999999970003</v>
      </c>
      <c r="FI7">
        <v>280.89999999970001</v>
      </c>
      <c r="FJ7">
        <v>288.89999999960003</v>
      </c>
      <c r="FK7">
        <v>296.20000000070002</v>
      </c>
      <c r="FL7">
        <v>303.5999999993</v>
      </c>
      <c r="FM7">
        <v>311.29999999939997</v>
      </c>
      <c r="FN7">
        <v>318.19999999970003</v>
      </c>
      <c r="FO7">
        <v>324.50000000059998</v>
      </c>
      <c r="FP7">
        <v>330.90000000079999</v>
      </c>
      <c r="FQ7">
        <v>337.79999999929998</v>
      </c>
      <c r="FR7">
        <v>344.99999999929997</v>
      </c>
      <c r="FS7">
        <v>351.69999999930002</v>
      </c>
      <c r="FT7">
        <v>358.50000000030002</v>
      </c>
      <c r="FU7">
        <v>364.99999999980002</v>
      </c>
      <c r="FV7">
        <v>370.99999999919999</v>
      </c>
      <c r="FW7">
        <v>376.8</v>
      </c>
      <c r="FX7">
        <v>382.49999999969998</v>
      </c>
      <c r="FY7">
        <v>388.30000000050001</v>
      </c>
      <c r="FZ7">
        <v>394.59999999960002</v>
      </c>
      <c r="GA7">
        <v>400.2</v>
      </c>
      <c r="GB7">
        <v>405.89999999970001</v>
      </c>
      <c r="GC7">
        <v>411.29999999979998</v>
      </c>
      <c r="GD7">
        <v>416.90000000020001</v>
      </c>
      <c r="GE7">
        <v>422.00000000049999</v>
      </c>
      <c r="GF7">
        <v>426.60000000069999</v>
      </c>
      <c r="GG7">
        <v>431.39999999949998</v>
      </c>
      <c r="GH7">
        <v>436.20000000009998</v>
      </c>
      <c r="GI7">
        <v>440.59999999989998</v>
      </c>
      <c r="GJ7">
        <v>445.40000000049997</v>
      </c>
      <c r="GK7">
        <v>449.59999999989998</v>
      </c>
      <c r="GL7">
        <v>452.80000000090001</v>
      </c>
      <c r="GM7">
        <v>453.49999999959999</v>
      </c>
      <c r="GN7">
        <v>453.7</v>
      </c>
      <c r="GO7">
        <v>453.60000000069999</v>
      </c>
      <c r="GP7">
        <v>453.7</v>
      </c>
      <c r="GQ7">
        <v>453.7</v>
      </c>
      <c r="GR7">
        <v>453.7</v>
      </c>
      <c r="GS7">
        <v>453.79999999929998</v>
      </c>
      <c r="GT7">
        <v>453.79999999929998</v>
      </c>
      <c r="GU7">
        <v>453.79999999929998</v>
      </c>
      <c r="GV7">
        <v>453.79999999929998</v>
      </c>
      <c r="GW7">
        <v>453.90000000039998</v>
      </c>
      <c r="GX7">
        <v>1</v>
      </c>
      <c r="GY7">
        <v>105.60000000079999</v>
      </c>
      <c r="GZ7">
        <v>103.6999999997</v>
      </c>
      <c r="HA7">
        <v>103.6999999997</v>
      </c>
      <c r="HB7">
        <v>110.3000000003</v>
      </c>
      <c r="HC7">
        <v>105.2558493058</v>
      </c>
      <c r="HD7">
        <v>-6.6000000005999997</v>
      </c>
      <c r="HE7">
        <v>453.90000000039998</v>
      </c>
      <c r="HF7">
        <v>293.63686935480001</v>
      </c>
      <c r="HG7">
        <v>86.1456488213</v>
      </c>
      <c r="HH7">
        <v>453.90000000039998</v>
      </c>
      <c r="HI7">
        <v>453.90000000039998</v>
      </c>
      <c r="HJ7">
        <v>453.90000000039998</v>
      </c>
      <c r="HK7">
        <v>453.90000000039998</v>
      </c>
      <c r="HL7">
        <v>119.6480938416</v>
      </c>
      <c r="HM7">
        <v>3.3312861069999999</v>
      </c>
      <c r="HN7">
        <v>3.2294709926</v>
      </c>
      <c r="HO7">
        <v>3.2891121082999999</v>
      </c>
      <c r="HP7">
        <v>3.2294494321</v>
      </c>
      <c r="HQ7">
        <v>3.5210883366000001</v>
      </c>
      <c r="HR7">
        <v>2.2757869904999999</v>
      </c>
      <c r="HS7">
        <v>19.110200484500002</v>
      </c>
      <c r="HT7">
        <v>-25.806451612899998</v>
      </c>
      <c r="HU7">
        <v>-176</v>
      </c>
      <c r="HV7">
        <v>398.8927186606</v>
      </c>
      <c r="HW7">
        <v>91.495601172999997</v>
      </c>
      <c r="HX7">
        <v>624</v>
      </c>
      <c r="HY7">
        <v>19.110200484500002</v>
      </c>
      <c r="HZ7">
        <v>-25.806451612899998</v>
      </c>
      <c r="IA7">
        <v>-176</v>
      </c>
      <c r="IB7">
        <v>398.8927186606</v>
      </c>
      <c r="IC7">
        <v>91.495601172999997</v>
      </c>
      <c r="ID7">
        <v>624</v>
      </c>
      <c r="IE7">
        <v>55.007281339800002</v>
      </c>
      <c r="IF7">
        <v>2.7163031514</v>
      </c>
      <c r="IG7">
        <v>-35.190615835800003</v>
      </c>
      <c r="IH7">
        <v>-240</v>
      </c>
      <c r="II7">
        <v>421.33192333160002</v>
      </c>
      <c r="IJ7">
        <v>100.87976539589999</v>
      </c>
      <c r="IK7">
        <v>688</v>
      </c>
      <c r="IL7">
        <v>379.78251817609998</v>
      </c>
      <c r="IM7">
        <v>117.3020527859</v>
      </c>
      <c r="IN7">
        <v>403.48130645570001</v>
      </c>
      <c r="IO7">
        <v>126.6862170088</v>
      </c>
      <c r="IP7">
        <v>6.8000000009999999</v>
      </c>
      <c r="IQ7">
        <v>5.9999999994</v>
      </c>
      <c r="IR7">
        <v>9.5999999993999996</v>
      </c>
      <c r="IS7">
        <v>6.1619511524000004</v>
      </c>
      <c r="IT7">
        <v>6.1619511524000004</v>
      </c>
      <c r="IU7">
        <v>5.8000000007999999</v>
      </c>
      <c r="IV7">
        <v>-28.152492668600001</v>
      </c>
      <c r="IW7">
        <v>10.3999999992</v>
      </c>
      <c r="IX7">
        <v>77.419354838700002</v>
      </c>
      <c r="IY7">
        <v>9.2999999997000007</v>
      </c>
      <c r="IZ7">
        <v>98.533724340199996</v>
      </c>
      <c r="JA7">
        <v>-31.846462256599999</v>
      </c>
      <c r="JB7">
        <v>0.33007176059999999</v>
      </c>
      <c r="JC7">
        <v>-3.3226110000000002E-4</v>
      </c>
      <c r="JD7">
        <v>7.0029999999999999E-7</v>
      </c>
      <c r="JE7">
        <v>0.3001843636</v>
      </c>
      <c r="JF7">
        <v>0.2583417334</v>
      </c>
      <c r="JG7">
        <v>0.1126314595</v>
      </c>
      <c r="JH7">
        <v>105.63484361579999</v>
      </c>
      <c r="JI7">
        <v>3.5210883366000001</v>
      </c>
      <c r="JJ7">
        <v>2.9102374000000001E-3</v>
      </c>
      <c r="JK7">
        <v>-7.0790200000000005E-5</v>
      </c>
      <c r="JL7">
        <v>3.3312861069999999</v>
      </c>
      <c r="JM7">
        <v>1.1873844388000001</v>
      </c>
      <c r="JN7">
        <v>0.53599264089999998</v>
      </c>
      <c r="JO7">
        <v>2.8985000003999999</v>
      </c>
      <c r="JP7">
        <v>2.5574999997000001</v>
      </c>
      <c r="JQ7">
        <v>4.0919999996999996</v>
      </c>
      <c r="JR7" s="17" t="s">
        <v>556</v>
      </c>
      <c r="JU7" s="17">
        <v>1</v>
      </c>
    </row>
    <row r="8" spans="1:281">
      <c r="A8" t="s">
        <v>632</v>
      </c>
      <c r="B8" t="s">
        <v>633</v>
      </c>
      <c r="C8" t="s">
        <v>634</v>
      </c>
      <c r="D8" t="s">
        <v>213</v>
      </c>
      <c r="E8">
        <v>3</v>
      </c>
      <c r="F8" t="s">
        <v>214</v>
      </c>
      <c r="G8" t="s">
        <v>215</v>
      </c>
      <c r="H8" t="s">
        <v>555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0</v>
      </c>
      <c r="S8">
        <v>0.49999999830000003</v>
      </c>
      <c r="T8">
        <v>0.49999999830000003</v>
      </c>
      <c r="U8">
        <v>0.49999999830000003</v>
      </c>
      <c r="V8">
        <v>0.49999999830000003</v>
      </c>
      <c r="W8">
        <v>0.49999999830000003</v>
      </c>
      <c r="X8">
        <v>0.69999999869999996</v>
      </c>
      <c r="Y8">
        <v>0.59999999940000004</v>
      </c>
      <c r="Z8">
        <v>0.69999999869999996</v>
      </c>
      <c r="AA8">
        <v>0.59999999940000004</v>
      </c>
      <c r="AB8">
        <v>0.69999999869999996</v>
      </c>
      <c r="AC8">
        <v>0.89999999909999995</v>
      </c>
      <c r="AD8">
        <v>0.59999999940000004</v>
      </c>
      <c r="AE8">
        <v>0.89999999909999995</v>
      </c>
      <c r="AF8">
        <v>0.89999999909999995</v>
      </c>
      <c r="AG8">
        <v>0.89999999909999995</v>
      </c>
      <c r="AH8">
        <v>2.9999999987999999</v>
      </c>
      <c r="AI8">
        <v>5.6999999997000002</v>
      </c>
      <c r="AJ8">
        <v>9.8999999991000003</v>
      </c>
      <c r="AK8">
        <v>16.299999999299999</v>
      </c>
      <c r="AL8">
        <v>23.299999998899999</v>
      </c>
      <c r="AM8">
        <v>30.8999999997</v>
      </c>
      <c r="AN8">
        <v>38.299999998300002</v>
      </c>
      <c r="AO8">
        <v>45.5999999995</v>
      </c>
      <c r="AP8">
        <v>52.799999999500002</v>
      </c>
      <c r="AQ8">
        <v>60.199999999900001</v>
      </c>
      <c r="AR8">
        <v>68.299999998999994</v>
      </c>
      <c r="AS8">
        <v>75.899999999800002</v>
      </c>
      <c r="AT8">
        <v>84.499999998999996</v>
      </c>
      <c r="AU8">
        <v>92.399999999499997</v>
      </c>
      <c r="AV8">
        <v>100.39999999939999</v>
      </c>
      <c r="AW8">
        <v>107.79999999979999</v>
      </c>
      <c r="AX8">
        <v>116.8999999991</v>
      </c>
      <c r="AY8">
        <v>125.399999999</v>
      </c>
      <c r="AZ8">
        <v>134.49999999830001</v>
      </c>
      <c r="BA8">
        <v>142.6999999985</v>
      </c>
      <c r="BB8">
        <v>150.9999999998</v>
      </c>
      <c r="BC8">
        <v>158.7999999992</v>
      </c>
      <c r="BD8">
        <v>166.99999999950001</v>
      </c>
      <c r="BE8">
        <v>175.59999999870001</v>
      </c>
      <c r="BF8">
        <v>184.1999999997</v>
      </c>
      <c r="BG8">
        <v>192.79999999890001</v>
      </c>
      <c r="BH8">
        <v>200.9999999991</v>
      </c>
      <c r="BI8">
        <v>208.6999999992</v>
      </c>
      <c r="BJ8">
        <v>216.89999999939999</v>
      </c>
      <c r="BK8">
        <v>225.19999999890001</v>
      </c>
      <c r="BL8">
        <v>233.2999999999</v>
      </c>
      <c r="BM8">
        <v>241.9999999984</v>
      </c>
      <c r="BN8">
        <v>249.7999999996</v>
      </c>
      <c r="BO8">
        <v>257.69999999829997</v>
      </c>
      <c r="BP8">
        <v>265.19999999980001</v>
      </c>
      <c r="BQ8">
        <v>273.19999999959998</v>
      </c>
      <c r="BR8">
        <v>280.79999999860001</v>
      </c>
      <c r="BS8">
        <v>288.49999999869999</v>
      </c>
      <c r="BT8">
        <v>296.5999999997</v>
      </c>
      <c r="BU8">
        <v>303.89999999899999</v>
      </c>
      <c r="BV8">
        <v>310.89999999859998</v>
      </c>
      <c r="BW8">
        <v>318.09999999860003</v>
      </c>
      <c r="BX8">
        <v>325.10000000000002</v>
      </c>
      <c r="BY8">
        <v>332.699999999</v>
      </c>
      <c r="BZ8">
        <v>339.69999999859999</v>
      </c>
      <c r="CA8">
        <v>346.69999999819998</v>
      </c>
      <c r="CB8">
        <v>353.49999999929997</v>
      </c>
      <c r="CC8">
        <v>359.99999999879998</v>
      </c>
      <c r="CD8">
        <v>366.49999999829998</v>
      </c>
      <c r="CE8">
        <v>372.39999999840001</v>
      </c>
      <c r="CF8">
        <v>378.79999999860001</v>
      </c>
      <c r="CG8">
        <v>385.39999999920002</v>
      </c>
      <c r="CH8">
        <v>391.69999999829997</v>
      </c>
      <c r="CI8">
        <v>398.09999999849998</v>
      </c>
      <c r="CJ8">
        <v>403.8</v>
      </c>
      <c r="CK8">
        <v>409.79999999939997</v>
      </c>
      <c r="CL8">
        <v>415.59999999839999</v>
      </c>
      <c r="CM8">
        <v>420.99999999850002</v>
      </c>
      <c r="CN8">
        <v>426.7</v>
      </c>
      <c r="CO8">
        <v>432.19999999930002</v>
      </c>
      <c r="CP8">
        <v>436.59999999910002</v>
      </c>
      <c r="CQ8">
        <v>436.99999999990001</v>
      </c>
      <c r="CR8">
        <v>436.89999999880001</v>
      </c>
      <c r="CS8">
        <v>436.89999999880001</v>
      </c>
      <c r="CT8">
        <v>436.89999999880001</v>
      </c>
      <c r="CU8">
        <v>437.09999999920001</v>
      </c>
      <c r="CV8">
        <v>436.99999999990001</v>
      </c>
      <c r="CW8">
        <v>436.99999999990001</v>
      </c>
      <c r="CX8">
        <v>437.09999999920001</v>
      </c>
      <c r="CY8">
        <v>436.99999999990001</v>
      </c>
      <c r="CZ8">
        <v>436.89999999880001</v>
      </c>
      <c r="DA8">
        <v>436.89999999880001</v>
      </c>
      <c r="DB8">
        <v>436.89999999880001</v>
      </c>
      <c r="DC8">
        <v>436.99999999990001</v>
      </c>
      <c r="DD8">
        <v>436.99999999990001</v>
      </c>
      <c r="DE8">
        <v>436.89999999880001</v>
      </c>
      <c r="DF8">
        <v>436.89999999880001</v>
      </c>
      <c r="DG8">
        <v>436.99999999990001</v>
      </c>
      <c r="DH8">
        <v>1.0999999995</v>
      </c>
      <c r="DI8">
        <v>1.8</v>
      </c>
      <c r="DJ8">
        <v>1.8</v>
      </c>
      <c r="DK8">
        <v>1.6999999989000001</v>
      </c>
      <c r="DL8">
        <v>1.8999999993000001</v>
      </c>
      <c r="DM8">
        <v>1.8999999993000001</v>
      </c>
      <c r="DN8">
        <v>1.9999999986000001</v>
      </c>
      <c r="DO8">
        <v>1.8999999993000001</v>
      </c>
      <c r="DP8">
        <v>1.8</v>
      </c>
      <c r="DQ8">
        <v>1.6999999989000001</v>
      </c>
      <c r="DR8">
        <v>1.9999999986000001</v>
      </c>
      <c r="DS8">
        <v>1.9999999986000001</v>
      </c>
      <c r="DT8">
        <v>1.9999999986000001</v>
      </c>
      <c r="DU8">
        <v>2.1999999990000001</v>
      </c>
      <c r="DV8">
        <v>1.9999999986000001</v>
      </c>
      <c r="DW8">
        <v>2.7999999984000001</v>
      </c>
      <c r="DX8">
        <v>5.9999999994</v>
      </c>
      <c r="DY8">
        <v>9.0999999992999996</v>
      </c>
      <c r="DZ8">
        <v>15.199999999799999</v>
      </c>
      <c r="EA8">
        <v>21.8999999997</v>
      </c>
      <c r="EB8">
        <v>29.8999999995</v>
      </c>
      <c r="EC8">
        <v>37.099999999600001</v>
      </c>
      <c r="ED8">
        <v>44.099999999200001</v>
      </c>
      <c r="EE8">
        <v>51.4999999996</v>
      </c>
      <c r="EF8">
        <v>58.999999999300002</v>
      </c>
      <c r="EG8">
        <v>66.899999999800002</v>
      </c>
      <c r="EH8">
        <v>74.699999999200003</v>
      </c>
      <c r="EI8">
        <v>82.999999998700005</v>
      </c>
      <c r="EJ8">
        <v>91.099999999600001</v>
      </c>
      <c r="EK8">
        <v>98.699999998600006</v>
      </c>
      <c r="EL8">
        <v>106.59999999919999</v>
      </c>
      <c r="EM8">
        <v>114.9999999998</v>
      </c>
      <c r="EN8">
        <v>123.6999999983</v>
      </c>
      <c r="EO8">
        <v>132.9999999998</v>
      </c>
      <c r="EP8">
        <v>141.39999999860001</v>
      </c>
      <c r="EQ8">
        <v>149.49999999950001</v>
      </c>
      <c r="ER8">
        <v>157.5999999986</v>
      </c>
      <c r="ES8">
        <v>165.79999999890001</v>
      </c>
      <c r="ET8">
        <v>174.49999999920001</v>
      </c>
      <c r="EU8">
        <v>182.9999999991</v>
      </c>
      <c r="EV8">
        <v>191.59999999830001</v>
      </c>
      <c r="EW8">
        <v>200.19999999929999</v>
      </c>
      <c r="EX8">
        <v>207.99999999869999</v>
      </c>
      <c r="EY8">
        <v>216.4999999986</v>
      </c>
      <c r="EZ8">
        <v>224.89999999930001</v>
      </c>
      <c r="FA8">
        <v>232.8999999991</v>
      </c>
      <c r="FB8">
        <v>241.8999999991</v>
      </c>
      <c r="FC8">
        <v>250.19999999859999</v>
      </c>
      <c r="FD8">
        <v>257.69999999829997</v>
      </c>
      <c r="FE8">
        <v>265.6999999999</v>
      </c>
      <c r="FF8">
        <v>273.39999999999998</v>
      </c>
      <c r="FG8">
        <v>281.4999999991</v>
      </c>
      <c r="FH8">
        <v>289.29999999850003</v>
      </c>
      <c r="FI8">
        <v>297.19999999909999</v>
      </c>
      <c r="FJ8">
        <v>304.89999999920002</v>
      </c>
      <c r="FK8">
        <v>311.99999999990001</v>
      </c>
      <c r="FL8">
        <v>319.39999999849999</v>
      </c>
      <c r="FM8">
        <v>326.59999999849998</v>
      </c>
      <c r="FN8">
        <v>333.79999999850003</v>
      </c>
      <c r="FO8">
        <v>341.39999999930001</v>
      </c>
      <c r="FP8">
        <v>348.3999999989</v>
      </c>
      <c r="FQ8">
        <v>355.09999999889999</v>
      </c>
      <c r="FR8">
        <v>362.09999999849998</v>
      </c>
      <c r="FS8">
        <v>368.2999999983</v>
      </c>
      <c r="FT8">
        <v>374.49999999990001</v>
      </c>
      <c r="FU8">
        <v>380.99999999940002</v>
      </c>
      <c r="FV8">
        <v>387.39999999960003</v>
      </c>
      <c r="FW8">
        <v>393.99999999840003</v>
      </c>
      <c r="FX8">
        <v>400.09999999889999</v>
      </c>
      <c r="FY8">
        <v>405.89999999970001</v>
      </c>
      <c r="FZ8">
        <v>411.79999999990002</v>
      </c>
      <c r="GA8">
        <v>417.1999999999</v>
      </c>
      <c r="GB8">
        <v>422.49999999879998</v>
      </c>
      <c r="GC8">
        <v>427.79999999950002</v>
      </c>
      <c r="GD8">
        <v>432.7999999987</v>
      </c>
      <c r="GE8">
        <v>436.79999999950002</v>
      </c>
      <c r="GF8">
        <v>436.79999999950002</v>
      </c>
      <c r="GG8">
        <v>436.89999999880001</v>
      </c>
      <c r="GH8">
        <v>436.89999999880001</v>
      </c>
      <c r="GI8">
        <v>436.99999999990001</v>
      </c>
      <c r="GJ8">
        <v>436.99999999990001</v>
      </c>
      <c r="GK8">
        <v>436.79999999950002</v>
      </c>
      <c r="GL8">
        <v>436.89999999880001</v>
      </c>
      <c r="GM8">
        <v>436.99999999990001</v>
      </c>
      <c r="GN8">
        <v>436.99999999990001</v>
      </c>
      <c r="GO8">
        <v>436.99999999990001</v>
      </c>
      <c r="GP8">
        <v>437.09999999920001</v>
      </c>
      <c r="GQ8">
        <v>436.89999999880001</v>
      </c>
      <c r="GR8">
        <v>436.89999999880001</v>
      </c>
      <c r="GS8">
        <v>436.99999999990001</v>
      </c>
      <c r="GT8">
        <v>436.89999999880001</v>
      </c>
      <c r="GU8">
        <v>437.09999999920001</v>
      </c>
      <c r="GV8">
        <v>437.1999999985</v>
      </c>
      <c r="GW8">
        <v>437.09999999920001</v>
      </c>
      <c r="GX8">
        <v>1</v>
      </c>
      <c r="GY8">
        <v>119.5000000007</v>
      </c>
      <c r="GZ8">
        <v>116.8999999991</v>
      </c>
      <c r="HA8">
        <v>116.8999999991</v>
      </c>
      <c r="HB8">
        <v>123.6999999983</v>
      </c>
      <c r="HC8">
        <v>118.77173092210001</v>
      </c>
      <c r="HD8">
        <v>-6.7999999991999998</v>
      </c>
      <c r="HE8">
        <v>437.09999999920001</v>
      </c>
      <c r="HF8">
        <v>286.50273424170001</v>
      </c>
      <c r="HG8">
        <v>95.070037752999994</v>
      </c>
      <c r="HH8">
        <v>437.1999999985</v>
      </c>
      <c r="HI8">
        <v>437.1999999985</v>
      </c>
      <c r="HJ8">
        <v>437.09999999920001</v>
      </c>
      <c r="HK8">
        <v>437.1999999985</v>
      </c>
      <c r="HL8">
        <v>100.87976539589999</v>
      </c>
      <c r="HM8">
        <v>3.4133795654000001</v>
      </c>
      <c r="HN8">
        <v>3.3187436342000001</v>
      </c>
      <c r="HO8">
        <v>3.3691378620000001</v>
      </c>
      <c r="HP8">
        <v>3.1967608372999998</v>
      </c>
      <c r="HQ8">
        <v>3.5733127682000001</v>
      </c>
      <c r="HR8">
        <v>2.4123448546000001</v>
      </c>
      <c r="HS8">
        <v>23.7016931691</v>
      </c>
      <c r="HT8">
        <v>-28.152492668600001</v>
      </c>
      <c r="HU8">
        <v>-192</v>
      </c>
      <c r="HV8">
        <v>405.27446516380002</v>
      </c>
      <c r="HW8">
        <v>86.803519061599999</v>
      </c>
      <c r="HX8">
        <v>592</v>
      </c>
      <c r="HY8">
        <v>23.7016931691</v>
      </c>
      <c r="HZ8">
        <v>-28.152492668600001</v>
      </c>
      <c r="IA8">
        <v>-192</v>
      </c>
      <c r="IB8">
        <v>405.27446516380002</v>
      </c>
      <c r="IC8">
        <v>86.803519061599999</v>
      </c>
      <c r="ID8">
        <v>592</v>
      </c>
      <c r="IE8">
        <v>31.925534834699999</v>
      </c>
      <c r="IF8">
        <v>3.0308889131000001</v>
      </c>
      <c r="IG8">
        <v>-37.536656891500002</v>
      </c>
      <c r="IH8">
        <v>-256</v>
      </c>
      <c r="II8">
        <v>427.6031804136</v>
      </c>
      <c r="IJ8">
        <v>96.187683284499997</v>
      </c>
      <c r="IK8">
        <v>656</v>
      </c>
      <c r="IL8">
        <v>381.57277199470002</v>
      </c>
      <c r="IM8">
        <v>114.9560117302</v>
      </c>
      <c r="IN8">
        <v>406.74906761310001</v>
      </c>
      <c r="IO8">
        <v>124.3401759531</v>
      </c>
      <c r="IP8">
        <v>6.9999999996</v>
      </c>
      <c r="IQ8">
        <v>5.7000000015000003</v>
      </c>
      <c r="IR8">
        <v>9.3000000015000008</v>
      </c>
      <c r="IS8">
        <v>5.5135193093000003</v>
      </c>
      <c r="IT8">
        <v>5.5135193093000003</v>
      </c>
      <c r="IU8">
        <v>5.6000000003999997</v>
      </c>
      <c r="IV8">
        <v>-30.4985337243</v>
      </c>
      <c r="IW8">
        <v>8.7000000002999993</v>
      </c>
      <c r="IX8">
        <v>49.266862170099998</v>
      </c>
      <c r="IY8">
        <v>6.9000000003000004</v>
      </c>
      <c r="IZ8">
        <v>93.841642228699996</v>
      </c>
      <c r="JA8">
        <v>-35.812788100100001</v>
      </c>
      <c r="JB8">
        <v>0.33296697580000001</v>
      </c>
      <c r="JC8">
        <v>-3.4546540000000001E-4</v>
      </c>
      <c r="JD8">
        <v>6.6629999999999998E-7</v>
      </c>
      <c r="JE8">
        <v>0.29296478190000003</v>
      </c>
      <c r="JF8">
        <v>0.2521056445</v>
      </c>
      <c r="JG8">
        <v>9.7947970100000004E-2</v>
      </c>
      <c r="JH8">
        <v>119.22711538519999</v>
      </c>
      <c r="JI8">
        <v>3.5733127682000001</v>
      </c>
      <c r="JJ8">
        <v>3.4121963999999999E-3</v>
      </c>
      <c r="JK8">
        <v>-7.7566199999999996E-5</v>
      </c>
      <c r="JL8">
        <v>3.4133795654000001</v>
      </c>
      <c r="JM8">
        <v>1.2285455466999999</v>
      </c>
      <c r="JN8">
        <v>0.46537621680000002</v>
      </c>
      <c r="JO8">
        <v>2.9837499998000001</v>
      </c>
      <c r="JP8">
        <v>2.4296250007000002</v>
      </c>
      <c r="JQ8">
        <v>3.9641250007000002</v>
      </c>
      <c r="JR8" s="17" t="s">
        <v>556</v>
      </c>
      <c r="JU8" s="17">
        <v>1</v>
      </c>
    </row>
    <row r="9" spans="1:281">
      <c r="A9" t="s">
        <v>643</v>
      </c>
      <c r="B9" t="s">
        <v>644</v>
      </c>
      <c r="C9" t="s">
        <v>645</v>
      </c>
      <c r="D9" t="s">
        <v>213</v>
      </c>
      <c r="E9">
        <v>3</v>
      </c>
      <c r="F9" t="s">
        <v>214</v>
      </c>
      <c r="G9" t="s">
        <v>215</v>
      </c>
      <c r="H9" t="s">
        <v>555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0</v>
      </c>
      <c r="S9">
        <v>0.29999999970000002</v>
      </c>
      <c r="T9">
        <v>0.49999999830000003</v>
      </c>
      <c r="U9">
        <v>0.49999999830000003</v>
      </c>
      <c r="V9">
        <v>0.49999999830000003</v>
      </c>
      <c r="W9">
        <v>0.49999999830000003</v>
      </c>
      <c r="X9">
        <v>0.49999999830000003</v>
      </c>
      <c r="Y9">
        <v>0.49999999830000003</v>
      </c>
      <c r="Z9">
        <v>0.59999999940000004</v>
      </c>
      <c r="AA9">
        <v>0.69999999869999996</v>
      </c>
      <c r="AB9">
        <v>0.59999999940000004</v>
      </c>
      <c r="AC9">
        <v>0.69999999869999996</v>
      </c>
      <c r="AD9">
        <v>0.79999999980000003</v>
      </c>
      <c r="AE9">
        <v>0.59999999940000004</v>
      </c>
      <c r="AF9">
        <v>0.79999999980000003</v>
      </c>
      <c r="AG9">
        <v>0.69999999869999996</v>
      </c>
      <c r="AH9">
        <v>0.99999999839999998</v>
      </c>
      <c r="AI9">
        <v>3.0999999999000001</v>
      </c>
      <c r="AJ9">
        <v>5.0999999985000004</v>
      </c>
      <c r="AK9">
        <v>11.299999998300001</v>
      </c>
      <c r="AL9">
        <v>18.499999998300002</v>
      </c>
      <c r="AM9">
        <v>25.399999998599998</v>
      </c>
      <c r="AN9">
        <v>32.4000000001</v>
      </c>
      <c r="AO9">
        <v>39.299999998499999</v>
      </c>
      <c r="AP9">
        <v>46.499999998600003</v>
      </c>
      <c r="AQ9">
        <v>53.999999998299998</v>
      </c>
      <c r="AR9">
        <v>61.5999999991</v>
      </c>
      <c r="AS9">
        <v>69.799999999299999</v>
      </c>
      <c r="AT9">
        <v>77.699999999799999</v>
      </c>
      <c r="AU9">
        <v>85.399999999900004</v>
      </c>
      <c r="AV9">
        <v>92.999999998899995</v>
      </c>
      <c r="AW9">
        <v>100.8999999995</v>
      </c>
      <c r="AX9">
        <v>109.2999999983</v>
      </c>
      <c r="AY9">
        <v>118.0999999997</v>
      </c>
      <c r="AZ9">
        <v>126.89999999929999</v>
      </c>
      <c r="BA9">
        <v>134.9999999984</v>
      </c>
      <c r="BB9">
        <v>142.8999999989</v>
      </c>
      <c r="BC9">
        <v>150.49999999970001</v>
      </c>
      <c r="BD9">
        <v>158.89999999849999</v>
      </c>
      <c r="BE9">
        <v>167.0999999988</v>
      </c>
      <c r="BF9">
        <v>175.39999999829999</v>
      </c>
      <c r="BG9">
        <v>184.0999999986</v>
      </c>
      <c r="BH9">
        <v>192.19999999949999</v>
      </c>
      <c r="BI9">
        <v>199.6999999992</v>
      </c>
      <c r="BJ9">
        <v>207.7999999983</v>
      </c>
      <c r="BK9">
        <v>215.6999999988</v>
      </c>
      <c r="BL9">
        <v>223.89999999899999</v>
      </c>
      <c r="BM9">
        <v>232</v>
      </c>
      <c r="BN9">
        <v>239.6999999983</v>
      </c>
      <c r="BO9">
        <v>247.49999999950001</v>
      </c>
      <c r="BP9">
        <v>254.79999999879999</v>
      </c>
      <c r="BQ9">
        <v>262.39999999960003</v>
      </c>
      <c r="BR9">
        <v>269.89999999930001</v>
      </c>
      <c r="BS9">
        <v>277.29999999969999</v>
      </c>
      <c r="BT9">
        <v>285.09999999910002</v>
      </c>
      <c r="BU9">
        <v>292.59999999889999</v>
      </c>
      <c r="BV9">
        <v>299.49999999919999</v>
      </c>
      <c r="BW9">
        <v>306.19999999909999</v>
      </c>
      <c r="BX9">
        <v>313.19999999869998</v>
      </c>
      <c r="BY9">
        <v>319.89999999859998</v>
      </c>
      <c r="BZ9">
        <v>326.09999999839999</v>
      </c>
      <c r="CA9">
        <v>333.79999999850003</v>
      </c>
      <c r="CB9">
        <v>340.79999999990002</v>
      </c>
      <c r="CC9">
        <v>347.29999999939997</v>
      </c>
      <c r="CD9">
        <v>353.4</v>
      </c>
      <c r="CE9">
        <v>359.49999999869999</v>
      </c>
      <c r="CF9">
        <v>365.6999999985</v>
      </c>
      <c r="CG9">
        <v>371.59999999860003</v>
      </c>
      <c r="CH9">
        <v>377.0999999997</v>
      </c>
      <c r="CI9">
        <v>383.09999999910002</v>
      </c>
      <c r="CJ9">
        <v>389.79999999900002</v>
      </c>
      <c r="CK9">
        <v>395.99999999879998</v>
      </c>
      <c r="CL9">
        <v>401.59999999920001</v>
      </c>
      <c r="CM9">
        <v>406.79999999879999</v>
      </c>
      <c r="CN9">
        <v>412.19999999880002</v>
      </c>
      <c r="CO9">
        <v>417.1999999999</v>
      </c>
      <c r="CP9">
        <v>422.69999999919997</v>
      </c>
      <c r="CQ9">
        <v>427.29999999939997</v>
      </c>
      <c r="CR9">
        <v>432.49999999900001</v>
      </c>
      <c r="CS9">
        <v>437.79999999969999</v>
      </c>
      <c r="CT9">
        <v>443.69999999980001</v>
      </c>
      <c r="CU9">
        <v>448.7999999983</v>
      </c>
      <c r="CV9">
        <v>453.49999999959999</v>
      </c>
      <c r="CW9">
        <v>453.59999999889999</v>
      </c>
      <c r="CX9">
        <v>453.59999999889999</v>
      </c>
      <c r="CY9">
        <v>453.79999999929998</v>
      </c>
      <c r="CZ9">
        <v>453.79999999929998</v>
      </c>
      <c r="DA9">
        <v>453.99999999969998</v>
      </c>
      <c r="DB9">
        <v>453.99999999969998</v>
      </c>
      <c r="DC9">
        <v>453.79999999929998</v>
      </c>
      <c r="DD9">
        <v>453.79999999929998</v>
      </c>
      <c r="DE9">
        <v>453.99999999969998</v>
      </c>
      <c r="DF9">
        <v>453.79999999929998</v>
      </c>
      <c r="DG9">
        <v>453.79999999929998</v>
      </c>
      <c r="DH9">
        <v>1.0999999995</v>
      </c>
      <c r="DI9">
        <v>1.5999999996000001</v>
      </c>
      <c r="DJ9">
        <v>1.5999999996000001</v>
      </c>
      <c r="DK9">
        <v>1.5999999996000001</v>
      </c>
      <c r="DL9">
        <v>1.5999999996000001</v>
      </c>
      <c r="DM9">
        <v>1.6999999989000001</v>
      </c>
      <c r="DN9">
        <v>1.8</v>
      </c>
      <c r="DO9">
        <v>1.6999999989000001</v>
      </c>
      <c r="DP9">
        <v>1.6999999989000001</v>
      </c>
      <c r="DQ9">
        <v>1.8</v>
      </c>
      <c r="DR9">
        <v>1.8999999993000001</v>
      </c>
      <c r="DS9">
        <v>1.6999999989000001</v>
      </c>
      <c r="DT9">
        <v>1.8</v>
      </c>
      <c r="DU9">
        <v>1.6999999989000001</v>
      </c>
      <c r="DV9">
        <v>1.8</v>
      </c>
      <c r="DW9">
        <v>1.6999999989000001</v>
      </c>
      <c r="DX9">
        <v>3.1999999992000001</v>
      </c>
      <c r="DY9">
        <v>5.2999999988999997</v>
      </c>
      <c r="DZ9">
        <v>9.3999999990000003</v>
      </c>
      <c r="EA9">
        <v>16.699999998300001</v>
      </c>
      <c r="EB9">
        <v>23.799999999000001</v>
      </c>
      <c r="EC9">
        <v>30.8999999997</v>
      </c>
      <c r="ED9">
        <v>37.899999999400002</v>
      </c>
      <c r="EE9">
        <v>44.999999998299998</v>
      </c>
      <c r="EF9">
        <v>52.5999999991</v>
      </c>
      <c r="EG9">
        <v>59.699999999799999</v>
      </c>
      <c r="EH9">
        <v>68.199999999699997</v>
      </c>
      <c r="EI9">
        <v>75.999999999099998</v>
      </c>
      <c r="EJ9">
        <v>83.799999998499999</v>
      </c>
      <c r="EK9">
        <v>91.3</v>
      </c>
      <c r="EL9">
        <v>98.999999998299998</v>
      </c>
      <c r="EM9">
        <v>107.29999999970001</v>
      </c>
      <c r="EN9">
        <v>115.7999999996</v>
      </c>
      <c r="EO9">
        <v>124.7999999996</v>
      </c>
      <c r="EP9">
        <v>133.09999999909999</v>
      </c>
      <c r="EQ9">
        <v>141.39999999860001</v>
      </c>
      <c r="ER9">
        <v>148.89999999829999</v>
      </c>
      <c r="ES9">
        <v>157.19999999960001</v>
      </c>
      <c r="ET9">
        <v>165.59999999839999</v>
      </c>
      <c r="EU9">
        <v>173.9999999991</v>
      </c>
      <c r="EV9">
        <v>182.49999999900001</v>
      </c>
      <c r="EW9">
        <v>190.7999999985</v>
      </c>
      <c r="EX9">
        <v>198.699999999</v>
      </c>
      <c r="EY9">
        <v>206.5999999995</v>
      </c>
      <c r="EZ9">
        <v>214.79999999969999</v>
      </c>
      <c r="FA9">
        <v>222.7999999996</v>
      </c>
      <c r="FB9">
        <v>231.09999999909999</v>
      </c>
      <c r="FC9">
        <v>239.2</v>
      </c>
      <c r="FD9">
        <v>246.99999999939999</v>
      </c>
      <c r="FE9">
        <v>254.2999999987</v>
      </c>
      <c r="FF9">
        <v>262.09999999989998</v>
      </c>
      <c r="FG9">
        <v>269.8</v>
      </c>
      <c r="FH9">
        <v>277.59999999939998</v>
      </c>
      <c r="FI9">
        <v>285.59999999920001</v>
      </c>
      <c r="FJ9">
        <v>292.89999999859998</v>
      </c>
      <c r="FK9">
        <v>300.19999999970003</v>
      </c>
      <c r="FL9">
        <v>306.99999999890002</v>
      </c>
      <c r="FM9">
        <v>313.89999999920002</v>
      </c>
      <c r="FN9">
        <v>321.1999999985</v>
      </c>
      <c r="FO9">
        <v>327.49999999940002</v>
      </c>
      <c r="FP9">
        <v>334.8999999998</v>
      </c>
      <c r="FQ9">
        <v>341.99999999869999</v>
      </c>
      <c r="FR9">
        <v>348.69999999859999</v>
      </c>
      <c r="FS9">
        <v>354.89999999849999</v>
      </c>
      <c r="FT9">
        <v>360.89999999970001</v>
      </c>
      <c r="FU9">
        <v>367.09999999950003</v>
      </c>
      <c r="FV9">
        <v>372.99999999959999</v>
      </c>
      <c r="FW9">
        <v>378.89999999970001</v>
      </c>
      <c r="FX9">
        <v>385.69999999890001</v>
      </c>
      <c r="FY9">
        <v>391.89999999870003</v>
      </c>
      <c r="FZ9">
        <v>397.89999999989999</v>
      </c>
      <c r="GA9">
        <v>403.49999999850002</v>
      </c>
      <c r="GB9">
        <v>408.7</v>
      </c>
      <c r="GC9">
        <v>413.69999999919997</v>
      </c>
      <c r="GD9">
        <v>419.1999999985</v>
      </c>
      <c r="GE9">
        <v>423.69999999940001</v>
      </c>
      <c r="GF9">
        <v>428.89999999899999</v>
      </c>
      <c r="GG9">
        <v>433.69999999959998</v>
      </c>
      <c r="GH9">
        <v>439.5999999997</v>
      </c>
      <c r="GI9">
        <v>444.49999999959999</v>
      </c>
      <c r="GJ9">
        <v>448.99999999869999</v>
      </c>
      <c r="GK9">
        <v>453.49999999959999</v>
      </c>
      <c r="GL9">
        <v>453.59999999889999</v>
      </c>
      <c r="GM9">
        <v>453.79999999929998</v>
      </c>
      <c r="GN9">
        <v>453.7</v>
      </c>
      <c r="GO9">
        <v>453.79999999929998</v>
      </c>
      <c r="GP9">
        <v>453.89999999859998</v>
      </c>
      <c r="GQ9">
        <v>453.7</v>
      </c>
      <c r="GR9">
        <v>453.79999999929998</v>
      </c>
      <c r="GS9">
        <v>453.7</v>
      </c>
      <c r="GT9">
        <v>453.7</v>
      </c>
      <c r="GU9">
        <v>453.79999999929998</v>
      </c>
      <c r="GV9">
        <v>453.79999999929998</v>
      </c>
      <c r="GW9">
        <v>453.89999999859998</v>
      </c>
      <c r="GX9">
        <v>1</v>
      </c>
      <c r="GY9">
        <v>111.69999999949999</v>
      </c>
      <c r="GZ9">
        <v>109.2999999983</v>
      </c>
      <c r="HA9">
        <v>109.2999999983</v>
      </c>
      <c r="HB9">
        <v>115.7999999996</v>
      </c>
      <c r="HC9">
        <v>110.9117536888</v>
      </c>
      <c r="HD9">
        <v>-6.5000000013000001</v>
      </c>
      <c r="HE9">
        <v>453.89998898300001</v>
      </c>
      <c r="HF9">
        <v>312.309231109</v>
      </c>
      <c r="HG9">
        <v>92.164794007699996</v>
      </c>
      <c r="HH9">
        <v>453.99999999969998</v>
      </c>
      <c r="HI9">
        <v>453.89998898300001</v>
      </c>
      <c r="HJ9">
        <v>453.99999999969998</v>
      </c>
      <c r="HK9">
        <v>453.89999999859998</v>
      </c>
      <c r="HL9">
        <v>114.9560117302</v>
      </c>
      <c r="HM9">
        <v>3.2429139685999999</v>
      </c>
      <c r="HN9">
        <v>3.1570388700000001</v>
      </c>
      <c r="HO9">
        <v>3.2908428732999999</v>
      </c>
      <c r="HP9">
        <v>3.2111836882999998</v>
      </c>
      <c r="HQ9">
        <v>3.4903545415999999</v>
      </c>
      <c r="HR9">
        <v>2.0238724986999999</v>
      </c>
      <c r="HS9">
        <v>18.746959681100002</v>
      </c>
      <c r="HT9">
        <v>-28.152492668600001</v>
      </c>
      <c r="HU9">
        <v>-192</v>
      </c>
      <c r="HV9">
        <v>423.22098479779999</v>
      </c>
      <c r="HW9">
        <v>100.87976539589999</v>
      </c>
      <c r="HX9">
        <v>688</v>
      </c>
      <c r="HY9">
        <v>18.746959681100002</v>
      </c>
      <c r="HZ9">
        <v>-28.152492668600001</v>
      </c>
      <c r="IA9">
        <v>-192</v>
      </c>
      <c r="IB9">
        <v>423.22098479779999</v>
      </c>
      <c r="IC9">
        <v>100.87976539589999</v>
      </c>
      <c r="ID9">
        <v>688</v>
      </c>
      <c r="IE9">
        <v>30.679004185099998</v>
      </c>
      <c r="IF9">
        <v>1.0101784518000001</v>
      </c>
      <c r="IG9">
        <v>-37.536656891500002</v>
      </c>
      <c r="IH9">
        <v>-256</v>
      </c>
      <c r="II9">
        <v>444.31179775240003</v>
      </c>
      <c r="IJ9">
        <v>110.26392961880001</v>
      </c>
      <c r="IK9">
        <v>752</v>
      </c>
      <c r="IL9">
        <v>404.47402511669998</v>
      </c>
      <c r="IM9">
        <v>129.03225806450001</v>
      </c>
      <c r="IN9">
        <v>428.2013769564</v>
      </c>
      <c r="IO9">
        <v>138.4164222874</v>
      </c>
      <c r="IP9">
        <v>7.2999999992999998</v>
      </c>
      <c r="IQ9">
        <v>5.9000000001000004</v>
      </c>
      <c r="IR9">
        <v>9</v>
      </c>
      <c r="IS9">
        <v>7.5841541192999999</v>
      </c>
      <c r="IT9">
        <v>7.5841541192999999</v>
      </c>
      <c r="IU9">
        <v>5.4</v>
      </c>
      <c r="IV9">
        <v>-30.4985337243</v>
      </c>
      <c r="IW9">
        <v>8.8000000014000008</v>
      </c>
      <c r="IX9">
        <v>65.689149560100006</v>
      </c>
      <c r="IY9">
        <v>7.1000000006999997</v>
      </c>
      <c r="IZ9">
        <v>107.91788856300001</v>
      </c>
      <c r="JA9">
        <v>-34.152038380900002</v>
      </c>
      <c r="JB9">
        <v>0.33820829949999998</v>
      </c>
      <c r="JC9">
        <v>-3.6083669999999998E-4</v>
      </c>
      <c r="JD9">
        <v>7.3959999999999998E-7</v>
      </c>
      <c r="JE9">
        <v>0.30836464050000001</v>
      </c>
      <c r="JF9">
        <v>0.45750930029999998</v>
      </c>
      <c r="JG9">
        <v>0.14506064439999999</v>
      </c>
      <c r="JH9">
        <v>111.927824161</v>
      </c>
      <c r="JI9">
        <v>3.4903545415999999</v>
      </c>
      <c r="JJ9">
        <v>2.2905567999999999E-3</v>
      </c>
      <c r="JK9">
        <v>-6.3171100000000002E-5</v>
      </c>
      <c r="JL9">
        <v>3.2429139685999999</v>
      </c>
      <c r="JM9">
        <v>1.8563943044</v>
      </c>
      <c r="JN9">
        <v>0.71391327260000004</v>
      </c>
      <c r="JO9">
        <v>3.1116249997000001</v>
      </c>
      <c r="JP9">
        <v>2.514875</v>
      </c>
      <c r="JQ9">
        <v>3.8362500000000002</v>
      </c>
      <c r="JR9" s="17" t="s">
        <v>556</v>
      </c>
      <c r="JU9" s="17">
        <v>1</v>
      </c>
    </row>
    <row r="10" spans="1:281">
      <c r="A10" t="s">
        <v>658</v>
      </c>
      <c r="B10" t="s">
        <v>659</v>
      </c>
      <c r="C10" t="s">
        <v>660</v>
      </c>
      <c r="D10" t="s">
        <v>213</v>
      </c>
      <c r="E10">
        <v>3</v>
      </c>
      <c r="F10" t="s">
        <v>214</v>
      </c>
      <c r="G10" t="s">
        <v>215</v>
      </c>
      <c r="H10" t="s">
        <v>555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0</v>
      </c>
      <c r="S10">
        <v>0.59999999940000004</v>
      </c>
      <c r="T10">
        <v>0.50000000010000001</v>
      </c>
      <c r="U10">
        <v>0.69999999869999996</v>
      </c>
      <c r="V10">
        <v>0.50000000010000001</v>
      </c>
      <c r="W10">
        <v>0.69999999869999996</v>
      </c>
      <c r="X10">
        <v>0.89999999909999995</v>
      </c>
      <c r="Y10">
        <v>0.89999999909999995</v>
      </c>
      <c r="Z10">
        <v>0.89999999909999995</v>
      </c>
      <c r="AA10">
        <v>0.89999999909999995</v>
      </c>
      <c r="AB10">
        <v>1.0000000002</v>
      </c>
      <c r="AC10">
        <v>1.0999999995</v>
      </c>
      <c r="AD10">
        <v>1.0000000002</v>
      </c>
      <c r="AE10">
        <v>1.1999999988000001</v>
      </c>
      <c r="AF10">
        <v>1.0000000002</v>
      </c>
      <c r="AG10">
        <v>1.2999999999</v>
      </c>
      <c r="AH10">
        <v>1.6999999989000001</v>
      </c>
      <c r="AI10">
        <v>6.4000000002000004</v>
      </c>
      <c r="AJ10">
        <v>13.1000000001</v>
      </c>
      <c r="AK10">
        <v>19.699999998900001</v>
      </c>
      <c r="AL10">
        <v>26.8999999989</v>
      </c>
      <c r="AM10">
        <v>33.799999999199997</v>
      </c>
      <c r="AN10">
        <v>41.699999999799999</v>
      </c>
      <c r="AO10">
        <v>49.100000000199998</v>
      </c>
      <c r="AP10">
        <v>56.4999999988</v>
      </c>
      <c r="AQ10">
        <v>64.199999998899997</v>
      </c>
      <c r="AR10">
        <v>72.199999998699994</v>
      </c>
      <c r="AS10">
        <v>80.099999999199994</v>
      </c>
      <c r="AT10">
        <v>87.999999999699995</v>
      </c>
      <c r="AU10">
        <v>96.499999999699995</v>
      </c>
      <c r="AV10">
        <v>104.5999999988</v>
      </c>
      <c r="AW10">
        <v>112.6999999997</v>
      </c>
      <c r="AX10">
        <v>121.4</v>
      </c>
      <c r="AY10">
        <v>130.09999999850001</v>
      </c>
      <c r="AZ10">
        <v>138.4999999991</v>
      </c>
      <c r="BA10">
        <v>147.10000000010001</v>
      </c>
      <c r="BB10">
        <v>155.49999999889999</v>
      </c>
      <c r="BC10">
        <v>163.6999999992</v>
      </c>
      <c r="BD10">
        <v>172.19999999909999</v>
      </c>
      <c r="BE10">
        <v>180.4999999986</v>
      </c>
      <c r="BF10">
        <v>188.89999999919999</v>
      </c>
      <c r="BG10">
        <v>197.19999999870001</v>
      </c>
      <c r="BH10">
        <v>206.00000000009999</v>
      </c>
      <c r="BI10">
        <v>213.99999999990001</v>
      </c>
      <c r="BJ10">
        <v>221.9999999998</v>
      </c>
      <c r="BK10">
        <v>230.49999999970001</v>
      </c>
      <c r="BL10">
        <v>238.7999999992</v>
      </c>
      <c r="BM10">
        <v>246.4999999993</v>
      </c>
      <c r="BN10">
        <v>254.89999999989999</v>
      </c>
      <c r="BO10">
        <v>262.69999999930002</v>
      </c>
      <c r="BP10">
        <v>270.59999999979999</v>
      </c>
      <c r="BQ10">
        <v>278.09999999950003</v>
      </c>
      <c r="BR10">
        <v>286.09999999939998</v>
      </c>
      <c r="BS10">
        <v>293.70000000020002</v>
      </c>
      <c r="BT10">
        <v>301.1999999999</v>
      </c>
      <c r="BU10">
        <v>308.99999999929997</v>
      </c>
      <c r="BV10">
        <v>316.29999999860001</v>
      </c>
      <c r="BW10">
        <v>323.39999999930001</v>
      </c>
      <c r="BX10">
        <v>330.5</v>
      </c>
      <c r="BY10">
        <v>337.7</v>
      </c>
      <c r="BZ10">
        <v>344.49999999919999</v>
      </c>
      <c r="CA10">
        <v>351.49999999890002</v>
      </c>
      <c r="CB10">
        <v>358.50000000030002</v>
      </c>
      <c r="CC10">
        <v>365.20000000020002</v>
      </c>
      <c r="CD10">
        <v>371.59999999860003</v>
      </c>
      <c r="CE10">
        <v>378.09999999989998</v>
      </c>
      <c r="CF10">
        <v>384.0999999993</v>
      </c>
      <c r="CG10">
        <v>390.5999999988</v>
      </c>
      <c r="CH10">
        <v>396.79999999860001</v>
      </c>
      <c r="CI10">
        <v>402.79999999979998</v>
      </c>
      <c r="CJ10">
        <v>409.09999999889999</v>
      </c>
      <c r="CK10">
        <v>415.19999999949999</v>
      </c>
      <c r="CL10">
        <v>420.89999999920002</v>
      </c>
      <c r="CM10">
        <v>426.39999999849999</v>
      </c>
      <c r="CN10">
        <v>431.89999999960003</v>
      </c>
      <c r="CO10">
        <v>437.3999999989</v>
      </c>
      <c r="CP10">
        <v>442.9</v>
      </c>
      <c r="CQ10">
        <v>447.79999999990002</v>
      </c>
      <c r="CR10">
        <v>451.69999999959998</v>
      </c>
      <c r="CS10">
        <v>451.99999999929997</v>
      </c>
      <c r="CT10">
        <v>451.9</v>
      </c>
      <c r="CU10">
        <v>451.9</v>
      </c>
      <c r="CV10">
        <v>451.9</v>
      </c>
      <c r="CW10">
        <v>451.99999999929997</v>
      </c>
      <c r="CX10">
        <v>451.9</v>
      </c>
      <c r="CY10">
        <v>451.99999999929997</v>
      </c>
      <c r="CZ10">
        <v>451.79999999889998</v>
      </c>
      <c r="DA10">
        <v>451.99999999929997</v>
      </c>
      <c r="DB10">
        <v>451.9</v>
      </c>
      <c r="DC10">
        <v>452.19999999970003</v>
      </c>
      <c r="DD10">
        <v>452.19999999970003</v>
      </c>
      <c r="DE10">
        <v>452.19999999970003</v>
      </c>
      <c r="DF10">
        <v>452.19999999970003</v>
      </c>
      <c r="DG10">
        <v>452.19999999970003</v>
      </c>
      <c r="DH10">
        <v>1.0000000002</v>
      </c>
      <c r="DI10">
        <v>1.6999999989000001</v>
      </c>
      <c r="DJ10">
        <v>1.8</v>
      </c>
      <c r="DK10">
        <v>1.8</v>
      </c>
      <c r="DL10">
        <v>1.8999999993000001</v>
      </c>
      <c r="DM10">
        <v>1.8999999993000001</v>
      </c>
      <c r="DN10">
        <v>1.8</v>
      </c>
      <c r="DO10">
        <v>1.8999999993000001</v>
      </c>
      <c r="DP10">
        <v>2.0999999997000001</v>
      </c>
      <c r="DQ10">
        <v>1.8</v>
      </c>
      <c r="DR10">
        <v>1.9999999986000001</v>
      </c>
      <c r="DS10">
        <v>1.9999999986000001</v>
      </c>
      <c r="DT10">
        <v>1.8999999993000001</v>
      </c>
      <c r="DU10">
        <v>1.9999999986000001</v>
      </c>
      <c r="DV10">
        <v>2.0999999997000001</v>
      </c>
      <c r="DW10">
        <v>2.0999999997000001</v>
      </c>
      <c r="DX10">
        <v>4.6000000001999997</v>
      </c>
      <c r="DY10">
        <v>11.8999999995</v>
      </c>
      <c r="DZ10">
        <v>18.8999999991</v>
      </c>
      <c r="EA10">
        <v>25.9999999998</v>
      </c>
      <c r="EB10">
        <v>33.0999999987</v>
      </c>
      <c r="EC10">
        <v>40.6000000003</v>
      </c>
      <c r="ED10">
        <v>48.199999999299997</v>
      </c>
      <c r="EE10">
        <v>55.3</v>
      </c>
      <c r="EF10">
        <v>63.199999998700001</v>
      </c>
      <c r="EG10">
        <v>71.099999999199994</v>
      </c>
      <c r="EH10">
        <v>78.999999999699995</v>
      </c>
      <c r="EI10">
        <v>86.799999999099995</v>
      </c>
      <c r="EJ10">
        <v>95.299999998999994</v>
      </c>
      <c r="EK10">
        <v>103.1000000003</v>
      </c>
      <c r="EL10">
        <v>111.19999999940001</v>
      </c>
      <c r="EM10">
        <v>119.49999999889999</v>
      </c>
      <c r="EN10">
        <v>128.2999999985</v>
      </c>
      <c r="EO10">
        <v>136.99999999880001</v>
      </c>
      <c r="EP10">
        <v>145.39999999939999</v>
      </c>
      <c r="EQ10">
        <v>154.0999999997</v>
      </c>
      <c r="ER10">
        <v>162.1999999988</v>
      </c>
      <c r="ES10">
        <v>170.5999999995</v>
      </c>
      <c r="ET10">
        <v>179.19999999870001</v>
      </c>
      <c r="EU10">
        <v>187.69999999859999</v>
      </c>
      <c r="EV10">
        <v>196.09999999920001</v>
      </c>
      <c r="EW10">
        <v>205.09999999920001</v>
      </c>
      <c r="EX10">
        <v>213.099999999</v>
      </c>
      <c r="EY10">
        <v>221.49999999970001</v>
      </c>
      <c r="EZ10">
        <v>229.9000000003</v>
      </c>
      <c r="FA10">
        <v>238.09999999870001</v>
      </c>
      <c r="FB10">
        <v>245.99999999920001</v>
      </c>
      <c r="FC10">
        <v>254.6000000002</v>
      </c>
      <c r="FD10">
        <v>262.69999999930002</v>
      </c>
      <c r="FE10">
        <v>270.49999999869999</v>
      </c>
      <c r="FF10">
        <v>278.29999999990002</v>
      </c>
      <c r="FG10">
        <v>286.29999999979998</v>
      </c>
      <c r="FH10">
        <v>294.09999999920001</v>
      </c>
      <c r="FI10">
        <v>301.99999999969998</v>
      </c>
      <c r="FJ10">
        <v>309.79999999910001</v>
      </c>
      <c r="FK10">
        <v>317.1000000002</v>
      </c>
      <c r="FL10">
        <v>324.49999999879998</v>
      </c>
      <c r="FM10">
        <v>331.59999999950003</v>
      </c>
      <c r="FN10">
        <v>338.79999999950002</v>
      </c>
      <c r="FO10">
        <v>346.0999999988</v>
      </c>
      <c r="FP10">
        <v>352.89999999989999</v>
      </c>
      <c r="FQ10">
        <v>360.09999999989998</v>
      </c>
      <c r="FR10">
        <v>366.69999999869998</v>
      </c>
      <c r="FS10">
        <v>373.2</v>
      </c>
      <c r="FT10">
        <v>379.3999999998</v>
      </c>
      <c r="FU10">
        <v>386.0999999997</v>
      </c>
      <c r="FV10">
        <v>392.49999999990001</v>
      </c>
      <c r="FW10">
        <v>398.79999999900002</v>
      </c>
      <c r="FX10">
        <v>404.49999999869999</v>
      </c>
      <c r="FY10">
        <v>410.8999999989</v>
      </c>
      <c r="FZ10">
        <v>416.79999999910001</v>
      </c>
      <c r="GA10">
        <v>422.39999999949998</v>
      </c>
      <c r="GB10">
        <v>427.79999999950002</v>
      </c>
      <c r="GC10">
        <v>432.7999999987</v>
      </c>
      <c r="GD10">
        <v>438.39999999909998</v>
      </c>
      <c r="GE10">
        <v>443.40000000010002</v>
      </c>
      <c r="GF10">
        <v>447.50000000019998</v>
      </c>
      <c r="GG10">
        <v>451.29999999879999</v>
      </c>
      <c r="GH10">
        <v>451.69999999959998</v>
      </c>
      <c r="GI10">
        <v>451.9</v>
      </c>
      <c r="GJ10">
        <v>451.9</v>
      </c>
      <c r="GK10">
        <v>451.99999999929997</v>
      </c>
      <c r="GL10">
        <v>452.09999999860003</v>
      </c>
      <c r="GM10">
        <v>451.99999999929997</v>
      </c>
      <c r="GN10">
        <v>451.9</v>
      </c>
      <c r="GO10">
        <v>451.9</v>
      </c>
      <c r="GP10">
        <v>451.99999999929997</v>
      </c>
      <c r="GQ10">
        <v>451.99999999929997</v>
      </c>
      <c r="GR10">
        <v>452.09999999860003</v>
      </c>
      <c r="GS10">
        <v>452.09999999860003</v>
      </c>
      <c r="GT10">
        <v>452.09999999860003</v>
      </c>
      <c r="GU10">
        <v>452.19999999970003</v>
      </c>
      <c r="GV10">
        <v>452.19999999970003</v>
      </c>
      <c r="GW10">
        <v>452.29999999900002</v>
      </c>
      <c r="GX10">
        <v>1</v>
      </c>
      <c r="GY10">
        <v>124.1000000009</v>
      </c>
      <c r="GZ10">
        <v>121.4</v>
      </c>
      <c r="HA10">
        <v>121.4</v>
      </c>
      <c r="HB10">
        <v>128.2999999985</v>
      </c>
      <c r="HC10">
        <v>123.304842454</v>
      </c>
      <c r="HD10">
        <v>-6.8999999985000002</v>
      </c>
      <c r="HE10">
        <v>452.29999999900002</v>
      </c>
      <c r="HF10">
        <v>292.82603648370002</v>
      </c>
      <c r="HG10">
        <v>103.2865339973</v>
      </c>
      <c r="HH10">
        <v>452.29999999900002</v>
      </c>
      <c r="HI10">
        <v>452.29999999900002</v>
      </c>
      <c r="HJ10">
        <v>452.19999999970003</v>
      </c>
      <c r="HK10">
        <v>452.29999999900002</v>
      </c>
      <c r="HL10">
        <v>107.91788856300001</v>
      </c>
      <c r="HM10">
        <v>3.4106486567999998</v>
      </c>
      <c r="HN10">
        <v>3.3214030397999998</v>
      </c>
      <c r="HO10">
        <v>3.3785125235</v>
      </c>
      <c r="HP10">
        <v>3.1999640645</v>
      </c>
      <c r="HQ10">
        <v>3.5942407270999999</v>
      </c>
      <c r="HR10">
        <v>2.3438313582000001</v>
      </c>
      <c r="HS10">
        <v>20.018308456700002</v>
      </c>
      <c r="HT10">
        <v>-30.4985337243</v>
      </c>
      <c r="HU10">
        <v>-208</v>
      </c>
      <c r="HV10">
        <v>416.1308789377</v>
      </c>
      <c r="HW10">
        <v>89.149560117299998</v>
      </c>
      <c r="HX10">
        <v>608</v>
      </c>
      <c r="HY10">
        <v>20.018308456700002</v>
      </c>
      <c r="HZ10">
        <v>-30.4985337243</v>
      </c>
      <c r="IA10">
        <v>-208</v>
      </c>
      <c r="IB10">
        <v>416.1308789377</v>
      </c>
      <c r="IC10">
        <v>89.149560117299998</v>
      </c>
      <c r="ID10">
        <v>608</v>
      </c>
      <c r="IE10">
        <v>36.169121061299997</v>
      </c>
      <c r="IF10">
        <v>1.3030071861999999</v>
      </c>
      <c r="IG10">
        <v>-39.8826979472</v>
      </c>
      <c r="IH10">
        <v>-272</v>
      </c>
      <c r="II10">
        <v>438.15422885480001</v>
      </c>
      <c r="IJ10">
        <v>98.533724340199996</v>
      </c>
      <c r="IK10">
        <v>672</v>
      </c>
      <c r="IL10">
        <v>396.11257048099998</v>
      </c>
      <c r="IM10">
        <v>119.6480938416</v>
      </c>
      <c r="IN10">
        <v>420.86305140889999</v>
      </c>
      <c r="IO10">
        <v>129.03225806450001</v>
      </c>
      <c r="IP10">
        <v>7.2999999992999998</v>
      </c>
      <c r="IQ10">
        <v>5.6000000003999997</v>
      </c>
      <c r="IR10">
        <v>9</v>
      </c>
      <c r="IS10">
        <v>5.3107024114000003</v>
      </c>
      <c r="IT10">
        <v>5.3107024114000003</v>
      </c>
      <c r="IU10">
        <v>5.7999999989999997</v>
      </c>
      <c r="IV10">
        <v>-32.844574780099997</v>
      </c>
      <c r="IW10">
        <v>8.6000000009999997</v>
      </c>
      <c r="IX10">
        <v>68.035190615800005</v>
      </c>
      <c r="IY10">
        <v>6.4999999995</v>
      </c>
      <c r="IZ10">
        <v>98.533724340199996</v>
      </c>
      <c r="JA10">
        <v>-36.867520056399997</v>
      </c>
      <c r="JB10">
        <v>0.33130940510000001</v>
      </c>
      <c r="JC10">
        <v>-3.417928E-4</v>
      </c>
      <c r="JD10">
        <v>6.5659999999999999E-7</v>
      </c>
      <c r="JE10">
        <v>0.29319935899999999</v>
      </c>
      <c r="JF10">
        <v>0.1608876621</v>
      </c>
      <c r="JG10">
        <v>7.1135182000000005E-2</v>
      </c>
      <c r="JH10">
        <v>123.6678850415</v>
      </c>
      <c r="JI10">
        <v>3.5942407270999999</v>
      </c>
      <c r="JJ10">
        <v>3.0285872999999998E-3</v>
      </c>
      <c r="JK10">
        <v>-7.5091600000000005E-5</v>
      </c>
      <c r="JL10">
        <v>3.4106486567999998</v>
      </c>
      <c r="JM10">
        <v>1.1724513028000001</v>
      </c>
      <c r="JN10">
        <v>0.46777256379999999</v>
      </c>
      <c r="JO10">
        <v>3.1116249997000001</v>
      </c>
      <c r="JP10">
        <v>2.3870000002</v>
      </c>
      <c r="JQ10">
        <v>3.8362500000000002</v>
      </c>
      <c r="JR10" s="17" t="s">
        <v>556</v>
      </c>
      <c r="JU10" s="17">
        <v>1</v>
      </c>
    </row>
    <row r="11" spans="1:281">
      <c r="A11" t="s">
        <v>677</v>
      </c>
      <c r="B11" t="s">
        <v>678</v>
      </c>
      <c r="C11" t="s">
        <v>679</v>
      </c>
      <c r="D11" t="s">
        <v>213</v>
      </c>
      <c r="E11">
        <v>3</v>
      </c>
      <c r="F11" t="s">
        <v>214</v>
      </c>
      <c r="G11" t="s">
        <v>215</v>
      </c>
      <c r="H11" t="s">
        <v>555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0.90000000089999999</v>
      </c>
      <c r="S11">
        <v>0.7000000005</v>
      </c>
      <c r="T11">
        <v>0.50000000010000001</v>
      </c>
      <c r="U11">
        <v>0.60000000119999997</v>
      </c>
      <c r="V11">
        <v>0.60000000119999997</v>
      </c>
      <c r="W11">
        <v>0.50000000010000001</v>
      </c>
      <c r="X11">
        <v>0.40000000079999998</v>
      </c>
      <c r="Y11">
        <v>0.60000000119999997</v>
      </c>
      <c r="Z11">
        <v>0.29999999970000002</v>
      </c>
      <c r="AA11">
        <v>0.29999999970000002</v>
      </c>
      <c r="AB11">
        <v>0.29999999970000002</v>
      </c>
      <c r="AC11">
        <v>0.1000000011</v>
      </c>
      <c r="AD11">
        <v>0.20000000039999999</v>
      </c>
      <c r="AE11">
        <v>0.20000000039999999</v>
      </c>
      <c r="AF11">
        <v>0.40000000079999998</v>
      </c>
      <c r="AG11">
        <v>0.20000000039999999</v>
      </c>
      <c r="AH11">
        <v>0</v>
      </c>
      <c r="AI11">
        <v>2.5000000005</v>
      </c>
      <c r="AJ11">
        <v>5.9000000001000004</v>
      </c>
      <c r="AK11">
        <v>9.7999999998000007</v>
      </c>
      <c r="AL11">
        <v>16.2</v>
      </c>
      <c r="AM11">
        <v>22.699999999500001</v>
      </c>
      <c r="AN11">
        <v>29.200000000900001</v>
      </c>
      <c r="AO11">
        <v>36.100000001200002</v>
      </c>
      <c r="AP11">
        <v>43.700000000199999</v>
      </c>
      <c r="AQ11">
        <v>50.900000000200002</v>
      </c>
      <c r="AR11">
        <v>58.300000000600001</v>
      </c>
      <c r="AS11">
        <v>66.000000000699998</v>
      </c>
      <c r="AT11">
        <v>73.3</v>
      </c>
      <c r="AU11">
        <v>80.6000000011</v>
      </c>
      <c r="AV11">
        <v>88.100000000799994</v>
      </c>
      <c r="AW11">
        <v>96.300000001100003</v>
      </c>
      <c r="AX11">
        <v>104.00000000119999</v>
      </c>
      <c r="AY11">
        <v>112.4</v>
      </c>
      <c r="AZ11">
        <v>120.30000000050001</v>
      </c>
      <c r="BA11">
        <v>128.20000000100001</v>
      </c>
      <c r="BB11">
        <v>135.59999999959999</v>
      </c>
      <c r="BC11">
        <v>143.60000000119999</v>
      </c>
      <c r="BD11">
        <v>152</v>
      </c>
      <c r="BE11">
        <v>160.20000000030001</v>
      </c>
      <c r="BF11">
        <v>167.99999999970001</v>
      </c>
      <c r="BG11">
        <v>175.90000000020001</v>
      </c>
      <c r="BH11">
        <v>183.60000000030001</v>
      </c>
      <c r="BI11">
        <v>191.30000000039999</v>
      </c>
      <c r="BJ11">
        <v>199.09999999979999</v>
      </c>
      <c r="BK11">
        <v>207.20000000069999</v>
      </c>
      <c r="BL11">
        <v>215.00000000009999</v>
      </c>
      <c r="BM11">
        <v>222.7999999996</v>
      </c>
      <c r="BN11">
        <v>230.40000000040001</v>
      </c>
      <c r="BO11">
        <v>237.6000000004</v>
      </c>
      <c r="BP11">
        <v>244.89999999969999</v>
      </c>
      <c r="BQ11">
        <v>252.80000000019999</v>
      </c>
      <c r="BR11">
        <v>260.00000000019998</v>
      </c>
      <c r="BS11">
        <v>267.40000000060002</v>
      </c>
      <c r="BT11">
        <v>274.6999999999</v>
      </c>
      <c r="BU11">
        <v>281.69999999949999</v>
      </c>
      <c r="BV11">
        <v>288.50000000059998</v>
      </c>
      <c r="BW11">
        <v>295.40000000089998</v>
      </c>
      <c r="BX11">
        <v>302.20000000009998</v>
      </c>
      <c r="BY11">
        <v>309.50000000120002</v>
      </c>
      <c r="BZ11">
        <v>316.00000000070003</v>
      </c>
      <c r="CA11">
        <v>322.70000000060003</v>
      </c>
      <c r="CB11">
        <v>329.30000000119998</v>
      </c>
      <c r="CC11">
        <v>335.50000000099999</v>
      </c>
      <c r="CD11">
        <v>341.8000000001</v>
      </c>
      <c r="CE11">
        <v>347.70000000030001</v>
      </c>
      <c r="CF11">
        <v>353.80000000080003</v>
      </c>
      <c r="CG11">
        <v>360.30000000029997</v>
      </c>
      <c r="CH11">
        <v>366.1000000011</v>
      </c>
      <c r="CI11">
        <v>372.19999999980001</v>
      </c>
      <c r="CJ11">
        <v>377.89999999949998</v>
      </c>
      <c r="CK11">
        <v>383.70000000030001</v>
      </c>
      <c r="CL11">
        <v>389.19999999959998</v>
      </c>
      <c r="CM11">
        <v>394.50000000030002</v>
      </c>
      <c r="CN11">
        <v>399.6999999999</v>
      </c>
      <c r="CO11">
        <v>405.20000000110002</v>
      </c>
      <c r="CP11">
        <v>410.7000000004</v>
      </c>
      <c r="CQ11">
        <v>415.80000000069998</v>
      </c>
      <c r="CR11">
        <v>421.09999999960002</v>
      </c>
      <c r="CS11">
        <v>426.10000000060001</v>
      </c>
      <c r="CT11">
        <v>431.09999999979999</v>
      </c>
      <c r="CU11">
        <v>435.99999999969998</v>
      </c>
      <c r="CV11">
        <v>440.59999999989998</v>
      </c>
      <c r="CW11">
        <v>445.49999999980002</v>
      </c>
      <c r="CX11">
        <v>449.39999999949998</v>
      </c>
      <c r="CY11">
        <v>449.70000000099998</v>
      </c>
      <c r="CZ11">
        <v>449.80000000029997</v>
      </c>
      <c r="DA11">
        <v>449.89999999960003</v>
      </c>
      <c r="DB11">
        <v>449.80000000029997</v>
      </c>
      <c r="DC11">
        <v>449.70000000099998</v>
      </c>
      <c r="DD11">
        <v>449.89999999960003</v>
      </c>
      <c r="DE11">
        <v>449.80000000029997</v>
      </c>
      <c r="DF11">
        <v>449.89999999960003</v>
      </c>
      <c r="DG11">
        <v>449.89999999960003</v>
      </c>
      <c r="DH11">
        <v>1.8</v>
      </c>
      <c r="DI11">
        <v>1.2999999999</v>
      </c>
      <c r="DJ11">
        <v>1.2999999999</v>
      </c>
      <c r="DK11">
        <v>1.2999999999</v>
      </c>
      <c r="DL11">
        <v>1.2999999999</v>
      </c>
      <c r="DM11">
        <v>1.400000001</v>
      </c>
      <c r="DN11">
        <v>1.400000001</v>
      </c>
      <c r="DO11">
        <v>1.2000000006</v>
      </c>
      <c r="DP11">
        <v>1.2000000006</v>
      </c>
      <c r="DQ11">
        <v>1.2999999999</v>
      </c>
      <c r="DR11">
        <v>1.2000000006</v>
      </c>
      <c r="DS11">
        <v>1.0000000002</v>
      </c>
      <c r="DT11">
        <v>1.0000000002</v>
      </c>
      <c r="DU11">
        <v>1.0000000002</v>
      </c>
      <c r="DV11">
        <v>1.0000000002</v>
      </c>
      <c r="DW11">
        <v>1.0999999995</v>
      </c>
      <c r="DX11">
        <v>2.3000000000999998</v>
      </c>
      <c r="DY11">
        <v>5.5000000011000001</v>
      </c>
      <c r="DZ11">
        <v>8.4999999999</v>
      </c>
      <c r="EA11">
        <v>15.0000000012</v>
      </c>
      <c r="EB11">
        <v>21.800000000400001</v>
      </c>
      <c r="EC11">
        <v>28.4000000011</v>
      </c>
      <c r="ED11">
        <v>35.299999999599997</v>
      </c>
      <c r="EE11">
        <v>42.999999999700002</v>
      </c>
      <c r="EF11">
        <v>50.199999999699997</v>
      </c>
      <c r="EG11">
        <v>57.3999999997</v>
      </c>
      <c r="EH11">
        <v>65.200000000900005</v>
      </c>
      <c r="EI11">
        <v>72.500000000200004</v>
      </c>
      <c r="EJ11">
        <v>79.700000000200006</v>
      </c>
      <c r="EK11">
        <v>87.300000001100003</v>
      </c>
      <c r="EL11">
        <v>95.199999999699997</v>
      </c>
      <c r="EM11">
        <v>102.8999999999</v>
      </c>
      <c r="EN11">
        <v>111.1000000001</v>
      </c>
      <c r="EO11">
        <v>119.09999999990001</v>
      </c>
      <c r="EP11">
        <v>127.00000000039999</v>
      </c>
      <c r="EQ11">
        <v>134.79999999980001</v>
      </c>
      <c r="ER11">
        <v>142.40000000059999</v>
      </c>
      <c r="ES11">
        <v>150.9999999998</v>
      </c>
      <c r="ET11">
        <v>159.4000000005</v>
      </c>
      <c r="EU11">
        <v>167.10000000060001</v>
      </c>
      <c r="EV11">
        <v>175.3000000008</v>
      </c>
      <c r="EW11">
        <v>183.0000000009</v>
      </c>
      <c r="EX11">
        <v>191.0000000007</v>
      </c>
      <c r="EY11">
        <v>199.00000000049999</v>
      </c>
      <c r="EZ11">
        <v>207.00000000029999</v>
      </c>
      <c r="FA11">
        <v>215.1000000013</v>
      </c>
      <c r="FB11">
        <v>222.60000000100001</v>
      </c>
      <c r="FC11">
        <v>230.60000000080001</v>
      </c>
      <c r="FD11">
        <v>237.90000000009999</v>
      </c>
      <c r="FE11">
        <v>245.6000000002</v>
      </c>
      <c r="FF11">
        <v>253.3999999996</v>
      </c>
      <c r="FG11">
        <v>260.8</v>
      </c>
      <c r="FH11">
        <v>268.40000000079999</v>
      </c>
      <c r="FI11">
        <v>275.80000000130002</v>
      </c>
      <c r="FJ11">
        <v>283.10000000060001</v>
      </c>
      <c r="FK11">
        <v>290.1000000002</v>
      </c>
      <c r="FL11">
        <v>296.8000000001</v>
      </c>
      <c r="FM11">
        <v>304.20000000049998</v>
      </c>
      <c r="FN11">
        <v>311.30000000119998</v>
      </c>
      <c r="FO11">
        <v>318.19999999970003</v>
      </c>
      <c r="FP11">
        <v>324.70000000099998</v>
      </c>
      <c r="FQ11">
        <v>331.70000000060003</v>
      </c>
      <c r="FR11">
        <v>337.99999999969998</v>
      </c>
      <c r="FS11">
        <v>344.19999999949999</v>
      </c>
      <c r="FT11">
        <v>350.50000000049999</v>
      </c>
      <c r="FU11">
        <v>356.9000000007</v>
      </c>
      <c r="FV11">
        <v>363.30000000090001</v>
      </c>
      <c r="FW11">
        <v>369.30000000029997</v>
      </c>
      <c r="FX11">
        <v>375.2000000004</v>
      </c>
      <c r="FY11">
        <v>380.80000000080003</v>
      </c>
      <c r="FZ11">
        <v>386.70000000089999</v>
      </c>
      <c r="GA11">
        <v>392.20000000020002</v>
      </c>
      <c r="GB11">
        <v>397.5000000009</v>
      </c>
      <c r="GC11">
        <v>402.70000000060003</v>
      </c>
      <c r="GD11">
        <v>408.10000000060001</v>
      </c>
      <c r="GE11">
        <v>413.59999999989998</v>
      </c>
      <c r="GF11">
        <v>418.80000000130002</v>
      </c>
      <c r="GG11">
        <v>423.8999999998</v>
      </c>
      <c r="GH11">
        <v>428.6000000011</v>
      </c>
      <c r="GI11">
        <v>433.19999999949999</v>
      </c>
      <c r="GJ11">
        <v>437.7000000004</v>
      </c>
      <c r="GK11">
        <v>442.1000000002</v>
      </c>
      <c r="GL11">
        <v>446.2999999996</v>
      </c>
      <c r="GM11">
        <v>449.50000000059998</v>
      </c>
      <c r="GN11">
        <v>449.80000000029997</v>
      </c>
      <c r="GO11">
        <v>449.80000000029997</v>
      </c>
      <c r="GP11">
        <v>449.80000000029997</v>
      </c>
      <c r="GQ11">
        <v>449.89999999960003</v>
      </c>
      <c r="GR11">
        <v>449.89999999960003</v>
      </c>
      <c r="GS11">
        <v>449.80000000029997</v>
      </c>
      <c r="GT11">
        <v>449.89999999960003</v>
      </c>
      <c r="GU11">
        <v>449.80000000029997</v>
      </c>
      <c r="GV11">
        <v>449.89999999960003</v>
      </c>
      <c r="GW11">
        <v>449.89999999960003</v>
      </c>
      <c r="GX11">
        <v>1</v>
      </c>
      <c r="GY11">
        <v>106.4000000006</v>
      </c>
      <c r="GZ11">
        <v>104.00000000119999</v>
      </c>
      <c r="HA11">
        <v>104.00000000119999</v>
      </c>
      <c r="HB11">
        <v>111.1000000001</v>
      </c>
      <c r="HC11">
        <v>105.6972771736</v>
      </c>
      <c r="HD11">
        <v>-7.0999999989000004</v>
      </c>
      <c r="HE11">
        <v>449.89999999960003</v>
      </c>
      <c r="HF11">
        <v>296.06771504739999</v>
      </c>
      <c r="HG11">
        <v>89.260780174299995</v>
      </c>
      <c r="HH11">
        <v>449.89999999960003</v>
      </c>
      <c r="HI11">
        <v>449.89999999960003</v>
      </c>
      <c r="HJ11">
        <v>449.89999999960003</v>
      </c>
      <c r="HK11">
        <v>449.89999999960003</v>
      </c>
      <c r="HL11">
        <v>119.6480938416</v>
      </c>
      <c r="HM11">
        <v>3.1988451515</v>
      </c>
      <c r="HN11">
        <v>3.1339375262</v>
      </c>
      <c r="HO11">
        <v>3.1724589381000001</v>
      </c>
      <c r="HP11">
        <v>3.0528484671</v>
      </c>
      <c r="HQ11">
        <v>3.3769178654999998</v>
      </c>
      <c r="HR11">
        <v>2.1482692161000001</v>
      </c>
      <c r="HS11">
        <v>16.436496999399999</v>
      </c>
      <c r="HT11">
        <v>-28.152492668600001</v>
      </c>
      <c r="HU11">
        <v>-192</v>
      </c>
      <c r="HV11">
        <v>401.764992221</v>
      </c>
      <c r="HW11">
        <v>96.187683284499997</v>
      </c>
      <c r="HX11">
        <v>656</v>
      </c>
      <c r="HY11">
        <v>16.436496999399999</v>
      </c>
      <c r="HZ11">
        <v>-28.152492668600001</v>
      </c>
      <c r="IA11">
        <v>-192</v>
      </c>
      <c r="IB11">
        <v>401.764992221</v>
      </c>
      <c r="IC11">
        <v>96.187683284499997</v>
      </c>
      <c r="ID11">
        <v>656</v>
      </c>
      <c r="IE11">
        <v>48.135007778599999</v>
      </c>
      <c r="IF11">
        <v>5.8790841999999998E-3</v>
      </c>
      <c r="IG11">
        <v>-37.536656891500002</v>
      </c>
      <c r="IH11">
        <v>-256</v>
      </c>
      <c r="II11">
        <v>423.35897977309997</v>
      </c>
      <c r="IJ11">
        <v>105.57184750730001</v>
      </c>
      <c r="IK11">
        <v>720</v>
      </c>
      <c r="IL11">
        <v>385.3284952217</v>
      </c>
      <c r="IM11">
        <v>124.3401759531</v>
      </c>
      <c r="IN11">
        <v>406.90222271599998</v>
      </c>
      <c r="IO11">
        <v>133.724340176</v>
      </c>
      <c r="IP11">
        <v>6.7999999991999998</v>
      </c>
      <c r="IQ11">
        <v>5.5000000011000001</v>
      </c>
      <c r="IR11">
        <v>8.5999999991999996</v>
      </c>
      <c r="IS11">
        <v>6.1096612601000002</v>
      </c>
      <c r="IT11">
        <v>6.1096612601000002</v>
      </c>
      <c r="IU11">
        <v>5.2000000014000003</v>
      </c>
      <c r="IV11">
        <v>-30.4985337243</v>
      </c>
      <c r="IW11">
        <v>9.5000000001</v>
      </c>
      <c r="IX11">
        <v>79.765395894400001</v>
      </c>
      <c r="IY11">
        <v>8.4000000006000004</v>
      </c>
      <c r="IZ11">
        <v>98.533724340199996</v>
      </c>
      <c r="JA11">
        <v>-33.549997493900001</v>
      </c>
      <c r="JB11">
        <v>0.3472649277</v>
      </c>
      <c r="JC11">
        <v>-3.6436010000000002E-4</v>
      </c>
      <c r="JD11">
        <v>7.5239999999999999E-7</v>
      </c>
      <c r="JE11">
        <v>0.31261281889999998</v>
      </c>
      <c r="JF11">
        <v>0.23553694019999999</v>
      </c>
      <c r="JG11">
        <v>8.7054701499999998E-2</v>
      </c>
      <c r="JH11">
        <v>106.30385526009999</v>
      </c>
      <c r="JI11">
        <v>3.3769178654999998</v>
      </c>
      <c r="JJ11">
        <v>3.0064000999999998E-3</v>
      </c>
      <c r="JK11">
        <v>-6.5102800000000003E-5</v>
      </c>
      <c r="JL11">
        <v>3.1988451515</v>
      </c>
      <c r="JM11">
        <v>1.3659230724</v>
      </c>
      <c r="JN11">
        <v>0.47830912640000001</v>
      </c>
      <c r="JO11">
        <v>2.8984999996999998</v>
      </c>
      <c r="JP11">
        <v>2.3443750004999999</v>
      </c>
      <c r="JQ11">
        <v>3.6657499997</v>
      </c>
      <c r="JR11" s="17" t="s">
        <v>556</v>
      </c>
      <c r="JU11" s="17">
        <v>1</v>
      </c>
    </row>
    <row r="12" spans="1:281">
      <c r="A12" t="s">
        <v>700</v>
      </c>
      <c r="B12" t="s">
        <v>701</v>
      </c>
      <c r="C12" t="s">
        <v>702</v>
      </c>
      <c r="D12" t="s">
        <v>213</v>
      </c>
      <c r="E12">
        <v>3</v>
      </c>
      <c r="F12" t="s">
        <v>214</v>
      </c>
      <c r="G12" t="s">
        <v>215</v>
      </c>
      <c r="H12" t="s">
        <v>555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0.19999999860000001</v>
      </c>
      <c r="S12">
        <v>0.59999999940000004</v>
      </c>
      <c r="T12">
        <v>0.59999999940000004</v>
      </c>
      <c r="U12">
        <v>0.50000000010000001</v>
      </c>
      <c r="V12">
        <v>0.50000000010000001</v>
      </c>
      <c r="W12">
        <v>0.39999999899999999</v>
      </c>
      <c r="X12">
        <v>0.50000000010000001</v>
      </c>
      <c r="Y12">
        <v>0.59999999940000004</v>
      </c>
      <c r="Z12">
        <v>0.79999999980000003</v>
      </c>
      <c r="AA12">
        <v>0.79999999980000003</v>
      </c>
      <c r="AB12">
        <v>0.79999999980000003</v>
      </c>
      <c r="AC12">
        <v>0.99999999839999998</v>
      </c>
      <c r="AD12">
        <v>0.99999999839999998</v>
      </c>
      <c r="AE12">
        <v>0.79999999980000003</v>
      </c>
      <c r="AF12">
        <v>0.89999999909999995</v>
      </c>
      <c r="AG12">
        <v>0.79999999980000003</v>
      </c>
      <c r="AH12">
        <v>1.1999999988000001</v>
      </c>
      <c r="AI12">
        <v>3.2999999985000001</v>
      </c>
      <c r="AJ12">
        <v>5.4</v>
      </c>
      <c r="AK12">
        <v>13.299999998700001</v>
      </c>
      <c r="AL12">
        <v>20.399999999399999</v>
      </c>
      <c r="AM12">
        <v>27.0999999993</v>
      </c>
      <c r="AN12">
        <v>35.0999999991</v>
      </c>
      <c r="AO12">
        <v>42.599999998900003</v>
      </c>
      <c r="AP12">
        <v>50.299999999000001</v>
      </c>
      <c r="AQ12">
        <v>58.199999999500001</v>
      </c>
      <c r="AR12">
        <v>66.600000000099996</v>
      </c>
      <c r="AS12">
        <v>73.899999999399995</v>
      </c>
      <c r="AT12">
        <v>81.4999999984</v>
      </c>
      <c r="AU12">
        <v>90.099999999399998</v>
      </c>
      <c r="AV12">
        <v>98.699999998600006</v>
      </c>
      <c r="AW12">
        <v>107.29999999970001</v>
      </c>
      <c r="AX12">
        <v>116.0999999993</v>
      </c>
      <c r="AY12">
        <v>125.0999999993</v>
      </c>
      <c r="AZ12">
        <v>133.09999999909999</v>
      </c>
      <c r="BA12">
        <v>142.09999999909999</v>
      </c>
      <c r="BB12">
        <v>150.7000000001</v>
      </c>
      <c r="BC12">
        <v>159.09999999889999</v>
      </c>
      <c r="BD12">
        <v>167.59999999889999</v>
      </c>
      <c r="BE12">
        <v>176.2999999992</v>
      </c>
      <c r="BF12">
        <v>184.99999999950001</v>
      </c>
      <c r="BG12">
        <v>193.29999999899999</v>
      </c>
      <c r="BH12">
        <v>201.69999999960001</v>
      </c>
      <c r="BI12">
        <v>209.9999999991</v>
      </c>
      <c r="BJ12">
        <v>218.69999999940001</v>
      </c>
      <c r="BK12">
        <v>227.19999999940001</v>
      </c>
      <c r="BL12">
        <v>235.1999999992</v>
      </c>
      <c r="BM12">
        <v>243.69999999909999</v>
      </c>
      <c r="BN12">
        <v>251.69999999890001</v>
      </c>
      <c r="BO12">
        <v>259.89999999909998</v>
      </c>
      <c r="BP12">
        <v>268.29999999969999</v>
      </c>
      <c r="BQ12">
        <v>276.19999999840002</v>
      </c>
      <c r="BR12">
        <v>283.89999999849999</v>
      </c>
      <c r="BS12">
        <v>291.49999999940002</v>
      </c>
      <c r="BT12">
        <v>299.39999999989999</v>
      </c>
      <c r="BU12">
        <v>306.99999999890002</v>
      </c>
      <c r="BV12">
        <v>314.19999999890001</v>
      </c>
      <c r="BW12">
        <v>321.79999999969999</v>
      </c>
      <c r="BX12">
        <v>329.20000000009998</v>
      </c>
      <c r="BY12">
        <v>336.49999999940002</v>
      </c>
      <c r="BZ12">
        <v>343.29999999860001</v>
      </c>
      <c r="CA12">
        <v>350.39999999939999</v>
      </c>
      <c r="CB12">
        <v>357.39999999899999</v>
      </c>
      <c r="CC12">
        <v>363.99999999959999</v>
      </c>
      <c r="CD12">
        <v>370.79999999879999</v>
      </c>
      <c r="CE12">
        <v>377.3000000001</v>
      </c>
      <c r="CF12">
        <v>383.8999999989</v>
      </c>
      <c r="CG12">
        <v>389.90000000010002</v>
      </c>
      <c r="CH12">
        <v>396.49999999890002</v>
      </c>
      <c r="CI12">
        <v>402.39999999899999</v>
      </c>
      <c r="CJ12">
        <v>408.89999999849999</v>
      </c>
      <c r="CK12">
        <v>414.60000000010001</v>
      </c>
      <c r="CL12">
        <v>420.59999999950003</v>
      </c>
      <c r="CM12">
        <v>426.2999999992</v>
      </c>
      <c r="CN12">
        <v>431.89999999960003</v>
      </c>
      <c r="CO12">
        <v>437.3999999989</v>
      </c>
      <c r="CP12">
        <v>442.79999999889998</v>
      </c>
      <c r="CQ12">
        <v>448.39999999930001</v>
      </c>
      <c r="CR12">
        <v>452.19999999970003</v>
      </c>
      <c r="CS12">
        <v>455.5999999993</v>
      </c>
      <c r="CT12">
        <v>456.59999999950003</v>
      </c>
      <c r="CU12">
        <v>456.69999999880002</v>
      </c>
      <c r="CV12">
        <v>456.69999999880002</v>
      </c>
      <c r="CW12">
        <v>456.69999999880002</v>
      </c>
      <c r="CX12">
        <v>456.69999999880002</v>
      </c>
      <c r="CY12">
        <v>456.79999999990002</v>
      </c>
      <c r="CZ12">
        <v>456.69999999880002</v>
      </c>
      <c r="DA12">
        <v>456.69999999880002</v>
      </c>
      <c r="DB12">
        <v>456.79999999990002</v>
      </c>
      <c r="DC12">
        <v>456.69999999880002</v>
      </c>
      <c r="DD12">
        <v>456.79999999990002</v>
      </c>
      <c r="DE12">
        <v>456.79999999990002</v>
      </c>
      <c r="DF12">
        <v>456.79999999990002</v>
      </c>
      <c r="DG12">
        <v>456.79999999990002</v>
      </c>
      <c r="DH12">
        <v>0</v>
      </c>
      <c r="DI12">
        <v>0.59999999940000004</v>
      </c>
      <c r="DJ12">
        <v>0.29999999970000002</v>
      </c>
      <c r="DK12">
        <v>0.50000000010000001</v>
      </c>
      <c r="DL12">
        <v>0.59999999940000004</v>
      </c>
      <c r="DM12">
        <v>0.50000000010000001</v>
      </c>
      <c r="DN12">
        <v>0.69999999869999996</v>
      </c>
      <c r="DO12">
        <v>0.69999999869999996</v>
      </c>
      <c r="DP12">
        <v>0.50000000010000001</v>
      </c>
      <c r="DQ12">
        <v>0.59999999940000004</v>
      </c>
      <c r="DR12">
        <v>0.69999999869999996</v>
      </c>
      <c r="DS12">
        <v>0.89999999909999995</v>
      </c>
      <c r="DT12">
        <v>0.59999999940000004</v>
      </c>
      <c r="DU12">
        <v>0.79999999980000003</v>
      </c>
      <c r="DV12">
        <v>0.69999999869999996</v>
      </c>
      <c r="DW12">
        <v>0.50000000010000001</v>
      </c>
      <c r="DX12">
        <v>2.3999999993999999</v>
      </c>
      <c r="DY12">
        <v>4.3999999998000003</v>
      </c>
      <c r="DZ12">
        <v>11.3999999994</v>
      </c>
      <c r="EA12">
        <v>18.500000000099998</v>
      </c>
      <c r="EB12">
        <v>25.299999999299999</v>
      </c>
      <c r="EC12">
        <v>34.200000000099998</v>
      </c>
      <c r="ED12">
        <v>41.5999999987</v>
      </c>
      <c r="EE12">
        <v>48.199999999299997</v>
      </c>
      <c r="EF12">
        <v>55.899999999400002</v>
      </c>
      <c r="EG12">
        <v>63.899999999199999</v>
      </c>
      <c r="EH12">
        <v>71.599999999299996</v>
      </c>
      <c r="EI12">
        <v>79.399999998699997</v>
      </c>
      <c r="EJ12">
        <v>89.3999999989</v>
      </c>
      <c r="EK12">
        <v>97.200000000200006</v>
      </c>
      <c r="EL12">
        <v>105.2999999993</v>
      </c>
      <c r="EM12">
        <v>113.5999999988</v>
      </c>
      <c r="EN12">
        <v>122.39999999840001</v>
      </c>
      <c r="EO12">
        <v>130.99999999939999</v>
      </c>
      <c r="EP12">
        <v>140.89999999849999</v>
      </c>
      <c r="EQ12">
        <v>149.09999999870001</v>
      </c>
      <c r="ER12">
        <v>157.90000000020001</v>
      </c>
      <c r="ES12">
        <v>166.40000000009999</v>
      </c>
      <c r="ET12">
        <v>175.40000000009999</v>
      </c>
      <c r="EU12">
        <v>183.9999999993</v>
      </c>
      <c r="EV12">
        <v>192.29999999879999</v>
      </c>
      <c r="EW12">
        <v>200.8999999998</v>
      </c>
      <c r="EX12">
        <v>209.39999999969999</v>
      </c>
      <c r="EY12">
        <v>218.1</v>
      </c>
      <c r="EZ12">
        <v>226.6</v>
      </c>
      <c r="FA12">
        <v>233.89999999930001</v>
      </c>
      <c r="FB12">
        <v>241.79999999980001</v>
      </c>
      <c r="FC12">
        <v>251.69999999890001</v>
      </c>
      <c r="FD12">
        <v>259.79999999979998</v>
      </c>
      <c r="FE12">
        <v>268.69999999869998</v>
      </c>
      <c r="FF12">
        <v>276.6999999985</v>
      </c>
      <c r="FG12">
        <v>284.39999999859998</v>
      </c>
      <c r="FH12">
        <v>292.39999999849999</v>
      </c>
      <c r="FI12">
        <v>300.59999999870001</v>
      </c>
      <c r="FJ12">
        <v>307.9999999991</v>
      </c>
      <c r="FK12">
        <v>315.59999999989998</v>
      </c>
      <c r="FL12">
        <v>323.3</v>
      </c>
      <c r="FM12">
        <v>330.79999999969999</v>
      </c>
      <c r="FN12">
        <v>337.89999999859998</v>
      </c>
      <c r="FO12">
        <v>344.99999999929997</v>
      </c>
      <c r="FP12">
        <v>352.10000000010001</v>
      </c>
      <c r="FQ12">
        <v>359.199999999</v>
      </c>
      <c r="FR12">
        <v>365.8999999989</v>
      </c>
      <c r="FS12">
        <v>372.99999999959999</v>
      </c>
      <c r="FT12">
        <v>379.3999999998</v>
      </c>
      <c r="FU12">
        <v>386.0999999997</v>
      </c>
      <c r="FV12">
        <v>392.39999999880001</v>
      </c>
      <c r="FW12">
        <v>398.69999999970003</v>
      </c>
      <c r="FX12">
        <v>404.69999999909999</v>
      </c>
      <c r="FY12">
        <v>410.6999999985</v>
      </c>
      <c r="FZ12">
        <v>416.59999999870001</v>
      </c>
      <c r="GA12">
        <v>422.89999999960003</v>
      </c>
      <c r="GB12">
        <v>428.3999999989</v>
      </c>
      <c r="GC12">
        <v>433.9</v>
      </c>
      <c r="GD12">
        <v>439.19999999890001</v>
      </c>
      <c r="GE12">
        <v>444.2999999992</v>
      </c>
      <c r="GF12">
        <v>448.89999999939999</v>
      </c>
      <c r="GG12">
        <v>452.40000000010002</v>
      </c>
      <c r="GH12">
        <v>455.2999999996</v>
      </c>
      <c r="GI12">
        <v>456.39999999909998</v>
      </c>
      <c r="GJ12">
        <v>456.39999999909998</v>
      </c>
      <c r="GK12">
        <v>456.49999999840003</v>
      </c>
      <c r="GL12">
        <v>456.49999999840003</v>
      </c>
      <c r="GM12">
        <v>456.39999999909998</v>
      </c>
      <c r="GN12">
        <v>456.69999999880002</v>
      </c>
      <c r="GO12">
        <v>456.69999999880002</v>
      </c>
      <c r="GP12">
        <v>456.69999999880002</v>
      </c>
      <c r="GQ12">
        <v>456.79999999990002</v>
      </c>
      <c r="GR12">
        <v>456.79999999990002</v>
      </c>
      <c r="GS12">
        <v>456.79999999990002</v>
      </c>
      <c r="GT12">
        <v>456.89999999920002</v>
      </c>
      <c r="GU12">
        <v>456.79999999990002</v>
      </c>
      <c r="GV12">
        <v>456.79999999990002</v>
      </c>
      <c r="GW12">
        <v>456.89999999920002</v>
      </c>
      <c r="GX12">
        <v>1</v>
      </c>
      <c r="GY12">
        <v>118.5999999998</v>
      </c>
      <c r="GZ12">
        <v>116.0999999993</v>
      </c>
      <c r="HA12">
        <v>116.0999999993</v>
      </c>
      <c r="HB12">
        <v>122.39999999840001</v>
      </c>
      <c r="HC12">
        <v>117.7444675486</v>
      </c>
      <c r="HD12">
        <v>-6.2999999990999997</v>
      </c>
      <c r="HE12">
        <v>456.89999999920002</v>
      </c>
      <c r="HF12">
        <v>304.46333588760001</v>
      </c>
      <c r="HG12">
        <v>97.099387106999998</v>
      </c>
      <c r="HH12">
        <v>456.89999999920002</v>
      </c>
      <c r="HI12">
        <v>456.89999999920002</v>
      </c>
      <c r="HJ12">
        <v>456.79999999990002</v>
      </c>
      <c r="HK12">
        <v>456.89999999920002</v>
      </c>
      <c r="HL12">
        <v>110.26392961880001</v>
      </c>
      <c r="HM12">
        <v>3.4596637636000001</v>
      </c>
      <c r="HN12">
        <v>3.3629638365000001</v>
      </c>
      <c r="HO12">
        <v>3.4347660239</v>
      </c>
      <c r="HP12">
        <v>3.2982514852999998</v>
      </c>
      <c r="HQ12">
        <v>3.6611170952999998</v>
      </c>
      <c r="HR12">
        <v>2.3105669672000002</v>
      </c>
      <c r="HS12">
        <v>20.645080441600001</v>
      </c>
      <c r="HT12">
        <v>-28.152492668600001</v>
      </c>
      <c r="HU12">
        <v>-192</v>
      </c>
      <c r="HV12">
        <v>422.20780343619998</v>
      </c>
      <c r="HW12">
        <v>91.495601172999997</v>
      </c>
      <c r="HX12">
        <v>624</v>
      </c>
      <c r="HY12">
        <v>20.645080441600001</v>
      </c>
      <c r="HZ12">
        <v>-28.152492668600001</v>
      </c>
      <c r="IA12">
        <v>-192</v>
      </c>
      <c r="IB12">
        <v>422.20780343619998</v>
      </c>
      <c r="IC12">
        <v>91.495601172999997</v>
      </c>
      <c r="ID12">
        <v>624</v>
      </c>
      <c r="IE12">
        <v>34.692196563000003</v>
      </c>
      <c r="IF12">
        <v>1.2047280277000001</v>
      </c>
      <c r="IG12">
        <v>-37.536656891500002</v>
      </c>
      <c r="IH12">
        <v>-256</v>
      </c>
      <c r="II12">
        <v>444.05834518910001</v>
      </c>
      <c r="IJ12">
        <v>100.87976539589999</v>
      </c>
      <c r="IK12">
        <v>688</v>
      </c>
      <c r="IL12">
        <v>401.56272299459999</v>
      </c>
      <c r="IM12">
        <v>119.6480938416</v>
      </c>
      <c r="IN12">
        <v>427.94467549519999</v>
      </c>
      <c r="IO12">
        <v>129.03225806450001</v>
      </c>
      <c r="IP12">
        <v>7.8999999987000002</v>
      </c>
      <c r="IQ12">
        <v>5.6000000003999997</v>
      </c>
      <c r="IR12">
        <v>10.0000000002</v>
      </c>
      <c r="IS12">
        <v>6.0965999470999996</v>
      </c>
      <c r="IT12">
        <v>6.0965999470999996</v>
      </c>
      <c r="IU12">
        <v>5.9999999994</v>
      </c>
      <c r="IV12">
        <v>-32.844574780099997</v>
      </c>
      <c r="IW12">
        <v>9.1000000010999997</v>
      </c>
      <c r="IX12">
        <v>56.304985337200002</v>
      </c>
      <c r="IY12">
        <v>7.2999999992999998</v>
      </c>
      <c r="IZ12">
        <v>98.533724340199996</v>
      </c>
      <c r="JA12">
        <v>-34.545533784500002</v>
      </c>
      <c r="JB12">
        <v>0.32419674129999998</v>
      </c>
      <c r="JC12">
        <v>-3.3625449999999998E-4</v>
      </c>
      <c r="JD12">
        <v>6.5209999999999997E-7</v>
      </c>
      <c r="JE12">
        <v>0.28904542989999998</v>
      </c>
      <c r="JF12">
        <v>0.30929375440000001</v>
      </c>
      <c r="JG12">
        <v>9.7355181900000004E-2</v>
      </c>
      <c r="JH12">
        <v>118.1756298425</v>
      </c>
      <c r="JI12">
        <v>3.6611170952999998</v>
      </c>
      <c r="JJ12">
        <v>3.1916904000000002E-3</v>
      </c>
      <c r="JK12">
        <v>-7.7031800000000003E-5</v>
      </c>
      <c r="JL12">
        <v>3.4596637636000001</v>
      </c>
      <c r="JM12">
        <v>1.3395090126</v>
      </c>
      <c r="JN12">
        <v>0.53423243509999996</v>
      </c>
      <c r="JO12">
        <v>3.3673749994</v>
      </c>
      <c r="JP12">
        <v>2.3870000002</v>
      </c>
      <c r="JQ12">
        <v>4.2625000001000002</v>
      </c>
      <c r="JR12" s="17" t="s">
        <v>556</v>
      </c>
      <c r="JU12" s="17">
        <v>1</v>
      </c>
    </row>
    <row r="13" spans="1:281">
      <c r="A13" t="s">
        <v>706</v>
      </c>
      <c r="B13" t="s">
        <v>707</v>
      </c>
      <c r="C13" t="s">
        <v>708</v>
      </c>
      <c r="D13" t="s">
        <v>213</v>
      </c>
      <c r="E13">
        <v>3</v>
      </c>
      <c r="F13" t="s">
        <v>214</v>
      </c>
      <c r="G13" t="s">
        <v>215</v>
      </c>
      <c r="H13" t="s">
        <v>555</v>
      </c>
      <c r="I13" t="s">
        <v>217</v>
      </c>
      <c r="K13" t="s">
        <v>691</v>
      </c>
      <c r="L13" t="s">
        <v>692</v>
      </c>
      <c r="M13" t="s">
        <v>693</v>
      </c>
      <c r="N13" t="s">
        <v>694</v>
      </c>
      <c r="O13" t="s">
        <v>695</v>
      </c>
      <c r="P13">
        <v>0</v>
      </c>
      <c r="Q13">
        <v>0</v>
      </c>
      <c r="R13">
        <v>0</v>
      </c>
      <c r="S13">
        <v>0.59999999940000004</v>
      </c>
      <c r="T13">
        <v>0.7000000005</v>
      </c>
      <c r="U13">
        <v>0.79999999980000003</v>
      </c>
      <c r="V13">
        <v>0.7000000005</v>
      </c>
      <c r="W13">
        <v>0.79999999980000003</v>
      </c>
      <c r="X13">
        <v>0.79999999980000003</v>
      </c>
      <c r="Y13">
        <v>0.79999999980000003</v>
      </c>
      <c r="Z13">
        <v>1.0000000002</v>
      </c>
      <c r="AA13">
        <v>1.0000000002</v>
      </c>
      <c r="AB13">
        <v>1.0000000002</v>
      </c>
      <c r="AC13">
        <v>1.0999999995</v>
      </c>
      <c r="AD13">
        <v>1.0999999995</v>
      </c>
      <c r="AE13">
        <v>1.0999999995</v>
      </c>
      <c r="AF13">
        <v>1.2999999999</v>
      </c>
      <c r="AG13">
        <v>1.400000001</v>
      </c>
      <c r="AH13">
        <v>1.7000000007</v>
      </c>
      <c r="AI13">
        <v>5.4</v>
      </c>
      <c r="AJ13">
        <v>10.0000000002</v>
      </c>
      <c r="AK13">
        <v>15.9999999996</v>
      </c>
      <c r="AL13">
        <v>22.600000000200001</v>
      </c>
      <c r="AM13">
        <v>29.200000000900001</v>
      </c>
      <c r="AN13">
        <v>35.799999999699999</v>
      </c>
      <c r="AO13">
        <v>42.900000000399999</v>
      </c>
      <c r="AP13">
        <v>49.699999999600003</v>
      </c>
      <c r="AQ13">
        <v>57.300000000399997</v>
      </c>
      <c r="AR13">
        <v>65.200000000900005</v>
      </c>
      <c r="AS13">
        <v>72.799999999899995</v>
      </c>
      <c r="AT13">
        <v>81.099999999399998</v>
      </c>
      <c r="AU13">
        <v>88.299999999400001</v>
      </c>
      <c r="AV13">
        <v>95.300000000899999</v>
      </c>
      <c r="AW13">
        <v>102.80000000059999</v>
      </c>
      <c r="AX13">
        <v>111.0000000008</v>
      </c>
      <c r="AY13">
        <v>119.5000000007</v>
      </c>
      <c r="AZ13">
        <v>127.39999999939999</v>
      </c>
      <c r="BA13">
        <v>135.59999999959999</v>
      </c>
      <c r="BB13">
        <v>143.29999999969999</v>
      </c>
      <c r="BC13">
        <v>150.7999999994</v>
      </c>
      <c r="BD13">
        <v>158.49999999950001</v>
      </c>
      <c r="BE13">
        <v>166.80000000090001</v>
      </c>
      <c r="BF13">
        <v>175.3000000008</v>
      </c>
      <c r="BG13">
        <v>183.69999999960001</v>
      </c>
      <c r="BH13">
        <v>191.69999999940001</v>
      </c>
      <c r="BI13">
        <v>199.00000000049999</v>
      </c>
      <c r="BJ13">
        <v>206.40000000090001</v>
      </c>
      <c r="BK13">
        <v>213.90000000059999</v>
      </c>
      <c r="BL13">
        <v>222.1000000009</v>
      </c>
      <c r="BM13">
        <v>229.9000000003</v>
      </c>
      <c r="BN13">
        <v>238.60000000060001</v>
      </c>
      <c r="BO13">
        <v>245.89999999989999</v>
      </c>
      <c r="BP13">
        <v>253.20000000100001</v>
      </c>
      <c r="BQ13">
        <v>260.00000000019998</v>
      </c>
      <c r="BR13">
        <v>267.20000000020002</v>
      </c>
      <c r="BS13">
        <v>274.9000000003</v>
      </c>
      <c r="BT13">
        <v>282.19999999959998</v>
      </c>
      <c r="BU13">
        <v>290.39999999989999</v>
      </c>
      <c r="BV13">
        <v>297.50000000059998</v>
      </c>
      <c r="BW13">
        <v>304.29999999979998</v>
      </c>
      <c r="BX13">
        <v>309.99999999950001</v>
      </c>
      <c r="BY13">
        <v>317.0000000009</v>
      </c>
      <c r="BZ13">
        <v>323.7000000008</v>
      </c>
      <c r="CA13">
        <v>330.79999999969999</v>
      </c>
      <c r="CB13">
        <v>337.10000000060001</v>
      </c>
      <c r="CC13">
        <v>344.50000000109998</v>
      </c>
      <c r="CD13">
        <v>350.59999999979999</v>
      </c>
      <c r="CE13">
        <v>356.49999999990001</v>
      </c>
      <c r="CF13">
        <v>361.89999999989999</v>
      </c>
      <c r="CG13">
        <v>367.90000000110001</v>
      </c>
      <c r="CH13">
        <v>373.70000000009998</v>
      </c>
      <c r="CI13">
        <v>380.19999999959998</v>
      </c>
      <c r="CJ13">
        <v>386.00000000040001</v>
      </c>
      <c r="CK13">
        <v>391.70000000009998</v>
      </c>
      <c r="CL13">
        <v>398.30000000069998</v>
      </c>
      <c r="CM13">
        <v>403.29999999990002</v>
      </c>
      <c r="CN13">
        <v>408.7</v>
      </c>
      <c r="CO13">
        <v>413.59999999989998</v>
      </c>
      <c r="CP13">
        <v>418.30000000119998</v>
      </c>
      <c r="CQ13">
        <v>423.50000000080001</v>
      </c>
      <c r="CR13">
        <v>428.6000000011</v>
      </c>
      <c r="CS13">
        <v>434.19999999970003</v>
      </c>
      <c r="CT13">
        <v>439.00000000030002</v>
      </c>
      <c r="CU13">
        <v>443.90000000020001</v>
      </c>
      <c r="CV13">
        <v>448.7000000008</v>
      </c>
      <c r="CW13">
        <v>453.10000000060001</v>
      </c>
      <c r="CX13">
        <v>453.99999999969998</v>
      </c>
      <c r="CY13">
        <v>453.99999999969998</v>
      </c>
      <c r="CZ13">
        <v>454.10000000079998</v>
      </c>
      <c r="DA13">
        <v>453.99999999969998</v>
      </c>
      <c r="DB13">
        <v>453.90000000039998</v>
      </c>
      <c r="DC13">
        <v>453.99999999969998</v>
      </c>
      <c r="DD13">
        <v>453.90000000039998</v>
      </c>
      <c r="DE13">
        <v>453.90000000039998</v>
      </c>
      <c r="DF13">
        <v>454.20000000009998</v>
      </c>
      <c r="DG13">
        <v>453.90000000039998</v>
      </c>
      <c r="DH13">
        <v>1.0000000002</v>
      </c>
      <c r="DI13">
        <v>1.7000000007</v>
      </c>
      <c r="DJ13">
        <v>1.9000000011</v>
      </c>
      <c r="DK13">
        <v>1.8</v>
      </c>
      <c r="DL13">
        <v>1.8</v>
      </c>
      <c r="DM13">
        <v>1.9000000011</v>
      </c>
      <c r="DN13">
        <v>1.8</v>
      </c>
      <c r="DO13">
        <v>2.0999999997000001</v>
      </c>
      <c r="DP13">
        <v>2.0999999997000001</v>
      </c>
      <c r="DQ13">
        <v>2.2000000007999998</v>
      </c>
      <c r="DR13">
        <v>2.0999999997000001</v>
      </c>
      <c r="DS13">
        <v>2.3000000000999998</v>
      </c>
      <c r="DT13">
        <v>2.3000000000999998</v>
      </c>
      <c r="DU13">
        <v>2.2000000007999998</v>
      </c>
      <c r="DV13">
        <v>2.3000000000999998</v>
      </c>
      <c r="DW13">
        <v>2.3999999993999999</v>
      </c>
      <c r="DX13">
        <v>4.8000000005999999</v>
      </c>
      <c r="DY13">
        <v>9.1000000010999997</v>
      </c>
      <c r="DZ13">
        <v>14.800000000800001</v>
      </c>
      <c r="EA13">
        <v>21.8999999997</v>
      </c>
      <c r="EB13">
        <v>28.200000000700001</v>
      </c>
      <c r="EC13">
        <v>34.799999999400001</v>
      </c>
      <c r="ED13">
        <v>41.699999999799999</v>
      </c>
      <c r="EE13">
        <v>48.700000001200003</v>
      </c>
      <c r="EF13">
        <v>56.200000000899998</v>
      </c>
      <c r="EG13">
        <v>63.900000001000002</v>
      </c>
      <c r="EH13">
        <v>71.6000000011</v>
      </c>
      <c r="EI13">
        <v>79.100000000799994</v>
      </c>
      <c r="EJ13">
        <v>86.199999999699997</v>
      </c>
      <c r="EK13">
        <v>93.899999999800002</v>
      </c>
      <c r="EL13">
        <v>101.3999999996</v>
      </c>
      <c r="EM13">
        <v>109.3000000001</v>
      </c>
      <c r="EN13">
        <v>117.9000000011</v>
      </c>
      <c r="EO13">
        <v>126.8</v>
      </c>
      <c r="EP13">
        <v>134.59999999940001</v>
      </c>
      <c r="EQ13">
        <v>141.60000000080001</v>
      </c>
      <c r="ER13">
        <v>149.6999999999</v>
      </c>
      <c r="ES13">
        <v>157.60000000049999</v>
      </c>
      <c r="ET13">
        <v>165.80000000070001</v>
      </c>
      <c r="EU13">
        <v>174.80000000070001</v>
      </c>
      <c r="EV13">
        <v>183.30000000059999</v>
      </c>
      <c r="EW13">
        <v>191.20000000109999</v>
      </c>
      <c r="EX13">
        <v>198.20000000069999</v>
      </c>
      <c r="EY13">
        <v>206.20000000050001</v>
      </c>
      <c r="EZ13">
        <v>213.99999999990001</v>
      </c>
      <c r="FA13">
        <v>222.20000000019999</v>
      </c>
      <c r="FB13">
        <v>231.1000000009</v>
      </c>
      <c r="FC13">
        <v>238.99999999959999</v>
      </c>
      <c r="FD13">
        <v>246.4</v>
      </c>
      <c r="FE13">
        <v>253.6</v>
      </c>
      <c r="FF13">
        <v>260.59999999960002</v>
      </c>
      <c r="FG13">
        <v>268.29999999969999</v>
      </c>
      <c r="FH13">
        <v>276.29999999950002</v>
      </c>
      <c r="FI13">
        <v>284.40000000049997</v>
      </c>
      <c r="FJ13">
        <v>291.80000000090001</v>
      </c>
      <c r="FK13">
        <v>298.80000000050001</v>
      </c>
      <c r="FL13">
        <v>305.00000000030002</v>
      </c>
      <c r="FM13">
        <v>311.79999999950002</v>
      </c>
      <c r="FN13">
        <v>318.80000000090001</v>
      </c>
      <c r="FO13">
        <v>326.1000000002</v>
      </c>
      <c r="FP13">
        <v>333.30000000019999</v>
      </c>
      <c r="FQ13">
        <v>340.40000000100002</v>
      </c>
      <c r="FR13">
        <v>346.90000000049997</v>
      </c>
      <c r="FS13">
        <v>353.19999999959998</v>
      </c>
      <c r="FT13">
        <v>358.70000000070002</v>
      </c>
      <c r="FU13">
        <v>364.49999999969998</v>
      </c>
      <c r="FV13">
        <v>370.69999999949999</v>
      </c>
      <c r="FW13">
        <v>376.90000000110001</v>
      </c>
      <c r="FX13">
        <v>383.20000000020002</v>
      </c>
      <c r="FY13">
        <v>389.80000000080003</v>
      </c>
      <c r="FZ13">
        <v>395.50000000049999</v>
      </c>
      <c r="GA13">
        <v>401.20000000020002</v>
      </c>
      <c r="GB13">
        <v>406.19999999940001</v>
      </c>
      <c r="GC13">
        <v>410.7000000004</v>
      </c>
      <c r="GD13">
        <v>416.00000000109998</v>
      </c>
      <c r="GE13">
        <v>421.00000000030002</v>
      </c>
      <c r="GF13">
        <v>426.1999999999</v>
      </c>
      <c r="GG13">
        <v>431.39999999949998</v>
      </c>
      <c r="GH13">
        <v>436.49999999980002</v>
      </c>
      <c r="GI13">
        <v>441.00000000070003</v>
      </c>
      <c r="GJ13">
        <v>445.40000000049997</v>
      </c>
      <c r="GK13">
        <v>449.70000000099998</v>
      </c>
      <c r="GL13">
        <v>452.99999999950001</v>
      </c>
      <c r="GM13">
        <v>453.7</v>
      </c>
      <c r="GN13">
        <v>453.7</v>
      </c>
      <c r="GO13">
        <v>453.90000000039998</v>
      </c>
      <c r="GP13">
        <v>453.7</v>
      </c>
      <c r="GQ13">
        <v>453.99999999969998</v>
      </c>
      <c r="GR13">
        <v>453.90000000039998</v>
      </c>
      <c r="GS13">
        <v>453.7</v>
      </c>
      <c r="GT13">
        <v>453.99999999969998</v>
      </c>
      <c r="GU13">
        <v>453.80000000109999</v>
      </c>
      <c r="GV13">
        <v>454.20000000009998</v>
      </c>
      <c r="GW13">
        <v>453.99999999969998</v>
      </c>
      <c r="GX13">
        <v>1</v>
      </c>
      <c r="GY13">
        <v>113.5999999988</v>
      </c>
      <c r="GZ13">
        <v>111.0000000008</v>
      </c>
      <c r="HA13">
        <v>111.0000000008</v>
      </c>
      <c r="HB13">
        <v>117.9000000011</v>
      </c>
      <c r="HC13">
        <v>112.7386723919</v>
      </c>
      <c r="HD13">
        <v>-6.9000000003000004</v>
      </c>
      <c r="HE13">
        <v>453.99994495790003</v>
      </c>
      <c r="HF13">
        <v>275.5987120209</v>
      </c>
      <c r="HG13">
        <v>96.492514312099999</v>
      </c>
      <c r="HH13">
        <v>454.20000000009998</v>
      </c>
      <c r="HI13">
        <v>454.20000000009998</v>
      </c>
      <c r="HJ13">
        <v>454.20000000009998</v>
      </c>
      <c r="HK13">
        <v>454.20000000009998</v>
      </c>
      <c r="HL13">
        <v>119.6480938416</v>
      </c>
      <c r="HM13">
        <v>3.2650243004999999</v>
      </c>
      <c r="HN13">
        <v>3.1857611308</v>
      </c>
      <c r="HO13">
        <v>3.240945054</v>
      </c>
      <c r="HP13">
        <v>2.9598476744000002</v>
      </c>
      <c r="HQ13">
        <v>3.3954037734</v>
      </c>
      <c r="HR13">
        <v>2.3440156230999998</v>
      </c>
      <c r="HS13">
        <v>16.246158079800001</v>
      </c>
      <c r="HT13">
        <v>-30.4985337243</v>
      </c>
      <c r="HU13">
        <v>-208</v>
      </c>
      <c r="HV13">
        <v>388.33738441280002</v>
      </c>
      <c r="HW13">
        <v>86.803519061599999</v>
      </c>
      <c r="HX13">
        <v>592</v>
      </c>
      <c r="HY13">
        <v>16.246158079800001</v>
      </c>
      <c r="HZ13">
        <v>-30.4985337243</v>
      </c>
      <c r="IA13">
        <v>-208</v>
      </c>
      <c r="IB13">
        <v>388.33738441280002</v>
      </c>
      <c r="IC13">
        <v>86.803519061599999</v>
      </c>
      <c r="ID13">
        <v>592</v>
      </c>
      <c r="IE13">
        <v>65.862615587299999</v>
      </c>
      <c r="IF13">
        <v>1.4041831802</v>
      </c>
      <c r="IG13">
        <v>-39.8826979472</v>
      </c>
      <c r="IH13">
        <v>-272</v>
      </c>
      <c r="II13">
        <v>409.93099955999998</v>
      </c>
      <c r="IJ13">
        <v>96.187683284499997</v>
      </c>
      <c r="IK13">
        <v>656</v>
      </c>
      <c r="IL13">
        <v>372.09122633300001</v>
      </c>
      <c r="IM13">
        <v>117.3020527859</v>
      </c>
      <c r="IN13">
        <v>394.53304711599998</v>
      </c>
      <c r="IO13">
        <v>126.6862170088</v>
      </c>
      <c r="IP13">
        <v>7.0999999989000004</v>
      </c>
      <c r="IQ13">
        <v>6.6000000005999997</v>
      </c>
      <c r="IR13">
        <v>9</v>
      </c>
      <c r="IS13">
        <v>5.1980661059999997</v>
      </c>
      <c r="IT13">
        <v>5.1980661059999997</v>
      </c>
      <c r="IU13">
        <v>4.8000000005999999</v>
      </c>
      <c r="IV13">
        <v>-32.844574780099997</v>
      </c>
      <c r="IW13">
        <v>9.7999999998000007</v>
      </c>
      <c r="IX13">
        <v>70.381231671600005</v>
      </c>
      <c r="IY13">
        <v>9.5000000001</v>
      </c>
      <c r="IZ13">
        <v>91.495601172999997</v>
      </c>
      <c r="JA13">
        <v>-35.866543191700003</v>
      </c>
      <c r="JB13">
        <v>0.35108783319999998</v>
      </c>
      <c r="JC13">
        <v>-3.8036050000000001E-4</v>
      </c>
      <c r="JD13">
        <v>7.497E-7</v>
      </c>
      <c r="JE13">
        <v>0.30627643409999999</v>
      </c>
      <c r="JF13">
        <v>0.26297862719999998</v>
      </c>
      <c r="JG13">
        <v>0.14179342419999999</v>
      </c>
      <c r="JH13">
        <v>113.201628875</v>
      </c>
      <c r="JI13">
        <v>3.3954037734</v>
      </c>
      <c r="JJ13">
        <v>3.7094534999999999E-3</v>
      </c>
      <c r="JK13">
        <v>-7.5001500000000003E-5</v>
      </c>
      <c r="JL13">
        <v>3.2650243004999999</v>
      </c>
      <c r="JM13">
        <v>1.5074301327999999</v>
      </c>
      <c r="JN13">
        <v>0.5322481751</v>
      </c>
      <c r="JO13">
        <v>3.0263749995000002</v>
      </c>
      <c r="JP13">
        <v>2.8132500003000001</v>
      </c>
      <c r="JQ13">
        <v>3.8362500000000002</v>
      </c>
      <c r="JR13" s="17" t="s">
        <v>556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54.034220218800002</v>
      </c>
      <c r="D16" s="9">
        <f>AVERAGE(C18:C20)</f>
        <v>64.46055642733333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71.135993116500003</v>
      </c>
      <c r="D17" s="9">
        <f>AVERAGE(C21:C23)</f>
        <v>68.990277392099998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62.579799841099998</v>
      </c>
      <c r="D18" s="11">
        <f>AVERAGE(C24:C26)</f>
        <v>71.241005735633337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69.654194779299999</v>
      </c>
      <c r="D19" s="6">
        <f>AVERAGE('Summary(3pcs)'!E35:E36)</f>
        <v>151.09369893613791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61.1476746616</v>
      </c>
      <c r="D20" s="9">
        <f>AVERAGE('Summary(3pcs)'!E37:E39)</f>
        <v>156.60991471780457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71.987491502899999</v>
      </c>
      <c r="D21" s="9">
        <f>AVERAGE('Summary(3pcs)'!E40:E42)</f>
        <v>140.11638878033793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64.272870253199997</v>
      </c>
      <c r="D22" s="11">
        <f>AVERAGE('Summary(3pcs)'!E43:E45)</f>
        <v>143.59048490673788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70.710470420199997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68.026323273599999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76.1779417053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69.518752227999997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-3.1943704293000001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3.0426031026000002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-1.4944963228999999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1.4375206556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-1.4961606288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7.9267071499000004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5.4748849400999999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7.8339780104000001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-5.2185748499999962E-2</v>
      </c>
      <c r="C39" s="5">
        <f>'Summary(3pcs)'!M35</f>
        <v>-3.1943704293000001</v>
      </c>
      <c r="D39" s="11">
        <f t="shared" si="0"/>
        <v>5.1836932824000002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3.0426031026000002</v>
      </c>
      <c r="D40" s="6">
        <f t="shared" si="0"/>
        <v>3.2033801526999999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-1.4944963228999999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1.4375206556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4.9348523678999996</v>
      </c>
      <c r="C43" s="8">
        <f>'Summary(3pcs)'!M40</f>
        <v>-1.4961606288</v>
      </c>
      <c r="D43" s="6">
        <f t="shared" ref="D43:D54" si="2">C55</f>
        <v>-0.27030900449999962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7.9267071499000004</v>
      </c>
      <c r="D44" s="9">
        <f t="shared" si="2"/>
        <v>-3.7056893624000002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5.4748849400999999</v>
      </c>
      <c r="D45" s="11">
        <f t="shared" si="2"/>
        <v>1.3194538757999998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7.8339780104000001</v>
      </c>
      <c r="D46" s="6">
        <f t="shared" si="2"/>
        <v>6.1062028636000001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5.1836932824000002</v>
      </c>
      <c r="D47" s="9">
        <f t="shared" si="2"/>
        <v>3.2358726073000001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3.2033801526999999</v>
      </c>
      <c r="D48" s="11">
        <f t="shared" si="2"/>
        <v>-3.4916188547999996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0.18446134670000003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4.0484190519999999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3.8026942983000001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4.7440080367000004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0.86241459312500002</v>
      </c>
      <c r="C55" s="5">
        <f>'Summary(3pcs)'!N35</f>
        <v>-0.27030900449999962</v>
      </c>
      <c r="D55" s="6">
        <f>AVERAGE(D31:D33)</f>
        <v>-0.54875454986666661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-3.7056893624000002</v>
      </c>
      <c r="D56" s="9">
        <f>AVERAGE(D34:D36)</f>
        <v>2.6226890589000003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1.3194538757999998</v>
      </c>
      <c r="D57" s="9">
        <f>AVERAGE(D37:D39)</f>
        <v>6.1641854109666667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6.1062028636000001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0.99428353780000012</v>
      </c>
      <c r="C59" s="8">
        <f>'Summary(3pcs)'!N40</f>
        <v>3.2358726073000001</v>
      </c>
      <c r="D59" s="9">
        <f>AVERAGE(D43:D45)</f>
        <v>-0.88551483036666667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-3.4916188547999996</v>
      </c>
      <c r="D60" s="9">
        <f>AVERAGE(D46:D48)</f>
        <v>1.9501522053666667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0.18446134670000003</v>
      </c>
      <c r="D61" s="9">
        <f>AVERAGE(D49:D51)</f>
        <v>2.6785248989999997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4.0484190519999999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3.8026942983000001</v>
      </c>
      <c r="D63" s="6">
        <f>AVERAGE(C71:C73)</f>
        <v>-4.2878005504666659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4.7440080367000004</v>
      </c>
      <c r="D64" s="9">
        <f>AVERAGE(C74:C76)</f>
        <v>-1.5350646178333338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-1.3178063233333335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-4.065707286166667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1.4923109213333332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2.3284256458333332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2.0002169609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-2.0350457826999997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-3.7877144814000001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-0.57921195029999994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-8.4964752196999989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-0.66589713099999992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1.8580999373999996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-5.7973966599000004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-0.60377669329999994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-6.3801679610999997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3.0305256843999997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-4.0722260475000001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-3.3038706779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-4.8210251331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2.7966313361999999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-0.76128602030000003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2.4415874480999999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2.8428797721999999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0.43984055519999998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3.7025566101000003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1.0687627792000001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1.1820178031999999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3.7498703002999996</v>
      </c>
    </row>
    <row r="96" spans="1:7">
      <c r="A96" s="1" t="s">
        <v>87</v>
      </c>
      <c r="C96" s="5">
        <f>'Summary(3pcs)'!W44</f>
        <v>-0.52517533299999997</v>
      </c>
    </row>
    <row r="97" spans="1:3">
      <c r="A97" s="1" t="s">
        <v>87</v>
      </c>
      <c r="C97" s="8">
        <f>'Summary(3pcs)'!W45</f>
        <v>-1.3591775894</v>
      </c>
    </row>
    <row r="98" spans="1:3" ht="17.25" thickBot="1">
      <c r="A98" s="1" t="s">
        <v>87</v>
      </c>
      <c r="C98" s="10">
        <f>'Summary(3pcs)'!W46</f>
        <v>-4.2207844256999998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