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<sst xmlns="http://schemas.openxmlformats.org/spreadsheetml/2006/main" count="1419" uniqueCount="671">
  <si>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</si>
  <si>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</si>
  <si>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</si>
  <si>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</si>
  <si>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</si>
  <si>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</si>
  <si>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</si>
  <si>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</si>
  <si>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</si>
  <si>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</si>
  <si>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</si>
  <si>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</si>
  <si>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</si>
  <si>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</si>
  <si>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</si>
  <si>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</si>
  <si>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</si>
  <si>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</si>
  <si>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</si>
  <si>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</si>
  <si>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</si>
  <si>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</si>
  <si>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</si>
  <si>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</si>
  <si>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</si>
  <si>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</si>
  <si>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</si>
  <si>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</si>
  <si>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</si>
  <si>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</si>
  <si>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</si>
  <si>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</si>
  <si>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</si>
  <si>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</si>
  <si>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</si>
  <si>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</si>
  <si>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</si>
  <si>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</si>
  <si>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</si>
  <si>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</si>
  <si>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</si>
  <si>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</si>
  <si>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</si>
  <si>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</si>
  <si>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</si>
  <si>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</si>
  <si>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</si>
  <si>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</si>
  <si>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</si>
  <si>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</si>
  <si>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</si>
  <si>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</si>
  <si>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</si>
  <si>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</si>
  <si>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</si>
  <si>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</si>
  <si>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</si>
  <si>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</si>
  <si>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</si>
  <si>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</si>
  <si>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</si>
  <si>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</si>
  <si>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</si>
  <si>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</si>
  <si>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</si>
  <si>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</si>
  <si>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</si>
  <si>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</si>
  <si>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</si>
  <si>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</si>
  <si>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</si>
  <si>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</si>
  <si>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</si>
  <si>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</si>
  <si>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</si>
  <si>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</si>
  <si>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</si>
  <si>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</si>
  <si>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</si>
  <si>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</si>
  <si>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</si>
  <si>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</si>
  <si>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</si>
  <si>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</si>
  <si>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</si>
  <si>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</si>
  <si>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</si>
  <si>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</si>
  <si>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</si>
  <si>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</si>
  <si>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</si>
  <si>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</si>
  <si>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</si>
  <si>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</si>
  <si>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</si>
  <si>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</si>
  <si>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</si>
  <si>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</si>
  <si>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</si>
  <si>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</si>
  <si>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</si>
  <si>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</si>
  <si>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</si>
  <si>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</si>
  <si>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</si>
  <si>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</si>
  <si>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</si>
  <si>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</si>
  <si>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</si>
  <si>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</si>
  <si>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</si>
  <si>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</si>
  <si>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</si>
  <si>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</si>
  <si>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</si>
  <si>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</si>
  <si>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</si>
  <si>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</si>
  <si>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</si>
  <si>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</si>
  <si>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</si>
  <si>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</si>
  <si>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</si>
  <si>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</si>
  <si>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</si>
  <si>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</si>
  <si>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</si>
  <si>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</si>
  <si>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</si>
  <si>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</si>
  <si>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</si>
  <si>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</si>
  <si>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</si>
  <si>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</si>
  <si>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</si>
  <si>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</si>
  <si>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</si>
  <si>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</si>
  <si>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</si>
  <si>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</si>
  <si>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</si>
  <si>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</si>
  <si>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</si>
  <si>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</si>
  <si>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</si>
  <si>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</si>
  <si>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</si>
  <si>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</si>
  <si>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</si>
  <si>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</si>
  <si>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</si>
  <si>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</si>
  <si>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</si>
  <si>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</si>
  <si>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</si>
  <si>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</si>
  <si>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</si>
  <si>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</si>
  <si>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</si>
  <si>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</si>
  <si>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</si>
  <si>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</si>
  <si>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</si>
  <si>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</si>
  <si>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</si>
  <si>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</si>
  <si>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</si>
  <si>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</si>
  <si>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</si>
  <si>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</si>
  <si>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</si>
  <si>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</si>
  <si>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</si>
  <si>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D:\EVMS\TP\LOG\VSY832XN9NB9_2022092310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</si>
  <si>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</si>
  <si>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</si>
  <si>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</si>
  <si>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</si>
  <si>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</si>
  <si>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</si>
  <si>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</si>
  <si>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</si>
  <si>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</si>
  <si>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</si>
  <si>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</si>
  <si>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</si>
  <si>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</si>
  <si>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</si>
  <si>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</si>
  <si>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</si>
  <si>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</si>
  <si>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</si>
  <si>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</si>
  <si>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</si>
  <si>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</si>
  <si>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</si>
  <si>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</si>
  <si>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</si>
  <si>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</si>
  <si>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</si>
  <si>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</si>
  <si>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</si>
  <si>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</si>
  <si>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</si>
  <si>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</si>
  <si>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</si>
  <si>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</si>
  <si>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</si>
  <si>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</si>
  <si>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</si>
  <si>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T220923101340335VCMLEBC050</t>
  </si>
  <si>
    <t>'2022-09-23 10:13:49:180</t>
  </si>
  <si>
    <t>VCMLEBC050A</t>
  </si>
  <si>
    <t>DB_C1001</t>
  </si>
  <si>
    <t>210615ADOE</t>
  </si>
  <si>
    <t>R13A_OC_MFG_C10_21091603_b1779c9</t>
  </si>
  <si>
    <t>VSY832XN9NB9</t>
  </si>
  <si>
    <t>22cc11020084</t>
  </si>
  <si>
    <t>0x52801862a81f9f05</t>
  </si>
  <si>
    <t>MFBC367BB830B3B6B644017132</t>
  </si>
  <si>
    <t>MF3C3463AHRF14A7A650</t>
  </si>
  <si>
    <t>DNA22295012440D11A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</si>
  <si>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</si>
  <si>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</si>
  <si>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</si>
  <si>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</si>
  <si>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</si>
  <si>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</si>
  <si>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</si>
  <si>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</si>
  <si>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</si>
  <si>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</si>
  <si>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</si>
  <si>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</si>
  <si>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</si>
  <si>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</si>
  <si>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</si>
  <si>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</si>
  <si>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</si>
  <si>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</si>
  <si>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</si>
  <si>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</si>
  <si>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</si>
  <si>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</si>
  <si>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</si>
  <si>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</si>
  <si>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</si>
  <si>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</si>
  <si>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</si>
  <si>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</si>
  <si>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</si>
  <si>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</si>
  <si>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</si>
  <si>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</si>
  <si>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</si>
  <si>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</si>
  <si>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</si>
  <si>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</si>
  <si>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</si>
  <si>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T220923101406697VCMLEBC050</t>
  </si>
  <si>
    <t>'2022-09-23 10:14:35:391</t>
  </si>
  <si>
    <t>R13A_IPQC_MFG_SFR_InfDn_C10_21090805_b1779c9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</si>
  <si>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</si>
  <si>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</si>
  <si>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</si>
  <si>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</si>
  <si>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</si>
  <si>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</si>
  <si>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</si>
  <si>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</si>
  <si>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</si>
  <si>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</si>
  <si>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</si>
  <si>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</si>
  <si>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</si>
  <si>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</si>
  <si>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</si>
  <si>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10:14:25:362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</si>
  <si>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</si>
  <si>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</si>
  <si>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</si>
  <si>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</si>
  <si>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</si>
  <si>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</si>
  <si>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</si>
  <si>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</si>
  <si>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</si>
  <si>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</si>
  <si>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</si>
  <si>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</si>
  <si>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</si>
  <si>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</si>
  <si>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</si>
  <si>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</si>
  <si>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</si>
  <si>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</si>
  <si>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</si>
  <si>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</si>
  <si>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</si>
  <si>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</si>
  <si>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</si>
  <si>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</si>
  <si>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</si>
  <si>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</si>
  <si>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</si>
  <si>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</si>
  <si>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</si>
  <si>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</si>
  <si>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</si>
  <si>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</si>
  <si>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</si>
  <si>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</si>
  <si>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</si>
  <si>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</si>
  <si>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</si>
  <si>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</si>
  <si>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</si>
  <si>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</si>
  <si>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</si>
  <si>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</si>
  <si>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</si>
  <si>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</si>
  <si>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</si>
  <si>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</si>
  <si>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</si>
  <si>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</si>
  <si>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</si>
  <si>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</si>
  <si>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</si>
  <si>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</si>
  <si>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</si>
  <si>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</si>
  <si>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</si>
  <si>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</si>
  <si>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</si>
  <si>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</si>
  <si>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</si>
  <si>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</si>
  <si>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</si>
  <si>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</si>
  <si>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</si>
  <si>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</si>
  <si>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</si>
  <si>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</si>
  <si>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</si>
  <si>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</si>
  <si>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</si>
  <si>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</si>
  <si>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</si>
  <si>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</si>
  <si>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</si>
  <si>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</si>
  <si>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</si>
  <si>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</si>
  <si>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</si>
  <si>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</si>
  <si>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</si>
  <si>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</si>
  <si>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</si>
  <si>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</si>
  <si>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</si>
  <si>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</si>
  <si>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</si>
  <si>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</si>
  <si>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</si>
  <si>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</si>
  <si>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</si>
  <si>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</si>
  <si>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</si>
  <si>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</si>
  <si>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</si>
  <si>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</si>
  <si>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</si>
  <si>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</si>
  <si>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</si>
  <si>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</si>
  <si>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</si>
  <si>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</si>
  <si>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</si>
  <si>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</si>
  <si>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</si>
  <si>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</si>
  <si>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</si>
  <si>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</si>
  <si>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</si>
  <si>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</si>
  <si>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</si>
  <si>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</si>
  <si>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</si>
  <si>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</si>
  <si>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</si>
  <si>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</si>
  <si>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</si>
  <si>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</si>
  <si>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</si>
  <si>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</si>
  <si>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</si>
  <si>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</si>
  <si>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</si>
  <si>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</si>
  <si>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</si>
  <si>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</si>
  <si>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</si>
  <si>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</si>
  <si>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</si>
  <si>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</si>
  <si>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</si>
  <si>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</si>
  <si>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</si>
  <si>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</si>
  <si>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</si>
  <si>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</si>
  <si>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</si>
  <si>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</si>
  <si>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</si>
  <si>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</si>
  <si>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</si>
  <si>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</si>
  <si>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</si>
  <si>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</si>
  <si>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</si>
  <si>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</si>
  <si>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</si>
  <si>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</si>
  <si>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</si>
  <si>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</si>
  <si>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</si>
  <si>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</si>
  <si>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</si>
  <si>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</si>
  <si>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</si>
  <si>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</si>
  <si>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</si>
  <si>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</si>
  <si>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</si>
  <si>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</si>
  <si>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</si>
  <si>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</si>
  <si>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</si>
  <si>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</si>
  <si>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</si>
  <si>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</si>
  <si>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</si>
  <si>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</si>
  <si>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</si>
  <si>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</si>
  <si>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</si>
  <si>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</si>
  <si>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</si>
  <si>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</si>
  <si>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</si>
  <si>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</si>
  <si>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</si>
  <si>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</si>
  <si>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</si>
  <si>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</si>
  <si>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</si>
  <si>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</si>
  <si>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</si>
  <si>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</si>
  <si>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</si>
  <si>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</si>
  <si>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</si>
  <si>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</si>
  <si>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</si>
  <si>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</si>
  <si>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</si>
  <si>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</si>
  <si>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</si>
  <si>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</si>
  <si>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</si>
  <si>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</si>
  <si>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</si>
  <si>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</si>
  <si>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</si>
  <si>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</si>
  <si>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</si>
  <si>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</si>
  <si>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</si>
  <si>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</si>
  <si>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</si>
  <si>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</si>
  <si>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</si>
  <si>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</si>
  <si>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</si>
  <si>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</si>
  <si>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</si>
  <si>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</si>
  <si>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</si>
  <si>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</si>
  <si>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</si>
  <si>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</si>
  <si>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</si>
  <si>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</si>
  <si>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</si>
  <si>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</si>
  <si>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</si>
  <si>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</si>
  <si>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</si>
  <si>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</si>
  <si>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</si>
  <si>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</si>
  <si>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</si>
  <si>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</si>
  <si>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</si>
  <si>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</si>
  <si>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</si>
  <si>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</si>
  <si>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</si>
  <si>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</si>
  <si>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</si>
  <si>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</si>
  <si>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</si>
  <si>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</si>
  <si>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</si>
  <si>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</si>
  <si>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</si>
  <si>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</si>
  <si>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</si>
  <si>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</si>
  <si>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</si>
  <si>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</si>
  <si>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</si>
  <si>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</si>
  <si>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</si>
  <si>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</si>
  <si>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</si>
  <si>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</si>
  <si>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</si>
  <si>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</si>
  <si>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</si>
  <si>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</si>
  <si>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</si>
  <si>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</si>
  <si>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</si>
  <si>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T220923101351841VCMLEBC050</t>
  </si>
  <si>
    <t>'2022-09-23 10:14:04:377</t>
  </si>
  <si>
    <t>R13A_IPQC_MFG_Laser_C10_21090805_b1779c9</t>
  </si>
  <si>
    <t>v9p4</t>
  </si>
  <si>
    <t>T220923101445266VCMLEBC050</t>
  </si>
  <si>
    <t>'2022-09-23 10:14:54:521</t>
  </si>
  <si>
    <t>22cc11010600</t>
  </si>
  <si>
    <t>0x52801862b6ec3104</t>
  </si>
  <si>
    <t>MFBC354BA67GB2B6C243034125</t>
  </si>
  <si>
    <t>MF3C3463AJWT14A7A635</t>
  </si>
  <si>
    <t>DNA22295012940M10A</t>
  </si>
  <si>
    <t>T220923101457153VCMLEBC050</t>
  </si>
  <si>
    <t>'2022-09-23 10:15:09:684</t>
  </si>
  <si>
    <t>T220923101551622VCMLEBC050</t>
  </si>
  <si>
    <t>'2022-09-23 10:16:00:404</t>
  </si>
  <si>
    <t>22cc11010818</t>
  </si>
  <si>
    <t>0x52801862a8273204</t>
  </si>
  <si>
    <t>MFBC354BA89884B6B938021137</t>
  </si>
  <si>
    <t>MF3C3463AJPH14A7A636</t>
  </si>
  <si>
    <t>DNA22292021620H01A</t>
  </si>
  <si>
    <t>T220923101511992VCMLEBC050</t>
  </si>
  <si>
    <t>'2022-09-23 10:15:40:511</t>
  </si>
  <si>
    <t>T220923101617830VCMLEBC050</t>
  </si>
  <si>
    <t>'2022-09-23 10:16:46:192</t>
  </si>
  <si>
    <t>'2022-09-23 10:15:30:479</t>
  </si>
  <si>
    <t>'2022-09-23 10:16:36:166</t>
  </si>
  <si>
    <t>T220923101603062VCMLEBC050</t>
  </si>
  <si>
    <t>'2022-09-23 10:16:15:590</t>
  </si>
  <si>
    <t>T220923101656981VCMLEBC050</t>
  </si>
  <si>
    <t>'2022-09-23 10:17:05:751</t>
  </si>
  <si>
    <t>22cc11020308</t>
  </si>
  <si>
    <t>0x52801862b6f09902</t>
  </si>
  <si>
    <t>MFBC354BA7U484B6B246094050</t>
  </si>
  <si>
    <t>MF4C3324BLCC17A7A629</t>
  </si>
  <si>
    <t>DNA22244052480L07A</t>
  </si>
  <si>
    <t>T220923101708357VCMLEBC050</t>
  </si>
  <si>
    <t>'2022-09-23 10:17:20:895</t>
  </si>
  <si>
    <t>T220923101723204VCMLEBC050</t>
  </si>
  <si>
    <t>'2022-09-23 10:17:52:232</t>
  </si>
  <si>
    <t>'2022-09-23 10:17:42:201</t>
  </si>
  <si>
    <t>T220923101805849VCMLEBC050</t>
  </si>
  <si>
    <t>'2022-09-23 10:18:15:182</t>
  </si>
  <si>
    <t>22cc11020763</t>
  </si>
  <si>
    <t>0x52801862a824a501</t>
  </si>
  <si>
    <t>MFBC367BB833B3B6B548003112</t>
  </si>
  <si>
    <t>MF3C3463AHRE14A7A637</t>
  </si>
  <si>
    <t>DNA22295091470M13A</t>
  </si>
  <si>
    <t>T220923101832617VCMLEBC050</t>
  </si>
  <si>
    <t>'2022-09-23 10:19:00:802</t>
  </si>
  <si>
    <t>'2022-09-23 10:18:50:774</t>
  </si>
  <si>
    <t>T220923101817792VCMLEBC050</t>
  </si>
  <si>
    <t>'2022-09-23 10:18:30:323</t>
  </si>
  <si>
    <t>T220923101958140VCMLEBC050</t>
  </si>
  <si>
    <t>'2022-09-23 10:20:07:024</t>
  </si>
  <si>
    <t>22cc11010507</t>
  </si>
  <si>
    <t>0x52801862b6ecbc03</t>
  </si>
  <si>
    <t>MFBC354BA6JBB2B6B839019112</t>
  </si>
  <si>
    <t>MF3C3463AJY614A7A638</t>
  </si>
  <si>
    <t>DNA22295012050C10A</t>
  </si>
  <si>
    <t>T220923102102251VCMLEBC050</t>
  </si>
  <si>
    <t>'2022-09-23 10:21:11:034</t>
  </si>
  <si>
    <t>22cc11020754</t>
  </si>
  <si>
    <t>0x52801862b6eca808</t>
  </si>
  <si>
    <t>MFBC354BA7TM84B6B139057119</t>
  </si>
  <si>
    <t>MF4C3324BLHC17A7A632</t>
  </si>
  <si>
    <t>DNA22242134060A04A</t>
  </si>
  <si>
    <t>T220923102024524VCMLEBC050</t>
  </si>
  <si>
    <t>'2022-09-23 10:20:52:915</t>
  </si>
  <si>
    <t>'2022-09-23 10:20:42:893</t>
  </si>
  <si>
    <t>T220923102009684VCMLEBC050</t>
  </si>
  <si>
    <t>'2022-09-23 10:20:22:214</t>
  </si>
  <si>
    <t>T220923102113701VCMLEBC050</t>
  </si>
  <si>
    <t>'2022-09-23 10:21:26:232</t>
  </si>
  <si>
    <t>T220923102207350VCMLEBC050</t>
  </si>
  <si>
    <t>'2022-09-23 10:22:16:166</t>
  </si>
  <si>
    <t>22cc11020575</t>
  </si>
  <si>
    <t>0x52801862b6ec4e07</t>
  </si>
  <si>
    <t>MFBC354BA6HYB2B6B743014130</t>
  </si>
  <si>
    <t>MF3C3463AJWM14A7A632</t>
  </si>
  <si>
    <t>DNA22295012110L09A</t>
  </si>
  <si>
    <t>T220923102128538VCMLEBC050</t>
  </si>
  <si>
    <t>'2022-09-23 10:21:58:079</t>
  </si>
  <si>
    <t>'2022-09-23 10:21:48:052</t>
  </si>
  <si>
    <t>T220923102218771VCMLEBC050</t>
  </si>
  <si>
    <t>'2022-09-23 10:22:31:301</t>
  </si>
  <si>
    <t>T220923102319126VCMLEBC050</t>
  </si>
  <si>
    <t>'2022-09-23 10:23:28:037</t>
  </si>
  <si>
    <t>22cc11010742</t>
  </si>
  <si>
    <t>0x52801862b6ebfc08</t>
  </si>
  <si>
    <t>MFBC354BA6H0B2B6B946054146</t>
  </si>
  <si>
    <t>MF3C3463AJY714A7A633</t>
  </si>
  <si>
    <t>DNA22295014160E03A</t>
  </si>
  <si>
    <t>T220923102437628VCMLEBC050</t>
  </si>
  <si>
    <t>'2022-09-23 10:24:46:403</t>
  </si>
  <si>
    <t>22cc11020108</t>
  </si>
  <si>
    <t>0x52801862b6eb6f07</t>
  </si>
  <si>
    <t>MFBC367BB86ZB3B6B148103115</t>
  </si>
  <si>
    <t>MF3C3463AHRD14A7A659</t>
  </si>
  <si>
    <t>DNA22295012440C13A</t>
  </si>
  <si>
    <t>T220923102233604VCMLEBC050</t>
  </si>
  <si>
    <t>'2022-09-23 10:23:02:624</t>
  </si>
  <si>
    <t>T220923102345496VCMLEBC050</t>
  </si>
  <si>
    <t>'2022-09-23 10:24:13:883</t>
  </si>
  <si>
    <t>'2022-09-23 10:22:52:599</t>
  </si>
  <si>
    <t>'2022-09-23 10:24:03:855</t>
  </si>
  <si>
    <t>T220923102503906VCMLEBC050</t>
  </si>
  <si>
    <t>'2022-09-23 10:25:22:518</t>
  </si>
  <si>
    <t>T220923102330662VCMLEBC050</t>
  </si>
  <si>
    <t>'2022-09-23 10:23:43:192</t>
  </si>
  <si>
    <t>T220923102449072VCMLEBC050</t>
  </si>
  <si>
    <t>'2022-09-23 10:25:01:608</t>
  </si>
  <si>
    <t>'2022-09-23 10:25:32:542</t>
  </si>
  <si>
    <t>T220923102542173VCMLEBC050</t>
  </si>
  <si>
    <t>'2022-09-23 10:25:51:062</t>
  </si>
  <si>
    <t>22cc11010773</t>
  </si>
  <si>
    <t>0x52801862a82dab08</t>
  </si>
  <si>
    <t>MFBC354BA67TB2B6C139010138</t>
  </si>
  <si>
    <t>MF3C3463AJWS14A7A635</t>
  </si>
  <si>
    <t>DNA22295012850E03A</t>
  </si>
  <si>
    <t>T220923102608565VCMLEBC050</t>
  </si>
  <si>
    <t>'2022-09-23 10:26:26:703</t>
  </si>
  <si>
    <t>T220923102553728VCMLEBC050</t>
  </si>
  <si>
    <t>'2022-09-23 10:26:06:265</t>
  </si>
  <si>
    <t>T220923102647100VCMLEBC050</t>
  </si>
  <si>
    <t>'2022-09-23 10:26:56:016</t>
  </si>
  <si>
    <t>22cc11010541</t>
  </si>
  <si>
    <t>0x52801862b6f0a104</t>
  </si>
  <si>
    <t>MFBC354BA6JNB2B6B939009124</t>
  </si>
  <si>
    <t>MF3C3463AJWU14A7A630</t>
  </si>
  <si>
    <t>DNA22295014790C05A</t>
  </si>
  <si>
    <t>'2022-09-23 10:26:36:728</t>
  </si>
  <si>
    <t>T220923102658661VCMLEBC050</t>
  </si>
  <si>
    <t>'2022-09-23 10:27:11:205</t>
  </si>
  <si>
    <t>T220923102713438VCMLEBC050</t>
  </si>
  <si>
    <t>'2022-09-23 10:27:41:936</t>
  </si>
  <si>
    <t>'2022-09-23 10:27:31:911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</si>
</sst>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-6.5241008846000001</c:v>
                </c:pt>
                <c:pt idx="1">
                  <c:v>-5.9860801722000003</c:v>
                </c:pt>
                <c:pt idx="2">
                  <c:v>-7.2891304226000004</c:v>
                </c:pt>
                <c:pt idx="3">
                  <c:v>-6.4739276066000002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2.3708175453</c:v>
                </c:pt>
                <c:pt idx="1">
                  <c:v>3.8958498304</c:v>
                </c:pt>
                <c:pt idx="2">
                  <c:v>6.6382927230000002</c:v>
                </c:pt>
                <c:pt idx="3">
                  <c:v>1.5019301388000001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-6.5997704931333336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4.3016533662333334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528"/>
        <c:axId val="115960064"/>
      </c:scatterChart>
      <c:valAx>
        <c:axId val="115958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5960064"/>
        <c:crosses val="autoZero"/>
        <c:crossBetween val="midCat"/>
        <c:majorUnit val="10"/>
      </c:valAx>
      <c:valAx>
        <c:axId val="1159600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5958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-2.8482158610999999</c:v>
                </c:pt>
                <c:pt idx="1">
                  <c:v>-3.2300864438999999</c:v>
                </c:pt>
                <c:pt idx="2">
                  <c:v>-4.5960447906999997</c:v>
                </c:pt>
                <c:pt idx="3">
                  <c:v>-4.4821983998999997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3.6719933886999998</c:v>
                </c:pt>
                <c:pt idx="1">
                  <c:v>-7.4272746425000005</c:v>
                </c:pt>
                <c:pt idx="2">
                  <c:v>-0.90818463040000008</c:v>
                </c:pt>
                <c:pt idx="3">
                  <c:v>-1.4090684729999996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-4.1840766371999996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-0.75111703833333365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696"/>
        <c:axId val="117063680"/>
      </c:scatterChart>
      <c:valAx>
        <c:axId val="11705369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7063680"/>
        <c:crosses val="autoZero"/>
        <c:crossBetween val="midCat"/>
        <c:majorUnit val="10"/>
      </c:valAx>
      <c:valAx>
        <c:axId val="117063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7053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-7.3704365060999999</c:v>
                </c:pt>
                <c:pt idx="1">
                  <c:v>-4.7647983986</c:v>
                </c:pt>
                <c:pt idx="2">
                  <c:v>-5.8978284328999999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0.15154279920000002</c:v>
                </c:pt>
                <c:pt idx="1">
                  <c:v>-3.3487497631999998</c:v>
                </c:pt>
                <c:pt idx="2">
                  <c:v>3.0672294253999999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-5.4828932322333328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-0.72190343473333318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88256"/>
        <c:axId val="117089792"/>
      </c:scatterChart>
      <c:valAx>
        <c:axId val="117088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7089792"/>
        <c:crosses val="autoZero"/>
        <c:crossBetween val="midCat"/>
        <c:majorUnit val="10"/>
      </c:valAx>
      <c:valAx>
        <c:axId val="117089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708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-11.0487377425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-1.1975517296999998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-7.2371215246666667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-0.49302402249999994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26784"/>
        <c:axId val="118328320"/>
      </c:scatterChart>
      <c:valAx>
        <c:axId val="1183267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328320"/>
        <c:crosses val="autoZero"/>
        <c:crossBetween val="midCat"/>
        <c:majorUnit val="10"/>
      </c:valAx>
      <c:valAx>
        <c:axId val="1183283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832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95.698137799999998</c:v>
                </c:pt>
                <c:pt idx="1">
                  <c:v>92.860955329999996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94.586392206666673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098240"/>
        <c:axId val="123099776"/>
      </c:scatterChart>
      <c:valAx>
        <c:axId val="123098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099776"/>
        <c:crosses val="autoZero"/>
        <c:crossBetween val="midCat"/>
      </c:valAx>
      <c:valAx>
        <c:axId val="1230997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098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95.200083489999997</c:v>
                </c:pt>
                <c:pt idx="1">
                  <c:v>82.186064860000002</c:v>
                </c:pt>
                <c:pt idx="2">
                  <c:v>96.344687350000001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91.963015716666675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36640"/>
        <c:axId val="123138432"/>
      </c:scatterChart>
      <c:valAx>
        <c:axId val="123136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138432"/>
        <c:crosses val="autoZero"/>
        <c:crossBetween val="midCat"/>
      </c:valAx>
      <c:valAx>
        <c:axId val="12313843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13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97.358294939999993</c:v>
                </c:pt>
                <c:pt idx="1">
                  <c:v>97.90370953</c:v>
                </c:pt>
                <c:pt idx="2">
                  <c:v>96.452380570000003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96.27244991000002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191680"/>
        <c:axId val="123193216"/>
      </c:scatterChart>
      <c:valAx>
        <c:axId val="123191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193216"/>
        <c:crosses val="autoZero"/>
        <c:crossBetween val="midCat"/>
      </c:valAx>
      <c:valAx>
        <c:axId val="1231932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3191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94.461259630000001</c:v>
                </c:pt>
                <c:pt idx="1">
                  <c:v>95.386546580000001</c:v>
                </c:pt>
                <c:pt idx="2">
                  <c:v>96.736658820000002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95.694189823333332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29344"/>
        <c:axId val="124347520"/>
      </c:scatterChart>
      <c:valAx>
        <c:axId val="12432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347520"/>
        <c:crosses val="autoZero"/>
        <c:crossBetween val="midCat"/>
      </c:valAx>
      <c:valAx>
        <c:axId val="12434752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432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-5.706445456</c:v>
                </c:pt>
                <c:pt idx="1">
                  <c:v>-0.84108638799999991</c:v>
                </c:pt>
                <c:pt idx="2">
                  <c:v>-6.2830855249999997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-6.4445748329999999</c:v>
                </c:pt>
                <c:pt idx="1">
                  <c:v>0.67050314000000011</c:v>
                </c:pt>
                <c:pt idx="2">
                  <c:v>6.3427448000000108E-2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-4.2768724563333329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-1.9035480816666663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00768"/>
        <c:axId val="124402304"/>
      </c:scatterChart>
      <c:valAx>
        <c:axId val="1244007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02304"/>
        <c:crosses val="autoZero"/>
        <c:crossBetween val="midCat"/>
        <c:majorUnit val="10"/>
      </c:valAx>
      <c:valAx>
        <c:axId val="1244023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0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-7.4259535074</c:v>
                </c:pt>
                <c:pt idx="1">
                  <c:v>-2.6986122130999997</c:v>
                </c:pt>
                <c:pt idx="2">
                  <c:v>2.5715417861999992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2.6290612220999998</c:v>
                </c:pt>
                <c:pt idx="1">
                  <c:v>0.3090505600000002</c:v>
                </c:pt>
                <c:pt idx="2">
                  <c:v>0.9960553646000001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-2.5176746447666667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1.3113890489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39168"/>
        <c:axId val="124457344"/>
      </c:scatterChart>
      <c:valAx>
        <c:axId val="1244391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57344"/>
        <c:crosses val="autoZero"/>
        <c:crossBetween val="midCat"/>
        <c:majorUnit val="10"/>
      </c:valAx>
      <c:valAx>
        <c:axId val="1244573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39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1.0439834594999997</c:v>
                </c:pt>
                <c:pt idx="1">
                  <c:v>-5.0862582922000001</c:v>
                </c:pt>
                <c:pt idx="2">
                  <c:v>0.4375720023999996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-1.7431583405</c:v>
                </c:pt>
                <c:pt idx="1">
                  <c:v>6.8132162099999949E-2</c:v>
                </c:pt>
                <c:pt idx="2">
                  <c:v>-1.8398067950999999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-1.2015676101000003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-1.1716109911666666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86016"/>
        <c:axId val="124487552"/>
      </c:scatterChart>
      <c:valAx>
        <c:axId val="1244860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87552"/>
        <c:crosses val="autoZero"/>
        <c:crossBetween val="midCat"/>
        <c:majorUnit val="10"/>
      </c:valAx>
      <c:valAx>
        <c:axId val="1244875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486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-4.5442297460000001</c:v>
                </c:pt>
                <c:pt idx="1">
                  <c:v>-0.94372892400000019</c:v>
                </c:pt>
                <c:pt idx="2">
                  <c:v>-2.2216897009999999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-4.6794050929999997</c:v>
                </c:pt>
                <c:pt idx="1">
                  <c:v>-1.589430809</c:v>
                </c:pt>
                <c:pt idx="2">
                  <c:v>-4.2185034750000003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-2.5698827903333332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-3.4957797923333334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4528"/>
        <c:axId val="124616064"/>
      </c:scatterChart>
      <c:valAx>
        <c:axId val="1246145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616064"/>
        <c:crosses val="autoZero"/>
        <c:crossBetween val="midCat"/>
        <c:majorUnit val="10"/>
      </c:valAx>
      <c:valAx>
        <c:axId val="12461606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4614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D:\EVMS\TP\LOG\VSY832XN9NB9_2022092310_D50_ON_OC.csv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D:\EVMS\TP\LOG\VSY832XN9NB9_2022092310_FPDC_INFD_normal.csv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D:\EVMS\TP\LOG\VSY832XN9NB9_2022092310_INFDMargin_IPQC.csv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D:\EVMS\TP\LOG\VSY832XN9NB9_2022092310_VCM_MEASURE.csv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K49" sqref="K49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22cc11020084</v>
      </c>
      <c r="C34" s="44">
        <f>IPQC!S2+VLOOKUP($R$31,$AD$38:$AK$42,6,FALSE)+VLOOKUP('File location'!$B$1,'Tester offset'!$A$2:$D$4,2,FALSE)</f>
        <v>95.698137799999998</v>
      </c>
      <c r="D34" s="44">
        <f>IPQC!Z2+VLOOKUP($R$31,$AD$38:$AK$42,6,FALSE)</f>
        <v>76.004989670000001</v>
      </c>
      <c r="E34" s="44">
        <f>VCM!HU2-'Summary(3pcs)'!C34-'Summary(3pcs)'!$D$32</f>
        <v>136.05043114613795</v>
      </c>
      <c r="F34" s="90">
        <f>AVERAGEIF($A$34:$A$45,1,$C$34:$C$45)</f>
        <v>94.586392206666673</v>
      </c>
      <c r="G34" s="91">
        <f>AVERAGEIF($A$34:$A$45,1,$D$34:$D$45)</f>
        <v>74.494654136666668</v>
      </c>
      <c r="H34" s="91">
        <f>AVERAGEIF($A$34:$A$45,1,$E$34:$E$45)</f>
        <v>131.44337272107126</v>
      </c>
      <c r="I34" s="91">
        <f>85-F34</f>
        <v>-9.5863922066666731</v>
      </c>
      <c r="J34"/>
      <c r="K34" s="79">
        <f>T34</f>
        <v>1</v>
      </c>
      <c r="L34" s="80" t="str">
        <f>OC!J2</f>
        <v>22cc11020084</v>
      </c>
      <c r="M34" s="44">
        <f>OC!S2+VLOOKUP($R$31,$AD$38:$AK$42,4,FALSE)</f>
        <v>-6.5241008846000001</v>
      </c>
      <c r="N34" s="44">
        <f>OC!T2+VLOOKUP($R$31,$AD$38:$AK$42,5,FALSE)</f>
        <v>2.3708175453</v>
      </c>
      <c r="O34" s="92">
        <f>AVERAGEIF($K$34:$K$45,1,$M$34:$M$45)</f>
        <v>-6.5997704931333336</v>
      </c>
      <c r="P34" s="92">
        <f>AVERAGEIF($K$34:$K$45,1,$N$34:$N$45)</f>
        <v>4.3016533662333334</v>
      </c>
      <c r="Q34" s="90">
        <f>P34*0.001</f>
        <v>4.3016533662333335E-3</v>
      </c>
      <c r="R34" s="90">
        <f>O34*0.001</f>
        <v>-6.5997704931333341E-3</v>
      </c>
      <c r="T34" s="79">
        <v>1</v>
      </c>
      <c r="U34" s="80" t="str">
        <f>FPDC!J2</f>
        <v>22cc11020084</v>
      </c>
      <c r="V34" s="75">
        <f>FPDC!R2+VLOOKUP($R$31,$AD$38:$AK$42,2,FALSE)+VLOOKUP($R$31,$AD$38:$AK$42,7,FALSE)+VLOOKUP('File location'!$B$1,'Tester offset'!$A$2:$D$4,3,FALSE)</f>
        <v>-4.5442297460000001</v>
      </c>
      <c r="W34" s="76">
        <f>FPDC!S2+VLOOKUP($R$31,$AD$38:$AK$42,3,FALSE)+VLOOKUP($R$31,$AD$38:$AK$42,8,FALSE)+VLOOKUP('File location'!$B$1,'Tester offset'!$A$2:$D$4,4,FALSE)</f>
        <v>-4.6794050929999997</v>
      </c>
      <c r="X34" s="92">
        <f>AVERAGEIF($T$34:$T$45,1,$V$34:$V$45)</f>
        <v>-2.5698827903333332</v>
      </c>
      <c r="Y34" s="92">
        <f>AVERAGEIF($T$34:$T$45,1,$W$34:$W$45)</f>
        <v>-3.4957797923333334</v>
      </c>
      <c r="Z34" s="90">
        <f>(X34*-0.01)/4</f>
        <v>6.4247069758333331E-3</v>
      </c>
      <c r="AA34" s="90">
        <f>(Y34*-0.01)/4</f>
        <v>8.739449480833333E-3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22cc11010600</v>
      </c>
      <c r="C35" s="44">
        <f>IPQC!S3+VLOOKUP($R$31,$AD$38:$AK$42,6,FALSE)+VLOOKUP('File location'!$B$1,'Tester offset'!$A$2:$D$4,2,FALSE)</f>
        <v>92.860955329999996</v>
      </c>
      <c r="D35" s="44">
        <f>IPQC!Z3+VLOOKUP($R$31,$AD$38:$AK$42,6,FALSE)</f>
        <v>74.841218479999995</v>
      </c>
      <c r="E35" s="44">
        <f>VCM!HU3-'Summary(3pcs)'!C35-'Summary(3pcs)'!$D$32</f>
        <v>133.36979658963787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22cc11010600</v>
      </c>
      <c r="M35" s="44">
        <f>OC!S3+VLOOKUP($R$31,$AD$38:$AK$42,4,FALSE)</f>
        <v>-5.9860801722000003</v>
      </c>
      <c r="N35" s="44">
        <f>OC!T3+VLOOKUP($R$31,$AD$38:$AK$42,5,FALSE)</f>
        <v>3.8958498304</v>
      </c>
      <c r="O35" s="92"/>
      <c r="P35" s="92"/>
      <c r="Q35" s="90"/>
      <c r="R35" s="90"/>
      <c r="T35" s="79">
        <v>1</v>
      </c>
      <c r="U35" s="80" t="str">
        <f>FPDC!J3</f>
        <v>22cc11010600</v>
      </c>
      <c r="V35" s="75">
        <f>FPDC!R3+VLOOKUP($R$31,$AD$38:$AK$42,2,FALSE)+VLOOKUP($R$31,$AD$38:$AK$42,7,FALSE)+VLOOKUP('File location'!$B$1,'Tester offset'!$A$2:$D$4,3,FALSE)</f>
        <v>-0.94372892400000019</v>
      </c>
      <c r="W35" s="76">
        <f>FPDC!S3+VLOOKUP($R$31,$AD$38:$AK$42,3,FALSE)+VLOOKUP($R$31,$AD$38:$AK$42,8,FALSE)+VLOOKUP('File location'!$B$1,'Tester offset'!$A$2:$D$4,4,FALSE)</f>
        <v>-1.589430809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22cc11010818</v>
      </c>
      <c r="C36" s="44">
        <f>IPQC!S4+VLOOKUP($R$31,$AD$38:$AK$42,6,FALSE)+VLOOKUP('File location'!$B$1,'Tester offset'!$A$2:$D$4,2,FALSE)</f>
        <v>95.200083489999997</v>
      </c>
      <c r="D36" s="44">
        <f>IPQC!Z4+VLOOKUP($R$31,$AD$38:$AK$42,6,FALSE)</f>
        <v>72.637754259999994</v>
      </c>
      <c r="E36" s="44">
        <f>VCM!HU4-'Summary(3pcs)'!C36-'Summary(3pcs)'!$D$32</f>
        <v>124.90989042743792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22cc11010818</v>
      </c>
      <c r="M36" s="44">
        <f>OC!S4+VLOOKUP($R$31,$AD$38:$AK$42,4,FALSE)</f>
        <v>-7.2891304226000004</v>
      </c>
      <c r="N36" s="44">
        <f>OC!T4+VLOOKUP($R$31,$AD$38:$AK$42,5,FALSE)</f>
        <v>6.6382927230000002</v>
      </c>
      <c r="O36" s="92"/>
      <c r="P36" s="92"/>
      <c r="Q36" s="90"/>
      <c r="R36" s="90"/>
      <c r="T36" s="79">
        <v>1</v>
      </c>
      <c r="U36" s="80" t="str">
        <f>FPDC!J4</f>
        <v>22cc11010818</v>
      </c>
      <c r="V36" s="75">
        <f>FPDC!R4+VLOOKUP($R$31,$AD$38:$AK$42,2,FALSE)+VLOOKUP($R$31,$AD$38:$AK$42,7,FALSE)+VLOOKUP('File location'!$B$1,'Tester offset'!$A$2:$D$4,3,FALSE)</f>
        <v>-2.2216897009999999</v>
      </c>
      <c r="W36" s="76">
        <f>FPDC!S4+VLOOKUP($R$31,$AD$38:$AK$42,3,FALSE)+VLOOKUP($R$31,$AD$38:$AK$42,8,FALSE)+VLOOKUP('File location'!$B$1,'Tester offset'!$A$2:$D$4,4,FALSE)</f>
        <v>-4.2185034750000003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22cc11020308</v>
      </c>
      <c r="C37" s="44">
        <f>IPQC!S5+VLOOKUP($R$31,$AD$38:$AK$42,6,FALSE)+VLOOKUP('File location'!$B$1,'Tester offset'!$A$2:$D$4,2,FALSE)</f>
        <v>82.186064860000002</v>
      </c>
      <c r="D37" s="44">
        <f>IPQC!Z5+VLOOKUP($R$31,$AD$38:$AK$42,6,FALSE)</f>
        <v>65.010663910000005</v>
      </c>
      <c r="E37" s="44">
        <f>VCM!HU5-'Summary(3pcs)'!C37-'Summary(3pcs)'!$D$32</f>
        <v>127.54282638823793</v>
      </c>
      <c r="F37" s="90">
        <f>AVERAGEIF($A$34:$A$45,2,$C$34:$C$45)</f>
        <v>91.963015716666675</v>
      </c>
      <c r="G37" s="91">
        <f>AVERAGEIF($A$34:$A$45,2,$D$34:$D$45)</f>
        <v>75.420233483333348</v>
      </c>
      <c r="H37" s="91">
        <f>AVERAGEIF($A$34:$A$45,2,$E$34:$E$45)</f>
        <v>136.94894493263791</v>
      </c>
      <c r="I37" s="91">
        <f>85-F37</f>
        <v>-6.9630157166666748</v>
      </c>
      <c r="J37"/>
      <c r="K37" s="79">
        <f t="shared" si="1"/>
        <v>2</v>
      </c>
      <c r="L37" s="80" t="str">
        <f>OC!J5</f>
        <v>22cc11020308</v>
      </c>
      <c r="M37" s="44">
        <f>OC!S5+VLOOKUP($R$31,$AD$38:$AK$42,4,FALSE)</f>
        <v>-6.4739276066000002</v>
      </c>
      <c r="N37" s="44">
        <f>OC!T5+VLOOKUP($R$31,$AD$38:$AK$42,5,FALSE)</f>
        <v>1.5019301388000001</v>
      </c>
      <c r="O37" s="92">
        <f>AVERAGEIF($K$34:$K$45,2,$M$34:$M$45)</f>
        <v>-4.1840766371999996</v>
      </c>
      <c r="P37" s="92">
        <f>AVERAGEIF($K$34:$K$45,2,$N$34:$N$45)</f>
        <v>-0.75111703833333365</v>
      </c>
      <c r="Q37" s="90">
        <f>P37*0.001</f>
        <v>-7.5111703833333362E-4</v>
      </c>
      <c r="R37" s="90">
        <f>O37*0.001</f>
        <v>-4.1840766371999995E-3</v>
      </c>
      <c r="T37" s="79">
        <v>2</v>
      </c>
      <c r="U37" s="80" t="str">
        <f>FPDC!J5</f>
        <v>22cc11020308</v>
      </c>
      <c r="V37" s="75">
        <f>FPDC!R5+VLOOKUP($R$31,$AD$38:$AK$42,2,FALSE)+VLOOKUP($R$31,$AD$38:$AK$42,7,FALSE)+VLOOKUP('File location'!$B$1,'Tester offset'!$A$2:$D$4,3,FALSE)</f>
        <v>-5.706445456</v>
      </c>
      <c r="W37" s="76">
        <f>FPDC!S5+VLOOKUP($R$31,$AD$38:$AK$42,3,FALSE)+VLOOKUP($R$31,$AD$38:$AK$42,8,FALSE)+VLOOKUP('File location'!$B$1,'Tester offset'!$A$2:$D$4,4,FALSE)</f>
        <v>-6.4445748329999999</v>
      </c>
      <c r="X37" s="92">
        <f>AVERAGEIF($T$34:$T$45,2,$V$34:$V$45)</f>
        <v>-4.2768724563333329</v>
      </c>
      <c r="Y37" s="92">
        <f>AVERAGEIF($T$34:$T$45,2,$W$34:$W$45)</f>
        <v>-1.9035480816666663</v>
      </c>
      <c r="Z37" s="90">
        <f>(X37*-0.01)/4</f>
        <v>1.0692181140833333E-2</v>
      </c>
      <c r="AA37" s="90">
        <f>(Y37*-0.01)/4</f>
        <v>4.7588702041666663E-3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22cc11020763</v>
      </c>
      <c r="C38" s="44">
        <f>IPQC!S6+VLOOKUP($R$31,$AD$38:$AK$42,6,FALSE)+VLOOKUP('File location'!$B$1,'Tester offset'!$A$2:$D$4,2,FALSE)</f>
        <v>96.344687350000001</v>
      </c>
      <c r="D38" s="44">
        <f>IPQC!Z6+VLOOKUP($R$31,$AD$38:$AK$42,6,FALSE)</f>
        <v>81.334667640000006</v>
      </c>
      <c r="E38" s="44">
        <f>VCM!HU6-'Summary(3pcs)'!C38-'Summary(3pcs)'!$D$32</f>
        <v>128.8404571709379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22cc11020763</v>
      </c>
      <c r="M38" s="44">
        <f>OC!S6+VLOOKUP($R$31,$AD$38:$AK$42,4,FALSE)</f>
        <v>-2.8482158610999999</v>
      </c>
      <c r="N38" s="44">
        <f>OC!T6+VLOOKUP($R$31,$AD$38:$AK$42,5,FALSE)</f>
        <v>3.6719933886999998</v>
      </c>
      <c r="O38" s="92"/>
      <c r="P38" s="92"/>
      <c r="Q38" s="90"/>
      <c r="R38" s="90"/>
      <c r="T38" s="79">
        <v>2</v>
      </c>
      <c r="U38" s="80" t="str">
        <f>FPDC!J6</f>
        <v>22cc11020763</v>
      </c>
      <c r="V38" s="75">
        <f>FPDC!R6+VLOOKUP($R$31,$AD$38:$AK$42,2,FALSE)+VLOOKUP($R$31,$AD$38:$AK$42,7,FALSE)+VLOOKUP('File location'!$B$1,'Tester offset'!$A$2:$D$4,3,FALSE)</f>
        <v>-0.84108638799999991</v>
      </c>
      <c r="W38" s="76">
        <f>FPDC!S6+VLOOKUP($R$31,$AD$38:$AK$42,3,FALSE)+VLOOKUP($R$31,$AD$38:$AK$42,8,FALSE)+VLOOKUP('File location'!$B$1,'Tester offset'!$A$2:$D$4,4,FALSE)</f>
        <v>0.67050314000000011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22cc11010507</v>
      </c>
      <c r="C39" s="44">
        <f>IPQC!S7+VLOOKUP($R$31,$AD$38:$AK$42,6,FALSE)+VLOOKUP('File location'!$B$1,'Tester offset'!$A$2:$D$4,2,FALSE)</f>
        <v>97.358294939999993</v>
      </c>
      <c r="D39" s="44">
        <f>IPQC!Z7+VLOOKUP($R$31,$AD$38:$AK$42,6,FALSE)</f>
        <v>79.915368900000004</v>
      </c>
      <c r="E39" s="44">
        <f>VCM!HU7-'Summary(3pcs)'!C39-'Summary(3pcs)'!$D$32</f>
        <v>154.46355123873792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22cc11010507</v>
      </c>
      <c r="M39" s="44">
        <f>OC!S7+VLOOKUP($R$31,$AD$38:$AK$42,4,FALSE)</f>
        <v>-3.2300864438999999</v>
      </c>
      <c r="N39" s="44">
        <f>OC!T7+VLOOKUP($R$31,$AD$38:$AK$42,5,FALSE)</f>
        <v>-7.4272746425000005</v>
      </c>
      <c r="O39" s="92"/>
      <c r="P39" s="92"/>
      <c r="Q39" s="90"/>
      <c r="R39" s="90"/>
      <c r="T39" s="79">
        <v>2</v>
      </c>
      <c r="U39" s="80" t="str">
        <f>FPDC!J7</f>
        <v>22cc11010507</v>
      </c>
      <c r="V39" s="75">
        <f>FPDC!R7+VLOOKUP($R$31,$AD$38:$AK$42,2,FALSE)+VLOOKUP($R$31,$AD$38:$AK$42,7,FALSE)+VLOOKUP('File location'!$B$1,'Tester offset'!$A$2:$D$4,3,FALSE)</f>
        <v>-6.2830855249999997</v>
      </c>
      <c r="W39" s="76">
        <f>FPDC!S7+VLOOKUP($R$31,$AD$38:$AK$42,3,FALSE)+VLOOKUP($R$31,$AD$38:$AK$42,8,FALSE)+VLOOKUP('File location'!$B$1,'Tester offset'!$A$2:$D$4,4,FALSE)</f>
        <v>6.3427448000000108E-2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22cc11020754</v>
      </c>
      <c r="C40" s="44">
        <f>IPQC!S8+VLOOKUP($R$31,$AD$38:$AK$42,6,FALSE)+VLOOKUP('File location'!$B$1,'Tester offset'!$A$2:$D$4,2,FALSE)</f>
        <v>97.90370953</v>
      </c>
      <c r="D40" s="44">
        <f>IPQC!Z8+VLOOKUP($R$31,$AD$38:$AK$42,6,FALSE)</f>
        <v>78.618023800000003</v>
      </c>
      <c r="E40" s="44">
        <f>VCM!HU8-'Summary(3pcs)'!C40-'Summary(3pcs)'!$D$32</f>
        <v>123.78959798303788</v>
      </c>
      <c r="F40" s="90">
        <f>AVERAGEIF($A$34:$A$45,3,$C$34:$C$45)</f>
        <v>96.27244991000002</v>
      </c>
      <c r="G40" s="91">
        <f>AVERAGEIF($A$34:$A$45,3,$D$34:$D$45)</f>
        <v>75.795440220000003</v>
      </c>
      <c r="H40" s="91">
        <f>AVERAGEIF($A$34:$A$45,3,$E$34:$E$45)</f>
        <v>135.65639972567124</v>
      </c>
      <c r="I40" s="91">
        <f>85-F40</f>
        <v>-11.27244991000002</v>
      </c>
      <c r="J40"/>
      <c r="K40" s="79">
        <f t="shared" si="1"/>
        <v>3</v>
      </c>
      <c r="L40" s="80" t="str">
        <f>OC!J8</f>
        <v>22cc11020754</v>
      </c>
      <c r="M40" s="44">
        <f>OC!S8+VLOOKUP($R$31,$AD$38:$AK$42,4,FALSE)</f>
        <v>-4.5960447906999997</v>
      </c>
      <c r="N40" s="44">
        <f>OC!T8+VLOOKUP($R$31,$AD$38:$AK$42,5,FALSE)</f>
        <v>-0.90818463040000008</v>
      </c>
      <c r="O40" s="92">
        <f>AVERAGEIF($K$34:$K$45,3,$M$34:$M$45)</f>
        <v>-5.4828932322333328</v>
      </c>
      <c r="P40" s="92">
        <f>AVERAGEIF($K$34:$K$45,3,$N$34:$N$45)</f>
        <v>-0.72190343473333318</v>
      </c>
      <c r="Q40" s="90">
        <f>P40*0.001</f>
        <v>-7.2190343473333318E-4</v>
      </c>
      <c r="R40" s="90">
        <f>O40*0.001</f>
        <v>-5.4828932322333332E-3</v>
      </c>
      <c r="T40" s="79">
        <v>3</v>
      </c>
      <c r="U40" s="80" t="str">
        <f>FPDC!J8</f>
        <v>22cc11020754</v>
      </c>
      <c r="V40" s="75">
        <f>FPDC!R8+VLOOKUP($R$31,$AD$38:$AK$42,2,FALSE)+VLOOKUP($R$31,$AD$38:$AK$42,7,FALSE)+VLOOKUP('File location'!$B$1,'Tester offset'!$A$2:$D$4,3,FALSE)</f>
        <v>-7.4259535074</v>
      </c>
      <c r="W40" s="76">
        <f>FPDC!S8+VLOOKUP($R$31,$AD$38:$AK$42,3,FALSE)+VLOOKUP($R$31,$AD$38:$AK$42,8,FALSE)+VLOOKUP('File location'!$B$1,'Tester offset'!$A$2:$D$4,4,FALSE)</f>
        <v>2.6290612220999998</v>
      </c>
      <c r="X40" s="92">
        <f>AVERAGEIF($T$34:$T$45,3,$V$34:$V$45)</f>
        <v>-2.5176746447666667</v>
      </c>
      <c r="Y40" s="92">
        <f>AVERAGEIF($T$34:$T$45,3,$W$34:$W$45)</f>
        <v>1.3113890489</v>
      </c>
      <c r="Z40" s="90">
        <f>(X40*-0.01)/4</f>
        <v>6.2941866119166669E-3</v>
      </c>
      <c r="AA40" s="90">
        <f>(Y40*-0.01)/4</f>
        <v>-3.2784726222499999E-3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22cc11020575</v>
      </c>
      <c r="C41" s="44">
        <f>IPQC!S9+VLOOKUP($R$31,$AD$38:$AK$42,6,FALSE)+VLOOKUP('File location'!$B$1,'Tester offset'!$A$2:$D$4,2,FALSE)</f>
        <v>96.452380570000003</v>
      </c>
      <c r="D41" s="44">
        <f>IPQC!Z9+VLOOKUP($R$31,$AD$38:$AK$42,6,FALSE)</f>
        <v>77.116397309999996</v>
      </c>
      <c r="E41" s="44">
        <f>VCM!HU9-'Summary(3pcs)'!C41-'Summary(3pcs)'!$D$32</f>
        <v>146.50834819293789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22cc11020575</v>
      </c>
      <c r="M41" s="44">
        <f>OC!S9+VLOOKUP($R$31,$AD$38:$AK$42,4,FALSE)</f>
        <v>-4.4821983998999997</v>
      </c>
      <c r="N41" s="44">
        <f>OC!T9+VLOOKUP($R$31,$AD$38:$AK$42,5,FALSE)</f>
        <v>-1.4090684729999996</v>
      </c>
      <c r="O41" s="92"/>
      <c r="P41" s="92"/>
      <c r="Q41" s="90"/>
      <c r="R41" s="90"/>
      <c r="T41" s="79">
        <v>3</v>
      </c>
      <c r="U41" s="80" t="str">
        <f>FPDC!J9</f>
        <v>22cc11020575</v>
      </c>
      <c r="V41" s="75">
        <f>FPDC!R9+VLOOKUP($R$31,$AD$38:$AK$42,2,FALSE)+VLOOKUP($R$31,$AD$38:$AK$42,7,FALSE)+VLOOKUP('File location'!$B$1,'Tester offset'!$A$2:$D$4,3,FALSE)</f>
        <v>-2.6986122130999997</v>
      </c>
      <c r="W41" s="76">
        <f>FPDC!S9+VLOOKUP($R$31,$AD$38:$AK$42,3,FALSE)+VLOOKUP($R$31,$AD$38:$AK$42,8,FALSE)+VLOOKUP('File location'!$B$1,'Tester offset'!$A$2:$D$4,4,FALSE)</f>
        <v>0.3090505600000002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22cc11010742</v>
      </c>
      <c r="C42" s="44">
        <f>IPQC!S10+VLOOKUP($R$31,$AD$38:$AK$42,6,FALSE)+VLOOKUP('File location'!$B$1,'Tester offset'!$A$2:$D$4,2,FALSE)</f>
        <v>94.461259630000001</v>
      </c>
      <c r="D42" s="44">
        <f>IPQC!Z10+VLOOKUP($R$31,$AD$38:$AK$42,6,FALSE)</f>
        <v>71.651899549999996</v>
      </c>
      <c r="E42" s="44">
        <f>VCM!HU10-'Summary(3pcs)'!C42-'Summary(3pcs)'!$D$32</f>
        <v>136.67125300103794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22cc11010742</v>
      </c>
      <c r="M42" s="44">
        <f>OC!S10+VLOOKUP($R$31,$AD$38:$AK$42,4,FALSE)</f>
        <v>-7.3704365060999999</v>
      </c>
      <c r="N42" s="44">
        <f>OC!T10+VLOOKUP($R$31,$AD$38:$AK$42,5,FALSE)</f>
        <v>0.15154279920000002</v>
      </c>
      <c r="O42" s="92"/>
      <c r="P42" s="92"/>
      <c r="Q42" s="90"/>
      <c r="R42" s="90"/>
      <c r="T42" s="79">
        <v>3</v>
      </c>
      <c r="U42" s="80" t="str">
        <f>FPDC!J10</f>
        <v>22cc11010742</v>
      </c>
      <c r="V42" s="75">
        <f>FPDC!R10+VLOOKUP($R$31,$AD$38:$AK$42,2,FALSE)+VLOOKUP($R$31,$AD$38:$AK$42,7,FALSE)+VLOOKUP('File location'!$B$1,'Tester offset'!$A$2:$D$4,3,FALSE)</f>
        <v>2.5715417861999992</v>
      </c>
      <c r="W42" s="76">
        <f>FPDC!S10+VLOOKUP($R$31,$AD$38:$AK$42,3,FALSE)+VLOOKUP($R$31,$AD$38:$AK$42,8,FALSE)+VLOOKUP('File location'!$B$1,'Tester offset'!$A$2:$D$4,4,FALSE)</f>
        <v>0.9960553646000001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22cc11020108</v>
      </c>
      <c r="C43" s="44">
        <f>IPQC!S11+VLOOKUP($R$31,$AD$38:$AK$42,6,FALSE)+VLOOKUP('File location'!$B$1,'Tester offset'!$A$2:$D$4,2,FALSE)</f>
        <v>95.386546580000001</v>
      </c>
      <c r="D43" s="44">
        <f>IPQC!Z11+VLOOKUP($R$31,$AD$38:$AK$42,6,FALSE)</f>
        <v>82.682669430000004</v>
      </c>
      <c r="E43" s="44">
        <f>VCM!HU11-'Summary(3pcs)'!C43-'Summary(3pcs)'!$D$32</f>
        <v>127.88008209203787</v>
      </c>
      <c r="F43" s="90">
        <f>AVERAGEIF($A$34:$A$45,4,$C$34:$C$45)</f>
        <v>95.694189823333332</v>
      </c>
      <c r="G43" s="91">
        <f>AVERAGEIF($A$34:$A$45,4,$D$34:$D$45)</f>
        <v>77.916575010000003</v>
      </c>
      <c r="H43" s="91">
        <f>AVERAGEIF($A$34:$A$45,4,$E$34:$E$45)</f>
        <v>131.52129985067123</v>
      </c>
      <c r="I43" s="91">
        <f>85-F43</f>
        <v>-10.694189823333332</v>
      </c>
      <c r="J43"/>
      <c r="K43" s="79">
        <f t="shared" si="1"/>
        <v>4</v>
      </c>
      <c r="L43" s="80" t="str">
        <f>OC!J11</f>
        <v>22cc11020108</v>
      </c>
      <c r="M43" s="44">
        <f>OC!S11+VLOOKUP($R$31,$AD$38:$AK$42,4,FALSE)</f>
        <v>-4.7647983986</v>
      </c>
      <c r="N43" s="44">
        <f>OC!T11+VLOOKUP($R$31,$AD$38:$AK$42,5,FALSE)</f>
        <v>-3.3487497631999998</v>
      </c>
      <c r="O43" s="92">
        <f>AVERAGEIF($K$34:$K$45,4,$M$34:$M$45)</f>
        <v>-7.2371215246666667</v>
      </c>
      <c r="P43" s="92">
        <f>AVERAGEIF($K$34:$K$45,4,$N$34:$N$45)</f>
        <v>-0.49302402249999994</v>
      </c>
      <c r="Q43" s="90">
        <f>P43*0.001</f>
        <v>-4.9302402249999991E-4</v>
      </c>
      <c r="R43" s="90">
        <f>O43*0.001</f>
        <v>-7.2371215246666669E-3</v>
      </c>
      <c r="T43" s="79">
        <v>4</v>
      </c>
      <c r="U43" s="80" t="str">
        <f>FPDC!J11</f>
        <v>22cc11020108</v>
      </c>
      <c r="V43" s="75">
        <f>FPDC!R11+VLOOKUP($R$31,$AD$38:$AK$42,2,FALSE)+VLOOKUP($R$31,$AD$38:$AK$42,7,FALSE)+VLOOKUP('File location'!$B$1,'Tester offset'!$A$2:$D$4,3,FALSE)</f>
        <v>1.0439834594999997</v>
      </c>
      <c r="W43" s="76">
        <f>FPDC!S11+VLOOKUP($R$31,$AD$38:$AK$42,3,FALSE)+VLOOKUP($R$31,$AD$38:$AK$42,8,FALSE)+VLOOKUP('File location'!$B$1,'Tester offset'!$A$2:$D$4,4,FALSE)</f>
        <v>-1.7431583405</v>
      </c>
      <c r="X43" s="92">
        <f>AVERAGEIF($T$34:$T$45,4,$V$34:$V$45)</f>
        <v>-1.2015676101000003</v>
      </c>
      <c r="Y43" s="92">
        <f>AVERAGEIF($T$34:$T$45,4,$W$34:$W$45)</f>
        <v>-1.1716109911666666</v>
      </c>
      <c r="Z43" s="90">
        <f>(X43*-0.01)/4</f>
        <v>3.0039190252500007E-3</v>
      </c>
      <c r="AA43" s="90">
        <f>(Y43*-0.01)/4</f>
        <v>2.9290274779166666E-3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22cc11010773</v>
      </c>
      <c r="C44" s="44">
        <f>IPQC!S12+VLOOKUP($R$31,$AD$38:$AK$42,6,FALSE)+VLOOKUP('File location'!$B$1,'Tester offset'!$A$2:$D$4,2,FALSE)</f>
        <v>96.736658820000002</v>
      </c>
      <c r="D44" s="44">
        <f>IPQC!Z12+VLOOKUP($R$31,$AD$38:$AK$42,6,FALSE)</f>
        <v>73.189901770000006</v>
      </c>
      <c r="E44" s="44">
        <f>VCM!HU12-'Summary(3pcs)'!C44-'Summary(3pcs)'!$D$32</f>
        <v>137.20983428893788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22cc11010773</v>
      </c>
      <c r="M44" s="44">
        <f>OC!S12+VLOOKUP($R$31,$AD$38:$AK$42,4,FALSE)</f>
        <v>-5.8978284328999999</v>
      </c>
      <c r="N44" s="44">
        <f>OC!T12+VLOOKUP($R$31,$AD$38:$AK$42,5,FALSE)</f>
        <v>3.0672294253999999</v>
      </c>
      <c r="O44" s="92"/>
      <c r="P44" s="92"/>
      <c r="Q44" s="90"/>
      <c r="R44" s="90"/>
      <c r="T44" s="79">
        <v>4</v>
      </c>
      <c r="U44" s="80" t="str">
        <f>FPDC!J12</f>
        <v>22cc11010773</v>
      </c>
      <c r="V44" s="75">
        <f>FPDC!R12+VLOOKUP($R$31,$AD$38:$AK$42,2,FALSE)+VLOOKUP($R$31,$AD$38:$AK$42,7,FALSE)+VLOOKUP('File location'!$B$1,'Tester offset'!$A$2:$D$4,3,FALSE)</f>
        <v>-5.0862582922000001</v>
      </c>
      <c r="W44" s="76">
        <f>FPDC!S12+VLOOKUP($R$31,$AD$38:$AK$42,3,FALSE)+VLOOKUP($R$31,$AD$38:$AK$42,8,FALSE)+VLOOKUP('File location'!$B$1,'Tester offset'!$A$2:$D$4,4,FALSE)</f>
        <v>6.8132162099999949E-2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22cc11010541</v>
      </c>
      <c r="C45" s="44">
        <f>IPQC!S13+VLOOKUP($R$31,$AD$38:$AK$42,6,FALSE)+VLOOKUP('File location'!$B$1,'Tester offset'!$A$2:$D$4,2,FALSE)</f>
        <v>94.959364070000007</v>
      </c>
      <c r="D45" s="44">
        <f>IPQC!Z13+VLOOKUP($R$31,$AD$38:$AK$42,6,FALSE)</f>
        <v>77.877153829999997</v>
      </c>
      <c r="E45" s="44">
        <f>VCM!HU13-'Summary(3pcs)'!C45-'Summary(3pcs)'!$D$32</f>
        <v>129.4739831710379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22cc11010541</v>
      </c>
      <c r="M45" s="44">
        <f>OC!S13+VLOOKUP($R$31,$AD$38:$AK$42,4,FALSE)</f>
        <v>-11.0487377425</v>
      </c>
      <c r="N45" s="44">
        <f>OC!T13+VLOOKUP($R$31,$AD$38:$AK$42,5,FALSE)</f>
        <v>-1.1975517296999998</v>
      </c>
      <c r="O45" s="92"/>
      <c r="P45" s="92"/>
      <c r="Q45" s="90"/>
      <c r="R45" s="90"/>
      <c r="T45" s="79">
        <v>4</v>
      </c>
      <c r="U45" s="80" t="str">
        <f>FPDC!J13</f>
        <v>22cc11010541</v>
      </c>
      <c r="V45" s="75">
        <f>FPDC!R13+VLOOKUP($R$31,$AD$38:$AK$42,2,FALSE)+VLOOKUP($R$31,$AD$38:$AK$42,7,FALSE)+VLOOKUP('File location'!$B$1,'Tester offset'!$A$2:$D$4,3,FALSE)</f>
        <v>0.4375720023999996</v>
      </c>
      <c r="W45" s="76">
        <f>FPDC!S13+VLOOKUP($R$31,$AD$38:$AK$42,3,FALSE)+VLOOKUP($R$31,$AD$38:$AK$42,8,FALSE)+VLOOKUP('File location'!$B$1,'Tester offset'!$A$2:$D$4,4,FALSE)</f>
        <v>-1.8398067950999999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95.698137799999998</v>
      </c>
      <c r="L54" s="49">
        <f t="shared" ref="L54:L65" si="4">D34</f>
        <v>76.004989670000001</v>
      </c>
      <c r="M54" s="49">
        <f t="shared" ref="M54:M65" si="5">E34</f>
        <v>136.05043114613795</v>
      </c>
      <c r="N54" s="49">
        <f t="shared" ref="N54:O65" si="6">M34</f>
        <v>-6.5241008846000001</v>
      </c>
      <c r="O54" s="49">
        <f t="shared" si="6"/>
        <v>2.3708175453</v>
      </c>
      <c r="P54" s="49">
        <f t="shared" ref="P54:P65" si="7">V34</f>
        <v>-4.5442297460000001</v>
      </c>
      <c r="Q54" s="50">
        <f t="shared" ref="Q54:Q65" si="8">W34</f>
        <v>-4.6794050929999997</v>
      </c>
    </row>
    <row r="55" spans="6:27" ht="19.5">
      <c r="I55" s="47">
        <f t="shared" si="2"/>
        <v>1</v>
      </c>
      <c r="J55" s="46"/>
      <c r="K55" s="51">
        <f t="shared" si="3"/>
        <v>92.860955329999996</v>
      </c>
      <c r="L55" s="52">
        <f t="shared" si="4"/>
        <v>74.841218479999995</v>
      </c>
      <c r="M55" s="52">
        <f t="shared" si="5"/>
        <v>133.36979658963787</v>
      </c>
      <c r="N55" s="52">
        <f t="shared" si="6"/>
        <v>-5.9860801722000003</v>
      </c>
      <c r="O55" s="52">
        <f t="shared" si="6"/>
        <v>3.8958498304</v>
      </c>
      <c r="P55" s="52">
        <f t="shared" si="7"/>
        <v>-0.94372892400000019</v>
      </c>
      <c r="Q55" s="53">
        <f t="shared" si="8"/>
        <v>-1.589430809</v>
      </c>
    </row>
    <row r="56" spans="6:27" ht="19.5">
      <c r="I56" s="47">
        <f t="shared" si="2"/>
        <v>1</v>
      </c>
      <c r="J56" s="46"/>
      <c r="K56" s="54">
        <f t="shared" si="3"/>
        <v>95.200083489999997</v>
      </c>
      <c r="L56" s="55">
        <f t="shared" si="4"/>
        <v>72.637754259999994</v>
      </c>
      <c r="M56" s="55">
        <f t="shared" si="5"/>
        <v>124.90989042743792</v>
      </c>
      <c r="N56" s="55">
        <f t="shared" si="6"/>
        <v>-7.2891304226000004</v>
      </c>
      <c r="O56" s="55">
        <f t="shared" si="6"/>
        <v>6.6382927230000002</v>
      </c>
      <c r="P56" s="55">
        <f t="shared" si="7"/>
        <v>-2.2216897009999999</v>
      </c>
      <c r="Q56" s="56">
        <f t="shared" si="8"/>
        <v>-4.2185034750000003</v>
      </c>
    </row>
    <row r="57" spans="6:27" ht="19.5">
      <c r="I57" s="47">
        <f t="shared" si="2"/>
        <v>2</v>
      </c>
      <c r="J57" s="46"/>
      <c r="K57" s="57">
        <f t="shared" si="3"/>
        <v>82.186064860000002</v>
      </c>
      <c r="L57" s="58">
        <f t="shared" si="4"/>
        <v>65.010663910000005</v>
      </c>
      <c r="M57" s="58">
        <f t="shared" si="5"/>
        <v>127.54282638823793</v>
      </c>
      <c r="N57" s="58">
        <f t="shared" si="6"/>
        <v>-6.4739276066000002</v>
      </c>
      <c r="O57" s="58">
        <f t="shared" si="6"/>
        <v>1.5019301388000001</v>
      </c>
      <c r="P57" s="58">
        <f t="shared" si="7"/>
        <v>-5.706445456</v>
      </c>
      <c r="Q57" s="59">
        <f t="shared" si="8"/>
        <v>-6.4445748329999999</v>
      </c>
    </row>
    <row r="58" spans="6:27" ht="19.5">
      <c r="I58" s="47">
        <f t="shared" si="2"/>
        <v>2</v>
      </c>
      <c r="J58" s="46"/>
      <c r="K58" s="57">
        <f t="shared" si="3"/>
        <v>96.344687350000001</v>
      </c>
      <c r="L58" s="58">
        <f t="shared" si="4"/>
        <v>81.334667640000006</v>
      </c>
      <c r="M58" s="58">
        <f t="shared" si="5"/>
        <v>128.8404571709379</v>
      </c>
      <c r="N58" s="58">
        <f t="shared" si="6"/>
        <v>-2.8482158610999999</v>
      </c>
      <c r="O58" s="58">
        <f t="shared" si="6"/>
        <v>3.6719933886999998</v>
      </c>
      <c r="P58" s="58">
        <f t="shared" si="7"/>
        <v>-0.84108638799999991</v>
      </c>
      <c r="Q58" s="59">
        <f t="shared" si="8"/>
        <v>0.67050314000000011</v>
      </c>
    </row>
    <row r="59" spans="6:27" ht="19.5">
      <c r="I59" s="47">
        <f t="shared" si="2"/>
        <v>2</v>
      </c>
      <c r="J59" s="46"/>
      <c r="K59" s="57">
        <f t="shared" si="3"/>
        <v>97.358294939999993</v>
      </c>
      <c r="L59" s="58">
        <f t="shared" si="4"/>
        <v>79.915368900000004</v>
      </c>
      <c r="M59" s="58">
        <f t="shared" si="5"/>
        <v>154.46355123873792</v>
      </c>
      <c r="N59" s="58">
        <f t="shared" si="6"/>
        <v>-3.2300864438999999</v>
      </c>
      <c r="O59" s="58">
        <f t="shared" si="6"/>
        <v>-7.4272746425000005</v>
      </c>
      <c r="P59" s="58">
        <f t="shared" si="7"/>
        <v>-6.2830855249999997</v>
      </c>
      <c r="Q59" s="59">
        <f t="shared" si="8"/>
        <v>6.3427448000000108E-2</v>
      </c>
    </row>
    <row r="60" spans="6:27" ht="19.5">
      <c r="I60" s="47">
        <f t="shared" si="2"/>
        <v>3</v>
      </c>
      <c r="J60" s="46"/>
      <c r="K60" s="60">
        <f t="shared" si="3"/>
        <v>97.90370953</v>
      </c>
      <c r="L60" s="61">
        <f t="shared" si="4"/>
        <v>78.618023800000003</v>
      </c>
      <c r="M60" s="61">
        <f t="shared" si="5"/>
        <v>123.78959798303788</v>
      </c>
      <c r="N60" s="61">
        <f t="shared" si="6"/>
        <v>-4.5960447906999997</v>
      </c>
      <c r="O60" s="61">
        <f t="shared" si="6"/>
        <v>-0.90818463040000008</v>
      </c>
      <c r="P60" s="61">
        <f t="shared" si="7"/>
        <v>-7.4259535074</v>
      </c>
      <c r="Q60" s="62">
        <f t="shared" si="8"/>
        <v>2.6290612220999998</v>
      </c>
    </row>
    <row r="61" spans="6:27" ht="19.5">
      <c r="I61" s="47">
        <f t="shared" si="2"/>
        <v>3</v>
      </c>
      <c r="J61" s="46"/>
      <c r="K61" s="63">
        <f t="shared" si="3"/>
        <v>96.452380570000003</v>
      </c>
      <c r="L61" s="64">
        <f t="shared" si="4"/>
        <v>77.116397309999996</v>
      </c>
      <c r="M61" s="64">
        <f t="shared" si="5"/>
        <v>146.50834819293789</v>
      </c>
      <c r="N61" s="64">
        <f t="shared" si="6"/>
        <v>-4.4821983998999997</v>
      </c>
      <c r="O61" s="64">
        <f t="shared" si="6"/>
        <v>-1.4090684729999996</v>
      </c>
      <c r="P61" s="64">
        <f t="shared" si="7"/>
        <v>-2.6986122130999997</v>
      </c>
      <c r="Q61" s="65">
        <f t="shared" si="8"/>
        <v>0.3090505600000002</v>
      </c>
    </row>
    <row r="62" spans="6:27" ht="19.5">
      <c r="I62" s="47">
        <f t="shared" si="2"/>
        <v>3</v>
      </c>
      <c r="J62" s="46"/>
      <c r="K62" s="66">
        <f t="shared" si="3"/>
        <v>94.461259630000001</v>
      </c>
      <c r="L62" s="67">
        <f t="shared" si="4"/>
        <v>71.651899549999996</v>
      </c>
      <c r="M62" s="67">
        <f t="shared" si="5"/>
        <v>136.67125300103794</v>
      </c>
      <c r="N62" s="67">
        <f t="shared" si="6"/>
        <v>-7.3704365060999999</v>
      </c>
      <c r="O62" s="67">
        <f t="shared" si="6"/>
        <v>0.15154279920000002</v>
      </c>
      <c r="P62" s="67">
        <f t="shared" si="7"/>
        <v>2.5715417861999992</v>
      </c>
      <c r="Q62" s="68">
        <f t="shared" si="8"/>
        <v>0.9960553646000001</v>
      </c>
    </row>
    <row r="63" spans="6:27" ht="19.5">
      <c r="I63" s="47">
        <f t="shared" si="2"/>
        <v>4</v>
      </c>
      <c r="J63" s="46"/>
      <c r="K63" s="57">
        <f t="shared" si="3"/>
        <v>95.386546580000001</v>
      </c>
      <c r="L63" s="58">
        <f t="shared" si="4"/>
        <v>82.682669430000004</v>
      </c>
      <c r="M63" s="58">
        <f t="shared" si="5"/>
        <v>127.88008209203787</v>
      </c>
      <c r="N63" s="58">
        <f t="shared" si="6"/>
        <v>-4.7647983986</v>
      </c>
      <c r="O63" s="58">
        <f t="shared" si="6"/>
        <v>-3.3487497631999998</v>
      </c>
      <c r="P63" s="58">
        <f t="shared" si="7"/>
        <v>1.0439834594999997</v>
      </c>
      <c r="Q63" s="59">
        <f t="shared" si="8"/>
        <v>-1.7431583405</v>
      </c>
    </row>
    <row r="64" spans="6:27" ht="19.5">
      <c r="I64" s="47">
        <f t="shared" si="2"/>
        <v>4</v>
      </c>
      <c r="J64" s="46"/>
      <c r="K64" s="57">
        <f t="shared" si="3"/>
        <v>96.736658820000002</v>
      </c>
      <c r="L64" s="58">
        <f t="shared" si="4"/>
        <v>73.189901770000006</v>
      </c>
      <c r="M64" s="58">
        <f t="shared" si="5"/>
        <v>137.20983428893788</v>
      </c>
      <c r="N64" s="58">
        <f t="shared" si="6"/>
        <v>-5.8978284328999999</v>
      </c>
      <c r="O64" s="58">
        <f t="shared" si="6"/>
        <v>3.0672294253999999</v>
      </c>
      <c r="P64" s="58">
        <f t="shared" si="7"/>
        <v>-5.0862582922000001</v>
      </c>
      <c r="Q64" s="59">
        <f t="shared" si="8"/>
        <v>6.8132162099999949E-2</v>
      </c>
    </row>
    <row r="65" spans="9:17" ht="20.25" thickBot="1">
      <c r="I65" s="47">
        <f t="shared" si="2"/>
        <v>4</v>
      </c>
      <c r="J65" s="46"/>
      <c r="K65" s="69">
        <f t="shared" si="3"/>
        <v>94.959364070000007</v>
      </c>
      <c r="L65" s="70">
        <f t="shared" si="4"/>
        <v>77.877153829999997</v>
      </c>
      <c r="M65" s="70">
        <f t="shared" si="5"/>
        <v>129.4739831710379</v>
      </c>
      <c r="N65" s="70">
        <f t="shared" si="6"/>
        <v>-11.0487377425</v>
      </c>
      <c r="O65" s="70">
        <f t="shared" si="6"/>
        <v>-1.1975517296999998</v>
      </c>
      <c r="P65" s="70">
        <f t="shared" si="7"/>
        <v>0.4375720023999996</v>
      </c>
      <c r="Q65" s="71">
        <f t="shared" si="8"/>
        <v>-1.8398067950999999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2105.9758991153999</v>
      </c>
      <c r="R2">
        <v>1514.1291824547</v>
      </c>
      <c r="S2">
        <v>-6.5241008846000001</v>
      </c>
      <c r="T2">
        <v>-1.6291824547</v>
      </c>
      <c r="U2">
        <v>6.7244425658999996</v>
      </c>
      <c r="V2">
        <v>732.09699999999998</v>
      </c>
      <c r="W2">
        <v>395.39580000000001</v>
      </c>
      <c r="X2">
        <v>393.02980000000002</v>
      </c>
      <c r="Y2">
        <v>394.14120000000003</v>
      </c>
      <c r="Z2">
        <v>391.82479999999998</v>
      </c>
      <c r="AA2">
        <v>562.84744999999998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539</v>
      </c>
      <c r="B3" t="s">
        <v>540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2106.5139198277998</v>
      </c>
      <c r="R3">
        <v>1512.6041501696</v>
      </c>
      <c r="S3">
        <v>-5.9860801722000003</v>
      </c>
      <c r="T3">
        <v>-0.10415016959999999</v>
      </c>
      <c r="U3">
        <v>5.9869861438000003</v>
      </c>
      <c r="V3">
        <v>734.61350000000004</v>
      </c>
      <c r="W3">
        <v>395.3861</v>
      </c>
      <c r="X3">
        <v>396.32470000000001</v>
      </c>
      <c r="Y3">
        <v>396.27800000000002</v>
      </c>
      <c r="Z3">
        <v>393.38339999999999</v>
      </c>
      <c r="AA3">
        <v>564.97827500000005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548</v>
      </c>
      <c r="B4" t="s">
        <v>549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2105.2108695774</v>
      </c>
      <c r="R4">
        <v>1509.8617072770001</v>
      </c>
      <c r="S4">
        <v>-7.2891304226000004</v>
      </c>
      <c r="T4">
        <v>2.6382927230000002</v>
      </c>
      <c r="U4">
        <v>7.7519036893999997</v>
      </c>
      <c r="V4">
        <v>742.0335</v>
      </c>
      <c r="W4">
        <v>400.82389999999998</v>
      </c>
      <c r="X4">
        <v>399.98779999999999</v>
      </c>
      <c r="Y4">
        <v>398.39440000000002</v>
      </c>
      <c r="Z4">
        <v>398.3252</v>
      </c>
      <c r="AA4">
        <v>570.70816249999996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563</v>
      </c>
      <c r="B5" t="s">
        <v>564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2106.0260723934002</v>
      </c>
      <c r="R5">
        <v>1514.9980698612001</v>
      </c>
      <c r="S5">
        <v>-6.4739276066000002</v>
      </c>
      <c r="T5">
        <v>-2.4980698611999999</v>
      </c>
      <c r="U5">
        <v>6.9391708213000003</v>
      </c>
      <c r="V5">
        <v>744.99</v>
      </c>
      <c r="W5">
        <v>400.55990000000003</v>
      </c>
      <c r="X5">
        <v>399.41579999999999</v>
      </c>
      <c r="Y5">
        <v>398.96109999999999</v>
      </c>
      <c r="Z5">
        <v>397.70960000000002</v>
      </c>
      <c r="AA5">
        <v>572.07579999999996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575</v>
      </c>
      <c r="B6" t="s">
        <v>576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2109.6517841389</v>
      </c>
      <c r="R6">
        <v>1512.8280066113</v>
      </c>
      <c r="S6">
        <v>-2.8482158610999999</v>
      </c>
      <c r="T6">
        <v>-0.32800661129999997</v>
      </c>
      <c r="U6">
        <v>2.8670406221000002</v>
      </c>
      <c r="V6">
        <v>734.86829999999998</v>
      </c>
      <c r="W6">
        <v>394.1848</v>
      </c>
      <c r="X6">
        <v>401.41180000000003</v>
      </c>
      <c r="Y6">
        <v>396.72460000000001</v>
      </c>
      <c r="Z6">
        <v>395.77019999999999</v>
      </c>
      <c r="AA6">
        <v>565.94557499999996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587</v>
      </c>
      <c r="B7" t="s">
        <v>588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2109.2699135561002</v>
      </c>
      <c r="R7">
        <v>1523.9272746424999</v>
      </c>
      <c r="S7">
        <v>-3.2300864438999999</v>
      </c>
      <c r="T7">
        <v>-11.4272746425</v>
      </c>
      <c r="U7">
        <v>11.875018492200001</v>
      </c>
      <c r="V7">
        <v>721.70479999999998</v>
      </c>
      <c r="W7">
        <v>383.85680000000002</v>
      </c>
      <c r="X7">
        <v>390.15300000000002</v>
      </c>
      <c r="Y7">
        <v>387.53039999999999</v>
      </c>
      <c r="Z7">
        <v>385.99810000000002</v>
      </c>
      <c r="AA7">
        <v>554.29468750000001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594</v>
      </c>
      <c r="B8" t="s">
        <v>595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596</v>
      </c>
      <c r="K8" t="s">
        <v>597</v>
      </c>
      <c r="L8" t="s">
        <v>598</v>
      </c>
      <c r="M8" t="s">
        <v>599</v>
      </c>
      <c r="N8" t="s">
        <v>600</v>
      </c>
      <c r="O8">
        <v>0</v>
      </c>
      <c r="P8">
        <v>0</v>
      </c>
      <c r="Q8">
        <v>2107.9039552093</v>
      </c>
      <c r="R8">
        <v>1517.4081846304</v>
      </c>
      <c r="S8">
        <v>-4.5960447906999997</v>
      </c>
      <c r="T8">
        <v>-4.9081846304000001</v>
      </c>
      <c r="U8">
        <v>6.7241285</v>
      </c>
      <c r="V8">
        <v>732.63289999999995</v>
      </c>
      <c r="W8">
        <v>392.24270000000001</v>
      </c>
      <c r="X8">
        <v>394.89580000000001</v>
      </c>
      <c r="Y8">
        <v>393.5437</v>
      </c>
      <c r="Z8">
        <v>393.60669999999999</v>
      </c>
      <c r="AA8">
        <v>563.10256249999998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608</v>
      </c>
      <c r="B9" t="s">
        <v>609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2108.0178016001</v>
      </c>
      <c r="R9">
        <v>1517.9090684729999</v>
      </c>
      <c r="S9">
        <v>-4.4821983998999997</v>
      </c>
      <c r="T9">
        <v>-5.4090684729999996</v>
      </c>
      <c r="U9">
        <v>7.0248220078000001</v>
      </c>
      <c r="V9">
        <v>724.34839999999997</v>
      </c>
      <c r="W9">
        <v>390.53339999999997</v>
      </c>
      <c r="X9">
        <v>391.09190000000001</v>
      </c>
      <c r="Y9">
        <v>386.45609999999999</v>
      </c>
      <c r="Z9">
        <v>387.35390000000001</v>
      </c>
      <c r="AA9">
        <v>556.60361250000005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620</v>
      </c>
      <c r="B10" t="s">
        <v>621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2105.1295634939002</v>
      </c>
      <c r="R10">
        <v>1516.3484572008001</v>
      </c>
      <c r="S10">
        <v>-7.3704365060999999</v>
      </c>
      <c r="T10">
        <v>-3.8484572008</v>
      </c>
      <c r="U10">
        <v>8.3146832240999995</v>
      </c>
      <c r="V10">
        <v>734.83920000000001</v>
      </c>
      <c r="W10">
        <v>392.77850000000001</v>
      </c>
      <c r="X10">
        <v>395.2491</v>
      </c>
      <c r="Y10">
        <v>390.7944</v>
      </c>
      <c r="Z10">
        <v>392.2081</v>
      </c>
      <c r="AA10">
        <v>563.79836250000005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627</v>
      </c>
      <c r="B11" t="s">
        <v>628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2107.7352016014001</v>
      </c>
      <c r="R11">
        <v>1519.8487497632</v>
      </c>
      <c r="S11">
        <v>-4.7647983986</v>
      </c>
      <c r="T11">
        <v>-7.3487497631999998</v>
      </c>
      <c r="U11">
        <v>8.7582776195999994</v>
      </c>
      <c r="V11">
        <v>735.75260000000003</v>
      </c>
      <c r="W11">
        <v>395.48779999999999</v>
      </c>
      <c r="X11">
        <v>396.423</v>
      </c>
      <c r="Y11">
        <v>394.15839999999997</v>
      </c>
      <c r="Z11">
        <v>392.96409999999997</v>
      </c>
      <c r="AA11">
        <v>565.25546250000002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647</v>
      </c>
      <c r="B12" t="s">
        <v>648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2106.6021715671</v>
      </c>
      <c r="R12">
        <v>1513.4327705746</v>
      </c>
      <c r="S12">
        <v>-5.8978284328999999</v>
      </c>
      <c r="T12">
        <v>-0.93277057460000001</v>
      </c>
      <c r="U12">
        <v>5.9711339934999996</v>
      </c>
      <c r="V12">
        <v>727.80840000000001</v>
      </c>
      <c r="W12">
        <v>391.38139999999999</v>
      </c>
      <c r="X12">
        <v>392.91379999999998</v>
      </c>
      <c r="Y12">
        <v>390.21789999999999</v>
      </c>
      <c r="Z12">
        <v>390.29790000000003</v>
      </c>
      <c r="AA12">
        <v>559.50557500000002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658</v>
      </c>
      <c r="B13" t="s">
        <v>659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2101.4512622574998</v>
      </c>
      <c r="R13">
        <v>1517.6975517297001</v>
      </c>
      <c r="S13">
        <v>-11.0487377425</v>
      </c>
      <c r="T13">
        <v>-5.1975517296999998</v>
      </c>
      <c r="U13">
        <v>12.2102067831</v>
      </c>
      <c r="V13">
        <v>721.92809999999997</v>
      </c>
      <c r="W13">
        <v>386.6216</v>
      </c>
      <c r="X13">
        <v>390.68849999999998</v>
      </c>
      <c r="Y13">
        <v>388.0204</v>
      </c>
      <c r="Z13">
        <v>383.97460000000001</v>
      </c>
      <c r="AA13">
        <v>554.62718749999999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228</v>
      </c>
      <c r="R1" t="s">
        <v>229</v>
      </c>
      <c r="S1" t="s">
        <v>230</v>
      </c>
      <c r="T1" t="s">
        <v>231</v>
      </c>
      <c r="U1" t="s">
        <v>232</v>
      </c>
      <c r="V1" t="s">
        <v>233</v>
      </c>
      <c r="W1" t="s">
        <v>234</v>
      </c>
      <c r="X1" t="s">
        <v>235</v>
      </c>
      <c r="Y1" t="s">
        <v>236</v>
      </c>
      <c r="Z1" t="s">
        <v>237</v>
      </c>
      <c r="AA1" t="s">
        <v>238</v>
      </c>
      <c r="AB1" t="s">
        <v>239</v>
      </c>
      <c r="AC1" t="s">
        <v>240</v>
      </c>
      <c r="AD1" t="s">
        <v>241</v>
      </c>
      <c r="AE1" t="s">
        <v>242</v>
      </c>
      <c r="AF1" t="s">
        <v>243</v>
      </c>
      <c r="AG1" t="s">
        <v>244</v>
      </c>
      <c r="AH1" t="s">
        <v>245</v>
      </c>
      <c r="AI1" t="s">
        <v>246</v>
      </c>
      <c r="AJ1" t="s">
        <v>247</v>
      </c>
      <c r="AK1" t="s">
        <v>248</v>
      </c>
      <c r="AL1" t="s">
        <v>249</v>
      </c>
      <c r="AM1" t="s">
        <v>250</v>
      </c>
      <c r="AN1" t="s">
        <v>251</v>
      </c>
      <c r="AO1" t="s">
        <v>252</v>
      </c>
      <c r="AP1" t="s">
        <v>253</v>
      </c>
      <c r="AQ1" t="s">
        <v>254</v>
      </c>
      <c r="AR1" t="s">
        <v>255</v>
      </c>
      <c r="AS1" t="s">
        <v>256</v>
      </c>
      <c r="AT1" t="s">
        <v>257</v>
      </c>
      <c r="AU1" t="s">
        <v>258</v>
      </c>
      <c r="AV1" t="s">
        <v>207</v>
      </c>
      <c r="AW1" t="s">
        <v>208</v>
      </c>
      <c r="AX1" t="s">
        <v>209</v>
      </c>
    </row>
    <row r="2" spans="1:50">
      <c r="A2" t="s">
        <v>259</v>
      </c>
      <c r="B2" t="s">
        <v>260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-1.0341400000000001E-5</v>
      </c>
      <c r="R2">
        <v>2.4557702539999999</v>
      </c>
      <c r="S2">
        <v>-1.679405093</v>
      </c>
      <c r="T2">
        <v>1.9389351610000001</v>
      </c>
      <c r="U2">
        <v>5.7692518230000003</v>
      </c>
      <c r="V2">
        <v>-4.8054218290000001</v>
      </c>
      <c r="W2">
        <v>-1.45701766</v>
      </c>
      <c r="X2">
        <v>-1.6077233550000001</v>
      </c>
      <c r="Y2">
        <v>0.12448316800000001</v>
      </c>
      <c r="Z2">
        <v>-0.40020352599999998</v>
      </c>
      <c r="AA2">
        <v>-1.7470061779999999</v>
      </c>
      <c r="AB2">
        <v>-1.716470838</v>
      </c>
      <c r="AC2">
        <v>0.96676087399999999</v>
      </c>
      <c r="AD2">
        <v>0.42559367399999998</v>
      </c>
      <c r="AE2">
        <v>1.141773224</v>
      </c>
      <c r="AF2">
        <v>2.3832381E-2</v>
      </c>
      <c r="AG2">
        <v>-0.67441326400000001</v>
      </c>
      <c r="AH2">
        <v>-3.1609355999999998E-2</v>
      </c>
      <c r="AI2">
        <v>0.41024899500000001</v>
      </c>
      <c r="AJ2">
        <v>0.94085574199999999</v>
      </c>
      <c r="AK2">
        <v>1.8953199999999999E-4</v>
      </c>
      <c r="AL2">
        <v>4.4610604999999998E-2</v>
      </c>
      <c r="AM2">
        <v>0.10145013</v>
      </c>
      <c r="AN2">
        <v>0.105767548</v>
      </c>
      <c r="AO2">
        <v>0.14900064499999999</v>
      </c>
      <c r="AP2">
        <v>0.15745609999999999</v>
      </c>
      <c r="AQ2">
        <v>2.9750981510000001</v>
      </c>
      <c r="AR2" t="s">
        <v>262</v>
      </c>
      <c r="AS2" t="s">
        <v>263</v>
      </c>
      <c r="AT2">
        <v>3</v>
      </c>
      <c r="AU2">
        <v>2.9</v>
      </c>
      <c r="AX2">
        <v>1</v>
      </c>
    </row>
    <row r="3" spans="1:50">
      <c r="A3" t="s">
        <v>555</v>
      </c>
      <c r="B3" t="s">
        <v>556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1.43051E-5</v>
      </c>
      <c r="R3">
        <v>6.0562710759999998</v>
      </c>
      <c r="S3">
        <v>1.410569191</v>
      </c>
      <c r="T3">
        <v>1.750645757</v>
      </c>
      <c r="U3">
        <v>3.9158821110000002</v>
      </c>
      <c r="V3">
        <v>-0.46311312900000001</v>
      </c>
      <c r="W3">
        <v>-0.84266424200000001</v>
      </c>
      <c r="X3">
        <v>-3.2242431640000002</v>
      </c>
      <c r="Y3">
        <v>6.4688330000000002E-3</v>
      </c>
      <c r="Z3">
        <v>0.48368090400000002</v>
      </c>
      <c r="AA3">
        <v>-1.5780198569999999</v>
      </c>
      <c r="AB3">
        <v>-2.2572627070000002</v>
      </c>
      <c r="AC3">
        <v>0.68863797199999999</v>
      </c>
      <c r="AD3">
        <v>0.86506259399999996</v>
      </c>
      <c r="AE3">
        <v>1.4515991210000001</v>
      </c>
      <c r="AF3">
        <v>0.19315668899999999</v>
      </c>
      <c r="AG3">
        <v>-0.29936385199999999</v>
      </c>
      <c r="AH3">
        <v>0.167682737</v>
      </c>
      <c r="AI3">
        <v>-8.4157139000000006E-2</v>
      </c>
      <c r="AJ3">
        <v>0.57757282300000001</v>
      </c>
      <c r="AK3">
        <v>2.5839E-4</v>
      </c>
      <c r="AL3">
        <v>5.3875579999999999E-2</v>
      </c>
      <c r="AM3">
        <v>9.0482994999999997E-2</v>
      </c>
      <c r="AN3">
        <v>8.7892458000000007E-2</v>
      </c>
      <c r="AO3">
        <v>0.17582693699999999</v>
      </c>
      <c r="AP3">
        <v>0.17582693699999999</v>
      </c>
      <c r="AQ3">
        <v>6.2183699470000002</v>
      </c>
      <c r="AR3" t="s">
        <v>262</v>
      </c>
      <c r="AS3" t="s">
        <v>263</v>
      </c>
      <c r="AT3">
        <v>4</v>
      </c>
      <c r="AU3">
        <v>2.9</v>
      </c>
      <c r="AX3">
        <v>1</v>
      </c>
    </row>
    <row r="4" spans="1:50">
      <c r="A4" t="s">
        <v>557</v>
      </c>
      <c r="B4" t="s">
        <v>558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-3.2187000000000002E-6</v>
      </c>
      <c r="R4">
        <v>4.7783102990000001</v>
      </c>
      <c r="S4">
        <v>-1.2185034749999999</v>
      </c>
      <c r="T4">
        <v>2.9861221310000001</v>
      </c>
      <c r="U4">
        <v>6.4301366809999996</v>
      </c>
      <c r="V4">
        <v>-2.1443285940000001</v>
      </c>
      <c r="W4">
        <v>-0.662581384</v>
      </c>
      <c r="X4">
        <v>-1.312103748</v>
      </c>
      <c r="Y4">
        <v>-0.93201059100000005</v>
      </c>
      <c r="Z4">
        <v>0.15774864</v>
      </c>
      <c r="AA4">
        <v>-1.0248903039999999</v>
      </c>
      <c r="AB4">
        <v>-2.009861946</v>
      </c>
      <c r="AC4">
        <v>0.52083170400000001</v>
      </c>
      <c r="AD4">
        <v>5.5702925E-2</v>
      </c>
      <c r="AE4">
        <v>0.83807533999999995</v>
      </c>
      <c r="AF4">
        <v>0.76401853600000003</v>
      </c>
      <c r="AG4">
        <v>0.20998841500000001</v>
      </c>
      <c r="AH4">
        <v>0.42493993000000002</v>
      </c>
      <c r="AI4">
        <v>0.29877853399999998</v>
      </c>
      <c r="AJ4">
        <v>0.34915438300000001</v>
      </c>
      <c r="AK4">
        <v>1.7410900000000001E-4</v>
      </c>
      <c r="AL4">
        <v>4.2306595000000002E-2</v>
      </c>
      <c r="AM4">
        <v>8.4701806000000004E-2</v>
      </c>
      <c r="AN4">
        <v>5.8563456E-2</v>
      </c>
      <c r="AO4">
        <v>0.17391198899999999</v>
      </c>
      <c r="AP4">
        <v>0.17391198899999999</v>
      </c>
      <c r="AQ4">
        <v>4.9312270309999997</v>
      </c>
      <c r="AR4" t="s">
        <v>262</v>
      </c>
      <c r="AS4" t="s">
        <v>263</v>
      </c>
      <c r="AT4">
        <v>3</v>
      </c>
      <c r="AU4">
        <v>2.9</v>
      </c>
      <c r="AX4">
        <v>1</v>
      </c>
    </row>
    <row r="5" spans="1:50">
      <c r="A5" t="s">
        <v>572</v>
      </c>
      <c r="B5" t="s">
        <v>573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1.0728999999999999E-6</v>
      </c>
      <c r="R5">
        <v>1.293554544</v>
      </c>
      <c r="S5">
        <v>-3.4445748329999999</v>
      </c>
      <c r="T5">
        <v>3.8246660229999998</v>
      </c>
      <c r="U5">
        <v>6.975790978</v>
      </c>
      <c r="V5">
        <v>0.36982560199999998</v>
      </c>
      <c r="W5">
        <v>-0.78544515400000003</v>
      </c>
      <c r="X5">
        <v>-0.42628297199999998</v>
      </c>
      <c r="Y5">
        <v>-1.212516546</v>
      </c>
      <c r="Z5">
        <v>8.6397885999999993E-2</v>
      </c>
      <c r="AA5">
        <v>-1.0796579120000001</v>
      </c>
      <c r="AB5">
        <v>-2.2056324479999998</v>
      </c>
      <c r="AC5">
        <v>0.42667341199999997</v>
      </c>
      <c r="AD5">
        <v>0.82742345299999998</v>
      </c>
      <c r="AE5">
        <v>0.66309702400000003</v>
      </c>
      <c r="AF5">
        <v>0.655389428</v>
      </c>
      <c r="AG5">
        <v>-0.83199679900000001</v>
      </c>
      <c r="AH5">
        <v>0.17132160099999999</v>
      </c>
      <c r="AI5">
        <v>0.14051222799999999</v>
      </c>
      <c r="AJ5">
        <v>0.73040473500000003</v>
      </c>
      <c r="AK5">
        <v>1.8851999999999999E-4</v>
      </c>
      <c r="AL5">
        <v>4.4933960000000002E-2</v>
      </c>
      <c r="AM5">
        <v>4.3993010999999999E-2</v>
      </c>
      <c r="AN5">
        <v>5.9027760999999998E-2</v>
      </c>
      <c r="AO5">
        <v>0.15812727800000001</v>
      </c>
      <c r="AP5">
        <v>0.15812727800000001</v>
      </c>
      <c r="AQ5">
        <v>3.6794536469999999</v>
      </c>
      <c r="AR5" t="s">
        <v>262</v>
      </c>
      <c r="AS5" t="s">
        <v>263</v>
      </c>
      <c r="AT5">
        <v>3</v>
      </c>
      <c r="AU5">
        <v>2.9</v>
      </c>
      <c r="AX5">
        <v>1</v>
      </c>
    </row>
    <row r="6" spans="1:50">
      <c r="A6" t="s">
        <v>582</v>
      </c>
      <c r="B6" t="s">
        <v>583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2.0921199999999999E-5</v>
      </c>
      <c r="R6">
        <v>6.1589136120000001</v>
      </c>
      <c r="S6">
        <v>3.6705031400000001</v>
      </c>
      <c r="T6">
        <v>2.7089505200000001</v>
      </c>
      <c r="U6">
        <v>8.6284179689999991</v>
      </c>
      <c r="V6">
        <v>-7.6103768350000003</v>
      </c>
      <c r="W6">
        <v>2.395599604</v>
      </c>
      <c r="X6">
        <v>-2.0056725000000001E-2</v>
      </c>
      <c r="Y6">
        <v>-1.764318109</v>
      </c>
      <c r="Z6">
        <v>1.414967895</v>
      </c>
      <c r="AA6">
        <v>0.28126967000000003</v>
      </c>
      <c r="AB6">
        <v>-2.237229347</v>
      </c>
      <c r="AC6">
        <v>1.9442678689999999</v>
      </c>
      <c r="AD6">
        <v>-2.2829236979999998</v>
      </c>
      <c r="AE6">
        <v>5.3504229E-2</v>
      </c>
      <c r="AF6">
        <v>0.89609402400000004</v>
      </c>
      <c r="AG6">
        <v>0.52866148999999996</v>
      </c>
      <c r="AH6">
        <v>-0.58892655400000005</v>
      </c>
      <c r="AI6">
        <v>-0.29653030600000002</v>
      </c>
      <c r="AJ6">
        <v>-1.8123388000000001E-2</v>
      </c>
      <c r="AK6">
        <v>1.5325899999999999E-4</v>
      </c>
      <c r="AL6">
        <v>4.0236332E-2</v>
      </c>
      <c r="AM6">
        <v>0.14292442799999999</v>
      </c>
      <c r="AN6">
        <v>0.150930226</v>
      </c>
      <c r="AO6">
        <v>0.21037830399999999</v>
      </c>
      <c r="AP6">
        <v>0.21037830399999999</v>
      </c>
      <c r="AQ6">
        <v>4.2583449</v>
      </c>
      <c r="AR6" t="s">
        <v>262</v>
      </c>
      <c r="AS6" t="s">
        <v>263</v>
      </c>
      <c r="AT6">
        <v>3</v>
      </c>
      <c r="AU6">
        <v>2.9</v>
      </c>
      <c r="AX6">
        <v>1</v>
      </c>
    </row>
    <row r="7" spans="1:50">
      <c r="A7" t="s">
        <v>601</v>
      </c>
      <c r="B7" t="s">
        <v>602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1.8179400000000001E-5</v>
      </c>
      <c r="R7">
        <v>0.71691447500000005</v>
      </c>
      <c r="S7">
        <v>3.0634274480000001</v>
      </c>
      <c r="T7">
        <v>-4.1520309449999999</v>
      </c>
      <c r="U7">
        <v>2.835737467</v>
      </c>
      <c r="V7">
        <v>-2.3443856240000001</v>
      </c>
      <c r="W7">
        <v>0.99382650900000002</v>
      </c>
      <c r="X7">
        <v>-0.66122162299999998</v>
      </c>
      <c r="Y7">
        <v>1.206622243</v>
      </c>
      <c r="Z7">
        <v>1.069661379</v>
      </c>
      <c r="AA7">
        <v>-0.29201969500000002</v>
      </c>
      <c r="AB7">
        <v>0.19788724199999999</v>
      </c>
      <c r="AC7">
        <v>0.92963767100000005</v>
      </c>
      <c r="AD7">
        <v>9.9355399999999996E-2</v>
      </c>
      <c r="AE7">
        <v>0.44754672099999998</v>
      </c>
      <c r="AF7">
        <v>0.400167316</v>
      </c>
      <c r="AG7">
        <v>0.70150464800000001</v>
      </c>
      <c r="AH7">
        <v>-0.15906113399999999</v>
      </c>
      <c r="AI7">
        <v>-0.51026469500000005</v>
      </c>
      <c r="AJ7">
        <v>0.305461973</v>
      </c>
      <c r="AK7">
        <v>2.09872E-4</v>
      </c>
      <c r="AL7">
        <v>4.7507401999999997E-2</v>
      </c>
      <c r="AM7">
        <v>5.7773977999999997E-2</v>
      </c>
      <c r="AN7">
        <v>7.7448502000000002E-2</v>
      </c>
      <c r="AO7">
        <v>7.7448502000000002E-2</v>
      </c>
      <c r="AP7">
        <v>0.10252489200000001</v>
      </c>
      <c r="AQ7">
        <v>3.1461967670000002</v>
      </c>
      <c r="AR7" t="s">
        <v>262</v>
      </c>
      <c r="AS7" t="s">
        <v>263</v>
      </c>
      <c r="AT7">
        <v>3</v>
      </c>
      <c r="AU7">
        <v>2.9</v>
      </c>
      <c r="AX7">
        <v>1</v>
      </c>
    </row>
    <row r="8" spans="1:50">
      <c r="A8" t="s">
        <v>615</v>
      </c>
      <c r="B8" t="s">
        <v>616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596</v>
      </c>
      <c r="K8" t="s">
        <v>597</v>
      </c>
      <c r="L8" t="s">
        <v>598</v>
      </c>
      <c r="M8" t="s">
        <v>599</v>
      </c>
      <c r="N8" t="s">
        <v>600</v>
      </c>
      <c r="O8">
        <v>0</v>
      </c>
      <c r="P8">
        <v>0</v>
      </c>
      <c r="Q8">
        <v>-1.9819E-6</v>
      </c>
      <c r="R8">
        <v>-0.42595350739999999</v>
      </c>
      <c r="S8">
        <v>5.6290612220999998</v>
      </c>
      <c r="T8">
        <v>0.43838506939999999</v>
      </c>
      <c r="U8">
        <v>0.64967334269999999</v>
      </c>
      <c r="V8">
        <v>-2.3834276199</v>
      </c>
      <c r="W8">
        <v>0.5843208432</v>
      </c>
      <c r="X8">
        <v>-0.4522708654</v>
      </c>
      <c r="Y8">
        <v>-0.24040773509999999</v>
      </c>
      <c r="Z8">
        <v>-0.6150625944</v>
      </c>
      <c r="AA8">
        <v>1.4273664951</v>
      </c>
      <c r="AB8">
        <v>-0.36141067739999999</v>
      </c>
      <c r="AC8">
        <v>0.92811268570000005</v>
      </c>
      <c r="AD8">
        <v>0.1829958558</v>
      </c>
      <c r="AE8">
        <v>0.12305524950000001</v>
      </c>
      <c r="AF8">
        <v>0.70826727150000002</v>
      </c>
      <c r="AG8">
        <v>-0.43321496250000002</v>
      </c>
      <c r="AH8">
        <v>0.15277075770000001</v>
      </c>
      <c r="AI8">
        <v>0.13678330180000001</v>
      </c>
      <c r="AJ8">
        <v>0.17455329</v>
      </c>
      <c r="AK8">
        <v>2.051802E-4</v>
      </c>
      <c r="AL8">
        <v>4.7083303299999997E-2</v>
      </c>
      <c r="AM8">
        <v>4.6052418599999999E-2</v>
      </c>
      <c r="AN8">
        <v>0.1115568727</v>
      </c>
      <c r="AO8">
        <v>0.1115568727</v>
      </c>
      <c r="AP8">
        <v>0.1115568727</v>
      </c>
      <c r="AQ8">
        <v>5.6451542612000001</v>
      </c>
      <c r="AR8" t="s">
        <v>262</v>
      </c>
      <c r="AS8" t="s">
        <v>263</v>
      </c>
      <c r="AT8">
        <v>3</v>
      </c>
      <c r="AU8">
        <v>2.9</v>
      </c>
      <c r="AX8">
        <v>1</v>
      </c>
    </row>
    <row r="9" spans="1:50">
      <c r="A9" t="s">
        <v>634</v>
      </c>
      <c r="B9" t="s">
        <v>635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3.3438200000000001E-5</v>
      </c>
      <c r="R9">
        <v>4.3013877869000003</v>
      </c>
      <c r="S9">
        <v>3.3090505600000002</v>
      </c>
      <c r="T9">
        <v>3.3882672786999999</v>
      </c>
      <c r="U9">
        <v>7.6845960616999998</v>
      </c>
      <c r="V9">
        <v>-2.0359637736999998</v>
      </c>
      <c r="W9">
        <v>-0.38624948260000003</v>
      </c>
      <c r="X9">
        <v>-0.73218500610000004</v>
      </c>
      <c r="Y9">
        <v>-0.63295090200000004</v>
      </c>
      <c r="Z9">
        <v>-1.4939857721000001</v>
      </c>
      <c r="AA9">
        <v>-0.30212223529999999</v>
      </c>
      <c r="AB9">
        <v>-2.6902325153</v>
      </c>
      <c r="AC9">
        <v>0.79948943849999998</v>
      </c>
      <c r="AD9">
        <v>0.29558175799999997</v>
      </c>
      <c r="AE9">
        <v>0.91031676530000005</v>
      </c>
      <c r="AF9">
        <v>0.3811450005</v>
      </c>
      <c r="AG9">
        <v>0.32011568550000002</v>
      </c>
      <c r="AH9">
        <v>1.1491868495999999</v>
      </c>
      <c r="AI9">
        <v>-8.7193906299999999E-2</v>
      </c>
      <c r="AJ9">
        <v>9.7316503499999998E-2</v>
      </c>
      <c r="AK9">
        <v>2.4408580000000001E-4</v>
      </c>
      <c r="AL9">
        <v>4.9834445099999999E-2</v>
      </c>
      <c r="AM9">
        <v>9.3168973899999993E-2</v>
      </c>
      <c r="AN9">
        <v>7.5782924900000007E-2</v>
      </c>
      <c r="AO9">
        <v>0.21425749359999999</v>
      </c>
      <c r="AP9">
        <v>0.21425749359999999</v>
      </c>
      <c r="AQ9">
        <v>5.4269468857999996</v>
      </c>
      <c r="AR9" t="s">
        <v>262</v>
      </c>
      <c r="AS9" t="s">
        <v>263</v>
      </c>
      <c r="AT9">
        <v>3</v>
      </c>
      <c r="AU9">
        <v>2.9</v>
      </c>
      <c r="AX9">
        <v>1</v>
      </c>
    </row>
    <row r="10" spans="1:50">
      <c r="A10" t="s">
        <v>636</v>
      </c>
      <c r="B10" t="s">
        <v>637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2.5153199999999998E-5</v>
      </c>
      <c r="R10">
        <v>9.5715417861999992</v>
      </c>
      <c r="S10">
        <v>3.9960553646000001</v>
      </c>
      <c r="T10">
        <v>5.1740741730000002</v>
      </c>
      <c r="U10">
        <v>10.3514442444</v>
      </c>
      <c r="V10">
        <v>-7.9711227417000003</v>
      </c>
      <c r="W10">
        <v>-1.1124224663</v>
      </c>
      <c r="X10">
        <v>-1.5282018184999999</v>
      </c>
      <c r="Y10">
        <v>-0.13129138949999999</v>
      </c>
      <c r="Z10">
        <v>4.4526219399999997E-2</v>
      </c>
      <c r="AA10">
        <v>-0.33931338789999999</v>
      </c>
      <c r="AB10">
        <v>-3.3302812575999998</v>
      </c>
      <c r="AC10">
        <v>2.1828873157999999</v>
      </c>
      <c r="AD10">
        <v>3.6444246800000003E-2</v>
      </c>
      <c r="AE10">
        <v>0.72950690979999999</v>
      </c>
      <c r="AF10">
        <v>-0.29587915539999998</v>
      </c>
      <c r="AG10">
        <v>-0.20932278039999999</v>
      </c>
      <c r="AH10">
        <v>-0.65880250929999995</v>
      </c>
      <c r="AI10">
        <v>-0.44620406629999998</v>
      </c>
      <c r="AJ10">
        <v>0.52355706690000003</v>
      </c>
      <c r="AK10">
        <v>2.383749E-4</v>
      </c>
      <c r="AL10">
        <v>5.1638249300000001E-2</v>
      </c>
      <c r="AM10">
        <v>0.2143978477</v>
      </c>
      <c r="AN10">
        <v>0.15254357460000001</v>
      </c>
      <c r="AO10">
        <v>0.32419916989999997</v>
      </c>
      <c r="AP10">
        <v>0.32419916989999997</v>
      </c>
      <c r="AQ10">
        <v>10.372216284</v>
      </c>
      <c r="AR10" t="s">
        <v>262</v>
      </c>
      <c r="AS10" t="s">
        <v>263</v>
      </c>
      <c r="AT10">
        <v>3</v>
      </c>
      <c r="AU10">
        <v>2.9</v>
      </c>
      <c r="AX10">
        <v>1</v>
      </c>
    </row>
    <row r="11" spans="1:50">
      <c r="A11" t="s">
        <v>640</v>
      </c>
      <c r="B11" t="s">
        <v>646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-1.5020399999999999E-5</v>
      </c>
      <c r="R11">
        <v>8.0439834594999997</v>
      </c>
      <c r="S11">
        <v>1.2568416595</v>
      </c>
      <c r="T11">
        <v>5.3790202140999996</v>
      </c>
      <c r="U11">
        <v>10.1965999603</v>
      </c>
      <c r="V11">
        <v>-2.1160912513999999</v>
      </c>
      <c r="W11">
        <v>-0.78726619480000004</v>
      </c>
      <c r="X11">
        <v>-2.2694914340999999</v>
      </c>
      <c r="Y11">
        <v>-1.2724243401999999</v>
      </c>
      <c r="Z11">
        <v>-0.72170019149999998</v>
      </c>
      <c r="AA11">
        <v>-1.8155937195</v>
      </c>
      <c r="AB11">
        <v>-3.1074495315999999</v>
      </c>
      <c r="AC11">
        <v>1.1949872971</v>
      </c>
      <c r="AD11">
        <v>-0.30589023230000001</v>
      </c>
      <c r="AE11">
        <v>0.96271312239999995</v>
      </c>
      <c r="AF11">
        <v>0.60293114189999997</v>
      </c>
      <c r="AG11">
        <v>0.56417775150000005</v>
      </c>
      <c r="AH11">
        <v>0.87576425079999998</v>
      </c>
      <c r="AI11">
        <v>2.2475480999999999E-2</v>
      </c>
      <c r="AJ11">
        <v>0.52796083689999995</v>
      </c>
      <c r="AK11">
        <v>1.8006009999999999E-4</v>
      </c>
      <c r="AL11">
        <v>4.4016607100000001E-2</v>
      </c>
      <c r="AM11">
        <v>0.1406208575</v>
      </c>
      <c r="AN11">
        <v>8.4098272000000002E-2</v>
      </c>
      <c r="AO11">
        <v>0.2996788621</v>
      </c>
      <c r="AP11">
        <v>0.2996788621</v>
      </c>
      <c r="AQ11">
        <v>8.1415797517000001</v>
      </c>
      <c r="AR11" t="s">
        <v>262</v>
      </c>
      <c r="AS11" t="s">
        <v>263</v>
      </c>
      <c r="AT11">
        <v>3</v>
      </c>
      <c r="AU11">
        <v>2.9</v>
      </c>
      <c r="AX11">
        <v>1</v>
      </c>
    </row>
    <row r="12" spans="1:50">
      <c r="A12" t="s">
        <v>654</v>
      </c>
      <c r="B12" t="s">
        <v>665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-5.6028E-6</v>
      </c>
      <c r="R12">
        <v>1.9137417078000001</v>
      </c>
      <c r="S12">
        <v>3.0681321620999999</v>
      </c>
      <c r="T12">
        <v>2.1184282303000002</v>
      </c>
      <c r="U12">
        <v>5.3174219130999996</v>
      </c>
      <c r="V12">
        <v>-4.8338360786000001</v>
      </c>
      <c r="W12">
        <v>-0.15021759270000001</v>
      </c>
      <c r="X12">
        <v>-3.2065711020999998</v>
      </c>
      <c r="Y12">
        <v>-0.42759218809999999</v>
      </c>
      <c r="Z12">
        <v>-0.74848872420000001</v>
      </c>
      <c r="AA12">
        <v>-1.2214796542999999</v>
      </c>
      <c r="AB12">
        <v>-1.6070711612999999</v>
      </c>
      <c r="AC12">
        <v>0.85190802809999999</v>
      </c>
      <c r="AD12">
        <v>0.24914217</v>
      </c>
      <c r="AE12">
        <v>1.0960178375</v>
      </c>
      <c r="AF12">
        <v>0.45002847909999999</v>
      </c>
      <c r="AG12">
        <v>-5.0041198699999997E-2</v>
      </c>
      <c r="AH12">
        <v>-0.25506427879999999</v>
      </c>
      <c r="AI12">
        <v>-8.6155772199999994E-2</v>
      </c>
      <c r="AJ12">
        <v>1.0104200839999999</v>
      </c>
      <c r="AK12">
        <v>1.918465E-4</v>
      </c>
      <c r="AL12">
        <v>4.4215280599999997E-2</v>
      </c>
      <c r="AM12">
        <v>8.3529338199999997E-2</v>
      </c>
      <c r="AN12">
        <v>0.1234185919</v>
      </c>
      <c r="AO12">
        <v>0.1747777462</v>
      </c>
      <c r="AP12">
        <v>0.1747777462</v>
      </c>
      <c r="AQ12">
        <v>3.6160534134</v>
      </c>
      <c r="AR12" t="s">
        <v>262</v>
      </c>
      <c r="AS12" t="s">
        <v>263</v>
      </c>
      <c r="AT12">
        <v>4</v>
      </c>
      <c r="AU12">
        <v>2.9</v>
      </c>
      <c r="AX12">
        <v>1</v>
      </c>
    </row>
    <row r="13" spans="1:50">
      <c r="A13" t="s">
        <v>668</v>
      </c>
      <c r="B13" t="s">
        <v>669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6.6757000000000003E-6</v>
      </c>
      <c r="R13">
        <v>7.4375720023999996</v>
      </c>
      <c r="S13">
        <v>1.1601932049000001</v>
      </c>
      <c r="T13">
        <v>3.7696981429999998</v>
      </c>
      <c r="U13">
        <v>6.8582153320000003</v>
      </c>
      <c r="V13">
        <v>-5.7963147163000004</v>
      </c>
      <c r="W13">
        <v>-0.97024774550000004</v>
      </c>
      <c r="X13">
        <v>0.82397961620000004</v>
      </c>
      <c r="Y13">
        <v>-0.83586514000000001</v>
      </c>
      <c r="Z13">
        <v>-0.44271445269999998</v>
      </c>
      <c r="AA13">
        <v>-0.43745994570000002</v>
      </c>
      <c r="AB13">
        <v>-2.6570277214</v>
      </c>
      <c r="AC13">
        <v>2.0512599945000001</v>
      </c>
      <c r="AD13">
        <v>0.411463201</v>
      </c>
      <c r="AE13">
        <v>0.17561912539999999</v>
      </c>
      <c r="AF13">
        <v>0.68359273669999998</v>
      </c>
      <c r="AG13">
        <v>-3.5557151000000001E-3</v>
      </c>
      <c r="AH13">
        <v>-6.8025082299999998E-2</v>
      </c>
      <c r="AI13">
        <v>-0.28328740600000002</v>
      </c>
      <c r="AJ13">
        <v>0.12017828229999999</v>
      </c>
      <c r="AK13">
        <v>1.8111510000000001E-4</v>
      </c>
      <c r="AL13">
        <v>4.4793114100000003E-2</v>
      </c>
      <c r="AM13">
        <v>0.1632356942</v>
      </c>
      <c r="AN13">
        <v>9.9145024999999998E-2</v>
      </c>
      <c r="AO13">
        <v>0.20738764109999999</v>
      </c>
      <c r="AP13">
        <v>0.20738764109999999</v>
      </c>
      <c r="AQ13">
        <v>7.5275178886000003</v>
      </c>
      <c r="AR13" t="s">
        <v>262</v>
      </c>
      <c r="AS13" t="s">
        <v>263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264</v>
      </c>
      <c r="R1" t="s">
        <v>265</v>
      </c>
      <c r="S1" t="s">
        <v>266</v>
      </c>
      <c r="T1" t="s">
        <v>267</v>
      </c>
      <c r="U1" t="s">
        <v>268</v>
      </c>
      <c r="V1" t="s">
        <v>269</v>
      </c>
      <c r="W1" t="s">
        <v>270</v>
      </c>
      <c r="X1" t="s">
        <v>271</v>
      </c>
      <c r="Y1" t="s">
        <v>272</v>
      </c>
      <c r="Z1" t="s">
        <v>273</v>
      </c>
      <c r="AA1" t="s">
        <v>274</v>
      </c>
      <c r="AB1" t="s">
        <v>275</v>
      </c>
      <c r="AC1" t="s">
        <v>276</v>
      </c>
      <c r="AD1" t="s">
        <v>207</v>
      </c>
      <c r="AE1" t="s">
        <v>208</v>
      </c>
      <c r="AF1" t="s">
        <v>209</v>
      </c>
    </row>
    <row r="2" spans="1:32">
      <c r="A2" t="s">
        <v>259</v>
      </c>
      <c r="B2" t="s">
        <v>277</v>
      </c>
      <c r="C2" t="s">
        <v>212</v>
      </c>
      <c r="D2">
        <v>3</v>
      </c>
      <c r="E2" t="s">
        <v>213</v>
      </c>
      <c r="F2" t="s">
        <v>214</v>
      </c>
      <c r="G2" t="s">
        <v>261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-7.0381231670000002</v>
      </c>
      <c r="R2">
        <v>-48</v>
      </c>
      <c r="S2">
        <v>89.698137799999998</v>
      </c>
      <c r="T2">
        <v>114.4995488</v>
      </c>
      <c r="U2">
        <v>3.5503272899999998</v>
      </c>
      <c r="V2">
        <v>3.2399690000000001E-3</v>
      </c>
      <c r="W2">
        <v>-7.3823299999999995E-5</v>
      </c>
      <c r="X2">
        <v>3.3687435140000002</v>
      </c>
      <c r="Y2">
        <v>89.061594479999997</v>
      </c>
      <c r="Z2">
        <v>70.004989670000001</v>
      </c>
      <c r="AA2">
        <v>321.5535367</v>
      </c>
      <c r="AB2">
        <v>343.13322269999998</v>
      </c>
      <c r="AC2">
        <v>1</v>
      </c>
      <c r="AF2">
        <v>1</v>
      </c>
    </row>
    <row r="3" spans="1:32">
      <c r="A3" t="s">
        <v>555</v>
      </c>
      <c r="B3" t="s">
        <v>559</v>
      </c>
      <c r="C3" t="s">
        <v>212</v>
      </c>
      <c r="D3">
        <v>3</v>
      </c>
      <c r="E3" t="s">
        <v>213</v>
      </c>
      <c r="F3" t="s">
        <v>214</v>
      </c>
      <c r="G3" t="s">
        <v>261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-9.3841642230000009</v>
      </c>
      <c r="R3">
        <v>-64</v>
      </c>
      <c r="S3">
        <v>86.860955329999996</v>
      </c>
      <c r="T3">
        <v>119.6435475</v>
      </c>
      <c r="U3">
        <v>3.527789238</v>
      </c>
      <c r="V3">
        <v>2.961694E-3</v>
      </c>
      <c r="W3">
        <v>-7.4960800000000002E-5</v>
      </c>
      <c r="X3">
        <v>3.3409027670000002</v>
      </c>
      <c r="Y3">
        <v>86.84117569</v>
      </c>
      <c r="Z3">
        <v>68.841218479999995</v>
      </c>
      <c r="AA3">
        <v>318.8729022</v>
      </c>
      <c r="AB3">
        <v>341.15769039999998</v>
      </c>
      <c r="AC3">
        <v>1</v>
      </c>
      <c r="AF3">
        <v>1</v>
      </c>
    </row>
    <row r="4" spans="1:32">
      <c r="A4" t="s">
        <v>557</v>
      </c>
      <c r="B4" t="s">
        <v>560</v>
      </c>
      <c r="C4" t="s">
        <v>212</v>
      </c>
      <c r="D4">
        <v>3</v>
      </c>
      <c r="E4" t="s">
        <v>213</v>
      </c>
      <c r="F4" t="s">
        <v>214</v>
      </c>
      <c r="G4" t="s">
        <v>261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-8.2111436950000005</v>
      </c>
      <c r="R4">
        <v>-56</v>
      </c>
      <c r="S4">
        <v>89.200083489999997</v>
      </c>
      <c r="T4">
        <v>118.27618630000001</v>
      </c>
      <c r="U4">
        <v>3.5683415890000001</v>
      </c>
      <c r="V4">
        <v>2.700217E-3</v>
      </c>
      <c r="W4">
        <v>-7.5875899999999996E-5</v>
      </c>
      <c r="X4">
        <v>3.3744962529999998</v>
      </c>
      <c r="Y4">
        <v>87.435189870000002</v>
      </c>
      <c r="Z4">
        <v>66.637754259999994</v>
      </c>
      <c r="AA4">
        <v>310.41299600000002</v>
      </c>
      <c r="AB4">
        <v>333.10183139999998</v>
      </c>
      <c r="AC4">
        <v>1</v>
      </c>
      <c r="AF4">
        <v>1</v>
      </c>
    </row>
    <row r="5" spans="1:32">
      <c r="A5" t="s">
        <v>572</v>
      </c>
      <c r="B5" t="s">
        <v>574</v>
      </c>
      <c r="C5" t="s">
        <v>212</v>
      </c>
      <c r="D5">
        <v>3</v>
      </c>
      <c r="E5" t="s">
        <v>213</v>
      </c>
      <c r="F5" t="s">
        <v>214</v>
      </c>
      <c r="G5" t="s">
        <v>261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-5.8651026389999998</v>
      </c>
      <c r="R5">
        <v>-40</v>
      </c>
      <c r="S5">
        <v>76.186064860000002</v>
      </c>
      <c r="T5">
        <v>96.7716104</v>
      </c>
      <c r="U5">
        <v>3.5275650939999998</v>
      </c>
      <c r="V5">
        <v>2.6140310000000002E-3</v>
      </c>
      <c r="W5">
        <v>-6.9710999999999997E-5</v>
      </c>
      <c r="X5">
        <v>3.319656401</v>
      </c>
      <c r="Y5">
        <v>74.471257989999998</v>
      </c>
      <c r="Z5">
        <v>59.010663909999998</v>
      </c>
      <c r="AA5">
        <v>313.04593199999999</v>
      </c>
      <c r="AB5">
        <v>334.47196539999999</v>
      </c>
      <c r="AC5">
        <v>1</v>
      </c>
      <c r="AF5">
        <v>1</v>
      </c>
    </row>
    <row r="6" spans="1:32">
      <c r="A6" t="s">
        <v>582</v>
      </c>
      <c r="B6" t="s">
        <v>584</v>
      </c>
      <c r="C6" t="s">
        <v>212</v>
      </c>
      <c r="D6">
        <v>3</v>
      </c>
      <c r="E6" t="s">
        <v>213</v>
      </c>
      <c r="F6" t="s">
        <v>214</v>
      </c>
      <c r="G6" t="s">
        <v>261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-7.0381231670000002</v>
      </c>
      <c r="R6">
        <v>-48</v>
      </c>
      <c r="S6">
        <v>90.344687350000001</v>
      </c>
      <c r="T6">
        <v>114.6318766</v>
      </c>
      <c r="U6">
        <v>3.475544958</v>
      </c>
      <c r="V6">
        <v>3.0151359999999999E-3</v>
      </c>
      <c r="W6">
        <v>-7.1045399999999996E-5</v>
      </c>
      <c r="X6">
        <v>3.2965857980000002</v>
      </c>
      <c r="Y6">
        <v>90.139431110000004</v>
      </c>
      <c r="Z6">
        <v>75.334667640000006</v>
      </c>
      <c r="AA6">
        <v>314.34356279999997</v>
      </c>
      <c r="AB6">
        <v>336.36573750000002</v>
      </c>
      <c r="AC6">
        <v>1</v>
      </c>
      <c r="AF6">
        <v>1</v>
      </c>
    </row>
    <row r="7" spans="1:32">
      <c r="A7" t="s">
        <v>601</v>
      </c>
      <c r="B7" t="s">
        <v>603</v>
      </c>
      <c r="C7" t="s">
        <v>212</v>
      </c>
      <c r="D7">
        <v>3</v>
      </c>
      <c r="E7" t="s">
        <v>213</v>
      </c>
      <c r="F7" t="s">
        <v>214</v>
      </c>
      <c r="G7" t="s">
        <v>261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-7.0381231670000002</v>
      </c>
      <c r="R7">
        <v>-48</v>
      </c>
      <c r="S7">
        <v>91.358294939999993</v>
      </c>
      <c r="T7">
        <v>117.5435636</v>
      </c>
      <c r="U7">
        <v>3.7430846249999998</v>
      </c>
      <c r="V7">
        <v>2.6793189999999999E-3</v>
      </c>
      <c r="W7">
        <v>-7.5441100000000005E-5</v>
      </c>
      <c r="X7">
        <v>3.5001289</v>
      </c>
      <c r="Y7">
        <v>90.855465359999997</v>
      </c>
      <c r="Z7">
        <v>73.915368900000004</v>
      </c>
      <c r="AA7">
        <v>339.96665680000001</v>
      </c>
      <c r="AB7">
        <v>362.46125489999997</v>
      </c>
      <c r="AC7">
        <v>1</v>
      </c>
      <c r="AF7">
        <v>1</v>
      </c>
    </row>
    <row r="8" spans="1:32">
      <c r="A8" t="s">
        <v>615</v>
      </c>
      <c r="B8" t="s">
        <v>617</v>
      </c>
      <c r="C8" t="s">
        <v>212</v>
      </c>
      <c r="D8">
        <v>3</v>
      </c>
      <c r="E8" t="s">
        <v>213</v>
      </c>
      <c r="F8" t="s">
        <v>214</v>
      </c>
      <c r="G8" t="s">
        <v>261</v>
      </c>
      <c r="H8" t="s">
        <v>216</v>
      </c>
      <c r="J8" t="s">
        <v>596</v>
      </c>
      <c r="K8" t="s">
        <v>597</v>
      </c>
      <c r="L8" t="s">
        <v>598</v>
      </c>
      <c r="M8" t="s">
        <v>599</v>
      </c>
      <c r="N8" t="s">
        <v>600</v>
      </c>
      <c r="O8">
        <v>0</v>
      </c>
      <c r="P8">
        <v>0</v>
      </c>
      <c r="Q8">
        <v>-4.6920821110000004</v>
      </c>
      <c r="R8">
        <v>-32</v>
      </c>
      <c r="S8">
        <v>91.90370953</v>
      </c>
      <c r="T8">
        <v>108.9452678</v>
      </c>
      <c r="U8">
        <v>3.644749343</v>
      </c>
      <c r="V8">
        <v>2.374714E-3</v>
      </c>
      <c r="W8">
        <v>-7.3805499999999997E-5</v>
      </c>
      <c r="X8">
        <v>3.4208811450000001</v>
      </c>
      <c r="Y8">
        <v>91.884120420000002</v>
      </c>
      <c r="Z8">
        <v>72.618023800000003</v>
      </c>
      <c r="AA8">
        <v>309.29270359999998</v>
      </c>
      <c r="AB8">
        <v>331.7335142</v>
      </c>
      <c r="AC8">
        <v>1</v>
      </c>
      <c r="AF8">
        <v>1</v>
      </c>
    </row>
    <row r="9" spans="1:32">
      <c r="A9" t="s">
        <v>634</v>
      </c>
      <c r="B9" t="s">
        <v>638</v>
      </c>
      <c r="C9" t="s">
        <v>212</v>
      </c>
      <c r="D9">
        <v>3</v>
      </c>
      <c r="E9" t="s">
        <v>213</v>
      </c>
      <c r="F9" t="s">
        <v>214</v>
      </c>
      <c r="G9" t="s">
        <v>261</v>
      </c>
      <c r="H9" t="s">
        <v>216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-7.0381231670000002</v>
      </c>
      <c r="R9">
        <v>-48</v>
      </c>
      <c r="S9">
        <v>90.452380570000003</v>
      </c>
      <c r="T9">
        <v>115.8053063</v>
      </c>
      <c r="U9">
        <v>3.6270119030000001</v>
      </c>
      <c r="V9">
        <v>2.997712E-3</v>
      </c>
      <c r="W9">
        <v>-7.4400599999999994E-5</v>
      </c>
      <c r="X9">
        <v>3.4107497219999998</v>
      </c>
      <c r="Y9">
        <v>89.216579690000003</v>
      </c>
      <c r="Z9">
        <v>71.116397309999996</v>
      </c>
      <c r="AA9">
        <v>332.01145380000003</v>
      </c>
      <c r="AB9">
        <v>354.22122739999998</v>
      </c>
      <c r="AC9">
        <v>1</v>
      </c>
      <c r="AF9">
        <v>1</v>
      </c>
    </row>
    <row r="10" spans="1:32">
      <c r="A10" t="s">
        <v>636</v>
      </c>
      <c r="B10" t="s">
        <v>639</v>
      </c>
      <c r="C10" t="s">
        <v>212</v>
      </c>
      <c r="D10">
        <v>3</v>
      </c>
      <c r="E10" t="s">
        <v>213</v>
      </c>
      <c r="F10" t="s">
        <v>214</v>
      </c>
      <c r="G10" t="s">
        <v>261</v>
      </c>
      <c r="H10" t="s">
        <v>216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-8.2111436950000005</v>
      </c>
      <c r="R10">
        <v>-56</v>
      </c>
      <c r="S10">
        <v>88.461259630000001</v>
      </c>
      <c r="T10">
        <v>117.3091713</v>
      </c>
      <c r="U10">
        <v>3.5396809349999998</v>
      </c>
      <c r="V10">
        <v>2.6366499999999999E-3</v>
      </c>
      <c r="W10">
        <v>-7.07105E-5</v>
      </c>
      <c r="X10">
        <v>3.3361913950000002</v>
      </c>
      <c r="Y10">
        <v>85.757951610000006</v>
      </c>
      <c r="Z10">
        <v>65.651899549999996</v>
      </c>
      <c r="AA10">
        <v>322.17435860000001</v>
      </c>
      <c r="AB10">
        <v>344.08979240000002</v>
      </c>
      <c r="AC10">
        <v>1</v>
      </c>
      <c r="AF10">
        <v>1</v>
      </c>
    </row>
    <row r="11" spans="1:32">
      <c r="A11" t="s">
        <v>640</v>
      </c>
      <c r="B11" t="s">
        <v>641</v>
      </c>
      <c r="C11" t="s">
        <v>212</v>
      </c>
      <c r="D11">
        <v>3</v>
      </c>
      <c r="E11" t="s">
        <v>213</v>
      </c>
      <c r="F11" t="s">
        <v>214</v>
      </c>
      <c r="G11" t="s">
        <v>261</v>
      </c>
      <c r="H11" t="s">
        <v>216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-4.6920821110000004</v>
      </c>
      <c r="R11">
        <v>-32</v>
      </c>
      <c r="S11">
        <v>89.386546580000001</v>
      </c>
      <c r="T11">
        <v>111.63279060000001</v>
      </c>
      <c r="U11">
        <v>3.477521935</v>
      </c>
      <c r="V11">
        <v>2.8854499999999999E-3</v>
      </c>
      <c r="W11">
        <v>-6.8242600000000003E-5</v>
      </c>
      <c r="X11">
        <v>3.302723034</v>
      </c>
      <c r="Y11">
        <v>94.567106370000005</v>
      </c>
      <c r="Z11">
        <v>76.682669430000004</v>
      </c>
      <c r="AA11">
        <v>307.38318770000001</v>
      </c>
      <c r="AB11">
        <v>329.40071110000002</v>
      </c>
      <c r="AC11">
        <v>1</v>
      </c>
      <c r="AF11">
        <v>1</v>
      </c>
    </row>
    <row r="12" spans="1:32">
      <c r="A12" t="s">
        <v>654</v>
      </c>
      <c r="B12" t="s">
        <v>655</v>
      </c>
      <c r="C12" t="s">
        <v>212</v>
      </c>
      <c r="D12">
        <v>3</v>
      </c>
      <c r="E12" t="s">
        <v>213</v>
      </c>
      <c r="F12" t="s">
        <v>214</v>
      </c>
      <c r="G12" t="s">
        <v>261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-8.2111436950000005</v>
      </c>
      <c r="R12">
        <v>-56</v>
      </c>
      <c r="S12">
        <v>90.736658820000002</v>
      </c>
      <c r="T12">
        <v>120.2709469</v>
      </c>
      <c r="U12">
        <v>3.6278004080000001</v>
      </c>
      <c r="V12">
        <v>3.1168099999999998E-3</v>
      </c>
      <c r="W12">
        <v>-7.9401399999999995E-5</v>
      </c>
      <c r="X12">
        <v>3.4259989279999998</v>
      </c>
      <c r="Y12">
        <v>88.842287889999994</v>
      </c>
      <c r="Z12">
        <v>67.189901770000006</v>
      </c>
      <c r="AA12">
        <v>322.71293989999998</v>
      </c>
      <c r="AB12">
        <v>344.9709876</v>
      </c>
      <c r="AC12">
        <v>1</v>
      </c>
      <c r="AF12">
        <v>1</v>
      </c>
    </row>
    <row r="13" spans="1:32">
      <c r="A13" t="s">
        <v>668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261</v>
      </c>
      <c r="H13" t="s">
        <v>216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-8.2111436950000005</v>
      </c>
      <c r="R13">
        <v>-56</v>
      </c>
      <c r="S13">
        <v>88.959364070000007</v>
      </c>
      <c r="T13">
        <v>117.4321453</v>
      </c>
      <c r="U13">
        <v>3.5001340590000001</v>
      </c>
      <c r="V13">
        <v>3.3472900000000002E-3</v>
      </c>
      <c r="W13">
        <v>-7.5211700000000004E-5</v>
      </c>
      <c r="X13">
        <v>3.3346566549999999</v>
      </c>
      <c r="Y13">
        <v>88.835558140000003</v>
      </c>
      <c r="Z13">
        <v>71.877153829999997</v>
      </c>
      <c r="AA13">
        <v>314.97708879999999</v>
      </c>
      <c r="AB13">
        <v>337.2181238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278</v>
      </c>
      <c r="R1" t="s">
        <v>279</v>
      </c>
      <c r="S1" t="s">
        <v>280</v>
      </c>
      <c r="T1" t="s">
        <v>281</v>
      </c>
      <c r="U1" t="s">
        <v>282</v>
      </c>
      <c r="V1" t="s">
        <v>283</v>
      </c>
      <c r="W1" t="s">
        <v>284</v>
      </c>
      <c r="X1" t="s">
        <v>285</v>
      </c>
      <c r="Y1" t="s">
        <v>286</v>
      </c>
      <c r="Z1" t="s">
        <v>287</v>
      </c>
      <c r="AA1" t="s">
        <v>288</v>
      </c>
      <c r="AB1" t="s">
        <v>289</v>
      </c>
      <c r="AC1" t="s">
        <v>290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298</v>
      </c>
      <c r="AL1" t="s">
        <v>299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313</v>
      </c>
      <c r="BA1" t="s">
        <v>314</v>
      </c>
      <c r="BB1" t="s">
        <v>315</v>
      </c>
      <c r="BC1" t="s">
        <v>316</v>
      </c>
      <c r="BD1" t="s">
        <v>317</v>
      </c>
      <c r="BE1" t="s">
        <v>318</v>
      </c>
      <c r="BF1" t="s">
        <v>319</v>
      </c>
      <c r="BG1" t="s">
        <v>320</v>
      </c>
      <c r="BH1" t="s">
        <v>321</v>
      </c>
      <c r="BI1" t="s">
        <v>322</v>
      </c>
      <c r="BJ1" t="s">
        <v>323</v>
      </c>
      <c r="BK1" t="s">
        <v>324</v>
      </c>
      <c r="BL1" t="s">
        <v>325</v>
      </c>
      <c r="BM1" t="s">
        <v>326</v>
      </c>
      <c r="BN1" t="s">
        <v>327</v>
      </c>
      <c r="BO1" t="s">
        <v>328</v>
      </c>
      <c r="BP1" t="s">
        <v>329</v>
      </c>
      <c r="BQ1" t="s">
        <v>330</v>
      </c>
      <c r="BR1" t="s">
        <v>331</v>
      </c>
      <c r="BS1" t="s">
        <v>332</v>
      </c>
      <c r="BT1" t="s">
        <v>333</v>
      </c>
      <c r="BU1" t="s">
        <v>334</v>
      </c>
      <c r="BV1" t="s">
        <v>335</v>
      </c>
      <c r="BW1" t="s">
        <v>336</v>
      </c>
      <c r="BX1" t="s">
        <v>337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347</v>
      </c>
      <c r="CI1" t="s">
        <v>348</v>
      </c>
      <c r="CJ1" t="s">
        <v>349</v>
      </c>
      <c r="CK1" t="s">
        <v>350</v>
      </c>
      <c r="CL1" t="s">
        <v>351</v>
      </c>
      <c r="CM1" t="s">
        <v>352</v>
      </c>
      <c r="CN1" t="s">
        <v>353</v>
      </c>
      <c r="CO1" t="s">
        <v>354</v>
      </c>
      <c r="CP1" t="s">
        <v>355</v>
      </c>
      <c r="CQ1" t="s">
        <v>356</v>
      </c>
      <c r="CR1" t="s">
        <v>357</v>
      </c>
      <c r="CS1" t="s">
        <v>358</v>
      </c>
      <c r="CT1" t="s">
        <v>359</v>
      </c>
      <c r="CU1" t="s">
        <v>360</v>
      </c>
      <c r="CV1" t="s">
        <v>361</v>
      </c>
      <c r="CW1" t="s">
        <v>362</v>
      </c>
      <c r="CX1" t="s">
        <v>363</v>
      </c>
      <c r="CY1" t="s">
        <v>364</v>
      </c>
      <c r="CZ1" t="s">
        <v>365</v>
      </c>
      <c r="DA1" t="s">
        <v>366</v>
      </c>
      <c r="DB1" t="s">
        <v>367</v>
      </c>
      <c r="DC1" t="s">
        <v>368</v>
      </c>
      <c r="DD1" t="s">
        <v>369</v>
      </c>
      <c r="DE1" t="s">
        <v>370</v>
      </c>
      <c r="DF1" t="s">
        <v>371</v>
      </c>
      <c r="DG1" t="s">
        <v>372</v>
      </c>
      <c r="DH1" t="s">
        <v>373</v>
      </c>
      <c r="DI1" t="s">
        <v>374</v>
      </c>
      <c r="DJ1" t="s">
        <v>375</v>
      </c>
      <c r="DK1" t="s">
        <v>376</v>
      </c>
      <c r="DL1" t="s">
        <v>377</v>
      </c>
      <c r="DM1" t="s">
        <v>378</v>
      </c>
      <c r="DN1" t="s">
        <v>379</v>
      </c>
      <c r="DO1" t="s">
        <v>380</v>
      </c>
      <c r="DP1" t="s">
        <v>381</v>
      </c>
      <c r="DQ1" t="s">
        <v>382</v>
      </c>
      <c r="DR1" t="s">
        <v>383</v>
      </c>
      <c r="DS1" t="s">
        <v>384</v>
      </c>
      <c r="DT1" t="s">
        <v>385</v>
      </c>
      <c r="DU1" t="s">
        <v>386</v>
      </c>
      <c r="DV1" t="s">
        <v>387</v>
      </c>
      <c r="DW1" t="s">
        <v>388</v>
      </c>
      <c r="DX1" t="s">
        <v>389</v>
      </c>
      <c r="DY1" t="s">
        <v>390</v>
      </c>
      <c r="DZ1" t="s">
        <v>391</v>
      </c>
      <c r="EA1" t="s">
        <v>392</v>
      </c>
      <c r="EB1" t="s">
        <v>393</v>
      </c>
      <c r="EC1" t="s">
        <v>394</v>
      </c>
      <c r="ED1" t="s">
        <v>395</v>
      </c>
      <c r="EE1" t="s">
        <v>396</v>
      </c>
      <c r="EF1" t="s">
        <v>397</v>
      </c>
      <c r="EG1" t="s">
        <v>398</v>
      </c>
      <c r="EH1" t="s">
        <v>399</v>
      </c>
      <c r="EI1" t="s">
        <v>400</v>
      </c>
      <c r="EJ1" t="s">
        <v>401</v>
      </c>
      <c r="EK1" t="s">
        <v>402</v>
      </c>
      <c r="EL1" t="s">
        <v>403</v>
      </c>
      <c r="EM1" t="s">
        <v>404</v>
      </c>
      <c r="EN1" t="s">
        <v>405</v>
      </c>
      <c r="EO1" t="s">
        <v>406</v>
      </c>
      <c r="EP1" t="s">
        <v>407</v>
      </c>
      <c r="EQ1" t="s">
        <v>408</v>
      </c>
      <c r="ER1" t="s">
        <v>409</v>
      </c>
      <c r="ES1" t="s">
        <v>410</v>
      </c>
      <c r="ET1" t="s">
        <v>411</v>
      </c>
      <c r="EU1" t="s">
        <v>412</v>
      </c>
      <c r="EV1" t="s">
        <v>413</v>
      </c>
      <c r="EW1" t="s">
        <v>414</v>
      </c>
      <c r="EX1" t="s">
        <v>415</v>
      </c>
      <c r="EY1" t="s">
        <v>416</v>
      </c>
      <c r="EZ1" t="s">
        <v>417</v>
      </c>
      <c r="FA1" t="s">
        <v>418</v>
      </c>
      <c r="FB1" t="s">
        <v>419</v>
      </c>
      <c r="FC1" t="s">
        <v>420</v>
      </c>
      <c r="FD1" t="s">
        <v>421</v>
      </c>
      <c r="FE1" t="s">
        <v>422</v>
      </c>
      <c r="FF1" t="s">
        <v>423</v>
      </c>
      <c r="FG1" t="s">
        <v>424</v>
      </c>
      <c r="FH1" t="s">
        <v>425</v>
      </c>
      <c r="FI1" t="s">
        <v>426</v>
      </c>
      <c r="FJ1" t="s">
        <v>427</v>
      </c>
      <c r="FK1" t="s">
        <v>428</v>
      </c>
      <c r="FL1" t="s">
        <v>429</v>
      </c>
      <c r="FM1" t="s">
        <v>430</v>
      </c>
      <c r="FN1" t="s">
        <v>431</v>
      </c>
      <c r="FO1" t="s">
        <v>432</v>
      </c>
      <c r="FP1" t="s">
        <v>433</v>
      </c>
      <c r="FQ1" t="s">
        <v>434</v>
      </c>
      <c r="FR1" t="s">
        <v>435</v>
      </c>
      <c r="FS1" t="s">
        <v>436</v>
      </c>
      <c r="FT1" t="s">
        <v>437</v>
      </c>
      <c r="FU1" t="s">
        <v>438</v>
      </c>
      <c r="FV1" t="s">
        <v>439</v>
      </c>
      <c r="FW1" t="s">
        <v>440</v>
      </c>
      <c r="FX1" t="s">
        <v>441</v>
      </c>
      <c r="FY1" t="s">
        <v>442</v>
      </c>
      <c r="FZ1" t="s">
        <v>443</v>
      </c>
      <c r="GA1" t="s">
        <v>444</v>
      </c>
      <c r="GB1" t="s">
        <v>445</v>
      </c>
      <c r="GC1" t="s">
        <v>446</v>
      </c>
      <c r="GD1" t="s">
        <v>447</v>
      </c>
      <c r="GE1" t="s">
        <v>448</v>
      </c>
      <c r="GF1" t="s">
        <v>449</v>
      </c>
      <c r="GG1" t="s">
        <v>450</v>
      </c>
      <c r="GH1" t="s">
        <v>451</v>
      </c>
      <c r="GI1" t="s">
        <v>452</v>
      </c>
      <c r="GJ1" t="s">
        <v>453</v>
      </c>
      <c r="GK1" t="s">
        <v>454</v>
      </c>
      <c r="GL1" t="s">
        <v>455</v>
      </c>
      <c r="GM1" t="s">
        <v>456</v>
      </c>
      <c r="GN1" t="s">
        <v>457</v>
      </c>
      <c r="GO1" t="s">
        <v>458</v>
      </c>
      <c r="GP1" t="s">
        <v>459</v>
      </c>
      <c r="GQ1" t="s">
        <v>460</v>
      </c>
      <c r="GR1" t="s">
        <v>461</v>
      </c>
      <c r="GS1" t="s">
        <v>462</v>
      </c>
      <c r="GT1" t="s">
        <v>463</v>
      </c>
      <c r="GU1" t="s">
        <v>464</v>
      </c>
      <c r="GV1" t="s">
        <v>465</v>
      </c>
      <c r="GW1" t="s">
        <v>466</v>
      </c>
      <c r="GX1" t="s">
        <v>467</v>
      </c>
      <c r="GY1" t="s">
        <v>468</v>
      </c>
      <c r="GZ1" t="s">
        <v>469</v>
      </c>
      <c r="HA1" t="s">
        <v>470</v>
      </c>
      <c r="HB1" t="s">
        <v>471</v>
      </c>
      <c r="HC1" t="s">
        <v>472</v>
      </c>
      <c r="HD1" t="s">
        <v>473</v>
      </c>
      <c r="HE1" t="s">
        <v>474</v>
      </c>
      <c r="HF1" t="s">
        <v>475</v>
      </c>
      <c r="HG1" t="s">
        <v>476</v>
      </c>
      <c r="HH1" t="s">
        <v>477</v>
      </c>
      <c r="HI1" t="s">
        <v>478</v>
      </c>
      <c r="HJ1" t="s">
        <v>479</v>
      </c>
      <c r="HK1" t="s">
        <v>480</v>
      </c>
      <c r="HL1" t="s">
        <v>481</v>
      </c>
      <c r="HM1" t="s">
        <v>482</v>
      </c>
      <c r="HN1" t="s">
        <v>483</v>
      </c>
      <c r="HO1" t="s">
        <v>484</v>
      </c>
      <c r="HP1" t="s">
        <v>485</v>
      </c>
      <c r="HQ1" t="s">
        <v>486</v>
      </c>
      <c r="HR1" t="s">
        <v>487</v>
      </c>
      <c r="HS1" t="s">
        <v>488</v>
      </c>
      <c r="HT1" t="s">
        <v>489</v>
      </c>
      <c r="HU1" t="s">
        <v>490</v>
      </c>
      <c r="HV1" t="s">
        <v>491</v>
      </c>
      <c r="HW1" t="s">
        <v>492</v>
      </c>
      <c r="HX1" t="s">
        <v>493</v>
      </c>
      <c r="HY1" t="s">
        <v>494</v>
      </c>
      <c r="HZ1" t="s">
        <v>495</v>
      </c>
      <c r="IA1" t="s">
        <v>496</v>
      </c>
      <c r="IB1" t="s">
        <v>497</v>
      </c>
      <c r="IC1" t="s">
        <v>498</v>
      </c>
      <c r="ID1" t="s">
        <v>499</v>
      </c>
      <c r="IE1" t="s">
        <v>500</v>
      </c>
      <c r="IF1" t="s">
        <v>501</v>
      </c>
      <c r="IG1" t="s">
        <v>502</v>
      </c>
      <c r="IH1" t="s">
        <v>503</v>
      </c>
      <c r="II1" t="s">
        <v>504</v>
      </c>
      <c r="IJ1" t="s">
        <v>505</v>
      </c>
      <c r="IK1" t="s">
        <v>506</v>
      </c>
      <c r="IL1" t="s">
        <v>507</v>
      </c>
      <c r="IM1" t="s">
        <v>508</v>
      </c>
      <c r="IN1" t="s">
        <v>509</v>
      </c>
      <c r="IO1" t="s">
        <v>510</v>
      </c>
      <c r="IP1" t="s">
        <v>511</v>
      </c>
      <c r="IQ1" t="s">
        <v>512</v>
      </c>
      <c r="IR1" t="s">
        <v>513</v>
      </c>
      <c r="IS1" t="s">
        <v>514</v>
      </c>
      <c r="IT1" t="s">
        <v>515</v>
      </c>
      <c r="IU1" t="s">
        <v>516</v>
      </c>
      <c r="IV1" t="s">
        <v>517</v>
      </c>
      <c r="IW1" t="s">
        <v>518</v>
      </c>
      <c r="IX1" t="s">
        <v>519</v>
      </c>
      <c r="IY1" t="s">
        <v>520</v>
      </c>
      <c r="IZ1" t="s">
        <v>521</v>
      </c>
      <c r="JA1" t="s">
        <v>522</v>
      </c>
      <c r="JB1" t="s">
        <v>523</v>
      </c>
      <c r="JC1" t="s">
        <v>524</v>
      </c>
      <c r="JD1" t="s">
        <v>525</v>
      </c>
      <c r="JE1" t="s">
        <v>526</v>
      </c>
      <c r="JF1" t="s">
        <v>527</v>
      </c>
      <c r="JG1" t="s">
        <v>528</v>
      </c>
      <c r="JH1" t="s">
        <v>529</v>
      </c>
      <c r="JI1" t="s">
        <v>530</v>
      </c>
      <c r="JJ1" t="s">
        <v>531</v>
      </c>
      <c r="JK1" t="s">
        <v>271</v>
      </c>
      <c r="JL1" t="s">
        <v>532</v>
      </c>
      <c r="JM1" t="s">
        <v>533</v>
      </c>
      <c r="JN1" t="s">
        <v>534</v>
      </c>
      <c r="JO1" t="s">
        <v>207</v>
      </c>
      <c r="JP1" t="s">
        <v>208</v>
      </c>
      <c r="JQ1" t="s">
        <v>209</v>
      </c>
    </row>
    <row r="2" spans="1:277">
      <c r="A2" t="s">
        <v>535</v>
      </c>
      <c r="B2" t="s">
        <v>536</v>
      </c>
      <c r="C2" t="s">
        <v>212</v>
      </c>
      <c r="D2">
        <v>3</v>
      </c>
      <c r="E2" t="s">
        <v>213</v>
      </c>
      <c r="F2" t="s">
        <v>214</v>
      </c>
      <c r="G2" t="s">
        <v>537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3.4000000014</v>
      </c>
      <c r="R2">
        <v>1.2000000006</v>
      </c>
      <c r="S2">
        <v>1.2000000006</v>
      </c>
      <c r="T2">
        <v>1.0000000002</v>
      </c>
      <c r="U2">
        <v>0.90000000089999999</v>
      </c>
      <c r="V2">
        <v>0.90000000089999999</v>
      </c>
      <c r="W2">
        <v>0.90000000089999999</v>
      </c>
      <c r="X2">
        <v>0.80000000159999995</v>
      </c>
      <c r="Y2">
        <v>0.60000000119999997</v>
      </c>
      <c r="Z2">
        <v>0.50000000010000001</v>
      </c>
      <c r="AA2">
        <v>0.40000000079999998</v>
      </c>
      <c r="AB2">
        <v>0.3000000015</v>
      </c>
      <c r="AC2">
        <v>0.20000000039999999</v>
      </c>
      <c r="AD2">
        <v>0.20000000039999999</v>
      </c>
      <c r="AE2">
        <v>0.1000000011</v>
      </c>
      <c r="AF2">
        <v>0</v>
      </c>
      <c r="AG2">
        <v>0.60000000119999997</v>
      </c>
      <c r="AH2">
        <v>3.3000000002999998</v>
      </c>
      <c r="AI2">
        <v>7.4000000004000004</v>
      </c>
      <c r="AJ2">
        <v>12.700000001099999</v>
      </c>
      <c r="AK2">
        <v>19.0000000002</v>
      </c>
      <c r="AL2">
        <v>25.800000001299999</v>
      </c>
      <c r="AM2">
        <v>32.800000000899999</v>
      </c>
      <c r="AN2">
        <v>40.4000000017</v>
      </c>
      <c r="AO2">
        <v>48.000000000699998</v>
      </c>
      <c r="AP2">
        <v>55.800000000099999</v>
      </c>
      <c r="AQ2">
        <v>63.100000001200002</v>
      </c>
      <c r="AR2">
        <v>70.4000000005</v>
      </c>
      <c r="AS2">
        <v>78.100000000600005</v>
      </c>
      <c r="AT2">
        <v>86.100000000400001</v>
      </c>
      <c r="AU2">
        <v>94.200000001399999</v>
      </c>
      <c r="AV2">
        <v>102.40000000160001</v>
      </c>
      <c r="AW2">
        <v>110.6000000018</v>
      </c>
      <c r="AX2">
        <v>118.7000000009</v>
      </c>
      <c r="AY2">
        <v>126.8</v>
      </c>
      <c r="AZ2">
        <v>135.0000000002</v>
      </c>
      <c r="BA2">
        <v>143.3000000015</v>
      </c>
      <c r="BB2">
        <v>151.6000000011</v>
      </c>
      <c r="BC2">
        <v>159.90000000059999</v>
      </c>
      <c r="BD2">
        <v>167.60000000069999</v>
      </c>
      <c r="BE2">
        <v>175.80000000090001</v>
      </c>
      <c r="BF2">
        <v>183.90000000180001</v>
      </c>
      <c r="BG2">
        <v>192.30000000059999</v>
      </c>
      <c r="BH2">
        <v>200.60000000010001</v>
      </c>
      <c r="BI2">
        <v>209.0000000007</v>
      </c>
      <c r="BJ2">
        <v>216.8000000001</v>
      </c>
      <c r="BK2">
        <v>224.60000000139999</v>
      </c>
      <c r="BL2">
        <v>232.60000000119999</v>
      </c>
      <c r="BM2">
        <v>240.50000000169999</v>
      </c>
      <c r="BN2">
        <v>248.60000000080001</v>
      </c>
      <c r="BO2">
        <v>256.60000000060001</v>
      </c>
      <c r="BP2">
        <v>264.30000000069998</v>
      </c>
      <c r="BQ2">
        <v>271.70000000110002</v>
      </c>
      <c r="BR2">
        <v>279.20000000089999</v>
      </c>
      <c r="BS2">
        <v>286.50000000019998</v>
      </c>
      <c r="BT2">
        <v>294.00000000170002</v>
      </c>
      <c r="BU2">
        <v>301.5000000014</v>
      </c>
      <c r="BV2">
        <v>308.80000000069998</v>
      </c>
      <c r="BW2">
        <v>315.90000000139997</v>
      </c>
      <c r="BX2">
        <v>322.70000000060003</v>
      </c>
      <c r="BY2">
        <v>329.50000000159997</v>
      </c>
      <c r="BZ2">
        <v>336.10000000039997</v>
      </c>
      <c r="CA2">
        <v>342.90000000150002</v>
      </c>
      <c r="CB2">
        <v>349.50000000030002</v>
      </c>
      <c r="CC2">
        <v>356.10000000090002</v>
      </c>
      <c r="CD2">
        <v>362.70000000149997</v>
      </c>
      <c r="CE2">
        <v>368.90000000129999</v>
      </c>
      <c r="CF2">
        <v>374.80000000140001</v>
      </c>
      <c r="CG2">
        <v>380.90000000010002</v>
      </c>
      <c r="CH2">
        <v>386.70000000089999</v>
      </c>
      <c r="CI2">
        <v>392.60000000100001</v>
      </c>
      <c r="CJ2">
        <v>398.60000000039997</v>
      </c>
      <c r="CK2">
        <v>404.3000000001</v>
      </c>
      <c r="CL2">
        <v>410.10000000100001</v>
      </c>
      <c r="CM2">
        <v>415.80000000069998</v>
      </c>
      <c r="CN2">
        <v>421.10000000140002</v>
      </c>
      <c r="CO2">
        <v>426.4000000003</v>
      </c>
      <c r="CP2">
        <v>431.70000000099998</v>
      </c>
      <c r="CQ2">
        <v>436.80000000130002</v>
      </c>
      <c r="CR2">
        <v>442.0000000009</v>
      </c>
      <c r="CS2">
        <v>447.20000000049998</v>
      </c>
      <c r="CT2">
        <v>451.9</v>
      </c>
      <c r="CU2">
        <v>454.60000000090002</v>
      </c>
      <c r="CV2">
        <v>455.20000000030001</v>
      </c>
      <c r="CW2">
        <v>455.20000000030001</v>
      </c>
      <c r="CX2">
        <v>455.20000000030001</v>
      </c>
      <c r="CY2">
        <v>455.30000000140001</v>
      </c>
      <c r="CZ2">
        <v>455.30000000140001</v>
      </c>
      <c r="DA2">
        <v>455.30000000140001</v>
      </c>
      <c r="DB2">
        <v>455.30000000140001</v>
      </c>
      <c r="DC2">
        <v>455.4000000007</v>
      </c>
      <c r="DD2">
        <v>455.30000000140001</v>
      </c>
      <c r="DE2">
        <v>455.30000000140001</v>
      </c>
      <c r="DF2">
        <v>455.30000000140001</v>
      </c>
      <c r="DG2">
        <v>4.2000000012000003</v>
      </c>
      <c r="DH2">
        <v>1.6000000014</v>
      </c>
      <c r="DI2">
        <v>1.400000001</v>
      </c>
      <c r="DJ2">
        <v>1.3000000017</v>
      </c>
      <c r="DK2">
        <v>1.2000000006</v>
      </c>
      <c r="DL2">
        <v>1.1000000013</v>
      </c>
      <c r="DM2">
        <v>1.1000000013</v>
      </c>
      <c r="DN2">
        <v>1.0000000002</v>
      </c>
      <c r="DO2">
        <v>0.80000000159999995</v>
      </c>
      <c r="DP2">
        <v>0.80000000159999995</v>
      </c>
      <c r="DQ2">
        <v>0.60000000119999997</v>
      </c>
      <c r="DR2">
        <v>0.60000000119999997</v>
      </c>
      <c r="DS2">
        <v>0.40000000079999998</v>
      </c>
      <c r="DT2">
        <v>0.40000000079999998</v>
      </c>
      <c r="DU2">
        <v>0.3000000015</v>
      </c>
      <c r="DV2">
        <v>1.8</v>
      </c>
      <c r="DW2">
        <v>5.8000000007999999</v>
      </c>
      <c r="DX2">
        <v>10.9000000011</v>
      </c>
      <c r="DY2">
        <v>17.500000001699998</v>
      </c>
      <c r="DZ2">
        <v>24.5000000014</v>
      </c>
      <c r="EA2">
        <v>31.500000001</v>
      </c>
      <c r="EB2">
        <v>38.900000001400002</v>
      </c>
      <c r="EC2">
        <v>46.5000000004</v>
      </c>
      <c r="ED2">
        <v>54.100000001200002</v>
      </c>
      <c r="EE2">
        <v>61.4000000005</v>
      </c>
      <c r="EF2">
        <v>68.800000000899999</v>
      </c>
      <c r="EG2">
        <v>76.400000001699993</v>
      </c>
      <c r="EH2">
        <v>84.200000001099994</v>
      </c>
      <c r="EI2">
        <v>92.200000001000006</v>
      </c>
      <c r="EJ2">
        <v>100.3000000001</v>
      </c>
      <c r="EK2">
        <v>108.400000001</v>
      </c>
      <c r="EL2">
        <v>116.3000000015</v>
      </c>
      <c r="EM2">
        <v>124.600000001</v>
      </c>
      <c r="EN2">
        <v>132.7000000001</v>
      </c>
      <c r="EO2">
        <v>141.19999999999999</v>
      </c>
      <c r="EP2">
        <v>149.60000000060001</v>
      </c>
      <c r="EQ2">
        <v>158.00000000130001</v>
      </c>
      <c r="ER2">
        <v>166.00000000110001</v>
      </c>
      <c r="ES2">
        <v>174.1000000002</v>
      </c>
      <c r="ET2">
        <v>182.30000000039999</v>
      </c>
      <c r="EU2">
        <v>190.60000000170001</v>
      </c>
      <c r="EV2">
        <v>199.10000000159999</v>
      </c>
      <c r="EW2">
        <v>207.60000000150001</v>
      </c>
      <c r="EX2">
        <v>215.5000000002</v>
      </c>
      <c r="EY2">
        <v>223.40000000079999</v>
      </c>
      <c r="EZ2">
        <v>231.50000000169999</v>
      </c>
      <c r="FA2">
        <v>239.60000000080001</v>
      </c>
      <c r="FB2">
        <v>247.800000001</v>
      </c>
      <c r="FC2">
        <v>255.90000000009999</v>
      </c>
      <c r="FD2">
        <v>263.80000000059999</v>
      </c>
      <c r="FE2">
        <v>271.40000000139997</v>
      </c>
      <c r="FF2">
        <v>278.9000000012</v>
      </c>
      <c r="FG2">
        <v>286.40000000089998</v>
      </c>
      <c r="FH2">
        <v>294.10000000100001</v>
      </c>
      <c r="FI2">
        <v>301.60000000069999</v>
      </c>
      <c r="FJ2">
        <v>309.20000000149997</v>
      </c>
      <c r="FK2">
        <v>316.40000000150002</v>
      </c>
      <c r="FL2">
        <v>323.20000000070002</v>
      </c>
      <c r="FM2">
        <v>330.20000000030001</v>
      </c>
      <c r="FN2">
        <v>337.0000000014</v>
      </c>
      <c r="FO2">
        <v>343.90000000169999</v>
      </c>
      <c r="FP2">
        <v>350.90000000129999</v>
      </c>
      <c r="FQ2">
        <v>357.70000000049998</v>
      </c>
      <c r="FR2">
        <v>364.30000000109999</v>
      </c>
      <c r="FS2">
        <v>370.5000000009</v>
      </c>
      <c r="FT2">
        <v>376.70000000070002</v>
      </c>
      <c r="FU2">
        <v>382.80000000119998</v>
      </c>
      <c r="FV2">
        <v>388.80000000059999</v>
      </c>
      <c r="FW2">
        <v>394.90000000110001</v>
      </c>
      <c r="FX2">
        <v>400.90000000049997</v>
      </c>
      <c r="FY2">
        <v>406.90000000179998</v>
      </c>
      <c r="FZ2">
        <v>412.8000000001</v>
      </c>
      <c r="GA2">
        <v>418.20000000009998</v>
      </c>
      <c r="GB2">
        <v>423.30000000040002</v>
      </c>
      <c r="GC2">
        <v>428.6000000011</v>
      </c>
      <c r="GD2">
        <v>433.60000000029999</v>
      </c>
      <c r="GE2">
        <v>438.50000000019998</v>
      </c>
      <c r="GF2">
        <v>443.30000000080003</v>
      </c>
      <c r="GG2">
        <v>448.10000000140002</v>
      </c>
      <c r="GH2">
        <v>452.00000000109998</v>
      </c>
      <c r="GI2">
        <v>454.40000000049997</v>
      </c>
      <c r="GJ2">
        <v>455.10000000100001</v>
      </c>
      <c r="GK2">
        <v>455.10000000100001</v>
      </c>
      <c r="GL2">
        <v>455.10000000100001</v>
      </c>
      <c r="GM2">
        <v>455.10000000100001</v>
      </c>
      <c r="GN2">
        <v>455.10000000100001</v>
      </c>
      <c r="GO2">
        <v>455.10000000100001</v>
      </c>
      <c r="GP2">
        <v>455.10000000100001</v>
      </c>
      <c r="GQ2">
        <v>455.20000000030001</v>
      </c>
      <c r="GR2">
        <v>455.20000000030001</v>
      </c>
      <c r="GS2">
        <v>455.20000000030001</v>
      </c>
      <c r="GT2">
        <v>455.30000000140001</v>
      </c>
      <c r="GU2">
        <v>455.30000000140001</v>
      </c>
      <c r="GV2">
        <v>455.4000000007</v>
      </c>
      <c r="GW2">
        <v>1</v>
      </c>
      <c r="GX2">
        <v>113.49999999950001</v>
      </c>
      <c r="GY2">
        <v>110.6000000018</v>
      </c>
      <c r="GZ2">
        <v>110.6000000018</v>
      </c>
      <c r="HA2">
        <v>124.600000001</v>
      </c>
      <c r="HB2">
        <v>114.21568024760001</v>
      </c>
      <c r="HC2">
        <v>-13.9999999992</v>
      </c>
      <c r="HD2">
        <v>455.4000000007</v>
      </c>
      <c r="HE2">
        <v>297.03599428860002</v>
      </c>
      <c r="HF2">
        <v>94.522532119499999</v>
      </c>
      <c r="HG2">
        <v>455.4000000007</v>
      </c>
      <c r="HH2">
        <v>455.4000000007</v>
      </c>
      <c r="HI2">
        <v>455.4000000007</v>
      </c>
      <c r="HJ2">
        <v>455.4000000007</v>
      </c>
      <c r="HK2">
        <v>114.9560117302</v>
      </c>
      <c r="HL2">
        <v>3.3687435141000002</v>
      </c>
      <c r="HM2">
        <v>3.2383496854999998</v>
      </c>
      <c r="HN2">
        <v>3.3010320424000001</v>
      </c>
      <c r="HO2">
        <v>3.1923721043</v>
      </c>
      <c r="HP2">
        <v>3.5503272895000002</v>
      </c>
      <c r="HQ2">
        <v>2.2891901241000001</v>
      </c>
      <c r="HR2">
        <v>19.693148128099999</v>
      </c>
      <c r="HS2">
        <v>-28.152492668600001</v>
      </c>
      <c r="HT2">
        <v>-192</v>
      </c>
      <c r="HU2">
        <v>411.25167453620003</v>
      </c>
      <c r="HV2">
        <v>91.495601172999997</v>
      </c>
      <c r="HW2">
        <v>624</v>
      </c>
      <c r="HX2">
        <v>19.693148128099999</v>
      </c>
      <c r="HY2">
        <v>-28.152492668600001</v>
      </c>
      <c r="HZ2">
        <v>-192</v>
      </c>
      <c r="IA2">
        <v>411.25167453620003</v>
      </c>
      <c r="IB2">
        <v>91.495601172999997</v>
      </c>
      <c r="IC2">
        <v>624</v>
      </c>
      <c r="ID2">
        <v>44.148325464599999</v>
      </c>
      <c r="IE2">
        <v>0.63654331949999998</v>
      </c>
      <c r="IF2">
        <v>-37.536656891500002</v>
      </c>
      <c r="IG2">
        <v>-256</v>
      </c>
      <c r="IH2">
        <v>432.83136049230001</v>
      </c>
      <c r="II2">
        <v>100.87976539589999</v>
      </c>
      <c r="IJ2">
        <v>688</v>
      </c>
      <c r="IK2">
        <v>391.55852640799998</v>
      </c>
      <c r="IL2">
        <v>119.6480938416</v>
      </c>
      <c r="IM2">
        <v>414.50343691659998</v>
      </c>
      <c r="IN2">
        <v>129.03225806450001</v>
      </c>
      <c r="IO2">
        <v>6.6000000005999997</v>
      </c>
      <c r="IP2">
        <v>5.8999999983000002</v>
      </c>
      <c r="IQ2">
        <v>8.4999999999</v>
      </c>
      <c r="IR2">
        <v>5.9667870658000002</v>
      </c>
      <c r="IS2">
        <v>5.9667870658000002</v>
      </c>
      <c r="IT2">
        <v>11.800000000200001</v>
      </c>
      <c r="IU2">
        <v>-30.4985337243</v>
      </c>
      <c r="IV2">
        <v>15.3999999984</v>
      </c>
      <c r="IW2">
        <v>37.536656891500002</v>
      </c>
      <c r="IX2">
        <v>12.800000000400001</v>
      </c>
      <c r="IY2">
        <v>98.533724340199996</v>
      </c>
      <c r="IZ2">
        <v>-34.504191904599999</v>
      </c>
      <c r="JA2">
        <v>0.33333930119999999</v>
      </c>
      <c r="JB2">
        <v>-3.4767210000000002E-4</v>
      </c>
      <c r="JC2">
        <v>6.863E-7</v>
      </c>
      <c r="JD2">
        <v>0.29684658269999997</v>
      </c>
      <c r="JE2">
        <v>0.1192019201</v>
      </c>
      <c r="JF2">
        <v>5.7404272499999999E-2</v>
      </c>
      <c r="JG2">
        <v>114.49954876069999</v>
      </c>
      <c r="JH2">
        <v>3.5503272895000002</v>
      </c>
      <c r="JI2">
        <v>3.2399687E-3</v>
      </c>
      <c r="JJ2">
        <v>-7.3823299999999995E-5</v>
      </c>
      <c r="JK2">
        <v>3.3687435141000002</v>
      </c>
      <c r="JL2">
        <v>1.3345572604</v>
      </c>
      <c r="JM2">
        <v>0.43954312629999998</v>
      </c>
      <c r="JN2" t="s">
        <v>538</v>
      </c>
      <c r="JQ2">
        <v>1</v>
      </c>
    </row>
    <row r="3" spans="1:277">
      <c r="A3" t="s">
        <v>546</v>
      </c>
      <c r="B3" t="s">
        <v>547</v>
      </c>
      <c r="C3" t="s">
        <v>212</v>
      </c>
      <c r="D3">
        <v>3</v>
      </c>
      <c r="E3" t="s">
        <v>213</v>
      </c>
      <c r="F3" t="s">
        <v>214</v>
      </c>
      <c r="G3" t="s">
        <v>537</v>
      </c>
      <c r="H3" t="s">
        <v>216</v>
      </c>
      <c r="J3" t="s">
        <v>541</v>
      </c>
      <c r="K3" t="s">
        <v>542</v>
      </c>
      <c r="L3" t="s">
        <v>543</v>
      </c>
      <c r="M3" t="s">
        <v>544</v>
      </c>
      <c r="N3" t="s">
        <v>545</v>
      </c>
      <c r="O3">
        <v>0</v>
      </c>
      <c r="P3">
        <v>0</v>
      </c>
      <c r="Q3">
        <v>4.5000000009000001</v>
      </c>
      <c r="R3">
        <v>0.90000000089999999</v>
      </c>
      <c r="S3">
        <v>0.79999999980000003</v>
      </c>
      <c r="T3">
        <v>0.7000000005</v>
      </c>
      <c r="U3">
        <v>0.7000000005</v>
      </c>
      <c r="V3">
        <v>0.59999999940000004</v>
      </c>
      <c r="W3">
        <v>0.59999999940000004</v>
      </c>
      <c r="X3">
        <v>0.50000000010000001</v>
      </c>
      <c r="Y3">
        <v>0.40000000079999998</v>
      </c>
      <c r="Z3">
        <v>0.29999999970000002</v>
      </c>
      <c r="AA3">
        <v>0.29999999970000002</v>
      </c>
      <c r="AB3">
        <v>0.20000000039999999</v>
      </c>
      <c r="AC3">
        <v>9.9999999300000003E-2</v>
      </c>
      <c r="AD3">
        <v>9.9999999300000003E-2</v>
      </c>
      <c r="AE3">
        <v>9.9999999300000003E-2</v>
      </c>
      <c r="AF3">
        <v>0</v>
      </c>
      <c r="AG3">
        <v>1.8</v>
      </c>
      <c r="AH3">
        <v>5.8000000007999999</v>
      </c>
      <c r="AI3">
        <v>11.200000000799999</v>
      </c>
      <c r="AJ3">
        <v>17.400000000599999</v>
      </c>
      <c r="AK3">
        <v>24.1000000005</v>
      </c>
      <c r="AL3">
        <v>31.000000000899998</v>
      </c>
      <c r="AM3">
        <v>38.200000000899998</v>
      </c>
      <c r="AN3">
        <v>45.700000000599999</v>
      </c>
      <c r="AO3">
        <v>53.200000000300001</v>
      </c>
      <c r="AP3">
        <v>60.799999999299999</v>
      </c>
      <c r="AQ3">
        <v>67.999999999300002</v>
      </c>
      <c r="AR3">
        <v>75.5000000008</v>
      </c>
      <c r="AS3">
        <v>83.300000000200001</v>
      </c>
      <c r="AT3">
        <v>91.3</v>
      </c>
      <c r="AU3">
        <v>99.200000000599999</v>
      </c>
      <c r="AV3">
        <v>107.40000000080001</v>
      </c>
      <c r="AW3">
        <v>115.4999999999</v>
      </c>
      <c r="AX3">
        <v>123.7000000001</v>
      </c>
      <c r="AY3">
        <v>131.6999999999</v>
      </c>
      <c r="AZ3">
        <v>139.99999999939999</v>
      </c>
      <c r="BA3">
        <v>148.30000000070001</v>
      </c>
      <c r="BB3">
        <v>156.60000000030001</v>
      </c>
      <c r="BC3">
        <v>164.80000000050001</v>
      </c>
      <c r="BD3">
        <v>172.70000000100001</v>
      </c>
      <c r="BE3">
        <v>180.5999999997</v>
      </c>
      <c r="BF3">
        <v>188.7000000006</v>
      </c>
      <c r="BG3">
        <v>196.90000000079999</v>
      </c>
      <c r="BH3">
        <v>205.09999999920001</v>
      </c>
      <c r="BI3">
        <v>213.2999999994</v>
      </c>
      <c r="BJ3">
        <v>220.99999999950001</v>
      </c>
      <c r="BK3">
        <v>228.8000000008</v>
      </c>
      <c r="BL3">
        <v>236.5000000009</v>
      </c>
      <c r="BM3">
        <v>244.3999999996</v>
      </c>
      <c r="BN3">
        <v>252.2000000008</v>
      </c>
      <c r="BO3">
        <v>260.09999999950003</v>
      </c>
      <c r="BP3">
        <v>267.70000000030001</v>
      </c>
      <c r="BQ3">
        <v>274.99999999959999</v>
      </c>
      <c r="BR3">
        <v>282.19999999959998</v>
      </c>
      <c r="BS3">
        <v>289.39999999970001</v>
      </c>
      <c r="BT3">
        <v>296.7000000008</v>
      </c>
      <c r="BU3">
        <v>304.00000000009999</v>
      </c>
      <c r="BV3">
        <v>311.20000000009998</v>
      </c>
      <c r="BW3">
        <v>318.19999999970003</v>
      </c>
      <c r="BX3">
        <v>324.80000000029997</v>
      </c>
      <c r="BY3">
        <v>331.29999999979998</v>
      </c>
      <c r="BZ3">
        <v>337.90000000039998</v>
      </c>
      <c r="CA3">
        <v>344.4</v>
      </c>
      <c r="CB3">
        <v>350.89999999949998</v>
      </c>
      <c r="CC3">
        <v>357.29999999969999</v>
      </c>
      <c r="CD3">
        <v>363.6999999999</v>
      </c>
      <c r="CE3">
        <v>369.80000000040002</v>
      </c>
      <c r="CF3">
        <v>375.70000000049998</v>
      </c>
      <c r="CG3">
        <v>381.40000000020001</v>
      </c>
      <c r="CH3">
        <v>387.19999999919997</v>
      </c>
      <c r="CI3">
        <v>392.7999999996</v>
      </c>
      <c r="CJ3">
        <v>398.49999999929997</v>
      </c>
      <c r="CK3">
        <v>404.20000000089999</v>
      </c>
      <c r="CL3">
        <v>409.70000000020002</v>
      </c>
      <c r="CM3">
        <v>415.1000000002</v>
      </c>
      <c r="CN3">
        <v>420.50000000019998</v>
      </c>
      <c r="CO3">
        <v>425.49999999940002</v>
      </c>
      <c r="CP3">
        <v>430.50000000040001</v>
      </c>
      <c r="CQ3">
        <v>435.60000000069999</v>
      </c>
      <c r="CR3">
        <v>440.59999999989998</v>
      </c>
      <c r="CS3">
        <v>445.40000000049997</v>
      </c>
      <c r="CT3">
        <v>450.19999999930002</v>
      </c>
      <c r="CU3">
        <v>455.20000000030001</v>
      </c>
      <c r="CV3">
        <v>460.0000000009</v>
      </c>
      <c r="CW3">
        <v>464.90000000089998</v>
      </c>
      <c r="CX3">
        <v>467.09999999979999</v>
      </c>
      <c r="CY3">
        <v>467.30000000029997</v>
      </c>
      <c r="CZ3">
        <v>467.30000000029997</v>
      </c>
      <c r="DA3">
        <v>467.39999999949998</v>
      </c>
      <c r="DB3">
        <v>467.39999999949998</v>
      </c>
      <c r="DC3">
        <v>467.39999999949998</v>
      </c>
      <c r="DD3">
        <v>467.39999999949998</v>
      </c>
      <c r="DE3">
        <v>467.39999999949998</v>
      </c>
      <c r="DF3">
        <v>467.39999999949998</v>
      </c>
      <c r="DG3">
        <v>4.9999999991999999</v>
      </c>
      <c r="DH3">
        <v>1.7000000007</v>
      </c>
      <c r="DI3">
        <v>1.5999999996000001</v>
      </c>
      <c r="DJ3">
        <v>1.5000000003</v>
      </c>
      <c r="DK3">
        <v>1.2999999999</v>
      </c>
      <c r="DL3">
        <v>1.400000001</v>
      </c>
      <c r="DM3">
        <v>1.2999999999</v>
      </c>
      <c r="DN3">
        <v>1.2000000006</v>
      </c>
      <c r="DO3">
        <v>1.2000000006</v>
      </c>
      <c r="DP3">
        <v>1.0999999995</v>
      </c>
      <c r="DQ3">
        <v>1.0000000002</v>
      </c>
      <c r="DR3">
        <v>1.0000000002</v>
      </c>
      <c r="DS3">
        <v>0.90000000089999999</v>
      </c>
      <c r="DT3">
        <v>0.90000000089999999</v>
      </c>
      <c r="DU3">
        <v>1.400000001</v>
      </c>
      <c r="DV3">
        <v>4.3000000004999999</v>
      </c>
      <c r="DW3">
        <v>9.5999999993999996</v>
      </c>
      <c r="DX3">
        <v>15.9999999996</v>
      </c>
      <c r="DY3">
        <v>22.800000000600001</v>
      </c>
      <c r="DZ3">
        <v>29.700000000999999</v>
      </c>
      <c r="EA3">
        <v>36.900000001000002</v>
      </c>
      <c r="EB3">
        <v>44.100000000999998</v>
      </c>
      <c r="EC3">
        <v>51.7</v>
      </c>
      <c r="ED3">
        <v>59.300000000799997</v>
      </c>
      <c r="EE3">
        <v>66.600000000099996</v>
      </c>
      <c r="EF3">
        <v>73.899999999399995</v>
      </c>
      <c r="EG3">
        <v>81.5999999995</v>
      </c>
      <c r="EH3">
        <v>89.400000000800006</v>
      </c>
      <c r="EI3">
        <v>97.499999999899998</v>
      </c>
      <c r="EJ3">
        <v>105.49999999969999</v>
      </c>
      <c r="EK3">
        <v>113.49999999950001</v>
      </c>
      <c r="EL3">
        <v>121.6000000004</v>
      </c>
      <c r="EM3">
        <v>129.80000000059999</v>
      </c>
      <c r="EN3">
        <v>138.10000000010001</v>
      </c>
      <c r="EO3">
        <v>146.3999999996</v>
      </c>
      <c r="EP3">
        <v>154.8000000003</v>
      </c>
      <c r="EQ3">
        <v>162.89999999939999</v>
      </c>
      <c r="ER3">
        <v>171.00000000029999</v>
      </c>
      <c r="ES3">
        <v>179.00000000009999</v>
      </c>
      <c r="ET3">
        <v>187.4000000007</v>
      </c>
      <c r="EU3">
        <v>195.6000000009</v>
      </c>
      <c r="EV3">
        <v>203.99999999970001</v>
      </c>
      <c r="EW3">
        <v>212.2999999992</v>
      </c>
      <c r="EX3">
        <v>220.1999999997</v>
      </c>
      <c r="EY3">
        <v>227.89999999989999</v>
      </c>
      <c r="EZ3">
        <v>235.80000000039999</v>
      </c>
      <c r="FA3">
        <v>243.70000000089999</v>
      </c>
      <c r="FB3">
        <v>251.8</v>
      </c>
      <c r="FC3">
        <v>259.70000000049998</v>
      </c>
      <c r="FD3">
        <v>267.49999999990001</v>
      </c>
      <c r="FE3">
        <v>274.99999999959999</v>
      </c>
      <c r="FF3">
        <v>282.49999999929997</v>
      </c>
      <c r="FG3">
        <v>289.80000000050001</v>
      </c>
      <c r="FH3">
        <v>297.30000000019999</v>
      </c>
      <c r="FI3">
        <v>304.79999999990002</v>
      </c>
      <c r="FJ3">
        <v>312.10000000100001</v>
      </c>
      <c r="FK3">
        <v>319.2999999992</v>
      </c>
      <c r="FL3">
        <v>326.1000000002</v>
      </c>
      <c r="FM3">
        <v>332.89999999939999</v>
      </c>
      <c r="FN3">
        <v>339.5999999993</v>
      </c>
      <c r="FO3">
        <v>346.2999999992</v>
      </c>
      <c r="FP3">
        <v>353.10000000029999</v>
      </c>
      <c r="FQ3">
        <v>359.80000000019999</v>
      </c>
      <c r="FR3">
        <v>366.2000000004</v>
      </c>
      <c r="FS3">
        <v>372.49999999950001</v>
      </c>
      <c r="FT3">
        <v>378.50000000070003</v>
      </c>
      <c r="FU3">
        <v>384.50000000009999</v>
      </c>
      <c r="FV3">
        <v>390.40000000020001</v>
      </c>
      <c r="FW3">
        <v>396.19999999919997</v>
      </c>
      <c r="FX3">
        <v>402.0999999993</v>
      </c>
      <c r="FY3">
        <v>407.90000000020001</v>
      </c>
      <c r="FZ3">
        <v>413.70000000099998</v>
      </c>
      <c r="GA3">
        <v>419.79999999969999</v>
      </c>
      <c r="GB3">
        <v>424.9</v>
      </c>
      <c r="GC3">
        <v>429.40000000089998</v>
      </c>
      <c r="GD3">
        <v>434.19999999970003</v>
      </c>
      <c r="GE3">
        <v>439.00000000030002</v>
      </c>
      <c r="GF3">
        <v>443.69999999980001</v>
      </c>
      <c r="GG3">
        <v>448.39999999930001</v>
      </c>
      <c r="GH3">
        <v>452.90000000020001</v>
      </c>
      <c r="GI3">
        <v>457.09999999960002</v>
      </c>
      <c r="GJ3">
        <v>461.40000000010002</v>
      </c>
      <c r="GK3">
        <v>465.29999999979998</v>
      </c>
      <c r="GL3">
        <v>467.00000000059998</v>
      </c>
      <c r="GM3">
        <v>467.09999999979999</v>
      </c>
      <c r="GN3">
        <v>467.09999999979999</v>
      </c>
      <c r="GO3">
        <v>467.20000000099998</v>
      </c>
      <c r="GP3">
        <v>467.20000000099998</v>
      </c>
      <c r="GQ3">
        <v>467.30000000029997</v>
      </c>
      <c r="GR3">
        <v>467.30000000029997</v>
      </c>
      <c r="GS3">
        <v>467.30000000029997</v>
      </c>
      <c r="GT3">
        <v>467.39999999949998</v>
      </c>
      <c r="GU3">
        <v>467.39999999949998</v>
      </c>
      <c r="GV3">
        <v>467.39999999949998</v>
      </c>
      <c r="GW3">
        <v>1</v>
      </c>
      <c r="GX3">
        <v>117.2999999999</v>
      </c>
      <c r="GY3">
        <v>115.4999999999</v>
      </c>
      <c r="GZ3">
        <v>115.4999999999</v>
      </c>
      <c r="HA3">
        <v>129.80000000059999</v>
      </c>
      <c r="HB3">
        <v>119.25244972199999</v>
      </c>
      <c r="HC3">
        <v>-14.300000000700001</v>
      </c>
      <c r="HD3">
        <v>467.39999999949998</v>
      </c>
      <c r="HE3">
        <v>286.48140778779998</v>
      </c>
      <c r="HF3">
        <v>101.23271287919999</v>
      </c>
      <c r="HG3">
        <v>467.39999999949998</v>
      </c>
      <c r="HH3">
        <v>467.39999999949998</v>
      </c>
      <c r="HI3">
        <v>467.39999999949998</v>
      </c>
      <c r="HJ3">
        <v>467.39999999949998</v>
      </c>
      <c r="HK3">
        <v>119.6480938416</v>
      </c>
      <c r="HL3">
        <v>3.3409027671999998</v>
      </c>
      <c r="HM3">
        <v>3.2215935131000002</v>
      </c>
      <c r="HN3">
        <v>3.2656001653</v>
      </c>
      <c r="HO3">
        <v>3.1379577305000002</v>
      </c>
      <c r="HP3">
        <v>3.5277892375</v>
      </c>
      <c r="HQ3">
        <v>2.2685703164</v>
      </c>
      <c r="HR3">
        <v>18.0197368428</v>
      </c>
      <c r="HS3">
        <v>-30.4985337243</v>
      </c>
      <c r="HT3">
        <v>-208</v>
      </c>
      <c r="HU3">
        <v>405.73385750969999</v>
      </c>
      <c r="HV3">
        <v>89.149560117299998</v>
      </c>
      <c r="HW3">
        <v>608</v>
      </c>
      <c r="HX3">
        <v>18.0197368428</v>
      </c>
      <c r="HY3">
        <v>-30.4985337243</v>
      </c>
      <c r="HZ3">
        <v>-208</v>
      </c>
      <c r="IA3">
        <v>405.73385750969999</v>
      </c>
      <c r="IB3">
        <v>89.149560117299998</v>
      </c>
      <c r="IC3">
        <v>608</v>
      </c>
      <c r="ID3">
        <v>61.666142489800002</v>
      </c>
      <c r="IE3">
        <v>1.9779631999999998E-2</v>
      </c>
      <c r="IF3">
        <v>-39.8826979472</v>
      </c>
      <c r="IG3">
        <v>-272</v>
      </c>
      <c r="IH3">
        <v>428.01864570049997</v>
      </c>
      <c r="II3">
        <v>98.533724340199996</v>
      </c>
      <c r="IJ3">
        <v>672</v>
      </c>
      <c r="IK3">
        <v>387.71412066689999</v>
      </c>
      <c r="IL3">
        <v>119.6480938416</v>
      </c>
      <c r="IM3">
        <v>411.91309370890002</v>
      </c>
      <c r="IN3">
        <v>129.03225806450001</v>
      </c>
      <c r="IO3">
        <v>6.4000000002000004</v>
      </c>
      <c r="IP3">
        <v>6.0999999987000004</v>
      </c>
      <c r="IQ3">
        <v>8.4000000006000004</v>
      </c>
      <c r="IR3">
        <v>5.6471781574</v>
      </c>
      <c r="IS3">
        <v>5.6471781574</v>
      </c>
      <c r="IT3">
        <v>11.5999999998</v>
      </c>
      <c r="IU3">
        <v>-32.844574780099997</v>
      </c>
      <c r="IV3">
        <v>15.4000000002</v>
      </c>
      <c r="IW3">
        <v>51.612903225799997</v>
      </c>
      <c r="IX3">
        <v>15.5999999988</v>
      </c>
      <c r="IY3">
        <v>93.841642228699996</v>
      </c>
      <c r="IZ3">
        <v>-36.321501238800003</v>
      </c>
      <c r="JA3">
        <v>0.3375162558</v>
      </c>
      <c r="JB3">
        <v>-3.6055249999999999E-4</v>
      </c>
      <c r="JC3">
        <v>7.1630000000000003E-7</v>
      </c>
      <c r="JD3">
        <v>0.29932029449999997</v>
      </c>
      <c r="JE3">
        <v>0.14610222379999999</v>
      </c>
      <c r="JF3">
        <v>6.2273533999999998E-2</v>
      </c>
      <c r="JG3">
        <v>119.6435474508</v>
      </c>
      <c r="JH3">
        <v>3.5277892375</v>
      </c>
      <c r="JI3">
        <v>2.9616938999999999E-3</v>
      </c>
      <c r="JJ3">
        <v>-7.4960800000000002E-5</v>
      </c>
      <c r="JK3">
        <v>3.3409027671999998</v>
      </c>
      <c r="JL3">
        <v>1.1628926412</v>
      </c>
      <c r="JM3">
        <v>0.46296305770000001</v>
      </c>
      <c r="JN3" t="s">
        <v>538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537</v>
      </c>
      <c r="H4" t="s">
        <v>216</v>
      </c>
      <c r="J4" t="s">
        <v>550</v>
      </c>
      <c r="K4" t="s">
        <v>551</v>
      </c>
      <c r="L4" t="s">
        <v>552</v>
      </c>
      <c r="M4" t="s">
        <v>553</v>
      </c>
      <c r="N4" t="s">
        <v>554</v>
      </c>
      <c r="O4">
        <v>0</v>
      </c>
      <c r="P4">
        <v>0</v>
      </c>
      <c r="Q4">
        <v>0</v>
      </c>
      <c r="R4">
        <v>0.20000000039999999</v>
      </c>
      <c r="S4">
        <v>0.29999999970000002</v>
      </c>
      <c r="T4">
        <v>0.20000000039999999</v>
      </c>
      <c r="U4">
        <v>0.29999999970000002</v>
      </c>
      <c r="V4">
        <v>0.20000000039999999</v>
      </c>
      <c r="W4">
        <v>0.20000000039999999</v>
      </c>
      <c r="X4">
        <v>0.20000000039999999</v>
      </c>
      <c r="Y4">
        <v>0.20000000039999999</v>
      </c>
      <c r="Z4">
        <v>0.20000000039999999</v>
      </c>
      <c r="AA4">
        <v>0.20000000039999999</v>
      </c>
      <c r="AB4">
        <v>0.20000000039999999</v>
      </c>
      <c r="AC4">
        <v>0.29999999970000002</v>
      </c>
      <c r="AD4">
        <v>0.29999999970000002</v>
      </c>
      <c r="AE4">
        <v>0.29999999970000002</v>
      </c>
      <c r="AF4">
        <v>0.29999999970000002</v>
      </c>
      <c r="AG4">
        <v>1.7000000007</v>
      </c>
      <c r="AH4">
        <v>4.8999999999000003</v>
      </c>
      <c r="AI4">
        <v>9</v>
      </c>
      <c r="AJ4">
        <v>14.9000000001</v>
      </c>
      <c r="AK4">
        <v>21.800000000400001</v>
      </c>
      <c r="AL4">
        <v>28.299999999899999</v>
      </c>
      <c r="AM4">
        <v>35.700000000400003</v>
      </c>
      <c r="AN4">
        <v>43.4000000005</v>
      </c>
      <c r="AO4">
        <v>51.6000000007</v>
      </c>
      <c r="AP4">
        <v>58.9</v>
      </c>
      <c r="AQ4">
        <v>66.099999999999994</v>
      </c>
      <c r="AR4">
        <v>73.700000000800003</v>
      </c>
      <c r="AS4">
        <v>81.299999999799994</v>
      </c>
      <c r="AT4">
        <v>89.5</v>
      </c>
      <c r="AU4">
        <v>97.900000000700004</v>
      </c>
      <c r="AV4">
        <v>106.4999999999</v>
      </c>
      <c r="AW4">
        <v>114.3000000011</v>
      </c>
      <c r="AX4">
        <v>122.50000000129999</v>
      </c>
      <c r="AY4">
        <v>130.30000000070001</v>
      </c>
      <c r="AZ4">
        <v>138.5000000009</v>
      </c>
      <c r="BA4">
        <v>147.20000000120001</v>
      </c>
      <c r="BB4">
        <v>155.80000000050001</v>
      </c>
      <c r="BC4">
        <v>163.59999999990001</v>
      </c>
      <c r="BD4">
        <v>171.7000000008</v>
      </c>
      <c r="BE4">
        <v>179.5000000002</v>
      </c>
      <c r="BF4">
        <v>187.4000000007</v>
      </c>
      <c r="BG4">
        <v>195.80000000129999</v>
      </c>
      <c r="BH4">
        <v>204.4000000005</v>
      </c>
      <c r="BI4">
        <v>212.60000000069999</v>
      </c>
      <c r="BJ4">
        <v>220.1999999997</v>
      </c>
      <c r="BK4">
        <v>227.80000000059999</v>
      </c>
      <c r="BL4">
        <v>235.4000000014</v>
      </c>
      <c r="BM4">
        <v>243.50000000049999</v>
      </c>
      <c r="BN4">
        <v>251.400000001</v>
      </c>
      <c r="BO4">
        <v>259.70000000049998</v>
      </c>
      <c r="BP4">
        <v>267.10000000090002</v>
      </c>
      <c r="BQ4">
        <v>274.6999999999</v>
      </c>
      <c r="BR4">
        <v>281.70000000139999</v>
      </c>
      <c r="BS4">
        <v>288.80000000029997</v>
      </c>
      <c r="BT4">
        <v>296.3</v>
      </c>
      <c r="BU4">
        <v>303.6000000011</v>
      </c>
      <c r="BV4">
        <v>311.20000000009998</v>
      </c>
      <c r="BW4">
        <v>318.10000000039997</v>
      </c>
      <c r="BX4">
        <v>324.89999999960003</v>
      </c>
      <c r="BY4">
        <v>331.29999999979998</v>
      </c>
      <c r="BZ4">
        <v>337.60000000069999</v>
      </c>
      <c r="CA4">
        <v>344.4</v>
      </c>
      <c r="CB4">
        <v>351.00000000059998</v>
      </c>
      <c r="CC4">
        <v>357.90000000089998</v>
      </c>
      <c r="CD4">
        <v>364.49999999969998</v>
      </c>
      <c r="CE4">
        <v>370.5000000009</v>
      </c>
      <c r="CF4">
        <v>376.20000000060003</v>
      </c>
      <c r="CG4">
        <v>381.60000000060001</v>
      </c>
      <c r="CH4">
        <v>387.6</v>
      </c>
      <c r="CI4">
        <v>393.60000000119999</v>
      </c>
      <c r="CJ4">
        <v>399.30000000090001</v>
      </c>
      <c r="CK4">
        <v>404.90000000139997</v>
      </c>
      <c r="CL4">
        <v>411.00000000009999</v>
      </c>
      <c r="CM4">
        <v>416.69999999980001</v>
      </c>
      <c r="CN4">
        <v>422.00000000049999</v>
      </c>
      <c r="CO4">
        <v>426.7</v>
      </c>
      <c r="CP4">
        <v>431.40000000129999</v>
      </c>
      <c r="CQ4">
        <v>436.70000000020002</v>
      </c>
      <c r="CR4">
        <v>442.0000000009</v>
      </c>
      <c r="CS4">
        <v>445.30000000119998</v>
      </c>
      <c r="CT4">
        <v>446.2999999996</v>
      </c>
      <c r="CU4">
        <v>446.7000000004</v>
      </c>
      <c r="CV4">
        <v>446.7000000004</v>
      </c>
      <c r="CW4">
        <v>446.6000000011</v>
      </c>
      <c r="CX4">
        <v>446.6000000011</v>
      </c>
      <c r="CY4">
        <v>446.4000000007</v>
      </c>
      <c r="CZ4">
        <v>446.2999999996</v>
      </c>
      <c r="DA4">
        <v>446.2999999996</v>
      </c>
      <c r="DB4">
        <v>446.20000000030001</v>
      </c>
      <c r="DC4">
        <v>446.20000000030001</v>
      </c>
      <c r="DD4">
        <v>446.10000000100001</v>
      </c>
      <c r="DE4">
        <v>446.10000000100001</v>
      </c>
      <c r="DF4">
        <v>445.99999999990001</v>
      </c>
      <c r="DG4">
        <v>0.90000000089999999</v>
      </c>
      <c r="DH4">
        <v>1.2000000006</v>
      </c>
      <c r="DI4">
        <v>1.2000000006</v>
      </c>
      <c r="DJ4">
        <v>1.2000000006</v>
      </c>
      <c r="DK4">
        <v>1.2000000006</v>
      </c>
      <c r="DL4">
        <v>1.2000000006</v>
      </c>
      <c r="DM4">
        <v>1.1000000013</v>
      </c>
      <c r="DN4">
        <v>1.2000000006</v>
      </c>
      <c r="DO4">
        <v>1.1000000013</v>
      </c>
      <c r="DP4">
        <v>1.1000000013</v>
      </c>
      <c r="DQ4">
        <v>1.1000000013</v>
      </c>
      <c r="DR4">
        <v>1.1000000013</v>
      </c>
      <c r="DS4">
        <v>1.1000000013</v>
      </c>
      <c r="DT4">
        <v>1.2000000006</v>
      </c>
      <c r="DU4">
        <v>1.7000000007</v>
      </c>
      <c r="DV4">
        <v>4.0000000008000001</v>
      </c>
      <c r="DW4">
        <v>7.8000000011999999</v>
      </c>
      <c r="DX4">
        <v>13.1000000001</v>
      </c>
      <c r="DY4">
        <v>19.8</v>
      </c>
      <c r="DZ4">
        <v>26.6000000011</v>
      </c>
      <c r="EA4">
        <v>33.999999999700002</v>
      </c>
      <c r="EB4">
        <v>41.900000000200002</v>
      </c>
      <c r="EC4">
        <v>49.800000000700003</v>
      </c>
      <c r="ED4">
        <v>57.200000001100001</v>
      </c>
      <c r="EE4">
        <v>64.400000001099997</v>
      </c>
      <c r="EF4">
        <v>71.700000000399996</v>
      </c>
      <c r="EG4">
        <v>79.200000000100005</v>
      </c>
      <c r="EH4">
        <v>87.7</v>
      </c>
      <c r="EI4">
        <v>96.300000001100003</v>
      </c>
      <c r="EJ4">
        <v>104.3000000009</v>
      </c>
      <c r="EK4">
        <v>112.000000001</v>
      </c>
      <c r="EL4">
        <v>119.70000000109999</v>
      </c>
      <c r="EM4">
        <v>127.7000000009</v>
      </c>
      <c r="EN4">
        <v>136.3000000001</v>
      </c>
      <c r="EO4">
        <v>145.2000000008</v>
      </c>
      <c r="EP4">
        <v>153.9000000012</v>
      </c>
      <c r="EQ4">
        <v>161.900000001</v>
      </c>
      <c r="ER4">
        <v>169.79999999969999</v>
      </c>
      <c r="ES4">
        <v>177.6000000009</v>
      </c>
      <c r="ET4">
        <v>185.7</v>
      </c>
      <c r="EU4">
        <v>194.60000000069999</v>
      </c>
      <c r="EV4">
        <v>203.300000001</v>
      </c>
      <c r="EW4">
        <v>211.40000000009999</v>
      </c>
      <c r="EX4">
        <v>219.10000000030001</v>
      </c>
      <c r="EY4">
        <v>226.70000000109999</v>
      </c>
      <c r="EZ4">
        <v>234.4000000012</v>
      </c>
      <c r="FA4">
        <v>242.70000000069999</v>
      </c>
      <c r="FB4">
        <v>251.1000000013</v>
      </c>
      <c r="FC4">
        <v>259.40000000079999</v>
      </c>
      <c r="FD4">
        <v>266.90000000049997</v>
      </c>
      <c r="FE4">
        <v>274.10000000050002</v>
      </c>
      <c r="FF4">
        <v>281.2000000013</v>
      </c>
      <c r="FG4">
        <v>288.90000000139997</v>
      </c>
      <c r="FH4">
        <v>297.00000000049999</v>
      </c>
      <c r="FI4">
        <v>305.00000000030002</v>
      </c>
      <c r="FJ4">
        <v>311.99999999990001</v>
      </c>
      <c r="FK4">
        <v>318.80000000090001</v>
      </c>
      <c r="FL4">
        <v>325.39999999970001</v>
      </c>
      <c r="FM4">
        <v>331.79999999990002</v>
      </c>
      <c r="FN4">
        <v>338.80000000140001</v>
      </c>
      <c r="FO4">
        <v>345.50000000130001</v>
      </c>
      <c r="FP4">
        <v>352.80000000059999</v>
      </c>
      <c r="FQ4">
        <v>359.80000000019999</v>
      </c>
      <c r="FR4">
        <v>365.9000000007</v>
      </c>
      <c r="FS4">
        <v>371.50000000109998</v>
      </c>
      <c r="FT4">
        <v>377.3000000001</v>
      </c>
      <c r="FU4">
        <v>383.40000000060002</v>
      </c>
      <c r="FV4">
        <v>389.50000000109998</v>
      </c>
      <c r="FW4">
        <v>395.3000000001</v>
      </c>
      <c r="FX4">
        <v>401.20000000020002</v>
      </c>
      <c r="FY4">
        <v>407.40000000010002</v>
      </c>
      <c r="FZ4">
        <v>413.50000000059998</v>
      </c>
      <c r="GA4">
        <v>418.60000000090002</v>
      </c>
      <c r="GB4">
        <v>423.1</v>
      </c>
      <c r="GC4">
        <v>427.80000000130002</v>
      </c>
      <c r="GD4">
        <v>432.80000000050001</v>
      </c>
      <c r="GE4">
        <v>437.7000000004</v>
      </c>
      <c r="GF4">
        <v>442.50000000099999</v>
      </c>
      <c r="GG4">
        <v>445.30000000119998</v>
      </c>
      <c r="GH4">
        <v>446.10000000100001</v>
      </c>
      <c r="GI4">
        <v>446.5</v>
      </c>
      <c r="GJ4">
        <v>446.4000000007</v>
      </c>
      <c r="GK4">
        <v>446.2999999996</v>
      </c>
      <c r="GL4">
        <v>446.2999999996</v>
      </c>
      <c r="GM4">
        <v>446.20000000030001</v>
      </c>
      <c r="GN4">
        <v>446.20000000030001</v>
      </c>
      <c r="GO4">
        <v>446.20000000030001</v>
      </c>
      <c r="GP4">
        <v>446.10000000100001</v>
      </c>
      <c r="GQ4">
        <v>446.10000000100001</v>
      </c>
      <c r="GR4">
        <v>446.10000000100001</v>
      </c>
      <c r="GS4">
        <v>446.10000000100001</v>
      </c>
      <c r="GT4">
        <v>445.99999999990001</v>
      </c>
      <c r="GU4">
        <v>445.99999999990001</v>
      </c>
      <c r="GV4">
        <v>445.99999999990001</v>
      </c>
      <c r="GW4">
        <v>1</v>
      </c>
      <c r="GX4">
        <v>120.3999999998</v>
      </c>
      <c r="GY4">
        <v>114.3000000011</v>
      </c>
      <c r="GZ4">
        <v>114.3000000011</v>
      </c>
      <c r="HA4">
        <v>127.7000000009</v>
      </c>
      <c r="HB4">
        <v>117.9313549843</v>
      </c>
      <c r="HC4">
        <v>-13.3999999998</v>
      </c>
      <c r="HD4">
        <v>445.99999999990001</v>
      </c>
      <c r="HE4">
        <v>281.68172452319999</v>
      </c>
      <c r="HF4">
        <v>95.369025756599996</v>
      </c>
      <c r="HG4">
        <v>446.7000000004</v>
      </c>
      <c r="HH4">
        <v>446.49838745800002</v>
      </c>
      <c r="HI4">
        <v>446.7000000004</v>
      </c>
      <c r="HJ4">
        <v>446.5</v>
      </c>
      <c r="HK4">
        <v>110.26392961880001</v>
      </c>
      <c r="HL4">
        <v>3.3744962528000002</v>
      </c>
      <c r="HM4">
        <v>3.2439360860000002</v>
      </c>
      <c r="HN4">
        <v>3.294746629</v>
      </c>
      <c r="HO4">
        <v>3.2358966046000002</v>
      </c>
      <c r="HP4">
        <v>3.5683415889000001</v>
      </c>
      <c r="HQ4">
        <v>2.3219767049</v>
      </c>
      <c r="HR4">
        <v>22.562329227700001</v>
      </c>
      <c r="HS4">
        <v>-28.152492668600001</v>
      </c>
      <c r="HT4">
        <v>-192</v>
      </c>
      <c r="HU4">
        <v>399.6130795075</v>
      </c>
      <c r="HV4">
        <v>86.803519061599999</v>
      </c>
      <c r="HW4">
        <v>592</v>
      </c>
      <c r="HX4">
        <v>22.562329227700001</v>
      </c>
      <c r="HY4">
        <v>-28.152492668600001</v>
      </c>
      <c r="HZ4">
        <v>-192</v>
      </c>
      <c r="IA4">
        <v>399.6130795075</v>
      </c>
      <c r="IB4">
        <v>86.803519061599999</v>
      </c>
      <c r="IC4">
        <v>592</v>
      </c>
      <c r="ID4">
        <v>46.8853079505</v>
      </c>
      <c r="IE4">
        <v>1.7648936178000001</v>
      </c>
      <c r="IF4">
        <v>-37.536656891500002</v>
      </c>
      <c r="IG4">
        <v>-256</v>
      </c>
      <c r="IH4">
        <v>422.30191489359999</v>
      </c>
      <c r="II4">
        <v>96.187683284499997</v>
      </c>
      <c r="IJ4">
        <v>656</v>
      </c>
      <c r="IK4">
        <v>377.05075027980001</v>
      </c>
      <c r="IL4">
        <v>114.9560117302</v>
      </c>
      <c r="IM4">
        <v>402.8763941775</v>
      </c>
      <c r="IN4">
        <v>124.3401759531</v>
      </c>
      <c r="IO4">
        <v>6.9000000003000004</v>
      </c>
      <c r="IP4">
        <v>6.1999999998000002</v>
      </c>
      <c r="IQ4">
        <v>8.9000000007000004</v>
      </c>
      <c r="IR4">
        <v>5.3894519355000003</v>
      </c>
      <c r="IS4">
        <v>5.3894519355000003</v>
      </c>
      <c r="IT4">
        <v>11.700000000899999</v>
      </c>
      <c r="IU4">
        <v>-30.4985337243</v>
      </c>
      <c r="IV4">
        <v>16.2</v>
      </c>
      <c r="IW4">
        <v>51.612903225799997</v>
      </c>
      <c r="IX4">
        <v>13.699999999499999</v>
      </c>
      <c r="IY4">
        <v>93.841642228699996</v>
      </c>
      <c r="IZ4">
        <v>-35.362353888599998</v>
      </c>
      <c r="JA4">
        <v>0.3308812216</v>
      </c>
      <c r="JB4">
        <v>-3.4430570000000001E-4</v>
      </c>
      <c r="JC4">
        <v>7.0220000000000003E-7</v>
      </c>
      <c r="JD4">
        <v>0.29634052760000001</v>
      </c>
      <c r="JE4">
        <v>0.28629050150000002</v>
      </c>
      <c r="JF4">
        <v>0.10069954840000001</v>
      </c>
      <c r="JG4">
        <v>118.2761862948</v>
      </c>
      <c r="JH4">
        <v>3.5683415889000001</v>
      </c>
      <c r="JI4">
        <v>2.7002165999999998E-3</v>
      </c>
      <c r="JJ4">
        <v>-7.5875899999999996E-5</v>
      </c>
      <c r="JK4">
        <v>3.3744962528000002</v>
      </c>
      <c r="JL4">
        <v>0.91077125560000005</v>
      </c>
      <c r="JM4">
        <v>0.39211121999999998</v>
      </c>
      <c r="JN4" t="s">
        <v>538</v>
      </c>
      <c r="JQ4">
        <v>1</v>
      </c>
    </row>
    <row r="5" spans="1:277">
      <c r="A5" t="s">
        <v>570</v>
      </c>
      <c r="B5" t="s">
        <v>571</v>
      </c>
      <c r="C5" t="s">
        <v>212</v>
      </c>
      <c r="D5">
        <v>3</v>
      </c>
      <c r="E5" t="s">
        <v>213</v>
      </c>
      <c r="F5" t="s">
        <v>214</v>
      </c>
      <c r="G5" t="s">
        <v>537</v>
      </c>
      <c r="H5" t="s">
        <v>216</v>
      </c>
      <c r="J5" t="s">
        <v>565</v>
      </c>
      <c r="K5" t="s">
        <v>566</v>
      </c>
      <c r="L5" t="s">
        <v>567</v>
      </c>
      <c r="M5" t="s">
        <v>568</v>
      </c>
      <c r="N5" t="s">
        <v>569</v>
      </c>
      <c r="O5">
        <v>0</v>
      </c>
      <c r="P5">
        <v>0</v>
      </c>
      <c r="Q5">
        <v>2.2000000007999998</v>
      </c>
      <c r="R5">
        <v>2.5000000005</v>
      </c>
      <c r="S5">
        <v>2.5999999998000001</v>
      </c>
      <c r="T5">
        <v>2.5999999998000001</v>
      </c>
      <c r="U5">
        <v>2.5999999998000001</v>
      </c>
      <c r="V5">
        <v>2.5999999998000001</v>
      </c>
      <c r="W5">
        <v>2.7000000008999998</v>
      </c>
      <c r="X5">
        <v>2.7000000008999998</v>
      </c>
      <c r="Y5">
        <v>2.7000000008999998</v>
      </c>
      <c r="Z5">
        <v>2.5999999998000001</v>
      </c>
      <c r="AA5">
        <v>2.5000000005</v>
      </c>
      <c r="AB5">
        <v>2.4000000012</v>
      </c>
      <c r="AC5">
        <v>2.0999999997000001</v>
      </c>
      <c r="AD5">
        <v>1.8</v>
      </c>
      <c r="AE5">
        <v>1.2999999999</v>
      </c>
      <c r="AF5">
        <v>0.50000000010000001</v>
      </c>
      <c r="AG5">
        <v>0</v>
      </c>
      <c r="AH5">
        <v>0.50000000010000001</v>
      </c>
      <c r="AI5">
        <v>1.7000000007</v>
      </c>
      <c r="AJ5">
        <v>2.8000000001999998</v>
      </c>
      <c r="AK5">
        <v>5.1999999996000001</v>
      </c>
      <c r="AL5">
        <v>9.9000000009000004</v>
      </c>
      <c r="AM5">
        <v>16.499999999700002</v>
      </c>
      <c r="AN5">
        <v>23.699999999700001</v>
      </c>
      <c r="AO5">
        <v>31.300000000600001</v>
      </c>
      <c r="AP5">
        <v>38.700000000999999</v>
      </c>
      <c r="AQ5">
        <v>46.3</v>
      </c>
      <c r="AR5">
        <v>53.799999999699999</v>
      </c>
      <c r="AS5">
        <v>61.300000001199997</v>
      </c>
      <c r="AT5">
        <v>68.800000000899999</v>
      </c>
      <c r="AU5">
        <v>76.800000000699995</v>
      </c>
      <c r="AV5">
        <v>85.000000000900002</v>
      </c>
      <c r="AW5">
        <v>93.0000000008</v>
      </c>
      <c r="AX5">
        <v>101.5000000007</v>
      </c>
      <c r="AY5">
        <v>109.5999999998</v>
      </c>
      <c r="AZ5">
        <v>117.400000001</v>
      </c>
      <c r="BA5">
        <v>125.40000000080001</v>
      </c>
      <c r="BB5">
        <v>134.1000000011</v>
      </c>
      <c r="BC5">
        <v>142.20000000019999</v>
      </c>
      <c r="BD5">
        <v>150.19999999999999</v>
      </c>
      <c r="BE5">
        <v>158.300000001</v>
      </c>
      <c r="BF5">
        <v>166.1000000004</v>
      </c>
      <c r="BG5">
        <v>174.0000000009</v>
      </c>
      <c r="BH5">
        <v>182.50000000079999</v>
      </c>
      <c r="BI5">
        <v>190.8000000003</v>
      </c>
      <c r="BJ5">
        <v>198.40000000110001</v>
      </c>
      <c r="BK5">
        <v>206.29999999980001</v>
      </c>
      <c r="BL5">
        <v>214.1000000011</v>
      </c>
      <c r="BM5">
        <v>221.40000000040001</v>
      </c>
      <c r="BN5">
        <v>229.40000000020001</v>
      </c>
      <c r="BO5">
        <v>237.50000000110001</v>
      </c>
      <c r="BP5">
        <v>245.00000000079999</v>
      </c>
      <c r="BQ5">
        <v>252.2000000008</v>
      </c>
      <c r="BR5">
        <v>259.60000000119999</v>
      </c>
      <c r="BS5">
        <v>266.90000000049997</v>
      </c>
      <c r="BT5">
        <v>273.90000000010002</v>
      </c>
      <c r="BU5">
        <v>281.30000000059999</v>
      </c>
      <c r="BV5">
        <v>288.80000000029997</v>
      </c>
      <c r="BW5">
        <v>295.60000000129997</v>
      </c>
      <c r="BX5">
        <v>302.40000000049997</v>
      </c>
      <c r="BY5">
        <v>309.10000000039997</v>
      </c>
      <c r="BZ5">
        <v>315.80000000029997</v>
      </c>
      <c r="CA5">
        <v>322.10000000119999</v>
      </c>
      <c r="CB5">
        <v>328.60000000069999</v>
      </c>
      <c r="CC5">
        <v>335.39999999989999</v>
      </c>
      <c r="CD5">
        <v>341.90000000129999</v>
      </c>
      <c r="CE5">
        <v>347.9000000007</v>
      </c>
      <c r="CF5">
        <v>353.90000000010002</v>
      </c>
      <c r="CG5">
        <v>359.90000000129999</v>
      </c>
      <c r="CH5">
        <v>365.7999999996</v>
      </c>
      <c r="CI5">
        <v>371.4</v>
      </c>
      <c r="CJ5">
        <v>377.00000000040001</v>
      </c>
      <c r="CK5">
        <v>382.80000000119998</v>
      </c>
      <c r="CL5">
        <v>388.6000000002</v>
      </c>
      <c r="CM5">
        <v>394.00000000019998</v>
      </c>
      <c r="CN5">
        <v>399.30000000090001</v>
      </c>
      <c r="CO5">
        <v>404.59999999979999</v>
      </c>
      <c r="CP5">
        <v>409.70000000020002</v>
      </c>
      <c r="CQ5">
        <v>414.8999999998</v>
      </c>
      <c r="CR5">
        <v>419.79999999969999</v>
      </c>
      <c r="CS5">
        <v>424.2000000013</v>
      </c>
      <c r="CT5">
        <v>428.2999999996</v>
      </c>
      <c r="CU5">
        <v>432.60000000010001</v>
      </c>
      <c r="CV5">
        <v>436.99999999990001</v>
      </c>
      <c r="CW5">
        <v>441.1</v>
      </c>
      <c r="CX5">
        <v>442.60000000029999</v>
      </c>
      <c r="CY5">
        <v>442.69999999959998</v>
      </c>
      <c r="CZ5">
        <v>442.60000000029999</v>
      </c>
      <c r="DA5">
        <v>442.60000000029999</v>
      </c>
      <c r="DB5">
        <v>442.60000000029999</v>
      </c>
      <c r="DC5">
        <v>442.69999999959998</v>
      </c>
      <c r="DD5">
        <v>442.60000000029999</v>
      </c>
      <c r="DE5">
        <v>442.69999999959998</v>
      </c>
      <c r="DF5">
        <v>442.60000000029999</v>
      </c>
      <c r="DG5">
        <v>3.2000000009999998</v>
      </c>
      <c r="DH5">
        <v>3.7000000010999998</v>
      </c>
      <c r="DI5">
        <v>3.8000000003999999</v>
      </c>
      <c r="DJ5">
        <v>3.8000000003999999</v>
      </c>
      <c r="DK5">
        <v>3.7000000010999998</v>
      </c>
      <c r="DL5">
        <v>3.7000000010999998</v>
      </c>
      <c r="DM5">
        <v>3.8000000003999999</v>
      </c>
      <c r="DN5">
        <v>3.7000000010999998</v>
      </c>
      <c r="DO5">
        <v>3.6</v>
      </c>
      <c r="DP5">
        <v>3.6</v>
      </c>
      <c r="DQ5">
        <v>3.3999999995999999</v>
      </c>
      <c r="DR5">
        <v>3.0999999999000001</v>
      </c>
      <c r="DS5">
        <v>2.5999999998000001</v>
      </c>
      <c r="DT5">
        <v>1.9000000011</v>
      </c>
      <c r="DU5">
        <v>1.0999999995</v>
      </c>
      <c r="DV5">
        <v>0.79999999980000003</v>
      </c>
      <c r="DW5">
        <v>1.7000000007</v>
      </c>
      <c r="DX5">
        <v>2.8000000001999998</v>
      </c>
      <c r="DY5">
        <v>4.0000000008000001</v>
      </c>
      <c r="DZ5">
        <v>8.1000000008999997</v>
      </c>
      <c r="EA5">
        <v>14.699999999699999</v>
      </c>
      <c r="EB5">
        <v>21.800000000400001</v>
      </c>
      <c r="EC5">
        <v>29.5000000006</v>
      </c>
      <c r="ED5">
        <v>37.000000000299998</v>
      </c>
      <c r="EE5">
        <v>44.400000000699997</v>
      </c>
      <c r="EF5">
        <v>51.900000000399999</v>
      </c>
      <c r="EG5">
        <v>59.4000000001</v>
      </c>
      <c r="EH5">
        <v>66.800000000500006</v>
      </c>
      <c r="EI5">
        <v>74.599999999900007</v>
      </c>
      <c r="EJ5">
        <v>82.700000000800003</v>
      </c>
      <c r="EK5">
        <v>90.799999999899995</v>
      </c>
      <c r="EL5">
        <v>99.000000000200004</v>
      </c>
      <c r="EM5">
        <v>107.40000000080001</v>
      </c>
      <c r="EN5">
        <v>115.4000000006</v>
      </c>
      <c r="EO5">
        <v>123.3000000011</v>
      </c>
      <c r="EP5">
        <v>131.9000000003</v>
      </c>
      <c r="EQ5">
        <v>140.19999999980001</v>
      </c>
      <c r="ER5">
        <v>148.19999999960001</v>
      </c>
      <c r="ES5">
        <v>156.3999999998</v>
      </c>
      <c r="ET5">
        <v>164.39999999969999</v>
      </c>
      <c r="EU5">
        <v>172.40000000129999</v>
      </c>
      <c r="EV5">
        <v>180.9000000012</v>
      </c>
      <c r="EW5">
        <v>189.40000000110001</v>
      </c>
      <c r="EX5">
        <v>197.20000000050001</v>
      </c>
      <c r="EY5">
        <v>205.10000000100001</v>
      </c>
      <c r="EZ5">
        <v>212.99999999970001</v>
      </c>
      <c r="FA5">
        <v>220.60000000060001</v>
      </c>
      <c r="FB5">
        <v>228.50000000110001</v>
      </c>
      <c r="FC5">
        <v>236.89999999989999</v>
      </c>
      <c r="FD5">
        <v>244.6</v>
      </c>
      <c r="FE5">
        <v>252.0999999997</v>
      </c>
      <c r="FF5">
        <v>259.70000000049998</v>
      </c>
      <c r="FG5">
        <v>267.20000000020002</v>
      </c>
      <c r="FH5">
        <v>274.40000000020001</v>
      </c>
      <c r="FI5">
        <v>282.00000000109998</v>
      </c>
      <c r="FJ5">
        <v>289.60000000010001</v>
      </c>
      <c r="FK5">
        <v>296.5999999997</v>
      </c>
      <c r="FL5">
        <v>303.5</v>
      </c>
      <c r="FM5">
        <v>310.4000000003</v>
      </c>
      <c r="FN5">
        <v>317.1000000002</v>
      </c>
      <c r="FO5">
        <v>323.5999999997</v>
      </c>
      <c r="FP5">
        <v>330.20000000030001</v>
      </c>
      <c r="FQ5">
        <v>336.99999999950001</v>
      </c>
      <c r="FR5">
        <v>343.6000000002</v>
      </c>
      <c r="FS5">
        <v>349.59999999960002</v>
      </c>
      <c r="FT5">
        <v>355.90000000049997</v>
      </c>
      <c r="FU5">
        <v>361.89999999989999</v>
      </c>
      <c r="FV5">
        <v>367.8</v>
      </c>
      <c r="FW5">
        <v>373.49999999969998</v>
      </c>
      <c r="FX5">
        <v>379.20000000120001</v>
      </c>
      <c r="FY5">
        <v>385.09999999950003</v>
      </c>
      <c r="FZ5">
        <v>391.10000000069999</v>
      </c>
      <c r="GA5">
        <v>396.30000000029997</v>
      </c>
      <c r="GB5">
        <v>401.40000000060002</v>
      </c>
      <c r="GC5">
        <v>406.60000000029999</v>
      </c>
      <c r="GD5">
        <v>411.70000000060003</v>
      </c>
      <c r="GE5">
        <v>416.60000000050002</v>
      </c>
      <c r="GF5">
        <v>421.09999999960002</v>
      </c>
      <c r="GG5">
        <v>425.40000000010002</v>
      </c>
      <c r="GH5">
        <v>429.29999999979998</v>
      </c>
      <c r="GI5">
        <v>433.39999999989999</v>
      </c>
      <c r="GJ5">
        <v>437.4000000007</v>
      </c>
      <c r="GK5">
        <v>440.89999999960003</v>
      </c>
      <c r="GL5">
        <v>442.39999999989999</v>
      </c>
      <c r="GM5">
        <v>442.50000000099999</v>
      </c>
      <c r="GN5">
        <v>442.50000000099999</v>
      </c>
      <c r="GO5">
        <v>442.60000000029999</v>
      </c>
      <c r="GP5">
        <v>442.50000000099999</v>
      </c>
      <c r="GQ5">
        <v>442.60000000029999</v>
      </c>
      <c r="GR5">
        <v>442.60000000029999</v>
      </c>
      <c r="GS5">
        <v>442.69999999959998</v>
      </c>
      <c r="GT5">
        <v>442.69999999959998</v>
      </c>
      <c r="GU5">
        <v>442.60000000029999</v>
      </c>
      <c r="GV5">
        <v>442.69999999959998</v>
      </c>
      <c r="GW5">
        <v>1</v>
      </c>
      <c r="GX5">
        <v>97.400000000600002</v>
      </c>
      <c r="GY5">
        <v>93.0000000008</v>
      </c>
      <c r="GZ5">
        <v>93.0000000008</v>
      </c>
      <c r="HA5">
        <v>107.40000000080001</v>
      </c>
      <c r="HB5">
        <v>96.259272645899998</v>
      </c>
      <c r="HC5">
        <v>-14.4</v>
      </c>
      <c r="HD5">
        <v>442.69998870529997</v>
      </c>
      <c r="HE5">
        <v>292.97272419239999</v>
      </c>
      <c r="HF5">
        <v>79.083871697399999</v>
      </c>
      <c r="HG5">
        <v>442.69999999959998</v>
      </c>
      <c r="HH5">
        <v>442.69999999959998</v>
      </c>
      <c r="HI5">
        <v>442.69999999959998</v>
      </c>
      <c r="HJ5">
        <v>442.69999999959998</v>
      </c>
      <c r="HK5">
        <v>119.6480938416</v>
      </c>
      <c r="HL5">
        <v>3.3196564005</v>
      </c>
      <c r="HM5">
        <v>3.2012377940999999</v>
      </c>
      <c r="HN5">
        <v>3.2561889922999998</v>
      </c>
      <c r="HO5">
        <v>3.2898077195000002</v>
      </c>
      <c r="HP5">
        <v>3.5275650937999998</v>
      </c>
      <c r="HQ5">
        <v>2.2551646411999999</v>
      </c>
      <c r="HR5">
        <v>17.175400948499998</v>
      </c>
      <c r="HS5">
        <v>-23.460410557199999</v>
      </c>
      <c r="HT5">
        <v>-160</v>
      </c>
      <c r="HU5">
        <v>389.23199683830001</v>
      </c>
      <c r="HV5">
        <v>91.495601172999997</v>
      </c>
      <c r="HW5">
        <v>624</v>
      </c>
      <c r="HX5">
        <v>17.175400948499998</v>
      </c>
      <c r="HY5">
        <v>-23.460410557199999</v>
      </c>
      <c r="HZ5">
        <v>-160</v>
      </c>
      <c r="IA5">
        <v>389.23199683830001</v>
      </c>
      <c r="IB5">
        <v>91.495601172999997</v>
      </c>
      <c r="IC5">
        <v>624</v>
      </c>
      <c r="ID5">
        <v>53.468003161299997</v>
      </c>
      <c r="IE5">
        <v>1.7148068676999999</v>
      </c>
      <c r="IF5">
        <v>-32.844574780099997</v>
      </c>
      <c r="IG5">
        <v>-224</v>
      </c>
      <c r="IH5">
        <v>410.6580302694</v>
      </c>
      <c r="II5">
        <v>100.87976539589999</v>
      </c>
      <c r="IJ5">
        <v>688</v>
      </c>
      <c r="IK5">
        <v>372.05659588980001</v>
      </c>
      <c r="IL5">
        <v>114.9560117302</v>
      </c>
      <c r="IM5">
        <v>394.6073074327</v>
      </c>
      <c r="IN5">
        <v>124.3401759531</v>
      </c>
      <c r="IO5">
        <v>7.1000000006999997</v>
      </c>
      <c r="IP5">
        <v>6.0000000012000001</v>
      </c>
      <c r="IQ5">
        <v>8.7000000002999993</v>
      </c>
      <c r="IR5">
        <v>6.4215728654999999</v>
      </c>
      <c r="IS5">
        <v>6.4215728654999999</v>
      </c>
      <c r="IT5">
        <v>11.8999999995</v>
      </c>
      <c r="IU5">
        <v>-25.806451612899998</v>
      </c>
      <c r="IV5">
        <v>15.699999999899999</v>
      </c>
      <c r="IW5">
        <v>53.958944281500003</v>
      </c>
      <c r="IX5">
        <v>12.800000000400001</v>
      </c>
      <c r="IY5">
        <v>96.187683284499997</v>
      </c>
      <c r="IZ5">
        <v>-28.929851429399999</v>
      </c>
      <c r="JA5">
        <v>0.3245215085</v>
      </c>
      <c r="JB5">
        <v>-3.1810029999999997E-4</v>
      </c>
      <c r="JC5">
        <v>7.1760000000000002E-7</v>
      </c>
      <c r="JD5">
        <v>0.3012359953</v>
      </c>
      <c r="JE5">
        <v>0.1456461761</v>
      </c>
      <c r="JF5">
        <v>6.5493533000000007E-2</v>
      </c>
      <c r="JG5">
        <v>96.771610395400003</v>
      </c>
      <c r="JH5">
        <v>3.5275650937999998</v>
      </c>
      <c r="JI5">
        <v>2.6140312999999998E-3</v>
      </c>
      <c r="JJ5">
        <v>-6.9710999999999997E-5</v>
      </c>
      <c r="JK5">
        <v>3.3196564005</v>
      </c>
      <c r="JL5">
        <v>1.2156390802999999</v>
      </c>
      <c r="JM5">
        <v>0.41891442020000003</v>
      </c>
      <c r="JN5" t="s">
        <v>538</v>
      </c>
      <c r="JQ5">
        <v>1</v>
      </c>
    </row>
    <row r="6" spans="1:277">
      <c r="A6" t="s">
        <v>585</v>
      </c>
      <c r="B6" t="s">
        <v>586</v>
      </c>
      <c r="C6" t="s">
        <v>212</v>
      </c>
      <c r="D6">
        <v>3</v>
      </c>
      <c r="E6" t="s">
        <v>213</v>
      </c>
      <c r="F6" t="s">
        <v>214</v>
      </c>
      <c r="G6" t="s">
        <v>537</v>
      </c>
      <c r="H6" t="s">
        <v>216</v>
      </c>
      <c r="J6" t="s">
        <v>577</v>
      </c>
      <c r="K6" t="s">
        <v>578</v>
      </c>
      <c r="L6" t="s">
        <v>579</v>
      </c>
      <c r="M6" t="s">
        <v>580</v>
      </c>
      <c r="N6" t="s">
        <v>581</v>
      </c>
      <c r="O6">
        <v>0</v>
      </c>
      <c r="P6">
        <v>0</v>
      </c>
      <c r="Q6">
        <v>0.80000000159999995</v>
      </c>
      <c r="R6">
        <v>0.1000000011</v>
      </c>
      <c r="S6">
        <v>0.1000000011</v>
      </c>
      <c r="T6">
        <v>0.1000000011</v>
      </c>
      <c r="U6">
        <v>0.1000000011</v>
      </c>
      <c r="V6">
        <v>0</v>
      </c>
      <c r="W6">
        <v>0</v>
      </c>
      <c r="X6">
        <v>0</v>
      </c>
      <c r="Y6">
        <v>0.1000000011</v>
      </c>
      <c r="Z6">
        <v>0.1000000011</v>
      </c>
      <c r="AA6">
        <v>0.20000000039999999</v>
      </c>
      <c r="AB6">
        <v>0.20000000039999999</v>
      </c>
      <c r="AC6">
        <v>0.1000000011</v>
      </c>
      <c r="AD6">
        <v>0.1000000011</v>
      </c>
      <c r="AE6">
        <v>0.1000000011</v>
      </c>
      <c r="AF6">
        <v>0.20000000039999999</v>
      </c>
      <c r="AG6">
        <v>0.3000000015</v>
      </c>
      <c r="AH6">
        <v>2.6000000016000002</v>
      </c>
      <c r="AI6">
        <v>7.9000000005000004</v>
      </c>
      <c r="AJ6">
        <v>14.5000000011</v>
      </c>
      <c r="AK6">
        <v>20.800000000200001</v>
      </c>
      <c r="AL6">
        <v>27.100000001200002</v>
      </c>
      <c r="AM6">
        <v>34.4000000005</v>
      </c>
      <c r="AN6">
        <v>41.600000000500003</v>
      </c>
      <c r="AO6">
        <v>49.000000000900002</v>
      </c>
      <c r="AP6">
        <v>56.500000000599996</v>
      </c>
      <c r="AQ6">
        <v>64.3</v>
      </c>
      <c r="AR6">
        <v>71.5</v>
      </c>
      <c r="AS6">
        <v>78.600000000700007</v>
      </c>
      <c r="AT6">
        <v>86.500000001299995</v>
      </c>
      <c r="AU6">
        <v>94.200000001399999</v>
      </c>
      <c r="AV6">
        <v>102.2000000012</v>
      </c>
      <c r="AW6">
        <v>110.6</v>
      </c>
      <c r="AX6">
        <v>119.3000000003</v>
      </c>
      <c r="AY6">
        <v>126.9000000011</v>
      </c>
      <c r="AZ6">
        <v>134.90000000090001</v>
      </c>
      <c r="BA6">
        <v>143.1000000011</v>
      </c>
      <c r="BB6">
        <v>151.00000000169999</v>
      </c>
      <c r="BC6">
        <v>159.2000000001</v>
      </c>
      <c r="BD6">
        <v>167.60000000069999</v>
      </c>
      <c r="BE6">
        <v>175.1000000004</v>
      </c>
      <c r="BF6">
        <v>182.70000000120001</v>
      </c>
      <c r="BG6">
        <v>190.9000000014</v>
      </c>
      <c r="BH6">
        <v>198.8000000001</v>
      </c>
      <c r="BI6">
        <v>206.900000001</v>
      </c>
      <c r="BJ6">
        <v>215.00000000009999</v>
      </c>
      <c r="BK6">
        <v>222.70000000030001</v>
      </c>
      <c r="BL6">
        <v>230.0000000014</v>
      </c>
      <c r="BM6">
        <v>237.6000000004</v>
      </c>
      <c r="BN6">
        <v>245.40000000160001</v>
      </c>
      <c r="BO6">
        <v>253.10000000170001</v>
      </c>
      <c r="BP6">
        <v>260.8</v>
      </c>
      <c r="BQ6">
        <v>268.60000000119999</v>
      </c>
      <c r="BR6">
        <v>275.70000000009998</v>
      </c>
      <c r="BS6">
        <v>282.60000000050002</v>
      </c>
      <c r="BT6">
        <v>289.90000000160001</v>
      </c>
      <c r="BU6">
        <v>297.00000000049999</v>
      </c>
      <c r="BV6">
        <v>304.10000000119999</v>
      </c>
      <c r="BW6">
        <v>311.20000000009998</v>
      </c>
      <c r="BX6">
        <v>318.30000000080003</v>
      </c>
      <c r="BY6">
        <v>325.10000000000002</v>
      </c>
      <c r="BZ6">
        <v>331.10000000119999</v>
      </c>
      <c r="CA6">
        <v>337.7</v>
      </c>
      <c r="CB6">
        <v>344.4</v>
      </c>
      <c r="CC6">
        <v>350.80000000019999</v>
      </c>
      <c r="CD6">
        <v>357.1000000011</v>
      </c>
      <c r="CE6">
        <v>363.40000000020001</v>
      </c>
      <c r="CF6">
        <v>369.70000000110002</v>
      </c>
      <c r="CG6">
        <v>375.80000000159998</v>
      </c>
      <c r="CH6">
        <v>381.10000000050002</v>
      </c>
      <c r="CI6">
        <v>386.70000000089999</v>
      </c>
      <c r="CJ6">
        <v>392.70000000030001</v>
      </c>
      <c r="CK6">
        <v>398.4</v>
      </c>
      <c r="CL6">
        <v>404.00000000049999</v>
      </c>
      <c r="CM6">
        <v>409.40000000049997</v>
      </c>
      <c r="CN6">
        <v>414.90000000160001</v>
      </c>
      <c r="CO6">
        <v>420.30000000159998</v>
      </c>
      <c r="CP6">
        <v>425.70000000160002</v>
      </c>
      <c r="CQ6">
        <v>430.3</v>
      </c>
      <c r="CR6">
        <v>435.10000000060001</v>
      </c>
      <c r="CS6">
        <v>440.30000000019999</v>
      </c>
      <c r="CT6">
        <v>445.40000000049997</v>
      </c>
      <c r="CU6">
        <v>450.20000000110002</v>
      </c>
      <c r="CV6">
        <v>454.80000000130002</v>
      </c>
      <c r="CW6">
        <v>456.50000000019998</v>
      </c>
      <c r="CX6">
        <v>456.50000000019998</v>
      </c>
      <c r="CY6">
        <v>456.50000000019998</v>
      </c>
      <c r="CZ6">
        <v>456.60000000129997</v>
      </c>
      <c r="DA6">
        <v>456.60000000129997</v>
      </c>
      <c r="DB6">
        <v>456.50000000019998</v>
      </c>
      <c r="DC6">
        <v>456.60000000129997</v>
      </c>
      <c r="DD6">
        <v>456.60000000129997</v>
      </c>
      <c r="DE6">
        <v>456.60000000129997</v>
      </c>
      <c r="DF6">
        <v>456.60000000129997</v>
      </c>
      <c r="DG6">
        <v>1.5000000003</v>
      </c>
      <c r="DH6">
        <v>1.0000000002</v>
      </c>
      <c r="DI6">
        <v>0.90000000089999999</v>
      </c>
      <c r="DJ6">
        <v>0.90000000089999999</v>
      </c>
      <c r="DK6">
        <v>1.0000000002</v>
      </c>
      <c r="DL6">
        <v>1.0000000002</v>
      </c>
      <c r="DM6">
        <v>1.0000000002</v>
      </c>
      <c r="DN6">
        <v>1.0000000002</v>
      </c>
      <c r="DO6">
        <v>0.90000000089999999</v>
      </c>
      <c r="DP6">
        <v>1.0000000002</v>
      </c>
      <c r="DQ6">
        <v>1.0000000002</v>
      </c>
      <c r="DR6">
        <v>1.2000000006</v>
      </c>
      <c r="DS6">
        <v>1.400000001</v>
      </c>
      <c r="DT6">
        <v>1.6000000014</v>
      </c>
      <c r="DU6">
        <v>1.5000000003</v>
      </c>
      <c r="DV6">
        <v>2.2000000007999998</v>
      </c>
      <c r="DW6">
        <v>6.3000000008999999</v>
      </c>
      <c r="DX6">
        <v>13.1000000001</v>
      </c>
      <c r="DY6">
        <v>19.700000000700001</v>
      </c>
      <c r="DZ6">
        <v>26.000000001699998</v>
      </c>
      <c r="EA6">
        <v>33.100000000599998</v>
      </c>
      <c r="EB6">
        <v>40.300000000600001</v>
      </c>
      <c r="EC6">
        <v>47.700000000999999</v>
      </c>
      <c r="ED6">
        <v>55.100000001399998</v>
      </c>
      <c r="EE6">
        <v>62.700000000400003</v>
      </c>
      <c r="EF6">
        <v>70.100000000799994</v>
      </c>
      <c r="EG6">
        <v>77.100000000400001</v>
      </c>
      <c r="EH6">
        <v>84.800000000500006</v>
      </c>
      <c r="EI6">
        <v>92.599999999900007</v>
      </c>
      <c r="EJ6">
        <v>100.4000000012</v>
      </c>
      <c r="EK6">
        <v>108.400000001</v>
      </c>
      <c r="EL6">
        <v>116.90000000089999</v>
      </c>
      <c r="EM6">
        <v>125.1000000011</v>
      </c>
      <c r="EN6">
        <v>132.9000000005</v>
      </c>
      <c r="EO6">
        <v>141.19999999999999</v>
      </c>
      <c r="EP6">
        <v>149.2000000017</v>
      </c>
      <c r="EQ6">
        <v>157.3000000008</v>
      </c>
      <c r="ER6">
        <v>165.70000000140001</v>
      </c>
      <c r="ES6">
        <v>173.60000000010001</v>
      </c>
      <c r="ET6">
        <v>181.10000000159999</v>
      </c>
      <c r="EU6">
        <v>189.3</v>
      </c>
      <c r="EV6">
        <v>197.5000000002</v>
      </c>
      <c r="EW6">
        <v>205.6000000011</v>
      </c>
      <c r="EX6">
        <v>213.70000000019999</v>
      </c>
      <c r="EY6">
        <v>221.8000000012</v>
      </c>
      <c r="EZ6">
        <v>229.10000000049999</v>
      </c>
      <c r="FA6">
        <v>236.90000000169999</v>
      </c>
      <c r="FB6">
        <v>244.90000000149999</v>
      </c>
      <c r="FC6">
        <v>252.70000000089999</v>
      </c>
      <c r="FD6">
        <v>260.50000000030002</v>
      </c>
      <c r="FE6">
        <v>268.50000000009999</v>
      </c>
      <c r="FF6">
        <v>275.80000000130002</v>
      </c>
      <c r="FG6">
        <v>282.80000000090001</v>
      </c>
      <c r="FH6">
        <v>290.2000000013</v>
      </c>
      <c r="FI6">
        <v>297.60000000169998</v>
      </c>
      <c r="FJ6">
        <v>304.80000000170003</v>
      </c>
      <c r="FK6">
        <v>312.00000000170002</v>
      </c>
      <c r="FL6">
        <v>319.2000000017</v>
      </c>
      <c r="FM6">
        <v>326.1000000002</v>
      </c>
      <c r="FN6">
        <v>332.3</v>
      </c>
      <c r="FO6">
        <v>339.1000000011</v>
      </c>
      <c r="FP6">
        <v>345.9000000003</v>
      </c>
      <c r="FQ6">
        <v>352.40000000160001</v>
      </c>
      <c r="FR6">
        <v>358.8</v>
      </c>
      <c r="FS6">
        <v>365.20000000020002</v>
      </c>
      <c r="FT6">
        <v>371.60000000039997</v>
      </c>
      <c r="FU6">
        <v>377.50000000049999</v>
      </c>
      <c r="FV6">
        <v>383.00000000159997</v>
      </c>
      <c r="FW6">
        <v>388.89999999989999</v>
      </c>
      <c r="FX6">
        <v>394.8</v>
      </c>
      <c r="FY6">
        <v>400.60000000079998</v>
      </c>
      <c r="FZ6">
        <v>406.40000000169999</v>
      </c>
      <c r="GA6">
        <v>411.80000000170003</v>
      </c>
      <c r="GB6">
        <v>417.2000000017</v>
      </c>
      <c r="GC6">
        <v>422.70000000099998</v>
      </c>
      <c r="GD6">
        <v>427.70000000020002</v>
      </c>
      <c r="GE6">
        <v>432.30000000040002</v>
      </c>
      <c r="GF6">
        <v>437.10000000100001</v>
      </c>
      <c r="GG6">
        <v>442.0000000009</v>
      </c>
      <c r="GH6">
        <v>446.7000000004</v>
      </c>
      <c r="GI6">
        <v>451.0000000009</v>
      </c>
      <c r="GJ6">
        <v>454.80000000130002</v>
      </c>
      <c r="GK6">
        <v>456.40000000089998</v>
      </c>
      <c r="GL6">
        <v>456.40000000089998</v>
      </c>
      <c r="GM6">
        <v>456.40000000089998</v>
      </c>
      <c r="GN6">
        <v>456.50000000019998</v>
      </c>
      <c r="GO6">
        <v>456.40000000089998</v>
      </c>
      <c r="GP6">
        <v>456.50000000019998</v>
      </c>
      <c r="GQ6">
        <v>456.50000000019998</v>
      </c>
      <c r="GR6">
        <v>456.50000000019998</v>
      </c>
      <c r="GS6">
        <v>456.60000000129997</v>
      </c>
      <c r="GT6">
        <v>456.60000000129997</v>
      </c>
      <c r="GU6">
        <v>456.60000000129997</v>
      </c>
      <c r="GV6">
        <v>456.60000000129997</v>
      </c>
      <c r="GW6">
        <v>1</v>
      </c>
      <c r="GX6">
        <v>116.7000000005</v>
      </c>
      <c r="GY6">
        <v>110.6</v>
      </c>
      <c r="GZ6">
        <v>110.6</v>
      </c>
      <c r="HA6">
        <v>125.1000000011</v>
      </c>
      <c r="HB6">
        <v>114.3424989052</v>
      </c>
      <c r="HC6">
        <v>-14.5000000011</v>
      </c>
      <c r="HD6">
        <v>456.60000000129997</v>
      </c>
      <c r="HE6">
        <v>290.34575120580001</v>
      </c>
      <c r="HF6">
        <v>99.332479193099999</v>
      </c>
      <c r="HG6">
        <v>456.60000000129997</v>
      </c>
      <c r="HH6">
        <v>456.60000000129997</v>
      </c>
      <c r="HI6">
        <v>456.60000000129997</v>
      </c>
      <c r="HJ6">
        <v>456.60000000129997</v>
      </c>
      <c r="HK6">
        <v>117.3020527859</v>
      </c>
      <c r="HL6">
        <v>3.2965857979000002</v>
      </c>
      <c r="HM6">
        <v>3.1704600104999998</v>
      </c>
      <c r="HN6">
        <v>3.2189745606</v>
      </c>
      <c r="HO6">
        <v>3.0933795299</v>
      </c>
      <c r="HP6">
        <v>3.4755449574999999</v>
      </c>
      <c r="HQ6">
        <v>2.2430294015999999</v>
      </c>
      <c r="HR6">
        <v>15.0100197121</v>
      </c>
      <c r="HS6">
        <v>-30.4985337243</v>
      </c>
      <c r="HT6">
        <v>-208</v>
      </c>
      <c r="HU6">
        <v>404.688250111</v>
      </c>
      <c r="HV6">
        <v>91.495601172999997</v>
      </c>
      <c r="HW6">
        <v>624</v>
      </c>
      <c r="HX6">
        <v>15.0100197121</v>
      </c>
      <c r="HY6">
        <v>-30.4985337243</v>
      </c>
      <c r="HZ6">
        <v>-208</v>
      </c>
      <c r="IA6">
        <v>404.688250111</v>
      </c>
      <c r="IB6">
        <v>91.495601172999997</v>
      </c>
      <c r="IC6">
        <v>624</v>
      </c>
      <c r="ID6">
        <v>51.911749890300001</v>
      </c>
      <c r="IE6">
        <v>0.20525624219999999</v>
      </c>
      <c r="IF6">
        <v>-39.8826979472</v>
      </c>
      <c r="IG6">
        <v>-272</v>
      </c>
      <c r="IH6">
        <v>426.71042487979997</v>
      </c>
      <c r="II6">
        <v>100.87976539589999</v>
      </c>
      <c r="IJ6">
        <v>688</v>
      </c>
      <c r="IK6">
        <v>389.67823039889998</v>
      </c>
      <c r="IL6">
        <v>121.9941348974</v>
      </c>
      <c r="IM6">
        <v>413.08965177390002</v>
      </c>
      <c r="IN6">
        <v>131.37829912020001</v>
      </c>
      <c r="IO6">
        <v>6.7999999991999998</v>
      </c>
      <c r="IP6">
        <v>5.5000000011000001</v>
      </c>
      <c r="IQ6">
        <v>8.7000000002999993</v>
      </c>
      <c r="IR6">
        <v>5.5741057749999996</v>
      </c>
      <c r="IS6">
        <v>5.5741057749999996</v>
      </c>
      <c r="IT6">
        <v>11.800000000200001</v>
      </c>
      <c r="IU6">
        <v>-32.844574780099997</v>
      </c>
      <c r="IV6">
        <v>15.3999999984</v>
      </c>
      <c r="IW6">
        <v>42.228739002899999</v>
      </c>
      <c r="IX6">
        <v>13.300000000500001</v>
      </c>
      <c r="IY6">
        <v>98.533724340199996</v>
      </c>
      <c r="IZ6">
        <v>-35.211815878300001</v>
      </c>
      <c r="JA6">
        <v>0.3395760773</v>
      </c>
      <c r="JB6">
        <v>-3.547418E-4</v>
      </c>
      <c r="JC6">
        <v>7.1470000000000001E-7</v>
      </c>
      <c r="JD6">
        <v>0.3033441449</v>
      </c>
      <c r="JE6">
        <v>0.30625476839999999</v>
      </c>
      <c r="JF6">
        <v>9.9250650600000004E-2</v>
      </c>
      <c r="JG6">
        <v>114.63187664660001</v>
      </c>
      <c r="JH6">
        <v>3.4755449574999999</v>
      </c>
      <c r="JI6">
        <v>3.0151357999999998E-3</v>
      </c>
      <c r="JJ6">
        <v>-7.1045399999999996E-5</v>
      </c>
      <c r="JK6">
        <v>3.2965857979000002</v>
      </c>
      <c r="JL6">
        <v>1.5571529719999999</v>
      </c>
      <c r="JM6">
        <v>0.51578542859999998</v>
      </c>
      <c r="JN6" t="s">
        <v>538</v>
      </c>
      <c r="JQ6">
        <v>1</v>
      </c>
    </row>
    <row r="7" spans="1:277">
      <c r="A7" t="s">
        <v>604</v>
      </c>
      <c r="B7" t="s">
        <v>605</v>
      </c>
      <c r="C7" t="s">
        <v>212</v>
      </c>
      <c r="D7">
        <v>3</v>
      </c>
      <c r="E7" t="s">
        <v>213</v>
      </c>
      <c r="F7" t="s">
        <v>214</v>
      </c>
      <c r="G7" t="s">
        <v>537</v>
      </c>
      <c r="H7" t="s">
        <v>216</v>
      </c>
      <c r="J7" t="s">
        <v>589</v>
      </c>
      <c r="K7" t="s">
        <v>590</v>
      </c>
      <c r="L7" t="s">
        <v>591</v>
      </c>
      <c r="M7" t="s">
        <v>592</v>
      </c>
      <c r="N7" t="s">
        <v>593</v>
      </c>
      <c r="O7">
        <v>0</v>
      </c>
      <c r="P7">
        <v>0</v>
      </c>
      <c r="Q7">
        <v>2.8999999994999999</v>
      </c>
      <c r="R7">
        <v>0.79999999980000003</v>
      </c>
      <c r="S7">
        <v>0.79999999980000003</v>
      </c>
      <c r="T7">
        <v>0.7000000005</v>
      </c>
      <c r="U7">
        <v>0.79999999980000003</v>
      </c>
      <c r="V7">
        <v>0.79999999980000003</v>
      </c>
      <c r="W7">
        <v>0.7000000005</v>
      </c>
      <c r="X7">
        <v>0.79999999980000003</v>
      </c>
      <c r="Y7">
        <v>1.0000000002</v>
      </c>
      <c r="Z7">
        <v>0.89999999909999995</v>
      </c>
      <c r="AA7">
        <v>0.89999999909999995</v>
      </c>
      <c r="AB7">
        <v>0.79999999980000003</v>
      </c>
      <c r="AC7">
        <v>0.79999999980000003</v>
      </c>
      <c r="AD7">
        <v>0.79999999980000003</v>
      </c>
      <c r="AE7">
        <v>0.7000000005</v>
      </c>
      <c r="AF7">
        <v>0.7000000005</v>
      </c>
      <c r="AG7">
        <v>0.50000000010000001</v>
      </c>
      <c r="AH7">
        <v>0</v>
      </c>
      <c r="AI7">
        <v>3.0000000006</v>
      </c>
      <c r="AJ7">
        <v>9.5999999993999996</v>
      </c>
      <c r="AK7">
        <v>16.799999999400001</v>
      </c>
      <c r="AL7">
        <v>23.9999999994</v>
      </c>
      <c r="AM7">
        <v>31.800000000699999</v>
      </c>
      <c r="AN7">
        <v>39.800000000499999</v>
      </c>
      <c r="AO7">
        <v>47.000000000500002</v>
      </c>
      <c r="AP7">
        <v>54.500000000199996</v>
      </c>
      <c r="AQ7">
        <v>62.700000000400003</v>
      </c>
      <c r="AR7">
        <v>70.799999999500002</v>
      </c>
      <c r="AS7">
        <v>79.200000000100005</v>
      </c>
      <c r="AT7">
        <v>87.7</v>
      </c>
      <c r="AU7">
        <v>95.799999999099995</v>
      </c>
      <c r="AV7">
        <v>103.90000000009999</v>
      </c>
      <c r="AW7">
        <v>112.6999999997</v>
      </c>
      <c r="AX7">
        <v>121.9999999994</v>
      </c>
      <c r="AY7">
        <v>130.90000000009999</v>
      </c>
      <c r="AZ7">
        <v>139.79999999899999</v>
      </c>
      <c r="BA7">
        <v>148.10000000030001</v>
      </c>
      <c r="BB7">
        <v>156.30000000059999</v>
      </c>
      <c r="BC7">
        <v>165.30000000059999</v>
      </c>
      <c r="BD7">
        <v>173.9999999991</v>
      </c>
      <c r="BE7">
        <v>182.69999999940001</v>
      </c>
      <c r="BF7">
        <v>191.49999999900001</v>
      </c>
      <c r="BG7">
        <v>199.8000000003</v>
      </c>
      <c r="BH7">
        <v>208.50000000060001</v>
      </c>
      <c r="BI7">
        <v>217.09999999979999</v>
      </c>
      <c r="BJ7">
        <v>225.39999999939999</v>
      </c>
      <c r="BK7">
        <v>233.89999999930001</v>
      </c>
      <c r="BL7">
        <v>242.2999999999</v>
      </c>
      <c r="BM7">
        <v>250.2000000004</v>
      </c>
      <c r="BN7">
        <v>257.90000000049997</v>
      </c>
      <c r="BO7">
        <v>266.40000000039998</v>
      </c>
      <c r="BP7">
        <v>274.49999999950001</v>
      </c>
      <c r="BQ7">
        <v>282.60000000050002</v>
      </c>
      <c r="BR7">
        <v>290.69999999959998</v>
      </c>
      <c r="BS7">
        <v>298.49999999900001</v>
      </c>
      <c r="BT7">
        <v>305.699999999</v>
      </c>
      <c r="BU7">
        <v>313.39999999909998</v>
      </c>
      <c r="BV7">
        <v>320.99999999990001</v>
      </c>
      <c r="BW7">
        <v>328.49999999959999</v>
      </c>
      <c r="BX7">
        <v>335.79999999889998</v>
      </c>
      <c r="BY7">
        <v>343.30000000050001</v>
      </c>
      <c r="BZ7">
        <v>350.00000000040001</v>
      </c>
      <c r="CA7">
        <v>356.59999999920001</v>
      </c>
      <c r="CB7">
        <v>363.6999999999</v>
      </c>
      <c r="CC7">
        <v>370.4999999991</v>
      </c>
      <c r="CD7">
        <v>377.199999999</v>
      </c>
      <c r="CE7">
        <v>383.70000000030001</v>
      </c>
      <c r="CF7">
        <v>390.40000000020001</v>
      </c>
      <c r="CG7">
        <v>396.89999999970001</v>
      </c>
      <c r="CH7">
        <v>402.70000000060003</v>
      </c>
      <c r="CI7">
        <v>408.60000000069999</v>
      </c>
      <c r="CJ7">
        <v>414.8999999998</v>
      </c>
      <c r="CK7">
        <v>420.89999999920002</v>
      </c>
      <c r="CL7">
        <v>426.79999999929998</v>
      </c>
      <c r="CM7">
        <v>432.39999999970001</v>
      </c>
      <c r="CN7">
        <v>438.29999999979998</v>
      </c>
      <c r="CO7">
        <v>443.99999999950001</v>
      </c>
      <c r="CP7">
        <v>449.59999999989998</v>
      </c>
      <c r="CQ7">
        <v>454.70000000020002</v>
      </c>
      <c r="CR7">
        <v>459.69999999940001</v>
      </c>
      <c r="CS7">
        <v>463.40000000049997</v>
      </c>
      <c r="CT7">
        <v>465.50000000019998</v>
      </c>
      <c r="CU7">
        <v>466.19999999890001</v>
      </c>
      <c r="CV7">
        <v>466.3</v>
      </c>
      <c r="CW7">
        <v>466.39999999930001</v>
      </c>
      <c r="CX7">
        <v>466.39999999930001</v>
      </c>
      <c r="CY7">
        <v>466.39999999930001</v>
      </c>
      <c r="CZ7">
        <v>466.39999999930001</v>
      </c>
      <c r="DA7">
        <v>466.39999999930001</v>
      </c>
      <c r="DB7">
        <v>466.39999999930001</v>
      </c>
      <c r="DC7">
        <v>466.39999999930001</v>
      </c>
      <c r="DD7">
        <v>466.50000000049999</v>
      </c>
      <c r="DE7">
        <v>466.50000000049999</v>
      </c>
      <c r="DF7">
        <v>466.50000000049999</v>
      </c>
      <c r="DG7">
        <v>3.3000000002999998</v>
      </c>
      <c r="DH7">
        <v>3.3000000002999998</v>
      </c>
      <c r="DI7">
        <v>3.1999999992000001</v>
      </c>
      <c r="DJ7">
        <v>3.3999999995999999</v>
      </c>
      <c r="DK7">
        <v>3.3999999995999999</v>
      </c>
      <c r="DL7">
        <v>3.3000000002999998</v>
      </c>
      <c r="DM7">
        <v>3.3999999995999999</v>
      </c>
      <c r="DN7">
        <v>3.8999999996999999</v>
      </c>
      <c r="DO7">
        <v>3.0999999999000001</v>
      </c>
      <c r="DP7">
        <v>1.5999999996000001</v>
      </c>
      <c r="DQ7">
        <v>1.2000000006</v>
      </c>
      <c r="DR7">
        <v>1.2999999999</v>
      </c>
      <c r="DS7">
        <v>1.2000000006</v>
      </c>
      <c r="DT7">
        <v>1.2000000006</v>
      </c>
      <c r="DU7">
        <v>1.0999999995</v>
      </c>
      <c r="DV7">
        <v>1.0000000002</v>
      </c>
      <c r="DW7">
        <v>1.6999999989000001</v>
      </c>
      <c r="DX7">
        <v>6.9999999996</v>
      </c>
      <c r="DY7">
        <v>14.6000000004</v>
      </c>
      <c r="DZ7">
        <v>22.1000000001</v>
      </c>
      <c r="EA7">
        <v>29.699999999100001</v>
      </c>
      <c r="EB7">
        <v>37.5000000004</v>
      </c>
      <c r="EC7">
        <v>44.899999999000002</v>
      </c>
      <c r="ED7">
        <v>52.200000000099998</v>
      </c>
      <c r="EE7">
        <v>60.199999999900001</v>
      </c>
      <c r="EF7">
        <v>68.400000000099993</v>
      </c>
      <c r="EG7">
        <v>76.699999999599996</v>
      </c>
      <c r="EH7">
        <v>85.300000000599994</v>
      </c>
      <c r="EI7">
        <v>93.600000000199998</v>
      </c>
      <c r="EJ7">
        <v>101.1999999992</v>
      </c>
      <c r="EK7">
        <v>109.8000000002</v>
      </c>
      <c r="EL7">
        <v>118.8999999995</v>
      </c>
      <c r="EM7">
        <v>128.09999999990001</v>
      </c>
      <c r="EN7">
        <v>137.1999999992</v>
      </c>
      <c r="EO7">
        <v>145.80000000019999</v>
      </c>
      <c r="EP7">
        <v>153.69999999890001</v>
      </c>
      <c r="EQ7">
        <v>162.39999999930001</v>
      </c>
      <c r="ER7">
        <v>171.50000000040001</v>
      </c>
      <c r="ES7">
        <v>180.19999999890001</v>
      </c>
      <c r="ET7">
        <v>189.19999999890001</v>
      </c>
      <c r="EU7">
        <v>197.7000000006</v>
      </c>
      <c r="EV7">
        <v>205.7000000004</v>
      </c>
      <c r="EW7">
        <v>214.3999999989</v>
      </c>
      <c r="EX7">
        <v>223.2000000004</v>
      </c>
      <c r="EY7">
        <v>231.59999999920001</v>
      </c>
      <c r="EZ7">
        <v>240.40000000059999</v>
      </c>
      <c r="FA7">
        <v>248.7000000001</v>
      </c>
      <c r="FB7">
        <v>256.29999999910001</v>
      </c>
      <c r="FC7">
        <v>264.49999999929997</v>
      </c>
      <c r="FD7">
        <v>273.10000000029999</v>
      </c>
      <c r="FE7">
        <v>281.19999999940001</v>
      </c>
      <c r="FF7">
        <v>289.39999999970001</v>
      </c>
      <c r="FG7">
        <v>297.30000000019999</v>
      </c>
      <c r="FH7">
        <v>304.50000000019998</v>
      </c>
      <c r="FI7">
        <v>312.09999999920001</v>
      </c>
      <c r="FJ7">
        <v>319.99999999969998</v>
      </c>
      <c r="FK7">
        <v>327.49999999940002</v>
      </c>
      <c r="FL7">
        <v>334.9999999991</v>
      </c>
      <c r="FM7">
        <v>342.50000000070003</v>
      </c>
      <c r="FN7">
        <v>349.59999999960002</v>
      </c>
      <c r="FO7">
        <v>356.09999999910002</v>
      </c>
      <c r="FP7">
        <v>363.19999999980001</v>
      </c>
      <c r="FQ7">
        <v>370.10000000010001</v>
      </c>
      <c r="FR7">
        <v>376.89999999930001</v>
      </c>
      <c r="FS7">
        <v>383.40000000060002</v>
      </c>
      <c r="FT7">
        <v>390.19999999980001</v>
      </c>
      <c r="FU7">
        <v>396.80000000040002</v>
      </c>
      <c r="FV7">
        <v>402.79999999979998</v>
      </c>
      <c r="FW7">
        <v>408.60000000069999</v>
      </c>
      <c r="FX7">
        <v>414.80000000050001</v>
      </c>
      <c r="FY7">
        <v>420.89999999920002</v>
      </c>
      <c r="FZ7">
        <v>426.7</v>
      </c>
      <c r="GA7">
        <v>432.30000000040002</v>
      </c>
      <c r="GB7">
        <v>438.00000000009999</v>
      </c>
      <c r="GC7">
        <v>443.69999999980001</v>
      </c>
      <c r="GD7">
        <v>449.19999999909999</v>
      </c>
      <c r="GE7">
        <v>454.20000000009998</v>
      </c>
      <c r="GF7">
        <v>458.59999999989998</v>
      </c>
      <c r="GG7">
        <v>462.4000000003</v>
      </c>
      <c r="GH7">
        <v>465.00000000009999</v>
      </c>
      <c r="GI7">
        <v>466.09999999960002</v>
      </c>
      <c r="GJ7">
        <v>466.19999999890001</v>
      </c>
      <c r="GK7">
        <v>466.19999999890001</v>
      </c>
      <c r="GL7">
        <v>466.19999999890001</v>
      </c>
      <c r="GM7">
        <v>466.3</v>
      </c>
      <c r="GN7">
        <v>466.19999999890001</v>
      </c>
      <c r="GO7">
        <v>466.19999999890001</v>
      </c>
      <c r="GP7">
        <v>466.3</v>
      </c>
      <c r="GQ7">
        <v>466.3</v>
      </c>
      <c r="GR7">
        <v>466.3</v>
      </c>
      <c r="GS7">
        <v>466.3</v>
      </c>
      <c r="GT7">
        <v>466.39999999930001</v>
      </c>
      <c r="GU7">
        <v>466.50000000049999</v>
      </c>
      <c r="GV7">
        <v>466.50000000049999</v>
      </c>
      <c r="GW7">
        <v>1</v>
      </c>
      <c r="GX7">
        <v>116.90000000089999</v>
      </c>
      <c r="GY7">
        <v>112.6999999997</v>
      </c>
      <c r="GZ7">
        <v>112.6999999997</v>
      </c>
      <c r="HA7">
        <v>128.09999999990001</v>
      </c>
      <c r="HB7">
        <v>116.6746195067</v>
      </c>
      <c r="HC7">
        <v>-15.4000000002</v>
      </c>
      <c r="HD7">
        <v>466.50000000049999</v>
      </c>
      <c r="HE7">
        <v>314.65033226209999</v>
      </c>
      <c r="HF7">
        <v>99.231693462300001</v>
      </c>
      <c r="HG7">
        <v>466.50000000049999</v>
      </c>
      <c r="HH7">
        <v>466.50000000049999</v>
      </c>
      <c r="HI7">
        <v>466.50000000049999</v>
      </c>
      <c r="HJ7">
        <v>466.50000000049999</v>
      </c>
      <c r="HK7">
        <v>112.6099706745</v>
      </c>
      <c r="HL7">
        <v>3.5001288998</v>
      </c>
      <c r="HM7">
        <v>3.3807560516000001</v>
      </c>
      <c r="HN7">
        <v>3.4039691468000002</v>
      </c>
      <c r="HO7">
        <v>3.4128501519999999</v>
      </c>
      <c r="HP7">
        <v>3.7430846245999998</v>
      </c>
      <c r="HQ7">
        <v>2.2528875591999999</v>
      </c>
      <c r="HR7">
        <v>17.4429260444</v>
      </c>
      <c r="HS7">
        <v>-28.152492668600001</v>
      </c>
      <c r="HT7">
        <v>-192</v>
      </c>
      <c r="HU7">
        <v>431.32495176880002</v>
      </c>
      <c r="HV7">
        <v>93.841642228699996</v>
      </c>
      <c r="HW7">
        <v>640</v>
      </c>
      <c r="HX7">
        <v>17.4429260444</v>
      </c>
      <c r="HY7">
        <v>-28.152492668600001</v>
      </c>
      <c r="HZ7">
        <v>-192</v>
      </c>
      <c r="IA7">
        <v>431.32495176880002</v>
      </c>
      <c r="IB7">
        <v>93.841642228699996</v>
      </c>
      <c r="IC7">
        <v>640</v>
      </c>
      <c r="ID7">
        <v>35.175048231700003</v>
      </c>
      <c r="IE7">
        <v>0.50282958209999995</v>
      </c>
      <c r="IF7">
        <v>-37.536656891500002</v>
      </c>
      <c r="IG7">
        <v>-256</v>
      </c>
      <c r="IH7">
        <v>453.81954983930001</v>
      </c>
      <c r="II7">
        <v>103.22580645159999</v>
      </c>
      <c r="IJ7">
        <v>704</v>
      </c>
      <c r="IK7">
        <v>413.88202572440002</v>
      </c>
      <c r="IL7">
        <v>121.9941348974</v>
      </c>
      <c r="IM7">
        <v>439.79203644080002</v>
      </c>
      <c r="IN7">
        <v>131.37829912020001</v>
      </c>
      <c r="IO7">
        <v>7.6000000007999997</v>
      </c>
      <c r="IP7">
        <v>5.6999999997000002</v>
      </c>
      <c r="IQ7">
        <v>9.2999999997000007</v>
      </c>
      <c r="IR7">
        <v>6.9922504362</v>
      </c>
      <c r="IS7">
        <v>6.9922504362</v>
      </c>
      <c r="IT7">
        <v>12.5000000007</v>
      </c>
      <c r="IU7">
        <v>-30.4985337243</v>
      </c>
      <c r="IV7">
        <v>15.4000000002</v>
      </c>
      <c r="IW7">
        <v>0</v>
      </c>
      <c r="IX7">
        <v>10.8999999993</v>
      </c>
      <c r="IY7">
        <v>100.87976539589999</v>
      </c>
      <c r="IZ7">
        <v>-33.410940730900002</v>
      </c>
      <c r="JA7">
        <v>0.31451292510000001</v>
      </c>
      <c r="JB7">
        <v>-3.1896790000000001E-4</v>
      </c>
      <c r="JC7">
        <v>6.3300000000000002E-7</v>
      </c>
      <c r="JD7">
        <v>0.2857037637</v>
      </c>
      <c r="JE7">
        <v>0.1842276129</v>
      </c>
      <c r="JF7">
        <v>9.1544666900000002E-2</v>
      </c>
      <c r="JG7">
        <v>117.5435636186</v>
      </c>
      <c r="JH7">
        <v>3.7430846245999998</v>
      </c>
      <c r="JI7">
        <v>2.6793192E-3</v>
      </c>
      <c r="JJ7">
        <v>-7.5441100000000005E-5</v>
      </c>
      <c r="JK7">
        <v>3.5001288998</v>
      </c>
      <c r="JL7">
        <v>1.4697074074000001</v>
      </c>
      <c r="JM7">
        <v>0.64508842359999996</v>
      </c>
      <c r="JN7" t="s">
        <v>538</v>
      </c>
      <c r="JQ7">
        <v>1</v>
      </c>
    </row>
    <row r="8" spans="1:277">
      <c r="A8" t="s">
        <v>606</v>
      </c>
      <c r="B8" t="s">
        <v>607</v>
      </c>
      <c r="C8" t="s">
        <v>212</v>
      </c>
      <c r="D8">
        <v>3</v>
      </c>
      <c r="E8" t="s">
        <v>213</v>
      </c>
      <c r="F8" t="s">
        <v>214</v>
      </c>
      <c r="G8" t="s">
        <v>537</v>
      </c>
      <c r="H8" t="s">
        <v>216</v>
      </c>
      <c r="J8" t="s">
        <v>596</v>
      </c>
      <c r="K8" t="s">
        <v>597</v>
      </c>
      <c r="L8" t="s">
        <v>598</v>
      </c>
      <c r="M8" t="s">
        <v>599</v>
      </c>
      <c r="N8" t="s">
        <v>600</v>
      </c>
      <c r="O8">
        <v>0</v>
      </c>
      <c r="P8">
        <v>0</v>
      </c>
      <c r="Q8">
        <v>4.3999999998000003</v>
      </c>
      <c r="R8">
        <v>4.6000000001999997</v>
      </c>
      <c r="S8">
        <v>4.6999999995000001</v>
      </c>
      <c r="T8">
        <v>4.6999999995000001</v>
      </c>
      <c r="U8">
        <v>4.8000000005999999</v>
      </c>
      <c r="V8">
        <v>4.8000000005999999</v>
      </c>
      <c r="W8">
        <v>4.6999999995000001</v>
      </c>
      <c r="X8">
        <v>4.6999999995000001</v>
      </c>
      <c r="Y8">
        <v>4.6999999995000001</v>
      </c>
      <c r="Z8">
        <v>4.8000000005999999</v>
      </c>
      <c r="AA8">
        <v>4.6999999995000001</v>
      </c>
      <c r="AB8">
        <v>4.6999999995000001</v>
      </c>
      <c r="AC8">
        <v>4.8000000005999999</v>
      </c>
      <c r="AD8">
        <v>4.3999999998000003</v>
      </c>
      <c r="AE8">
        <v>3.3999999995999999</v>
      </c>
      <c r="AF8">
        <v>2.3000000000999998</v>
      </c>
      <c r="AG8">
        <v>1.2999999999</v>
      </c>
      <c r="AH8">
        <v>0</v>
      </c>
      <c r="AI8">
        <v>0.79999999980000003</v>
      </c>
      <c r="AJ8">
        <v>5.1000000002999997</v>
      </c>
      <c r="AK8">
        <v>11.3999999994</v>
      </c>
      <c r="AL8">
        <v>18.500000000099998</v>
      </c>
      <c r="AM8">
        <v>25.700000000100001</v>
      </c>
      <c r="AN8">
        <v>32.900000000200002</v>
      </c>
      <c r="AO8">
        <v>40.100000000199998</v>
      </c>
      <c r="AP8">
        <v>47.699999999200003</v>
      </c>
      <c r="AQ8">
        <v>55.899999999400002</v>
      </c>
      <c r="AR8">
        <v>63.5999999995</v>
      </c>
      <c r="AS8">
        <v>71.700000000399996</v>
      </c>
      <c r="AT8">
        <v>79.600000000899996</v>
      </c>
      <c r="AU8">
        <v>87.299999999199997</v>
      </c>
      <c r="AV8">
        <v>95.199999999699997</v>
      </c>
      <c r="AW8">
        <v>104.3000000009</v>
      </c>
      <c r="AX8">
        <v>113.4000000002</v>
      </c>
      <c r="AY8">
        <v>121.9999999994</v>
      </c>
      <c r="AZ8">
        <v>130.6000000004</v>
      </c>
      <c r="BA8">
        <v>138.69999999949999</v>
      </c>
      <c r="BB8">
        <v>146.69999999929999</v>
      </c>
      <c r="BC8">
        <v>155.3999999996</v>
      </c>
      <c r="BD8">
        <v>163.8999999996</v>
      </c>
      <c r="BE8">
        <v>171.89999999939999</v>
      </c>
      <c r="BF8">
        <v>180.20000000069999</v>
      </c>
      <c r="BG8">
        <v>188.40000000090001</v>
      </c>
      <c r="BH8">
        <v>196.4000000007</v>
      </c>
      <c r="BI8">
        <v>204.79999999949999</v>
      </c>
      <c r="BJ8">
        <v>213.2000000001</v>
      </c>
      <c r="BK8">
        <v>220.9000000003</v>
      </c>
      <c r="BL8">
        <v>228.99999999939999</v>
      </c>
      <c r="BM8">
        <v>236.89999999989999</v>
      </c>
      <c r="BN8">
        <v>244.3999999996</v>
      </c>
      <c r="BO8">
        <v>252.00000000040001</v>
      </c>
      <c r="BP8">
        <v>260.29999999990002</v>
      </c>
      <c r="BQ8">
        <v>267.9000000007</v>
      </c>
      <c r="BR8">
        <v>275.2</v>
      </c>
      <c r="BS8">
        <v>282.90000000020001</v>
      </c>
      <c r="BT8">
        <v>290.19999999949999</v>
      </c>
      <c r="BU8">
        <v>297.30000000019999</v>
      </c>
      <c r="BV8">
        <v>304.29999999979998</v>
      </c>
      <c r="BW8">
        <v>312.09999999920001</v>
      </c>
      <c r="BX8">
        <v>318.99999999950001</v>
      </c>
      <c r="BY8">
        <v>325.69999999940001</v>
      </c>
      <c r="BZ8">
        <v>332.7000000008</v>
      </c>
      <c r="CA8">
        <v>339.40000000079999</v>
      </c>
      <c r="CB8">
        <v>345.6999999999</v>
      </c>
      <c r="CC8">
        <v>352.00000000080001</v>
      </c>
      <c r="CD8">
        <v>358.70000000070002</v>
      </c>
      <c r="CE8">
        <v>365.49999999990001</v>
      </c>
      <c r="CF8">
        <v>371.30000000069998</v>
      </c>
      <c r="CG8">
        <v>377.00000000040001</v>
      </c>
      <c r="CH8">
        <v>382.99999999980002</v>
      </c>
      <c r="CI8">
        <v>388.80000000059999</v>
      </c>
      <c r="CJ8">
        <v>394.50000000030002</v>
      </c>
      <c r="CK8">
        <v>399.9000000003</v>
      </c>
      <c r="CL8">
        <v>405.30000000040002</v>
      </c>
      <c r="CM8">
        <v>411.20000000049998</v>
      </c>
      <c r="CN8">
        <v>417.1999999999</v>
      </c>
      <c r="CO8">
        <v>421.89999999939999</v>
      </c>
      <c r="CP8">
        <v>426.90000000039998</v>
      </c>
      <c r="CQ8">
        <v>432.1</v>
      </c>
      <c r="CR8">
        <v>437.4000000007</v>
      </c>
      <c r="CS8">
        <v>442.19999999949999</v>
      </c>
      <c r="CT8">
        <v>446.79999999969999</v>
      </c>
      <c r="CU8">
        <v>449.30000000019999</v>
      </c>
      <c r="CV8">
        <v>449.89999999960003</v>
      </c>
      <c r="CW8">
        <v>450.00000000070003</v>
      </c>
      <c r="CX8">
        <v>450.1</v>
      </c>
      <c r="CY8">
        <v>450.1</v>
      </c>
      <c r="CZ8">
        <v>450.19999999930002</v>
      </c>
      <c r="DA8">
        <v>450.19999999930002</v>
      </c>
      <c r="DB8">
        <v>450.19999999930002</v>
      </c>
      <c r="DC8">
        <v>450.19999999930002</v>
      </c>
      <c r="DD8">
        <v>450.19999999930002</v>
      </c>
      <c r="DE8">
        <v>450.19999999930002</v>
      </c>
      <c r="DF8">
        <v>450.30000000040002</v>
      </c>
      <c r="DG8">
        <v>5.1999999996000001</v>
      </c>
      <c r="DH8">
        <v>6.1000000004999997</v>
      </c>
      <c r="DI8">
        <v>6.4999999995</v>
      </c>
      <c r="DJ8">
        <v>6.4000000002000004</v>
      </c>
      <c r="DK8">
        <v>6.4999999995</v>
      </c>
      <c r="DL8">
        <v>6.4999999995</v>
      </c>
      <c r="DM8">
        <v>6.6000000005999997</v>
      </c>
      <c r="DN8">
        <v>6.6000000005999997</v>
      </c>
      <c r="DO8">
        <v>6.6000000005999997</v>
      </c>
      <c r="DP8">
        <v>6.6000000005999997</v>
      </c>
      <c r="DQ8">
        <v>6.4999999995</v>
      </c>
      <c r="DR8">
        <v>5.9999999994</v>
      </c>
      <c r="DS8">
        <v>5.1000000002999997</v>
      </c>
      <c r="DT8">
        <v>4.0000000008000001</v>
      </c>
      <c r="DU8">
        <v>3.0000000006</v>
      </c>
      <c r="DV8">
        <v>2.0999999997000001</v>
      </c>
      <c r="DW8">
        <v>1.3999999992000001</v>
      </c>
      <c r="DX8">
        <v>4.1999999994000001</v>
      </c>
      <c r="DY8">
        <v>10.5999999996</v>
      </c>
      <c r="DZ8">
        <v>17.9000000007</v>
      </c>
      <c r="EA8">
        <v>25.299999999299999</v>
      </c>
      <c r="EB8">
        <v>32.4000000001</v>
      </c>
      <c r="EC8">
        <v>39.3999999997</v>
      </c>
      <c r="ED8">
        <v>46.899999999400002</v>
      </c>
      <c r="EE8">
        <v>54.799999999900002</v>
      </c>
      <c r="EF8">
        <v>62.700000000400003</v>
      </c>
      <c r="EG8">
        <v>70.299999999400001</v>
      </c>
      <c r="EH8">
        <v>78.499999999600007</v>
      </c>
      <c r="EI8">
        <v>86.199999999699997</v>
      </c>
      <c r="EJ8">
        <v>93.999999999099998</v>
      </c>
      <c r="EK8">
        <v>102.6000000002</v>
      </c>
      <c r="EL8">
        <v>111.3999999998</v>
      </c>
      <c r="EM8">
        <v>120.19999999940001</v>
      </c>
      <c r="EN8">
        <v>129.19999999940001</v>
      </c>
      <c r="EO8">
        <v>137.3999999996</v>
      </c>
      <c r="EP8">
        <v>145.39999999939999</v>
      </c>
      <c r="EQ8">
        <v>154.0999999997</v>
      </c>
      <c r="ER8">
        <v>162.7000000008</v>
      </c>
      <c r="ES8">
        <v>170.5999999995</v>
      </c>
      <c r="ET8">
        <v>179.29999999980001</v>
      </c>
      <c r="EU8">
        <v>187.5</v>
      </c>
      <c r="EV8">
        <v>195.6000000009</v>
      </c>
      <c r="EW8">
        <v>204.2000000001</v>
      </c>
      <c r="EX8">
        <v>212.79999999930001</v>
      </c>
      <c r="EY8">
        <v>220.60000000060001</v>
      </c>
      <c r="EZ8">
        <v>228.6999999997</v>
      </c>
      <c r="FA8">
        <v>236.80000000059999</v>
      </c>
      <c r="FB8">
        <v>244.5000000007</v>
      </c>
      <c r="FC8">
        <v>252.3000000001</v>
      </c>
      <c r="FD8">
        <v>260.89999999930001</v>
      </c>
      <c r="FE8">
        <v>268.70000000049998</v>
      </c>
      <c r="FF8">
        <v>275.99999999980002</v>
      </c>
      <c r="FG8">
        <v>283.7999999992</v>
      </c>
      <c r="FH8">
        <v>291.19999999970003</v>
      </c>
      <c r="FI8">
        <v>298.50000000080001</v>
      </c>
      <c r="FJ8">
        <v>306.09999999979999</v>
      </c>
      <c r="FK8">
        <v>313.89999999920002</v>
      </c>
      <c r="FL8">
        <v>320.70000000020002</v>
      </c>
      <c r="FM8">
        <v>327.40000000010002</v>
      </c>
      <c r="FN8">
        <v>334.39999999970001</v>
      </c>
      <c r="FO8">
        <v>341.2000000008</v>
      </c>
      <c r="FP8">
        <v>347.7999999996</v>
      </c>
      <c r="FQ8">
        <v>354.30000000090001</v>
      </c>
      <c r="FR8">
        <v>361.10000000010001</v>
      </c>
      <c r="FS8">
        <v>367.8</v>
      </c>
      <c r="FT8">
        <v>373.70000000009998</v>
      </c>
      <c r="FU8">
        <v>379.69999999949999</v>
      </c>
      <c r="FV8">
        <v>385.89999999930001</v>
      </c>
      <c r="FW8">
        <v>391.70000000009998</v>
      </c>
      <c r="FX8">
        <v>397.30000000050001</v>
      </c>
      <c r="FY8">
        <v>402.89999999909998</v>
      </c>
      <c r="FZ8">
        <v>408.90000000039998</v>
      </c>
      <c r="GA8">
        <v>414.80000000050001</v>
      </c>
      <c r="GB8">
        <v>419.79999999969999</v>
      </c>
      <c r="GC8">
        <v>424.60000000029999</v>
      </c>
      <c r="GD8">
        <v>429.79999999990002</v>
      </c>
      <c r="GE8">
        <v>434.69999999980001</v>
      </c>
      <c r="GF8">
        <v>439.50000000040001</v>
      </c>
      <c r="GG8">
        <v>443.90000000020001</v>
      </c>
      <c r="GH8">
        <v>447.59999999950003</v>
      </c>
      <c r="GI8">
        <v>449.39999999949998</v>
      </c>
      <c r="GJ8">
        <v>449.89999999960003</v>
      </c>
      <c r="GK8">
        <v>449.89999999960003</v>
      </c>
      <c r="GL8">
        <v>450.00000000070003</v>
      </c>
      <c r="GM8">
        <v>450.00000000070003</v>
      </c>
      <c r="GN8">
        <v>450.1</v>
      </c>
      <c r="GO8">
        <v>450.00000000070003</v>
      </c>
      <c r="GP8">
        <v>450.1</v>
      </c>
      <c r="GQ8">
        <v>450.1</v>
      </c>
      <c r="GR8">
        <v>450.1</v>
      </c>
      <c r="GS8">
        <v>450.19999999930002</v>
      </c>
      <c r="GT8">
        <v>450.19999999930002</v>
      </c>
      <c r="GU8">
        <v>450.19999999930002</v>
      </c>
      <c r="GV8">
        <v>450.19999999930002</v>
      </c>
      <c r="GW8">
        <v>1</v>
      </c>
      <c r="GX8">
        <v>107.399999999</v>
      </c>
      <c r="GY8">
        <v>104.3000000009</v>
      </c>
      <c r="GZ8">
        <v>104.3000000009</v>
      </c>
      <c r="HA8">
        <v>120.19999999940001</v>
      </c>
      <c r="HB8">
        <v>108.2639644647</v>
      </c>
      <c r="HC8">
        <v>-15.8999999985</v>
      </c>
      <c r="HD8">
        <v>450.19999999930002</v>
      </c>
      <c r="HE8">
        <v>292.93244863849998</v>
      </c>
      <c r="HF8">
        <v>88.978278734400007</v>
      </c>
      <c r="HG8">
        <v>450.30000000040002</v>
      </c>
      <c r="HH8">
        <v>450.19999999930002</v>
      </c>
      <c r="HI8">
        <v>450.30000000040002</v>
      </c>
      <c r="HJ8">
        <v>450.19999999930002</v>
      </c>
      <c r="HK8">
        <v>112.6099706745</v>
      </c>
      <c r="HL8">
        <v>3.4208811450000001</v>
      </c>
      <c r="HM8">
        <v>3.2804491857000002</v>
      </c>
      <c r="HN8">
        <v>3.3343975226000002</v>
      </c>
      <c r="HO8">
        <v>3.3747260202999998</v>
      </c>
      <c r="HP8">
        <v>3.6447493428</v>
      </c>
      <c r="HQ8">
        <v>2.3084190509</v>
      </c>
      <c r="HR8">
        <v>19.285685730299999</v>
      </c>
      <c r="HS8">
        <v>-25.806451612899998</v>
      </c>
      <c r="HT8">
        <v>-176</v>
      </c>
      <c r="HU8">
        <v>401.19641310309999</v>
      </c>
      <c r="HV8">
        <v>89.149560117299998</v>
      </c>
      <c r="HW8">
        <v>608</v>
      </c>
      <c r="HX8">
        <v>19.285685730299999</v>
      </c>
      <c r="HY8">
        <v>-25.806451612899998</v>
      </c>
      <c r="HZ8">
        <v>-176</v>
      </c>
      <c r="IA8">
        <v>401.19641310309999</v>
      </c>
      <c r="IB8">
        <v>89.149560117299998</v>
      </c>
      <c r="IC8">
        <v>608</v>
      </c>
      <c r="ID8">
        <v>49.003586896199998</v>
      </c>
      <c r="IE8">
        <v>1.9589117199999999E-2</v>
      </c>
      <c r="IF8">
        <v>-35.190615835800003</v>
      </c>
      <c r="IG8">
        <v>-240</v>
      </c>
      <c r="IH8">
        <v>423.6372237649</v>
      </c>
      <c r="II8">
        <v>98.533724340199996</v>
      </c>
      <c r="IJ8">
        <v>672</v>
      </c>
      <c r="IK8">
        <v>381.9107273729</v>
      </c>
      <c r="IL8">
        <v>114.9560117302</v>
      </c>
      <c r="IM8">
        <v>407.95339255980002</v>
      </c>
      <c r="IN8">
        <v>124.3401759531</v>
      </c>
      <c r="IO8">
        <v>7.3000000010999999</v>
      </c>
      <c r="IP8">
        <v>6.0000000012000001</v>
      </c>
      <c r="IQ8">
        <v>9.1000000010999997</v>
      </c>
      <c r="IR8">
        <v>6.1007502071999999</v>
      </c>
      <c r="IS8">
        <v>6.1007502071999999</v>
      </c>
      <c r="IT8">
        <v>13.8999999999</v>
      </c>
      <c r="IU8">
        <v>-28.152492668600001</v>
      </c>
      <c r="IV8">
        <v>16.700000000100001</v>
      </c>
      <c r="IW8">
        <v>42.228739002899999</v>
      </c>
      <c r="IX8">
        <v>14.4999999993</v>
      </c>
      <c r="IY8">
        <v>96.187683284499997</v>
      </c>
      <c r="IZ8">
        <v>-31.587547650499999</v>
      </c>
      <c r="JA8">
        <v>0.31722923520000001</v>
      </c>
      <c r="JB8">
        <v>-3.1161920000000003E-4</v>
      </c>
      <c r="JC8">
        <v>6.7240000000000001E-7</v>
      </c>
      <c r="JD8">
        <v>0.29232234550000002</v>
      </c>
      <c r="JE8">
        <v>0.2604976443</v>
      </c>
      <c r="JF8">
        <v>0.1169478657</v>
      </c>
      <c r="JG8">
        <v>108.9452678342</v>
      </c>
      <c r="JH8">
        <v>3.6447493428</v>
      </c>
      <c r="JI8">
        <v>2.3747144000000001E-3</v>
      </c>
      <c r="JJ8">
        <v>-7.3805499999999997E-5</v>
      </c>
      <c r="JK8">
        <v>3.4208811450000001</v>
      </c>
      <c r="JL8">
        <v>1.5485190065000001</v>
      </c>
      <c r="JM8">
        <v>0.5704832661</v>
      </c>
      <c r="JN8" t="s">
        <v>538</v>
      </c>
      <c r="JQ8">
        <v>1</v>
      </c>
    </row>
    <row r="9" spans="1:277">
      <c r="A9" t="s">
        <v>618</v>
      </c>
      <c r="B9" t="s">
        <v>619</v>
      </c>
      <c r="C9" t="s">
        <v>212</v>
      </c>
      <c r="D9">
        <v>3</v>
      </c>
      <c r="E9" t="s">
        <v>213</v>
      </c>
      <c r="F9" t="s">
        <v>214</v>
      </c>
      <c r="G9" t="s">
        <v>537</v>
      </c>
      <c r="H9" t="s">
        <v>216</v>
      </c>
      <c r="J9" t="s">
        <v>610</v>
      </c>
      <c r="K9" t="s">
        <v>611</v>
      </c>
      <c r="L9" t="s">
        <v>612</v>
      </c>
      <c r="M9" t="s">
        <v>613</v>
      </c>
      <c r="N9" t="s">
        <v>614</v>
      </c>
      <c r="O9">
        <v>0</v>
      </c>
      <c r="P9">
        <v>0</v>
      </c>
      <c r="Q9">
        <v>4.0000000008000001</v>
      </c>
      <c r="R9">
        <v>0.79999999980000003</v>
      </c>
      <c r="S9">
        <v>0.7000000005</v>
      </c>
      <c r="T9">
        <v>0.59999999940000004</v>
      </c>
      <c r="U9">
        <v>0.50000000010000001</v>
      </c>
      <c r="V9">
        <v>0.50000000010000001</v>
      </c>
      <c r="W9">
        <v>0.29999999970000002</v>
      </c>
      <c r="X9">
        <v>0.20000000039999999</v>
      </c>
      <c r="Y9">
        <v>0.20000000039999999</v>
      </c>
      <c r="Z9">
        <v>0.20000000039999999</v>
      </c>
      <c r="AA9">
        <v>0.20000000039999999</v>
      </c>
      <c r="AB9">
        <v>9.9999999300000003E-2</v>
      </c>
      <c r="AC9">
        <v>0</v>
      </c>
      <c r="AD9">
        <v>0</v>
      </c>
      <c r="AE9">
        <v>0</v>
      </c>
      <c r="AF9">
        <v>0</v>
      </c>
      <c r="AG9">
        <v>1.2000000006</v>
      </c>
      <c r="AH9">
        <v>3.6999999993000001</v>
      </c>
      <c r="AI9">
        <v>7.1000000006999997</v>
      </c>
      <c r="AJ9">
        <v>12.0000000006</v>
      </c>
      <c r="AK9">
        <v>18.700000000500001</v>
      </c>
      <c r="AL9">
        <v>25.600000000800001</v>
      </c>
      <c r="AM9">
        <v>32.4000000001</v>
      </c>
      <c r="AN9">
        <v>39.699999999399999</v>
      </c>
      <c r="AO9">
        <v>47.399999999499997</v>
      </c>
      <c r="AP9">
        <v>55.099999999600001</v>
      </c>
      <c r="AQ9">
        <v>63.099999999399998</v>
      </c>
      <c r="AR9">
        <v>71.299999999600004</v>
      </c>
      <c r="AS9">
        <v>78.999999999699995</v>
      </c>
      <c r="AT9">
        <v>86.499999999400004</v>
      </c>
      <c r="AU9">
        <v>94.4999999992</v>
      </c>
      <c r="AV9">
        <v>102.69999999949999</v>
      </c>
      <c r="AW9">
        <v>111.30000000050001</v>
      </c>
      <c r="AX9">
        <v>120.5000000009</v>
      </c>
      <c r="AY9">
        <v>129.10000000010001</v>
      </c>
      <c r="AZ9">
        <v>137.00000000060001</v>
      </c>
      <c r="BA9">
        <v>145.2000000008</v>
      </c>
      <c r="BB9">
        <v>153.50000000029999</v>
      </c>
      <c r="BC9">
        <v>162.20000000069999</v>
      </c>
      <c r="BD9">
        <v>170.900000001</v>
      </c>
      <c r="BE9">
        <v>179.20000000050001</v>
      </c>
      <c r="BF9">
        <v>187.20000000030001</v>
      </c>
      <c r="BG9">
        <v>195.2999999994</v>
      </c>
      <c r="BH9">
        <v>203.7</v>
      </c>
      <c r="BI9">
        <v>211.99999999950001</v>
      </c>
      <c r="BJ9">
        <v>220.40000000020001</v>
      </c>
      <c r="BK9">
        <v>228.6999999997</v>
      </c>
      <c r="BL9">
        <v>236.89999999989999</v>
      </c>
      <c r="BM9">
        <v>244.6</v>
      </c>
      <c r="BN9">
        <v>252.3000000001</v>
      </c>
      <c r="BO9">
        <v>260.29999999990002</v>
      </c>
      <c r="BP9">
        <v>268.40000000079999</v>
      </c>
      <c r="BQ9">
        <v>276.29999999950002</v>
      </c>
      <c r="BR9">
        <v>283.99999999969998</v>
      </c>
      <c r="BS9">
        <v>291.30000000080003</v>
      </c>
      <c r="BT9">
        <v>298.39999999970001</v>
      </c>
      <c r="BU9">
        <v>305.89999999939999</v>
      </c>
      <c r="BV9">
        <v>313.29999999979998</v>
      </c>
      <c r="BW9">
        <v>320.79999999950002</v>
      </c>
      <c r="BX9">
        <v>328.10000000060001</v>
      </c>
      <c r="BY9">
        <v>335.1000000002</v>
      </c>
      <c r="BZ9">
        <v>342.00000000059998</v>
      </c>
      <c r="CA9">
        <v>348.50000000009999</v>
      </c>
      <c r="CB9">
        <v>354.99999999959999</v>
      </c>
      <c r="CC9">
        <v>361.69999999949999</v>
      </c>
      <c r="CD9">
        <v>368.2000000008</v>
      </c>
      <c r="CE9">
        <v>374.70000000030001</v>
      </c>
      <c r="CF9">
        <v>381.40000000020001</v>
      </c>
      <c r="CG9">
        <v>387.80000000040002</v>
      </c>
      <c r="CH9">
        <v>393.79999999979998</v>
      </c>
      <c r="CI9">
        <v>399.30000000090001</v>
      </c>
      <c r="CJ9">
        <v>405.09999999989998</v>
      </c>
      <c r="CK9">
        <v>411.00000000009999</v>
      </c>
      <c r="CL9">
        <v>416.60000000050002</v>
      </c>
      <c r="CM9">
        <v>422.30000000019999</v>
      </c>
      <c r="CN9">
        <v>428.4000000007</v>
      </c>
      <c r="CO9">
        <v>434.19999999970003</v>
      </c>
      <c r="CP9">
        <v>439.5999999997</v>
      </c>
      <c r="CQ9">
        <v>444.79999999929998</v>
      </c>
      <c r="CR9">
        <v>449.80000000029997</v>
      </c>
      <c r="CS9">
        <v>454.49999999980002</v>
      </c>
      <c r="CT9">
        <v>459.00000000070003</v>
      </c>
      <c r="CU9">
        <v>463.49999999980002</v>
      </c>
      <c r="CV9">
        <v>465.79999999990002</v>
      </c>
      <c r="CW9">
        <v>465.89999999920002</v>
      </c>
      <c r="CX9">
        <v>465.89999999920002</v>
      </c>
      <c r="CY9">
        <v>465.89999999920002</v>
      </c>
      <c r="CZ9">
        <v>466.09999999960002</v>
      </c>
      <c r="DA9">
        <v>466.00000000030002</v>
      </c>
      <c r="DB9">
        <v>466.00000000030002</v>
      </c>
      <c r="DC9">
        <v>466.09999999960002</v>
      </c>
      <c r="DD9">
        <v>466.09999999960002</v>
      </c>
      <c r="DE9">
        <v>466.00000000030002</v>
      </c>
      <c r="DF9">
        <v>466.00000000030002</v>
      </c>
      <c r="DG9">
        <v>4.5000000009000001</v>
      </c>
      <c r="DH9">
        <v>1.5999999996000001</v>
      </c>
      <c r="DI9">
        <v>1.5000000003</v>
      </c>
      <c r="DJ9">
        <v>1.400000001</v>
      </c>
      <c r="DK9">
        <v>1.2999999999</v>
      </c>
      <c r="DL9">
        <v>1.2999999999</v>
      </c>
      <c r="DM9">
        <v>1.0999999995</v>
      </c>
      <c r="DN9">
        <v>1.0000000002</v>
      </c>
      <c r="DO9">
        <v>1.0000000002</v>
      </c>
      <c r="DP9">
        <v>1.0000000002</v>
      </c>
      <c r="DQ9">
        <v>0.90000000089999999</v>
      </c>
      <c r="DR9">
        <v>1.0000000002</v>
      </c>
      <c r="DS9">
        <v>1.0000000002</v>
      </c>
      <c r="DT9">
        <v>0.90000000089999999</v>
      </c>
      <c r="DU9">
        <v>1.0000000002</v>
      </c>
      <c r="DV9">
        <v>2.5000000005</v>
      </c>
      <c r="DW9">
        <v>5.9000000001000004</v>
      </c>
      <c r="DX9">
        <v>10.299999999900001</v>
      </c>
      <c r="DY9">
        <v>16.499999999700002</v>
      </c>
      <c r="DZ9">
        <v>23.800000000800001</v>
      </c>
      <c r="EA9">
        <v>30.699999999300001</v>
      </c>
      <c r="EB9">
        <v>37.800000000099999</v>
      </c>
      <c r="EC9">
        <v>45.500000000199996</v>
      </c>
      <c r="ED9">
        <v>53.100000000999998</v>
      </c>
      <c r="EE9">
        <v>60.999999999700002</v>
      </c>
      <c r="EF9">
        <v>69.100000000600005</v>
      </c>
      <c r="EG9">
        <v>76.900000000000006</v>
      </c>
      <c r="EH9">
        <v>84.5000000008</v>
      </c>
      <c r="EI9">
        <v>92.200000001000006</v>
      </c>
      <c r="EJ9">
        <v>100.50000000049999</v>
      </c>
      <c r="EK9">
        <v>108.7000000007</v>
      </c>
      <c r="EL9">
        <v>117.50000000030001</v>
      </c>
      <c r="EM9">
        <v>126.5999999996</v>
      </c>
      <c r="EN9">
        <v>134.79999999980001</v>
      </c>
      <c r="EO9">
        <v>142.9000000007</v>
      </c>
      <c r="EP9">
        <v>151.29999999949999</v>
      </c>
      <c r="EQ9">
        <v>159.90000000059999</v>
      </c>
      <c r="ER9">
        <v>168.6000000009</v>
      </c>
      <c r="ES9">
        <v>177.2000000001</v>
      </c>
      <c r="ET9">
        <v>185.300000001</v>
      </c>
      <c r="EU9">
        <v>193.49999999939999</v>
      </c>
      <c r="EV9">
        <v>201.80000000070001</v>
      </c>
      <c r="EW9">
        <v>210.30000000059999</v>
      </c>
      <c r="EX9">
        <v>218.80000000059999</v>
      </c>
      <c r="EY9">
        <v>227.19999999940001</v>
      </c>
      <c r="EZ9">
        <v>235.3000000003</v>
      </c>
      <c r="FA9">
        <v>243.3000000001</v>
      </c>
      <c r="FB9">
        <v>251.2999999999</v>
      </c>
      <c r="FC9">
        <v>259.29999999969999</v>
      </c>
      <c r="FD9">
        <v>267.49999999990001</v>
      </c>
      <c r="FE9">
        <v>275.79999999939997</v>
      </c>
      <c r="FF9">
        <v>283.7999999992</v>
      </c>
      <c r="FG9">
        <v>290.99999999929997</v>
      </c>
      <c r="FH9">
        <v>298.19999999930002</v>
      </c>
      <c r="FI9">
        <v>305.8000000001</v>
      </c>
      <c r="FJ9">
        <v>313.29999999979998</v>
      </c>
      <c r="FK9">
        <v>320.79999999950002</v>
      </c>
      <c r="FL9">
        <v>328.49999999959999</v>
      </c>
      <c r="FM9">
        <v>335.9</v>
      </c>
      <c r="FN9">
        <v>342.39999999949998</v>
      </c>
      <c r="FO9">
        <v>348.79999999979998</v>
      </c>
      <c r="FP9">
        <v>355.79999999939997</v>
      </c>
      <c r="FQ9">
        <v>362.60000000039997</v>
      </c>
      <c r="FR9">
        <v>369.20000000099998</v>
      </c>
      <c r="FS9">
        <v>376.00000000019998</v>
      </c>
      <c r="FT9">
        <v>382.70000000009998</v>
      </c>
      <c r="FU9">
        <v>388.99999999919999</v>
      </c>
      <c r="FV9">
        <v>394.70000000070002</v>
      </c>
      <c r="FW9">
        <v>400.2</v>
      </c>
      <c r="FX9">
        <v>406.1000000002</v>
      </c>
      <c r="FY9">
        <v>412.09999999960002</v>
      </c>
      <c r="FZ9">
        <v>417.90000000039998</v>
      </c>
      <c r="GA9">
        <v>423.80000000050001</v>
      </c>
      <c r="GB9">
        <v>429.70000000060003</v>
      </c>
      <c r="GC9">
        <v>435.10000000060001</v>
      </c>
      <c r="GD9">
        <v>440.39999999949998</v>
      </c>
      <c r="GE9">
        <v>445.29999999939997</v>
      </c>
      <c r="GF9">
        <v>449.80000000029997</v>
      </c>
      <c r="GG9">
        <v>454.29999999939997</v>
      </c>
      <c r="GH9">
        <v>458.39999999949998</v>
      </c>
      <c r="GI9">
        <v>462.4000000003</v>
      </c>
      <c r="GJ9">
        <v>465.20000000060003</v>
      </c>
      <c r="GK9">
        <v>465.79999999990002</v>
      </c>
      <c r="GL9">
        <v>465.89999999920002</v>
      </c>
      <c r="GM9">
        <v>465.89999999920002</v>
      </c>
      <c r="GN9">
        <v>466.00000000030002</v>
      </c>
      <c r="GO9">
        <v>466.00000000030002</v>
      </c>
      <c r="GP9">
        <v>466.00000000030002</v>
      </c>
      <c r="GQ9">
        <v>466.09999999960002</v>
      </c>
      <c r="GR9">
        <v>466.00000000030002</v>
      </c>
      <c r="GS9">
        <v>466.00000000030002</v>
      </c>
      <c r="GT9">
        <v>466.00000000030002</v>
      </c>
      <c r="GU9">
        <v>466.09999999960002</v>
      </c>
      <c r="GV9">
        <v>466.00000000030002</v>
      </c>
      <c r="GW9">
        <v>1</v>
      </c>
      <c r="GX9">
        <v>114.39999999859999</v>
      </c>
      <c r="GY9">
        <v>111.30000000050001</v>
      </c>
      <c r="GZ9">
        <v>111.30000000050001</v>
      </c>
      <c r="HA9">
        <v>126.5999999996</v>
      </c>
      <c r="HB9">
        <v>115.2050209208</v>
      </c>
      <c r="HC9">
        <v>-15.299999999100001</v>
      </c>
      <c r="HD9">
        <v>466.00000000030002</v>
      </c>
      <c r="HE9">
        <v>307.25881343219999</v>
      </c>
      <c r="HF9">
        <v>95.869037656700002</v>
      </c>
      <c r="HG9">
        <v>466.09999999960002</v>
      </c>
      <c r="HH9">
        <v>466.09999999960002</v>
      </c>
      <c r="HI9">
        <v>466.09999999960002</v>
      </c>
      <c r="HJ9">
        <v>466.09999999960002</v>
      </c>
      <c r="HK9">
        <v>114.9560117302</v>
      </c>
      <c r="HL9">
        <v>3.4107497216999998</v>
      </c>
      <c r="HM9">
        <v>3.2834426625000002</v>
      </c>
      <c r="HN9">
        <v>3.3323044065</v>
      </c>
      <c r="HO9">
        <v>3.2813244203999998</v>
      </c>
      <c r="HP9">
        <v>3.6270119029000001</v>
      </c>
      <c r="HQ9">
        <v>2.2240616847000001</v>
      </c>
      <c r="HR9">
        <v>19.335983264100001</v>
      </c>
      <c r="HS9">
        <v>-28.152492668600001</v>
      </c>
      <c r="HT9">
        <v>-192</v>
      </c>
      <c r="HU9">
        <v>422.46383435299998</v>
      </c>
      <c r="HV9">
        <v>93.841642228699996</v>
      </c>
      <c r="HW9">
        <v>640</v>
      </c>
      <c r="HX9">
        <v>19.335983264100001</v>
      </c>
      <c r="HY9">
        <v>-28.152492668600001</v>
      </c>
      <c r="HZ9">
        <v>-192</v>
      </c>
      <c r="IA9">
        <v>422.46383435299998</v>
      </c>
      <c r="IB9">
        <v>93.841642228699996</v>
      </c>
      <c r="IC9">
        <v>640</v>
      </c>
      <c r="ID9">
        <v>43.6361656467</v>
      </c>
      <c r="IE9">
        <v>1.2358008803</v>
      </c>
      <c r="IF9">
        <v>-37.536656891500002</v>
      </c>
      <c r="IG9">
        <v>-256</v>
      </c>
      <c r="IH9">
        <v>444.67360798139998</v>
      </c>
      <c r="II9">
        <v>103.22580645159999</v>
      </c>
      <c r="IJ9">
        <v>704</v>
      </c>
      <c r="IK9">
        <v>403.1278510889</v>
      </c>
      <c r="IL9">
        <v>121.9941348974</v>
      </c>
      <c r="IM9">
        <v>426.73618710429997</v>
      </c>
      <c r="IN9">
        <v>131.37829912020001</v>
      </c>
      <c r="IO9">
        <v>7.3000000010999999</v>
      </c>
      <c r="IP9">
        <v>5.9000000001000004</v>
      </c>
      <c r="IQ9">
        <v>9.2000000003999993</v>
      </c>
      <c r="IR9">
        <v>6.4906271523000001</v>
      </c>
      <c r="IS9">
        <v>6.4906271523000001</v>
      </c>
      <c r="IT9">
        <v>11.9999999988</v>
      </c>
      <c r="IU9">
        <v>-28.152492668600001</v>
      </c>
      <c r="IV9">
        <v>15.4999999995</v>
      </c>
      <c r="IW9">
        <v>42.228739002899999</v>
      </c>
      <c r="IX9">
        <v>11.9999999988</v>
      </c>
      <c r="IY9">
        <v>100.87976539589999</v>
      </c>
      <c r="IZ9">
        <v>-34.124322654399997</v>
      </c>
      <c r="JA9">
        <v>0.32682333920000001</v>
      </c>
      <c r="JB9">
        <v>-3.4375289999999999E-4</v>
      </c>
      <c r="JC9">
        <v>6.7879999999999996E-7</v>
      </c>
      <c r="JD9">
        <v>0.29319067110000002</v>
      </c>
      <c r="JE9">
        <v>0.23836662550000001</v>
      </c>
      <c r="JF9">
        <v>0.1072559246</v>
      </c>
      <c r="JG9">
        <v>115.8053062668</v>
      </c>
      <c r="JH9">
        <v>3.6270119029000001</v>
      </c>
      <c r="JI9">
        <v>2.9977119E-3</v>
      </c>
      <c r="JJ9">
        <v>-7.4400599999999994E-5</v>
      </c>
      <c r="JK9">
        <v>3.4107497216999998</v>
      </c>
      <c r="JL9">
        <v>1.6041565387000001</v>
      </c>
      <c r="JM9">
        <v>0.5786988166</v>
      </c>
      <c r="JN9" t="s">
        <v>538</v>
      </c>
      <c r="JQ9">
        <v>1</v>
      </c>
    </row>
    <row r="10" spans="1:277">
      <c r="A10" t="s">
        <v>642</v>
      </c>
      <c r="B10" t="s">
        <v>643</v>
      </c>
      <c r="C10" t="s">
        <v>212</v>
      </c>
      <c r="D10">
        <v>3</v>
      </c>
      <c r="E10" t="s">
        <v>213</v>
      </c>
      <c r="F10" t="s">
        <v>214</v>
      </c>
      <c r="G10" t="s">
        <v>537</v>
      </c>
      <c r="H10" t="s">
        <v>216</v>
      </c>
      <c r="J10" t="s">
        <v>622</v>
      </c>
      <c r="K10" t="s">
        <v>623</v>
      </c>
      <c r="L10" t="s">
        <v>624</v>
      </c>
      <c r="M10" t="s">
        <v>625</v>
      </c>
      <c r="N10" t="s">
        <v>626</v>
      </c>
      <c r="O10">
        <v>0</v>
      </c>
      <c r="P10">
        <v>0</v>
      </c>
      <c r="Q10">
        <v>0.79999999980000003</v>
      </c>
      <c r="R10">
        <v>0</v>
      </c>
      <c r="S10">
        <v>0.1000000011</v>
      </c>
      <c r="T10">
        <v>0</v>
      </c>
      <c r="U10">
        <v>0.1000000011</v>
      </c>
      <c r="V10">
        <v>0.1000000011</v>
      </c>
      <c r="W10">
        <v>0.1000000011</v>
      </c>
      <c r="X10">
        <v>0.1000000011</v>
      </c>
      <c r="Y10">
        <v>0.20000000039999999</v>
      </c>
      <c r="Z10">
        <v>0.29999999970000002</v>
      </c>
      <c r="AA10">
        <v>0.20000000039999999</v>
      </c>
      <c r="AB10">
        <v>0.29999999970000002</v>
      </c>
      <c r="AC10">
        <v>0.29999999970000002</v>
      </c>
      <c r="AD10">
        <v>0.29999999970000002</v>
      </c>
      <c r="AE10">
        <v>0.40000000079999998</v>
      </c>
      <c r="AF10">
        <v>0.50000000010000001</v>
      </c>
      <c r="AG10">
        <v>2.5999999998000001</v>
      </c>
      <c r="AH10">
        <v>6.9000000003000004</v>
      </c>
      <c r="AI10">
        <v>11.200000000799999</v>
      </c>
      <c r="AJ10">
        <v>15.9000000003</v>
      </c>
      <c r="AK10">
        <v>22.1000000001</v>
      </c>
      <c r="AL10">
        <v>28.599999999600001</v>
      </c>
      <c r="AM10">
        <v>35.400000000699997</v>
      </c>
      <c r="AN10">
        <v>42.7</v>
      </c>
      <c r="AO10">
        <v>50.199999999699997</v>
      </c>
      <c r="AP10">
        <v>58.300000000600001</v>
      </c>
      <c r="AQ10">
        <v>66.200000001099994</v>
      </c>
      <c r="AR10">
        <v>73.599999999700003</v>
      </c>
      <c r="AS10">
        <v>81.099999999399998</v>
      </c>
      <c r="AT10">
        <v>88.600000000999998</v>
      </c>
      <c r="AU10">
        <v>96.400000000399999</v>
      </c>
      <c r="AV10">
        <v>104.6999999999</v>
      </c>
      <c r="AW10">
        <v>113.4000000002</v>
      </c>
      <c r="AX10">
        <v>121.8000000008</v>
      </c>
      <c r="AY10">
        <v>129.80000000059999</v>
      </c>
      <c r="AZ10">
        <v>137.6</v>
      </c>
      <c r="BA10">
        <v>145.59999999979999</v>
      </c>
      <c r="BB10">
        <v>153.89999999930001</v>
      </c>
      <c r="BC10">
        <v>162.5999999997</v>
      </c>
      <c r="BD10">
        <v>171.00000000029999</v>
      </c>
      <c r="BE10">
        <v>178.79999999969999</v>
      </c>
      <c r="BF10">
        <v>186.4999999998</v>
      </c>
      <c r="BG10">
        <v>194.300000001</v>
      </c>
      <c r="BH10">
        <v>202.49999999939999</v>
      </c>
      <c r="BI10">
        <v>211.1999999997</v>
      </c>
      <c r="BJ10">
        <v>219.50000000110001</v>
      </c>
      <c r="BK10">
        <v>227.10000000010001</v>
      </c>
      <c r="BL10">
        <v>234.89999999950001</v>
      </c>
      <c r="BM10">
        <v>242.2999999999</v>
      </c>
      <c r="BN10">
        <v>249.7999999996</v>
      </c>
      <c r="BO10">
        <v>258.10000000090002</v>
      </c>
      <c r="BP10">
        <v>266.29999999929998</v>
      </c>
      <c r="BQ10">
        <v>273.60000000039997</v>
      </c>
      <c r="BR10">
        <v>280.69999999930002</v>
      </c>
      <c r="BS10">
        <v>288.09999999979999</v>
      </c>
      <c r="BT10">
        <v>294.90000000079999</v>
      </c>
      <c r="BU10">
        <v>301.90000000039998</v>
      </c>
      <c r="BV10">
        <v>309.49999999940002</v>
      </c>
      <c r="BW10">
        <v>317.1000000002</v>
      </c>
      <c r="BX10">
        <v>323.89999999939999</v>
      </c>
      <c r="BY10">
        <v>330.4000000007</v>
      </c>
      <c r="BZ10">
        <v>337.10000000060001</v>
      </c>
      <c r="CA10">
        <v>343.5000000009</v>
      </c>
      <c r="CB10">
        <v>349.70000000070002</v>
      </c>
      <c r="CC10">
        <v>356.10000000090002</v>
      </c>
      <c r="CD10">
        <v>362.99999999940002</v>
      </c>
      <c r="CE10">
        <v>369.6</v>
      </c>
      <c r="CF10">
        <v>375.50000000009999</v>
      </c>
      <c r="CG10">
        <v>381.30000000090001</v>
      </c>
      <c r="CH10">
        <v>387.30000000029997</v>
      </c>
      <c r="CI10">
        <v>393.0999999993</v>
      </c>
      <c r="CJ10">
        <v>398.49999999929997</v>
      </c>
      <c r="CK10">
        <v>404.0999999997</v>
      </c>
      <c r="CL10">
        <v>410.20000000030001</v>
      </c>
      <c r="CM10">
        <v>416.19999999970003</v>
      </c>
      <c r="CN10">
        <v>421.7000000008</v>
      </c>
      <c r="CO10">
        <v>426.90000000039998</v>
      </c>
      <c r="CP10">
        <v>432.00000000070003</v>
      </c>
      <c r="CQ10">
        <v>437.20000000030001</v>
      </c>
      <c r="CR10">
        <v>442.39999999989999</v>
      </c>
      <c r="CS10">
        <v>447.09999999939998</v>
      </c>
      <c r="CT10">
        <v>451.69999999959998</v>
      </c>
      <c r="CU10">
        <v>455.90000000079999</v>
      </c>
      <c r="CV10">
        <v>459.39999999970001</v>
      </c>
      <c r="CW10">
        <v>460.60000000029999</v>
      </c>
      <c r="CX10">
        <v>460.60000000029999</v>
      </c>
      <c r="CY10">
        <v>460.69999999959998</v>
      </c>
      <c r="CZ10">
        <v>460.80000000069998</v>
      </c>
      <c r="DA10">
        <v>460.9</v>
      </c>
      <c r="DB10">
        <v>460.99999999929997</v>
      </c>
      <c r="DC10">
        <v>461.10000000039997</v>
      </c>
      <c r="DD10">
        <v>460.99999999929997</v>
      </c>
      <c r="DE10">
        <v>460.99999999929997</v>
      </c>
      <c r="DF10">
        <v>460.99999999929997</v>
      </c>
      <c r="DG10">
        <v>1.9000000011</v>
      </c>
      <c r="DH10">
        <v>1.0000000002</v>
      </c>
      <c r="DI10">
        <v>1.0999999995</v>
      </c>
      <c r="DJ10">
        <v>1.0999999995</v>
      </c>
      <c r="DK10">
        <v>1.0999999995</v>
      </c>
      <c r="DL10">
        <v>1.2000000006</v>
      </c>
      <c r="DM10">
        <v>1.0999999995</v>
      </c>
      <c r="DN10">
        <v>1.0999999995</v>
      </c>
      <c r="DO10">
        <v>1.0999999995</v>
      </c>
      <c r="DP10">
        <v>1.2000000006</v>
      </c>
      <c r="DQ10">
        <v>1.0999999995</v>
      </c>
      <c r="DR10">
        <v>1.0999999995</v>
      </c>
      <c r="DS10">
        <v>1.2000000006</v>
      </c>
      <c r="DT10">
        <v>1.0999999995</v>
      </c>
      <c r="DU10">
        <v>2.0999999997000001</v>
      </c>
      <c r="DV10">
        <v>5.8000000007999999</v>
      </c>
      <c r="DW10">
        <v>10.0999999995</v>
      </c>
      <c r="DX10">
        <v>14.4999999993</v>
      </c>
      <c r="DY10">
        <v>20.300000000099999</v>
      </c>
      <c r="DZ10">
        <v>26.799999999600001</v>
      </c>
      <c r="EA10">
        <v>33.800000001100003</v>
      </c>
      <c r="EB10">
        <v>41.100000000400001</v>
      </c>
      <c r="EC10">
        <v>48.600000000100003</v>
      </c>
      <c r="ED10">
        <v>56.5999999999</v>
      </c>
      <c r="EE10">
        <v>64.500000000399993</v>
      </c>
      <c r="EF10">
        <v>71.700000000399996</v>
      </c>
      <c r="EG10">
        <v>78.999999999699995</v>
      </c>
      <c r="EH10">
        <v>86.600000000500003</v>
      </c>
      <c r="EI10">
        <v>94.500000001100005</v>
      </c>
      <c r="EJ10">
        <v>102.6000000002</v>
      </c>
      <c r="EK10">
        <v>111.30000000050001</v>
      </c>
      <c r="EL10">
        <v>119.3999999996</v>
      </c>
      <c r="EM10">
        <v>127.3000000001</v>
      </c>
      <c r="EN10">
        <v>135.2999999999</v>
      </c>
      <c r="EO10">
        <v>143.50000000009999</v>
      </c>
      <c r="EP10">
        <v>151.90000000079999</v>
      </c>
      <c r="EQ10">
        <v>160.79999999969999</v>
      </c>
      <c r="ER10">
        <v>169.20000000030001</v>
      </c>
      <c r="ES10">
        <v>177.10000000080001</v>
      </c>
      <c r="ET10">
        <v>184.90000000020001</v>
      </c>
      <c r="EU10">
        <v>192.60000000030001</v>
      </c>
      <c r="EV10">
        <v>201.1000000002</v>
      </c>
      <c r="EW10">
        <v>209.69999999940001</v>
      </c>
      <c r="EX10">
        <v>218.30000000050001</v>
      </c>
      <c r="EY10">
        <v>225.80000000019999</v>
      </c>
      <c r="EZ10">
        <v>233.59999999959999</v>
      </c>
      <c r="FA10">
        <v>241.1000000011</v>
      </c>
      <c r="FB10">
        <v>248.9999999998</v>
      </c>
      <c r="FC10">
        <v>257.40000000039998</v>
      </c>
      <c r="FD10">
        <v>265.60000000060001</v>
      </c>
      <c r="FE10">
        <v>273.19999999959998</v>
      </c>
      <c r="FF10">
        <v>280.50000000080001</v>
      </c>
      <c r="FG10">
        <v>287.5999999997</v>
      </c>
      <c r="FH10">
        <v>294.6000000011</v>
      </c>
      <c r="FI10">
        <v>301.99999999969998</v>
      </c>
      <c r="FJ10">
        <v>309.80000000090001</v>
      </c>
      <c r="FK10">
        <v>317.39999999989999</v>
      </c>
      <c r="FL10">
        <v>324.30000000019999</v>
      </c>
      <c r="FM10">
        <v>331.00000000009999</v>
      </c>
      <c r="FN10">
        <v>337.79999999929998</v>
      </c>
      <c r="FO10">
        <v>344.10000000029999</v>
      </c>
      <c r="FP10">
        <v>350.50000000049999</v>
      </c>
      <c r="FQ10">
        <v>357.50000000009999</v>
      </c>
      <c r="FR10">
        <v>364.49999999969998</v>
      </c>
      <c r="FS10">
        <v>370.80000000059999</v>
      </c>
      <c r="FT10">
        <v>376.8</v>
      </c>
      <c r="FU10">
        <v>382.70000000009998</v>
      </c>
      <c r="FV10">
        <v>388.80000000059999</v>
      </c>
      <c r="FW10">
        <v>394.29999999990002</v>
      </c>
      <c r="FX10">
        <v>399.80000000109999</v>
      </c>
      <c r="FY10">
        <v>406.0000000009</v>
      </c>
      <c r="FZ10">
        <v>412.3</v>
      </c>
      <c r="GA10">
        <v>417.99999999969998</v>
      </c>
      <c r="GB10">
        <v>423.30000000040002</v>
      </c>
      <c r="GC10">
        <v>428.2999999996</v>
      </c>
      <c r="GD10">
        <v>433.39999999989999</v>
      </c>
      <c r="GE10">
        <v>438.59999999950003</v>
      </c>
      <c r="GF10">
        <v>443.30000000080003</v>
      </c>
      <c r="GG10">
        <v>447.70000000060003</v>
      </c>
      <c r="GH10">
        <v>451.9</v>
      </c>
      <c r="GI10">
        <v>455.79999999969999</v>
      </c>
      <c r="GJ10">
        <v>459.00000000070003</v>
      </c>
      <c r="GK10">
        <v>460.69999999959998</v>
      </c>
      <c r="GL10">
        <v>460.69999999959998</v>
      </c>
      <c r="GM10">
        <v>460.80000000069998</v>
      </c>
      <c r="GN10">
        <v>460.80000000069998</v>
      </c>
      <c r="GO10">
        <v>460.9</v>
      </c>
      <c r="GP10">
        <v>460.80000000069998</v>
      </c>
      <c r="GQ10">
        <v>460.9</v>
      </c>
      <c r="GR10">
        <v>460.80000000069998</v>
      </c>
      <c r="GS10">
        <v>460.80000000069998</v>
      </c>
      <c r="GT10">
        <v>460.9</v>
      </c>
      <c r="GU10">
        <v>460.9</v>
      </c>
      <c r="GV10">
        <v>460.99999999929997</v>
      </c>
      <c r="GW10">
        <v>1</v>
      </c>
      <c r="GX10">
        <v>119.0000000006</v>
      </c>
      <c r="GY10">
        <v>113.4000000002</v>
      </c>
      <c r="GZ10">
        <v>113.4000000002</v>
      </c>
      <c r="HA10">
        <v>127.3000000001</v>
      </c>
      <c r="HB10">
        <v>117.0287744036</v>
      </c>
      <c r="HC10">
        <v>-13.8999999999</v>
      </c>
      <c r="HD10">
        <v>460.99999999929997</v>
      </c>
      <c r="HE10">
        <v>293.60684381750002</v>
      </c>
      <c r="HF10">
        <v>94.219414316699996</v>
      </c>
      <c r="HG10">
        <v>461.10000000039997</v>
      </c>
      <c r="HH10">
        <v>460.99999999929997</v>
      </c>
      <c r="HI10">
        <v>461.10000000039997</v>
      </c>
      <c r="HJ10">
        <v>460.99999999929997</v>
      </c>
      <c r="HK10">
        <v>117.3020527859</v>
      </c>
      <c r="HL10">
        <v>3.3361913948000002</v>
      </c>
      <c r="HM10">
        <v>3.2104062550000001</v>
      </c>
      <c r="HN10">
        <v>3.2585162159999999</v>
      </c>
      <c r="HO10">
        <v>3.223096961</v>
      </c>
      <c r="HP10">
        <v>3.5396809345000002</v>
      </c>
      <c r="HQ10">
        <v>2.2463182612999999</v>
      </c>
      <c r="HR10">
        <v>22.809360087000002</v>
      </c>
      <c r="HS10">
        <v>-28.152492668600001</v>
      </c>
      <c r="HT10">
        <v>-192</v>
      </c>
      <c r="HU10">
        <v>410.6356182211</v>
      </c>
      <c r="HV10">
        <v>91.495601172999997</v>
      </c>
      <c r="HW10">
        <v>624</v>
      </c>
      <c r="HX10">
        <v>22.809360087000002</v>
      </c>
      <c r="HY10">
        <v>-28.152492668600001</v>
      </c>
      <c r="HZ10">
        <v>-192</v>
      </c>
      <c r="IA10">
        <v>410.6356182211</v>
      </c>
      <c r="IB10">
        <v>91.495601172999997</v>
      </c>
      <c r="IC10">
        <v>624</v>
      </c>
      <c r="ID10">
        <v>50.364381778199999</v>
      </c>
      <c r="IE10">
        <v>2.7033080258000002</v>
      </c>
      <c r="IF10">
        <v>-37.536656891500002</v>
      </c>
      <c r="IG10">
        <v>-256</v>
      </c>
      <c r="IH10">
        <v>432.55105206069999</v>
      </c>
      <c r="II10">
        <v>100.87976539589999</v>
      </c>
      <c r="IJ10">
        <v>688</v>
      </c>
      <c r="IK10">
        <v>387.82625813419997</v>
      </c>
      <c r="IL10">
        <v>119.6480938416</v>
      </c>
      <c r="IM10">
        <v>410.53167028159999</v>
      </c>
      <c r="IN10">
        <v>129.03225806450001</v>
      </c>
      <c r="IO10">
        <v>6.4999999995</v>
      </c>
      <c r="IP10">
        <v>5.6999999997000002</v>
      </c>
      <c r="IQ10">
        <v>8.8999999989000003</v>
      </c>
      <c r="IR10">
        <v>5.8057446603000002</v>
      </c>
      <c r="IS10">
        <v>5.8057446603000002</v>
      </c>
      <c r="IT10">
        <v>11.700000000899999</v>
      </c>
      <c r="IU10">
        <v>-28.152492668600001</v>
      </c>
      <c r="IV10">
        <v>15.800000001000001</v>
      </c>
      <c r="IW10">
        <v>25.806451612899998</v>
      </c>
      <c r="IX10">
        <v>12.0999999999</v>
      </c>
      <c r="IY10">
        <v>98.533724340199996</v>
      </c>
      <c r="IZ10">
        <v>-35.361726754599999</v>
      </c>
      <c r="JA10">
        <v>0.33366528760000003</v>
      </c>
      <c r="JB10">
        <v>-3.46151E-4</v>
      </c>
      <c r="JC10">
        <v>6.9770000000000001E-7</v>
      </c>
      <c r="JD10">
        <v>0.2997429948</v>
      </c>
      <c r="JE10">
        <v>0.22964594099999999</v>
      </c>
      <c r="JF10">
        <v>9.6079650500000002E-2</v>
      </c>
      <c r="JG10">
        <v>117.30917126200001</v>
      </c>
      <c r="JH10">
        <v>3.5396809345000002</v>
      </c>
      <c r="JI10">
        <v>2.6366495000000002E-3</v>
      </c>
      <c r="JJ10">
        <v>-7.07105E-5</v>
      </c>
      <c r="JK10">
        <v>3.3361913948000002</v>
      </c>
      <c r="JL10">
        <v>1.5493549444000001</v>
      </c>
      <c r="JM10">
        <v>0.53355667149999997</v>
      </c>
      <c r="JN10" t="s">
        <v>538</v>
      </c>
      <c r="JQ10">
        <v>1</v>
      </c>
    </row>
    <row r="11" spans="1:277">
      <c r="A11" t="s">
        <v>644</v>
      </c>
      <c r="B11" t="s">
        <v>645</v>
      </c>
      <c r="C11" t="s">
        <v>212</v>
      </c>
      <c r="D11">
        <v>3</v>
      </c>
      <c r="E11" t="s">
        <v>213</v>
      </c>
      <c r="F11" t="s">
        <v>214</v>
      </c>
      <c r="G11" t="s">
        <v>537</v>
      </c>
      <c r="H11" t="s">
        <v>216</v>
      </c>
      <c r="J11" t="s">
        <v>629</v>
      </c>
      <c r="K11" t="s">
        <v>630</v>
      </c>
      <c r="L11" t="s">
        <v>631</v>
      </c>
      <c r="M11" t="s">
        <v>632</v>
      </c>
      <c r="N11" t="s">
        <v>633</v>
      </c>
      <c r="O11">
        <v>0</v>
      </c>
      <c r="P11">
        <v>0</v>
      </c>
      <c r="Q11">
        <v>0</v>
      </c>
      <c r="R11">
        <v>0.39999999899999999</v>
      </c>
      <c r="S11">
        <v>0.39999999899999999</v>
      </c>
      <c r="T11">
        <v>0.29999999970000002</v>
      </c>
      <c r="U11">
        <v>0.29999999970000002</v>
      </c>
      <c r="V11">
        <v>0.39999999899999999</v>
      </c>
      <c r="W11">
        <v>0.39999999899999999</v>
      </c>
      <c r="X11">
        <v>0.39999999899999999</v>
      </c>
      <c r="Y11">
        <v>0.50000000010000001</v>
      </c>
      <c r="Z11">
        <v>0.50000000010000001</v>
      </c>
      <c r="AA11">
        <v>0.59999999940000004</v>
      </c>
      <c r="AB11">
        <v>0.59999999940000004</v>
      </c>
      <c r="AC11">
        <v>0.59999999940000004</v>
      </c>
      <c r="AD11">
        <v>0.59999999940000004</v>
      </c>
      <c r="AE11">
        <v>0.59999999940000004</v>
      </c>
      <c r="AF11">
        <v>0.79999999980000003</v>
      </c>
      <c r="AG11">
        <v>0.79999999980000003</v>
      </c>
      <c r="AH11">
        <v>2.3999999993999999</v>
      </c>
      <c r="AI11">
        <v>6.4999999995</v>
      </c>
      <c r="AJ11">
        <v>11.9999999988</v>
      </c>
      <c r="AK11">
        <v>18.0999999993</v>
      </c>
      <c r="AL11">
        <v>24.599999998800001</v>
      </c>
      <c r="AM11">
        <v>31.6000000003</v>
      </c>
      <c r="AN11">
        <v>38.999999998900002</v>
      </c>
      <c r="AO11">
        <v>45.5999999995</v>
      </c>
      <c r="AP11">
        <v>53.599999999300003</v>
      </c>
      <c r="AQ11">
        <v>61.5999999991</v>
      </c>
      <c r="AR11">
        <v>68.900000000199995</v>
      </c>
      <c r="AS11">
        <v>76.199999999499994</v>
      </c>
      <c r="AT11">
        <v>83.999999998899995</v>
      </c>
      <c r="AU11">
        <v>91.800000000099999</v>
      </c>
      <c r="AV11">
        <v>99.500000000300005</v>
      </c>
      <c r="AW11">
        <v>108.1999999988</v>
      </c>
      <c r="AX11">
        <v>116.2000000004</v>
      </c>
      <c r="AY11">
        <v>123.9000000005</v>
      </c>
      <c r="AZ11">
        <v>131.6999999999</v>
      </c>
      <c r="BA11">
        <v>139.90000000009999</v>
      </c>
      <c r="BB11">
        <v>148.19999999960001</v>
      </c>
      <c r="BC11">
        <v>156.3999999998</v>
      </c>
      <c r="BD11">
        <v>164.60000000010001</v>
      </c>
      <c r="BE11">
        <v>172.09999999979999</v>
      </c>
      <c r="BF11">
        <v>179.89999999919999</v>
      </c>
      <c r="BG11">
        <v>187.79999999969999</v>
      </c>
      <c r="BH11">
        <v>196.20000000030001</v>
      </c>
      <c r="BI11">
        <v>204.2999999994</v>
      </c>
      <c r="BJ11">
        <v>212.2999999992</v>
      </c>
      <c r="BK11">
        <v>219.90000000009999</v>
      </c>
      <c r="BL11">
        <v>227.30000000050001</v>
      </c>
      <c r="BM11">
        <v>235.09999999990001</v>
      </c>
      <c r="BN11">
        <v>243.00000000040001</v>
      </c>
      <c r="BO11">
        <v>251.0000000002</v>
      </c>
      <c r="BP11">
        <v>258.70000000030001</v>
      </c>
      <c r="BQ11">
        <v>266.2</v>
      </c>
      <c r="BR11">
        <v>273.19999999959998</v>
      </c>
      <c r="BS11">
        <v>280.49999999890002</v>
      </c>
      <c r="BT11">
        <v>287.8000000001</v>
      </c>
      <c r="BU11">
        <v>295.09999999939998</v>
      </c>
      <c r="BV11">
        <v>302.40000000049997</v>
      </c>
      <c r="BW11">
        <v>309.69999999980001</v>
      </c>
      <c r="BX11">
        <v>316.49999999900001</v>
      </c>
      <c r="BY11">
        <v>323.09999999960002</v>
      </c>
      <c r="BZ11">
        <v>329.39999999870003</v>
      </c>
      <c r="CA11">
        <v>336.29999999900002</v>
      </c>
      <c r="CB11">
        <v>343.1</v>
      </c>
      <c r="CC11">
        <v>349.69999999880002</v>
      </c>
      <c r="CD11">
        <v>356.20000000020002</v>
      </c>
      <c r="CE11">
        <v>362.69999999970003</v>
      </c>
      <c r="CF11">
        <v>368.69999999909999</v>
      </c>
      <c r="CG11">
        <v>374.39999999880001</v>
      </c>
      <c r="CH11">
        <v>380.10000000029999</v>
      </c>
      <c r="CI11">
        <v>386.00000000040001</v>
      </c>
      <c r="CJ11">
        <v>392.09999999910002</v>
      </c>
      <c r="CK11">
        <v>397.79999999879999</v>
      </c>
      <c r="CL11">
        <v>403.8</v>
      </c>
      <c r="CM11">
        <v>409.40000000049997</v>
      </c>
      <c r="CN11">
        <v>414.8999999998</v>
      </c>
      <c r="CO11">
        <v>420.09999999939998</v>
      </c>
      <c r="CP11">
        <v>425.19999999970003</v>
      </c>
      <c r="CQ11">
        <v>430.00000000030002</v>
      </c>
      <c r="CR11">
        <v>435.1999999999</v>
      </c>
      <c r="CS11">
        <v>440.49999999879998</v>
      </c>
      <c r="CT11">
        <v>445.59999999910002</v>
      </c>
      <c r="CU11">
        <v>450.60000000010001</v>
      </c>
      <c r="CV11">
        <v>455.5</v>
      </c>
      <c r="CW11">
        <v>458.39999999949998</v>
      </c>
      <c r="CX11">
        <v>458.80000000029997</v>
      </c>
      <c r="CY11">
        <v>458.99999999890002</v>
      </c>
      <c r="CZ11">
        <v>458.89999999960003</v>
      </c>
      <c r="DA11">
        <v>459.1</v>
      </c>
      <c r="DB11">
        <v>459.1</v>
      </c>
      <c r="DC11">
        <v>459.19999999930002</v>
      </c>
      <c r="DD11">
        <v>458.89999999960003</v>
      </c>
      <c r="DE11">
        <v>458.99999999890002</v>
      </c>
      <c r="DF11">
        <v>459.1</v>
      </c>
      <c r="DG11">
        <v>0.7000000005</v>
      </c>
      <c r="DH11">
        <v>1.1999999988000001</v>
      </c>
      <c r="DI11">
        <v>1.1999999988000001</v>
      </c>
      <c r="DJ11">
        <v>1.2999999999</v>
      </c>
      <c r="DK11">
        <v>1.3999999992000001</v>
      </c>
      <c r="DL11">
        <v>1.2999999999</v>
      </c>
      <c r="DM11">
        <v>1.3999999992000001</v>
      </c>
      <c r="DN11">
        <v>1.2999999999</v>
      </c>
      <c r="DO11">
        <v>1.3999999992000001</v>
      </c>
      <c r="DP11">
        <v>1.3999999992000001</v>
      </c>
      <c r="DQ11">
        <v>1.3999999992000001</v>
      </c>
      <c r="DR11">
        <v>1.3999999992000001</v>
      </c>
      <c r="DS11">
        <v>1.3999999992000001</v>
      </c>
      <c r="DT11">
        <v>1.3999999992000001</v>
      </c>
      <c r="DU11">
        <v>1.5000000003</v>
      </c>
      <c r="DV11">
        <v>1.5999999996000001</v>
      </c>
      <c r="DW11">
        <v>4.3000000004999999</v>
      </c>
      <c r="DX11">
        <v>9.7999999998000007</v>
      </c>
      <c r="DY11">
        <v>16.0999999989</v>
      </c>
      <c r="DZ11">
        <v>22.699999999500001</v>
      </c>
      <c r="EA11">
        <v>29.699999999100001</v>
      </c>
      <c r="EB11">
        <v>36.5999999995</v>
      </c>
      <c r="EC11">
        <v>44.099999999200001</v>
      </c>
      <c r="ED11">
        <v>52.200000000099998</v>
      </c>
      <c r="EE11">
        <v>59.699999999799999</v>
      </c>
      <c r="EF11">
        <v>66.899999999800002</v>
      </c>
      <c r="EG11">
        <v>74.199999999100001</v>
      </c>
      <c r="EH11">
        <v>81.799999999899995</v>
      </c>
      <c r="EI11">
        <v>89.700000000399996</v>
      </c>
      <c r="EJ11">
        <v>97.799999999600004</v>
      </c>
      <c r="EK11">
        <v>105.7999999994</v>
      </c>
      <c r="EL11">
        <v>113.7999999992</v>
      </c>
      <c r="EM11">
        <v>121.6000000004</v>
      </c>
      <c r="EN11">
        <v>129.3999999998</v>
      </c>
      <c r="EO11">
        <v>137.6</v>
      </c>
      <c r="EP11">
        <v>145.99999999880001</v>
      </c>
      <c r="EQ11">
        <v>154.0999999997</v>
      </c>
      <c r="ER11">
        <v>162.39999999930001</v>
      </c>
      <c r="ES11">
        <v>170.09999999940001</v>
      </c>
      <c r="ET11">
        <v>177.89999999880001</v>
      </c>
      <c r="EU11">
        <v>185.99999999970001</v>
      </c>
      <c r="EV11">
        <v>194.4000000003</v>
      </c>
      <c r="EW11">
        <v>202.59999999870001</v>
      </c>
      <c r="EX11">
        <v>210.69999999960001</v>
      </c>
      <c r="EY11">
        <v>218.39999999969999</v>
      </c>
      <c r="EZ11">
        <v>225.99999999869999</v>
      </c>
      <c r="FA11">
        <v>233.59999999959999</v>
      </c>
      <c r="FB11">
        <v>241.79999999980001</v>
      </c>
      <c r="FC11">
        <v>249.70000000030001</v>
      </c>
      <c r="FD11">
        <v>257.79999999939997</v>
      </c>
      <c r="FE11">
        <v>265.19999999980001</v>
      </c>
      <c r="FF11">
        <v>272.6000000002</v>
      </c>
      <c r="FG11">
        <v>279.59999999979999</v>
      </c>
      <c r="FH11">
        <v>287.19999999880002</v>
      </c>
      <c r="FI11">
        <v>294.7000000004</v>
      </c>
      <c r="FJ11">
        <v>301.99999999969998</v>
      </c>
      <c r="FK11">
        <v>309.40000000010002</v>
      </c>
      <c r="FL11">
        <v>316.30000000040002</v>
      </c>
      <c r="FM11">
        <v>323.19999999890001</v>
      </c>
      <c r="FN11">
        <v>329.39999999870003</v>
      </c>
      <c r="FO11">
        <v>336.29999999900002</v>
      </c>
      <c r="FP11">
        <v>342.99999999890002</v>
      </c>
      <c r="FQ11">
        <v>349.89999999930001</v>
      </c>
      <c r="FR11">
        <v>356.29999999950002</v>
      </c>
      <c r="FS11">
        <v>362.79999999900002</v>
      </c>
      <c r="FT11">
        <v>368.99999999879998</v>
      </c>
      <c r="FU11">
        <v>375</v>
      </c>
      <c r="FV11">
        <v>380.60000000039997</v>
      </c>
      <c r="FW11">
        <v>386.69999999909999</v>
      </c>
      <c r="FX11">
        <v>392.70000000030001</v>
      </c>
      <c r="FY11">
        <v>398.69999999970003</v>
      </c>
      <c r="FZ11">
        <v>404.39999999939999</v>
      </c>
      <c r="GA11">
        <v>410.20000000030001</v>
      </c>
      <c r="GB11">
        <v>415.39999999989999</v>
      </c>
      <c r="GC11">
        <v>420.59999999950003</v>
      </c>
      <c r="GD11">
        <v>425.69999999980001</v>
      </c>
      <c r="GE11">
        <v>430.50000000040001</v>
      </c>
      <c r="GF11">
        <v>435.59999999889999</v>
      </c>
      <c r="GG11">
        <v>440.69999999919997</v>
      </c>
      <c r="GH11">
        <v>445.59999999910002</v>
      </c>
      <c r="GI11">
        <v>450.30000000040002</v>
      </c>
      <c r="GJ11">
        <v>454.49999999980002</v>
      </c>
      <c r="GK11">
        <v>457.699999999</v>
      </c>
      <c r="GL11">
        <v>458.59999999989998</v>
      </c>
      <c r="GM11">
        <v>458.69999999919997</v>
      </c>
      <c r="GN11">
        <v>458.69999999919997</v>
      </c>
      <c r="GO11">
        <v>458.80000000029997</v>
      </c>
      <c r="GP11">
        <v>458.80000000029997</v>
      </c>
      <c r="GQ11">
        <v>458.89999999960003</v>
      </c>
      <c r="GR11">
        <v>458.89999999960003</v>
      </c>
      <c r="GS11">
        <v>458.89999999960003</v>
      </c>
      <c r="GT11">
        <v>458.89999999960003</v>
      </c>
      <c r="GU11">
        <v>458.99999999890002</v>
      </c>
      <c r="GV11">
        <v>459.1</v>
      </c>
      <c r="GW11">
        <v>1</v>
      </c>
      <c r="GX11">
        <v>114.49999999969999</v>
      </c>
      <c r="GY11">
        <v>108.1999999988</v>
      </c>
      <c r="GZ11">
        <v>108.1999999988</v>
      </c>
      <c r="HA11">
        <v>121.6000000004</v>
      </c>
      <c r="HB11">
        <v>111.55364844179999</v>
      </c>
      <c r="HC11">
        <v>-13.4000000016</v>
      </c>
      <c r="HD11">
        <v>459.1</v>
      </c>
      <c r="HE11">
        <v>291.21608582030001</v>
      </c>
      <c r="HF11">
        <v>92.849771291500005</v>
      </c>
      <c r="HG11">
        <v>459.19999999930002</v>
      </c>
      <c r="HH11">
        <v>459.1</v>
      </c>
      <c r="HI11">
        <v>459.19999999930002</v>
      </c>
      <c r="HJ11">
        <v>459.1</v>
      </c>
      <c r="HK11">
        <v>119.6480938416</v>
      </c>
      <c r="HL11">
        <v>3.3027230338</v>
      </c>
      <c r="HM11">
        <v>3.2011643082000001</v>
      </c>
      <c r="HN11">
        <v>3.2267179990999999</v>
      </c>
      <c r="HO11">
        <v>3.1527970057000001</v>
      </c>
      <c r="HP11">
        <v>3.4775219347999999</v>
      </c>
      <c r="HQ11">
        <v>2.2916659233000001</v>
      </c>
      <c r="HR11">
        <v>18.7038771502</v>
      </c>
      <c r="HS11">
        <v>-28.152492668600001</v>
      </c>
      <c r="HT11">
        <v>-192</v>
      </c>
      <c r="HU11">
        <v>402.76973426209997</v>
      </c>
      <c r="HV11">
        <v>91.495601172999997</v>
      </c>
      <c r="HW11">
        <v>624</v>
      </c>
      <c r="HX11">
        <v>18.7038771502</v>
      </c>
      <c r="HY11">
        <v>-28.152492668600001</v>
      </c>
      <c r="HZ11">
        <v>-192</v>
      </c>
      <c r="IA11">
        <v>402.76973426209997</v>
      </c>
      <c r="IB11">
        <v>91.495601172999997</v>
      </c>
      <c r="IC11">
        <v>624</v>
      </c>
      <c r="ID11">
        <v>56.330265738000001</v>
      </c>
      <c r="IE11">
        <v>0.81944020890000002</v>
      </c>
      <c r="IF11">
        <v>-37.536656891500002</v>
      </c>
      <c r="IG11">
        <v>-256</v>
      </c>
      <c r="IH11">
        <v>424.78725767780003</v>
      </c>
      <c r="II11">
        <v>100.87976539589999</v>
      </c>
      <c r="IJ11">
        <v>688</v>
      </c>
      <c r="IK11">
        <v>384.06585711180003</v>
      </c>
      <c r="IL11">
        <v>119.6480938416</v>
      </c>
      <c r="IM11">
        <v>407.41300370329998</v>
      </c>
      <c r="IN11">
        <v>129.03225806450001</v>
      </c>
      <c r="IO11">
        <v>6.2999999990999997</v>
      </c>
      <c r="IP11">
        <v>5.8000000007999999</v>
      </c>
      <c r="IQ11">
        <v>8.6999999984999992</v>
      </c>
      <c r="IR11">
        <v>5.4015694875999998</v>
      </c>
      <c r="IS11">
        <v>5.4015694875999998</v>
      </c>
      <c r="IT11">
        <v>10.700000000699999</v>
      </c>
      <c r="IU11">
        <v>-30.4985337243</v>
      </c>
      <c r="IV11">
        <v>14.799999999000001</v>
      </c>
      <c r="IW11">
        <v>23.460410557199999</v>
      </c>
      <c r="IX11">
        <v>11.5999999998</v>
      </c>
      <c r="IY11">
        <v>96.187683284499997</v>
      </c>
      <c r="IZ11">
        <v>-34.143572824300001</v>
      </c>
      <c r="JA11">
        <v>0.33583471980000001</v>
      </c>
      <c r="JB11">
        <v>-3.3497810000000002E-4</v>
      </c>
      <c r="JC11">
        <v>6.8390000000000003E-7</v>
      </c>
      <c r="JD11">
        <v>0.30278046019999999</v>
      </c>
      <c r="JE11">
        <v>0.19295717509999999</v>
      </c>
      <c r="JF11">
        <v>7.6772987500000001E-2</v>
      </c>
      <c r="JG11">
        <v>111.6327906204</v>
      </c>
      <c r="JH11">
        <v>3.4775219347999999</v>
      </c>
      <c r="JI11">
        <v>2.8854503E-3</v>
      </c>
      <c r="JJ11">
        <v>-6.8242600000000003E-5</v>
      </c>
      <c r="JK11">
        <v>3.3027230338</v>
      </c>
      <c r="JL11">
        <v>1.1624250218000001</v>
      </c>
      <c r="JM11">
        <v>0.41529157039999998</v>
      </c>
      <c r="JN11" t="s">
        <v>538</v>
      </c>
      <c r="JQ11">
        <v>1</v>
      </c>
    </row>
    <row r="12" spans="1:277">
      <c r="A12" t="s">
        <v>656</v>
      </c>
      <c r="B12" t="s">
        <v>657</v>
      </c>
      <c r="C12" t="s">
        <v>212</v>
      </c>
      <c r="D12">
        <v>3</v>
      </c>
      <c r="E12" t="s">
        <v>213</v>
      </c>
      <c r="F12" t="s">
        <v>214</v>
      </c>
      <c r="G12" t="s">
        <v>537</v>
      </c>
      <c r="H12" t="s">
        <v>216</v>
      </c>
      <c r="J12" t="s">
        <v>649</v>
      </c>
      <c r="K12" t="s">
        <v>650</v>
      </c>
      <c r="L12" t="s">
        <v>651</v>
      </c>
      <c r="M12" t="s">
        <v>652</v>
      </c>
      <c r="N12" t="s">
        <v>653</v>
      </c>
      <c r="O12">
        <v>0</v>
      </c>
      <c r="P12">
        <v>0</v>
      </c>
      <c r="Q12">
        <v>2.3999999993999999</v>
      </c>
      <c r="R12">
        <v>0.79999999980000003</v>
      </c>
      <c r="S12">
        <v>0.7000000005</v>
      </c>
      <c r="T12">
        <v>0.59999999940000004</v>
      </c>
      <c r="U12">
        <v>0.59999999940000004</v>
      </c>
      <c r="V12">
        <v>0.59999999940000004</v>
      </c>
      <c r="W12">
        <v>0.50000000010000001</v>
      </c>
      <c r="X12">
        <v>0.50000000010000001</v>
      </c>
      <c r="Y12">
        <v>0.40000000079999998</v>
      </c>
      <c r="Z12">
        <v>0.40000000079999998</v>
      </c>
      <c r="AA12">
        <v>0.29999999970000002</v>
      </c>
      <c r="AB12">
        <v>0.29999999970000002</v>
      </c>
      <c r="AC12">
        <v>0.20000000039999999</v>
      </c>
      <c r="AD12">
        <v>9.9999999300000003E-2</v>
      </c>
      <c r="AE12">
        <v>9.9999999300000003E-2</v>
      </c>
      <c r="AF12">
        <v>0</v>
      </c>
      <c r="AG12">
        <v>1.8</v>
      </c>
      <c r="AH12">
        <v>5.6999999997000002</v>
      </c>
      <c r="AI12">
        <v>10.299999999900001</v>
      </c>
      <c r="AJ12">
        <v>16.2</v>
      </c>
      <c r="AK12">
        <v>22.699999999500001</v>
      </c>
      <c r="AL12">
        <v>29.5000000006</v>
      </c>
      <c r="AM12">
        <v>36.500000000199996</v>
      </c>
      <c r="AN12">
        <v>43.999999999899998</v>
      </c>
      <c r="AO12">
        <v>51.900000000399999</v>
      </c>
      <c r="AP12">
        <v>59.800000000899999</v>
      </c>
      <c r="AQ12">
        <v>67.6000000003</v>
      </c>
      <c r="AR12">
        <v>75.199999999300005</v>
      </c>
      <c r="AS12">
        <v>82.800000000099999</v>
      </c>
      <c r="AT12">
        <v>90.5999999995</v>
      </c>
      <c r="AU12">
        <v>98.900000000899993</v>
      </c>
      <c r="AV12">
        <v>107.5000000001</v>
      </c>
      <c r="AW12">
        <v>116.0999999993</v>
      </c>
      <c r="AX12">
        <v>124.20000000020001</v>
      </c>
      <c r="AY12">
        <v>132.19999999999999</v>
      </c>
      <c r="AZ12">
        <v>140.30000000090001</v>
      </c>
      <c r="BA12">
        <v>148.90000000009999</v>
      </c>
      <c r="BB12">
        <v>157.60000000049999</v>
      </c>
      <c r="BC12">
        <v>166.40000000009999</v>
      </c>
      <c r="BD12">
        <v>174.69999999960001</v>
      </c>
      <c r="BE12">
        <v>182.69999999940001</v>
      </c>
      <c r="BF12">
        <v>190.59999999990001</v>
      </c>
      <c r="BG12">
        <v>199.00000000049999</v>
      </c>
      <c r="BH12">
        <v>207.5999999997</v>
      </c>
      <c r="BI12">
        <v>216.09999999959999</v>
      </c>
      <c r="BJ12">
        <v>224.2000000006</v>
      </c>
      <c r="BK12">
        <v>232.0999999993</v>
      </c>
      <c r="BL12">
        <v>239.7999999994</v>
      </c>
      <c r="BM12">
        <v>247.800000001</v>
      </c>
      <c r="BN12">
        <v>255.99999999939999</v>
      </c>
      <c r="BO12">
        <v>264.19999999959998</v>
      </c>
      <c r="BP12">
        <v>272.00000000080001</v>
      </c>
      <c r="BQ12">
        <v>279.50000000059998</v>
      </c>
      <c r="BR12">
        <v>286.79999999990002</v>
      </c>
      <c r="BS12">
        <v>293.79999999950002</v>
      </c>
      <c r="BT12">
        <v>301.49999999959999</v>
      </c>
      <c r="BU12">
        <v>308.99999999929997</v>
      </c>
      <c r="BV12">
        <v>316.39999999970001</v>
      </c>
      <c r="BW12">
        <v>323.50000000040001</v>
      </c>
      <c r="BX12">
        <v>330.4000000007</v>
      </c>
      <c r="BY12">
        <v>337.10000000060001</v>
      </c>
      <c r="BZ12">
        <v>343.30000000050001</v>
      </c>
      <c r="CA12">
        <v>350.0999999997</v>
      </c>
      <c r="CB12">
        <v>356.7999999996</v>
      </c>
      <c r="CC12">
        <v>363.40000000020001</v>
      </c>
      <c r="CD12">
        <v>369.89999999970001</v>
      </c>
      <c r="CE12">
        <v>376.00000000019998</v>
      </c>
      <c r="CF12">
        <v>382.29999999929998</v>
      </c>
      <c r="CG12">
        <v>388.10000000010001</v>
      </c>
      <c r="CH12">
        <v>393.59999999939998</v>
      </c>
      <c r="CI12">
        <v>399.40000000020001</v>
      </c>
      <c r="CJ12">
        <v>405.39999999960003</v>
      </c>
      <c r="CK12">
        <v>411.00000000009999</v>
      </c>
      <c r="CL12">
        <v>416.80000000090001</v>
      </c>
      <c r="CM12">
        <v>422.20000000089999</v>
      </c>
      <c r="CN12">
        <v>427.49999999980002</v>
      </c>
      <c r="CO12">
        <v>432.80000000050001</v>
      </c>
      <c r="CP12">
        <v>437.90000000079999</v>
      </c>
      <c r="CQ12">
        <v>442.60000000029999</v>
      </c>
      <c r="CR12">
        <v>447.59999999950003</v>
      </c>
      <c r="CS12">
        <v>452.69999999980001</v>
      </c>
      <c r="CT12">
        <v>456.50000000019998</v>
      </c>
      <c r="CU12">
        <v>458.39999999949998</v>
      </c>
      <c r="CV12">
        <v>459.8999999998</v>
      </c>
      <c r="CW12">
        <v>460.80000000069998</v>
      </c>
      <c r="CX12">
        <v>460.80000000069998</v>
      </c>
      <c r="CY12">
        <v>460.80000000069998</v>
      </c>
      <c r="CZ12">
        <v>460.9</v>
      </c>
      <c r="DA12">
        <v>460.99999999929997</v>
      </c>
      <c r="DB12">
        <v>460.80000000069998</v>
      </c>
      <c r="DC12">
        <v>460.9</v>
      </c>
      <c r="DD12">
        <v>460.9</v>
      </c>
      <c r="DE12">
        <v>460.9</v>
      </c>
      <c r="DF12">
        <v>460.99999999929997</v>
      </c>
      <c r="DG12">
        <v>3.0000000006</v>
      </c>
      <c r="DH12">
        <v>1.5999999996000001</v>
      </c>
      <c r="DI12">
        <v>1.5999999996000001</v>
      </c>
      <c r="DJ12">
        <v>1.5000000003</v>
      </c>
      <c r="DK12">
        <v>1.5000000003</v>
      </c>
      <c r="DL12">
        <v>1.400000001</v>
      </c>
      <c r="DM12">
        <v>1.2999999999</v>
      </c>
      <c r="DN12">
        <v>1.2000000006</v>
      </c>
      <c r="DO12">
        <v>1.2000000006</v>
      </c>
      <c r="DP12">
        <v>1.0999999995</v>
      </c>
      <c r="DQ12">
        <v>1.0000000002</v>
      </c>
      <c r="DR12">
        <v>0.90000000089999999</v>
      </c>
      <c r="DS12">
        <v>0.90000000089999999</v>
      </c>
      <c r="DT12">
        <v>0.90000000089999999</v>
      </c>
      <c r="DU12">
        <v>1.5000000003</v>
      </c>
      <c r="DV12">
        <v>4.8000000005999999</v>
      </c>
      <c r="DW12">
        <v>9.5000000001</v>
      </c>
      <c r="DX12">
        <v>15.4000000002</v>
      </c>
      <c r="DY12">
        <v>22.1000000001</v>
      </c>
      <c r="DZ12">
        <v>29.200000000900001</v>
      </c>
      <c r="EA12">
        <v>36.000000000100002</v>
      </c>
      <c r="EB12">
        <v>43.4000000005</v>
      </c>
      <c r="EC12">
        <v>51.400000000299997</v>
      </c>
      <c r="ED12">
        <v>59.199999999699997</v>
      </c>
      <c r="EE12">
        <v>66.899999999800002</v>
      </c>
      <c r="EF12">
        <v>74.300000000200001</v>
      </c>
      <c r="EG12">
        <v>82.000000000300005</v>
      </c>
      <c r="EH12">
        <v>89.799999999700006</v>
      </c>
      <c r="EI12">
        <v>98.099999999199994</v>
      </c>
      <c r="EJ12">
        <v>106.4999999999</v>
      </c>
      <c r="EK12">
        <v>114.9000000005</v>
      </c>
      <c r="EL12">
        <v>122.99999999960001</v>
      </c>
      <c r="EM12">
        <v>131.10000000049999</v>
      </c>
      <c r="EN12">
        <v>139.30000000070001</v>
      </c>
      <c r="EO12">
        <v>147.69999999949999</v>
      </c>
      <c r="EP12">
        <v>156.50000000099999</v>
      </c>
      <c r="EQ12">
        <v>165.1000000002</v>
      </c>
      <c r="ER12">
        <v>173.50000000079999</v>
      </c>
      <c r="ES12">
        <v>181.59999999990001</v>
      </c>
      <c r="ET12">
        <v>189.89999999939999</v>
      </c>
      <c r="EU12">
        <v>198.20000000069999</v>
      </c>
      <c r="EV12">
        <v>207.00000000029999</v>
      </c>
      <c r="EW12">
        <v>215.70000000069999</v>
      </c>
      <c r="EX12">
        <v>223.90000000090001</v>
      </c>
      <c r="EY12">
        <v>231.9000000007</v>
      </c>
      <c r="EZ12">
        <v>239.7000000001</v>
      </c>
      <c r="FA12">
        <v>247.800000001</v>
      </c>
      <c r="FB12">
        <v>256.30000000090001</v>
      </c>
      <c r="FC12">
        <v>264.49999999929997</v>
      </c>
      <c r="FD12">
        <v>272.5000000009</v>
      </c>
      <c r="FE12">
        <v>280.19999999919997</v>
      </c>
      <c r="FF12">
        <v>287.5999999997</v>
      </c>
      <c r="FG12">
        <v>294.90000000079999</v>
      </c>
      <c r="FH12">
        <v>302.70000000020002</v>
      </c>
      <c r="FI12">
        <v>310.49999999959999</v>
      </c>
      <c r="FJ12">
        <v>317.99999999929997</v>
      </c>
      <c r="FK12">
        <v>325.19999999930002</v>
      </c>
      <c r="FL12">
        <v>332.3</v>
      </c>
      <c r="FM12">
        <v>339.09999999920001</v>
      </c>
      <c r="FN12">
        <v>345.6999999999</v>
      </c>
      <c r="FO12">
        <v>352.80000000059999</v>
      </c>
      <c r="FP12">
        <v>359.70000000089999</v>
      </c>
      <c r="FQ12">
        <v>366.59999999939998</v>
      </c>
      <c r="FR12">
        <v>373.10000000069999</v>
      </c>
      <c r="FS12">
        <v>379.3999999998</v>
      </c>
      <c r="FT12">
        <v>385.70000000070002</v>
      </c>
      <c r="FU12">
        <v>391.40000000039998</v>
      </c>
      <c r="FV12">
        <v>397.30000000050001</v>
      </c>
      <c r="FW12">
        <v>403.39999999920002</v>
      </c>
      <c r="FX12">
        <v>409.40000000049997</v>
      </c>
      <c r="FY12">
        <v>415.30000000059999</v>
      </c>
      <c r="FZ12">
        <v>421.00000000030002</v>
      </c>
      <c r="GA12">
        <v>426.300000001</v>
      </c>
      <c r="GB12">
        <v>431.59999999989998</v>
      </c>
      <c r="GC12">
        <v>436.70000000020002</v>
      </c>
      <c r="GD12">
        <v>441.30000000040002</v>
      </c>
      <c r="GE12">
        <v>445.99999999990001</v>
      </c>
      <c r="GF12">
        <v>450.69999999940001</v>
      </c>
      <c r="GG12">
        <v>454.90000000060002</v>
      </c>
      <c r="GH12">
        <v>457.50000000040001</v>
      </c>
      <c r="GI12">
        <v>459.00000000070003</v>
      </c>
      <c r="GJ12">
        <v>460.19999999949999</v>
      </c>
      <c r="GK12">
        <v>460.69999999959998</v>
      </c>
      <c r="GL12">
        <v>460.69999999959998</v>
      </c>
      <c r="GM12">
        <v>460.69999999959998</v>
      </c>
      <c r="GN12">
        <v>460.69999999959998</v>
      </c>
      <c r="GO12">
        <v>460.69999999959998</v>
      </c>
      <c r="GP12">
        <v>460.69999999959998</v>
      </c>
      <c r="GQ12">
        <v>460.69999999959998</v>
      </c>
      <c r="GR12">
        <v>460.80000000069998</v>
      </c>
      <c r="GS12">
        <v>460.80000000069998</v>
      </c>
      <c r="GT12">
        <v>460.9</v>
      </c>
      <c r="GU12">
        <v>460.9</v>
      </c>
      <c r="GV12">
        <v>460.99999999929997</v>
      </c>
      <c r="GW12">
        <v>1</v>
      </c>
      <c r="GX12">
        <v>120.19999999940001</v>
      </c>
      <c r="GY12">
        <v>116.0999999993</v>
      </c>
      <c r="GZ12">
        <v>116.0999999993</v>
      </c>
      <c r="HA12">
        <v>131.10000000049999</v>
      </c>
      <c r="HB12">
        <v>120.12169197359999</v>
      </c>
      <c r="HC12">
        <v>-15.0000000012</v>
      </c>
      <c r="HD12">
        <v>460.99999999929997</v>
      </c>
      <c r="HE12">
        <v>293.32790672549999</v>
      </c>
      <c r="HF12">
        <v>96.574934924100006</v>
      </c>
      <c r="HG12">
        <v>460.99999999929997</v>
      </c>
      <c r="HH12">
        <v>460.99999999929997</v>
      </c>
      <c r="HI12">
        <v>460.99999999929997</v>
      </c>
      <c r="HJ12">
        <v>460.99999999929997</v>
      </c>
      <c r="HK12">
        <v>114.9560117302</v>
      </c>
      <c r="HL12">
        <v>3.4259989278999998</v>
      </c>
      <c r="HM12">
        <v>3.2820218915999999</v>
      </c>
      <c r="HN12">
        <v>3.3391063241999999</v>
      </c>
      <c r="HO12">
        <v>3.2635167123</v>
      </c>
      <c r="HP12">
        <v>3.6278004084000002</v>
      </c>
      <c r="HQ12">
        <v>2.2903629096000002</v>
      </c>
      <c r="HR12">
        <v>23.546757049499998</v>
      </c>
      <c r="HS12">
        <v>-28.152492668600001</v>
      </c>
      <c r="HT12">
        <v>-192</v>
      </c>
      <c r="HU12">
        <v>413.44959869899998</v>
      </c>
      <c r="HV12">
        <v>89.149560117299998</v>
      </c>
      <c r="HW12">
        <v>608</v>
      </c>
      <c r="HX12">
        <v>23.546757049499998</v>
      </c>
      <c r="HY12">
        <v>-28.152492668600001</v>
      </c>
      <c r="HZ12">
        <v>-192</v>
      </c>
      <c r="IA12">
        <v>413.44959869899998</v>
      </c>
      <c r="IB12">
        <v>89.149560117299998</v>
      </c>
      <c r="IC12">
        <v>608</v>
      </c>
      <c r="ID12">
        <v>47.550401300300003</v>
      </c>
      <c r="IE12">
        <v>1.8943709328</v>
      </c>
      <c r="IF12">
        <v>-37.536656891500002</v>
      </c>
      <c r="IG12">
        <v>-256</v>
      </c>
      <c r="IH12">
        <v>435.70764642109998</v>
      </c>
      <c r="II12">
        <v>98.533724340199996</v>
      </c>
      <c r="IJ12">
        <v>672</v>
      </c>
      <c r="IK12">
        <v>389.90284164960002</v>
      </c>
      <c r="IL12">
        <v>117.3020527859</v>
      </c>
      <c r="IM12">
        <v>414.17979392730001</v>
      </c>
      <c r="IN12">
        <v>126.6862170088</v>
      </c>
      <c r="IO12">
        <v>6.6999999999000002</v>
      </c>
      <c r="IP12">
        <v>5.6999999997000002</v>
      </c>
      <c r="IQ12">
        <v>8.8000000014000008</v>
      </c>
      <c r="IR12">
        <v>5.9895319036999997</v>
      </c>
      <c r="IS12">
        <v>5.9895319036999997</v>
      </c>
      <c r="IT12">
        <v>13.0000000008</v>
      </c>
      <c r="IU12">
        <v>-30.4985337243</v>
      </c>
      <c r="IV12">
        <v>16.700000000100001</v>
      </c>
      <c r="IW12">
        <v>23.460410557199999</v>
      </c>
      <c r="IX12">
        <v>14.799999999000001</v>
      </c>
      <c r="IY12">
        <v>96.187683284499997</v>
      </c>
      <c r="IZ12">
        <v>-35.6013980946</v>
      </c>
      <c r="JA12">
        <v>0.33006375259999998</v>
      </c>
      <c r="JB12">
        <v>-3.573672E-4</v>
      </c>
      <c r="JC12">
        <v>6.9800000000000003E-7</v>
      </c>
      <c r="JD12">
        <v>0.2918856722</v>
      </c>
      <c r="JE12">
        <v>0.1339965336</v>
      </c>
      <c r="JF12">
        <v>6.78937976E-2</v>
      </c>
      <c r="JG12">
        <v>120.2709468642</v>
      </c>
      <c r="JH12">
        <v>3.6278004084000002</v>
      </c>
      <c r="JI12">
        <v>3.1168097000000001E-3</v>
      </c>
      <c r="JJ12">
        <v>-7.9401399999999995E-5</v>
      </c>
      <c r="JK12">
        <v>3.4259989278999998</v>
      </c>
      <c r="JL12">
        <v>1.2487314077</v>
      </c>
      <c r="JM12">
        <v>0.47828368139999999</v>
      </c>
      <c r="JN12" t="s">
        <v>538</v>
      </c>
      <c r="JQ12">
        <v>1</v>
      </c>
    </row>
    <row r="13" spans="1:277">
      <c r="A13" t="s">
        <v>666</v>
      </c>
      <c r="B13" t="s">
        <v>667</v>
      </c>
      <c r="C13" t="s">
        <v>212</v>
      </c>
      <c r="D13">
        <v>3</v>
      </c>
      <c r="E13" t="s">
        <v>213</v>
      </c>
      <c r="F13" t="s">
        <v>214</v>
      </c>
      <c r="G13" t="s">
        <v>537</v>
      </c>
      <c r="H13" t="s">
        <v>216</v>
      </c>
      <c r="J13" t="s">
        <v>660</v>
      </c>
      <c r="K13" t="s">
        <v>661</v>
      </c>
      <c r="L13" t="s">
        <v>662</v>
      </c>
      <c r="M13" t="s">
        <v>663</v>
      </c>
      <c r="N13" t="s">
        <v>664</v>
      </c>
      <c r="O13">
        <v>0</v>
      </c>
      <c r="P13">
        <v>0</v>
      </c>
      <c r="Q13">
        <v>2.5000000005</v>
      </c>
      <c r="R13">
        <v>0.50000000010000001</v>
      </c>
      <c r="S13">
        <v>0.50000000010000001</v>
      </c>
      <c r="T13">
        <v>0.40000000079999998</v>
      </c>
      <c r="U13">
        <v>0.40000000079999998</v>
      </c>
      <c r="V13">
        <v>0.29999999970000002</v>
      </c>
      <c r="W13">
        <v>0.29999999970000002</v>
      </c>
      <c r="X13">
        <v>0.20000000039999999</v>
      </c>
      <c r="Y13">
        <v>0.20000000039999999</v>
      </c>
      <c r="Z13">
        <v>0.20000000039999999</v>
      </c>
      <c r="AA13">
        <v>0.20000000039999999</v>
      </c>
      <c r="AB13">
        <v>0.1000000011</v>
      </c>
      <c r="AC13">
        <v>0.1000000011</v>
      </c>
      <c r="AD13">
        <v>0</v>
      </c>
      <c r="AE13">
        <v>0</v>
      </c>
      <c r="AF13">
        <v>0.1000000011</v>
      </c>
      <c r="AG13">
        <v>2.0000000004</v>
      </c>
      <c r="AH13">
        <v>5.6000000003999997</v>
      </c>
      <c r="AI13">
        <v>10.400000001</v>
      </c>
      <c r="AJ13">
        <v>16.499999999700002</v>
      </c>
      <c r="AK13">
        <v>22.800000000600001</v>
      </c>
      <c r="AL13">
        <v>29.5000000006</v>
      </c>
      <c r="AM13">
        <v>36.5999999995</v>
      </c>
      <c r="AN13">
        <v>44.100000000999998</v>
      </c>
      <c r="AO13">
        <v>51.6000000007</v>
      </c>
      <c r="AP13">
        <v>59.199999999699997</v>
      </c>
      <c r="AQ13">
        <v>66.800000000500006</v>
      </c>
      <c r="AR13">
        <v>74.000000000499995</v>
      </c>
      <c r="AS13">
        <v>81.500000000200004</v>
      </c>
      <c r="AT13">
        <v>89.299999999600004</v>
      </c>
      <c r="AU13">
        <v>97.499999999899998</v>
      </c>
      <c r="AV13">
        <v>105.7000000001</v>
      </c>
      <c r="AW13">
        <v>113.800000001</v>
      </c>
      <c r="AX13">
        <v>121.6000000004</v>
      </c>
      <c r="AY13">
        <v>129.30000000050001</v>
      </c>
      <c r="AZ13">
        <v>137.3999999996</v>
      </c>
      <c r="BA13">
        <v>145.59999999979999</v>
      </c>
      <c r="BB13">
        <v>153.80000000000001</v>
      </c>
      <c r="BC13">
        <v>162.20000000069999</v>
      </c>
      <c r="BD13">
        <v>170.20000000050001</v>
      </c>
      <c r="BE13">
        <v>177.90000000059999</v>
      </c>
      <c r="BF13">
        <v>185.90000000040001</v>
      </c>
      <c r="BG13">
        <v>194.10000000060001</v>
      </c>
      <c r="BH13">
        <v>202.40000000009999</v>
      </c>
      <c r="BI13">
        <v>210.60000000030001</v>
      </c>
      <c r="BJ13">
        <v>218.5000000009</v>
      </c>
      <c r="BK13">
        <v>226.20000000100001</v>
      </c>
      <c r="BL13">
        <v>233.70000000069999</v>
      </c>
      <c r="BM13">
        <v>241.40000000079999</v>
      </c>
      <c r="BN13">
        <v>249.29999999949999</v>
      </c>
      <c r="BO13">
        <v>257.30000000109999</v>
      </c>
      <c r="BP13">
        <v>264.99999999940002</v>
      </c>
      <c r="BQ13">
        <v>272.5000000009</v>
      </c>
      <c r="BR13">
        <v>279.80000000029997</v>
      </c>
      <c r="BS13">
        <v>286.70000000060003</v>
      </c>
      <c r="BT13">
        <v>293.99999999990001</v>
      </c>
      <c r="BU13">
        <v>301.300000001</v>
      </c>
      <c r="BV13">
        <v>308.60000000029999</v>
      </c>
      <c r="BW13">
        <v>315.70000000099998</v>
      </c>
      <c r="BX13">
        <v>322.59999999950003</v>
      </c>
      <c r="BY13">
        <v>329.10000000079998</v>
      </c>
      <c r="BZ13">
        <v>335.50000000099999</v>
      </c>
      <c r="CA13">
        <v>342.09999999979999</v>
      </c>
      <c r="CB13">
        <v>348.79999999979998</v>
      </c>
      <c r="CC13">
        <v>355.40000000039998</v>
      </c>
      <c r="CD13">
        <v>361.89999999989999</v>
      </c>
      <c r="CE13">
        <v>368.0999999997</v>
      </c>
      <c r="CF13">
        <v>374.20000000020002</v>
      </c>
      <c r="CG13">
        <v>379.69999999949999</v>
      </c>
      <c r="CH13">
        <v>385.50000000030002</v>
      </c>
      <c r="CI13">
        <v>391.30000000109999</v>
      </c>
      <c r="CJ13">
        <v>397.10000000010001</v>
      </c>
      <c r="CK13">
        <v>403.00000000019998</v>
      </c>
      <c r="CL13">
        <v>408.60000000069999</v>
      </c>
      <c r="CM13">
        <v>414.20000000110002</v>
      </c>
      <c r="CN13">
        <v>419.5</v>
      </c>
      <c r="CO13">
        <v>424.69999999959998</v>
      </c>
      <c r="CP13">
        <v>429.40000000089998</v>
      </c>
      <c r="CQ13">
        <v>434.60000000050002</v>
      </c>
      <c r="CR13">
        <v>439.7000000008</v>
      </c>
      <c r="CS13">
        <v>444.49999999959999</v>
      </c>
      <c r="CT13">
        <v>449.39999999949998</v>
      </c>
      <c r="CU13">
        <v>454.49999999980002</v>
      </c>
      <c r="CV13">
        <v>457.89999999939999</v>
      </c>
      <c r="CW13">
        <v>460.50000000099999</v>
      </c>
      <c r="CX13">
        <v>462.80000000119998</v>
      </c>
      <c r="CY13">
        <v>463.60000000100001</v>
      </c>
      <c r="CZ13">
        <v>463.60000000100001</v>
      </c>
      <c r="DA13">
        <v>463.60000000100001</v>
      </c>
      <c r="DB13">
        <v>463.60000000100001</v>
      </c>
      <c r="DC13">
        <v>463.70000000020002</v>
      </c>
      <c r="DD13">
        <v>463.70000000020002</v>
      </c>
      <c r="DE13">
        <v>463.70000000020002</v>
      </c>
      <c r="DF13">
        <v>463.79999999950002</v>
      </c>
      <c r="DG13">
        <v>3.0000000006</v>
      </c>
      <c r="DH13">
        <v>1.2000000006</v>
      </c>
      <c r="DI13">
        <v>1.2000000006</v>
      </c>
      <c r="DJ13">
        <v>1.0999999995</v>
      </c>
      <c r="DK13">
        <v>0.90000000089999999</v>
      </c>
      <c r="DL13">
        <v>1.0000000002</v>
      </c>
      <c r="DM13">
        <v>0.90000000089999999</v>
      </c>
      <c r="DN13">
        <v>0.90000000089999999</v>
      </c>
      <c r="DO13">
        <v>0.79999999980000003</v>
      </c>
      <c r="DP13">
        <v>0.79999999980000003</v>
      </c>
      <c r="DQ13">
        <v>0.79999999980000003</v>
      </c>
      <c r="DR13">
        <v>0.79999999980000003</v>
      </c>
      <c r="DS13">
        <v>0.7000000005</v>
      </c>
      <c r="DT13">
        <v>0.7000000005</v>
      </c>
      <c r="DU13">
        <v>1.5000000003</v>
      </c>
      <c r="DV13">
        <v>4.6999999995000001</v>
      </c>
      <c r="DW13">
        <v>9.2000000003999993</v>
      </c>
      <c r="DX13">
        <v>15.199999999799999</v>
      </c>
      <c r="DY13">
        <v>21.700000001100001</v>
      </c>
      <c r="DZ13">
        <v>28.500000000299998</v>
      </c>
      <c r="EA13">
        <v>35.5</v>
      </c>
      <c r="EB13">
        <v>42.900000000399999</v>
      </c>
      <c r="EC13">
        <v>50.4000000001</v>
      </c>
      <c r="ED13">
        <v>58.000000000900002</v>
      </c>
      <c r="EE13">
        <v>65.500000000599996</v>
      </c>
      <c r="EF13">
        <v>72.500000000200004</v>
      </c>
      <c r="EG13">
        <v>80.100000000999998</v>
      </c>
      <c r="EH13">
        <v>87.800000001200004</v>
      </c>
      <c r="EI13">
        <v>95.800000001000001</v>
      </c>
      <c r="EJ13">
        <v>103.90000000009999</v>
      </c>
      <c r="EK13">
        <v>112.000000001</v>
      </c>
      <c r="EL13">
        <v>119.8999999997</v>
      </c>
      <c r="EM13">
        <v>127.5999999998</v>
      </c>
      <c r="EN13">
        <v>135.59999999959999</v>
      </c>
      <c r="EO13">
        <v>143.90000000090001</v>
      </c>
      <c r="EP13">
        <v>152.29999999969999</v>
      </c>
      <c r="EQ13">
        <v>160.6000000011</v>
      </c>
      <c r="ER13">
        <v>168.6000000009</v>
      </c>
      <c r="ES13">
        <v>176.49999999959999</v>
      </c>
      <c r="ET13">
        <v>184.50000000119999</v>
      </c>
      <c r="EU13">
        <v>192.69999999960001</v>
      </c>
      <c r="EV13">
        <v>201.1000000002</v>
      </c>
      <c r="EW13">
        <v>209.39999999969999</v>
      </c>
      <c r="EX13">
        <v>217.5000000007</v>
      </c>
      <c r="EY13">
        <v>225.4000000012</v>
      </c>
      <c r="EZ13">
        <v>233.0000000002</v>
      </c>
      <c r="FA13">
        <v>240.9000000007</v>
      </c>
      <c r="FB13">
        <v>248.9999999998</v>
      </c>
      <c r="FC13">
        <v>257.10000000069999</v>
      </c>
      <c r="FD13">
        <v>264.99999999940002</v>
      </c>
      <c r="FE13">
        <v>272.3999999998</v>
      </c>
      <c r="FF13">
        <v>279.50000000059998</v>
      </c>
      <c r="FG13">
        <v>287.09999999960002</v>
      </c>
      <c r="FH13">
        <v>294.6000000011</v>
      </c>
      <c r="FI13">
        <v>302.30000000119998</v>
      </c>
      <c r="FJ13">
        <v>309.69999999980001</v>
      </c>
      <c r="FK13">
        <v>317.0000000009</v>
      </c>
      <c r="FL13">
        <v>323.8000000001</v>
      </c>
      <c r="FM13">
        <v>330.4000000007</v>
      </c>
      <c r="FN13">
        <v>337.1999999999</v>
      </c>
      <c r="FO13">
        <v>343.80000000059999</v>
      </c>
      <c r="FP13">
        <v>350.70000000089999</v>
      </c>
      <c r="FQ13">
        <v>357.50000000009999</v>
      </c>
      <c r="FR13">
        <v>363.99999999959999</v>
      </c>
      <c r="FS13">
        <v>370.30000000050001</v>
      </c>
      <c r="FT13">
        <v>376.29999999990002</v>
      </c>
      <c r="FU13">
        <v>382.2</v>
      </c>
      <c r="FV13">
        <v>388.20000000120001</v>
      </c>
      <c r="FW13">
        <v>394.00000000019998</v>
      </c>
      <c r="FX13">
        <v>399.9000000003</v>
      </c>
      <c r="FY13">
        <v>406.0000000009</v>
      </c>
      <c r="FZ13">
        <v>411.79999999990002</v>
      </c>
      <c r="GA13">
        <v>417.300000001</v>
      </c>
      <c r="GB13">
        <v>422.39999999949998</v>
      </c>
      <c r="GC13">
        <v>427.40000000049997</v>
      </c>
      <c r="GD13">
        <v>432.30000000040002</v>
      </c>
      <c r="GE13">
        <v>437.2999999996</v>
      </c>
      <c r="GF13">
        <v>442.19999999949999</v>
      </c>
      <c r="GG13">
        <v>446.79999999969999</v>
      </c>
      <c r="GH13">
        <v>451.39999999989999</v>
      </c>
      <c r="GI13">
        <v>455.7000000004</v>
      </c>
      <c r="GJ13">
        <v>458.70000000099998</v>
      </c>
      <c r="GK13">
        <v>460.9</v>
      </c>
      <c r="GL13">
        <v>462.7</v>
      </c>
      <c r="GM13">
        <v>463.40000000049997</v>
      </c>
      <c r="GN13">
        <v>463.40000000049997</v>
      </c>
      <c r="GO13">
        <v>463.49999999980002</v>
      </c>
      <c r="GP13">
        <v>463.49999999980002</v>
      </c>
      <c r="GQ13">
        <v>463.60000000100001</v>
      </c>
      <c r="GR13">
        <v>463.60000000100001</v>
      </c>
      <c r="GS13">
        <v>463.60000000100001</v>
      </c>
      <c r="GT13">
        <v>463.60000000100001</v>
      </c>
      <c r="GU13">
        <v>463.70000000020002</v>
      </c>
      <c r="GV13">
        <v>463.70000000020002</v>
      </c>
      <c r="GW13">
        <v>1</v>
      </c>
      <c r="GX13">
        <v>117.7000000007</v>
      </c>
      <c r="GY13">
        <v>113.800000001</v>
      </c>
      <c r="GZ13">
        <v>113.800000001</v>
      </c>
      <c r="HA13">
        <v>127.5999999998</v>
      </c>
      <c r="HB13">
        <v>117.3917196772</v>
      </c>
      <c r="HC13">
        <v>-13.799999998800001</v>
      </c>
      <c r="HD13">
        <v>463.70000000020002</v>
      </c>
      <c r="HE13">
        <v>286.54473315389998</v>
      </c>
      <c r="HF13">
        <v>100.30950943489999</v>
      </c>
      <c r="HG13">
        <v>463.79999999950002</v>
      </c>
      <c r="HH13">
        <v>463.70000000020002</v>
      </c>
      <c r="HI13">
        <v>463.79999999950002</v>
      </c>
      <c r="HJ13">
        <v>463.70000000020002</v>
      </c>
      <c r="HK13">
        <v>121.9941348974</v>
      </c>
      <c r="HL13">
        <v>3.3346566551999999</v>
      </c>
      <c r="HM13">
        <v>3.2044156587999999</v>
      </c>
      <c r="HN13">
        <v>3.2559215242000001</v>
      </c>
      <c r="HO13">
        <v>3.0860824549000001</v>
      </c>
      <c r="HP13">
        <v>3.5001340586</v>
      </c>
      <c r="HQ13">
        <v>2.3036863856999998</v>
      </c>
      <c r="HR13">
        <v>17.0822102423</v>
      </c>
      <c r="HS13">
        <v>-30.4985337243</v>
      </c>
      <c r="HT13">
        <v>-208</v>
      </c>
      <c r="HU13">
        <v>403.93645283109998</v>
      </c>
      <c r="HV13">
        <v>89.149560117299998</v>
      </c>
      <c r="HW13">
        <v>608</v>
      </c>
      <c r="HX13">
        <v>17.0822102423</v>
      </c>
      <c r="HY13">
        <v>-30.4985337243</v>
      </c>
      <c r="HZ13">
        <v>-208</v>
      </c>
      <c r="IA13">
        <v>403.93645283109998</v>
      </c>
      <c r="IB13">
        <v>89.149560117299998</v>
      </c>
      <c r="IC13">
        <v>608</v>
      </c>
      <c r="ID13">
        <v>59.763547169100001</v>
      </c>
      <c r="IE13">
        <v>0.12380593099999999</v>
      </c>
      <c r="IF13">
        <v>-39.8826979472</v>
      </c>
      <c r="IG13">
        <v>-272</v>
      </c>
      <c r="IH13">
        <v>426.17748787120001</v>
      </c>
      <c r="II13">
        <v>98.533724340199996</v>
      </c>
      <c r="IJ13">
        <v>672</v>
      </c>
      <c r="IK13">
        <v>386.85424258879999</v>
      </c>
      <c r="IL13">
        <v>119.6480938416</v>
      </c>
      <c r="IM13">
        <v>409.83192452880002</v>
      </c>
      <c r="IN13">
        <v>129.03225806450001</v>
      </c>
      <c r="IO13">
        <v>6.5000000013000001</v>
      </c>
      <c r="IP13">
        <v>5.7999999989999997</v>
      </c>
      <c r="IQ13">
        <v>8.4000000006000004</v>
      </c>
      <c r="IR13">
        <v>5.4531534762999998</v>
      </c>
      <c r="IS13">
        <v>5.4531534762999998</v>
      </c>
      <c r="IT13">
        <v>12.0000000006</v>
      </c>
      <c r="IU13">
        <v>-30.4985337243</v>
      </c>
      <c r="IV13">
        <v>15.699999999899999</v>
      </c>
      <c r="IW13">
        <v>37.536656891500002</v>
      </c>
      <c r="IX13">
        <v>13.799999998800001</v>
      </c>
      <c r="IY13">
        <v>96.187683284499997</v>
      </c>
      <c r="IZ13">
        <v>-36.0017502476</v>
      </c>
      <c r="JA13">
        <v>0.34034205880000001</v>
      </c>
      <c r="JB13">
        <v>-3.6269569999999998E-4</v>
      </c>
      <c r="JC13">
        <v>7.1070000000000003E-7</v>
      </c>
      <c r="JD13">
        <v>0.29988094830000001</v>
      </c>
      <c r="JE13">
        <v>0.20828536210000001</v>
      </c>
      <c r="JF13">
        <v>7.0389350200000006E-2</v>
      </c>
      <c r="JG13">
        <v>117.4321452681</v>
      </c>
      <c r="JH13">
        <v>3.5001340586</v>
      </c>
      <c r="JI13">
        <v>3.3472896E-3</v>
      </c>
      <c r="JJ13">
        <v>-7.5211700000000004E-5</v>
      </c>
      <c r="JK13">
        <v>3.3346566551999999</v>
      </c>
      <c r="JL13">
        <v>1.1554683385</v>
      </c>
      <c r="JM13">
        <v>0.38822565180000002</v>
      </c>
      <c r="JN13" t="s">
        <v>538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76.004989670000001</v>
      </c>
      <c r="D16" s="9">
        <f>AVERAGE(C18:C20)</f>
        <v>72.994361936666678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74.841218479999995</v>
      </c>
      <c r="D17" s="9">
        <f>AVERAGE(C21:C23)</f>
        <v>78.54993000333333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72.637754259999994</v>
      </c>
      <c r="D18" s="11">
        <f>AVERAGE(C24:C26)</f>
        <v>75.841490250000007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65.010663910000005</v>
      </c>
      <c r="D19" s="6">
        <f>AVERAGE('Summary(3pcs)'!E34:E35)</f>
        <v>134.71011386788791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81.334667640000006</v>
      </c>
      <c r="D20" s="9">
        <f>AVERAGE('Summary(3pcs)'!E36:E38)</f>
        <v>127.09772466220458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79.915368900000004</v>
      </c>
      <c r="D21" s="9">
        <f>AVERAGE('Summary(3pcs)'!E39:E41)</f>
        <v>141.58716580490457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78.618023800000003</v>
      </c>
      <c r="D22" s="11">
        <f>AVERAGE('Summary(3pcs)'!E42:E44)</f>
        <v>133.92038979400456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77.116397309999996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71.651899549999996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82.682669430000004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73.189901770000006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-6.5241008846000001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-5.9860801722000003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-6.4739276066000002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-2.8482158610999999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-3.2300864438999999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-4.4821983998999997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-7.3704365060999999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-4.7647983986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-5.4580811311250006</v>
      </c>
      <c r="C39" s="5">
        <f>'Summary(3pcs)'!M34</f>
        <v>-6.5241008846000001</v>
      </c>
      <c r="D39" s="11">
        <f t="shared" si="0"/>
        <v>-5.8978284328999999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-5.9860801722000003</v>
      </c>
      <c r="D40" s="6">
        <f t="shared" si="0"/>
        <v>-11.0487377425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-6.4739276066000002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-2.8482158610999999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-4.9618799371249995</v>
      </c>
      <c r="C43" s="8">
        <f>'Summary(3pcs)'!M39</f>
        <v>-3.2300864438999999</v>
      </c>
      <c r="D43" s="6">
        <f t="shared" ref="D43:D54" si="2">C55</f>
        <v>2.3708175453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-4.4821983998999997</v>
      </c>
      <c r="D44" s="9">
        <f t="shared" si="2"/>
        <v>3.8958498304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-7.3704365060999999</v>
      </c>
      <c r="D45" s="11">
        <f t="shared" si="2"/>
        <v>1.5019301388000001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-4.7647983986</v>
      </c>
      <c r="D46" s="6">
        <f t="shared" si="2"/>
        <v>3.6719933886999998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-5.8978284328999999</v>
      </c>
      <c r="D47" s="9">
        <f t="shared" si="2"/>
        <v>-7.4272746425000005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-11.0487377425</v>
      </c>
      <c r="D48" s="11">
        <f t="shared" si="2"/>
        <v>-1.4090684729999996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0.15154279920000002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-3.3487497631999998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3.0672294253999999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-1.1975517296999998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2.8601477258000001</v>
      </c>
      <c r="C55" s="5">
        <f>'Summary(3pcs)'!N34</f>
        <v>2.3708175453</v>
      </c>
      <c r="D55" s="6">
        <f>AVERAGE(D31:D33)</f>
        <v>-6.3280362211333339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3.8958498304</v>
      </c>
      <c r="D56" s="9">
        <f>AVERAGE(D34:D36)</f>
        <v>-3.520166901633333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1.5019301388000001</v>
      </c>
      <c r="D57" s="9">
        <f>AVERAGE(D37:D39)</f>
        <v>-6.0110211125333324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3.6719933886999998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-3.0083875198749999</v>
      </c>
      <c r="C59" s="8">
        <f>'Summary(3pcs)'!N39</f>
        <v>-7.4272746425000005</v>
      </c>
      <c r="D59" s="9">
        <f>AVERAGE(D43:D45)</f>
        <v>2.5895325048333331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-1.4090684729999996</v>
      </c>
      <c r="D60" s="9">
        <f>AVERAGE(D46:D48)</f>
        <v>-1.7214499089333335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0.15154279920000002</v>
      </c>
      <c r="D61" s="9">
        <f>AVERAGE(D49:D51)</f>
        <v>-4.3325846199999983E-2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-3.3487497631999998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3.0672294253999999</v>
      </c>
      <c r="D63" s="6">
        <f>AVERAGE(C71:C73)</f>
        <v>-2.5698827903333332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-1.1975517296999998</v>
      </c>
      <c r="D64" s="9">
        <f>AVERAGE(C74:C76)</f>
        <v>-4.2768724563333329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-2.5176746447666667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-1.2015676101000003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-3.4957797923333334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-1.9035480816666663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1.3113890489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-1.1716109911666666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-4.5442297460000001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-0.94372892400000019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-2.2216897009999999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-5.706445456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-0.84108638799999991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-6.2830855249999997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-7.4259535074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-2.6986122130999997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2.5715417861999992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1.0439834594999997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-5.0862582922000001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0.4375720023999996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-4.6794050929999997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-1.589430809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-4.2185034750000003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-6.4445748329999999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0.67050314000000011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6.3427448000000108E-2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2.6290612220999998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0.3090505600000002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0.9960553646000001</v>
      </c>
    </row>
    <row r="96" spans="1:7">
      <c r="A96" s="1" t="s">
        <v>87</v>
      </c>
      <c r="C96" s="5">
        <f>'Summary(3pcs)'!W43</f>
        <v>-1.7431583405</v>
      </c>
    </row>
    <row r="97" spans="1:3">
      <c r="A97" s="1" t="s">
        <v>87</v>
      </c>
      <c r="C97" s="8">
        <f>'Summary(3pcs)'!W44</f>
        <v>6.8132162099999949E-2</v>
      </c>
    </row>
    <row r="98" spans="1:3" ht="17.25" thickBot="1">
      <c r="A98" s="1" t="s">
        <v>87</v>
      </c>
      <c r="C98" s="10">
        <f>'Summary(3pcs)'!W45</f>
        <v>-1.8398067950999999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2022-09-23T03:28:07Z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