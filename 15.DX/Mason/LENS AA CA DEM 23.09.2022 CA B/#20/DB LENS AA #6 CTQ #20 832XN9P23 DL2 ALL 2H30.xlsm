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<sst xmlns="http://schemas.openxmlformats.org/spreadsheetml/2006/main" count="1419" uniqueCount="671">
  <si>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</si>
  <si>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</si>
  <si>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</si>
  <si>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</si>
  <si>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</si>
  <si>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</si>
  <si>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</si>
  <si>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</si>
  <si>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</si>
  <si>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</si>
  <si>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</si>
  <si>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</si>
  <si>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</si>
  <si>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</si>
  <si>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</si>
  <si>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</si>
  <si>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</si>
  <si>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</si>
  <si>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</si>
  <si>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</si>
  <si>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</si>
  <si>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</si>
  <si>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</si>
  <si>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</si>
  <si>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</si>
  <si>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</si>
  <si>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</si>
  <si>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</si>
  <si>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</si>
  <si>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</si>
  <si>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</si>
  <si>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</si>
  <si>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</si>
  <si>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</si>
  <si>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</si>
  <si>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</si>
  <si>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</si>
  <si>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</si>
  <si>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</si>
  <si>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</si>
  <si>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</si>
  <si>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</si>
  <si>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</si>
  <si>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</si>
  <si>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</si>
  <si>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</si>
  <si>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</si>
  <si>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</si>
  <si>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</si>
  <si>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</si>
  <si>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</si>
  <si>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</si>
  <si>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</si>
  <si>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</si>
  <si>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</si>
  <si>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</si>
  <si>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</si>
  <si>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</si>
  <si>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</si>
  <si>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</si>
  <si>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</si>
  <si>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</si>
  <si>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</si>
  <si>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</si>
  <si>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</si>
  <si>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</si>
  <si>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</si>
  <si>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</si>
  <si>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</si>
  <si>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</si>
  <si>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</si>
  <si>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</si>
  <si>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</si>
  <si>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</si>
  <si>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</si>
  <si>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</si>
  <si>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</si>
  <si>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</si>
  <si>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</si>
  <si>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</si>
  <si>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</si>
  <si>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</si>
  <si>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</si>
  <si>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</si>
  <si>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</si>
  <si>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</si>
  <si>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</si>
  <si>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</si>
  <si>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</si>
  <si>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</si>
  <si>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</si>
  <si>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</si>
  <si>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</si>
  <si>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</si>
  <si>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</si>
  <si>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</si>
  <si>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</si>
  <si>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</si>
  <si>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</si>
  <si>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</si>
  <si>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</si>
  <si>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</si>
  <si>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</si>
  <si>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</si>
  <si>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</si>
  <si>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</si>
  <si>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</si>
  <si>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</si>
  <si>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</si>
  <si>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</si>
  <si>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</si>
  <si>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</si>
  <si>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</si>
  <si>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</si>
  <si>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</si>
  <si>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</si>
  <si>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</si>
  <si>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</si>
  <si>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</si>
  <si>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</si>
  <si>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</si>
  <si>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</si>
  <si>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</si>
  <si>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</si>
  <si>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</si>
  <si>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</si>
  <si>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</si>
  <si>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</si>
  <si>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</si>
  <si>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</si>
  <si>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</si>
  <si>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</si>
  <si>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</si>
  <si>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</si>
  <si>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</si>
  <si>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</si>
  <si>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</si>
  <si>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</si>
  <si>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</si>
  <si>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</si>
  <si>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</si>
  <si>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</si>
  <si>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</si>
  <si>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</si>
  <si>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</si>
  <si>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</si>
  <si>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</si>
  <si>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</si>
  <si>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</si>
  <si>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</si>
  <si>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MS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</si>
  <si>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</si>
  <si>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</si>
  <si>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</si>
  <si>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</si>
  <si>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</si>
  <si>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</si>
  <si>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</si>
  <si>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</si>
  <si>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</si>
  <si>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</si>
  <si>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</si>
  <si>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</si>
  <si>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</si>
  <si>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</si>
  <si>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</si>
  <si>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</si>
  <si>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</si>
  <si>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</si>
  <si>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</si>
  <si>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</si>
  <si>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</si>
  <si>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</si>
  <si>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</si>
  <si>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</si>
  <si>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</si>
  <si>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</si>
  <si>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</si>
  <si>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</si>
  <si>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</si>
  <si>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</si>
  <si>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</si>
  <si>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</si>
  <si>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</si>
  <si>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</si>
  <si>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</si>
  <si>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</si>
  <si>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</si>
  <si>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</si>
  <si>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</si>
  <si>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</si>
  <si>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</si>
  <si>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</si>
  <si>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</si>
  <si>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</si>
  <si>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</si>
  <si>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</si>
  <si>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</si>
  <si>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</si>
  <si>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</si>
  <si>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</si>
  <si>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</si>
  <si>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</si>
  <si>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</si>
  <si>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</si>
  <si>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</si>
  <si>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</si>
  <si>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</si>
  <si>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</si>
  <si>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VCMLEBC060A</t>
  </si>
  <si>
    <t>DB_C1001</t>
  </si>
  <si>
    <t>210615ADOE</t>
  </si>
  <si>
    <t>R13A_OC_MFG_C10_21091603_b1779c9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</si>
  <si>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</si>
  <si>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</si>
  <si>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</si>
  <si>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</si>
  <si>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</si>
  <si>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</si>
  <si>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</si>
  <si>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</si>
  <si>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</si>
  <si>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</si>
  <si>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</si>
  <si>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</si>
  <si>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</si>
  <si>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</si>
  <si>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</si>
  <si>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</si>
  <si>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</si>
  <si>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</si>
  <si>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</si>
  <si>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</si>
  <si>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</si>
  <si>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</si>
  <si>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</si>
  <si>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</si>
  <si>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</si>
  <si>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</si>
  <si>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</si>
  <si>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</si>
  <si>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</si>
  <si>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</si>
  <si>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</si>
  <si>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</si>
  <si>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</si>
  <si>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</si>
  <si>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</si>
  <si>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</si>
  <si>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</si>
  <si>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</si>
  <si>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</si>
  <si>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</si>
  <si>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</si>
  <si>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</si>
  <si>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</si>
  <si>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</si>
  <si>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</si>
  <si>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</si>
  <si>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</si>
  <si>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</si>
  <si>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</si>
  <si>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</si>
  <si>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</si>
  <si>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</si>
  <si>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</si>
  <si>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</si>
  <si>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</si>
  <si>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</si>
  <si>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</si>
  <si>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</si>
  <si>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</si>
  <si>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</si>
  <si>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</si>
  <si>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</si>
  <si>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</si>
  <si>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</si>
  <si>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</si>
  <si>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</si>
  <si>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</si>
  <si>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</si>
  <si>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</si>
  <si>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</si>
  <si>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</si>
  <si>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</si>
  <si>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</si>
  <si>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</si>
  <si>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</si>
  <si>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</si>
  <si>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</si>
  <si>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</si>
  <si>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</si>
  <si>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</si>
  <si>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</si>
  <si>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</si>
  <si>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</si>
  <si>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</si>
  <si>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</si>
  <si>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</si>
  <si>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</si>
  <si>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</si>
  <si>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</si>
  <si>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</si>
  <si>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</si>
  <si>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</si>
  <si>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</si>
  <si>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</si>
  <si>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</si>
  <si>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</si>
  <si>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</si>
  <si>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</si>
  <si>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</si>
  <si>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</si>
  <si>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</si>
  <si>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</si>
  <si>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</si>
  <si>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</si>
  <si>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</si>
  <si>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</si>
  <si>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</si>
  <si>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</si>
  <si>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</si>
  <si>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</si>
  <si>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</si>
  <si>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</si>
  <si>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</si>
  <si>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</si>
  <si>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</si>
  <si>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</si>
  <si>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</si>
  <si>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</si>
  <si>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</si>
  <si>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</si>
  <si>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</si>
  <si>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</si>
  <si>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</si>
  <si>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</si>
  <si>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</si>
  <si>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</si>
  <si>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</si>
  <si>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</si>
  <si>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</si>
  <si>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</si>
  <si>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</si>
  <si>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</si>
  <si>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</si>
  <si>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</si>
  <si>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</si>
  <si>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</si>
  <si>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</si>
  <si>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</si>
  <si>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</si>
  <si>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</si>
  <si>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</si>
  <si>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</si>
  <si>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</si>
  <si>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</si>
  <si>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</si>
  <si>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</si>
  <si>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</si>
  <si>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</si>
  <si>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</si>
  <si>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</si>
  <si>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</si>
  <si>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</si>
  <si>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</si>
  <si>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</si>
  <si>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</si>
  <si>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</si>
  <si>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</si>
  <si>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</si>
  <si>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</si>
  <si>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</si>
  <si>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</si>
  <si>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</si>
  <si>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</si>
  <si>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</si>
  <si>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</si>
  <si>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</si>
  <si>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</si>
  <si>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</si>
  <si>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</si>
  <si>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</si>
  <si>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</si>
  <si>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</si>
  <si>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</si>
  <si>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</si>
  <si>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</si>
  <si>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</si>
  <si>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</si>
  <si>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</si>
  <si>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</si>
  <si>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</si>
  <si>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</si>
  <si>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</si>
  <si>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</si>
  <si>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</si>
  <si>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</si>
  <si>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</si>
  <si>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</si>
  <si>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</si>
  <si>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</si>
  <si>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</si>
  <si>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</si>
  <si>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</si>
  <si>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</si>
  <si>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</si>
  <si>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</si>
  <si>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</si>
  <si>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</si>
  <si>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</si>
  <si>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</si>
  <si>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</si>
  <si>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</si>
  <si>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</si>
  <si>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</si>
  <si>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</si>
  <si>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</si>
  <si>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</si>
  <si>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</si>
  <si>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</si>
  <si>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</si>
  <si>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</si>
  <si>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</si>
  <si>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</si>
  <si>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</si>
  <si>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</si>
  <si>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</si>
  <si>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</si>
  <si>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</si>
  <si>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</si>
  <si>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</si>
  <si>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</si>
  <si>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</si>
  <si>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</si>
  <si>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</si>
  <si>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</si>
  <si>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</si>
  <si>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</si>
  <si>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</si>
  <si>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</si>
  <si>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</si>
  <si>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</si>
  <si>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</si>
  <si>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</si>
  <si>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</si>
  <si>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</si>
  <si>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</si>
  <si>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</si>
  <si>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</si>
  <si>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</si>
  <si>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</si>
  <si>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</si>
  <si>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</si>
  <si>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</si>
  <si>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</si>
  <si>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</si>
  <si>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</si>
  <si>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</si>
  <si>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</si>
  <si>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</si>
  <si>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</si>
  <si>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</si>
  <si>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</si>
  <si>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</si>
  <si>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</si>
  <si>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</si>
  <si>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</si>
  <si>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</si>
  <si>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</si>
  <si>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</si>
  <si>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</si>
  <si>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</si>
  <si>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</si>
  <si>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</si>
  <si>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</si>
  <si>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</si>
  <si>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</si>
  <si>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</si>
  <si>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</si>
  <si>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</si>
  <si>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</si>
  <si>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</si>
  <si>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</si>
  <si>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</si>
  <si>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</si>
  <si>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</si>
  <si>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</si>
  <si>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</si>
  <si>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</si>
  <si>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</si>
  <si>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</si>
  <si>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</si>
  <si>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</si>
  <si>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</si>
  <si>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</si>
  <si>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</si>
  <si>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</si>
  <si>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</si>
  <si>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</si>
  <si>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</si>
  <si>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</si>
  <si>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</si>
  <si>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</si>
  <si>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</si>
  <si>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</si>
  <si>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</si>
  <si>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</si>
  <si>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</si>
  <si>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</si>
  <si>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</si>
  <si>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</si>
  <si>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</si>
  <si>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</si>
  <si>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</si>
  <si>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</si>
  <si>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</si>
  <si>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</si>
  <si>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</si>
  <si>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</si>
  <si>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</si>
  <si>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</si>
  <si>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</si>
  <si>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R13A_IPQC_MFG_Laser_C10_21090805_b1779c9</t>
  </si>
  <si>
    <t>v9p4</t>
  </si>
  <si>
    <t>D:\EVMS\TP\LOG\ VSY832XN9P23_2022092321</t>
    <phoneticPr fontId="8" type="noConversion"/>
  </si>
  <si>
    <t>T220923212852286VCMLEBC060</t>
  </si>
  <si>
    <t>'2022-09-23 21:29:01:089</t>
  </si>
  <si>
    <t xml:space="preserve"> VSY832XN9P23</t>
  </si>
  <si>
    <t>22cb08200174</t>
  </si>
  <si>
    <t>0x52801862de224b07</t>
  </si>
  <si>
    <t>MFAC351AB19N82B6B736006122</t>
  </si>
  <si>
    <t>MF4C3514BJFK13A7A654</t>
  </si>
  <si>
    <t>DNA22301054440A14A</t>
  </si>
  <si>
    <t>T220923212918537VCMLEBC060</t>
  </si>
  <si>
    <t>'2022-09-23 21:29:47:409</t>
  </si>
  <si>
    <t>'2022-09-23 21:29:37:380</t>
  </si>
  <si>
    <t>T220923212903772VCMLEBC060</t>
  </si>
  <si>
    <t>'2022-09-23 21:29:16:317</t>
  </si>
  <si>
    <t>T220923212957970VCMLEBC060</t>
  </si>
  <si>
    <t>'2022-09-23 21:30:06:865</t>
  </si>
  <si>
    <t>22cb08200746</t>
  </si>
  <si>
    <t>0x52801562dbea0007</t>
  </si>
  <si>
    <t>MFAC351AB03U82B6B636015120</t>
  </si>
  <si>
    <t>MF4C3514BJG913A7A633</t>
  </si>
  <si>
    <t>DNA22244073810E08A</t>
  </si>
  <si>
    <t>T220923213024368VCMLEBC060</t>
  </si>
  <si>
    <t>'2022-09-23 21:30:53:284</t>
  </si>
  <si>
    <t>'2022-09-23 21:30:43:253</t>
  </si>
  <si>
    <t>T220923213009604VCMLEBC060</t>
  </si>
  <si>
    <t>'2022-09-23 21:30:22:145</t>
  </si>
  <si>
    <t>T220923213126985VCMLEBC060</t>
  </si>
  <si>
    <t>'2022-09-23 21:31:35:874</t>
  </si>
  <si>
    <t>22cb08200919</t>
  </si>
  <si>
    <t>0x52801562dbe9f805</t>
  </si>
  <si>
    <t>MFAC351AB14M82B6B231032104</t>
  </si>
  <si>
    <t>MF4C3514BJFJ13A7A640</t>
  </si>
  <si>
    <t>DNA22301054180F09A</t>
  </si>
  <si>
    <t>T220923213153253VCMLEBC060</t>
  </si>
  <si>
    <t>'2022-09-23 21:32:12:640</t>
  </si>
  <si>
    <t>T220923213138522VCMLEBC060</t>
  </si>
  <si>
    <t>'2022-09-23 21:31:51:055</t>
  </si>
  <si>
    <t>'2022-09-23 21:32:22:668</t>
  </si>
  <si>
    <t>T220923213236164VCMLEBC060</t>
  </si>
  <si>
    <t>'2022-09-23 21:32:45:065</t>
  </si>
  <si>
    <t>22cb08200392</t>
  </si>
  <si>
    <t>0x52801862de1fa206</t>
  </si>
  <si>
    <t>MFAC351AB03N82B6B435019104</t>
  </si>
  <si>
    <t>MF4C3514BJFS13A7A625</t>
  </si>
  <si>
    <t>DNA22301054440A12A</t>
  </si>
  <si>
    <t>T220923213247752VCMLEBC060</t>
  </si>
  <si>
    <t>'2022-09-23 21:33:00:284</t>
  </si>
  <si>
    <t>T220923213302538VCMLEBC060</t>
  </si>
  <si>
    <t>'2022-09-23 21:33:31:943</t>
  </si>
  <si>
    <t>'2022-09-23 21:33:21:919</t>
  </si>
  <si>
    <t>T220923213348878VCMLEBC060</t>
  </si>
  <si>
    <t>'2022-09-23 21:33:57:838</t>
  </si>
  <si>
    <t>22cb08200839</t>
  </si>
  <si>
    <t>0x52801862de1e8206</t>
  </si>
  <si>
    <t>MFBC354BB2MV32B6B937021109</t>
  </si>
  <si>
    <t>MF3C3573A4SA13A7A641</t>
  </si>
  <si>
    <t>DNA22301022130E09A</t>
  </si>
  <si>
    <t>T220923213400562VCMLEBC060</t>
  </si>
  <si>
    <t>'2022-09-23 21:34:13:100</t>
  </si>
  <si>
    <t>T220923213415332VCMLEBC060</t>
  </si>
  <si>
    <t>'2022-09-23 21:34:43:884</t>
  </si>
  <si>
    <t>'2022-09-23 21:34:33:859</t>
  </si>
  <si>
    <t>T220923213455504VCMLEBC060</t>
  </si>
  <si>
    <t>'2022-09-23 21:35:04:315</t>
  </si>
  <si>
    <t>22cb08190143</t>
  </si>
  <si>
    <t>0x52801562dbeac305</t>
  </si>
  <si>
    <t>MFAC351AB00Z82B6B839032105</t>
  </si>
  <si>
    <t>MF4C3514BHJA13A7A638</t>
  </si>
  <si>
    <t>DNA22302063220G03A</t>
  </si>
  <si>
    <t>T220923213521726VCMLEBC060</t>
  </si>
  <si>
    <t>'2022-09-23 21:35:50:289</t>
  </si>
  <si>
    <t>'2022-09-23 21:35:40:259</t>
  </si>
  <si>
    <t>T220923213506960VCMLEBC060</t>
  </si>
  <si>
    <t>'2022-09-23 21:35:19:493</t>
  </si>
  <si>
    <t>T220923213602477VCMLEBC060</t>
  </si>
  <si>
    <t>'2022-09-23 21:36:11:404</t>
  </si>
  <si>
    <t>22cb08200527</t>
  </si>
  <si>
    <t>0x52801862de234304</t>
  </si>
  <si>
    <t>MFAC351AB11082B6B535011133</t>
  </si>
  <si>
    <t>MF4C3514BJFU13A7A639</t>
  </si>
  <si>
    <t>DNA22301054440B12A</t>
  </si>
  <si>
    <t>T220923213614049VCMLEBC060</t>
  </si>
  <si>
    <t>'2022-09-23 21:36:26:581</t>
  </si>
  <si>
    <t>T220923213628829VCMLEBC060</t>
  </si>
  <si>
    <t>'2022-09-23 21:36:58:255</t>
  </si>
  <si>
    <t>'2022-09-23 21:36:48:229</t>
  </si>
  <si>
    <t>T220923213711598VCMLEBC060</t>
  </si>
  <si>
    <t>'2022-09-23 21:37:20:586</t>
  </si>
  <si>
    <t>22cb08200886</t>
  </si>
  <si>
    <t>0x52801562dbee7403</t>
  </si>
  <si>
    <t>MFAC351AB18Y82B6B638018103</t>
  </si>
  <si>
    <t>MF4C3514BJFL13A7A635</t>
  </si>
  <si>
    <t>DNA22301104930A13A</t>
  </si>
  <si>
    <t>T220923213738024VCMLEBC060</t>
  </si>
  <si>
    <t>'2022-09-23 21:37:57:134</t>
  </si>
  <si>
    <t>T220923213723261VCMLEBC060</t>
  </si>
  <si>
    <t>'2022-09-23 21:37:35:807</t>
  </si>
  <si>
    <t>'2022-09-23 21:38:07:164</t>
  </si>
  <si>
    <t>T220923213818047VCMLEBC060</t>
  </si>
  <si>
    <t>'2022-09-23 21:38:26:844</t>
  </si>
  <si>
    <t>22cb08200190</t>
  </si>
  <si>
    <t>0x52801562dbea0807</t>
  </si>
  <si>
    <t>MFAC351AB03R82B6B336024009</t>
  </si>
  <si>
    <t>MF4C3514BJFY13A7A642</t>
  </si>
  <si>
    <t>DNA22301054440A08A</t>
  </si>
  <si>
    <t>T220923213844238VCMLEBC060</t>
  </si>
  <si>
    <t>'2022-09-23 21:39:03:241</t>
  </si>
  <si>
    <t>T220923213829476VCMLEBC060</t>
  </si>
  <si>
    <t>'2022-09-23 21:38:42:013</t>
  </si>
  <si>
    <t>'2022-09-23 21:39:13:269</t>
  </si>
  <si>
    <t>T220923213923327VCMLEBC060</t>
  </si>
  <si>
    <t>'2022-09-23 21:39:32:232</t>
  </si>
  <si>
    <t>22cb08200922</t>
  </si>
  <si>
    <t>0x52801862de233f06</t>
  </si>
  <si>
    <t>MFAC351AB12N82B6B135018005</t>
  </si>
  <si>
    <t>MF4C3514BJF813A7A640</t>
  </si>
  <si>
    <t>DNA22301104930A11A</t>
  </si>
  <si>
    <t>T220923213949708VCMLEBC060</t>
  </si>
  <si>
    <t>'2022-09-23 21:40:18:851</t>
  </si>
  <si>
    <t>'2022-09-23 21:40:08:824</t>
  </si>
  <si>
    <t>T220923213934927VCMLEBC060</t>
  </si>
  <si>
    <t>'2022-09-23 21:39:47:458</t>
  </si>
  <si>
    <t>T220923214034378VCMLEBC060</t>
  </si>
  <si>
    <t>'2022-09-23 21:40:43:112</t>
  </si>
  <si>
    <t>22cb08200646</t>
  </si>
  <si>
    <t>0x52801562dbec4e04</t>
  </si>
  <si>
    <t>MFAC351AB10W82B6B840024001</t>
  </si>
  <si>
    <t>MF4C3514BJG813A7A645</t>
  </si>
  <si>
    <t>DNA22301103350E06A</t>
  </si>
  <si>
    <t>T220923214045942VCMLEBC060</t>
  </si>
  <si>
    <t>'2022-09-23 21:40:58:476</t>
  </si>
  <si>
    <t>T220923214100703VCMLEBC060</t>
  </si>
  <si>
    <t>'2022-09-23 21:41:19:929</t>
  </si>
  <si>
    <t>'2022-09-23 21:41:29:955</t>
  </si>
  <si>
    <t>T220923214140854VCMLEBC060</t>
  </si>
  <si>
    <t>'2022-09-23 21:41:49:777</t>
  </si>
  <si>
    <t>22cb08200652</t>
  </si>
  <si>
    <t>0x52801562e3561308</t>
  </si>
  <si>
    <t>MFAC351AB19782B6C039006124</t>
  </si>
  <si>
    <t>MF4C3514BJFM13A7A637</t>
  </si>
  <si>
    <t>DNA22301054440B05A</t>
  </si>
  <si>
    <t>T220923214207167VCMLEBC060</t>
  </si>
  <si>
    <t>'2022-09-23 21:42:35:815</t>
  </si>
  <si>
    <t>'2022-09-23 21:42:25:786</t>
  </si>
  <si>
    <t>T220923214152406VCMLEBC060</t>
  </si>
  <si>
    <t>'2022-09-23 21:42:04:940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</si>
</sst>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9.4954011211000005</c:v>
                </c:pt>
                <c:pt idx="1">
                  <c:v>6.5664628830999998</c:v>
                </c:pt>
                <c:pt idx="2">
                  <c:v>5.1635080679999996</c:v>
                </c:pt>
                <c:pt idx="3">
                  <c:v>2.6091580743999998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-6.1234816474000002</c:v>
                </c:pt>
                <c:pt idx="1">
                  <c:v>-7.3086591125999991</c:v>
                </c:pt>
                <c:pt idx="2">
                  <c:v>-13.7073023867</c:v>
                </c:pt>
                <c:pt idx="3">
                  <c:v>-9.7598530720000003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7.0751240240666666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-9.0464810489000005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8480"/>
        <c:axId val="74526720"/>
      </c:scatterChart>
      <c:valAx>
        <c:axId val="6238848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74526720"/>
        <c:crosses val="autoZero"/>
        <c:crossBetween val="midCat"/>
        <c:majorUnit val="10"/>
      </c:valAx>
      <c:valAx>
        <c:axId val="7452672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2388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1.0386193659</c:v>
                </c:pt>
                <c:pt idx="1">
                  <c:v>-3.2212150521999998</c:v>
                </c:pt>
                <c:pt idx="2">
                  <c:v>-9.2514477713000005</c:v>
                </c:pt>
                <c:pt idx="3">
                  <c:v>5.0682688546000003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-17.540120458899999</c:v>
                </c:pt>
                <c:pt idx="1">
                  <c:v>-12.445638667099999</c:v>
                </c:pt>
                <c:pt idx="2">
                  <c:v>-6.3205950241999993</c:v>
                </c:pt>
                <c:pt idx="3">
                  <c:v>-5.1367462608000007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0.14218746269999993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-13.248537399333332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59488"/>
        <c:axId val="74561024"/>
      </c:scatterChart>
      <c:valAx>
        <c:axId val="7455948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74561024"/>
        <c:crosses val="autoZero"/>
        <c:crossBetween val="midCat"/>
        <c:majorUnit val="10"/>
      </c:valAx>
      <c:valAx>
        <c:axId val="7456102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74559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4.5490762183999998</c:v>
                </c:pt>
                <c:pt idx="1">
                  <c:v>-10.207166275800001</c:v>
                </c:pt>
                <c:pt idx="2">
                  <c:v>-3.9394423126000002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-2.9514758926000004</c:v>
                </c:pt>
                <c:pt idx="1">
                  <c:v>-1.4831969805999998</c:v>
                </c:pt>
                <c:pt idx="2">
                  <c:v>-6.0164535928999996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0.12196576723333319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-4.8029390591999999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1136"/>
        <c:axId val="120732672"/>
      </c:scatterChart>
      <c:valAx>
        <c:axId val="12073113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0732672"/>
        <c:crosses val="autoZero"/>
        <c:crossBetween val="midCat"/>
        <c:majorUnit val="10"/>
      </c:valAx>
      <c:valAx>
        <c:axId val="12073267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0731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-5.1809414742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-6.7228750754999993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-6.4425166875333337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-4.740841882999999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42368"/>
        <c:axId val="125252352"/>
      </c:scatterChart>
      <c:valAx>
        <c:axId val="12524236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252352"/>
        <c:crosses val="autoZero"/>
        <c:crossBetween val="midCat"/>
        <c:majorUnit val="10"/>
      </c:valAx>
      <c:valAx>
        <c:axId val="12525235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242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91.873305862300001</c:v>
                </c:pt>
                <c:pt idx="1">
                  <c:v>90.290829821299994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91.644743868233334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86656"/>
        <c:axId val="125698048"/>
      </c:scatterChart>
      <c:valAx>
        <c:axId val="12528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698048"/>
        <c:crosses val="autoZero"/>
        <c:crossBetween val="midCat"/>
      </c:valAx>
      <c:valAx>
        <c:axId val="12569804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286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92.770095921099994</c:v>
                </c:pt>
                <c:pt idx="1">
                  <c:v>87.855632044299995</c:v>
                </c:pt>
                <c:pt idx="2">
                  <c:v>94.476157092199998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90.65611631163334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729024"/>
        <c:axId val="125734912"/>
      </c:scatterChart>
      <c:valAx>
        <c:axId val="12572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734912"/>
        <c:crosses val="autoZero"/>
        <c:crossBetween val="midCat"/>
      </c:valAx>
      <c:valAx>
        <c:axId val="12573491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729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89.6365597984</c:v>
                </c:pt>
                <c:pt idx="1">
                  <c:v>92.913711269399997</c:v>
                </c:pt>
                <c:pt idx="2">
                  <c:v>93.632544457799995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92.688490415933344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836736"/>
        <c:axId val="126838272"/>
      </c:scatterChart>
      <c:valAx>
        <c:axId val="12683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6838272"/>
        <c:crosses val="autoZero"/>
        <c:crossBetween val="midCat"/>
      </c:valAx>
      <c:valAx>
        <c:axId val="12683827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6836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91.5192155206</c:v>
                </c:pt>
                <c:pt idx="1">
                  <c:v>93.697954411200001</c:v>
                </c:pt>
                <c:pt idx="2">
                  <c:v>90.650673789600006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89.277476868500003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870656"/>
        <c:axId val="126872192"/>
      </c:scatterChart>
      <c:valAx>
        <c:axId val="12687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6872192"/>
        <c:crosses val="autoZero"/>
        <c:crossBetween val="midCat"/>
      </c:valAx>
      <c:valAx>
        <c:axId val="12687219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6870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-5.6855837106999996</c:v>
                </c:pt>
                <c:pt idx="1">
                  <c:v>-7.0306787490999998</c:v>
                </c:pt>
                <c:pt idx="2">
                  <c:v>-10.3876595497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-2.8429645300000002</c:v>
                </c:pt>
                <c:pt idx="1">
                  <c:v>-3.6588305830999999</c:v>
                </c:pt>
                <c:pt idx="2">
                  <c:v>-1.8290803432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-7.7013073365000002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-2.7769584854333331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0448"/>
        <c:axId val="131322240"/>
      </c:scatterChart>
      <c:valAx>
        <c:axId val="13132044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322240"/>
        <c:crosses val="autoZero"/>
        <c:crossBetween val="midCat"/>
        <c:majorUnit val="10"/>
      </c:valAx>
      <c:valAx>
        <c:axId val="13132224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320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-7.2204624414000005</c:v>
                </c:pt>
                <c:pt idx="1">
                  <c:v>-4.7879972457999997</c:v>
                </c:pt>
                <c:pt idx="2">
                  <c:v>-2.5024673938999999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0.30901288989999998</c:v>
                </c:pt>
                <c:pt idx="1">
                  <c:v>3.2285013199000003</c:v>
                </c:pt>
                <c:pt idx="2">
                  <c:v>-3.0668890922999998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-4.8369756937000004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0.15687503916666681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804992"/>
        <c:axId val="132806528"/>
      </c:scatterChart>
      <c:valAx>
        <c:axId val="13280499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806528"/>
        <c:crosses val="autoZero"/>
        <c:crossBetween val="midCat"/>
        <c:majorUnit val="10"/>
      </c:valAx>
      <c:valAx>
        <c:axId val="13280652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804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-7.9566863775000005</c:v>
                </c:pt>
                <c:pt idx="1">
                  <c:v>-2.3735594749</c:v>
                </c:pt>
                <c:pt idx="2">
                  <c:v>-4.1103867292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1.6201496123999997</c:v>
                </c:pt>
                <c:pt idx="1">
                  <c:v>1.7344799041999996</c:v>
                </c:pt>
                <c:pt idx="2">
                  <c:v>-4.2145270108999995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-4.813544193866667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-0.28663249810000008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043520"/>
        <c:axId val="134045056"/>
      </c:scatterChart>
      <c:valAx>
        <c:axId val="13404352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045056"/>
        <c:crosses val="autoZero"/>
        <c:crossBetween val="midCat"/>
        <c:majorUnit val="10"/>
      </c:valAx>
      <c:valAx>
        <c:axId val="13404505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043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-11.534246445000001</c:v>
                </c:pt>
                <c:pt idx="1">
                  <c:v>-2.4018176790000001</c:v>
                </c:pt>
                <c:pt idx="2">
                  <c:v>-1.9769024850000001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-5.3353281020000001</c:v>
                </c:pt>
                <c:pt idx="1">
                  <c:v>-6.7178950309999994</c:v>
                </c:pt>
                <c:pt idx="2">
                  <c:v>-5.675365448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-5.3043222030000008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-5.9095295270000001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081920"/>
        <c:axId val="137823360"/>
      </c:scatterChart>
      <c:valAx>
        <c:axId val="13408192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7823360"/>
        <c:crosses val="autoZero"/>
        <c:crossBetween val="midCat"/>
        <c:majorUnit val="10"/>
      </c:valAx>
      <c:valAx>
        <c:axId val="13782336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08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153</v>
      </c>
      <c r="C3" s="72">
        <v>0.2</v>
      </c>
      <c r="D3" s="72" t="s">
        <v>154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6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 VSY832XN9P23_2022092321_D50_ON_OC.csv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 VSY832XN9P23_2022092321_FPDC_INFD_normal.csv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 VSY832XN9P23_2022092321_INFDMargin_IPQC.csv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 VSY832XN9P23_2022092321_VCM_MEASURE.csv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525</v>
      </c>
      <c r="D8" s="20"/>
    </row>
    <row r="19" spans="3:3">
      <c r="C19" s="74" t="s">
        <v>160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A32" sqref="A32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93" t="s">
        <v>14</v>
      </c>
      <c r="M31" s="93" t="s">
        <v>9</v>
      </c>
      <c r="R31" s="73" t="s">
        <v>150</v>
      </c>
      <c r="S31" s="91" t="s">
        <v>152</v>
      </c>
      <c r="T31" s="92"/>
      <c r="U31" s="93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94"/>
      <c r="C32" s="28" t="s">
        <v>17</v>
      </c>
      <c r="D32" s="28">
        <f>5.1^2/(150-5.1)*1000</f>
        <v>179.50310559006209</v>
      </c>
      <c r="M32" s="94"/>
      <c r="U32" s="94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167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168</v>
      </c>
      <c r="N33" s="41" t="s">
        <v>169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22cb08200174</v>
      </c>
      <c r="C34" s="44">
        <f>IPQC!S2+VLOOKUP($R$31,$AD$38:$AK$42,6,FALSE)+VLOOKUP('File location'!$B$1,'Tester offset'!$A$2:$D$4,2,FALSE)</f>
        <v>91.873305862300001</v>
      </c>
      <c r="D34" s="44">
        <f>IPQC!Z2+VLOOKUP($R$31,$AD$38:$AK$42,6,FALSE)</f>
        <v>85.113824411799996</v>
      </c>
      <c r="E34" s="44">
        <f>VCM!HU2-'Summary(3pcs)'!C34-'Summary(3pcs)'!$D$32</f>
        <v>149.79440651223791</v>
      </c>
      <c r="F34" s="82">
        <f>AVERAGEIF($A$34:$A$45,1,$C$34:$C$45)</f>
        <v>91.644743868233334</v>
      </c>
      <c r="G34" s="83">
        <f>AVERAGEIF($A$34:$A$45,1,$D$34:$D$45)</f>
        <v>82.181965159933341</v>
      </c>
      <c r="H34" s="83">
        <f>AVERAGEIF($A$34:$A$45,1,$E$34:$E$45)</f>
        <v>138.11761259677124</v>
      </c>
      <c r="I34" s="83">
        <f>85-F34</f>
        <v>-6.6447438682333342</v>
      </c>
      <c r="J34"/>
      <c r="K34" s="79">
        <f>T34</f>
        <v>1</v>
      </c>
      <c r="L34" s="80" t="str">
        <f>OC!J2</f>
        <v>22cb08200174</v>
      </c>
      <c r="M34" s="44">
        <f>OC!S2+VLOOKUP($R$31,$AD$38:$AK$42,4,FALSE)</f>
        <v>9.4954011211000005</v>
      </c>
      <c r="N34" s="44">
        <f>OC!T2+VLOOKUP($R$31,$AD$38:$AK$42,5,FALSE)</f>
        <v>-6.1234816474000002</v>
      </c>
      <c r="O34" s="84">
        <f>AVERAGEIF($K$34:$K$45,1,$M$34:$M$45)</f>
        <v>7.0751240240666666</v>
      </c>
      <c r="P34" s="84">
        <f>AVERAGEIF($K$34:$K$45,1,$N$34:$N$45)</f>
        <v>-9.0464810489000005</v>
      </c>
      <c r="Q34" s="82">
        <f>P34*0.001</f>
        <v>-9.0464810489000007E-3</v>
      </c>
      <c r="R34" s="82">
        <f>O34*0.001</f>
        <v>7.0751240240666665E-3</v>
      </c>
      <c r="T34" s="79">
        <v>1</v>
      </c>
      <c r="U34" s="80" t="str">
        <f>FPDC!J2</f>
        <v>22cb08200174</v>
      </c>
      <c r="V34" s="75">
        <f>FPDC!R2+VLOOKUP($R$31,$AD$38:$AK$42,2,FALSE)+VLOOKUP($R$31,$AD$38:$AK$42,7,FALSE)+VLOOKUP('File location'!$B$1,'Tester offset'!$A$2:$D$4,3,FALSE)</f>
        <v>-11.534246445000001</v>
      </c>
      <c r="W34" s="76">
        <f>FPDC!S2+VLOOKUP($R$31,$AD$38:$AK$42,3,FALSE)+VLOOKUP($R$31,$AD$38:$AK$42,8,FALSE)+VLOOKUP('File location'!$B$1,'Tester offset'!$A$2:$D$4,4,FALSE)</f>
        <v>-5.3353281020000001</v>
      </c>
      <c r="X34" s="84">
        <f>AVERAGEIF($T$34:$T$45,1,$V$34:$V$45)</f>
        <v>-5.3043222030000008</v>
      </c>
      <c r="Y34" s="84">
        <f>AVERAGEIF($T$34:$T$45,1,$W$34:$W$45)</f>
        <v>-5.9095295270000001</v>
      </c>
      <c r="Z34" s="82">
        <f>(X34*-0.01)/4</f>
        <v>1.3260805507500003E-2</v>
      </c>
      <c r="AA34" s="82">
        <f>(Y34*-0.01)/4</f>
        <v>1.47738238175E-2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22cb08200746</v>
      </c>
      <c r="C35" s="44">
        <f>IPQC!S3+VLOOKUP($R$31,$AD$38:$AK$42,6,FALSE)+VLOOKUP('File location'!$B$1,'Tester offset'!$A$2:$D$4,2,FALSE)</f>
        <v>90.290829821299994</v>
      </c>
      <c r="D35" s="44">
        <f>IPQC!Z3+VLOOKUP($R$31,$AD$38:$AK$42,6,FALSE)</f>
        <v>77.689333013999999</v>
      </c>
      <c r="E35" s="44">
        <f>VCM!HU3-'Summary(3pcs)'!C35-'Summary(3pcs)'!$D$32</f>
        <v>139.18036571113788</v>
      </c>
      <c r="F35" s="82"/>
      <c r="G35" s="83"/>
      <c r="H35" s="83"/>
      <c r="I35" s="83"/>
      <c r="J35"/>
      <c r="K35" s="79">
        <f t="shared" ref="K35:K45" si="1">T35</f>
        <v>1</v>
      </c>
      <c r="L35" s="80" t="str">
        <f>OC!J3</f>
        <v>22cb08200746</v>
      </c>
      <c r="M35" s="44">
        <f>OC!S3+VLOOKUP($R$31,$AD$38:$AK$42,4,FALSE)</f>
        <v>6.5664628830999998</v>
      </c>
      <c r="N35" s="44">
        <f>OC!T3+VLOOKUP($R$31,$AD$38:$AK$42,5,FALSE)</f>
        <v>-7.3086591125999991</v>
      </c>
      <c r="O35" s="84"/>
      <c r="P35" s="84"/>
      <c r="Q35" s="82"/>
      <c r="R35" s="82"/>
      <c r="T35" s="79">
        <v>1</v>
      </c>
      <c r="U35" s="80" t="str">
        <f>FPDC!J3</f>
        <v>22cb08200746</v>
      </c>
      <c r="V35" s="75">
        <f>FPDC!R3+VLOOKUP($R$31,$AD$38:$AK$42,2,FALSE)+VLOOKUP($R$31,$AD$38:$AK$42,7,FALSE)+VLOOKUP('File location'!$B$1,'Tester offset'!$A$2:$D$4,3,FALSE)</f>
        <v>-2.4018176790000001</v>
      </c>
      <c r="W35" s="76">
        <f>FPDC!S3+VLOOKUP($R$31,$AD$38:$AK$42,3,FALSE)+VLOOKUP($R$31,$AD$38:$AK$42,8,FALSE)+VLOOKUP('File location'!$B$1,'Tester offset'!$A$2:$D$4,4,FALSE)</f>
        <v>-6.7178950309999994</v>
      </c>
      <c r="X35" s="84"/>
      <c r="Y35" s="84"/>
      <c r="Z35" s="82"/>
      <c r="AA35" s="82"/>
    </row>
    <row r="36" spans="1:37" s="32" customFormat="1" ht="17.100000000000001" customHeight="1">
      <c r="A36" s="79">
        <f t="shared" si="0"/>
        <v>1</v>
      </c>
      <c r="B36" s="80" t="str">
        <f>IPQC!J4</f>
        <v>22cb08200919</v>
      </c>
      <c r="C36" s="44">
        <f>IPQC!S4+VLOOKUP($R$31,$AD$38:$AK$42,6,FALSE)+VLOOKUP('File location'!$B$1,'Tester offset'!$A$2:$D$4,2,FALSE)</f>
        <v>92.770095921099994</v>
      </c>
      <c r="D36" s="44">
        <f>IPQC!Z4+VLOOKUP($R$31,$AD$38:$AK$42,6,FALSE)</f>
        <v>83.742738054</v>
      </c>
      <c r="E36" s="44">
        <f>VCM!HU4-'Summary(3pcs)'!C36-'Summary(3pcs)'!$D$32</f>
        <v>125.37806556693789</v>
      </c>
      <c r="F36" s="82"/>
      <c r="G36" s="83"/>
      <c r="H36" s="83"/>
      <c r="I36" s="83"/>
      <c r="J36"/>
      <c r="K36" s="79">
        <f t="shared" si="1"/>
        <v>1</v>
      </c>
      <c r="L36" s="80" t="str">
        <f>OC!J4</f>
        <v>22cb08200919</v>
      </c>
      <c r="M36" s="44">
        <f>OC!S4+VLOOKUP($R$31,$AD$38:$AK$42,4,FALSE)</f>
        <v>5.1635080679999996</v>
      </c>
      <c r="N36" s="44">
        <f>OC!T4+VLOOKUP($R$31,$AD$38:$AK$42,5,FALSE)</f>
        <v>-13.7073023867</v>
      </c>
      <c r="O36" s="84"/>
      <c r="P36" s="84"/>
      <c r="Q36" s="82"/>
      <c r="R36" s="82"/>
      <c r="T36" s="79">
        <v>1</v>
      </c>
      <c r="U36" s="80" t="str">
        <f>FPDC!J4</f>
        <v>22cb08200919</v>
      </c>
      <c r="V36" s="75">
        <f>FPDC!R4+VLOOKUP($R$31,$AD$38:$AK$42,2,FALSE)+VLOOKUP($R$31,$AD$38:$AK$42,7,FALSE)+VLOOKUP('File location'!$B$1,'Tester offset'!$A$2:$D$4,3,FALSE)</f>
        <v>-1.9769024850000001</v>
      </c>
      <c r="W36" s="76">
        <f>FPDC!S4+VLOOKUP($R$31,$AD$38:$AK$42,3,FALSE)+VLOOKUP($R$31,$AD$38:$AK$42,8,FALSE)+VLOOKUP('File location'!$B$1,'Tester offset'!$A$2:$D$4,4,FALSE)</f>
        <v>-5.675365448</v>
      </c>
      <c r="X36" s="84"/>
      <c r="Y36" s="84"/>
      <c r="Z36" s="82"/>
      <c r="AA36" s="82"/>
      <c r="AD36" s="81" t="s">
        <v>137</v>
      </c>
      <c r="AE36" s="81" t="s">
        <v>130</v>
      </c>
      <c r="AF36" s="81"/>
      <c r="AG36" s="81"/>
      <c r="AH36" s="81"/>
      <c r="AI36" s="81"/>
      <c r="AJ36" s="81" t="s">
        <v>136</v>
      </c>
      <c r="AK36" s="81"/>
    </row>
    <row r="37" spans="1:37" s="32" customFormat="1" ht="17.100000000000001" customHeight="1">
      <c r="A37" s="79">
        <f t="shared" si="0"/>
        <v>2</v>
      </c>
      <c r="B37" s="80" t="str">
        <f>IPQC!J5</f>
        <v>22cb08200392</v>
      </c>
      <c r="C37" s="44">
        <f>IPQC!S5+VLOOKUP($R$31,$AD$38:$AK$42,6,FALSE)+VLOOKUP('File location'!$B$1,'Tester offset'!$A$2:$D$4,2,FALSE)</f>
        <v>87.855632044299995</v>
      </c>
      <c r="D37" s="44">
        <f>IPQC!Z5+VLOOKUP($R$31,$AD$38:$AK$42,6,FALSE)</f>
        <v>80.559728214800003</v>
      </c>
      <c r="E37" s="44">
        <f>VCM!HU5-'Summary(3pcs)'!C37-'Summary(3pcs)'!$D$32</f>
        <v>148.03885809133794</v>
      </c>
      <c r="F37" s="82">
        <f>AVERAGEIF($A$34:$A$45,2,$C$34:$C$45)</f>
        <v>90.65611631163334</v>
      </c>
      <c r="G37" s="83">
        <f>AVERAGEIF($A$34:$A$45,2,$D$34:$D$45)</f>
        <v>82.003127965533338</v>
      </c>
      <c r="H37" s="83">
        <f>AVERAGEIF($A$34:$A$45,2,$E$34:$E$45)</f>
        <v>142.64569399850458</v>
      </c>
      <c r="I37" s="83">
        <f>85-F37</f>
        <v>-5.6561163116333404</v>
      </c>
      <c r="J37"/>
      <c r="K37" s="79">
        <f t="shared" si="1"/>
        <v>2</v>
      </c>
      <c r="L37" s="80" t="str">
        <f>OC!J5</f>
        <v>22cb08200392</v>
      </c>
      <c r="M37" s="44">
        <f>OC!S5+VLOOKUP($R$31,$AD$38:$AK$42,4,FALSE)</f>
        <v>2.6091580743999998</v>
      </c>
      <c r="N37" s="44">
        <f>OC!T5+VLOOKUP($R$31,$AD$38:$AK$42,5,FALSE)</f>
        <v>-9.7598530720000003</v>
      </c>
      <c r="O37" s="84">
        <f>AVERAGEIF($K$34:$K$45,2,$M$34:$M$45)</f>
        <v>0.14218746269999993</v>
      </c>
      <c r="P37" s="84">
        <f>AVERAGEIF($K$34:$K$45,2,$N$34:$N$45)</f>
        <v>-13.248537399333332</v>
      </c>
      <c r="Q37" s="82">
        <f>P37*0.001</f>
        <v>-1.3248537399333331E-2</v>
      </c>
      <c r="R37" s="82">
        <f>O37*0.001</f>
        <v>1.4218746269999995E-4</v>
      </c>
      <c r="T37" s="79">
        <v>2</v>
      </c>
      <c r="U37" s="80" t="str">
        <f>FPDC!J5</f>
        <v>22cb08200392</v>
      </c>
      <c r="V37" s="75">
        <f>FPDC!R5+VLOOKUP($R$31,$AD$38:$AK$42,2,FALSE)+VLOOKUP($R$31,$AD$38:$AK$42,7,FALSE)+VLOOKUP('File location'!$B$1,'Tester offset'!$A$2:$D$4,3,FALSE)</f>
        <v>-5.6855837106999996</v>
      </c>
      <c r="W37" s="76">
        <f>FPDC!S5+VLOOKUP($R$31,$AD$38:$AK$42,3,FALSE)+VLOOKUP($R$31,$AD$38:$AK$42,8,FALSE)+VLOOKUP('File location'!$B$1,'Tester offset'!$A$2:$D$4,4,FALSE)</f>
        <v>-2.8429645300000002</v>
      </c>
      <c r="X37" s="84">
        <f>AVERAGEIF($T$34:$T$45,2,$V$34:$V$45)</f>
        <v>-7.7013073365000002</v>
      </c>
      <c r="Y37" s="84">
        <f>AVERAGEIF($T$34:$T$45,2,$W$34:$W$45)</f>
        <v>-2.7769584854333331</v>
      </c>
      <c r="Z37" s="82">
        <f>(X37*-0.01)/4</f>
        <v>1.9253268341250001E-2</v>
      </c>
      <c r="AA37" s="82">
        <f>(Y37*-0.01)/4</f>
        <v>6.9423962135833333E-3</v>
      </c>
      <c r="AD37" s="81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22cb08200839</v>
      </c>
      <c r="C38" s="44">
        <f>IPQC!S6+VLOOKUP($R$31,$AD$38:$AK$42,6,FALSE)+VLOOKUP('File location'!$B$1,'Tester offset'!$A$2:$D$4,2,FALSE)</f>
        <v>94.476157092199998</v>
      </c>
      <c r="D38" s="44">
        <f>IPQC!Z6+VLOOKUP($R$31,$AD$38:$AK$42,6,FALSE)</f>
        <v>88.337647775500002</v>
      </c>
      <c r="E38" s="44">
        <f>VCM!HU6-'Summary(3pcs)'!C38-'Summary(3pcs)'!$D$32</f>
        <v>135.08390610973788</v>
      </c>
      <c r="F38" s="82"/>
      <c r="G38" s="83"/>
      <c r="H38" s="83"/>
      <c r="I38" s="83"/>
      <c r="J38"/>
      <c r="K38" s="79">
        <f t="shared" si="1"/>
        <v>2</v>
      </c>
      <c r="L38" s="80" t="str">
        <f>OC!J6</f>
        <v>22cb08200839</v>
      </c>
      <c r="M38" s="44">
        <f>OC!S6+VLOOKUP($R$31,$AD$38:$AK$42,4,FALSE)</f>
        <v>1.0386193659</v>
      </c>
      <c r="N38" s="44">
        <f>OC!T6+VLOOKUP($R$31,$AD$38:$AK$42,5,FALSE)</f>
        <v>-17.540120458899999</v>
      </c>
      <c r="O38" s="84"/>
      <c r="P38" s="84"/>
      <c r="Q38" s="82"/>
      <c r="R38" s="82"/>
      <c r="T38" s="79">
        <v>2</v>
      </c>
      <c r="U38" s="80" t="str">
        <f>FPDC!J6</f>
        <v>22cb08200839</v>
      </c>
      <c r="V38" s="75">
        <f>FPDC!R6+VLOOKUP($R$31,$AD$38:$AK$42,2,FALSE)+VLOOKUP($R$31,$AD$38:$AK$42,7,FALSE)+VLOOKUP('File location'!$B$1,'Tester offset'!$A$2:$D$4,3,FALSE)</f>
        <v>-7.0306787490999998</v>
      </c>
      <c r="W38" s="76">
        <f>FPDC!S6+VLOOKUP($R$31,$AD$38:$AK$42,3,FALSE)+VLOOKUP($R$31,$AD$38:$AK$42,8,FALSE)+VLOOKUP('File location'!$B$1,'Tester offset'!$A$2:$D$4,4,FALSE)</f>
        <v>-3.6588305830999999</v>
      </c>
      <c r="X38" s="84"/>
      <c r="Y38" s="84"/>
      <c r="Z38" s="82"/>
      <c r="AA38" s="82"/>
      <c r="AD38" s="79" t="s">
        <v>170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22cb08190143</v>
      </c>
      <c r="C39" s="44">
        <f>IPQC!S7+VLOOKUP($R$31,$AD$38:$AK$42,6,FALSE)+VLOOKUP('File location'!$B$1,'Tester offset'!$A$2:$D$4,2,FALSE)</f>
        <v>89.6365597984</v>
      </c>
      <c r="D39" s="44">
        <f>IPQC!Z7+VLOOKUP($R$31,$AD$38:$AK$42,6,FALSE)</f>
        <v>77.112007906299993</v>
      </c>
      <c r="E39" s="44">
        <f>VCM!HU7-'Summary(3pcs)'!C39-'Summary(3pcs)'!$D$32</f>
        <v>144.8143177944379</v>
      </c>
      <c r="F39" s="82"/>
      <c r="G39" s="83"/>
      <c r="H39" s="83"/>
      <c r="I39" s="83"/>
      <c r="J39"/>
      <c r="K39" s="79">
        <f t="shared" si="1"/>
        <v>2</v>
      </c>
      <c r="L39" s="80" t="str">
        <f>OC!J7</f>
        <v>22cb08190143</v>
      </c>
      <c r="M39" s="44">
        <f>OC!S7+VLOOKUP($R$31,$AD$38:$AK$42,4,FALSE)</f>
        <v>-3.2212150521999998</v>
      </c>
      <c r="N39" s="44">
        <f>OC!T7+VLOOKUP($R$31,$AD$38:$AK$42,5,FALSE)</f>
        <v>-12.445638667099999</v>
      </c>
      <c r="O39" s="84"/>
      <c r="P39" s="84"/>
      <c r="Q39" s="82"/>
      <c r="R39" s="82"/>
      <c r="T39" s="79">
        <v>2</v>
      </c>
      <c r="U39" s="80" t="str">
        <f>FPDC!J7</f>
        <v>22cb08190143</v>
      </c>
      <c r="V39" s="75">
        <f>FPDC!R7+VLOOKUP($R$31,$AD$38:$AK$42,2,FALSE)+VLOOKUP($R$31,$AD$38:$AK$42,7,FALSE)+VLOOKUP('File location'!$B$1,'Tester offset'!$A$2:$D$4,3,FALSE)</f>
        <v>-10.3876595497</v>
      </c>
      <c r="W39" s="76">
        <f>FPDC!S7+VLOOKUP($R$31,$AD$38:$AK$42,3,FALSE)+VLOOKUP($R$31,$AD$38:$AK$42,8,FALSE)+VLOOKUP('File location'!$B$1,'Tester offset'!$A$2:$D$4,4,FALSE)</f>
        <v>-1.8290803432</v>
      </c>
      <c r="X39" s="84"/>
      <c r="Y39" s="84"/>
      <c r="Z39" s="82"/>
      <c r="AA39" s="82"/>
      <c r="AD39" s="30" t="s">
        <v>171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22cb08200527</v>
      </c>
      <c r="C40" s="44">
        <f>IPQC!S8+VLOOKUP($R$31,$AD$38:$AK$42,6,FALSE)+VLOOKUP('File location'!$B$1,'Tester offset'!$A$2:$D$4,2,FALSE)</f>
        <v>92.913711269399997</v>
      </c>
      <c r="D40" s="44">
        <f>IPQC!Z8+VLOOKUP($R$31,$AD$38:$AK$42,6,FALSE)</f>
        <v>84.717767569599999</v>
      </c>
      <c r="E40" s="44">
        <f>VCM!HU8-'Summary(3pcs)'!C40-'Summary(3pcs)'!$D$32</f>
        <v>123.12453302443794</v>
      </c>
      <c r="F40" s="82">
        <f>AVERAGEIF($A$34:$A$45,3,$C$34:$C$45)</f>
        <v>92.688490415933344</v>
      </c>
      <c r="G40" s="83">
        <f>AVERAGEIF($A$34:$A$45,3,$D$34:$D$45)</f>
        <v>85.02127556873333</v>
      </c>
      <c r="H40" s="83">
        <f>AVERAGEIF($A$34:$A$45,3,$E$34:$E$45)</f>
        <v>141.43579427397125</v>
      </c>
      <c r="I40" s="83">
        <f>85-F40</f>
        <v>-7.6884904159333445</v>
      </c>
      <c r="J40"/>
      <c r="K40" s="79">
        <f t="shared" si="1"/>
        <v>3</v>
      </c>
      <c r="L40" s="80" t="str">
        <f>OC!J8</f>
        <v>22cb08200527</v>
      </c>
      <c r="M40" s="44">
        <f>OC!S8+VLOOKUP($R$31,$AD$38:$AK$42,4,FALSE)</f>
        <v>-9.2514477713000005</v>
      </c>
      <c r="N40" s="44">
        <f>OC!T8+VLOOKUP($R$31,$AD$38:$AK$42,5,FALSE)</f>
        <v>-6.3205950241999993</v>
      </c>
      <c r="O40" s="84">
        <f>AVERAGEIF($K$34:$K$45,3,$M$34:$M$45)</f>
        <v>0.12196576723333319</v>
      </c>
      <c r="P40" s="84">
        <f>AVERAGEIF($K$34:$K$45,3,$N$34:$N$45)</f>
        <v>-4.8029390591999999</v>
      </c>
      <c r="Q40" s="82">
        <f>P40*0.001</f>
        <v>-4.8029390591999999E-3</v>
      </c>
      <c r="R40" s="82">
        <f>O40*0.001</f>
        <v>1.219657672333332E-4</v>
      </c>
      <c r="T40" s="79">
        <v>3</v>
      </c>
      <c r="U40" s="80" t="str">
        <f>FPDC!J8</f>
        <v>22cb08200527</v>
      </c>
      <c r="V40" s="75">
        <f>FPDC!R8+VLOOKUP($R$31,$AD$38:$AK$42,2,FALSE)+VLOOKUP($R$31,$AD$38:$AK$42,7,FALSE)+VLOOKUP('File location'!$B$1,'Tester offset'!$A$2:$D$4,3,FALSE)</f>
        <v>-7.2204624414000005</v>
      </c>
      <c r="W40" s="76">
        <f>FPDC!S8+VLOOKUP($R$31,$AD$38:$AK$42,3,FALSE)+VLOOKUP($R$31,$AD$38:$AK$42,8,FALSE)+VLOOKUP('File location'!$B$1,'Tester offset'!$A$2:$D$4,4,FALSE)</f>
        <v>0.30901288989999998</v>
      </c>
      <c r="X40" s="84">
        <f>AVERAGEIF($T$34:$T$45,3,$V$34:$V$45)</f>
        <v>-4.8369756937000004</v>
      </c>
      <c r="Y40" s="84">
        <f>AVERAGEIF($T$34:$T$45,3,$W$34:$W$45)</f>
        <v>0.15687503916666681</v>
      </c>
      <c r="Z40" s="82">
        <f>(X40*-0.01)/4</f>
        <v>1.2092439234250001E-2</v>
      </c>
      <c r="AA40" s="82">
        <f>(Y40*-0.01)/4</f>
        <v>-3.9218759791666703E-4</v>
      </c>
      <c r="AD40" s="30" t="s">
        <v>172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22cb08200886</v>
      </c>
      <c r="C41" s="44">
        <f>IPQC!S9+VLOOKUP($R$31,$AD$38:$AK$42,6,FALSE)+VLOOKUP('File location'!$B$1,'Tester offset'!$A$2:$D$4,2,FALSE)</f>
        <v>93.632544457799995</v>
      </c>
      <c r="D41" s="44">
        <f>IPQC!Z9+VLOOKUP($R$31,$AD$38:$AK$42,6,FALSE)</f>
        <v>86.215819907699995</v>
      </c>
      <c r="E41" s="44">
        <f>VCM!HU9-'Summary(3pcs)'!C41-'Summary(3pcs)'!$D$32</f>
        <v>151.21952685733788</v>
      </c>
      <c r="F41" s="82"/>
      <c r="G41" s="83"/>
      <c r="H41" s="83"/>
      <c r="I41" s="83"/>
      <c r="J41"/>
      <c r="K41" s="79">
        <f t="shared" si="1"/>
        <v>3</v>
      </c>
      <c r="L41" s="80" t="str">
        <f>OC!J9</f>
        <v>22cb08200886</v>
      </c>
      <c r="M41" s="44">
        <f>OC!S9+VLOOKUP($R$31,$AD$38:$AK$42,4,FALSE)</f>
        <v>5.0682688546000003</v>
      </c>
      <c r="N41" s="44">
        <f>OC!T9+VLOOKUP($R$31,$AD$38:$AK$42,5,FALSE)</f>
        <v>-5.1367462608000007</v>
      </c>
      <c r="O41" s="84"/>
      <c r="P41" s="84"/>
      <c r="Q41" s="82"/>
      <c r="R41" s="82"/>
      <c r="T41" s="79">
        <v>3</v>
      </c>
      <c r="U41" s="80" t="str">
        <f>FPDC!J9</f>
        <v>22cb08200886</v>
      </c>
      <c r="V41" s="75">
        <f>FPDC!R9+VLOOKUP($R$31,$AD$38:$AK$42,2,FALSE)+VLOOKUP($R$31,$AD$38:$AK$42,7,FALSE)+VLOOKUP('File location'!$B$1,'Tester offset'!$A$2:$D$4,3,FALSE)</f>
        <v>-4.7879972457999997</v>
      </c>
      <c r="W41" s="76">
        <f>FPDC!S9+VLOOKUP($R$31,$AD$38:$AK$42,3,FALSE)+VLOOKUP($R$31,$AD$38:$AK$42,8,FALSE)+VLOOKUP('File location'!$B$1,'Tester offset'!$A$2:$D$4,4,FALSE)</f>
        <v>3.2285013199000003</v>
      </c>
      <c r="X41" s="84"/>
      <c r="Y41" s="84"/>
      <c r="Z41" s="82"/>
      <c r="AA41" s="82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22cb08200190</v>
      </c>
      <c r="C42" s="44">
        <f>IPQC!S10+VLOOKUP($R$31,$AD$38:$AK$42,6,FALSE)+VLOOKUP('File location'!$B$1,'Tester offset'!$A$2:$D$4,2,FALSE)</f>
        <v>91.5192155206</v>
      </c>
      <c r="D42" s="44">
        <f>IPQC!Z10+VLOOKUP($R$31,$AD$38:$AK$42,6,FALSE)</f>
        <v>84.130239228899995</v>
      </c>
      <c r="E42" s="44">
        <f>VCM!HU10-'Summary(3pcs)'!C42-'Summary(3pcs)'!$D$32</f>
        <v>149.96332294013791</v>
      </c>
      <c r="F42" s="82"/>
      <c r="G42" s="83"/>
      <c r="H42" s="83"/>
      <c r="I42" s="83"/>
      <c r="J42"/>
      <c r="K42" s="79">
        <f t="shared" si="1"/>
        <v>3</v>
      </c>
      <c r="L42" s="80" t="str">
        <f>OC!J10</f>
        <v>22cb08200190</v>
      </c>
      <c r="M42" s="44">
        <f>OC!S10+VLOOKUP($R$31,$AD$38:$AK$42,4,FALSE)</f>
        <v>4.5490762183999998</v>
      </c>
      <c r="N42" s="44">
        <f>OC!T10+VLOOKUP($R$31,$AD$38:$AK$42,5,FALSE)</f>
        <v>-2.9514758926000004</v>
      </c>
      <c r="O42" s="84"/>
      <c r="P42" s="84"/>
      <c r="Q42" s="82"/>
      <c r="R42" s="82"/>
      <c r="T42" s="79">
        <v>3</v>
      </c>
      <c r="U42" s="80" t="str">
        <f>FPDC!J10</f>
        <v>22cb08200190</v>
      </c>
      <c r="V42" s="75">
        <f>FPDC!R10+VLOOKUP($R$31,$AD$38:$AK$42,2,FALSE)+VLOOKUP($R$31,$AD$38:$AK$42,7,FALSE)+VLOOKUP('File location'!$B$1,'Tester offset'!$A$2:$D$4,3,FALSE)</f>
        <v>-2.5024673938999999</v>
      </c>
      <c r="W42" s="76">
        <f>FPDC!S10+VLOOKUP($R$31,$AD$38:$AK$42,3,FALSE)+VLOOKUP($R$31,$AD$38:$AK$42,8,FALSE)+VLOOKUP('File location'!$B$1,'Tester offset'!$A$2:$D$4,4,FALSE)</f>
        <v>-3.0668890922999998</v>
      </c>
      <c r="X42" s="84"/>
      <c r="Y42" s="84"/>
      <c r="Z42" s="82"/>
      <c r="AA42" s="82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22cb08200922</v>
      </c>
      <c r="C43" s="44">
        <f>IPQC!S11+VLOOKUP($R$31,$AD$38:$AK$42,6,FALSE)+VLOOKUP('File location'!$B$1,'Tester offset'!$A$2:$D$4,2,FALSE)</f>
        <v>93.697954411200001</v>
      </c>
      <c r="D43" s="44">
        <f>IPQC!Z11+VLOOKUP($R$31,$AD$38:$AK$42,6,FALSE)</f>
        <v>82.194153049999997</v>
      </c>
      <c r="E43" s="44">
        <f>VCM!HU11-'Summary(3pcs)'!C43-'Summary(3pcs)'!$D$32</f>
        <v>136.23775564263792</v>
      </c>
      <c r="F43" s="82">
        <f>AVERAGEIF($A$34:$A$45,4,$C$34:$C$45)</f>
        <v>89.277476868500003</v>
      </c>
      <c r="G43" s="83">
        <f>AVERAGEIF($A$34:$A$45,4,$D$34:$D$45)</f>
        <v>79.324855281766659</v>
      </c>
      <c r="H43" s="83">
        <f>AVERAGEIF($A$34:$A$45,4,$E$34:$E$45)</f>
        <v>135.75547364097125</v>
      </c>
      <c r="I43" s="83">
        <f>85-F43</f>
        <v>-4.2774768685000026</v>
      </c>
      <c r="J43"/>
      <c r="K43" s="79">
        <f t="shared" si="1"/>
        <v>4</v>
      </c>
      <c r="L43" s="80" t="str">
        <f>OC!J11</f>
        <v>22cb08200922</v>
      </c>
      <c r="M43" s="44">
        <f>OC!S11+VLOOKUP($R$31,$AD$38:$AK$42,4,FALSE)</f>
        <v>-10.207166275800001</v>
      </c>
      <c r="N43" s="44">
        <f>OC!T11+VLOOKUP($R$31,$AD$38:$AK$42,5,FALSE)</f>
        <v>-1.4831969805999998</v>
      </c>
      <c r="O43" s="84">
        <f>AVERAGEIF($K$34:$K$45,4,$M$34:$M$45)</f>
        <v>-6.4425166875333337</v>
      </c>
      <c r="P43" s="84">
        <f>AVERAGEIF($K$34:$K$45,4,$N$34:$N$45)</f>
        <v>-4.740841882999999</v>
      </c>
      <c r="Q43" s="82">
        <f>P43*0.001</f>
        <v>-4.7408418829999995E-3</v>
      </c>
      <c r="R43" s="82">
        <f>O43*0.001</f>
        <v>-6.4425166875333338E-3</v>
      </c>
      <c r="T43" s="79">
        <v>4</v>
      </c>
      <c r="U43" s="80" t="str">
        <f>FPDC!J11</f>
        <v>22cb08200922</v>
      </c>
      <c r="V43" s="75">
        <f>FPDC!R11+VLOOKUP($R$31,$AD$38:$AK$42,2,FALSE)+VLOOKUP($R$31,$AD$38:$AK$42,7,FALSE)+VLOOKUP('File location'!$B$1,'Tester offset'!$A$2:$D$4,3,FALSE)</f>
        <v>-7.9566863775000005</v>
      </c>
      <c r="W43" s="76">
        <f>FPDC!S11+VLOOKUP($R$31,$AD$38:$AK$42,3,FALSE)+VLOOKUP($R$31,$AD$38:$AK$42,8,FALSE)+VLOOKUP('File location'!$B$1,'Tester offset'!$A$2:$D$4,4,FALSE)</f>
        <v>1.6201496123999997</v>
      </c>
      <c r="X43" s="84">
        <f>AVERAGEIF($T$34:$T$45,4,$V$34:$V$45)</f>
        <v>-4.813544193866667</v>
      </c>
      <c r="Y43" s="84">
        <f>AVERAGEIF($T$34:$T$45,4,$W$34:$W$45)</f>
        <v>-0.28663249810000008</v>
      </c>
      <c r="Z43" s="82">
        <f>(X43*-0.01)/4</f>
        <v>1.2033860484666668E-2</v>
      </c>
      <c r="AA43" s="82">
        <f>(Y43*-0.01)/4</f>
        <v>7.165812452500002E-4</v>
      </c>
    </row>
    <row r="44" spans="1:37" s="32" customFormat="1" ht="17.100000000000001" customHeight="1">
      <c r="A44" s="79">
        <f t="shared" si="0"/>
        <v>4</v>
      </c>
      <c r="B44" s="80" t="str">
        <f>IPQC!J12</f>
        <v>22cb08200646</v>
      </c>
      <c r="C44" s="44">
        <f>IPQC!S12+VLOOKUP($R$31,$AD$38:$AK$42,6,FALSE)+VLOOKUP('File location'!$B$1,'Tester offset'!$A$2:$D$4,2,FALSE)</f>
        <v>90.650673789600006</v>
      </c>
      <c r="D44" s="44">
        <f>IPQC!Z12+VLOOKUP($R$31,$AD$38:$AK$42,6,FALSE)</f>
        <v>81.096675785499997</v>
      </c>
      <c r="E44" s="44">
        <f>VCM!HU12-'Summary(3pcs)'!C44-'Summary(3pcs)'!$D$32</f>
        <v>133.46400924213788</v>
      </c>
      <c r="F44" s="82"/>
      <c r="G44" s="83"/>
      <c r="H44" s="83"/>
      <c r="I44" s="83"/>
      <c r="J44"/>
      <c r="K44" s="79">
        <f t="shared" si="1"/>
        <v>4</v>
      </c>
      <c r="L44" s="80" t="str">
        <f>OC!J12</f>
        <v>22cb08200646</v>
      </c>
      <c r="M44" s="44">
        <f>OC!S12+VLOOKUP($R$31,$AD$38:$AK$42,4,FALSE)</f>
        <v>-3.9394423126000002</v>
      </c>
      <c r="N44" s="44">
        <f>OC!T12+VLOOKUP($R$31,$AD$38:$AK$42,5,FALSE)</f>
        <v>-6.0164535928999996</v>
      </c>
      <c r="O44" s="84"/>
      <c r="P44" s="84"/>
      <c r="Q44" s="82"/>
      <c r="R44" s="82"/>
      <c r="T44" s="79">
        <v>4</v>
      </c>
      <c r="U44" s="80" t="str">
        <f>FPDC!J12</f>
        <v>22cb08200646</v>
      </c>
      <c r="V44" s="75">
        <f>FPDC!R12+VLOOKUP($R$31,$AD$38:$AK$42,2,FALSE)+VLOOKUP($R$31,$AD$38:$AK$42,7,FALSE)+VLOOKUP('File location'!$B$1,'Tester offset'!$A$2:$D$4,3,FALSE)</f>
        <v>-2.3735594749</v>
      </c>
      <c r="W44" s="76">
        <f>FPDC!S12+VLOOKUP($R$31,$AD$38:$AK$42,3,FALSE)+VLOOKUP($R$31,$AD$38:$AK$42,8,FALSE)+VLOOKUP('File location'!$B$1,'Tester offset'!$A$2:$D$4,4,FALSE)</f>
        <v>1.7344799041999996</v>
      </c>
      <c r="X44" s="84"/>
      <c r="Y44" s="84"/>
      <c r="Z44" s="82"/>
      <c r="AA44" s="82"/>
    </row>
    <row r="45" spans="1:37" s="32" customFormat="1" ht="17.100000000000001" customHeight="1">
      <c r="A45" s="79">
        <f t="shared" si="0"/>
        <v>4</v>
      </c>
      <c r="B45" s="80" t="str">
        <f>IPQC!J13</f>
        <v>22cb08200652</v>
      </c>
      <c r="C45" s="44">
        <f>IPQC!S13+VLOOKUP($R$31,$AD$38:$AK$42,6,FALSE)+VLOOKUP('File location'!$B$1,'Tester offset'!$A$2:$D$4,2,FALSE)</f>
        <v>83.4838024047</v>
      </c>
      <c r="D45" s="44">
        <f>IPQC!Z13+VLOOKUP($R$31,$AD$38:$AK$42,6,FALSE)</f>
        <v>74.683737009799998</v>
      </c>
      <c r="E45" s="44">
        <f>VCM!HU13-'Summary(3pcs)'!C45-'Summary(3pcs)'!$D$32</f>
        <v>137.56465603813791</v>
      </c>
      <c r="F45" s="82"/>
      <c r="G45" s="83"/>
      <c r="H45" s="83"/>
      <c r="I45" s="83"/>
      <c r="J45"/>
      <c r="K45" s="79">
        <f t="shared" si="1"/>
        <v>4</v>
      </c>
      <c r="L45" s="80" t="str">
        <f>OC!J13</f>
        <v>22cb08200652</v>
      </c>
      <c r="M45" s="44">
        <f>OC!S13+VLOOKUP($R$31,$AD$38:$AK$42,4,FALSE)</f>
        <v>-5.1809414742</v>
      </c>
      <c r="N45" s="44">
        <f>OC!T13+VLOOKUP($R$31,$AD$38:$AK$42,5,FALSE)</f>
        <v>-6.7228750754999993</v>
      </c>
      <c r="O45" s="84"/>
      <c r="P45" s="84"/>
      <c r="Q45" s="82"/>
      <c r="R45" s="82"/>
      <c r="T45" s="79">
        <v>4</v>
      </c>
      <c r="U45" s="80" t="str">
        <f>FPDC!J13</f>
        <v>22cb08200652</v>
      </c>
      <c r="V45" s="75">
        <f>FPDC!R13+VLOOKUP($R$31,$AD$38:$AK$42,2,FALSE)+VLOOKUP($R$31,$AD$38:$AK$42,7,FALSE)+VLOOKUP('File location'!$B$1,'Tester offset'!$A$2:$D$4,3,FALSE)</f>
        <v>-4.1103867292</v>
      </c>
      <c r="W45" s="76">
        <f>FPDC!S13+VLOOKUP($R$31,$AD$38:$AK$42,3,FALSE)+VLOOKUP($R$31,$AD$38:$AK$42,8,FALSE)+VLOOKUP('File location'!$B$1,'Tester offset'!$A$2:$D$4,4,FALSE)</f>
        <v>-4.2145270108999995</v>
      </c>
      <c r="X45" s="84"/>
      <c r="Y45" s="84"/>
      <c r="Z45" s="82"/>
      <c r="AA45" s="82"/>
    </row>
    <row r="47" spans="1:37" ht="15">
      <c r="F47" s="86" t="s">
        <v>14</v>
      </c>
      <c r="G47" s="86"/>
      <c r="H47" s="77" t="s">
        <v>105</v>
      </c>
      <c r="I47" s="32"/>
      <c r="K47" s="32"/>
      <c r="L47" s="32"/>
      <c r="M47" s="32"/>
      <c r="N47" s="32"/>
      <c r="O47" s="86" t="s">
        <v>161</v>
      </c>
      <c r="P47" s="86"/>
      <c r="Q47" s="77" t="s">
        <v>105</v>
      </c>
      <c r="R47" s="32"/>
      <c r="S47" s="32"/>
      <c r="T47" s="32"/>
      <c r="U47" s="32"/>
      <c r="V47" s="32"/>
      <c r="W47" s="32"/>
      <c r="X47" s="32"/>
      <c r="Y47" s="86" t="s">
        <v>2</v>
      </c>
      <c r="Z47" s="86"/>
      <c r="AA47" s="77" t="s">
        <v>105</v>
      </c>
    </row>
    <row r="48" spans="1:37" ht="17.25">
      <c r="F48" s="85" t="s">
        <v>155</v>
      </c>
      <c r="G48" s="85"/>
      <c r="H48" s="78" t="s">
        <v>141</v>
      </c>
      <c r="I48" s="32"/>
      <c r="K48" s="32"/>
      <c r="L48" s="32"/>
      <c r="M48" s="32"/>
      <c r="N48" s="32"/>
      <c r="O48" s="87" t="s">
        <v>156</v>
      </c>
      <c r="P48" s="85"/>
      <c r="Q48" s="78" t="s">
        <v>162</v>
      </c>
      <c r="R48" s="32"/>
      <c r="S48" s="32"/>
      <c r="T48" s="32"/>
      <c r="U48" s="32"/>
      <c r="V48" s="32"/>
      <c r="W48" s="32"/>
      <c r="X48" s="32"/>
      <c r="Y48" s="87" t="s">
        <v>156</v>
      </c>
      <c r="Z48" s="85"/>
      <c r="AA48" s="78" t="s">
        <v>104</v>
      </c>
    </row>
    <row r="49" spans="6:27" ht="17.25">
      <c r="F49" s="85" t="s">
        <v>157</v>
      </c>
      <c r="G49" s="85"/>
      <c r="H49" s="78" t="s">
        <v>107</v>
      </c>
      <c r="I49" s="32"/>
      <c r="K49" s="32"/>
      <c r="L49" s="32"/>
      <c r="M49" s="32"/>
      <c r="N49" s="32"/>
      <c r="O49" s="87" t="s">
        <v>165</v>
      </c>
      <c r="P49" s="85"/>
      <c r="Q49" s="78" t="s">
        <v>163</v>
      </c>
      <c r="R49" s="32"/>
      <c r="S49" s="32"/>
      <c r="T49" s="32"/>
      <c r="U49" s="32"/>
      <c r="V49" s="32"/>
      <c r="W49" s="32"/>
      <c r="X49" s="32"/>
      <c r="Y49" s="87" t="s">
        <v>159</v>
      </c>
      <c r="Z49" s="85"/>
      <c r="AA49" s="78" t="s">
        <v>164</v>
      </c>
    </row>
    <row r="50" spans="6:27" ht="17.25">
      <c r="F50" s="85" t="s">
        <v>16</v>
      </c>
      <c r="G50" s="85"/>
      <c r="H50" s="78" t="s">
        <v>106</v>
      </c>
      <c r="I50" s="32"/>
      <c r="K50" s="32"/>
      <c r="L50" s="32"/>
      <c r="M50" s="32"/>
      <c r="N50" s="32"/>
      <c r="O50" s="87" t="s">
        <v>165</v>
      </c>
      <c r="P50" s="85"/>
      <c r="Q50" s="78" t="s">
        <v>166</v>
      </c>
      <c r="R50" s="32"/>
      <c r="S50" s="32"/>
      <c r="T50" s="32"/>
      <c r="U50" s="32"/>
      <c r="V50" s="32"/>
      <c r="W50" s="32"/>
      <c r="X50" s="32"/>
      <c r="Y50" s="87" t="s">
        <v>158</v>
      </c>
      <c r="Z50" s="85"/>
      <c r="AA50" s="78" t="s">
        <v>142</v>
      </c>
    </row>
    <row r="52" spans="6:27" ht="19.5">
      <c r="I52" s="45"/>
      <c r="J52" s="45"/>
      <c r="K52" s="88" t="s">
        <v>151</v>
      </c>
      <c r="L52" s="89"/>
      <c r="M52" s="89"/>
      <c r="N52" s="89"/>
      <c r="O52" s="89"/>
      <c r="P52" s="89"/>
      <c r="Q52" s="90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91.873305862300001</v>
      </c>
      <c r="L54" s="49">
        <f t="shared" ref="L54:L65" si="4">D34</f>
        <v>85.113824411799996</v>
      </c>
      <c r="M54" s="49">
        <f t="shared" ref="M54:M65" si="5">E34</f>
        <v>149.79440651223791</v>
      </c>
      <c r="N54" s="49">
        <f t="shared" ref="N54:O65" si="6">M34</f>
        <v>9.4954011211000005</v>
      </c>
      <c r="O54" s="49">
        <f t="shared" si="6"/>
        <v>-6.1234816474000002</v>
      </c>
      <c r="P54" s="49">
        <f t="shared" ref="P54:P65" si="7">V34</f>
        <v>-11.534246445000001</v>
      </c>
      <c r="Q54" s="50">
        <f t="shared" ref="Q54:Q65" si="8">W34</f>
        <v>-5.3353281020000001</v>
      </c>
    </row>
    <row r="55" spans="6:27" ht="19.5">
      <c r="I55" s="47">
        <f t="shared" si="2"/>
        <v>1</v>
      </c>
      <c r="J55" s="46"/>
      <c r="K55" s="51">
        <f t="shared" si="3"/>
        <v>90.290829821299994</v>
      </c>
      <c r="L55" s="52">
        <f t="shared" si="4"/>
        <v>77.689333013999999</v>
      </c>
      <c r="M55" s="52">
        <f t="shared" si="5"/>
        <v>139.18036571113788</v>
      </c>
      <c r="N55" s="52">
        <f t="shared" si="6"/>
        <v>6.5664628830999998</v>
      </c>
      <c r="O55" s="52">
        <f t="shared" si="6"/>
        <v>-7.3086591125999991</v>
      </c>
      <c r="P55" s="52">
        <f t="shared" si="7"/>
        <v>-2.4018176790000001</v>
      </c>
      <c r="Q55" s="53">
        <f t="shared" si="8"/>
        <v>-6.7178950309999994</v>
      </c>
    </row>
    <row r="56" spans="6:27" ht="19.5">
      <c r="I56" s="47">
        <f t="shared" si="2"/>
        <v>1</v>
      </c>
      <c r="J56" s="46"/>
      <c r="K56" s="54">
        <f t="shared" si="3"/>
        <v>92.770095921099994</v>
      </c>
      <c r="L56" s="55">
        <f t="shared" si="4"/>
        <v>83.742738054</v>
      </c>
      <c r="M56" s="55">
        <f t="shared" si="5"/>
        <v>125.37806556693789</v>
      </c>
      <c r="N56" s="55">
        <f t="shared" si="6"/>
        <v>5.1635080679999996</v>
      </c>
      <c r="O56" s="55">
        <f t="shared" si="6"/>
        <v>-13.7073023867</v>
      </c>
      <c r="P56" s="55">
        <f t="shared" si="7"/>
        <v>-1.9769024850000001</v>
      </c>
      <c r="Q56" s="56">
        <f t="shared" si="8"/>
        <v>-5.675365448</v>
      </c>
    </row>
    <row r="57" spans="6:27" ht="19.5">
      <c r="I57" s="47">
        <f t="shared" si="2"/>
        <v>2</v>
      </c>
      <c r="J57" s="46"/>
      <c r="K57" s="57">
        <f t="shared" si="3"/>
        <v>87.855632044299995</v>
      </c>
      <c r="L57" s="58">
        <f t="shared" si="4"/>
        <v>80.559728214800003</v>
      </c>
      <c r="M57" s="58">
        <f t="shared" si="5"/>
        <v>148.03885809133794</v>
      </c>
      <c r="N57" s="58">
        <f t="shared" si="6"/>
        <v>2.6091580743999998</v>
      </c>
      <c r="O57" s="58">
        <f t="shared" si="6"/>
        <v>-9.7598530720000003</v>
      </c>
      <c r="P57" s="58">
        <f t="shared" si="7"/>
        <v>-5.6855837106999996</v>
      </c>
      <c r="Q57" s="59">
        <f t="shared" si="8"/>
        <v>-2.8429645300000002</v>
      </c>
    </row>
    <row r="58" spans="6:27" ht="19.5">
      <c r="I58" s="47">
        <f t="shared" si="2"/>
        <v>2</v>
      </c>
      <c r="J58" s="46"/>
      <c r="K58" s="57">
        <f t="shared" si="3"/>
        <v>94.476157092199998</v>
      </c>
      <c r="L58" s="58">
        <f t="shared" si="4"/>
        <v>88.337647775500002</v>
      </c>
      <c r="M58" s="58">
        <f t="shared" si="5"/>
        <v>135.08390610973788</v>
      </c>
      <c r="N58" s="58">
        <f t="shared" si="6"/>
        <v>1.0386193659</v>
      </c>
      <c r="O58" s="58">
        <f t="shared" si="6"/>
        <v>-17.540120458899999</v>
      </c>
      <c r="P58" s="58">
        <f t="shared" si="7"/>
        <v>-7.0306787490999998</v>
      </c>
      <c r="Q58" s="59">
        <f t="shared" si="8"/>
        <v>-3.6588305830999999</v>
      </c>
    </row>
    <row r="59" spans="6:27" ht="19.5">
      <c r="I59" s="47">
        <f t="shared" si="2"/>
        <v>2</v>
      </c>
      <c r="J59" s="46"/>
      <c r="K59" s="57">
        <f t="shared" si="3"/>
        <v>89.6365597984</v>
      </c>
      <c r="L59" s="58">
        <f t="shared" si="4"/>
        <v>77.112007906299993</v>
      </c>
      <c r="M59" s="58">
        <f t="shared" si="5"/>
        <v>144.8143177944379</v>
      </c>
      <c r="N59" s="58">
        <f t="shared" si="6"/>
        <v>-3.2212150521999998</v>
      </c>
      <c r="O59" s="58">
        <f t="shared" si="6"/>
        <v>-12.445638667099999</v>
      </c>
      <c r="P59" s="58">
        <f t="shared" si="7"/>
        <v>-10.3876595497</v>
      </c>
      <c r="Q59" s="59">
        <f t="shared" si="8"/>
        <v>-1.8290803432</v>
      </c>
    </row>
    <row r="60" spans="6:27" ht="19.5">
      <c r="I60" s="47">
        <f t="shared" si="2"/>
        <v>3</v>
      </c>
      <c r="J60" s="46"/>
      <c r="K60" s="60">
        <f t="shared" si="3"/>
        <v>92.913711269399997</v>
      </c>
      <c r="L60" s="61">
        <f t="shared" si="4"/>
        <v>84.717767569599999</v>
      </c>
      <c r="M60" s="61">
        <f t="shared" si="5"/>
        <v>123.12453302443794</v>
      </c>
      <c r="N60" s="61">
        <f t="shared" si="6"/>
        <v>-9.2514477713000005</v>
      </c>
      <c r="O60" s="61">
        <f t="shared" si="6"/>
        <v>-6.3205950241999993</v>
      </c>
      <c r="P60" s="61">
        <f t="shared" si="7"/>
        <v>-7.2204624414000005</v>
      </c>
      <c r="Q60" s="62">
        <f t="shared" si="8"/>
        <v>0.30901288989999998</v>
      </c>
    </row>
    <row r="61" spans="6:27" ht="19.5">
      <c r="I61" s="47">
        <f t="shared" si="2"/>
        <v>3</v>
      </c>
      <c r="J61" s="46"/>
      <c r="K61" s="63">
        <f t="shared" si="3"/>
        <v>93.632544457799995</v>
      </c>
      <c r="L61" s="64">
        <f t="shared" si="4"/>
        <v>86.215819907699995</v>
      </c>
      <c r="M61" s="64">
        <f t="shared" si="5"/>
        <v>151.21952685733788</v>
      </c>
      <c r="N61" s="64">
        <f t="shared" si="6"/>
        <v>5.0682688546000003</v>
      </c>
      <c r="O61" s="64">
        <f t="shared" si="6"/>
        <v>-5.1367462608000007</v>
      </c>
      <c r="P61" s="64">
        <f t="shared" si="7"/>
        <v>-4.7879972457999997</v>
      </c>
      <c r="Q61" s="65">
        <f t="shared" si="8"/>
        <v>3.2285013199000003</v>
      </c>
    </row>
    <row r="62" spans="6:27" ht="19.5">
      <c r="I62" s="47">
        <f t="shared" si="2"/>
        <v>3</v>
      </c>
      <c r="J62" s="46"/>
      <c r="K62" s="66">
        <f t="shared" si="3"/>
        <v>91.5192155206</v>
      </c>
      <c r="L62" s="67">
        <f t="shared" si="4"/>
        <v>84.130239228899995</v>
      </c>
      <c r="M62" s="67">
        <f t="shared" si="5"/>
        <v>149.96332294013791</v>
      </c>
      <c r="N62" s="67">
        <f t="shared" si="6"/>
        <v>4.5490762183999998</v>
      </c>
      <c r="O62" s="67">
        <f t="shared" si="6"/>
        <v>-2.9514758926000004</v>
      </c>
      <c r="P62" s="67">
        <f t="shared" si="7"/>
        <v>-2.5024673938999999</v>
      </c>
      <c r="Q62" s="68">
        <f t="shared" si="8"/>
        <v>-3.0668890922999998</v>
      </c>
    </row>
    <row r="63" spans="6:27" ht="19.5">
      <c r="I63" s="47">
        <f t="shared" si="2"/>
        <v>4</v>
      </c>
      <c r="J63" s="46"/>
      <c r="K63" s="57">
        <f t="shared" si="3"/>
        <v>93.697954411200001</v>
      </c>
      <c r="L63" s="58">
        <f t="shared" si="4"/>
        <v>82.194153049999997</v>
      </c>
      <c r="M63" s="58">
        <f t="shared" si="5"/>
        <v>136.23775564263792</v>
      </c>
      <c r="N63" s="58">
        <f t="shared" si="6"/>
        <v>-10.207166275800001</v>
      </c>
      <c r="O63" s="58">
        <f t="shared" si="6"/>
        <v>-1.4831969805999998</v>
      </c>
      <c r="P63" s="58">
        <f t="shared" si="7"/>
        <v>-7.9566863775000005</v>
      </c>
      <c r="Q63" s="59">
        <f t="shared" si="8"/>
        <v>1.6201496123999997</v>
      </c>
    </row>
    <row r="64" spans="6:27" ht="19.5">
      <c r="I64" s="47">
        <f t="shared" si="2"/>
        <v>4</v>
      </c>
      <c r="J64" s="46"/>
      <c r="K64" s="57">
        <f t="shared" si="3"/>
        <v>90.650673789600006</v>
      </c>
      <c r="L64" s="58">
        <f t="shared" si="4"/>
        <v>81.096675785499997</v>
      </c>
      <c r="M64" s="58">
        <f t="shared" si="5"/>
        <v>133.46400924213788</v>
      </c>
      <c r="N64" s="58">
        <f t="shared" si="6"/>
        <v>-3.9394423126000002</v>
      </c>
      <c r="O64" s="58">
        <f t="shared" si="6"/>
        <v>-6.0164535928999996</v>
      </c>
      <c r="P64" s="58">
        <f t="shared" si="7"/>
        <v>-2.3735594749</v>
      </c>
      <c r="Q64" s="59">
        <f t="shared" si="8"/>
        <v>1.7344799041999996</v>
      </c>
    </row>
    <row r="65" spans="9:17" ht="20.25" thickBot="1">
      <c r="I65" s="47">
        <f t="shared" si="2"/>
        <v>4</v>
      </c>
      <c r="J65" s="46"/>
      <c r="K65" s="69">
        <f t="shared" si="3"/>
        <v>83.4838024047</v>
      </c>
      <c r="L65" s="70">
        <f t="shared" si="4"/>
        <v>74.683737009799998</v>
      </c>
      <c r="M65" s="70">
        <f t="shared" si="5"/>
        <v>137.56465603813791</v>
      </c>
      <c r="N65" s="70">
        <f t="shared" si="6"/>
        <v>-5.1809414742</v>
      </c>
      <c r="O65" s="70">
        <f t="shared" si="6"/>
        <v>-6.7228750754999993</v>
      </c>
      <c r="P65" s="70">
        <f t="shared" si="7"/>
        <v>-4.1103867292</v>
      </c>
      <c r="Q65" s="71">
        <f t="shared" si="8"/>
        <v>-4.2145270108999995</v>
      </c>
    </row>
  </sheetData>
  <sheetProtection selectLockedCells="1"/>
  <mergeCells count="68"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  <mergeCell ref="I37:I39"/>
    <mergeCell ref="G34:G36"/>
    <mergeCell ref="G43:G45"/>
    <mergeCell ref="I40:I42"/>
    <mergeCell ref="I43:I45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AE36:AI36"/>
    <mergeCell ref="AJ36:AK36"/>
    <mergeCell ref="AD36:AD37"/>
    <mergeCell ref="AA34:AA36"/>
    <mergeCell ref="Z37:Z39"/>
    <mergeCell ref="AA37:AA39"/>
    <mergeCell ref="Z34:Z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s">
        <v>193</v>
      </c>
      <c r="V1" t="s">
        <v>194</v>
      </c>
      <c r="W1" t="s">
        <v>195</v>
      </c>
      <c r="X1" t="s">
        <v>196</v>
      </c>
      <c r="Y1" t="s">
        <v>197</v>
      </c>
      <c r="Z1" t="s">
        <v>198</v>
      </c>
      <c r="AA1" t="s">
        <v>199</v>
      </c>
      <c r="AB1" t="s">
        <v>200</v>
      </c>
      <c r="AC1" t="s">
        <v>201</v>
      </c>
      <c r="AD1" t="s">
        <v>202</v>
      </c>
      <c r="AE1" t="s">
        <v>203</v>
      </c>
      <c r="AF1" t="s">
        <v>204</v>
      </c>
      <c r="AG1" t="s">
        <v>205</v>
      </c>
      <c r="AH1" t="s">
        <v>206</v>
      </c>
      <c r="AI1" t="s">
        <v>207</v>
      </c>
      <c r="AJ1" t="s">
        <v>208</v>
      </c>
    </row>
    <row r="2" spans="1:36">
      <c r="A2" t="s">
        <v>526</v>
      </c>
      <c r="B2" t="s">
        <v>527</v>
      </c>
      <c r="C2" t="s">
        <v>209</v>
      </c>
      <c r="D2">
        <v>3</v>
      </c>
      <c r="E2" t="s">
        <v>210</v>
      </c>
      <c r="F2" t="s">
        <v>211</v>
      </c>
      <c r="G2" t="s">
        <v>212</v>
      </c>
      <c r="H2" t="s">
        <v>528</v>
      </c>
      <c r="J2" t="s">
        <v>529</v>
      </c>
      <c r="K2" t="s">
        <v>530</v>
      </c>
      <c r="L2" t="s">
        <v>531</v>
      </c>
      <c r="M2" t="s">
        <v>532</v>
      </c>
      <c r="N2" t="s">
        <v>533</v>
      </c>
      <c r="O2">
        <v>0</v>
      </c>
      <c r="P2">
        <v>0</v>
      </c>
      <c r="Q2">
        <v>2121.9954011210998</v>
      </c>
      <c r="R2">
        <v>1522.6234816474</v>
      </c>
      <c r="S2">
        <v>9.4954011211000005</v>
      </c>
      <c r="T2">
        <v>-10.1234816474</v>
      </c>
      <c r="U2">
        <v>13.879752271399999</v>
      </c>
      <c r="V2">
        <v>746.67849999999999</v>
      </c>
      <c r="W2">
        <v>402.68549999999999</v>
      </c>
      <c r="X2">
        <v>406.80900000000003</v>
      </c>
      <c r="Y2">
        <v>400.46820000000002</v>
      </c>
      <c r="Z2">
        <v>404.39019999999999</v>
      </c>
      <c r="AA2">
        <v>575.13336249999998</v>
      </c>
      <c r="AB2" t="s">
        <v>213</v>
      </c>
      <c r="AC2" t="s">
        <v>214</v>
      </c>
      <c r="AD2" t="s">
        <v>215</v>
      </c>
      <c r="AE2" t="s">
        <v>216</v>
      </c>
      <c r="AF2" t="s">
        <v>217</v>
      </c>
      <c r="AG2">
        <v>7</v>
      </c>
      <c r="AH2" t="s">
        <v>218</v>
      </c>
      <c r="AJ2">
        <v>1</v>
      </c>
    </row>
    <row r="3" spans="1:36">
      <c r="A3" t="s">
        <v>539</v>
      </c>
      <c r="B3" t="s">
        <v>540</v>
      </c>
      <c r="C3" t="s">
        <v>209</v>
      </c>
      <c r="D3">
        <v>3</v>
      </c>
      <c r="E3" t="s">
        <v>210</v>
      </c>
      <c r="F3" t="s">
        <v>211</v>
      </c>
      <c r="G3" t="s">
        <v>212</v>
      </c>
      <c r="H3" t="s">
        <v>528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2119.0664628831</v>
      </c>
      <c r="R3">
        <v>1523.8086591126</v>
      </c>
      <c r="S3">
        <v>6.5664628830999998</v>
      </c>
      <c r="T3">
        <v>-11.308659112599999</v>
      </c>
      <c r="U3">
        <v>13.0768576394</v>
      </c>
      <c r="V3">
        <v>744.81039999999996</v>
      </c>
      <c r="W3">
        <v>399.09530000000001</v>
      </c>
      <c r="X3">
        <v>406.87360000000001</v>
      </c>
      <c r="Y3">
        <v>398.66039999999998</v>
      </c>
      <c r="Z3">
        <v>404.46019999999999</v>
      </c>
      <c r="AA3">
        <v>573.54138750000004</v>
      </c>
      <c r="AB3" t="s">
        <v>213</v>
      </c>
      <c r="AC3" t="s">
        <v>214</v>
      </c>
      <c r="AD3" t="s">
        <v>215</v>
      </c>
      <c r="AE3" t="s">
        <v>216</v>
      </c>
      <c r="AF3" t="s">
        <v>217</v>
      </c>
      <c r="AG3">
        <v>7</v>
      </c>
      <c r="AH3" t="s">
        <v>218</v>
      </c>
      <c r="AJ3">
        <v>1</v>
      </c>
    </row>
    <row r="4" spans="1:36">
      <c r="A4" t="s">
        <v>551</v>
      </c>
      <c r="B4" t="s">
        <v>552</v>
      </c>
      <c r="C4" t="s">
        <v>209</v>
      </c>
      <c r="D4">
        <v>3</v>
      </c>
      <c r="E4" t="s">
        <v>210</v>
      </c>
      <c r="F4" t="s">
        <v>211</v>
      </c>
      <c r="G4" t="s">
        <v>212</v>
      </c>
      <c r="H4" t="s">
        <v>528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2117.6635080679998</v>
      </c>
      <c r="R4">
        <v>1530.2073023866999</v>
      </c>
      <c r="S4">
        <v>5.1635080679999996</v>
      </c>
      <c r="T4">
        <v>-17.7073023867</v>
      </c>
      <c r="U4">
        <v>18.4447925817</v>
      </c>
      <c r="V4">
        <v>732.49689999999998</v>
      </c>
      <c r="W4">
        <v>392.63929999999999</v>
      </c>
      <c r="X4">
        <v>401.38979999999998</v>
      </c>
      <c r="Y4">
        <v>392.70710000000003</v>
      </c>
      <c r="Z4">
        <v>396.7115</v>
      </c>
      <c r="AA4">
        <v>564.17941250000001</v>
      </c>
      <c r="AB4" t="s">
        <v>213</v>
      </c>
      <c r="AC4" t="s">
        <v>214</v>
      </c>
      <c r="AD4" t="s">
        <v>215</v>
      </c>
      <c r="AE4" t="s">
        <v>216</v>
      </c>
      <c r="AF4" t="s">
        <v>217</v>
      </c>
      <c r="AG4">
        <v>7</v>
      </c>
      <c r="AH4" t="s">
        <v>218</v>
      </c>
      <c r="AJ4">
        <v>1</v>
      </c>
    </row>
    <row r="5" spans="1:36">
      <c r="A5" t="s">
        <v>563</v>
      </c>
      <c r="B5" t="s">
        <v>564</v>
      </c>
      <c r="C5" t="s">
        <v>209</v>
      </c>
      <c r="D5">
        <v>3</v>
      </c>
      <c r="E5" t="s">
        <v>210</v>
      </c>
      <c r="F5" t="s">
        <v>211</v>
      </c>
      <c r="G5" t="s">
        <v>212</v>
      </c>
      <c r="H5" t="s">
        <v>528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2115.1091580744001</v>
      </c>
      <c r="R5">
        <v>1526.2598530719999</v>
      </c>
      <c r="S5">
        <v>2.6091580743999998</v>
      </c>
      <c r="T5">
        <v>-13.759853072</v>
      </c>
      <c r="U5">
        <v>14.0050441777</v>
      </c>
      <c r="V5">
        <v>730.32560000000001</v>
      </c>
      <c r="W5">
        <v>393.37700000000001</v>
      </c>
      <c r="X5">
        <v>401.98439999999999</v>
      </c>
      <c r="Y5">
        <v>395.52859999999998</v>
      </c>
      <c r="Z5">
        <v>393.48759999999999</v>
      </c>
      <c r="AA5">
        <v>563.21</v>
      </c>
      <c r="AB5" t="s">
        <v>213</v>
      </c>
      <c r="AC5" t="s">
        <v>214</v>
      </c>
      <c r="AD5" t="s">
        <v>215</v>
      </c>
      <c r="AE5" t="s">
        <v>216</v>
      </c>
      <c r="AF5" t="s">
        <v>217</v>
      </c>
      <c r="AG5">
        <v>7</v>
      </c>
      <c r="AH5" t="s">
        <v>218</v>
      </c>
      <c r="AJ5">
        <v>1</v>
      </c>
    </row>
    <row r="6" spans="1:36">
      <c r="A6" t="s">
        <v>575</v>
      </c>
      <c r="B6" t="s">
        <v>576</v>
      </c>
      <c r="C6" t="s">
        <v>209</v>
      </c>
      <c r="D6">
        <v>3</v>
      </c>
      <c r="E6" t="s">
        <v>210</v>
      </c>
      <c r="F6" t="s">
        <v>211</v>
      </c>
      <c r="G6" t="s">
        <v>212</v>
      </c>
      <c r="H6" t="s">
        <v>528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2113.5386193659001</v>
      </c>
      <c r="R6">
        <v>1534.0401204589</v>
      </c>
      <c r="S6">
        <v>1.0386193659</v>
      </c>
      <c r="T6">
        <v>-21.540120458899999</v>
      </c>
      <c r="U6">
        <v>21.565145943600001</v>
      </c>
      <c r="V6">
        <v>734.53489999999999</v>
      </c>
      <c r="W6">
        <v>394.03289999999998</v>
      </c>
      <c r="X6">
        <v>404.96800000000002</v>
      </c>
      <c r="Y6">
        <v>398.19369999999998</v>
      </c>
      <c r="Z6">
        <v>398.67590000000001</v>
      </c>
      <c r="AA6">
        <v>566.75126250000005</v>
      </c>
      <c r="AB6" t="s">
        <v>213</v>
      </c>
      <c r="AC6" t="s">
        <v>214</v>
      </c>
      <c r="AD6" t="s">
        <v>215</v>
      </c>
      <c r="AE6" t="s">
        <v>216</v>
      </c>
      <c r="AF6" t="s">
        <v>217</v>
      </c>
      <c r="AG6">
        <v>7</v>
      </c>
      <c r="AH6" t="s">
        <v>218</v>
      </c>
      <c r="AJ6">
        <v>1</v>
      </c>
    </row>
    <row r="7" spans="1:36">
      <c r="A7" t="s">
        <v>587</v>
      </c>
      <c r="B7" t="s">
        <v>588</v>
      </c>
      <c r="C7" t="s">
        <v>209</v>
      </c>
      <c r="D7">
        <v>3</v>
      </c>
      <c r="E7" t="s">
        <v>210</v>
      </c>
      <c r="F7" t="s">
        <v>211</v>
      </c>
      <c r="G7" t="s">
        <v>212</v>
      </c>
      <c r="H7" t="s">
        <v>528</v>
      </c>
      <c r="J7" t="s">
        <v>589</v>
      </c>
      <c r="K7" t="s">
        <v>590</v>
      </c>
      <c r="L7" t="s">
        <v>591</v>
      </c>
      <c r="M7" t="s">
        <v>592</v>
      </c>
      <c r="N7" t="s">
        <v>593</v>
      </c>
      <c r="O7">
        <v>0</v>
      </c>
      <c r="P7">
        <v>0</v>
      </c>
      <c r="Q7">
        <v>2109.2787849478</v>
      </c>
      <c r="R7">
        <v>1528.9456386671</v>
      </c>
      <c r="S7">
        <v>-3.2212150521999998</v>
      </c>
      <c r="T7">
        <v>-16.445638667099999</v>
      </c>
      <c r="U7">
        <v>16.758140039400001</v>
      </c>
      <c r="V7">
        <v>748.07029999999997</v>
      </c>
      <c r="W7">
        <v>401.01459999999997</v>
      </c>
      <c r="X7">
        <v>410.29160000000002</v>
      </c>
      <c r="Y7">
        <v>405.08080000000001</v>
      </c>
      <c r="Z7">
        <v>402.66410000000002</v>
      </c>
      <c r="AA7">
        <v>576.4165375</v>
      </c>
      <c r="AB7" t="s">
        <v>213</v>
      </c>
      <c r="AC7" t="s">
        <v>214</v>
      </c>
      <c r="AD7" t="s">
        <v>215</v>
      </c>
      <c r="AE7" t="s">
        <v>216</v>
      </c>
      <c r="AF7" t="s">
        <v>217</v>
      </c>
      <c r="AG7">
        <v>7</v>
      </c>
      <c r="AH7" t="s">
        <v>218</v>
      </c>
      <c r="AJ7">
        <v>1</v>
      </c>
    </row>
    <row r="8" spans="1:36">
      <c r="A8" t="s">
        <v>599</v>
      </c>
      <c r="B8" t="s">
        <v>600</v>
      </c>
      <c r="C8" t="s">
        <v>209</v>
      </c>
      <c r="D8">
        <v>3</v>
      </c>
      <c r="E8" t="s">
        <v>210</v>
      </c>
      <c r="F8" t="s">
        <v>211</v>
      </c>
      <c r="G8" t="s">
        <v>212</v>
      </c>
      <c r="H8" t="s">
        <v>528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2103.2485522287002</v>
      </c>
      <c r="R8">
        <v>1522.8205950242</v>
      </c>
      <c r="S8">
        <v>-9.2514477713000005</v>
      </c>
      <c r="T8">
        <v>-10.320595024199999</v>
      </c>
      <c r="U8">
        <v>13.860157557599999</v>
      </c>
      <c r="V8">
        <v>738.399</v>
      </c>
      <c r="W8">
        <v>395.29989999999998</v>
      </c>
      <c r="X8">
        <v>402.5394</v>
      </c>
      <c r="Y8">
        <v>398.49529999999999</v>
      </c>
      <c r="Z8">
        <v>396.75170000000003</v>
      </c>
      <c r="AA8">
        <v>568.33528750000005</v>
      </c>
      <c r="AB8" t="s">
        <v>213</v>
      </c>
      <c r="AC8" t="s">
        <v>214</v>
      </c>
      <c r="AD8" t="s">
        <v>215</v>
      </c>
      <c r="AE8" t="s">
        <v>216</v>
      </c>
      <c r="AF8" t="s">
        <v>217</v>
      </c>
      <c r="AG8">
        <v>7</v>
      </c>
      <c r="AH8" t="s">
        <v>218</v>
      </c>
      <c r="AJ8">
        <v>1</v>
      </c>
    </row>
    <row r="9" spans="1:36">
      <c r="A9" t="s">
        <v>611</v>
      </c>
      <c r="B9" t="s">
        <v>612</v>
      </c>
      <c r="C9" t="s">
        <v>209</v>
      </c>
      <c r="D9">
        <v>3</v>
      </c>
      <c r="E9" t="s">
        <v>210</v>
      </c>
      <c r="F9" t="s">
        <v>211</v>
      </c>
      <c r="G9" t="s">
        <v>212</v>
      </c>
      <c r="H9" t="s">
        <v>528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2117.5682688545999</v>
      </c>
      <c r="R9">
        <v>1521.6367462608</v>
      </c>
      <c r="S9">
        <v>5.0682688546000003</v>
      </c>
      <c r="T9">
        <v>-9.1367462608000007</v>
      </c>
      <c r="U9">
        <v>10.448324335400001</v>
      </c>
      <c r="V9">
        <v>743.89480000000003</v>
      </c>
      <c r="W9">
        <v>400.61509999999998</v>
      </c>
      <c r="X9">
        <v>406.66550000000001</v>
      </c>
      <c r="Y9">
        <v>398.21480000000003</v>
      </c>
      <c r="Z9">
        <v>401.72359999999998</v>
      </c>
      <c r="AA9">
        <v>572.84977500000002</v>
      </c>
      <c r="AB9" t="s">
        <v>213</v>
      </c>
      <c r="AC9" t="s">
        <v>214</v>
      </c>
      <c r="AD9" t="s">
        <v>215</v>
      </c>
      <c r="AE9" t="s">
        <v>216</v>
      </c>
      <c r="AF9" t="s">
        <v>217</v>
      </c>
      <c r="AG9">
        <v>7</v>
      </c>
      <c r="AH9" t="s">
        <v>218</v>
      </c>
      <c r="AJ9">
        <v>1</v>
      </c>
    </row>
    <row r="10" spans="1:36">
      <c r="A10" t="s">
        <v>623</v>
      </c>
      <c r="B10" t="s">
        <v>624</v>
      </c>
      <c r="C10" t="s">
        <v>209</v>
      </c>
      <c r="D10">
        <v>3</v>
      </c>
      <c r="E10" t="s">
        <v>210</v>
      </c>
      <c r="F10" t="s">
        <v>211</v>
      </c>
      <c r="G10" t="s">
        <v>212</v>
      </c>
      <c r="H10" t="s">
        <v>528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2117.0490762183999</v>
      </c>
      <c r="R10">
        <v>1519.4514758926</v>
      </c>
      <c r="S10">
        <v>4.5490762183999998</v>
      </c>
      <c r="T10">
        <v>-6.9514758926000004</v>
      </c>
      <c r="U10">
        <v>8.3076537919</v>
      </c>
      <c r="V10">
        <v>742.26</v>
      </c>
      <c r="W10">
        <v>399.88639999999998</v>
      </c>
      <c r="X10">
        <v>403.92149999999998</v>
      </c>
      <c r="Y10">
        <v>397.88720000000001</v>
      </c>
      <c r="Z10">
        <v>401.2783</v>
      </c>
      <c r="AA10">
        <v>571.50167499999998</v>
      </c>
      <c r="AB10" t="s">
        <v>213</v>
      </c>
      <c r="AC10" t="s">
        <v>214</v>
      </c>
      <c r="AD10" t="s">
        <v>215</v>
      </c>
      <c r="AE10" t="s">
        <v>216</v>
      </c>
      <c r="AF10" t="s">
        <v>217</v>
      </c>
      <c r="AG10">
        <v>7</v>
      </c>
      <c r="AH10" t="s">
        <v>218</v>
      </c>
      <c r="AJ10">
        <v>1</v>
      </c>
    </row>
    <row r="11" spans="1:36">
      <c r="A11" t="s">
        <v>635</v>
      </c>
      <c r="B11" t="s">
        <v>636</v>
      </c>
      <c r="C11" t="s">
        <v>209</v>
      </c>
      <c r="D11">
        <v>3</v>
      </c>
      <c r="E11" t="s">
        <v>210</v>
      </c>
      <c r="F11" t="s">
        <v>211</v>
      </c>
      <c r="G11" t="s">
        <v>212</v>
      </c>
      <c r="H11" t="s">
        <v>528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2102.2928337242001</v>
      </c>
      <c r="R11">
        <v>1517.9831969806</v>
      </c>
      <c r="S11">
        <v>-10.207166275800001</v>
      </c>
      <c r="T11">
        <v>-5.4831969805999998</v>
      </c>
      <c r="U11">
        <v>11.5867032632</v>
      </c>
      <c r="V11">
        <v>734.98800000000006</v>
      </c>
      <c r="W11">
        <v>393.0677</v>
      </c>
      <c r="X11">
        <v>401.13560000000001</v>
      </c>
      <c r="Y11">
        <v>398.14179999999999</v>
      </c>
      <c r="Z11">
        <v>392.47</v>
      </c>
      <c r="AA11">
        <v>565.5958875</v>
      </c>
      <c r="AB11" t="s">
        <v>213</v>
      </c>
      <c r="AC11" t="s">
        <v>214</v>
      </c>
      <c r="AD11" t="s">
        <v>215</v>
      </c>
      <c r="AE11" t="s">
        <v>216</v>
      </c>
      <c r="AF11" t="s">
        <v>217</v>
      </c>
      <c r="AG11">
        <v>7</v>
      </c>
      <c r="AH11" t="s">
        <v>218</v>
      </c>
      <c r="AJ11">
        <v>1</v>
      </c>
    </row>
    <row r="12" spans="1:36">
      <c r="A12" t="s">
        <v>647</v>
      </c>
      <c r="B12" t="s">
        <v>648</v>
      </c>
      <c r="C12" t="s">
        <v>209</v>
      </c>
      <c r="D12">
        <v>3</v>
      </c>
      <c r="E12" t="s">
        <v>210</v>
      </c>
      <c r="F12" t="s">
        <v>211</v>
      </c>
      <c r="G12" t="s">
        <v>212</v>
      </c>
      <c r="H12" t="s">
        <v>528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2108.5605576874</v>
      </c>
      <c r="R12">
        <v>1522.5164535929</v>
      </c>
      <c r="S12">
        <v>-3.9394423126000002</v>
      </c>
      <c r="T12">
        <v>-10.0164535929</v>
      </c>
      <c r="U12">
        <v>10.763296349799999</v>
      </c>
      <c r="V12">
        <v>740.78710000000001</v>
      </c>
      <c r="W12">
        <v>396.92340000000002</v>
      </c>
      <c r="X12">
        <v>402.89479999999998</v>
      </c>
      <c r="Y12">
        <v>400.16699999999997</v>
      </c>
      <c r="Z12">
        <v>397.6814</v>
      </c>
      <c r="AA12">
        <v>570.10187499999995</v>
      </c>
      <c r="AB12" t="s">
        <v>213</v>
      </c>
      <c r="AC12" t="s">
        <v>214</v>
      </c>
      <c r="AD12" t="s">
        <v>215</v>
      </c>
      <c r="AE12" t="s">
        <v>216</v>
      </c>
      <c r="AF12" t="s">
        <v>217</v>
      </c>
      <c r="AG12">
        <v>7</v>
      </c>
      <c r="AH12" t="s">
        <v>218</v>
      </c>
      <c r="AJ12">
        <v>1</v>
      </c>
    </row>
    <row r="13" spans="1:36">
      <c r="A13" t="s">
        <v>659</v>
      </c>
      <c r="B13" t="s">
        <v>660</v>
      </c>
      <c r="C13" t="s">
        <v>209</v>
      </c>
      <c r="D13">
        <v>3</v>
      </c>
      <c r="E13" t="s">
        <v>210</v>
      </c>
      <c r="F13" t="s">
        <v>211</v>
      </c>
      <c r="G13" t="s">
        <v>212</v>
      </c>
      <c r="H13" t="s">
        <v>528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2107.3190585257998</v>
      </c>
      <c r="R13">
        <v>1523.2228750755</v>
      </c>
      <c r="S13">
        <v>-5.1809414742</v>
      </c>
      <c r="T13">
        <v>-10.722875075499999</v>
      </c>
      <c r="U13">
        <v>11.908912815400001</v>
      </c>
      <c r="V13">
        <v>749.39469999999994</v>
      </c>
      <c r="W13">
        <v>401.40069999999997</v>
      </c>
      <c r="X13">
        <v>409.3854</v>
      </c>
      <c r="Y13">
        <v>406.10079999999999</v>
      </c>
      <c r="Z13">
        <v>404.16750000000002</v>
      </c>
      <c r="AA13">
        <v>577.32915000000003</v>
      </c>
      <c r="AB13" t="s">
        <v>213</v>
      </c>
      <c r="AC13" t="s">
        <v>214</v>
      </c>
      <c r="AD13" t="s">
        <v>215</v>
      </c>
      <c r="AE13" t="s">
        <v>216</v>
      </c>
      <c r="AF13" t="s">
        <v>217</v>
      </c>
      <c r="AG13">
        <v>7</v>
      </c>
      <c r="AH13" t="s">
        <v>218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219</v>
      </c>
      <c r="R1" t="s">
        <v>220</v>
      </c>
      <c r="S1" t="s">
        <v>221</v>
      </c>
      <c r="T1" t="s">
        <v>222</v>
      </c>
      <c r="U1" t="s">
        <v>223</v>
      </c>
      <c r="V1" t="s">
        <v>224</v>
      </c>
      <c r="W1" t="s">
        <v>225</v>
      </c>
      <c r="X1" t="s">
        <v>226</v>
      </c>
      <c r="Y1" t="s">
        <v>227</v>
      </c>
      <c r="Z1" t="s">
        <v>228</v>
      </c>
      <c r="AA1" t="s">
        <v>229</v>
      </c>
      <c r="AB1" t="s">
        <v>230</v>
      </c>
      <c r="AC1" t="s">
        <v>231</v>
      </c>
      <c r="AD1" t="s">
        <v>232</v>
      </c>
      <c r="AE1" t="s">
        <v>233</v>
      </c>
      <c r="AF1" t="s">
        <v>234</v>
      </c>
      <c r="AG1" t="s">
        <v>235</v>
      </c>
      <c r="AH1" t="s">
        <v>236</v>
      </c>
      <c r="AI1" t="s">
        <v>237</v>
      </c>
      <c r="AJ1" t="s">
        <v>238</v>
      </c>
      <c r="AK1" t="s">
        <v>239</v>
      </c>
      <c r="AL1" t="s">
        <v>240</v>
      </c>
      <c r="AM1" t="s">
        <v>241</v>
      </c>
      <c r="AN1" t="s">
        <v>242</v>
      </c>
      <c r="AO1" t="s">
        <v>243</v>
      </c>
      <c r="AP1" t="s">
        <v>244</v>
      </c>
      <c r="AQ1" t="s">
        <v>245</v>
      </c>
      <c r="AR1" t="s">
        <v>246</v>
      </c>
      <c r="AS1" t="s">
        <v>247</v>
      </c>
      <c r="AT1" t="s">
        <v>248</v>
      </c>
      <c r="AU1" t="s">
        <v>249</v>
      </c>
      <c r="AV1" t="s">
        <v>206</v>
      </c>
      <c r="AW1" t="s">
        <v>207</v>
      </c>
      <c r="AX1" t="s">
        <v>208</v>
      </c>
    </row>
    <row r="2" spans="1:50">
      <c r="A2" t="s">
        <v>534</v>
      </c>
      <c r="B2" t="s">
        <v>535</v>
      </c>
      <c r="C2" t="s">
        <v>209</v>
      </c>
      <c r="D2">
        <v>3</v>
      </c>
      <c r="E2" t="s">
        <v>210</v>
      </c>
      <c r="F2" t="s">
        <v>211</v>
      </c>
      <c r="G2" t="s">
        <v>250</v>
      </c>
      <c r="H2" t="s">
        <v>528</v>
      </c>
      <c r="J2" t="s">
        <v>529</v>
      </c>
      <c r="K2" t="s">
        <v>530</v>
      </c>
      <c r="L2" t="s">
        <v>531</v>
      </c>
      <c r="M2" t="s">
        <v>532</v>
      </c>
      <c r="N2" t="s">
        <v>533</v>
      </c>
      <c r="O2">
        <v>0</v>
      </c>
      <c r="P2">
        <v>0</v>
      </c>
      <c r="Q2">
        <v>-9.0598999999999994E-6</v>
      </c>
      <c r="R2">
        <v>-5.534246445</v>
      </c>
      <c r="S2">
        <v>-2.3353281020000001</v>
      </c>
      <c r="T2">
        <v>-0.45284008999999997</v>
      </c>
      <c r="U2">
        <v>2.3792550559999999</v>
      </c>
      <c r="V2">
        <v>-5.3063411709999997</v>
      </c>
      <c r="W2">
        <v>1.8024328949999999</v>
      </c>
      <c r="X2">
        <v>0.447508454</v>
      </c>
      <c r="Y2">
        <v>1.1510183810000001</v>
      </c>
      <c r="Z2">
        <v>-0.26582697</v>
      </c>
      <c r="AA2">
        <v>0.87767481800000002</v>
      </c>
      <c r="AB2">
        <v>-1.5582962039999999</v>
      </c>
      <c r="AC2">
        <v>0.91107273099999997</v>
      </c>
      <c r="AD2">
        <v>-1.466873646</v>
      </c>
      <c r="AE2">
        <v>-0.25880014899999998</v>
      </c>
      <c r="AF2">
        <v>0.162686318</v>
      </c>
      <c r="AG2">
        <v>-1.1338297129999999</v>
      </c>
      <c r="AH2">
        <v>-0.67355251299999996</v>
      </c>
      <c r="AI2">
        <v>0.419526279</v>
      </c>
      <c r="AJ2">
        <v>3.6008789999999999E-2</v>
      </c>
      <c r="AK2">
        <v>2.5813799999999999E-4</v>
      </c>
      <c r="AL2">
        <v>5.1660258000000001E-2</v>
      </c>
      <c r="AM2">
        <v>0.11124020799999999</v>
      </c>
      <c r="AN2">
        <v>9.2498757000000001E-2</v>
      </c>
      <c r="AO2">
        <v>0.12793178899999999</v>
      </c>
      <c r="AP2">
        <v>0.12793178899999999</v>
      </c>
      <c r="AQ2">
        <v>6.0067995679999999</v>
      </c>
      <c r="AR2" t="s">
        <v>251</v>
      </c>
      <c r="AS2" t="s">
        <v>252</v>
      </c>
      <c r="AT2">
        <v>4</v>
      </c>
      <c r="AU2">
        <v>2.9</v>
      </c>
      <c r="AX2">
        <v>1</v>
      </c>
    </row>
    <row r="3" spans="1:50">
      <c r="A3" t="s">
        <v>546</v>
      </c>
      <c r="B3" t="s">
        <v>547</v>
      </c>
      <c r="C3" t="s">
        <v>209</v>
      </c>
      <c r="D3">
        <v>3</v>
      </c>
      <c r="E3" t="s">
        <v>210</v>
      </c>
      <c r="F3" t="s">
        <v>211</v>
      </c>
      <c r="G3" t="s">
        <v>250</v>
      </c>
      <c r="H3" t="s">
        <v>528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3.0249399999999999E-5</v>
      </c>
      <c r="R3">
        <v>3.5981823209999999</v>
      </c>
      <c r="S3">
        <v>-3.7178950309999999</v>
      </c>
      <c r="T3">
        <v>-2.0523223879999999</v>
      </c>
      <c r="U3">
        <v>-1.3789117E-2</v>
      </c>
      <c r="V3">
        <v>2.8305389879999998</v>
      </c>
      <c r="W3">
        <v>2.2034168240000001</v>
      </c>
      <c r="X3">
        <v>3.4402639869999998</v>
      </c>
      <c r="Y3">
        <v>1.187294364</v>
      </c>
      <c r="Z3">
        <v>-0.16636875300000001</v>
      </c>
      <c r="AA3">
        <v>0.61951679000000004</v>
      </c>
      <c r="AB3">
        <v>-6.7119076999999999E-2</v>
      </c>
      <c r="AC3">
        <v>-1.8627792599999999</v>
      </c>
      <c r="AD3">
        <v>-0.71864414200000004</v>
      </c>
      <c r="AE3">
        <v>-1.381798506</v>
      </c>
      <c r="AF3">
        <v>0.25386595699999998</v>
      </c>
      <c r="AG3">
        <v>0.21499598</v>
      </c>
      <c r="AH3">
        <v>-0.59946733699999999</v>
      </c>
      <c r="AI3">
        <v>-0.15528050099999999</v>
      </c>
      <c r="AJ3">
        <v>-0.14479798099999999</v>
      </c>
      <c r="AK3">
        <v>2.21117E-4</v>
      </c>
      <c r="AL3">
        <v>4.8900366000000001E-2</v>
      </c>
      <c r="AM3">
        <v>8.9182473999999998E-2</v>
      </c>
      <c r="AN3">
        <v>0.11166158299999999</v>
      </c>
      <c r="AO3">
        <v>0.11166158299999999</v>
      </c>
      <c r="AP3">
        <v>0.11166158299999999</v>
      </c>
      <c r="AQ3">
        <v>4.046842002</v>
      </c>
      <c r="AR3" t="s">
        <v>251</v>
      </c>
      <c r="AS3" t="s">
        <v>252</v>
      </c>
      <c r="AT3">
        <v>3</v>
      </c>
      <c r="AU3">
        <v>2.9</v>
      </c>
      <c r="AX3">
        <v>1</v>
      </c>
    </row>
    <row r="4" spans="1:50">
      <c r="A4" t="s">
        <v>558</v>
      </c>
      <c r="B4" t="s">
        <v>562</v>
      </c>
      <c r="C4" t="s">
        <v>209</v>
      </c>
      <c r="D4">
        <v>3</v>
      </c>
      <c r="E4" t="s">
        <v>210</v>
      </c>
      <c r="F4" t="s">
        <v>211</v>
      </c>
      <c r="G4" t="s">
        <v>250</v>
      </c>
      <c r="H4" t="s">
        <v>528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2.80142E-5</v>
      </c>
      <c r="R4">
        <v>4.0230975149999999</v>
      </c>
      <c r="S4">
        <v>-2.675365448</v>
      </c>
      <c r="T4">
        <v>-1.0268185139999999</v>
      </c>
      <c r="U4">
        <v>-2.0268745419999998</v>
      </c>
      <c r="V4">
        <v>2.7721104620000001</v>
      </c>
      <c r="W4">
        <v>0.14384967100000001</v>
      </c>
      <c r="X4">
        <v>0.99002420899999999</v>
      </c>
      <c r="Y4">
        <v>0.43678966200000002</v>
      </c>
      <c r="Z4">
        <v>-1.6990778449999999</v>
      </c>
      <c r="AA4">
        <v>-1.1974714989999999</v>
      </c>
      <c r="AB4">
        <v>0.43477421999999999</v>
      </c>
      <c r="AC4">
        <v>-0.95104420199999995</v>
      </c>
      <c r="AD4">
        <v>-0.40241551399999997</v>
      </c>
      <c r="AE4">
        <v>-1.072694778</v>
      </c>
      <c r="AF4">
        <v>7.1449786000000001E-2</v>
      </c>
      <c r="AG4">
        <v>-0.57597029200000005</v>
      </c>
      <c r="AH4">
        <v>-0.56778520399999999</v>
      </c>
      <c r="AI4">
        <v>0.65862441100000002</v>
      </c>
      <c r="AJ4">
        <v>0.83435154</v>
      </c>
      <c r="AK4">
        <v>1.58901E-4</v>
      </c>
      <c r="AL4">
        <v>4.0235877000000003E-2</v>
      </c>
      <c r="AM4">
        <v>0.101949021</v>
      </c>
      <c r="AN4">
        <v>7.7154674000000006E-2</v>
      </c>
      <c r="AO4">
        <v>0.101949021</v>
      </c>
      <c r="AP4">
        <v>0.101949021</v>
      </c>
      <c r="AQ4">
        <v>4.8314484259999997</v>
      </c>
      <c r="AR4" t="s">
        <v>251</v>
      </c>
      <c r="AS4" t="s">
        <v>252</v>
      </c>
      <c r="AT4">
        <v>3</v>
      </c>
      <c r="AU4">
        <v>2.9</v>
      </c>
      <c r="AX4">
        <v>1</v>
      </c>
    </row>
    <row r="5" spans="1:50">
      <c r="A5" t="s">
        <v>572</v>
      </c>
      <c r="B5" t="s">
        <v>573</v>
      </c>
      <c r="C5" t="s">
        <v>209</v>
      </c>
      <c r="D5">
        <v>3</v>
      </c>
      <c r="E5" t="s">
        <v>210</v>
      </c>
      <c r="F5" t="s">
        <v>211</v>
      </c>
      <c r="G5" t="s">
        <v>250</v>
      </c>
      <c r="H5" t="s">
        <v>528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-3.1098700000000001E-5</v>
      </c>
      <c r="R5">
        <v>0.31441628929999998</v>
      </c>
      <c r="S5">
        <v>0.15703547000000001</v>
      </c>
      <c r="T5">
        <v>-0.82486987109999999</v>
      </c>
      <c r="U5">
        <v>0.86847186089999995</v>
      </c>
      <c r="V5">
        <v>-2.9951024055</v>
      </c>
      <c r="W5">
        <v>0.70762991909999995</v>
      </c>
      <c r="X5">
        <v>-0.65331768990000005</v>
      </c>
      <c r="Y5">
        <v>0.43255943060000002</v>
      </c>
      <c r="Z5">
        <v>0.13654197749999999</v>
      </c>
      <c r="AA5">
        <v>-0.4339725673</v>
      </c>
      <c r="AB5">
        <v>-0.63983368870000001</v>
      </c>
      <c r="AC5">
        <v>0.1367712915</v>
      </c>
      <c r="AD5">
        <v>-0.78732734920000003</v>
      </c>
      <c r="AE5">
        <v>0.1270435452</v>
      </c>
      <c r="AF5">
        <v>0.49933847780000001</v>
      </c>
      <c r="AG5">
        <v>-0.69290286300000004</v>
      </c>
      <c r="AH5">
        <v>0.26307770609999998</v>
      </c>
      <c r="AI5">
        <v>0.43675333259999999</v>
      </c>
      <c r="AJ5">
        <v>0.93328499789999997</v>
      </c>
      <c r="AK5">
        <v>1.9005399999999999E-4</v>
      </c>
      <c r="AL5">
        <v>4.5439206099999997E-2</v>
      </c>
      <c r="AM5">
        <v>4.2164653500000003E-2</v>
      </c>
      <c r="AN5">
        <v>3.9959117799999999E-2</v>
      </c>
      <c r="AO5">
        <v>4.2164653500000003E-2</v>
      </c>
      <c r="AP5">
        <v>5.4909538500000001E-2</v>
      </c>
      <c r="AQ5">
        <v>0.35145090960000003</v>
      </c>
      <c r="AR5" t="s">
        <v>251</v>
      </c>
      <c r="AS5" t="s">
        <v>252</v>
      </c>
      <c r="AT5">
        <v>4</v>
      </c>
      <c r="AU5">
        <v>2.9</v>
      </c>
      <c r="AX5">
        <v>1</v>
      </c>
    </row>
    <row r="6" spans="1:50">
      <c r="A6" t="s">
        <v>584</v>
      </c>
      <c r="B6" t="s">
        <v>585</v>
      </c>
      <c r="C6" t="s">
        <v>209</v>
      </c>
      <c r="D6">
        <v>3</v>
      </c>
      <c r="E6" t="s">
        <v>210</v>
      </c>
      <c r="F6" t="s">
        <v>211</v>
      </c>
      <c r="G6" t="s">
        <v>250</v>
      </c>
      <c r="H6" t="s">
        <v>528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1.1846400000000001E-5</v>
      </c>
      <c r="R6">
        <v>-1.0306787491</v>
      </c>
      <c r="S6">
        <v>-0.65883058309999998</v>
      </c>
      <c r="T6">
        <v>-0.4403886199</v>
      </c>
      <c r="U6">
        <v>-1.0238902568999999</v>
      </c>
      <c r="V6">
        <v>3.8711481094</v>
      </c>
      <c r="W6">
        <v>0.16240674259999999</v>
      </c>
      <c r="X6">
        <v>0.66983884569999996</v>
      </c>
      <c r="Y6">
        <v>-0.41517931219999998</v>
      </c>
      <c r="Z6">
        <v>0.34513634440000002</v>
      </c>
      <c r="AA6">
        <v>-0.44816392659999998</v>
      </c>
      <c r="AB6">
        <v>-0.60942053789999995</v>
      </c>
      <c r="AC6">
        <v>-0.42544811960000001</v>
      </c>
      <c r="AD6">
        <v>0.12468564510000001</v>
      </c>
      <c r="AE6">
        <v>-0.51209747790000004</v>
      </c>
      <c r="AF6">
        <v>0.93657922739999999</v>
      </c>
      <c r="AG6">
        <v>-1.0338958502</v>
      </c>
      <c r="AH6">
        <v>0.35461297629999999</v>
      </c>
      <c r="AI6">
        <v>-0.1041318923</v>
      </c>
      <c r="AJ6">
        <v>-0.63205015659999997</v>
      </c>
      <c r="AK6">
        <v>1.8171370000000001E-4</v>
      </c>
      <c r="AL6">
        <v>4.4263619900000002E-2</v>
      </c>
      <c r="AM6">
        <v>6.5867334599999994E-2</v>
      </c>
      <c r="AN6">
        <v>5.5950153599999997E-2</v>
      </c>
      <c r="AO6">
        <v>6.5867334599999994E-2</v>
      </c>
      <c r="AP6">
        <v>6.5867334599999994E-2</v>
      </c>
      <c r="AQ6">
        <v>1.2232564821</v>
      </c>
      <c r="AR6" t="s">
        <v>251</v>
      </c>
      <c r="AS6" t="s">
        <v>252</v>
      </c>
      <c r="AT6">
        <v>4</v>
      </c>
      <c r="AU6">
        <v>2.9</v>
      </c>
      <c r="AX6">
        <v>1</v>
      </c>
    </row>
    <row r="7" spans="1:50">
      <c r="A7" t="s">
        <v>594</v>
      </c>
      <c r="B7" t="s">
        <v>595</v>
      </c>
      <c r="C7" t="s">
        <v>209</v>
      </c>
      <c r="D7">
        <v>3</v>
      </c>
      <c r="E7" t="s">
        <v>210</v>
      </c>
      <c r="F7" t="s">
        <v>211</v>
      </c>
      <c r="G7" t="s">
        <v>250</v>
      </c>
      <c r="H7" t="s">
        <v>528</v>
      </c>
      <c r="J7" t="s">
        <v>589</v>
      </c>
      <c r="K7" t="s">
        <v>590</v>
      </c>
      <c r="L7" t="s">
        <v>591</v>
      </c>
      <c r="M7" t="s">
        <v>592</v>
      </c>
      <c r="N7" t="s">
        <v>593</v>
      </c>
      <c r="O7">
        <v>0</v>
      </c>
      <c r="P7">
        <v>0</v>
      </c>
      <c r="Q7">
        <v>1.0609599999999999E-5</v>
      </c>
      <c r="R7">
        <v>-4.3876595497000004</v>
      </c>
      <c r="S7">
        <v>1.1709196568</v>
      </c>
      <c r="T7">
        <v>2.2217564582999998</v>
      </c>
      <c r="U7">
        <v>2.3627736568</v>
      </c>
      <c r="V7">
        <v>-0.73325204850000003</v>
      </c>
      <c r="W7">
        <v>1.3381022215</v>
      </c>
      <c r="X7">
        <v>-1.0723001957</v>
      </c>
      <c r="Y7">
        <v>0.69669735430000002</v>
      </c>
      <c r="Z7">
        <v>-0.82848227019999998</v>
      </c>
      <c r="AA7">
        <v>-0.40632075070000001</v>
      </c>
      <c r="AB7">
        <v>-1.1782082319</v>
      </c>
      <c r="AC7">
        <v>0.59376066920000004</v>
      </c>
      <c r="AD7">
        <v>-1.3103830813999999</v>
      </c>
      <c r="AE7">
        <v>0.28080248829999999</v>
      </c>
      <c r="AF7">
        <v>-0.44624018669999999</v>
      </c>
      <c r="AG7">
        <v>-0.53518676759999995</v>
      </c>
      <c r="AH7">
        <v>5.3549006599999997E-2</v>
      </c>
      <c r="AI7">
        <v>0.30899080629999998</v>
      </c>
      <c r="AJ7">
        <v>0.1118219793</v>
      </c>
      <c r="AK7">
        <v>1.7100589999999999E-4</v>
      </c>
      <c r="AL7">
        <v>4.0705002800000001E-2</v>
      </c>
      <c r="AM7">
        <v>8.2876116E-2</v>
      </c>
      <c r="AN7">
        <v>3.8112223100000002E-2</v>
      </c>
      <c r="AO7">
        <v>0.11439046260000001</v>
      </c>
      <c r="AP7">
        <v>0.11439046260000001</v>
      </c>
      <c r="AQ7">
        <v>4.5412123013999999</v>
      </c>
      <c r="AR7" t="s">
        <v>251</v>
      </c>
      <c r="AS7" t="s">
        <v>252</v>
      </c>
      <c r="AT7">
        <v>3</v>
      </c>
      <c r="AU7">
        <v>2.9</v>
      </c>
      <c r="AX7">
        <v>1</v>
      </c>
    </row>
    <row r="8" spans="1:50">
      <c r="A8" t="s">
        <v>608</v>
      </c>
      <c r="B8" t="s">
        <v>609</v>
      </c>
      <c r="C8" t="s">
        <v>209</v>
      </c>
      <c r="D8">
        <v>3</v>
      </c>
      <c r="E8" t="s">
        <v>210</v>
      </c>
      <c r="F8" t="s">
        <v>211</v>
      </c>
      <c r="G8" t="s">
        <v>250</v>
      </c>
      <c r="H8" t="s">
        <v>528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1.2517E-6</v>
      </c>
      <c r="R8">
        <v>-1.2204624414</v>
      </c>
      <c r="S8">
        <v>3.3090128899</v>
      </c>
      <c r="T8">
        <v>-4.8772373198999999</v>
      </c>
      <c r="U8">
        <v>6.3432633899999993E-2</v>
      </c>
      <c r="V8">
        <v>0.66767621040000003</v>
      </c>
      <c r="W8">
        <v>1.4038734436</v>
      </c>
      <c r="X8">
        <v>-0.1146218479</v>
      </c>
      <c r="Y8">
        <v>3.9692175388000002</v>
      </c>
      <c r="Z8">
        <v>-0.56865942479999998</v>
      </c>
      <c r="AA8">
        <v>0.49615263939999998</v>
      </c>
      <c r="AB8">
        <v>-1.2467799186999999</v>
      </c>
      <c r="AC8">
        <v>-0.39006885889999998</v>
      </c>
      <c r="AD8">
        <v>-1.1034281254</v>
      </c>
      <c r="AE8">
        <v>-0.42168897389999999</v>
      </c>
      <c r="AF8">
        <v>-1.1710408926</v>
      </c>
      <c r="AG8">
        <v>-1.0034996271000001</v>
      </c>
      <c r="AH8">
        <v>0.59597641229999998</v>
      </c>
      <c r="AI8">
        <v>3.8370858899999999E-2</v>
      </c>
      <c r="AJ8">
        <v>-0.27628141639999998</v>
      </c>
      <c r="AK8">
        <v>2.4374600000000001E-4</v>
      </c>
      <c r="AL8">
        <v>5.2477076599999999E-2</v>
      </c>
      <c r="AM8">
        <v>5.9222139399999998E-2</v>
      </c>
      <c r="AN8">
        <v>6.6263631000000003E-2</v>
      </c>
      <c r="AO8">
        <v>6.6263631000000003E-2</v>
      </c>
      <c r="AP8">
        <v>0.13172918559999999</v>
      </c>
      <c r="AQ8">
        <v>3.5269101032000001</v>
      </c>
      <c r="AR8" t="s">
        <v>251</v>
      </c>
      <c r="AS8" t="s">
        <v>252</v>
      </c>
      <c r="AT8">
        <v>3</v>
      </c>
      <c r="AU8">
        <v>2.9</v>
      </c>
      <c r="AX8">
        <v>1</v>
      </c>
    </row>
    <row r="9" spans="1:50">
      <c r="A9" t="s">
        <v>618</v>
      </c>
      <c r="B9" t="s">
        <v>622</v>
      </c>
      <c r="C9" t="s">
        <v>209</v>
      </c>
      <c r="D9">
        <v>3</v>
      </c>
      <c r="E9" t="s">
        <v>210</v>
      </c>
      <c r="F9" t="s">
        <v>211</v>
      </c>
      <c r="G9" t="s">
        <v>250</v>
      </c>
      <c r="H9" t="s">
        <v>528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-2.24113E-5</v>
      </c>
      <c r="R9">
        <v>1.2120027542</v>
      </c>
      <c r="S9">
        <v>6.2285013199000003</v>
      </c>
      <c r="T9">
        <v>2.2110998630999998</v>
      </c>
      <c r="U9">
        <v>8.0888729094999992</v>
      </c>
      <c r="V9">
        <v>5.1701169014000001</v>
      </c>
      <c r="W9">
        <v>0.24649307130000001</v>
      </c>
      <c r="X9">
        <v>1.0398700237</v>
      </c>
      <c r="Y9">
        <v>1.0824065208</v>
      </c>
      <c r="Z9">
        <v>-0.60673284530000005</v>
      </c>
      <c r="AA9">
        <v>1.7988612652</v>
      </c>
      <c r="AB9">
        <v>-2.7230420113</v>
      </c>
      <c r="AC9">
        <v>-1.3323676585999999</v>
      </c>
      <c r="AD9">
        <v>-0.35753935580000001</v>
      </c>
      <c r="AE9">
        <v>-0.30155223609999998</v>
      </c>
      <c r="AF9">
        <v>-0.80510491129999995</v>
      </c>
      <c r="AG9">
        <v>0.2446856499</v>
      </c>
      <c r="AH9">
        <v>-0.2122446895</v>
      </c>
      <c r="AI9">
        <v>4.4910311699999997E-2</v>
      </c>
      <c r="AJ9">
        <v>-0.39786776899999998</v>
      </c>
      <c r="AK9">
        <v>1.9024189999999999E-4</v>
      </c>
      <c r="AL9">
        <v>4.42986935E-2</v>
      </c>
      <c r="AM9">
        <v>0.1025084928</v>
      </c>
      <c r="AN9">
        <v>0.16232445840000001</v>
      </c>
      <c r="AO9">
        <v>0.1855386198</v>
      </c>
      <c r="AP9">
        <v>0.1855386198</v>
      </c>
      <c r="AQ9">
        <v>6.3453273649000002</v>
      </c>
      <c r="AR9" t="s">
        <v>251</v>
      </c>
      <c r="AS9" t="s">
        <v>252</v>
      </c>
      <c r="AT9">
        <v>3</v>
      </c>
      <c r="AU9">
        <v>2.9</v>
      </c>
      <c r="AX9">
        <v>1</v>
      </c>
    </row>
    <row r="10" spans="1:50">
      <c r="A10" t="s">
        <v>630</v>
      </c>
      <c r="B10" t="s">
        <v>634</v>
      </c>
      <c r="C10" t="s">
        <v>209</v>
      </c>
      <c r="D10">
        <v>3</v>
      </c>
      <c r="E10" t="s">
        <v>210</v>
      </c>
      <c r="F10" t="s">
        <v>211</v>
      </c>
      <c r="G10" t="s">
        <v>250</v>
      </c>
      <c r="H10" t="s">
        <v>528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3.9935E-6</v>
      </c>
      <c r="R10">
        <v>3.4975326061000001</v>
      </c>
      <c r="S10">
        <v>-6.6889092299999994E-2</v>
      </c>
      <c r="T10">
        <v>-0.40815401080000002</v>
      </c>
      <c r="U10">
        <v>-0.78153878450000003</v>
      </c>
      <c r="V10">
        <v>-0.40168792009999998</v>
      </c>
      <c r="W10">
        <v>-0.97413587570000004</v>
      </c>
      <c r="X10">
        <v>4.3313980100000003E-2</v>
      </c>
      <c r="Y10">
        <v>1.3834928274</v>
      </c>
      <c r="Z10">
        <v>-0.61163026089999994</v>
      </c>
      <c r="AA10">
        <v>0.5093982816</v>
      </c>
      <c r="AB10">
        <v>-0.77024102210000001</v>
      </c>
      <c r="AC10">
        <v>0.1358699948</v>
      </c>
      <c r="AD10">
        <v>0.27149599790000001</v>
      </c>
      <c r="AE10">
        <v>0.42718914149999998</v>
      </c>
      <c r="AF10">
        <v>0.14028160270000001</v>
      </c>
      <c r="AG10">
        <v>-1.2467110157000001</v>
      </c>
      <c r="AH10">
        <v>0.35144323109999998</v>
      </c>
      <c r="AI10">
        <v>-2.9442905999999998E-3</v>
      </c>
      <c r="AJ10">
        <v>-4.4766963000000002E-3</v>
      </c>
      <c r="AK10">
        <v>1.7986900000000001E-4</v>
      </c>
      <c r="AL10">
        <v>4.4087350400000003E-2</v>
      </c>
      <c r="AM10">
        <v>5.0838388499999998E-2</v>
      </c>
      <c r="AN10">
        <v>6.3027739999999997E-3</v>
      </c>
      <c r="AO10">
        <v>5.0838388499999998E-2</v>
      </c>
      <c r="AP10">
        <v>5.0838388499999998E-2</v>
      </c>
      <c r="AQ10">
        <v>3.4981721629</v>
      </c>
      <c r="AR10" t="s">
        <v>251</v>
      </c>
      <c r="AS10" t="s">
        <v>252</v>
      </c>
      <c r="AT10">
        <v>4</v>
      </c>
      <c r="AU10">
        <v>2.9</v>
      </c>
      <c r="AX10">
        <v>1</v>
      </c>
    </row>
    <row r="11" spans="1:50">
      <c r="A11" t="s">
        <v>642</v>
      </c>
      <c r="B11" t="s">
        <v>643</v>
      </c>
      <c r="C11" t="s">
        <v>209</v>
      </c>
      <c r="D11">
        <v>3</v>
      </c>
      <c r="E11" t="s">
        <v>210</v>
      </c>
      <c r="F11" t="s">
        <v>211</v>
      </c>
      <c r="G11" t="s">
        <v>250</v>
      </c>
      <c r="H11" t="s">
        <v>528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-7.0034999999999999E-6</v>
      </c>
      <c r="R11">
        <v>-1.9566863775000001</v>
      </c>
      <c r="S11">
        <v>4.6201496123999997</v>
      </c>
      <c r="T11">
        <v>-2.3489091395999999</v>
      </c>
      <c r="U11">
        <v>3.4013168812000001</v>
      </c>
      <c r="V11">
        <v>-5.7825398444999996</v>
      </c>
      <c r="W11">
        <v>1.668320179</v>
      </c>
      <c r="X11">
        <v>-1.0392966269999999</v>
      </c>
      <c r="Y11">
        <v>2.254825592</v>
      </c>
      <c r="Z11">
        <v>-0.93296992779999999</v>
      </c>
      <c r="AA11">
        <v>-0.18697381020000001</v>
      </c>
      <c r="AB11">
        <v>-1.3123242854999999</v>
      </c>
      <c r="AC11">
        <v>1.0483630896</v>
      </c>
      <c r="AD11">
        <v>-0.84557437899999999</v>
      </c>
      <c r="AE11">
        <v>-0.42183521390000001</v>
      </c>
      <c r="AF11">
        <v>-0.34328979250000002</v>
      </c>
      <c r="AG11">
        <v>-5.0486921999999997E-3</v>
      </c>
      <c r="AH11">
        <v>-0.53630441429999998</v>
      </c>
      <c r="AI11">
        <v>-6.8697750599999996E-2</v>
      </c>
      <c r="AJ11">
        <v>0.78637981410000002</v>
      </c>
      <c r="AK11">
        <v>2.9633710000000001E-4</v>
      </c>
      <c r="AL11">
        <v>5.6160733099999999E-2</v>
      </c>
      <c r="AM11">
        <v>0.1004400849</v>
      </c>
      <c r="AN11">
        <v>0.14042541380000001</v>
      </c>
      <c r="AO11">
        <v>0.14042541380000001</v>
      </c>
      <c r="AP11">
        <v>0.14917340870000001</v>
      </c>
      <c r="AQ11">
        <v>5.0174100910000003</v>
      </c>
      <c r="AR11" t="s">
        <v>251</v>
      </c>
      <c r="AS11" t="s">
        <v>252</v>
      </c>
      <c r="AT11">
        <v>3</v>
      </c>
      <c r="AU11">
        <v>2.9</v>
      </c>
      <c r="AX11">
        <v>1</v>
      </c>
    </row>
    <row r="12" spans="1:50">
      <c r="A12" t="s">
        <v>656</v>
      </c>
      <c r="B12" t="s">
        <v>658</v>
      </c>
      <c r="C12" t="s">
        <v>209</v>
      </c>
      <c r="D12">
        <v>3</v>
      </c>
      <c r="E12" t="s">
        <v>210</v>
      </c>
      <c r="F12" t="s">
        <v>211</v>
      </c>
      <c r="G12" t="s">
        <v>250</v>
      </c>
      <c r="H12" t="s">
        <v>528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1.125E-6</v>
      </c>
      <c r="R12">
        <v>3.6264405251</v>
      </c>
      <c r="S12">
        <v>4.7344799041999996</v>
      </c>
      <c r="T12">
        <v>-4.5576162338000001</v>
      </c>
      <c r="U12">
        <v>-0.48552769420000003</v>
      </c>
      <c r="V12">
        <v>-3.9850029944999998</v>
      </c>
      <c r="W12">
        <v>-3.0245361328000002</v>
      </c>
      <c r="X12">
        <v>-0.19970309729999999</v>
      </c>
      <c r="Y12">
        <v>2.6908352375</v>
      </c>
      <c r="Z12">
        <v>0.40881034729999999</v>
      </c>
      <c r="AA12">
        <v>1.1704144478</v>
      </c>
      <c r="AB12">
        <v>0.26812487839999999</v>
      </c>
      <c r="AC12">
        <v>0.86829960350000002</v>
      </c>
      <c r="AD12">
        <v>1.1175729035999999</v>
      </c>
      <c r="AE12">
        <v>0.58178329470000001</v>
      </c>
      <c r="AF12">
        <v>-0.23978176709999999</v>
      </c>
      <c r="AG12">
        <v>-0.77971833940000002</v>
      </c>
      <c r="AH12">
        <v>-0.10803264379999999</v>
      </c>
      <c r="AI12">
        <v>0.44081902499999998</v>
      </c>
      <c r="AJ12">
        <v>-0.33263286949999998</v>
      </c>
      <c r="AK12">
        <v>2.4291819999999999E-4</v>
      </c>
      <c r="AL12">
        <v>5.1975417900000001E-2</v>
      </c>
      <c r="AM12">
        <v>9.4396784900000003E-2</v>
      </c>
      <c r="AN12">
        <v>0.1093433127</v>
      </c>
      <c r="AO12">
        <v>0.1093433127</v>
      </c>
      <c r="AP12">
        <v>0.14274734259999999</v>
      </c>
      <c r="AQ12">
        <v>5.9637547605999996</v>
      </c>
      <c r="AR12" t="s">
        <v>251</v>
      </c>
      <c r="AS12" t="s">
        <v>252</v>
      </c>
      <c r="AT12">
        <v>3</v>
      </c>
      <c r="AU12">
        <v>2.9</v>
      </c>
      <c r="AX12">
        <v>1</v>
      </c>
    </row>
    <row r="13" spans="1:50">
      <c r="A13" t="s">
        <v>666</v>
      </c>
      <c r="B13" t="s">
        <v>667</v>
      </c>
      <c r="C13" t="s">
        <v>209</v>
      </c>
      <c r="D13">
        <v>3</v>
      </c>
      <c r="E13" t="s">
        <v>210</v>
      </c>
      <c r="F13" t="s">
        <v>211</v>
      </c>
      <c r="G13" t="s">
        <v>250</v>
      </c>
      <c r="H13" t="s">
        <v>528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-8.0167999999999992E-6</v>
      </c>
      <c r="R13">
        <v>1.8896132708</v>
      </c>
      <c r="S13">
        <v>-1.2145270108999999</v>
      </c>
      <c r="T13">
        <v>-0.2409493029</v>
      </c>
      <c r="U13">
        <v>6.5678715700000001E-2</v>
      </c>
      <c r="V13">
        <v>0.17648866769999999</v>
      </c>
      <c r="W13">
        <v>-1.3077030182</v>
      </c>
      <c r="X13">
        <v>0.85848861929999998</v>
      </c>
      <c r="Y13">
        <v>1.9275698662</v>
      </c>
      <c r="Z13">
        <v>0.20786517860000001</v>
      </c>
      <c r="AA13">
        <v>-0.3482747376</v>
      </c>
      <c r="AB13">
        <v>-0.2572143972</v>
      </c>
      <c r="AC13">
        <v>-0.85762500760000004</v>
      </c>
      <c r="AD13">
        <v>0.24114361409999999</v>
      </c>
      <c r="AE13">
        <v>-0.12476363779999999</v>
      </c>
      <c r="AF13">
        <v>-0.51264142989999995</v>
      </c>
      <c r="AG13">
        <v>-0.6377300024</v>
      </c>
      <c r="AH13">
        <v>-0.25628781319999999</v>
      </c>
      <c r="AI13">
        <v>-0.30075794459999999</v>
      </c>
      <c r="AJ13">
        <v>3.33155729E-2</v>
      </c>
      <c r="AK13">
        <v>2.0802169999999999E-4</v>
      </c>
      <c r="AL13">
        <v>4.85572815E-2</v>
      </c>
      <c r="AM13">
        <v>4.4828325500000002E-2</v>
      </c>
      <c r="AN13">
        <v>3.3225104200000001E-2</v>
      </c>
      <c r="AO13">
        <v>4.4828325500000002E-2</v>
      </c>
      <c r="AP13">
        <v>5.0650622700000002E-2</v>
      </c>
      <c r="AQ13">
        <v>2.2462667190999999</v>
      </c>
      <c r="AR13" t="s">
        <v>251</v>
      </c>
      <c r="AS13" t="s">
        <v>252</v>
      </c>
      <c r="AT13">
        <v>3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253</v>
      </c>
      <c r="R1" t="s">
        <v>254</v>
      </c>
      <c r="S1" t="s">
        <v>255</v>
      </c>
      <c r="T1" t="s">
        <v>256</v>
      </c>
      <c r="U1" t="s">
        <v>257</v>
      </c>
      <c r="V1" t="s">
        <v>258</v>
      </c>
      <c r="W1" t="s">
        <v>259</v>
      </c>
      <c r="X1" t="s">
        <v>260</v>
      </c>
      <c r="Y1" t="s">
        <v>261</v>
      </c>
      <c r="Z1" t="s">
        <v>262</v>
      </c>
      <c r="AA1" t="s">
        <v>263</v>
      </c>
      <c r="AB1" t="s">
        <v>264</v>
      </c>
      <c r="AC1" t="s">
        <v>265</v>
      </c>
      <c r="AD1" t="s">
        <v>206</v>
      </c>
      <c r="AE1" t="s">
        <v>207</v>
      </c>
      <c r="AF1" t="s">
        <v>208</v>
      </c>
    </row>
    <row r="2" spans="1:32">
      <c r="A2" t="s">
        <v>534</v>
      </c>
      <c r="B2" t="s">
        <v>536</v>
      </c>
      <c r="C2" t="s">
        <v>209</v>
      </c>
      <c r="D2">
        <v>3</v>
      </c>
      <c r="E2" t="s">
        <v>210</v>
      </c>
      <c r="F2" t="s">
        <v>211</v>
      </c>
      <c r="G2" t="s">
        <v>250</v>
      </c>
      <c r="H2" t="s">
        <v>528</v>
      </c>
      <c r="J2" t="s">
        <v>529</v>
      </c>
      <c r="K2" t="s">
        <v>530</v>
      </c>
      <c r="L2" t="s">
        <v>531</v>
      </c>
      <c r="M2" t="s">
        <v>532</v>
      </c>
      <c r="N2" t="s">
        <v>533</v>
      </c>
      <c r="O2">
        <v>0</v>
      </c>
      <c r="P2">
        <v>0</v>
      </c>
      <c r="Q2">
        <v>-7.0381231672000002</v>
      </c>
      <c r="R2">
        <v>-48</v>
      </c>
      <c r="S2">
        <v>93.873305862300001</v>
      </c>
      <c r="T2">
        <v>119.42589971859999</v>
      </c>
      <c r="U2">
        <v>3.6587660933000001</v>
      </c>
      <c r="V2">
        <v>3.4226196000000002E-3</v>
      </c>
      <c r="W2">
        <v>-8.2356900000000004E-5</v>
      </c>
      <c r="X2">
        <v>3.4468874468999999</v>
      </c>
      <c r="Y2">
        <v>93.871472492799995</v>
      </c>
      <c r="Z2">
        <v>79.113824411799996</v>
      </c>
      <c r="AA2">
        <v>327.29751210239999</v>
      </c>
      <c r="AB2">
        <v>348.8200441056</v>
      </c>
      <c r="AC2">
        <v>1</v>
      </c>
      <c r="AF2">
        <v>1</v>
      </c>
    </row>
    <row r="3" spans="1:32">
      <c r="A3" t="s">
        <v>546</v>
      </c>
      <c r="B3" t="s">
        <v>548</v>
      </c>
      <c r="C3" t="s">
        <v>209</v>
      </c>
      <c r="D3">
        <v>3</v>
      </c>
      <c r="E3" t="s">
        <v>210</v>
      </c>
      <c r="F3" t="s">
        <v>211</v>
      </c>
      <c r="G3" t="s">
        <v>250</v>
      </c>
      <c r="H3" t="s">
        <v>528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-7.0381231672000002</v>
      </c>
      <c r="R3">
        <v>-48</v>
      </c>
      <c r="S3">
        <v>92.290829821299994</v>
      </c>
      <c r="T3">
        <v>117.3814347868</v>
      </c>
      <c r="U3">
        <v>3.5906901576000001</v>
      </c>
      <c r="V3">
        <v>3.1171658000000001E-3</v>
      </c>
      <c r="W3">
        <v>-7.6599499999999997E-5</v>
      </c>
      <c r="X3">
        <v>3.4027400684</v>
      </c>
      <c r="Y3">
        <v>91.380451217800001</v>
      </c>
      <c r="Z3">
        <v>71.689333013999999</v>
      </c>
      <c r="AA3">
        <v>316.68347130109998</v>
      </c>
      <c r="AB3">
        <v>339.50186223169999</v>
      </c>
      <c r="AC3">
        <v>1</v>
      </c>
      <c r="AF3">
        <v>1</v>
      </c>
    </row>
    <row r="4" spans="1:32">
      <c r="A4" t="s">
        <v>558</v>
      </c>
      <c r="B4" t="s">
        <v>559</v>
      </c>
      <c r="C4" t="s">
        <v>209</v>
      </c>
      <c r="D4">
        <v>3</v>
      </c>
      <c r="E4" t="s">
        <v>210</v>
      </c>
      <c r="F4" t="s">
        <v>211</v>
      </c>
      <c r="G4" t="s">
        <v>250</v>
      </c>
      <c r="H4" t="s">
        <v>528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-4.6920821114000004</v>
      </c>
      <c r="R4">
        <v>-32</v>
      </c>
      <c r="S4">
        <v>94.770095921099994</v>
      </c>
      <c r="T4">
        <v>111.23162729649999</v>
      </c>
      <c r="U4">
        <v>3.5241202334000001</v>
      </c>
      <c r="V4">
        <v>3.0100642999999999E-3</v>
      </c>
      <c r="W4">
        <v>-7.4169600000000002E-5</v>
      </c>
      <c r="X4">
        <v>3.3416313730999998</v>
      </c>
      <c r="Y4">
        <v>93.567704999300005</v>
      </c>
      <c r="Z4">
        <v>77.742738054</v>
      </c>
      <c r="AA4">
        <v>302.88117115710003</v>
      </c>
      <c r="AB4">
        <v>325.08221787299999</v>
      </c>
      <c r="AC4">
        <v>1</v>
      </c>
      <c r="AF4">
        <v>1</v>
      </c>
    </row>
    <row r="5" spans="1:32">
      <c r="A5" t="s">
        <v>572</v>
      </c>
      <c r="B5" t="s">
        <v>574</v>
      </c>
      <c r="C5" t="s">
        <v>209</v>
      </c>
      <c r="D5">
        <v>3</v>
      </c>
      <c r="E5" t="s">
        <v>210</v>
      </c>
      <c r="F5" t="s">
        <v>211</v>
      </c>
      <c r="G5" t="s">
        <v>250</v>
      </c>
      <c r="H5" t="s">
        <v>528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-5.8651026392999999</v>
      </c>
      <c r="R5">
        <v>-40</v>
      </c>
      <c r="S5">
        <v>89.855632044299995</v>
      </c>
      <c r="T5">
        <v>110.7538983555</v>
      </c>
      <c r="U5">
        <v>3.5832230412000001</v>
      </c>
      <c r="V5">
        <v>3.0019942000000001E-3</v>
      </c>
      <c r="W5">
        <v>-7.15602E-5</v>
      </c>
      <c r="X5">
        <v>3.3830157313</v>
      </c>
      <c r="Y5">
        <v>89.254151635300005</v>
      </c>
      <c r="Z5">
        <v>74.559728214800003</v>
      </c>
      <c r="AA5">
        <v>325.54196368139998</v>
      </c>
      <c r="AB5">
        <v>347.76354649500001</v>
      </c>
      <c r="AC5">
        <v>1</v>
      </c>
      <c r="AF5">
        <v>1</v>
      </c>
    </row>
    <row r="6" spans="1:32">
      <c r="A6" t="s">
        <v>584</v>
      </c>
      <c r="B6" t="s">
        <v>586</v>
      </c>
      <c r="C6" t="s">
        <v>209</v>
      </c>
      <c r="D6">
        <v>3</v>
      </c>
      <c r="E6" t="s">
        <v>210</v>
      </c>
      <c r="F6" t="s">
        <v>211</v>
      </c>
      <c r="G6" t="s">
        <v>250</v>
      </c>
      <c r="H6" t="s">
        <v>528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-7.0381231672000002</v>
      </c>
      <c r="R6">
        <v>-48</v>
      </c>
      <c r="S6">
        <v>96.476157092199998</v>
      </c>
      <c r="T6">
        <v>120.3971209253</v>
      </c>
      <c r="U6">
        <v>3.4252525743</v>
      </c>
      <c r="V6">
        <v>3.2741815999999999E-3</v>
      </c>
      <c r="W6">
        <v>-6.9409300000000006E-5</v>
      </c>
      <c r="X6">
        <v>3.2712506995999999</v>
      </c>
      <c r="Y6">
        <v>95.173639929800004</v>
      </c>
      <c r="Z6">
        <v>82.337647775500002</v>
      </c>
      <c r="AA6">
        <v>312.58701169979997</v>
      </c>
      <c r="AB6">
        <v>334.27866474590002</v>
      </c>
      <c r="AC6">
        <v>1</v>
      </c>
      <c r="AF6">
        <v>1</v>
      </c>
    </row>
    <row r="7" spans="1:32">
      <c r="A7" t="s">
        <v>594</v>
      </c>
      <c r="B7" t="s">
        <v>596</v>
      </c>
      <c r="C7" t="s">
        <v>209</v>
      </c>
      <c r="D7">
        <v>3</v>
      </c>
      <c r="E7" t="s">
        <v>210</v>
      </c>
      <c r="F7" t="s">
        <v>211</v>
      </c>
      <c r="G7" t="s">
        <v>250</v>
      </c>
      <c r="H7" t="s">
        <v>528</v>
      </c>
      <c r="J7" t="s">
        <v>589</v>
      </c>
      <c r="K7" t="s">
        <v>590</v>
      </c>
      <c r="L7" t="s">
        <v>591</v>
      </c>
      <c r="M7" t="s">
        <v>592</v>
      </c>
      <c r="N7" t="s">
        <v>593</v>
      </c>
      <c r="O7">
        <v>0</v>
      </c>
      <c r="P7">
        <v>0</v>
      </c>
      <c r="Q7">
        <v>-7.0381231672000002</v>
      </c>
      <c r="R7">
        <v>-48</v>
      </c>
      <c r="S7">
        <v>91.6365597984</v>
      </c>
      <c r="T7">
        <v>116.6615257994</v>
      </c>
      <c r="U7">
        <v>3.5792679794</v>
      </c>
      <c r="V7">
        <v>2.8501822999999998E-3</v>
      </c>
      <c r="W7">
        <v>-7.2220599999999998E-5</v>
      </c>
      <c r="X7">
        <v>3.3813916834</v>
      </c>
      <c r="Y7">
        <v>89.832078718600002</v>
      </c>
      <c r="Z7">
        <v>71.112007906299993</v>
      </c>
      <c r="AA7">
        <v>322.3174233844</v>
      </c>
      <c r="AB7">
        <v>344.14588100679998</v>
      </c>
      <c r="AC7">
        <v>1</v>
      </c>
      <c r="AF7">
        <v>1</v>
      </c>
    </row>
    <row r="8" spans="1:32">
      <c r="A8" t="s">
        <v>608</v>
      </c>
      <c r="B8" t="s">
        <v>610</v>
      </c>
      <c r="C8" t="s">
        <v>209</v>
      </c>
      <c r="D8">
        <v>3</v>
      </c>
      <c r="E8" t="s">
        <v>210</v>
      </c>
      <c r="F8" t="s">
        <v>211</v>
      </c>
      <c r="G8" t="s">
        <v>250</v>
      </c>
      <c r="H8" t="s">
        <v>528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-5.8651026392999999</v>
      </c>
      <c r="R8">
        <v>-40</v>
      </c>
      <c r="S8">
        <v>94.913711269399997</v>
      </c>
      <c r="T8">
        <v>115.0335814781</v>
      </c>
      <c r="U8">
        <v>3.4505084173</v>
      </c>
      <c r="V8">
        <v>2.9924667999999999E-3</v>
      </c>
      <c r="W8">
        <v>-7.3240199999999997E-5</v>
      </c>
      <c r="X8">
        <v>3.2737037106</v>
      </c>
      <c r="Y8">
        <v>94.912602990500005</v>
      </c>
      <c r="Z8">
        <v>78.717767569599999</v>
      </c>
      <c r="AA8">
        <v>300.62763861449997</v>
      </c>
      <c r="AB8">
        <v>322.28821713539998</v>
      </c>
      <c r="AC8">
        <v>1</v>
      </c>
      <c r="AF8">
        <v>1</v>
      </c>
    </row>
    <row r="9" spans="1:32">
      <c r="A9" t="s">
        <v>618</v>
      </c>
      <c r="B9" t="s">
        <v>619</v>
      </c>
      <c r="C9" t="s">
        <v>209</v>
      </c>
      <c r="D9">
        <v>3</v>
      </c>
      <c r="E9" t="s">
        <v>210</v>
      </c>
      <c r="F9" t="s">
        <v>211</v>
      </c>
      <c r="G9" t="s">
        <v>250</v>
      </c>
      <c r="H9" t="s">
        <v>528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-4.6920821114000004</v>
      </c>
      <c r="R9">
        <v>-32</v>
      </c>
      <c r="S9">
        <v>95.632544457799995</v>
      </c>
      <c r="T9">
        <v>112.601742628</v>
      </c>
      <c r="U9">
        <v>3.6320043581000001</v>
      </c>
      <c r="V9">
        <v>2.9447393000000001E-3</v>
      </c>
      <c r="W9">
        <v>-7.3903800000000002E-5</v>
      </c>
      <c r="X9">
        <v>3.3980120746</v>
      </c>
      <c r="Y9">
        <v>95.532023510299993</v>
      </c>
      <c r="Z9">
        <v>80.215819907699995</v>
      </c>
      <c r="AA9">
        <v>328.72263244729999</v>
      </c>
      <c r="AB9">
        <v>350.32335960270001</v>
      </c>
      <c r="AC9">
        <v>1</v>
      </c>
      <c r="AF9">
        <v>1</v>
      </c>
    </row>
    <row r="10" spans="1:32">
      <c r="A10" t="s">
        <v>630</v>
      </c>
      <c r="B10" t="s">
        <v>631</v>
      </c>
      <c r="C10" t="s">
        <v>209</v>
      </c>
      <c r="D10">
        <v>3</v>
      </c>
      <c r="E10" t="s">
        <v>210</v>
      </c>
      <c r="F10" t="s">
        <v>211</v>
      </c>
      <c r="G10" t="s">
        <v>250</v>
      </c>
      <c r="H10" t="s">
        <v>528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-4.6920821114000004</v>
      </c>
      <c r="R10">
        <v>-32</v>
      </c>
      <c r="S10">
        <v>93.5192155206</v>
      </c>
      <c r="T10">
        <v>110.0073217716</v>
      </c>
      <c r="U10">
        <v>3.5282530805999999</v>
      </c>
      <c r="V10">
        <v>2.7171636000000001E-3</v>
      </c>
      <c r="W10">
        <v>-6.7056000000000003E-5</v>
      </c>
      <c r="X10">
        <v>3.3030314571999999</v>
      </c>
      <c r="Y10">
        <v>92.918286863999995</v>
      </c>
      <c r="Z10">
        <v>78.130239228899995</v>
      </c>
      <c r="AA10">
        <v>327.46642853010002</v>
      </c>
      <c r="AB10">
        <v>349.12513059539998</v>
      </c>
      <c r="AC10">
        <v>1</v>
      </c>
      <c r="AF10">
        <v>1</v>
      </c>
    </row>
    <row r="11" spans="1:32">
      <c r="A11" t="s">
        <v>642</v>
      </c>
      <c r="B11" t="s">
        <v>644</v>
      </c>
      <c r="C11" t="s">
        <v>209</v>
      </c>
      <c r="D11">
        <v>3</v>
      </c>
      <c r="E11" t="s">
        <v>210</v>
      </c>
      <c r="F11" t="s">
        <v>211</v>
      </c>
      <c r="G11" t="s">
        <v>250</v>
      </c>
      <c r="H11" t="s">
        <v>528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-3.5190615836000001</v>
      </c>
      <c r="R11">
        <v>-24</v>
      </c>
      <c r="S11">
        <v>95.697954411200001</v>
      </c>
      <c r="T11">
        <v>108.3524799416</v>
      </c>
      <c r="U11">
        <v>3.6071388773000002</v>
      </c>
      <c r="V11">
        <v>2.9147536000000002E-3</v>
      </c>
      <c r="W11">
        <v>-7.1653499999999994E-5</v>
      </c>
      <c r="X11">
        <v>3.4129875299000001</v>
      </c>
      <c r="Y11">
        <v>95.295317629099998</v>
      </c>
      <c r="Z11">
        <v>76.194153049999997</v>
      </c>
      <c r="AA11">
        <v>313.74086123270001</v>
      </c>
      <c r="AB11">
        <v>335.15489111739998</v>
      </c>
      <c r="AC11">
        <v>1</v>
      </c>
      <c r="AF11">
        <v>1</v>
      </c>
    </row>
    <row r="12" spans="1:32">
      <c r="A12" t="s">
        <v>656</v>
      </c>
      <c r="B12" t="s">
        <v>657</v>
      </c>
      <c r="C12" t="s">
        <v>209</v>
      </c>
      <c r="D12">
        <v>3</v>
      </c>
      <c r="E12" t="s">
        <v>210</v>
      </c>
      <c r="F12" t="s">
        <v>211</v>
      </c>
      <c r="G12" t="s">
        <v>250</v>
      </c>
      <c r="H12" t="s">
        <v>528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-5.8651026392999999</v>
      </c>
      <c r="R12">
        <v>-40</v>
      </c>
      <c r="S12">
        <v>92.650673789600006</v>
      </c>
      <c r="T12">
        <v>113.569782238</v>
      </c>
      <c r="U12">
        <v>3.5872944578000001</v>
      </c>
      <c r="V12">
        <v>3.0537005000000001E-3</v>
      </c>
      <c r="W12">
        <v>-7.7797800000000002E-5</v>
      </c>
      <c r="X12">
        <v>3.3895586029000002</v>
      </c>
      <c r="Y12">
        <v>92.449376240099994</v>
      </c>
      <c r="Z12">
        <v>75.096675785499997</v>
      </c>
      <c r="AA12">
        <v>310.96711483230001</v>
      </c>
      <c r="AB12">
        <v>332.95995058649999</v>
      </c>
      <c r="AC12">
        <v>1</v>
      </c>
      <c r="AF12">
        <v>1</v>
      </c>
    </row>
    <row r="13" spans="1:32">
      <c r="A13" t="s">
        <v>666</v>
      </c>
      <c r="B13" t="s">
        <v>668</v>
      </c>
      <c r="C13" t="s">
        <v>209</v>
      </c>
      <c r="D13">
        <v>3</v>
      </c>
      <c r="E13" t="s">
        <v>210</v>
      </c>
      <c r="F13" t="s">
        <v>211</v>
      </c>
      <c r="G13" t="s">
        <v>250</v>
      </c>
      <c r="H13" t="s">
        <v>528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-9.3841642229000009</v>
      </c>
      <c r="R13">
        <v>-64</v>
      </c>
      <c r="S13">
        <v>85.4838024047</v>
      </c>
      <c r="T13">
        <v>118.2511376157</v>
      </c>
      <c r="U13">
        <v>3.5332446621</v>
      </c>
      <c r="V13">
        <v>3.6564129999999999E-3</v>
      </c>
      <c r="W13">
        <v>-8.13413E-5</v>
      </c>
      <c r="X13">
        <v>3.3712030055</v>
      </c>
      <c r="Y13">
        <v>85.382494501699995</v>
      </c>
      <c r="Z13">
        <v>68.683737009799998</v>
      </c>
      <c r="AA13">
        <v>315.0677616282</v>
      </c>
      <c r="AB13">
        <v>337.51810495199999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266</v>
      </c>
      <c r="R1" t="s">
        <v>267</v>
      </c>
      <c r="S1" t="s">
        <v>268</v>
      </c>
      <c r="T1" t="s">
        <v>269</v>
      </c>
      <c r="U1" t="s">
        <v>270</v>
      </c>
      <c r="V1" t="s">
        <v>271</v>
      </c>
      <c r="W1" t="s">
        <v>272</v>
      </c>
      <c r="X1" t="s">
        <v>273</v>
      </c>
      <c r="Y1" t="s">
        <v>274</v>
      </c>
      <c r="Z1" t="s">
        <v>275</v>
      </c>
      <c r="AA1" t="s">
        <v>276</v>
      </c>
      <c r="AB1" t="s">
        <v>277</v>
      </c>
      <c r="AC1" t="s">
        <v>278</v>
      </c>
      <c r="AD1" t="s">
        <v>279</v>
      </c>
      <c r="AE1" t="s">
        <v>280</v>
      </c>
      <c r="AF1" t="s">
        <v>281</v>
      </c>
      <c r="AG1" t="s">
        <v>282</v>
      </c>
      <c r="AH1" t="s">
        <v>283</v>
      </c>
      <c r="AI1" t="s">
        <v>284</v>
      </c>
      <c r="AJ1" t="s">
        <v>285</v>
      </c>
      <c r="AK1" t="s">
        <v>286</v>
      </c>
      <c r="AL1" t="s">
        <v>287</v>
      </c>
      <c r="AM1" t="s">
        <v>288</v>
      </c>
      <c r="AN1" t="s">
        <v>289</v>
      </c>
      <c r="AO1" t="s">
        <v>290</v>
      </c>
      <c r="AP1" t="s">
        <v>291</v>
      </c>
      <c r="AQ1" t="s">
        <v>292</v>
      </c>
      <c r="AR1" t="s">
        <v>293</v>
      </c>
      <c r="AS1" t="s">
        <v>294</v>
      </c>
      <c r="AT1" t="s">
        <v>295</v>
      </c>
      <c r="AU1" t="s">
        <v>296</v>
      </c>
      <c r="AV1" t="s">
        <v>297</v>
      </c>
      <c r="AW1" t="s">
        <v>298</v>
      </c>
      <c r="AX1" t="s">
        <v>299</v>
      </c>
      <c r="AY1" t="s">
        <v>300</v>
      </c>
      <c r="AZ1" t="s">
        <v>301</v>
      </c>
      <c r="BA1" t="s">
        <v>302</v>
      </c>
      <c r="BB1" t="s">
        <v>303</v>
      </c>
      <c r="BC1" t="s">
        <v>304</v>
      </c>
      <c r="BD1" t="s">
        <v>305</v>
      </c>
      <c r="BE1" t="s">
        <v>306</v>
      </c>
      <c r="BF1" t="s">
        <v>307</v>
      </c>
      <c r="BG1" t="s">
        <v>308</v>
      </c>
      <c r="BH1" t="s">
        <v>309</v>
      </c>
      <c r="BI1" t="s">
        <v>310</v>
      </c>
      <c r="BJ1" t="s">
        <v>311</v>
      </c>
      <c r="BK1" t="s">
        <v>312</v>
      </c>
      <c r="BL1" t="s">
        <v>313</v>
      </c>
      <c r="BM1" t="s">
        <v>314</v>
      </c>
      <c r="BN1" t="s">
        <v>315</v>
      </c>
      <c r="BO1" t="s">
        <v>316</v>
      </c>
      <c r="BP1" t="s">
        <v>317</v>
      </c>
      <c r="BQ1" t="s">
        <v>318</v>
      </c>
      <c r="BR1" t="s">
        <v>319</v>
      </c>
      <c r="BS1" t="s">
        <v>320</v>
      </c>
      <c r="BT1" t="s">
        <v>321</v>
      </c>
      <c r="BU1" t="s">
        <v>322</v>
      </c>
      <c r="BV1" t="s">
        <v>323</v>
      </c>
      <c r="BW1" t="s">
        <v>324</v>
      </c>
      <c r="BX1" t="s">
        <v>325</v>
      </c>
      <c r="BY1" t="s">
        <v>326</v>
      </c>
      <c r="BZ1" t="s">
        <v>327</v>
      </c>
      <c r="CA1" t="s">
        <v>328</v>
      </c>
      <c r="CB1" t="s">
        <v>329</v>
      </c>
      <c r="CC1" t="s">
        <v>330</v>
      </c>
      <c r="CD1" t="s">
        <v>331</v>
      </c>
      <c r="CE1" t="s">
        <v>332</v>
      </c>
      <c r="CF1" t="s">
        <v>333</v>
      </c>
      <c r="CG1" t="s">
        <v>334</v>
      </c>
      <c r="CH1" t="s">
        <v>335</v>
      </c>
      <c r="CI1" t="s">
        <v>336</v>
      </c>
      <c r="CJ1" t="s">
        <v>337</v>
      </c>
      <c r="CK1" t="s">
        <v>338</v>
      </c>
      <c r="CL1" t="s">
        <v>339</v>
      </c>
      <c r="CM1" t="s">
        <v>340</v>
      </c>
      <c r="CN1" t="s">
        <v>341</v>
      </c>
      <c r="CO1" t="s">
        <v>342</v>
      </c>
      <c r="CP1" t="s">
        <v>343</v>
      </c>
      <c r="CQ1" t="s">
        <v>344</v>
      </c>
      <c r="CR1" t="s">
        <v>345</v>
      </c>
      <c r="CS1" t="s">
        <v>346</v>
      </c>
      <c r="CT1" t="s">
        <v>347</v>
      </c>
      <c r="CU1" t="s">
        <v>348</v>
      </c>
      <c r="CV1" t="s">
        <v>349</v>
      </c>
      <c r="CW1" t="s">
        <v>350</v>
      </c>
      <c r="CX1" t="s">
        <v>351</v>
      </c>
      <c r="CY1" t="s">
        <v>352</v>
      </c>
      <c r="CZ1" t="s">
        <v>353</v>
      </c>
      <c r="DA1" t="s">
        <v>354</v>
      </c>
      <c r="DB1" t="s">
        <v>355</v>
      </c>
      <c r="DC1" t="s">
        <v>356</v>
      </c>
      <c r="DD1" t="s">
        <v>357</v>
      </c>
      <c r="DE1" t="s">
        <v>358</v>
      </c>
      <c r="DF1" t="s">
        <v>359</v>
      </c>
      <c r="DG1" t="s">
        <v>360</v>
      </c>
      <c r="DH1" t="s">
        <v>361</v>
      </c>
      <c r="DI1" t="s">
        <v>362</v>
      </c>
      <c r="DJ1" t="s">
        <v>363</v>
      </c>
      <c r="DK1" t="s">
        <v>364</v>
      </c>
      <c r="DL1" t="s">
        <v>365</v>
      </c>
      <c r="DM1" t="s">
        <v>366</v>
      </c>
      <c r="DN1" t="s">
        <v>367</v>
      </c>
      <c r="DO1" t="s">
        <v>368</v>
      </c>
      <c r="DP1" t="s">
        <v>369</v>
      </c>
      <c r="DQ1" t="s">
        <v>370</v>
      </c>
      <c r="DR1" t="s">
        <v>371</v>
      </c>
      <c r="DS1" t="s">
        <v>372</v>
      </c>
      <c r="DT1" t="s">
        <v>373</v>
      </c>
      <c r="DU1" t="s">
        <v>374</v>
      </c>
      <c r="DV1" t="s">
        <v>375</v>
      </c>
      <c r="DW1" t="s">
        <v>376</v>
      </c>
      <c r="DX1" t="s">
        <v>377</v>
      </c>
      <c r="DY1" t="s">
        <v>378</v>
      </c>
      <c r="DZ1" t="s">
        <v>379</v>
      </c>
      <c r="EA1" t="s">
        <v>380</v>
      </c>
      <c r="EB1" t="s">
        <v>381</v>
      </c>
      <c r="EC1" t="s">
        <v>382</v>
      </c>
      <c r="ED1" t="s">
        <v>383</v>
      </c>
      <c r="EE1" t="s">
        <v>384</v>
      </c>
      <c r="EF1" t="s">
        <v>385</v>
      </c>
      <c r="EG1" t="s">
        <v>386</v>
      </c>
      <c r="EH1" t="s">
        <v>387</v>
      </c>
      <c r="EI1" t="s">
        <v>388</v>
      </c>
      <c r="EJ1" t="s">
        <v>389</v>
      </c>
      <c r="EK1" t="s">
        <v>390</v>
      </c>
      <c r="EL1" t="s">
        <v>391</v>
      </c>
      <c r="EM1" t="s">
        <v>392</v>
      </c>
      <c r="EN1" t="s">
        <v>393</v>
      </c>
      <c r="EO1" t="s">
        <v>394</v>
      </c>
      <c r="EP1" t="s">
        <v>395</v>
      </c>
      <c r="EQ1" t="s">
        <v>396</v>
      </c>
      <c r="ER1" t="s">
        <v>397</v>
      </c>
      <c r="ES1" t="s">
        <v>398</v>
      </c>
      <c r="ET1" t="s">
        <v>399</v>
      </c>
      <c r="EU1" t="s">
        <v>400</v>
      </c>
      <c r="EV1" t="s">
        <v>401</v>
      </c>
      <c r="EW1" t="s">
        <v>402</v>
      </c>
      <c r="EX1" t="s">
        <v>403</v>
      </c>
      <c r="EY1" t="s">
        <v>404</v>
      </c>
      <c r="EZ1" t="s">
        <v>405</v>
      </c>
      <c r="FA1" t="s">
        <v>406</v>
      </c>
      <c r="FB1" t="s">
        <v>407</v>
      </c>
      <c r="FC1" t="s">
        <v>408</v>
      </c>
      <c r="FD1" t="s">
        <v>409</v>
      </c>
      <c r="FE1" t="s">
        <v>410</v>
      </c>
      <c r="FF1" t="s">
        <v>411</v>
      </c>
      <c r="FG1" t="s">
        <v>412</v>
      </c>
      <c r="FH1" t="s">
        <v>413</v>
      </c>
      <c r="FI1" t="s">
        <v>414</v>
      </c>
      <c r="FJ1" t="s">
        <v>415</v>
      </c>
      <c r="FK1" t="s">
        <v>416</v>
      </c>
      <c r="FL1" t="s">
        <v>417</v>
      </c>
      <c r="FM1" t="s">
        <v>418</v>
      </c>
      <c r="FN1" t="s">
        <v>419</v>
      </c>
      <c r="FO1" t="s">
        <v>420</v>
      </c>
      <c r="FP1" t="s">
        <v>421</v>
      </c>
      <c r="FQ1" t="s">
        <v>422</v>
      </c>
      <c r="FR1" t="s">
        <v>423</v>
      </c>
      <c r="FS1" t="s">
        <v>424</v>
      </c>
      <c r="FT1" t="s">
        <v>425</v>
      </c>
      <c r="FU1" t="s">
        <v>426</v>
      </c>
      <c r="FV1" t="s">
        <v>427</v>
      </c>
      <c r="FW1" t="s">
        <v>428</v>
      </c>
      <c r="FX1" t="s">
        <v>429</v>
      </c>
      <c r="FY1" t="s">
        <v>430</v>
      </c>
      <c r="FZ1" t="s">
        <v>431</v>
      </c>
      <c r="GA1" t="s">
        <v>432</v>
      </c>
      <c r="GB1" t="s">
        <v>433</v>
      </c>
      <c r="GC1" t="s">
        <v>434</v>
      </c>
      <c r="GD1" t="s">
        <v>435</v>
      </c>
      <c r="GE1" t="s">
        <v>436</v>
      </c>
      <c r="GF1" t="s">
        <v>437</v>
      </c>
      <c r="GG1" t="s">
        <v>438</v>
      </c>
      <c r="GH1" t="s">
        <v>439</v>
      </c>
      <c r="GI1" t="s">
        <v>440</v>
      </c>
      <c r="GJ1" t="s">
        <v>441</v>
      </c>
      <c r="GK1" t="s">
        <v>442</v>
      </c>
      <c r="GL1" t="s">
        <v>443</v>
      </c>
      <c r="GM1" t="s">
        <v>444</v>
      </c>
      <c r="GN1" t="s">
        <v>445</v>
      </c>
      <c r="GO1" t="s">
        <v>446</v>
      </c>
      <c r="GP1" t="s">
        <v>447</v>
      </c>
      <c r="GQ1" t="s">
        <v>448</v>
      </c>
      <c r="GR1" t="s">
        <v>449</v>
      </c>
      <c r="GS1" t="s">
        <v>450</v>
      </c>
      <c r="GT1" t="s">
        <v>451</v>
      </c>
      <c r="GU1" t="s">
        <v>452</v>
      </c>
      <c r="GV1" t="s">
        <v>453</v>
      </c>
      <c r="GW1" t="s">
        <v>454</v>
      </c>
      <c r="GX1" t="s">
        <v>455</v>
      </c>
      <c r="GY1" t="s">
        <v>456</v>
      </c>
      <c r="GZ1" t="s">
        <v>457</v>
      </c>
      <c r="HA1" t="s">
        <v>458</v>
      </c>
      <c r="HB1" t="s">
        <v>459</v>
      </c>
      <c r="HC1" t="s">
        <v>460</v>
      </c>
      <c r="HD1" t="s">
        <v>461</v>
      </c>
      <c r="HE1" t="s">
        <v>462</v>
      </c>
      <c r="HF1" t="s">
        <v>463</v>
      </c>
      <c r="HG1" t="s">
        <v>464</v>
      </c>
      <c r="HH1" t="s">
        <v>465</v>
      </c>
      <c r="HI1" t="s">
        <v>466</v>
      </c>
      <c r="HJ1" t="s">
        <v>467</v>
      </c>
      <c r="HK1" t="s">
        <v>468</v>
      </c>
      <c r="HL1" t="s">
        <v>469</v>
      </c>
      <c r="HM1" t="s">
        <v>470</v>
      </c>
      <c r="HN1" t="s">
        <v>471</v>
      </c>
      <c r="HO1" t="s">
        <v>472</v>
      </c>
      <c r="HP1" t="s">
        <v>473</v>
      </c>
      <c r="HQ1" t="s">
        <v>474</v>
      </c>
      <c r="HR1" t="s">
        <v>475</v>
      </c>
      <c r="HS1" t="s">
        <v>476</v>
      </c>
      <c r="HT1" t="s">
        <v>477</v>
      </c>
      <c r="HU1" t="s">
        <v>478</v>
      </c>
      <c r="HV1" t="s">
        <v>479</v>
      </c>
      <c r="HW1" t="s">
        <v>480</v>
      </c>
      <c r="HX1" t="s">
        <v>481</v>
      </c>
      <c r="HY1" t="s">
        <v>482</v>
      </c>
      <c r="HZ1" t="s">
        <v>483</v>
      </c>
      <c r="IA1" t="s">
        <v>484</v>
      </c>
      <c r="IB1" t="s">
        <v>485</v>
      </c>
      <c r="IC1" t="s">
        <v>486</v>
      </c>
      <c r="ID1" t="s">
        <v>487</v>
      </c>
      <c r="IE1" t="s">
        <v>488</v>
      </c>
      <c r="IF1" t="s">
        <v>489</v>
      </c>
      <c r="IG1" t="s">
        <v>490</v>
      </c>
      <c r="IH1" t="s">
        <v>491</v>
      </c>
      <c r="II1" t="s">
        <v>492</v>
      </c>
      <c r="IJ1" t="s">
        <v>493</v>
      </c>
      <c r="IK1" t="s">
        <v>494</v>
      </c>
      <c r="IL1" t="s">
        <v>495</v>
      </c>
      <c r="IM1" t="s">
        <v>496</v>
      </c>
      <c r="IN1" t="s">
        <v>497</v>
      </c>
      <c r="IO1" t="s">
        <v>498</v>
      </c>
      <c r="IP1" t="s">
        <v>499</v>
      </c>
      <c r="IQ1" t="s">
        <v>500</v>
      </c>
      <c r="IR1" t="s">
        <v>501</v>
      </c>
      <c r="IS1" t="s">
        <v>502</v>
      </c>
      <c r="IT1" t="s">
        <v>503</v>
      </c>
      <c r="IU1" t="s">
        <v>504</v>
      </c>
      <c r="IV1" t="s">
        <v>505</v>
      </c>
      <c r="IW1" t="s">
        <v>506</v>
      </c>
      <c r="IX1" t="s">
        <v>507</v>
      </c>
      <c r="IY1" t="s">
        <v>508</v>
      </c>
      <c r="IZ1" t="s">
        <v>509</v>
      </c>
      <c r="JA1" t="s">
        <v>510</v>
      </c>
      <c r="JB1" t="s">
        <v>511</v>
      </c>
      <c r="JC1" t="s">
        <v>512</v>
      </c>
      <c r="JD1" t="s">
        <v>513</v>
      </c>
      <c r="JE1" t="s">
        <v>514</v>
      </c>
      <c r="JF1" t="s">
        <v>515</v>
      </c>
      <c r="JG1" t="s">
        <v>516</v>
      </c>
      <c r="JH1" t="s">
        <v>517</v>
      </c>
      <c r="JI1" t="s">
        <v>518</v>
      </c>
      <c r="JJ1" t="s">
        <v>519</v>
      </c>
      <c r="JK1" t="s">
        <v>260</v>
      </c>
      <c r="JL1" t="s">
        <v>520</v>
      </c>
      <c r="JM1" t="s">
        <v>521</v>
      </c>
      <c r="JN1" t="s">
        <v>522</v>
      </c>
      <c r="JO1" t="s">
        <v>206</v>
      </c>
      <c r="JP1" t="s">
        <v>207</v>
      </c>
      <c r="JQ1" t="s">
        <v>208</v>
      </c>
    </row>
    <row r="2" spans="1:277">
      <c r="A2" t="s">
        <v>537</v>
      </c>
      <c r="B2" t="s">
        <v>538</v>
      </c>
      <c r="C2" t="s">
        <v>209</v>
      </c>
      <c r="D2">
        <v>3</v>
      </c>
      <c r="E2" t="s">
        <v>210</v>
      </c>
      <c r="F2" t="s">
        <v>211</v>
      </c>
      <c r="G2" t="s">
        <v>523</v>
      </c>
      <c r="H2" t="s">
        <v>528</v>
      </c>
      <c r="J2" t="s">
        <v>529</v>
      </c>
      <c r="K2" t="s">
        <v>530</v>
      </c>
      <c r="L2" t="s">
        <v>531</v>
      </c>
      <c r="M2" t="s">
        <v>532</v>
      </c>
      <c r="N2" t="s">
        <v>533</v>
      </c>
      <c r="O2">
        <v>0</v>
      </c>
      <c r="P2">
        <v>0</v>
      </c>
      <c r="Q2">
        <v>1.5000000003</v>
      </c>
      <c r="R2">
        <v>0.79999999980000003</v>
      </c>
      <c r="S2">
        <v>1.0000000002</v>
      </c>
      <c r="T2">
        <v>0.79999999980000003</v>
      </c>
      <c r="U2">
        <v>0.90000000089999999</v>
      </c>
      <c r="V2">
        <v>0.7000000005</v>
      </c>
      <c r="W2">
        <v>0.60000000119999997</v>
      </c>
      <c r="X2">
        <v>0.50000000010000001</v>
      </c>
      <c r="Y2">
        <v>0.40000000079999998</v>
      </c>
      <c r="Z2">
        <v>0.60000000119999997</v>
      </c>
      <c r="AA2">
        <v>0.40000000079999998</v>
      </c>
      <c r="AB2">
        <v>0.60000000119999997</v>
      </c>
      <c r="AC2">
        <v>0.50000000010000001</v>
      </c>
      <c r="AD2">
        <v>0.29999999970000002</v>
      </c>
      <c r="AE2">
        <v>0.29999999970000002</v>
      </c>
      <c r="AF2">
        <v>0</v>
      </c>
      <c r="AG2">
        <v>0.20000000039999999</v>
      </c>
      <c r="AH2">
        <v>2.5000000005</v>
      </c>
      <c r="AI2">
        <v>7.9000000005000004</v>
      </c>
      <c r="AJ2">
        <v>14.5000000011</v>
      </c>
      <c r="AK2">
        <v>21.0000000006</v>
      </c>
      <c r="AL2">
        <v>28.4000000011</v>
      </c>
      <c r="AM2">
        <v>36.4000000009</v>
      </c>
      <c r="AN2">
        <v>43.900000000600002</v>
      </c>
      <c r="AO2">
        <v>51.199999999900001</v>
      </c>
      <c r="AP2">
        <v>58.9</v>
      </c>
      <c r="AQ2">
        <v>66.700000001199996</v>
      </c>
      <c r="AR2">
        <v>74.300000000200001</v>
      </c>
      <c r="AS2">
        <v>83.399999999499997</v>
      </c>
      <c r="AT2">
        <v>91.700000000900005</v>
      </c>
      <c r="AU2">
        <v>99.599999999600001</v>
      </c>
      <c r="AV2">
        <v>107.5000000001</v>
      </c>
      <c r="AW2">
        <v>116.6000000012</v>
      </c>
      <c r="AX2">
        <v>125</v>
      </c>
      <c r="AY2">
        <v>134</v>
      </c>
      <c r="AZ2">
        <v>143.40000000079999</v>
      </c>
      <c r="BA2">
        <v>151.6000000011</v>
      </c>
      <c r="BB2">
        <v>159.7999999994</v>
      </c>
      <c r="BC2">
        <v>168.4000000005</v>
      </c>
      <c r="BD2">
        <v>176.300000001</v>
      </c>
      <c r="BE2">
        <v>185.10000000060001</v>
      </c>
      <c r="BF2">
        <v>194.49999999959999</v>
      </c>
      <c r="BG2">
        <v>202.69999999980001</v>
      </c>
      <c r="BH2">
        <v>210.9</v>
      </c>
      <c r="BI2">
        <v>219.6000000004</v>
      </c>
      <c r="BJ2">
        <v>227.20000000120001</v>
      </c>
      <c r="BK2">
        <v>235.6</v>
      </c>
      <c r="BL2">
        <v>244.80000000039999</v>
      </c>
      <c r="BM2">
        <v>252.80000000019999</v>
      </c>
      <c r="BN2">
        <v>260.59999999960002</v>
      </c>
      <c r="BO2">
        <v>268.59999999939998</v>
      </c>
      <c r="BP2">
        <v>275.70000000009998</v>
      </c>
      <c r="BQ2">
        <v>283.80000000109999</v>
      </c>
      <c r="BR2">
        <v>291.90000000020001</v>
      </c>
      <c r="BS2">
        <v>299.89999999999998</v>
      </c>
      <c r="BT2">
        <v>307.30000000040002</v>
      </c>
      <c r="BU2">
        <v>314.40000000110001</v>
      </c>
      <c r="BV2">
        <v>321.2999999996</v>
      </c>
      <c r="BW2">
        <v>328.300000001</v>
      </c>
      <c r="BX2">
        <v>335.69999999959998</v>
      </c>
      <c r="BY2">
        <v>342.80000000040002</v>
      </c>
      <c r="BZ2">
        <v>350.00000000040001</v>
      </c>
      <c r="CA2">
        <v>356.9000000007</v>
      </c>
      <c r="CB2">
        <v>362.69999999970003</v>
      </c>
      <c r="CC2">
        <v>369.30000000029997</v>
      </c>
      <c r="CD2">
        <v>375.70000000049998</v>
      </c>
      <c r="CE2">
        <v>382.2</v>
      </c>
      <c r="CF2">
        <v>388.6000000002</v>
      </c>
      <c r="CG2">
        <v>394.90000000110001</v>
      </c>
      <c r="CH2">
        <v>400.60000000079998</v>
      </c>
      <c r="CI2">
        <v>406.69999999949999</v>
      </c>
      <c r="CJ2">
        <v>412.3</v>
      </c>
      <c r="CK2">
        <v>418.10000000079998</v>
      </c>
      <c r="CL2">
        <v>423.60000000010001</v>
      </c>
      <c r="CM2">
        <v>428.79999999969999</v>
      </c>
      <c r="CN2">
        <v>434.60000000050002</v>
      </c>
      <c r="CO2">
        <v>440.00000000049999</v>
      </c>
      <c r="CP2">
        <v>445.20000000009998</v>
      </c>
      <c r="CQ2">
        <v>450.39999999970001</v>
      </c>
      <c r="CR2">
        <v>455.5</v>
      </c>
      <c r="CS2">
        <v>460.0000000009</v>
      </c>
      <c r="CT2">
        <v>460.9</v>
      </c>
      <c r="CU2">
        <v>461.00000000109998</v>
      </c>
      <c r="CV2">
        <v>461.00000000109998</v>
      </c>
      <c r="CW2">
        <v>461.00000000109998</v>
      </c>
      <c r="CX2">
        <v>460.80000000069998</v>
      </c>
      <c r="CY2">
        <v>460.9</v>
      </c>
      <c r="CZ2">
        <v>460.9</v>
      </c>
      <c r="DA2">
        <v>460.9</v>
      </c>
      <c r="DB2">
        <v>460.9</v>
      </c>
      <c r="DC2">
        <v>460.80000000069998</v>
      </c>
      <c r="DD2">
        <v>460.80000000069998</v>
      </c>
      <c r="DE2">
        <v>460.69999999959998</v>
      </c>
      <c r="DF2">
        <v>460.69999999959998</v>
      </c>
      <c r="DG2">
        <v>2.7000000008999998</v>
      </c>
      <c r="DH2">
        <v>2.0000000004</v>
      </c>
      <c r="DI2">
        <v>1.5999999996000001</v>
      </c>
      <c r="DJ2">
        <v>1.5000000003</v>
      </c>
      <c r="DK2">
        <v>1.5999999996000001</v>
      </c>
      <c r="DL2">
        <v>1.8</v>
      </c>
      <c r="DM2">
        <v>1.7000000007</v>
      </c>
      <c r="DN2">
        <v>1.5999999996000001</v>
      </c>
      <c r="DO2">
        <v>1.5999999996000001</v>
      </c>
      <c r="DP2">
        <v>1.7000000007</v>
      </c>
      <c r="DQ2">
        <v>1.2999999999</v>
      </c>
      <c r="DR2">
        <v>1.400000001</v>
      </c>
      <c r="DS2">
        <v>1.400000001</v>
      </c>
      <c r="DT2">
        <v>1.5000000003</v>
      </c>
      <c r="DU2">
        <v>1.2000000006</v>
      </c>
      <c r="DV2">
        <v>1.2999999999</v>
      </c>
      <c r="DW2">
        <v>1.9000000011</v>
      </c>
      <c r="DX2">
        <v>8.2000000001999993</v>
      </c>
      <c r="DY2">
        <v>14.5000000011</v>
      </c>
      <c r="DZ2">
        <v>21.200000000999999</v>
      </c>
      <c r="EA2">
        <v>29.5000000006</v>
      </c>
      <c r="EB2">
        <v>37.099999999600001</v>
      </c>
      <c r="EC2">
        <v>44.400000000699997</v>
      </c>
      <c r="ED2">
        <v>51.800000001100003</v>
      </c>
      <c r="EE2">
        <v>59.4000000001</v>
      </c>
      <c r="EF2">
        <v>67.199999999499994</v>
      </c>
      <c r="EG2">
        <v>74.700000001000006</v>
      </c>
      <c r="EH2">
        <v>83.500000000599996</v>
      </c>
      <c r="EI2">
        <v>92.000000000599996</v>
      </c>
      <c r="EJ2">
        <v>99.8</v>
      </c>
      <c r="EK2">
        <v>107.6000000012</v>
      </c>
      <c r="EL2">
        <v>116.1000000011</v>
      </c>
      <c r="EM2">
        <v>124.4000000006</v>
      </c>
      <c r="EN2">
        <v>134.50000000009999</v>
      </c>
      <c r="EO2">
        <v>143.1000000011</v>
      </c>
      <c r="EP2">
        <v>151.49999999990001</v>
      </c>
      <c r="EQ2">
        <v>159.70000000019999</v>
      </c>
      <c r="ER2">
        <v>168.4999999998</v>
      </c>
      <c r="ES2">
        <v>176.1999999999</v>
      </c>
      <c r="ET2">
        <v>185.90000000040001</v>
      </c>
      <c r="EU2">
        <v>194.80000000109999</v>
      </c>
      <c r="EV2">
        <v>203.1999999999</v>
      </c>
      <c r="EW2">
        <v>211.60000000049999</v>
      </c>
      <c r="EX2">
        <v>219.8000000008</v>
      </c>
      <c r="EY2">
        <v>228.30000000070001</v>
      </c>
      <c r="EZ2">
        <v>237.4</v>
      </c>
      <c r="FA2">
        <v>245.89999999989999</v>
      </c>
      <c r="FB2">
        <v>254.00000000079999</v>
      </c>
      <c r="FC2">
        <v>262.30000000029997</v>
      </c>
      <c r="FD2">
        <v>269.70000000070002</v>
      </c>
      <c r="FE2">
        <v>277.90000000100002</v>
      </c>
      <c r="FF2">
        <v>286.00000000009999</v>
      </c>
      <c r="FG2">
        <v>294.7000000004</v>
      </c>
      <c r="FH2">
        <v>302.20000000009998</v>
      </c>
      <c r="FI2">
        <v>309.30000000080003</v>
      </c>
      <c r="FJ2">
        <v>316.80000000050001</v>
      </c>
      <c r="FK2">
        <v>324.30000000019999</v>
      </c>
      <c r="FL2">
        <v>331.40000000089998</v>
      </c>
      <c r="FM2">
        <v>338.90000000060002</v>
      </c>
      <c r="FN2">
        <v>346.49999999969998</v>
      </c>
      <c r="FO2">
        <v>353.4</v>
      </c>
      <c r="FP2">
        <v>359.70000000089999</v>
      </c>
      <c r="FQ2">
        <v>366.29999999969999</v>
      </c>
      <c r="FR2">
        <v>373.40000000039998</v>
      </c>
      <c r="FS2">
        <v>379.80000000059999</v>
      </c>
      <c r="FT2">
        <v>386.2000000008</v>
      </c>
      <c r="FU2">
        <v>392.60000000100001</v>
      </c>
      <c r="FV2">
        <v>398.69999999970003</v>
      </c>
      <c r="FW2">
        <v>404.59999999979999</v>
      </c>
      <c r="FX2">
        <v>410.6000000011</v>
      </c>
      <c r="FY2">
        <v>416.19999999970003</v>
      </c>
      <c r="FZ2">
        <v>422.09999999979999</v>
      </c>
      <c r="GA2">
        <v>427.49999999980002</v>
      </c>
      <c r="GB2">
        <v>432.80000000050001</v>
      </c>
      <c r="GC2">
        <v>438.20000000049998</v>
      </c>
      <c r="GD2">
        <v>443.10000000039997</v>
      </c>
      <c r="GE2">
        <v>448.20000000070002</v>
      </c>
      <c r="GF2">
        <v>452.69999999980001</v>
      </c>
      <c r="GG2">
        <v>457.20000000070002</v>
      </c>
      <c r="GH2">
        <v>460.60000000029999</v>
      </c>
      <c r="GI2">
        <v>460.80000000069998</v>
      </c>
      <c r="GJ2">
        <v>460.69999999959998</v>
      </c>
      <c r="GK2">
        <v>460.60000000029999</v>
      </c>
      <c r="GL2">
        <v>460.69999999959998</v>
      </c>
      <c r="GM2">
        <v>460.69999999959998</v>
      </c>
      <c r="GN2">
        <v>460.60000000029999</v>
      </c>
      <c r="GO2">
        <v>460.80000000069998</v>
      </c>
      <c r="GP2">
        <v>460.69999999959998</v>
      </c>
      <c r="GQ2">
        <v>460.80000000069998</v>
      </c>
      <c r="GR2">
        <v>460.9</v>
      </c>
      <c r="GS2">
        <v>460.69999999959998</v>
      </c>
      <c r="GT2">
        <v>460.69999999959998</v>
      </c>
      <c r="GU2">
        <v>460.80000000069998</v>
      </c>
      <c r="GV2">
        <v>460.80000000069998</v>
      </c>
      <c r="GW2">
        <v>1</v>
      </c>
      <c r="GX2">
        <v>117.5999999996</v>
      </c>
      <c r="GY2">
        <v>116.6000000012</v>
      </c>
      <c r="GZ2">
        <v>116.6000000012</v>
      </c>
      <c r="HA2">
        <v>124.4000000006</v>
      </c>
      <c r="HB2">
        <v>118.6392709926</v>
      </c>
      <c r="HC2">
        <v>-7.7999999993999998</v>
      </c>
      <c r="HD2">
        <v>460.79996745570003</v>
      </c>
      <c r="HE2">
        <v>302.531546972</v>
      </c>
      <c r="HF2">
        <v>103.8797895421</v>
      </c>
      <c r="HG2">
        <v>461.00000000109998</v>
      </c>
      <c r="HH2">
        <v>460.9</v>
      </c>
      <c r="HI2">
        <v>461.00000000109998</v>
      </c>
      <c r="HJ2">
        <v>460.9</v>
      </c>
      <c r="HK2">
        <v>110.26392961880001</v>
      </c>
      <c r="HL2">
        <v>3.4468874468999999</v>
      </c>
      <c r="HM2">
        <v>3.3370232704</v>
      </c>
      <c r="HN2">
        <v>3.4061643685999998</v>
      </c>
      <c r="HO2">
        <v>3.2201808764000002</v>
      </c>
      <c r="HP2">
        <v>3.6587660933000001</v>
      </c>
      <c r="HQ2">
        <v>2.2167362772999999</v>
      </c>
      <c r="HR2">
        <v>14.759481450499999</v>
      </c>
      <c r="HS2">
        <v>-30.4985337243</v>
      </c>
      <c r="HT2">
        <v>-208</v>
      </c>
      <c r="HU2">
        <v>421.17081796460002</v>
      </c>
      <c r="HV2">
        <v>91.495601172999997</v>
      </c>
      <c r="HW2">
        <v>624</v>
      </c>
      <c r="HX2">
        <v>14.759481450499999</v>
      </c>
      <c r="HY2">
        <v>-30.4985337243</v>
      </c>
      <c r="HZ2">
        <v>-208</v>
      </c>
      <c r="IA2">
        <v>421.17081796460002</v>
      </c>
      <c r="IB2">
        <v>91.495601172999997</v>
      </c>
      <c r="IC2">
        <v>624</v>
      </c>
      <c r="ID2">
        <v>39.729182035400001</v>
      </c>
      <c r="IE2">
        <v>1.8333695E-3</v>
      </c>
      <c r="IF2">
        <v>-39.8826979472</v>
      </c>
      <c r="IG2">
        <v>-272</v>
      </c>
      <c r="IH2">
        <v>442.69334996790002</v>
      </c>
      <c r="II2">
        <v>100.87976539589999</v>
      </c>
      <c r="IJ2">
        <v>688</v>
      </c>
      <c r="IK2">
        <v>406.4113365142</v>
      </c>
      <c r="IL2">
        <v>121.9941348974</v>
      </c>
      <c r="IM2">
        <v>429.58111303970003</v>
      </c>
      <c r="IN2">
        <v>131.37829912020001</v>
      </c>
      <c r="IO2">
        <v>6.6999999999000002</v>
      </c>
      <c r="IP2">
        <v>5.8000000007999999</v>
      </c>
      <c r="IQ2">
        <v>10.0999999995</v>
      </c>
      <c r="IR2">
        <v>7.0418142041999996</v>
      </c>
      <c r="IS2">
        <v>7.0418142041999996</v>
      </c>
      <c r="IT2">
        <v>6.6999999999000002</v>
      </c>
      <c r="IU2">
        <v>-30.4985337243</v>
      </c>
      <c r="IV2">
        <v>10.8999999993</v>
      </c>
      <c r="IW2">
        <v>46.920821114399999</v>
      </c>
      <c r="IX2">
        <v>9.4000000008000004</v>
      </c>
      <c r="IY2">
        <v>98.533724340199996</v>
      </c>
      <c r="IZ2">
        <v>-35.093217778099998</v>
      </c>
      <c r="JA2">
        <v>0.32880774419999997</v>
      </c>
      <c r="JB2">
        <v>-3.6591839999999999E-4</v>
      </c>
      <c r="JC2">
        <v>7.0839999999999996E-7</v>
      </c>
      <c r="JD2">
        <v>0.29011681280000001</v>
      </c>
      <c r="JE2">
        <v>0.27703033430000001</v>
      </c>
      <c r="JF2">
        <v>9.4924841600000004E-2</v>
      </c>
      <c r="JG2">
        <v>119.42589971859999</v>
      </c>
      <c r="JH2">
        <v>3.6587660933000001</v>
      </c>
      <c r="JI2">
        <v>3.4226196000000002E-3</v>
      </c>
      <c r="JJ2">
        <v>-8.2356900000000004E-5</v>
      </c>
      <c r="JK2">
        <v>3.4468874468999999</v>
      </c>
      <c r="JL2">
        <v>1.4129525478</v>
      </c>
      <c r="JM2">
        <v>0.63241354039999997</v>
      </c>
      <c r="JN2" t="s">
        <v>524</v>
      </c>
      <c r="JQ2">
        <v>1</v>
      </c>
    </row>
    <row r="3" spans="1:277">
      <c r="A3" t="s">
        <v>549</v>
      </c>
      <c r="B3" t="s">
        <v>550</v>
      </c>
      <c r="C3" t="s">
        <v>209</v>
      </c>
      <c r="D3">
        <v>3</v>
      </c>
      <c r="E3" t="s">
        <v>210</v>
      </c>
      <c r="F3" t="s">
        <v>211</v>
      </c>
      <c r="G3" t="s">
        <v>523</v>
      </c>
      <c r="H3" t="s">
        <v>528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0</v>
      </c>
      <c r="R3">
        <v>0.59999999940000004</v>
      </c>
      <c r="S3">
        <v>0.59999999940000004</v>
      </c>
      <c r="T3">
        <v>0.69999999869999996</v>
      </c>
      <c r="U3">
        <v>0.50000000010000001</v>
      </c>
      <c r="V3">
        <v>0.59999999940000004</v>
      </c>
      <c r="W3">
        <v>0.59999999940000004</v>
      </c>
      <c r="X3">
        <v>0.79999999980000003</v>
      </c>
      <c r="Y3">
        <v>0.69999999869999996</v>
      </c>
      <c r="Z3">
        <v>0.69999999869999996</v>
      </c>
      <c r="AA3">
        <v>0.79999999980000003</v>
      </c>
      <c r="AB3">
        <v>0.69999999869999996</v>
      </c>
      <c r="AC3">
        <v>0.89999999909999995</v>
      </c>
      <c r="AD3">
        <v>0.79999999980000003</v>
      </c>
      <c r="AE3">
        <v>1.0000000002</v>
      </c>
      <c r="AF3">
        <v>0.89999999909999995</v>
      </c>
      <c r="AG3">
        <v>0.89999999909999995</v>
      </c>
      <c r="AH3">
        <v>3.4999999988999999</v>
      </c>
      <c r="AI3">
        <v>8.3999999988000003</v>
      </c>
      <c r="AJ3">
        <v>14.9999999994</v>
      </c>
      <c r="AK3">
        <v>20.199999998999999</v>
      </c>
      <c r="AL3">
        <v>27.799999999800001</v>
      </c>
      <c r="AM3">
        <v>35.700000000400003</v>
      </c>
      <c r="AN3">
        <v>42.900000000399999</v>
      </c>
      <c r="AO3">
        <v>50.999999999499998</v>
      </c>
      <c r="AP3">
        <v>58.999999999300002</v>
      </c>
      <c r="AQ3">
        <v>67.199999999499994</v>
      </c>
      <c r="AR3">
        <v>73.999999998700005</v>
      </c>
      <c r="AS3">
        <v>82.000000000300005</v>
      </c>
      <c r="AT3">
        <v>90.099999999399998</v>
      </c>
      <c r="AU3">
        <v>97.899999998799998</v>
      </c>
      <c r="AV3">
        <v>107</v>
      </c>
      <c r="AW3">
        <v>115.8999999989</v>
      </c>
      <c r="AX3">
        <v>123.4000000004</v>
      </c>
      <c r="AY3">
        <v>131.6999999999</v>
      </c>
      <c r="AZ3">
        <v>140.29999999910001</v>
      </c>
      <c r="BA3">
        <v>147.99999999920001</v>
      </c>
      <c r="BB3">
        <v>157.19999999960001</v>
      </c>
      <c r="BC3">
        <v>166.59999999870001</v>
      </c>
      <c r="BD3">
        <v>173.8999999998</v>
      </c>
      <c r="BE3">
        <v>181.8999999996</v>
      </c>
      <c r="BF3">
        <v>190.39999999950001</v>
      </c>
      <c r="BG3">
        <v>198.699999999</v>
      </c>
      <c r="BH3">
        <v>207.00000000029999</v>
      </c>
      <c r="BI3">
        <v>216.39999999930001</v>
      </c>
      <c r="BJ3">
        <v>224.0999999995</v>
      </c>
      <c r="BK3">
        <v>231.70000000030001</v>
      </c>
      <c r="BL3">
        <v>239.9999999998</v>
      </c>
      <c r="BM3">
        <v>247.5999999988</v>
      </c>
      <c r="BN3">
        <v>255.6000000004</v>
      </c>
      <c r="BO3">
        <v>264.90000000010002</v>
      </c>
      <c r="BP3">
        <v>272.69999999949999</v>
      </c>
      <c r="BQ3">
        <v>279.3000000001</v>
      </c>
      <c r="BR3">
        <v>287.00000000030002</v>
      </c>
      <c r="BS3">
        <v>294.09999999920001</v>
      </c>
      <c r="BT3">
        <v>301.59999999889999</v>
      </c>
      <c r="BU3">
        <v>308.69999999959998</v>
      </c>
      <c r="BV3">
        <v>317.29999999879999</v>
      </c>
      <c r="BW3">
        <v>324.69999999919997</v>
      </c>
      <c r="BX3">
        <v>330.7000000004</v>
      </c>
      <c r="BY3">
        <v>337.1999999999</v>
      </c>
      <c r="BZ3">
        <v>343.7999999987</v>
      </c>
      <c r="CA3">
        <v>350.89999999949998</v>
      </c>
      <c r="CB3">
        <v>357.2000000004</v>
      </c>
      <c r="CC3">
        <v>363.9000000003</v>
      </c>
      <c r="CD3">
        <v>371.60000000039997</v>
      </c>
      <c r="CE3">
        <v>377.80000000019999</v>
      </c>
      <c r="CF3">
        <v>383.09999999910002</v>
      </c>
      <c r="CG3">
        <v>388.99999999919999</v>
      </c>
      <c r="CH3">
        <v>394.29999999990002</v>
      </c>
      <c r="CI3">
        <v>400.49999999969998</v>
      </c>
      <c r="CJ3">
        <v>406.3999999998</v>
      </c>
      <c r="CK3">
        <v>412.50000000040001</v>
      </c>
      <c r="CL3">
        <v>418.39999999870003</v>
      </c>
      <c r="CM3">
        <v>424.99999999929997</v>
      </c>
      <c r="CN3">
        <v>429.59999999950003</v>
      </c>
      <c r="CO3">
        <v>434.29999999900002</v>
      </c>
      <c r="CP3">
        <v>439.50000000040001</v>
      </c>
      <c r="CQ3">
        <v>444.49999999959999</v>
      </c>
      <c r="CR3">
        <v>449.59999999989998</v>
      </c>
      <c r="CS3">
        <v>453.99999999969998</v>
      </c>
      <c r="CT3">
        <v>453.99999999969998</v>
      </c>
      <c r="CU3">
        <v>454.09999999899998</v>
      </c>
      <c r="CV3">
        <v>454.09999999899998</v>
      </c>
      <c r="CW3">
        <v>453.79999999929998</v>
      </c>
      <c r="CX3">
        <v>454.29999999939997</v>
      </c>
      <c r="CY3">
        <v>454.20000000009998</v>
      </c>
      <c r="CZ3">
        <v>454.20000000009998</v>
      </c>
      <c r="DA3">
        <v>454.29999999939997</v>
      </c>
      <c r="DB3">
        <v>454.29999999939997</v>
      </c>
      <c r="DC3">
        <v>454.49999999980002</v>
      </c>
      <c r="DD3">
        <v>454.29999999939997</v>
      </c>
      <c r="DE3">
        <v>454.20000000009998</v>
      </c>
      <c r="DF3">
        <v>454.29999999939997</v>
      </c>
      <c r="DG3">
        <v>1.1999999988000001</v>
      </c>
      <c r="DH3">
        <v>1.6999999989000001</v>
      </c>
      <c r="DI3">
        <v>1.8999999993000001</v>
      </c>
      <c r="DJ3">
        <v>1.6999999989000001</v>
      </c>
      <c r="DK3">
        <v>1.6999999989000001</v>
      </c>
      <c r="DL3">
        <v>1.6999999989000001</v>
      </c>
      <c r="DM3">
        <v>1.6999999989000001</v>
      </c>
      <c r="DN3">
        <v>1.8999999993000001</v>
      </c>
      <c r="DO3">
        <v>1.6999999989000001</v>
      </c>
      <c r="DP3">
        <v>1.6999999989000001</v>
      </c>
      <c r="DQ3">
        <v>1.8999999993000001</v>
      </c>
      <c r="DR3">
        <v>2.0999999997000001</v>
      </c>
      <c r="DS3">
        <v>1.8</v>
      </c>
      <c r="DT3">
        <v>1.8999999993000001</v>
      </c>
      <c r="DU3">
        <v>1.8999999993000001</v>
      </c>
      <c r="DV3">
        <v>1.8999999993000001</v>
      </c>
      <c r="DW3">
        <v>3.1999999992000001</v>
      </c>
      <c r="DX3">
        <v>7.9999999998</v>
      </c>
      <c r="DY3">
        <v>14.4999999993</v>
      </c>
      <c r="DZ3">
        <v>20.0999999997</v>
      </c>
      <c r="EA3">
        <v>27.799999999800001</v>
      </c>
      <c r="EB3">
        <v>34.999999999899998</v>
      </c>
      <c r="EC3">
        <v>42.400000000299997</v>
      </c>
      <c r="ED3">
        <v>50.699999999799999</v>
      </c>
      <c r="EE3">
        <v>58.6000000003</v>
      </c>
      <c r="EF3">
        <v>66.699999999400006</v>
      </c>
      <c r="EG3">
        <v>72.799999999899995</v>
      </c>
      <c r="EH3">
        <v>81.199999998699994</v>
      </c>
      <c r="EI3">
        <v>88.700000000200006</v>
      </c>
      <c r="EJ3">
        <v>97.599999999100007</v>
      </c>
      <c r="EK3">
        <v>106.20000000020001</v>
      </c>
      <c r="EL3">
        <v>114.9999999998</v>
      </c>
      <c r="EM3">
        <v>121.90000000009999</v>
      </c>
      <c r="EN3">
        <v>130.6999999997</v>
      </c>
      <c r="EO3">
        <v>138.79999999879999</v>
      </c>
      <c r="EP3">
        <v>147.2999999987</v>
      </c>
      <c r="EQ3">
        <v>156.3999999998</v>
      </c>
      <c r="ER3">
        <v>165.69999999960001</v>
      </c>
      <c r="ES3">
        <v>173.30000000039999</v>
      </c>
      <c r="ET3">
        <v>181.39999999950001</v>
      </c>
      <c r="EU3">
        <v>189.699999999</v>
      </c>
      <c r="EV3">
        <v>198.00000000029999</v>
      </c>
      <c r="EW3">
        <v>207.09999999959999</v>
      </c>
      <c r="EX3">
        <v>216.09999999959999</v>
      </c>
      <c r="EY3">
        <v>224.0999999995</v>
      </c>
      <c r="EZ3">
        <v>231.49999999990001</v>
      </c>
      <c r="FA3">
        <v>240.39999999880001</v>
      </c>
      <c r="FB3">
        <v>247.99999999959999</v>
      </c>
      <c r="FC3">
        <v>256.29999999910001</v>
      </c>
      <c r="FD3">
        <v>265.5999999988</v>
      </c>
      <c r="FE3">
        <v>273.60000000039997</v>
      </c>
      <c r="FF3">
        <v>280.19999999919997</v>
      </c>
      <c r="FG3">
        <v>288.09999999979999</v>
      </c>
      <c r="FH3">
        <v>295.39999999909998</v>
      </c>
      <c r="FI3">
        <v>303.3999999989</v>
      </c>
      <c r="FJ3">
        <v>310.59999999889999</v>
      </c>
      <c r="FK3">
        <v>319.2999999992</v>
      </c>
      <c r="FL3">
        <v>326.29999999879999</v>
      </c>
      <c r="FM3">
        <v>332.8000000001</v>
      </c>
      <c r="FN3">
        <v>339.7000000004</v>
      </c>
      <c r="FO3">
        <v>346.2</v>
      </c>
      <c r="FP3">
        <v>353.29999999889998</v>
      </c>
      <c r="FQ3">
        <v>360.39999999960003</v>
      </c>
      <c r="FR3">
        <v>367.39999999920002</v>
      </c>
      <c r="FS3">
        <v>374.29999999950002</v>
      </c>
      <c r="FT3">
        <v>380.10000000029999</v>
      </c>
      <c r="FU3">
        <v>386.00000000040001</v>
      </c>
      <c r="FV3">
        <v>391.59999999899998</v>
      </c>
      <c r="FW3">
        <v>397.79999999879999</v>
      </c>
      <c r="FX3">
        <v>404.0999999997</v>
      </c>
      <c r="FY3">
        <v>409.99999999990001</v>
      </c>
      <c r="FZ3">
        <v>415.69999999959998</v>
      </c>
      <c r="GA3">
        <v>422.30000000019999</v>
      </c>
      <c r="GB3">
        <v>427.49999999980002</v>
      </c>
      <c r="GC3">
        <v>432.19999999930002</v>
      </c>
      <c r="GD3">
        <v>436.99999999990001</v>
      </c>
      <c r="GE3">
        <v>441.49999999900001</v>
      </c>
      <c r="GF3">
        <v>446.3999999989</v>
      </c>
      <c r="GG3">
        <v>451.19999999949999</v>
      </c>
      <c r="GH3">
        <v>453.79999999929998</v>
      </c>
      <c r="GI3">
        <v>453.90000000039998</v>
      </c>
      <c r="GJ3">
        <v>453.99999999969998</v>
      </c>
      <c r="GK3">
        <v>453.99999999969998</v>
      </c>
      <c r="GL3">
        <v>454.09999999899998</v>
      </c>
      <c r="GM3">
        <v>454.09999999899998</v>
      </c>
      <c r="GN3">
        <v>454.29999999939997</v>
      </c>
      <c r="GO3">
        <v>454.09999999899998</v>
      </c>
      <c r="GP3">
        <v>454.20000000009998</v>
      </c>
      <c r="GQ3">
        <v>454.20000000009998</v>
      </c>
      <c r="GR3">
        <v>454.29999999939997</v>
      </c>
      <c r="GS3">
        <v>454.09999999899998</v>
      </c>
      <c r="GT3">
        <v>453.99999999969998</v>
      </c>
      <c r="GU3">
        <v>454.20000000009998</v>
      </c>
      <c r="GV3">
        <v>454.29999999939997</v>
      </c>
      <c r="GW3">
        <v>1</v>
      </c>
      <c r="GX3">
        <v>118.6999999991</v>
      </c>
      <c r="GY3">
        <v>115.8999999989</v>
      </c>
      <c r="GZ3">
        <v>115.8999999989</v>
      </c>
      <c r="HA3">
        <v>121.90000000009999</v>
      </c>
      <c r="HB3">
        <v>117.4703279763</v>
      </c>
      <c r="HC3">
        <v>-6.0000000012000001</v>
      </c>
      <c r="HD3">
        <v>454.29999999939997</v>
      </c>
      <c r="HE3">
        <v>291.5039731462</v>
      </c>
      <c r="HF3">
        <v>96.868831169000003</v>
      </c>
      <c r="HG3">
        <v>454.49999999980002</v>
      </c>
      <c r="HH3">
        <v>454.29999999939997</v>
      </c>
      <c r="HI3">
        <v>454.49999999980002</v>
      </c>
      <c r="HJ3">
        <v>454.29999999939997</v>
      </c>
      <c r="HK3">
        <v>110.26392961880001</v>
      </c>
      <c r="HL3">
        <v>3.4027400684</v>
      </c>
      <c r="HM3">
        <v>3.3167202841000001</v>
      </c>
      <c r="HN3">
        <v>3.3561428593999998</v>
      </c>
      <c r="HO3">
        <v>3.2330483382000001</v>
      </c>
      <c r="HP3">
        <v>3.5906901576000001</v>
      </c>
      <c r="HQ3">
        <v>2.3201204879000001</v>
      </c>
      <c r="HR3">
        <v>20.601496807299998</v>
      </c>
      <c r="HS3">
        <v>-28.152492668600001</v>
      </c>
      <c r="HT3">
        <v>-192</v>
      </c>
      <c r="HU3">
        <v>408.97430112249998</v>
      </c>
      <c r="HV3">
        <v>89.149560117299998</v>
      </c>
      <c r="HW3">
        <v>608</v>
      </c>
      <c r="HX3">
        <v>20.601496807299998</v>
      </c>
      <c r="HY3">
        <v>-28.152492668600001</v>
      </c>
      <c r="HZ3">
        <v>-192</v>
      </c>
      <c r="IA3">
        <v>408.97430112249998</v>
      </c>
      <c r="IB3">
        <v>89.149560117299998</v>
      </c>
      <c r="IC3">
        <v>608</v>
      </c>
      <c r="ID3">
        <v>45.325698877000001</v>
      </c>
      <c r="IE3">
        <v>0.91037860349999999</v>
      </c>
      <c r="IF3">
        <v>-37.536656891500002</v>
      </c>
      <c r="IG3">
        <v>-256</v>
      </c>
      <c r="IH3">
        <v>431.792692053</v>
      </c>
      <c r="II3">
        <v>98.533724340199996</v>
      </c>
      <c r="IJ3">
        <v>672</v>
      </c>
      <c r="IK3">
        <v>388.37280431509998</v>
      </c>
      <c r="IL3">
        <v>117.3020527859</v>
      </c>
      <c r="IM3">
        <v>412.95026414400002</v>
      </c>
      <c r="IN3">
        <v>126.6862170088</v>
      </c>
      <c r="IO3">
        <v>6.6000000005999997</v>
      </c>
      <c r="IP3">
        <v>6.6000000005999997</v>
      </c>
      <c r="IQ3">
        <v>9.3999999990000003</v>
      </c>
      <c r="IR3">
        <v>5.3526100727000001</v>
      </c>
      <c r="IS3">
        <v>5.3526100727000001</v>
      </c>
      <c r="IT3">
        <v>6.1000000004999997</v>
      </c>
      <c r="IU3">
        <v>-32.844574780099997</v>
      </c>
      <c r="IV3">
        <v>10.5999999996</v>
      </c>
      <c r="IW3">
        <v>56.304985337200002</v>
      </c>
      <c r="IX3">
        <v>9.7999999998000007</v>
      </c>
      <c r="IY3">
        <v>93.841642228699996</v>
      </c>
      <c r="IZ3">
        <v>-34.975828640800003</v>
      </c>
      <c r="JA3">
        <v>0.3301341847</v>
      </c>
      <c r="JB3">
        <v>-3.449789E-4</v>
      </c>
      <c r="JC3">
        <v>6.8270000000000005E-7</v>
      </c>
      <c r="JD3">
        <v>0.29388080779999998</v>
      </c>
      <c r="JE3">
        <v>0.29315520560000002</v>
      </c>
      <c r="JF3">
        <v>0.12967929319999999</v>
      </c>
      <c r="JG3">
        <v>117.3814347868</v>
      </c>
      <c r="JH3">
        <v>3.5906901576000001</v>
      </c>
      <c r="JI3">
        <v>3.1171658000000001E-3</v>
      </c>
      <c r="JJ3">
        <v>-7.6599499999999997E-5</v>
      </c>
      <c r="JK3">
        <v>3.4027400684</v>
      </c>
      <c r="JL3">
        <v>1.2540752049999999</v>
      </c>
      <c r="JM3">
        <v>0.48942298899999997</v>
      </c>
      <c r="JN3" t="s">
        <v>524</v>
      </c>
      <c r="JQ3">
        <v>1</v>
      </c>
    </row>
    <row r="4" spans="1:277">
      <c r="A4" t="s">
        <v>560</v>
      </c>
      <c r="B4" t="s">
        <v>561</v>
      </c>
      <c r="C4" t="s">
        <v>209</v>
      </c>
      <c r="D4">
        <v>3</v>
      </c>
      <c r="E4" t="s">
        <v>210</v>
      </c>
      <c r="F4" t="s">
        <v>211</v>
      </c>
      <c r="G4" t="s">
        <v>523</v>
      </c>
      <c r="H4" t="s">
        <v>528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0</v>
      </c>
      <c r="R4">
        <v>0.40000000079999998</v>
      </c>
      <c r="S4">
        <v>0.60000000119999997</v>
      </c>
      <c r="T4">
        <v>0.40000000079999998</v>
      </c>
      <c r="U4">
        <v>0.29999999970000002</v>
      </c>
      <c r="V4">
        <v>0.40000000079999998</v>
      </c>
      <c r="W4">
        <v>0.50000000010000001</v>
      </c>
      <c r="X4">
        <v>0.50000000010000001</v>
      </c>
      <c r="Y4">
        <v>0.60000000119999997</v>
      </c>
      <c r="Z4">
        <v>0.60000000119999997</v>
      </c>
      <c r="AA4">
        <v>0.60000000119999997</v>
      </c>
      <c r="AB4">
        <v>0.60000000119999997</v>
      </c>
      <c r="AC4">
        <v>0.90000000089999999</v>
      </c>
      <c r="AD4">
        <v>0.7000000005</v>
      </c>
      <c r="AE4">
        <v>0.7000000005</v>
      </c>
      <c r="AF4">
        <v>0.90000000089999999</v>
      </c>
      <c r="AG4">
        <v>1.2000000006</v>
      </c>
      <c r="AH4">
        <v>1.2999999999</v>
      </c>
      <c r="AI4">
        <v>5.1999999996000001</v>
      </c>
      <c r="AJ4">
        <v>10.700000000699999</v>
      </c>
      <c r="AK4">
        <v>16.700000000100001</v>
      </c>
      <c r="AL4">
        <v>23.600000000400001</v>
      </c>
      <c r="AM4">
        <v>30.800000000499999</v>
      </c>
      <c r="AN4">
        <v>38.500000000599996</v>
      </c>
      <c r="AO4">
        <v>45.799999999900002</v>
      </c>
      <c r="AP4">
        <v>53.5</v>
      </c>
      <c r="AQ4">
        <v>61.4000000005</v>
      </c>
      <c r="AR4">
        <v>68.199999999699997</v>
      </c>
      <c r="AS4">
        <v>76.000000000900002</v>
      </c>
      <c r="AT4">
        <v>83.899999999599999</v>
      </c>
      <c r="AU4">
        <v>91.899999999399995</v>
      </c>
      <c r="AV4">
        <v>100.4000000012</v>
      </c>
      <c r="AW4">
        <v>109.4000000012</v>
      </c>
      <c r="AX4">
        <v>117.2999999999</v>
      </c>
      <c r="AY4">
        <v>125.40000000080001</v>
      </c>
      <c r="AZ4">
        <v>133.49999999990001</v>
      </c>
      <c r="BA4">
        <v>141.9999999998</v>
      </c>
      <c r="BB4">
        <v>150.40000000040001</v>
      </c>
      <c r="BC4">
        <v>159.10000000080001</v>
      </c>
      <c r="BD4">
        <v>166.80000000090001</v>
      </c>
      <c r="BE4">
        <v>174.80000000070001</v>
      </c>
      <c r="BF4">
        <v>182.80000000050001</v>
      </c>
      <c r="BG4">
        <v>191.39999999969999</v>
      </c>
      <c r="BH4">
        <v>199.8000000003</v>
      </c>
      <c r="BI4">
        <v>207.50000000040001</v>
      </c>
      <c r="BJ4">
        <v>216.4000000012</v>
      </c>
      <c r="BK4">
        <v>223.29999999969999</v>
      </c>
      <c r="BL4">
        <v>230.9000000005</v>
      </c>
      <c r="BM4">
        <v>238.99999999959999</v>
      </c>
      <c r="BN4">
        <v>247.00000000119999</v>
      </c>
      <c r="BO4">
        <v>254.89999999989999</v>
      </c>
      <c r="BP4">
        <v>262.80000000040002</v>
      </c>
      <c r="BQ4">
        <v>270.0999999997</v>
      </c>
      <c r="BR4">
        <v>277.10000000119999</v>
      </c>
      <c r="BS4">
        <v>284.40000000049997</v>
      </c>
      <c r="BT4">
        <v>291.99999999950001</v>
      </c>
      <c r="BU4">
        <v>299.1000000002</v>
      </c>
      <c r="BV4">
        <v>306.39999999949998</v>
      </c>
      <c r="BW4">
        <v>313.59999999950003</v>
      </c>
      <c r="BX4">
        <v>320.60000000090002</v>
      </c>
      <c r="BY4">
        <v>326.80000000069998</v>
      </c>
      <c r="BZ4">
        <v>333.39999999949998</v>
      </c>
      <c r="CA4">
        <v>340.09999999939998</v>
      </c>
      <c r="CB4">
        <v>346.80000000119998</v>
      </c>
      <c r="CC4">
        <v>353.10000000029999</v>
      </c>
      <c r="CD4">
        <v>359.50000000049999</v>
      </c>
      <c r="CE4">
        <v>366.2000000004</v>
      </c>
      <c r="CF4">
        <v>371.90000000010002</v>
      </c>
      <c r="CG4">
        <v>377.59999999979999</v>
      </c>
      <c r="CH4">
        <v>383.49999999990001</v>
      </c>
      <c r="CI4">
        <v>389.4</v>
      </c>
      <c r="CJ4">
        <v>395.00000000040001</v>
      </c>
      <c r="CK4">
        <v>400.49999999969998</v>
      </c>
      <c r="CL4">
        <v>406.1000000002</v>
      </c>
      <c r="CM4">
        <v>411.59999999950003</v>
      </c>
      <c r="CN4">
        <v>417.1999999999</v>
      </c>
      <c r="CO4">
        <v>421.9000000012</v>
      </c>
      <c r="CP4">
        <v>426.80000000109999</v>
      </c>
      <c r="CQ4">
        <v>432.00000000070003</v>
      </c>
      <c r="CR4">
        <v>436.70000000020002</v>
      </c>
      <c r="CS4">
        <v>442.30000000059999</v>
      </c>
      <c r="CT4">
        <v>447.20000000049998</v>
      </c>
      <c r="CU4">
        <v>450.20000000110002</v>
      </c>
      <c r="CV4">
        <v>453.10000000060001</v>
      </c>
      <c r="CW4">
        <v>453.49999999959999</v>
      </c>
      <c r="CX4">
        <v>453.7</v>
      </c>
      <c r="CY4">
        <v>453.80000000109999</v>
      </c>
      <c r="CZ4">
        <v>453.90000000039998</v>
      </c>
      <c r="DA4">
        <v>453.80000000109999</v>
      </c>
      <c r="DB4">
        <v>453.7</v>
      </c>
      <c r="DC4">
        <v>453.99999999969998</v>
      </c>
      <c r="DD4">
        <v>453.80000000109999</v>
      </c>
      <c r="DE4">
        <v>453.7</v>
      </c>
      <c r="DF4">
        <v>453.7</v>
      </c>
      <c r="DG4">
        <v>0.7000000005</v>
      </c>
      <c r="DH4">
        <v>1.5999999996000001</v>
      </c>
      <c r="DI4">
        <v>1.5000000003</v>
      </c>
      <c r="DJ4">
        <v>1.400000001</v>
      </c>
      <c r="DK4">
        <v>1.5000000003</v>
      </c>
      <c r="DL4">
        <v>1.2000000006</v>
      </c>
      <c r="DM4">
        <v>1.400000001</v>
      </c>
      <c r="DN4">
        <v>1.5000000003</v>
      </c>
      <c r="DO4">
        <v>1.5000000003</v>
      </c>
      <c r="DP4">
        <v>1.5000000003</v>
      </c>
      <c r="DQ4">
        <v>1.5000000003</v>
      </c>
      <c r="DR4">
        <v>1.5999999996000001</v>
      </c>
      <c r="DS4">
        <v>1.7000000007</v>
      </c>
      <c r="DT4">
        <v>1.8</v>
      </c>
      <c r="DU4">
        <v>1.8</v>
      </c>
      <c r="DV4">
        <v>1.8</v>
      </c>
      <c r="DW4">
        <v>1.9000000011</v>
      </c>
      <c r="DX4">
        <v>5.1000000002999997</v>
      </c>
      <c r="DY4">
        <v>10.8</v>
      </c>
      <c r="DZ4">
        <v>17.1000000009</v>
      </c>
      <c r="EA4">
        <v>24.000000001299998</v>
      </c>
      <c r="EB4">
        <v>31.000000000899998</v>
      </c>
      <c r="EC4">
        <v>38.5999999999</v>
      </c>
      <c r="ED4">
        <v>46.700000000800003</v>
      </c>
      <c r="EE4">
        <v>54.100000001200002</v>
      </c>
      <c r="EF4">
        <v>61.499999999800004</v>
      </c>
      <c r="EG4">
        <v>68.400000000099993</v>
      </c>
      <c r="EH4">
        <v>75.899999999800002</v>
      </c>
      <c r="EI4">
        <v>83.899999999599999</v>
      </c>
      <c r="EJ4">
        <v>92.000000000599996</v>
      </c>
      <c r="EK4">
        <v>100.50000000049999</v>
      </c>
      <c r="EL4">
        <v>108.7000000007</v>
      </c>
      <c r="EM4">
        <v>116.7000000005</v>
      </c>
      <c r="EN4">
        <v>125.2000000004</v>
      </c>
      <c r="EO4">
        <v>133.49999999990001</v>
      </c>
      <c r="EP4">
        <v>141.9000000005</v>
      </c>
      <c r="EQ4">
        <v>150.19999999999999</v>
      </c>
      <c r="ER4">
        <v>159.10000000080001</v>
      </c>
      <c r="ES4">
        <v>166.99999999950001</v>
      </c>
      <c r="ET4">
        <v>174.69999999960001</v>
      </c>
      <c r="EU4">
        <v>182.70000000120001</v>
      </c>
      <c r="EV4">
        <v>191.60000000010001</v>
      </c>
      <c r="EW4">
        <v>200.0000000007</v>
      </c>
      <c r="EX4">
        <v>208.50000000060001</v>
      </c>
      <c r="EY4">
        <v>216.8000000001</v>
      </c>
      <c r="EZ4">
        <v>223.70000000050001</v>
      </c>
      <c r="FA4">
        <v>232.1000000011</v>
      </c>
      <c r="FB4">
        <v>240.20000000019999</v>
      </c>
      <c r="FC4">
        <v>248.30000000109999</v>
      </c>
      <c r="FD4">
        <v>256.30000000090001</v>
      </c>
      <c r="FE4">
        <v>264.90000000010002</v>
      </c>
      <c r="FF4">
        <v>271.70000000110002</v>
      </c>
      <c r="FG4">
        <v>279.20000000089999</v>
      </c>
      <c r="FH4">
        <v>286.79999999990002</v>
      </c>
      <c r="FI4">
        <v>294.5</v>
      </c>
      <c r="FJ4">
        <v>301.80000000109999</v>
      </c>
      <c r="FK4">
        <v>308.80000000069998</v>
      </c>
      <c r="FL4">
        <v>316.50000000080001</v>
      </c>
      <c r="FM4">
        <v>322.70000000060003</v>
      </c>
      <c r="FN4">
        <v>329.99999999990001</v>
      </c>
      <c r="FO4">
        <v>336.50000000130001</v>
      </c>
      <c r="FP4">
        <v>343.69999999940001</v>
      </c>
      <c r="FQ4">
        <v>350.00000000040001</v>
      </c>
      <c r="FR4">
        <v>356.9000000007</v>
      </c>
      <c r="FS4">
        <v>363.40000000020001</v>
      </c>
      <c r="FT4">
        <v>369.6</v>
      </c>
      <c r="FU4">
        <v>375.2000000004</v>
      </c>
      <c r="FV4">
        <v>381.40000000020001</v>
      </c>
      <c r="FW4">
        <v>387.09999999989998</v>
      </c>
      <c r="FX4">
        <v>393.70000000049998</v>
      </c>
      <c r="FY4">
        <v>398.90000000010002</v>
      </c>
      <c r="FZ4">
        <v>404.59999999979999</v>
      </c>
      <c r="GA4">
        <v>410.20000000030001</v>
      </c>
      <c r="GB4">
        <v>415.60000000029999</v>
      </c>
      <c r="GC4">
        <v>420.59999999950003</v>
      </c>
      <c r="GD4">
        <v>425.40000000010002</v>
      </c>
      <c r="GE4">
        <v>430.3</v>
      </c>
      <c r="GF4">
        <v>434.99999999950001</v>
      </c>
      <c r="GG4">
        <v>440.30000000019999</v>
      </c>
      <c r="GH4">
        <v>445.20000000009998</v>
      </c>
      <c r="GI4">
        <v>448.9000000012</v>
      </c>
      <c r="GJ4">
        <v>451.30000000059999</v>
      </c>
      <c r="GK4">
        <v>453.49999999959999</v>
      </c>
      <c r="GL4">
        <v>453.60000000069999</v>
      </c>
      <c r="GM4">
        <v>453.60000000069999</v>
      </c>
      <c r="GN4">
        <v>453.60000000069999</v>
      </c>
      <c r="GO4">
        <v>453.7</v>
      </c>
      <c r="GP4">
        <v>453.7</v>
      </c>
      <c r="GQ4">
        <v>453.80000000109999</v>
      </c>
      <c r="GR4">
        <v>453.60000000069999</v>
      </c>
      <c r="GS4">
        <v>453.60000000069999</v>
      </c>
      <c r="GT4">
        <v>453.60000000069999</v>
      </c>
      <c r="GU4">
        <v>453.80000000109999</v>
      </c>
      <c r="GV4">
        <v>453.80000000109999</v>
      </c>
      <c r="GW4">
        <v>1</v>
      </c>
      <c r="GX4">
        <v>112.4</v>
      </c>
      <c r="GY4">
        <v>109.4000000012</v>
      </c>
      <c r="GZ4">
        <v>109.4000000012</v>
      </c>
      <c r="HA4">
        <v>116.7000000005</v>
      </c>
      <c r="HB4">
        <v>111.2185654484</v>
      </c>
      <c r="HC4">
        <v>-7.2999999992999998</v>
      </c>
      <c r="HD4">
        <v>453.79998898309998</v>
      </c>
      <c r="HE4">
        <v>286.43270162980002</v>
      </c>
      <c r="HF4">
        <v>94.191207581300006</v>
      </c>
      <c r="HG4">
        <v>453.99999999969998</v>
      </c>
      <c r="HH4">
        <v>453.80000000109999</v>
      </c>
      <c r="HI4">
        <v>453.99999999969998</v>
      </c>
      <c r="HJ4">
        <v>453.80000000109999</v>
      </c>
      <c r="HK4">
        <v>117.3020527859</v>
      </c>
      <c r="HL4">
        <v>3.3416313730999998</v>
      </c>
      <c r="HM4">
        <v>3.2395549910999999</v>
      </c>
      <c r="HN4">
        <v>3.2916886045</v>
      </c>
      <c r="HO4">
        <v>3.1782864768999999</v>
      </c>
      <c r="HP4">
        <v>3.5241202334000001</v>
      </c>
      <c r="HQ4">
        <v>2.2923920933000002</v>
      </c>
      <c r="HR4">
        <v>17.027357867100001</v>
      </c>
      <c r="HS4">
        <v>-28.152492668600001</v>
      </c>
      <c r="HT4">
        <v>-192</v>
      </c>
      <c r="HU4">
        <v>397.65126707809998</v>
      </c>
      <c r="HV4">
        <v>89.149560117299998</v>
      </c>
      <c r="HW4">
        <v>608</v>
      </c>
      <c r="HX4">
        <v>17.027357867100001</v>
      </c>
      <c r="HY4">
        <v>-28.152492668600001</v>
      </c>
      <c r="HZ4">
        <v>-192</v>
      </c>
      <c r="IA4">
        <v>397.65126707809998</v>
      </c>
      <c r="IB4">
        <v>89.149560117299998</v>
      </c>
      <c r="IC4">
        <v>608</v>
      </c>
      <c r="ID4">
        <v>56.148732922999997</v>
      </c>
      <c r="IE4">
        <v>1.2023909216999999</v>
      </c>
      <c r="IF4">
        <v>-37.536656891500002</v>
      </c>
      <c r="IG4">
        <v>-256</v>
      </c>
      <c r="IH4">
        <v>419.85231379409998</v>
      </c>
      <c r="II4">
        <v>98.533724340199996</v>
      </c>
      <c r="IJ4">
        <v>672</v>
      </c>
      <c r="IK4">
        <v>380.62390921100001</v>
      </c>
      <c r="IL4">
        <v>117.3020527859</v>
      </c>
      <c r="IM4">
        <v>403.8656566775</v>
      </c>
      <c r="IN4">
        <v>126.6862170088</v>
      </c>
      <c r="IO4">
        <v>6.3000000008999999</v>
      </c>
      <c r="IP4">
        <v>5.6000000003999997</v>
      </c>
      <c r="IQ4">
        <v>9</v>
      </c>
      <c r="IR4">
        <v>5.5696463609000002</v>
      </c>
      <c r="IS4">
        <v>5.5696463609000002</v>
      </c>
      <c r="IT4">
        <v>6.4000000002000004</v>
      </c>
      <c r="IU4">
        <v>-30.4985337243</v>
      </c>
      <c r="IV4">
        <v>10.299999999900001</v>
      </c>
      <c r="IW4">
        <v>68.035190615800005</v>
      </c>
      <c r="IX4">
        <v>9.5000000001</v>
      </c>
      <c r="IY4">
        <v>96.187683284499997</v>
      </c>
      <c r="IZ4">
        <v>-33.617340007400003</v>
      </c>
      <c r="JA4">
        <v>0.33286991929999998</v>
      </c>
      <c r="JB4">
        <v>-3.4440049999999998E-4</v>
      </c>
      <c r="JC4">
        <v>7.1139999999999998E-7</v>
      </c>
      <c r="JD4">
        <v>0.299255031</v>
      </c>
      <c r="JE4">
        <v>0.2047857277</v>
      </c>
      <c r="JF4">
        <v>0.1003498618</v>
      </c>
      <c r="JG4">
        <v>111.23162729649999</v>
      </c>
      <c r="JH4">
        <v>3.5241202334000001</v>
      </c>
      <c r="JI4">
        <v>3.0100642999999999E-3</v>
      </c>
      <c r="JJ4">
        <v>-7.4169600000000002E-5</v>
      </c>
      <c r="JK4">
        <v>3.3416313730999998</v>
      </c>
      <c r="JL4">
        <v>1.1335536491</v>
      </c>
      <c r="JM4">
        <v>0.51655337189999995</v>
      </c>
      <c r="JN4" t="s">
        <v>524</v>
      </c>
      <c r="JQ4">
        <v>1</v>
      </c>
    </row>
    <row r="5" spans="1:277">
      <c r="A5" t="s">
        <v>570</v>
      </c>
      <c r="B5" t="s">
        <v>571</v>
      </c>
      <c r="C5" t="s">
        <v>209</v>
      </c>
      <c r="D5">
        <v>3</v>
      </c>
      <c r="E5" t="s">
        <v>210</v>
      </c>
      <c r="F5" t="s">
        <v>211</v>
      </c>
      <c r="G5" t="s">
        <v>523</v>
      </c>
      <c r="H5" t="s">
        <v>528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0</v>
      </c>
      <c r="R5">
        <v>0.29999999970000002</v>
      </c>
      <c r="S5">
        <v>0.20000000039999999</v>
      </c>
      <c r="T5">
        <v>0.40000000079999998</v>
      </c>
      <c r="U5">
        <v>0.29999999970000002</v>
      </c>
      <c r="V5">
        <v>0.40000000079999998</v>
      </c>
      <c r="W5">
        <v>0.29999999970000002</v>
      </c>
      <c r="X5">
        <v>0.29999999970000002</v>
      </c>
      <c r="Y5">
        <v>0.40000000079999998</v>
      </c>
      <c r="Z5">
        <v>0.50000000010000001</v>
      </c>
      <c r="AA5">
        <v>0.40000000079999998</v>
      </c>
      <c r="AB5">
        <v>0.50000000010000001</v>
      </c>
      <c r="AC5">
        <v>0.59999999940000004</v>
      </c>
      <c r="AD5">
        <v>0.50000000010000001</v>
      </c>
      <c r="AE5">
        <v>0.50000000010000001</v>
      </c>
      <c r="AF5">
        <v>0.59999999940000004</v>
      </c>
      <c r="AG5">
        <v>0.59999999940000004</v>
      </c>
      <c r="AH5">
        <v>0.59999999940000004</v>
      </c>
      <c r="AI5">
        <v>2.3000000000999998</v>
      </c>
      <c r="AJ5">
        <v>8.4000000006000004</v>
      </c>
      <c r="AK5">
        <v>15.1000000005</v>
      </c>
      <c r="AL5">
        <v>21.399999999599999</v>
      </c>
      <c r="AM5">
        <v>28.8999999993</v>
      </c>
      <c r="AN5">
        <v>36.500000000199996</v>
      </c>
      <c r="AO5">
        <v>44.900000000799999</v>
      </c>
      <c r="AP5">
        <v>52.4000000005</v>
      </c>
      <c r="AQ5">
        <v>59.999999999499998</v>
      </c>
      <c r="AR5">
        <v>67.699999999599996</v>
      </c>
      <c r="AS5">
        <v>75.000000000699998</v>
      </c>
      <c r="AT5">
        <v>83.300000000200001</v>
      </c>
      <c r="AU5">
        <v>91.500000000499995</v>
      </c>
      <c r="AV5">
        <v>100.3000000001</v>
      </c>
      <c r="AW5">
        <v>108.8</v>
      </c>
      <c r="AX5">
        <v>117.39999999920001</v>
      </c>
      <c r="AY5">
        <v>124.7999999996</v>
      </c>
      <c r="AZ5">
        <v>133.7999999996</v>
      </c>
      <c r="BA5">
        <v>142.29999999949999</v>
      </c>
      <c r="BB5">
        <v>151.20000000019999</v>
      </c>
      <c r="BC5">
        <v>159.6000000009</v>
      </c>
      <c r="BD5">
        <v>167.7</v>
      </c>
      <c r="BE5">
        <v>176.1999999999</v>
      </c>
      <c r="BF5">
        <v>183.9</v>
      </c>
      <c r="BG5">
        <v>192.30000000059999</v>
      </c>
      <c r="BH5">
        <v>201.39999999989999</v>
      </c>
      <c r="BI5">
        <v>209.80000000050001</v>
      </c>
      <c r="BJ5">
        <v>217.80000000039999</v>
      </c>
      <c r="BK5">
        <v>225.89999999950001</v>
      </c>
      <c r="BL5">
        <v>233.39999999919999</v>
      </c>
      <c r="BM5">
        <v>241.50000000009999</v>
      </c>
      <c r="BN5">
        <v>250.40000000079999</v>
      </c>
      <c r="BO5">
        <v>258.49999999990001</v>
      </c>
      <c r="BP5">
        <v>265.99999999959999</v>
      </c>
      <c r="BQ5">
        <v>273.69999999970003</v>
      </c>
      <c r="BR5">
        <v>281.4999999991</v>
      </c>
      <c r="BS5">
        <v>288.30000000019999</v>
      </c>
      <c r="BT5">
        <v>296.7000000008</v>
      </c>
      <c r="BU5">
        <v>304.29999999979998</v>
      </c>
      <c r="BV5">
        <v>311.70000000020002</v>
      </c>
      <c r="BW5">
        <v>318.69999999980001</v>
      </c>
      <c r="BX5">
        <v>325.69999999940001</v>
      </c>
      <c r="BY5">
        <v>332.5999999997</v>
      </c>
      <c r="BZ5">
        <v>338.99999999990001</v>
      </c>
      <c r="CA5">
        <v>346.60000000079998</v>
      </c>
      <c r="CB5">
        <v>353.49999999929997</v>
      </c>
      <c r="CC5">
        <v>360.00000000059998</v>
      </c>
      <c r="CD5">
        <v>366</v>
      </c>
      <c r="CE5">
        <v>372.40000000020001</v>
      </c>
      <c r="CF5">
        <v>379.00000000080001</v>
      </c>
      <c r="CG5">
        <v>385.29999999990002</v>
      </c>
      <c r="CH5">
        <v>390.6999999999</v>
      </c>
      <c r="CI5">
        <v>397.3999999998</v>
      </c>
      <c r="CJ5">
        <v>403.39999999920002</v>
      </c>
      <c r="CK5">
        <v>409.70000000020002</v>
      </c>
      <c r="CL5">
        <v>415.0000000009</v>
      </c>
      <c r="CM5">
        <v>420.79999999990002</v>
      </c>
      <c r="CN5">
        <v>426.4000000003</v>
      </c>
      <c r="CO5">
        <v>432.1</v>
      </c>
      <c r="CP5">
        <v>437.79999999969999</v>
      </c>
      <c r="CQ5">
        <v>441.30000000040002</v>
      </c>
      <c r="CR5">
        <v>445.20000000009998</v>
      </c>
      <c r="CS5">
        <v>448.8000000001</v>
      </c>
      <c r="CT5">
        <v>448.7000000008</v>
      </c>
      <c r="CU5">
        <v>448.8000000001</v>
      </c>
      <c r="CV5">
        <v>448.89999999939999</v>
      </c>
      <c r="CW5">
        <v>448.89999999939999</v>
      </c>
      <c r="CX5">
        <v>449.00000000049999</v>
      </c>
      <c r="CY5">
        <v>449.00000000049999</v>
      </c>
      <c r="CZ5">
        <v>449.00000000049999</v>
      </c>
      <c r="DA5">
        <v>449.20000000089999</v>
      </c>
      <c r="DB5">
        <v>449.20000000089999</v>
      </c>
      <c r="DC5">
        <v>449.09999999979999</v>
      </c>
      <c r="DD5">
        <v>449.20000000089999</v>
      </c>
      <c r="DE5">
        <v>449.09999999979999</v>
      </c>
      <c r="DF5">
        <v>448.89999999939999</v>
      </c>
      <c r="DG5">
        <v>0.59999999940000004</v>
      </c>
      <c r="DH5">
        <v>1.0999999995</v>
      </c>
      <c r="DI5">
        <v>1.0000000002</v>
      </c>
      <c r="DJ5">
        <v>1.0999999995</v>
      </c>
      <c r="DK5">
        <v>1.2999999999</v>
      </c>
      <c r="DL5">
        <v>1.2999999999</v>
      </c>
      <c r="DM5">
        <v>1.2999999999</v>
      </c>
      <c r="DN5">
        <v>1.2999999999</v>
      </c>
      <c r="DO5">
        <v>1.2999999999</v>
      </c>
      <c r="DP5">
        <v>1.2999999999</v>
      </c>
      <c r="DQ5">
        <v>1.2999999999</v>
      </c>
      <c r="DR5">
        <v>1.2999999999</v>
      </c>
      <c r="DS5">
        <v>1.2999999999</v>
      </c>
      <c r="DT5">
        <v>1.2000000006</v>
      </c>
      <c r="DU5">
        <v>1.2000000006</v>
      </c>
      <c r="DV5">
        <v>1.2999999999</v>
      </c>
      <c r="DW5">
        <v>1.2999999999</v>
      </c>
      <c r="DX5">
        <v>1.2999999999</v>
      </c>
      <c r="DY5">
        <v>6.6999999999000002</v>
      </c>
      <c r="DZ5">
        <v>13.1000000001</v>
      </c>
      <c r="EA5">
        <v>20.0999999997</v>
      </c>
      <c r="EB5">
        <v>27.599999999400001</v>
      </c>
      <c r="EC5">
        <v>35.400000000699997</v>
      </c>
      <c r="ED5">
        <v>43.600000000900003</v>
      </c>
      <c r="EE5">
        <v>51.199999999900001</v>
      </c>
      <c r="EF5">
        <v>58.699999999600003</v>
      </c>
      <c r="EG5">
        <v>66.300000000400004</v>
      </c>
      <c r="EH5">
        <v>73.500000000399993</v>
      </c>
      <c r="EI5">
        <v>81.799999999899995</v>
      </c>
      <c r="EJ5">
        <v>90.799999999899995</v>
      </c>
      <c r="EK5">
        <v>98.599999999399998</v>
      </c>
      <c r="EL5">
        <v>106.9000000007</v>
      </c>
      <c r="EM5">
        <v>115.2999999995</v>
      </c>
      <c r="EN5">
        <v>123.2</v>
      </c>
      <c r="EO5">
        <v>131.9000000003</v>
      </c>
      <c r="EP5">
        <v>141.29999999930001</v>
      </c>
      <c r="EQ5">
        <v>149.40000000020001</v>
      </c>
      <c r="ER5">
        <v>158.10000000060001</v>
      </c>
      <c r="ES5">
        <v>166.1000000004</v>
      </c>
      <c r="ET5">
        <v>173.8999999998</v>
      </c>
      <c r="EU5">
        <v>182.69999999940001</v>
      </c>
      <c r="EV5">
        <v>192.0000000009</v>
      </c>
      <c r="EW5">
        <v>200.30000000039999</v>
      </c>
      <c r="EX5">
        <v>208.8000000003</v>
      </c>
      <c r="EY5">
        <v>216.8000000001</v>
      </c>
      <c r="EZ5">
        <v>225.2000000008</v>
      </c>
      <c r="FA5">
        <v>232.59999999940001</v>
      </c>
      <c r="FB5">
        <v>241.79999999980001</v>
      </c>
      <c r="FC5">
        <v>249.7999999996</v>
      </c>
      <c r="FD5">
        <v>257.99999999980002</v>
      </c>
      <c r="FE5">
        <v>265.6999999999</v>
      </c>
      <c r="FF5">
        <v>273.39999999999998</v>
      </c>
      <c r="FG5">
        <v>280.60000000000002</v>
      </c>
      <c r="FH5">
        <v>288.50000000059998</v>
      </c>
      <c r="FI5">
        <v>296.8000000001</v>
      </c>
      <c r="FJ5">
        <v>304.40000000089998</v>
      </c>
      <c r="FK5">
        <v>311.90000000060002</v>
      </c>
      <c r="FL5">
        <v>318.80000000090001</v>
      </c>
      <c r="FM5">
        <v>326.1000000002</v>
      </c>
      <c r="FN5">
        <v>333.30000000019999</v>
      </c>
      <c r="FO5">
        <v>339.5999999993</v>
      </c>
      <c r="FP5">
        <v>347.29999999939997</v>
      </c>
      <c r="FQ5">
        <v>353.99999999940002</v>
      </c>
      <c r="FR5">
        <v>361.10000000010001</v>
      </c>
      <c r="FS5">
        <v>367.09999999950003</v>
      </c>
      <c r="FT5">
        <v>373.49999999969998</v>
      </c>
      <c r="FU5">
        <v>379.99999999919999</v>
      </c>
      <c r="FV5">
        <v>385.89999999930001</v>
      </c>
      <c r="FW5">
        <v>392.59999999920001</v>
      </c>
      <c r="FX5">
        <v>398.49999999929997</v>
      </c>
      <c r="FY5">
        <v>404.59999999979999</v>
      </c>
      <c r="FZ5">
        <v>410.59999999920001</v>
      </c>
      <c r="GA5">
        <v>415.9</v>
      </c>
      <c r="GB5">
        <v>421.20000000070002</v>
      </c>
      <c r="GC5">
        <v>426.90000000039998</v>
      </c>
      <c r="GD5">
        <v>432.50000000080001</v>
      </c>
      <c r="GE5">
        <v>437.79999999969999</v>
      </c>
      <c r="GF5">
        <v>441.00000000070003</v>
      </c>
      <c r="GG5">
        <v>444.60000000069999</v>
      </c>
      <c r="GH5">
        <v>448.5999999997</v>
      </c>
      <c r="GI5">
        <v>448.5999999997</v>
      </c>
      <c r="GJ5">
        <v>448.50000000040001</v>
      </c>
      <c r="GK5">
        <v>448.8000000001</v>
      </c>
      <c r="GL5">
        <v>448.8000000001</v>
      </c>
      <c r="GM5">
        <v>448.89999999939999</v>
      </c>
      <c r="GN5">
        <v>448.7000000008</v>
      </c>
      <c r="GO5">
        <v>448.7000000008</v>
      </c>
      <c r="GP5">
        <v>448.5999999997</v>
      </c>
      <c r="GQ5">
        <v>448.89999999939999</v>
      </c>
      <c r="GR5">
        <v>449.09999999979999</v>
      </c>
      <c r="GS5">
        <v>448.89999999939999</v>
      </c>
      <c r="GT5">
        <v>449.20000000089999</v>
      </c>
      <c r="GU5">
        <v>449.00000000049999</v>
      </c>
      <c r="GV5">
        <v>449.00000000049999</v>
      </c>
      <c r="GW5">
        <v>1</v>
      </c>
      <c r="GX5">
        <v>111.2000000012</v>
      </c>
      <c r="GY5">
        <v>108.8</v>
      </c>
      <c r="GZ5">
        <v>108.8</v>
      </c>
      <c r="HA5">
        <v>115.2999999995</v>
      </c>
      <c r="HB5">
        <v>110.4213824575</v>
      </c>
      <c r="HC5">
        <v>-6.4999999995</v>
      </c>
      <c r="HD5">
        <v>448.99994434600001</v>
      </c>
      <c r="HE5">
        <v>304.97621326820001</v>
      </c>
      <c r="HF5">
        <v>95.125478627999996</v>
      </c>
      <c r="HG5">
        <v>449.20000000089999</v>
      </c>
      <c r="HH5">
        <v>449.20000000089999</v>
      </c>
      <c r="HI5">
        <v>449.20000000089999</v>
      </c>
      <c r="HJ5">
        <v>449.20000000089999</v>
      </c>
      <c r="HK5">
        <v>110.26392961880001</v>
      </c>
      <c r="HL5">
        <v>3.3830157313</v>
      </c>
      <c r="HM5">
        <v>3.3136579140000002</v>
      </c>
      <c r="HN5">
        <v>3.3517340668000002</v>
      </c>
      <c r="HO5">
        <v>3.2440478498999998</v>
      </c>
      <c r="HP5">
        <v>3.5832230412000001</v>
      </c>
      <c r="HQ5">
        <v>2.2561143442999998</v>
      </c>
      <c r="HR5">
        <v>15.2959038295</v>
      </c>
      <c r="HS5">
        <v>-28.152492668600001</v>
      </c>
      <c r="HT5">
        <v>-192</v>
      </c>
      <c r="HU5">
        <v>415.3975957257</v>
      </c>
      <c r="HV5">
        <v>93.841642228699996</v>
      </c>
      <c r="HW5">
        <v>640</v>
      </c>
      <c r="HX5">
        <v>15.2959038295</v>
      </c>
      <c r="HY5">
        <v>-28.152492668600001</v>
      </c>
      <c r="HZ5">
        <v>-192</v>
      </c>
      <c r="IA5">
        <v>415.3975957257</v>
      </c>
      <c r="IB5">
        <v>93.841642228699996</v>
      </c>
      <c r="IC5">
        <v>640</v>
      </c>
      <c r="ID5">
        <v>33.802404275199997</v>
      </c>
      <c r="IE5">
        <v>0.60148040899999999</v>
      </c>
      <c r="IF5">
        <v>-37.536656891500002</v>
      </c>
      <c r="IG5">
        <v>-256</v>
      </c>
      <c r="IH5">
        <v>437.61917853929998</v>
      </c>
      <c r="II5">
        <v>103.22580645159999</v>
      </c>
      <c r="IJ5">
        <v>704</v>
      </c>
      <c r="IK5">
        <v>400.10169189620001</v>
      </c>
      <c r="IL5">
        <v>121.9941348974</v>
      </c>
      <c r="IM5">
        <v>424.21167631370002</v>
      </c>
      <c r="IN5">
        <v>131.37829912020001</v>
      </c>
      <c r="IO5">
        <v>6.9999999996</v>
      </c>
      <c r="IP5">
        <v>5.6999999997000002</v>
      </c>
      <c r="IQ5">
        <v>9.3999999990000003</v>
      </c>
      <c r="IR5">
        <v>6.2341673447000003</v>
      </c>
      <c r="IS5">
        <v>6.2341673447000003</v>
      </c>
      <c r="IT5">
        <v>4.6999999995000001</v>
      </c>
      <c r="IU5">
        <v>-30.4985337243</v>
      </c>
      <c r="IV5">
        <v>8.4999999999</v>
      </c>
      <c r="IW5">
        <v>51.612903225799997</v>
      </c>
      <c r="IX5">
        <v>6.1000000004999997</v>
      </c>
      <c r="IY5">
        <v>98.533724340199996</v>
      </c>
      <c r="IZ5">
        <v>-32.8655046971</v>
      </c>
      <c r="JA5">
        <v>0.32638407400000002</v>
      </c>
      <c r="JB5">
        <v>-3.2892620000000002E-4</v>
      </c>
      <c r="JC5">
        <v>6.6629999999999998E-7</v>
      </c>
      <c r="JD5">
        <v>0.2955942506</v>
      </c>
      <c r="JE5">
        <v>0.22975478269999999</v>
      </c>
      <c r="JF5">
        <v>9.5856499999999997E-2</v>
      </c>
      <c r="JG5">
        <v>110.7538983555</v>
      </c>
      <c r="JH5">
        <v>3.5832230412000001</v>
      </c>
      <c r="JI5">
        <v>3.0019942000000001E-3</v>
      </c>
      <c r="JJ5">
        <v>-7.15602E-5</v>
      </c>
      <c r="JK5">
        <v>3.3830157313</v>
      </c>
      <c r="JL5">
        <v>1.4427004999999999</v>
      </c>
      <c r="JM5">
        <v>0.57112224479999996</v>
      </c>
      <c r="JN5" t="s">
        <v>524</v>
      </c>
      <c r="JQ5">
        <v>1</v>
      </c>
    </row>
    <row r="6" spans="1:277">
      <c r="A6" t="s">
        <v>582</v>
      </c>
      <c r="B6" t="s">
        <v>583</v>
      </c>
      <c r="C6" t="s">
        <v>209</v>
      </c>
      <c r="D6">
        <v>3</v>
      </c>
      <c r="E6" t="s">
        <v>210</v>
      </c>
      <c r="F6" t="s">
        <v>211</v>
      </c>
      <c r="G6" t="s">
        <v>523</v>
      </c>
      <c r="H6" t="s">
        <v>528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0</v>
      </c>
      <c r="R6">
        <v>0.59999999940000004</v>
      </c>
      <c r="S6">
        <v>0.50000000010000001</v>
      </c>
      <c r="T6">
        <v>0.40000000079999998</v>
      </c>
      <c r="U6">
        <v>0.90000000089999999</v>
      </c>
      <c r="V6">
        <v>0.7000000005</v>
      </c>
      <c r="W6">
        <v>0.79999999980000003</v>
      </c>
      <c r="X6">
        <v>1.0000000002</v>
      </c>
      <c r="Y6">
        <v>0.90000000089999999</v>
      </c>
      <c r="Z6">
        <v>0.90000000089999999</v>
      </c>
      <c r="AA6">
        <v>0.7000000005</v>
      </c>
      <c r="AB6">
        <v>0.90000000089999999</v>
      </c>
      <c r="AC6">
        <v>1.0999999995</v>
      </c>
      <c r="AD6">
        <v>1.3999999992000001</v>
      </c>
      <c r="AE6">
        <v>1.2999999999</v>
      </c>
      <c r="AF6">
        <v>1.2999999999</v>
      </c>
      <c r="AG6">
        <v>2.8999999994999999</v>
      </c>
      <c r="AH6">
        <v>7.7000000001000002</v>
      </c>
      <c r="AI6">
        <v>13.8999999999</v>
      </c>
      <c r="AJ6">
        <v>21.199999999199999</v>
      </c>
      <c r="AK6">
        <v>28.0999999995</v>
      </c>
      <c r="AL6">
        <v>35.299999999599997</v>
      </c>
      <c r="AM6">
        <v>42.799999999299999</v>
      </c>
      <c r="AN6">
        <v>49.6000000003</v>
      </c>
      <c r="AO6">
        <v>56.399999999499997</v>
      </c>
      <c r="AP6">
        <v>63.299999999800001</v>
      </c>
      <c r="AQ6">
        <v>71.400000000700004</v>
      </c>
      <c r="AR6">
        <v>78.999999999699995</v>
      </c>
      <c r="AS6">
        <v>87.100000000600005</v>
      </c>
      <c r="AT6">
        <v>94.999999999300002</v>
      </c>
      <c r="AU6">
        <v>102.3999999998</v>
      </c>
      <c r="AV6">
        <v>109.8000000002</v>
      </c>
      <c r="AW6">
        <v>118.00000000039999</v>
      </c>
      <c r="AX6">
        <v>126.50000000030001</v>
      </c>
      <c r="AY6">
        <v>134.70000000050001</v>
      </c>
      <c r="AZ6">
        <v>143</v>
      </c>
      <c r="BA6">
        <v>151.09999999909999</v>
      </c>
      <c r="BB6">
        <v>158.4000000003</v>
      </c>
      <c r="BC6">
        <v>166.3000000008</v>
      </c>
      <c r="BD6">
        <v>174.9999999993</v>
      </c>
      <c r="BE6">
        <v>182.8999999998</v>
      </c>
      <c r="BF6">
        <v>191.0000000007</v>
      </c>
      <c r="BG6">
        <v>199.50000000060001</v>
      </c>
      <c r="BH6">
        <v>206.89999999919999</v>
      </c>
      <c r="BI6">
        <v>214.40000000079999</v>
      </c>
      <c r="BJ6">
        <v>222.20000000019999</v>
      </c>
      <c r="BK6">
        <v>230.60000000080001</v>
      </c>
      <c r="BL6">
        <v>238.7999999992</v>
      </c>
      <c r="BM6">
        <v>246.4999999993</v>
      </c>
      <c r="BN6">
        <v>254.30000000050001</v>
      </c>
      <c r="BO6">
        <v>261.2000000008</v>
      </c>
      <c r="BP6">
        <v>268.59999999939998</v>
      </c>
      <c r="BQ6">
        <v>276.49999999990001</v>
      </c>
      <c r="BR6">
        <v>283.7999999992</v>
      </c>
      <c r="BS6">
        <v>291.60000000050002</v>
      </c>
      <c r="BT6">
        <v>298.80000000050001</v>
      </c>
      <c r="BU6">
        <v>306.30000000019999</v>
      </c>
      <c r="BV6">
        <v>312.5999999993</v>
      </c>
      <c r="BW6">
        <v>319.49999999959999</v>
      </c>
      <c r="BX6">
        <v>326.89999999999998</v>
      </c>
      <c r="BY6">
        <v>333.69999999919997</v>
      </c>
      <c r="BZ6">
        <v>340.50000000019998</v>
      </c>
      <c r="CA6">
        <v>347.20000000020002</v>
      </c>
      <c r="CB6">
        <v>353.90000000010002</v>
      </c>
      <c r="CC6">
        <v>360.39999999960003</v>
      </c>
      <c r="CD6">
        <v>366.50000000009999</v>
      </c>
      <c r="CE6">
        <v>372.7999999992</v>
      </c>
      <c r="CF6">
        <v>378.69999999930002</v>
      </c>
      <c r="CG6">
        <v>384.50000000009999</v>
      </c>
      <c r="CH6">
        <v>390.60000000060001</v>
      </c>
      <c r="CI6">
        <v>396.69999999930002</v>
      </c>
      <c r="CJ6">
        <v>402.59999999939998</v>
      </c>
      <c r="CK6">
        <v>408.4000000003</v>
      </c>
      <c r="CL6">
        <v>413.80000000029997</v>
      </c>
      <c r="CM6">
        <v>418.99999999990001</v>
      </c>
      <c r="CN6">
        <v>424.60000000029999</v>
      </c>
      <c r="CO6">
        <v>429.70000000060003</v>
      </c>
      <c r="CP6">
        <v>434.99999999950001</v>
      </c>
      <c r="CQ6">
        <v>440.30000000019999</v>
      </c>
      <c r="CR6">
        <v>445.40000000049997</v>
      </c>
      <c r="CS6">
        <v>450.50000000080001</v>
      </c>
      <c r="CT6">
        <v>455.2999999996</v>
      </c>
      <c r="CU6">
        <v>457.20000000070002</v>
      </c>
      <c r="CV6">
        <v>458.00000000049999</v>
      </c>
      <c r="CW6">
        <v>458.50000000059998</v>
      </c>
      <c r="CX6">
        <v>458.09999999979999</v>
      </c>
      <c r="CY6">
        <v>458.39999999949998</v>
      </c>
      <c r="CZ6">
        <v>458.50000000059998</v>
      </c>
      <c r="DA6">
        <v>458.89999999960003</v>
      </c>
      <c r="DB6">
        <v>458.50000000059998</v>
      </c>
      <c r="DC6">
        <v>458.89999999960003</v>
      </c>
      <c r="DD6">
        <v>458.69999999919997</v>
      </c>
      <c r="DE6">
        <v>459.00000000070003</v>
      </c>
      <c r="DF6">
        <v>458.69999999919997</v>
      </c>
      <c r="DG6">
        <v>0.7000000005</v>
      </c>
      <c r="DH6">
        <v>1.7000000007</v>
      </c>
      <c r="DI6">
        <v>1.5999999996000001</v>
      </c>
      <c r="DJ6">
        <v>1.3999999992000001</v>
      </c>
      <c r="DK6">
        <v>1.5000000003</v>
      </c>
      <c r="DL6">
        <v>1.5999999996000001</v>
      </c>
      <c r="DM6">
        <v>1.7000000007</v>
      </c>
      <c r="DN6">
        <v>1.8999999993000001</v>
      </c>
      <c r="DO6">
        <v>1.8999999993000001</v>
      </c>
      <c r="DP6">
        <v>2.0000000004</v>
      </c>
      <c r="DQ6">
        <v>1.8999999993000001</v>
      </c>
      <c r="DR6">
        <v>1.8</v>
      </c>
      <c r="DS6">
        <v>1.8999999993000001</v>
      </c>
      <c r="DT6">
        <v>2.0000000004</v>
      </c>
      <c r="DU6">
        <v>2.0000000004</v>
      </c>
      <c r="DV6">
        <v>2.2000000007999998</v>
      </c>
      <c r="DW6">
        <v>6.4000000002000004</v>
      </c>
      <c r="DX6">
        <v>13.1000000001</v>
      </c>
      <c r="DY6">
        <v>20.300000000099999</v>
      </c>
      <c r="DZ6">
        <v>27.299999999699999</v>
      </c>
      <c r="EA6">
        <v>34.600000000900003</v>
      </c>
      <c r="EB6">
        <v>41.600000000500003</v>
      </c>
      <c r="EC6">
        <v>48.000000000699998</v>
      </c>
      <c r="ED6">
        <v>55.5000000004</v>
      </c>
      <c r="EE6">
        <v>62.5</v>
      </c>
      <c r="EF6">
        <v>70.499999999799996</v>
      </c>
      <c r="EG6">
        <v>77.999999999500005</v>
      </c>
      <c r="EH6">
        <v>85.9</v>
      </c>
      <c r="EI6">
        <v>93.800000000599994</v>
      </c>
      <c r="EJ6">
        <v>100.7000000009</v>
      </c>
      <c r="EK6">
        <v>108.39999999920001</v>
      </c>
      <c r="EL6">
        <v>116</v>
      </c>
      <c r="EM6">
        <v>124.70000000029999</v>
      </c>
      <c r="EN6">
        <v>133.20000000019999</v>
      </c>
      <c r="EO6">
        <v>141.49999999970001</v>
      </c>
      <c r="EP6">
        <v>149.9000000003</v>
      </c>
      <c r="EQ6">
        <v>157.3000000008</v>
      </c>
      <c r="ER6">
        <v>164.80000000050001</v>
      </c>
      <c r="ES6">
        <v>173.39999999969999</v>
      </c>
      <c r="ET6">
        <v>181.30000000019999</v>
      </c>
      <c r="EU6">
        <v>189.89999999939999</v>
      </c>
      <c r="EV6">
        <v>198.09999999959999</v>
      </c>
      <c r="EW6">
        <v>206.00000000009999</v>
      </c>
      <c r="EX6">
        <v>213.4000000005</v>
      </c>
      <c r="EY6">
        <v>221.9999999998</v>
      </c>
      <c r="EZ6">
        <v>230.10000000069999</v>
      </c>
      <c r="FA6">
        <v>238.10000000049999</v>
      </c>
      <c r="FB6">
        <v>246.10000000030001</v>
      </c>
      <c r="FC6">
        <v>254.30000000050001</v>
      </c>
      <c r="FD6">
        <v>261.2000000008</v>
      </c>
      <c r="FE6">
        <v>268.70000000049998</v>
      </c>
      <c r="FF6">
        <v>276.7999999996</v>
      </c>
      <c r="FG6">
        <v>284.29999999929998</v>
      </c>
      <c r="FH6">
        <v>291.99999999950001</v>
      </c>
      <c r="FI6">
        <v>299.39999999989999</v>
      </c>
      <c r="FJ6">
        <v>306.09999999979999</v>
      </c>
      <c r="FK6">
        <v>313.00000000009999</v>
      </c>
      <c r="FL6">
        <v>320.70000000020002</v>
      </c>
      <c r="FM6">
        <v>327.69999999980001</v>
      </c>
      <c r="FN6">
        <v>334.69999999940001</v>
      </c>
      <c r="FO6">
        <v>341.5999999997</v>
      </c>
      <c r="FP6">
        <v>348.2000000004</v>
      </c>
      <c r="FQ6">
        <v>355.2</v>
      </c>
      <c r="FR6">
        <v>361.6000000002</v>
      </c>
      <c r="FS6">
        <v>367.70000000070002</v>
      </c>
      <c r="FT6">
        <v>373.99999999980002</v>
      </c>
      <c r="FU6">
        <v>380.10000000029999</v>
      </c>
      <c r="FV6">
        <v>386.3000000001</v>
      </c>
      <c r="FW6">
        <v>392.49999999990001</v>
      </c>
      <c r="FX6">
        <v>398.30000000069998</v>
      </c>
      <c r="FY6">
        <v>404.0999999997</v>
      </c>
      <c r="FZ6">
        <v>409.90000000060002</v>
      </c>
      <c r="GA6">
        <v>415.60000000029999</v>
      </c>
      <c r="GB6">
        <v>420.70000000060003</v>
      </c>
      <c r="GC6">
        <v>426.10000000060001</v>
      </c>
      <c r="GD6">
        <v>431.20000000089999</v>
      </c>
      <c r="GE6">
        <v>436.40000000049997</v>
      </c>
      <c r="GF6">
        <v>441.30000000040002</v>
      </c>
      <c r="GG6">
        <v>446.7000000004</v>
      </c>
      <c r="GH6">
        <v>451.19999999949999</v>
      </c>
      <c r="GI6">
        <v>454.99999999990001</v>
      </c>
      <c r="GJ6">
        <v>457.50000000040001</v>
      </c>
      <c r="GK6">
        <v>458.09999999979999</v>
      </c>
      <c r="GL6">
        <v>458.50000000059998</v>
      </c>
      <c r="GM6">
        <v>458.59999999989998</v>
      </c>
      <c r="GN6">
        <v>458.69999999919997</v>
      </c>
      <c r="GO6">
        <v>458.80000000029997</v>
      </c>
      <c r="GP6">
        <v>458.80000000029997</v>
      </c>
      <c r="GQ6">
        <v>458.80000000029997</v>
      </c>
      <c r="GR6">
        <v>458.69999999919997</v>
      </c>
      <c r="GS6">
        <v>458.80000000029997</v>
      </c>
      <c r="GT6">
        <v>458.39999999949998</v>
      </c>
      <c r="GU6">
        <v>458.59999999989998</v>
      </c>
      <c r="GV6">
        <v>458.50000000059998</v>
      </c>
      <c r="GW6">
        <v>1</v>
      </c>
      <c r="GX6">
        <v>120.80000000059999</v>
      </c>
      <c r="GY6">
        <v>118.00000000039999</v>
      </c>
      <c r="GZ6">
        <v>118.00000000039999</v>
      </c>
      <c r="HA6">
        <v>124.70000000029999</v>
      </c>
      <c r="HB6">
        <v>119.77191892810001</v>
      </c>
      <c r="HC6">
        <v>-6.6999999999000002</v>
      </c>
      <c r="HD6">
        <v>458.50010896869998</v>
      </c>
      <c r="HE6">
        <v>289.29124986379998</v>
      </c>
      <c r="HF6">
        <v>105.6334096114</v>
      </c>
      <c r="HG6">
        <v>459.00000000070003</v>
      </c>
      <c r="HH6">
        <v>458.80000000029997</v>
      </c>
      <c r="HI6">
        <v>459.00000000070003</v>
      </c>
      <c r="HJ6">
        <v>458.80000000029997</v>
      </c>
      <c r="HK6">
        <v>117.3020527859</v>
      </c>
      <c r="HL6">
        <v>3.2712506995999999</v>
      </c>
      <c r="HM6">
        <v>3.2039576389</v>
      </c>
      <c r="HN6">
        <v>3.2420399028000002</v>
      </c>
      <c r="HO6">
        <v>2.9855451307999998</v>
      </c>
      <c r="HP6">
        <v>3.4252525743</v>
      </c>
      <c r="HQ6">
        <v>2.2812303006999999</v>
      </c>
      <c r="HR6">
        <v>14.1385093167</v>
      </c>
      <c r="HS6">
        <v>-32.844574780099997</v>
      </c>
      <c r="HT6">
        <v>-224</v>
      </c>
      <c r="HU6">
        <v>409.063168792</v>
      </c>
      <c r="HV6">
        <v>91.495601172999997</v>
      </c>
      <c r="HW6">
        <v>624</v>
      </c>
      <c r="HX6">
        <v>14.1385093167</v>
      </c>
      <c r="HY6">
        <v>-32.844574780099997</v>
      </c>
      <c r="HZ6">
        <v>-224</v>
      </c>
      <c r="IA6">
        <v>409.063168792</v>
      </c>
      <c r="IB6">
        <v>91.495601172999997</v>
      </c>
      <c r="IC6">
        <v>624</v>
      </c>
      <c r="ID6">
        <v>49.736831208399998</v>
      </c>
      <c r="IE6">
        <v>1.3025171624</v>
      </c>
      <c r="IF6">
        <v>-42.228739002899999</v>
      </c>
      <c r="IG6">
        <v>-288</v>
      </c>
      <c r="IH6">
        <v>430.75482183809999</v>
      </c>
      <c r="II6">
        <v>100.87976539589999</v>
      </c>
      <c r="IJ6">
        <v>688</v>
      </c>
      <c r="IK6">
        <v>394.92465947530002</v>
      </c>
      <c r="IL6">
        <v>124.3401759531</v>
      </c>
      <c r="IM6">
        <v>417.13896698370002</v>
      </c>
      <c r="IN6">
        <v>133.724340176</v>
      </c>
      <c r="IO6">
        <v>7.2</v>
      </c>
      <c r="IP6">
        <v>5.6999999997000002</v>
      </c>
      <c r="IQ6">
        <v>8.7000000002999993</v>
      </c>
      <c r="IR6">
        <v>5.3479466341000004</v>
      </c>
      <c r="IS6">
        <v>5.3479466341000004</v>
      </c>
      <c r="IT6">
        <v>5.4</v>
      </c>
      <c r="IU6">
        <v>-35.190615835800003</v>
      </c>
      <c r="IV6">
        <v>8.2000000001999993</v>
      </c>
      <c r="IW6">
        <v>44.5747800587</v>
      </c>
      <c r="IX6">
        <v>7.1000000006999997</v>
      </c>
      <c r="IY6">
        <v>98.533724340199996</v>
      </c>
      <c r="IZ6">
        <v>-37.768777989199997</v>
      </c>
      <c r="JA6">
        <v>0.34856847759999998</v>
      </c>
      <c r="JB6">
        <v>-3.663424E-4</v>
      </c>
      <c r="JC6">
        <v>7.0009999999999998E-7</v>
      </c>
      <c r="JD6">
        <v>0.30569347679999997</v>
      </c>
      <c r="JE6">
        <v>0.24662241209999999</v>
      </c>
      <c r="JF6">
        <v>9.4277332000000005E-2</v>
      </c>
      <c r="JG6">
        <v>120.3971209253</v>
      </c>
      <c r="JH6">
        <v>3.4252525743</v>
      </c>
      <c r="JI6">
        <v>3.2741815999999999E-3</v>
      </c>
      <c r="JJ6">
        <v>-6.9409300000000006E-5</v>
      </c>
      <c r="JK6">
        <v>3.2712506995999999</v>
      </c>
      <c r="JL6">
        <v>1.0547453711999999</v>
      </c>
      <c r="JM6">
        <v>0.45924603250000001</v>
      </c>
      <c r="JN6" t="s">
        <v>524</v>
      </c>
      <c r="JQ6">
        <v>1</v>
      </c>
    </row>
    <row r="7" spans="1:277">
      <c r="A7" t="s">
        <v>597</v>
      </c>
      <c r="B7" t="s">
        <v>598</v>
      </c>
      <c r="C7" t="s">
        <v>209</v>
      </c>
      <c r="D7">
        <v>3</v>
      </c>
      <c r="E7" t="s">
        <v>210</v>
      </c>
      <c r="F7" t="s">
        <v>211</v>
      </c>
      <c r="G7" t="s">
        <v>523</v>
      </c>
      <c r="H7" t="s">
        <v>528</v>
      </c>
      <c r="J7" t="s">
        <v>589</v>
      </c>
      <c r="K7" t="s">
        <v>590</v>
      </c>
      <c r="L7" t="s">
        <v>591</v>
      </c>
      <c r="M7" t="s">
        <v>592</v>
      </c>
      <c r="N7" t="s">
        <v>593</v>
      </c>
      <c r="O7">
        <v>0</v>
      </c>
      <c r="P7">
        <v>0</v>
      </c>
      <c r="Q7">
        <v>0</v>
      </c>
      <c r="R7">
        <v>1.0999999995</v>
      </c>
      <c r="S7">
        <v>1.0000000002</v>
      </c>
      <c r="T7">
        <v>1.0999999995</v>
      </c>
      <c r="U7">
        <v>1.2000000006</v>
      </c>
      <c r="V7">
        <v>1.2000000006</v>
      </c>
      <c r="W7">
        <v>1.2000000006</v>
      </c>
      <c r="X7">
        <v>1.2000000006</v>
      </c>
      <c r="Y7">
        <v>1.2999999999</v>
      </c>
      <c r="Z7">
        <v>1.3999999992000001</v>
      </c>
      <c r="AA7">
        <v>1.5000000003</v>
      </c>
      <c r="AB7">
        <v>1.3999999992000001</v>
      </c>
      <c r="AC7">
        <v>1.3999999992000001</v>
      </c>
      <c r="AD7">
        <v>1.5000000003</v>
      </c>
      <c r="AE7">
        <v>1.5999999996000001</v>
      </c>
      <c r="AF7">
        <v>1.8</v>
      </c>
      <c r="AG7">
        <v>1.8</v>
      </c>
      <c r="AH7">
        <v>1.8999999993000001</v>
      </c>
      <c r="AI7">
        <v>6.9000000003000004</v>
      </c>
      <c r="AJ7">
        <v>13.3999999998</v>
      </c>
      <c r="AK7">
        <v>20.300000000099999</v>
      </c>
      <c r="AL7">
        <v>27.599999999400001</v>
      </c>
      <c r="AM7">
        <v>34.799999999400001</v>
      </c>
      <c r="AN7">
        <v>42.7</v>
      </c>
      <c r="AO7">
        <v>50.499999999400004</v>
      </c>
      <c r="AP7">
        <v>58.6000000003</v>
      </c>
      <c r="AQ7">
        <v>65.899999999599999</v>
      </c>
      <c r="AR7">
        <v>73.899999999399995</v>
      </c>
      <c r="AS7">
        <v>81.899999999200006</v>
      </c>
      <c r="AT7">
        <v>89.900000000899993</v>
      </c>
      <c r="AU7">
        <v>98.599999999399998</v>
      </c>
      <c r="AV7">
        <v>107</v>
      </c>
      <c r="AW7">
        <v>115.20000000020001</v>
      </c>
      <c r="AX7">
        <v>123.2999999993</v>
      </c>
      <c r="AY7">
        <v>131.49999999950001</v>
      </c>
      <c r="AZ7">
        <v>139.8000000008</v>
      </c>
      <c r="BA7">
        <v>148.4</v>
      </c>
      <c r="BB7">
        <v>157.19999999960001</v>
      </c>
      <c r="BC7">
        <v>165.49999999920001</v>
      </c>
      <c r="BD7">
        <v>173.69999999940001</v>
      </c>
      <c r="BE7">
        <v>182.1</v>
      </c>
      <c r="BF7">
        <v>190.30000000019999</v>
      </c>
      <c r="BG7">
        <v>199.09999999979999</v>
      </c>
      <c r="BH7">
        <v>207.8000000001</v>
      </c>
      <c r="BI7">
        <v>216.09999999959999</v>
      </c>
      <c r="BJ7">
        <v>223.70000000050001</v>
      </c>
      <c r="BK7">
        <v>232</v>
      </c>
      <c r="BL7">
        <v>239.7999999994</v>
      </c>
      <c r="BM7">
        <v>248.10000000069999</v>
      </c>
      <c r="BN7">
        <v>256.49999999950001</v>
      </c>
      <c r="BO7">
        <v>264.49999999929997</v>
      </c>
      <c r="BP7">
        <v>271.89999999970001</v>
      </c>
      <c r="BQ7">
        <v>279.50000000059998</v>
      </c>
      <c r="BR7">
        <v>287.20000000070002</v>
      </c>
      <c r="BS7">
        <v>294.7000000004</v>
      </c>
      <c r="BT7">
        <v>302.59999999910002</v>
      </c>
      <c r="BU7">
        <v>310.1999999999</v>
      </c>
      <c r="BV7">
        <v>317.39999999989999</v>
      </c>
      <c r="BW7">
        <v>324.19999999909999</v>
      </c>
      <c r="BX7">
        <v>331.20000000049998</v>
      </c>
      <c r="BY7">
        <v>338.10000000079998</v>
      </c>
      <c r="BZ7">
        <v>344.80000000080003</v>
      </c>
      <c r="CA7">
        <v>352.00000000080001</v>
      </c>
      <c r="CB7">
        <v>358.89999999930001</v>
      </c>
      <c r="CC7">
        <v>365.29999999950002</v>
      </c>
      <c r="CD7">
        <v>371.60000000039997</v>
      </c>
      <c r="CE7">
        <v>377.89999999949998</v>
      </c>
      <c r="CF7">
        <v>384.2000000004</v>
      </c>
      <c r="CG7">
        <v>390.10000000050002</v>
      </c>
      <c r="CH7">
        <v>396.00000000059998</v>
      </c>
      <c r="CI7">
        <v>402.29999999969999</v>
      </c>
      <c r="CJ7">
        <v>408.4000000003</v>
      </c>
      <c r="CK7">
        <v>414.19999999930002</v>
      </c>
      <c r="CL7">
        <v>419.90000000079999</v>
      </c>
      <c r="CM7">
        <v>425.19999999970003</v>
      </c>
      <c r="CN7">
        <v>430.7000000008</v>
      </c>
      <c r="CO7">
        <v>435.90000000039998</v>
      </c>
      <c r="CP7">
        <v>441.1</v>
      </c>
      <c r="CQ7">
        <v>445.40000000049997</v>
      </c>
      <c r="CR7">
        <v>449.09999999979999</v>
      </c>
      <c r="CS7">
        <v>451.60000000029999</v>
      </c>
      <c r="CT7">
        <v>451.80000000069998</v>
      </c>
      <c r="CU7">
        <v>451.80000000069998</v>
      </c>
      <c r="CV7">
        <v>451.69999999959998</v>
      </c>
      <c r="CW7">
        <v>451.80000000069998</v>
      </c>
      <c r="CX7">
        <v>451.80000000069998</v>
      </c>
      <c r="CY7">
        <v>451.69999999959998</v>
      </c>
      <c r="CZ7">
        <v>451.69999999959998</v>
      </c>
      <c r="DA7">
        <v>451.60000000029999</v>
      </c>
      <c r="DB7">
        <v>451.69999999959998</v>
      </c>
      <c r="DC7">
        <v>451.80000000069998</v>
      </c>
      <c r="DD7">
        <v>451.80000000069998</v>
      </c>
      <c r="DE7">
        <v>451.69999999959998</v>
      </c>
      <c r="DF7">
        <v>451.9</v>
      </c>
      <c r="DG7">
        <v>0.89999999909999995</v>
      </c>
      <c r="DH7">
        <v>2.2000000007999998</v>
      </c>
      <c r="DI7">
        <v>2.0999999997000001</v>
      </c>
      <c r="DJ7">
        <v>2.3000000000999998</v>
      </c>
      <c r="DK7">
        <v>2.2000000007999998</v>
      </c>
      <c r="DL7">
        <v>2.3000000000999998</v>
      </c>
      <c r="DM7">
        <v>2.5000000005</v>
      </c>
      <c r="DN7">
        <v>2.3999999993999999</v>
      </c>
      <c r="DO7">
        <v>2.5000000005</v>
      </c>
      <c r="DP7">
        <v>2.5000000005</v>
      </c>
      <c r="DQ7">
        <v>2.3999999993999999</v>
      </c>
      <c r="DR7">
        <v>2.3999999993999999</v>
      </c>
      <c r="DS7">
        <v>2.5999999998000001</v>
      </c>
      <c r="DT7">
        <v>2.6999999991000001</v>
      </c>
      <c r="DU7">
        <v>2.5999999998000001</v>
      </c>
      <c r="DV7">
        <v>2.6999999991000001</v>
      </c>
      <c r="DW7">
        <v>2.6999999991000001</v>
      </c>
      <c r="DX7">
        <v>4.3000000004999999</v>
      </c>
      <c r="DY7">
        <v>10.5000000003</v>
      </c>
      <c r="DZ7">
        <v>17.200000000199999</v>
      </c>
      <c r="EA7">
        <v>24.799999999200001</v>
      </c>
      <c r="EB7">
        <v>31.800000000699999</v>
      </c>
      <c r="EC7">
        <v>39.5000000008</v>
      </c>
      <c r="ED7">
        <v>47.5999999999</v>
      </c>
      <c r="EE7">
        <v>55.5000000004</v>
      </c>
      <c r="EF7">
        <v>63.099999999399998</v>
      </c>
      <c r="EG7">
        <v>70.599999999100007</v>
      </c>
      <c r="EH7">
        <v>78.7</v>
      </c>
      <c r="EI7">
        <v>86.699999999799999</v>
      </c>
      <c r="EJ7">
        <v>95.100000000500003</v>
      </c>
      <c r="EK7">
        <v>103.6999999997</v>
      </c>
      <c r="EL7">
        <v>112.1000000003</v>
      </c>
      <c r="EM7">
        <v>119.6999999993</v>
      </c>
      <c r="EN7">
        <v>128.3000000003</v>
      </c>
      <c r="EO7">
        <v>136.59999999979999</v>
      </c>
      <c r="EP7">
        <v>145.39999999939999</v>
      </c>
      <c r="EQ7">
        <v>154.00000000049999</v>
      </c>
      <c r="ER7">
        <v>162.7000000008</v>
      </c>
      <c r="ES7">
        <v>170.5999999995</v>
      </c>
      <c r="ET7">
        <v>179.29999999980001</v>
      </c>
      <c r="EU7">
        <v>187.4000000007</v>
      </c>
      <c r="EV7">
        <v>196.2999999996</v>
      </c>
      <c r="EW7">
        <v>204.79999999949999</v>
      </c>
      <c r="EX7">
        <v>213.4999999998</v>
      </c>
      <c r="EY7">
        <v>221.2999999992</v>
      </c>
      <c r="EZ7">
        <v>229.7999999992</v>
      </c>
      <c r="FA7">
        <v>237.90000000009999</v>
      </c>
      <c r="FB7">
        <v>246.19999999960001</v>
      </c>
      <c r="FC7">
        <v>254.3999999998</v>
      </c>
      <c r="FD7">
        <v>262.60000000000002</v>
      </c>
      <c r="FE7">
        <v>270.39999999939999</v>
      </c>
      <c r="FF7">
        <v>278.20000000070002</v>
      </c>
      <c r="FG7">
        <v>286.00000000009999</v>
      </c>
      <c r="FH7">
        <v>293.49999999980002</v>
      </c>
      <c r="FI7">
        <v>301.49999999959999</v>
      </c>
      <c r="FJ7">
        <v>309.10000000039997</v>
      </c>
      <c r="FK7">
        <v>316.50000000080001</v>
      </c>
      <c r="FL7">
        <v>323.39999999930001</v>
      </c>
      <c r="FM7">
        <v>330.4000000007</v>
      </c>
      <c r="FN7">
        <v>337.7</v>
      </c>
      <c r="FO7">
        <v>344.30000000069998</v>
      </c>
      <c r="FP7">
        <v>351.6</v>
      </c>
      <c r="FQ7">
        <v>358.70000000070002</v>
      </c>
      <c r="FR7">
        <v>365.40000000060002</v>
      </c>
      <c r="FS7">
        <v>371.60000000039997</v>
      </c>
      <c r="FT7">
        <v>377.80000000019999</v>
      </c>
      <c r="FU7">
        <v>384.29999999969999</v>
      </c>
      <c r="FV7">
        <v>390.29999999910001</v>
      </c>
      <c r="FW7">
        <v>396.19999999919997</v>
      </c>
      <c r="FX7">
        <v>402.70000000060003</v>
      </c>
      <c r="FY7">
        <v>408.49999999950001</v>
      </c>
      <c r="FZ7">
        <v>414.50000000080001</v>
      </c>
      <c r="GA7">
        <v>420.00000000009999</v>
      </c>
      <c r="GB7">
        <v>425.19999999970003</v>
      </c>
      <c r="GC7">
        <v>430.7000000008</v>
      </c>
      <c r="GD7">
        <v>435.99999999969998</v>
      </c>
      <c r="GE7">
        <v>441.00000000070003</v>
      </c>
      <c r="GF7">
        <v>445.20000000009998</v>
      </c>
      <c r="GG7">
        <v>448.7000000008</v>
      </c>
      <c r="GH7">
        <v>451.60000000029999</v>
      </c>
      <c r="GI7">
        <v>451.60000000029999</v>
      </c>
      <c r="GJ7">
        <v>451.60000000029999</v>
      </c>
      <c r="GK7">
        <v>451.49999999919999</v>
      </c>
      <c r="GL7">
        <v>451.60000000029999</v>
      </c>
      <c r="GM7">
        <v>451.49999999919999</v>
      </c>
      <c r="GN7">
        <v>451.49999999919999</v>
      </c>
      <c r="GO7">
        <v>451.69999999959998</v>
      </c>
      <c r="GP7">
        <v>451.60000000029999</v>
      </c>
      <c r="GQ7">
        <v>451.69999999959998</v>
      </c>
      <c r="GR7">
        <v>451.69999999959998</v>
      </c>
      <c r="GS7">
        <v>451.60000000029999</v>
      </c>
      <c r="GT7">
        <v>451.80000000069998</v>
      </c>
      <c r="GU7">
        <v>451.80000000069998</v>
      </c>
      <c r="GV7">
        <v>451.9</v>
      </c>
      <c r="GW7">
        <v>1</v>
      </c>
      <c r="GX7">
        <v>116.79999999979999</v>
      </c>
      <c r="GY7">
        <v>115.20000000020001</v>
      </c>
      <c r="GZ7">
        <v>115.20000000020001</v>
      </c>
      <c r="HA7">
        <v>119.6999999993</v>
      </c>
      <c r="HB7">
        <v>116.36956184989999</v>
      </c>
      <c r="HC7">
        <v>-4.4999999990999999</v>
      </c>
      <c r="HD7">
        <v>451.9</v>
      </c>
      <c r="HE7">
        <v>297.58442133289998</v>
      </c>
      <c r="HF7">
        <v>95.845009957800002</v>
      </c>
      <c r="HG7">
        <v>451.9</v>
      </c>
      <c r="HH7">
        <v>451.9</v>
      </c>
      <c r="HI7">
        <v>451.9</v>
      </c>
      <c r="HJ7">
        <v>451.9</v>
      </c>
      <c r="HK7">
        <v>110.26392961880001</v>
      </c>
      <c r="HL7">
        <v>3.3813916834</v>
      </c>
      <c r="HM7">
        <v>3.3177592525000001</v>
      </c>
      <c r="HN7">
        <v>3.3518296948000001</v>
      </c>
      <c r="HO7">
        <v>3.2470704573</v>
      </c>
      <c r="HP7">
        <v>3.5792679794</v>
      </c>
      <c r="HQ7">
        <v>2.2870543633999998</v>
      </c>
      <c r="HR7">
        <v>20.5245518921</v>
      </c>
      <c r="HS7">
        <v>-28.152492668600001</v>
      </c>
      <c r="HT7">
        <v>-192</v>
      </c>
      <c r="HU7">
        <v>413.9539831829</v>
      </c>
      <c r="HV7">
        <v>91.495601172999997</v>
      </c>
      <c r="HW7">
        <v>624</v>
      </c>
      <c r="HX7">
        <v>20.5245518921</v>
      </c>
      <c r="HY7">
        <v>-28.152492668600001</v>
      </c>
      <c r="HZ7">
        <v>-192</v>
      </c>
      <c r="IA7">
        <v>413.9539831829</v>
      </c>
      <c r="IB7">
        <v>91.495601172999997</v>
      </c>
      <c r="IC7">
        <v>624</v>
      </c>
      <c r="ID7">
        <v>37.946016817199997</v>
      </c>
      <c r="IE7">
        <v>1.8044810799</v>
      </c>
      <c r="IF7">
        <v>-37.536656891500002</v>
      </c>
      <c r="IG7">
        <v>-256</v>
      </c>
      <c r="IH7">
        <v>435.7824408052</v>
      </c>
      <c r="II7">
        <v>100.87976539589999</v>
      </c>
      <c r="IJ7">
        <v>688</v>
      </c>
      <c r="IK7">
        <v>393.42943129079998</v>
      </c>
      <c r="IL7">
        <v>119.6480938416</v>
      </c>
      <c r="IM7">
        <v>417.8864682446</v>
      </c>
      <c r="IN7">
        <v>129.03225806450001</v>
      </c>
      <c r="IO7">
        <v>6.9000000003000004</v>
      </c>
      <c r="IP7">
        <v>5.5000000011000001</v>
      </c>
      <c r="IQ7">
        <v>8.8999999989000003</v>
      </c>
      <c r="IR7">
        <v>5.7287464991999997</v>
      </c>
      <c r="IS7">
        <v>5.7287464991999997</v>
      </c>
      <c r="IT7">
        <v>3.8000000003999999</v>
      </c>
      <c r="IU7">
        <v>-30.4985337243</v>
      </c>
      <c r="IV7">
        <v>6.7999999991999998</v>
      </c>
      <c r="IW7">
        <v>51.612903225799997</v>
      </c>
      <c r="IX7">
        <v>5.5000000011000001</v>
      </c>
      <c r="IY7">
        <v>98.533724340199996</v>
      </c>
      <c r="IZ7">
        <v>-34.766338113700002</v>
      </c>
      <c r="JA7">
        <v>0.32927625519999998</v>
      </c>
      <c r="JB7">
        <v>-3.3593849999999999E-4</v>
      </c>
      <c r="JC7">
        <v>6.6970000000000002E-7</v>
      </c>
      <c r="JD7">
        <v>0.29573622150000001</v>
      </c>
      <c r="JE7">
        <v>0.1899605848</v>
      </c>
      <c r="JF7">
        <v>6.9875804499999999E-2</v>
      </c>
      <c r="JG7">
        <v>116.6615257994</v>
      </c>
      <c r="JH7">
        <v>3.5792679794</v>
      </c>
      <c r="JI7">
        <v>2.8501822999999998E-3</v>
      </c>
      <c r="JJ7">
        <v>-7.2220599999999998E-5</v>
      </c>
      <c r="JK7">
        <v>3.3813916834</v>
      </c>
      <c r="JL7">
        <v>1.2624209231000001</v>
      </c>
      <c r="JM7">
        <v>0.43584478339999999</v>
      </c>
      <c r="JN7" t="s">
        <v>524</v>
      </c>
      <c r="JQ7">
        <v>1</v>
      </c>
    </row>
    <row r="8" spans="1:277">
      <c r="A8" t="s">
        <v>606</v>
      </c>
      <c r="B8" t="s">
        <v>607</v>
      </c>
      <c r="C8" t="s">
        <v>209</v>
      </c>
      <c r="D8">
        <v>3</v>
      </c>
      <c r="E8" t="s">
        <v>210</v>
      </c>
      <c r="F8" t="s">
        <v>211</v>
      </c>
      <c r="G8" t="s">
        <v>523</v>
      </c>
      <c r="H8" t="s">
        <v>528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5.6999999997000002</v>
      </c>
      <c r="R8">
        <v>2.0999999997000001</v>
      </c>
      <c r="S8">
        <v>2.0999999997000001</v>
      </c>
      <c r="T8">
        <v>2.0000000004</v>
      </c>
      <c r="U8">
        <v>2.0000000004</v>
      </c>
      <c r="V8">
        <v>1.6999999989000001</v>
      </c>
      <c r="W8">
        <v>1.2999999999</v>
      </c>
      <c r="X8">
        <v>1.2000000006</v>
      </c>
      <c r="Y8">
        <v>1.0999999995</v>
      </c>
      <c r="Z8">
        <v>1.2000000006</v>
      </c>
      <c r="AA8">
        <v>1.0000000002</v>
      </c>
      <c r="AB8">
        <v>0.7000000005</v>
      </c>
      <c r="AC8">
        <v>0.7000000005</v>
      </c>
      <c r="AD8">
        <v>9.9999999300000003E-2</v>
      </c>
      <c r="AE8">
        <v>9.9999999300000003E-2</v>
      </c>
      <c r="AF8">
        <v>0</v>
      </c>
      <c r="AG8">
        <v>0</v>
      </c>
      <c r="AH8">
        <v>3.3000000002999998</v>
      </c>
      <c r="AI8">
        <v>9.2999999997000007</v>
      </c>
      <c r="AJ8">
        <v>15.9000000003</v>
      </c>
      <c r="AK8">
        <v>22.800000000600001</v>
      </c>
      <c r="AL8">
        <v>29.0999999997</v>
      </c>
      <c r="AM8">
        <v>35.8999999989</v>
      </c>
      <c r="AN8">
        <v>42.7</v>
      </c>
      <c r="AO8">
        <v>50.299999999000001</v>
      </c>
      <c r="AP8">
        <v>58.199999999500001</v>
      </c>
      <c r="AQ8">
        <v>65.500000000599996</v>
      </c>
      <c r="AR8">
        <v>73.199999998899997</v>
      </c>
      <c r="AS8">
        <v>80.799999999700006</v>
      </c>
      <c r="AT8">
        <v>87.999999999699995</v>
      </c>
      <c r="AU8">
        <v>95.400000000199995</v>
      </c>
      <c r="AV8">
        <v>103.79999999899999</v>
      </c>
      <c r="AW8">
        <v>112.79999999899999</v>
      </c>
      <c r="AX8">
        <v>121.4999999993</v>
      </c>
      <c r="AY8">
        <v>129.69999999949999</v>
      </c>
      <c r="AZ8">
        <v>137.6</v>
      </c>
      <c r="BA8">
        <v>145.0999999997</v>
      </c>
      <c r="BB8">
        <v>153.2999999999</v>
      </c>
      <c r="BC8">
        <v>161.7999999999</v>
      </c>
      <c r="BD8">
        <v>169.79999999969999</v>
      </c>
      <c r="BE8">
        <v>177.79999999949999</v>
      </c>
      <c r="BF8">
        <v>185.7</v>
      </c>
      <c r="BG8">
        <v>193.49999999939999</v>
      </c>
      <c r="BH8">
        <v>201.19999999949999</v>
      </c>
      <c r="BI8">
        <v>209.1</v>
      </c>
      <c r="BJ8">
        <v>217.3000000003</v>
      </c>
      <c r="BK8">
        <v>225.19999999890001</v>
      </c>
      <c r="BL8">
        <v>232.8999999991</v>
      </c>
      <c r="BM8">
        <v>240.09999999909999</v>
      </c>
      <c r="BN8">
        <v>247.49999999950001</v>
      </c>
      <c r="BO8">
        <v>255.4</v>
      </c>
      <c r="BP8">
        <v>262.80000000040002</v>
      </c>
      <c r="BQ8">
        <v>270.39999999939999</v>
      </c>
      <c r="BR8">
        <v>277.70000000060003</v>
      </c>
      <c r="BS8">
        <v>284.90000000060002</v>
      </c>
      <c r="BT8">
        <v>291.79999999910001</v>
      </c>
      <c r="BU8">
        <v>298.8999999998</v>
      </c>
      <c r="BV8">
        <v>305.5999999997</v>
      </c>
      <c r="BW8">
        <v>312.2999999996</v>
      </c>
      <c r="BX8">
        <v>319.49999999959999</v>
      </c>
      <c r="BY8">
        <v>325.9999999991</v>
      </c>
      <c r="BZ8">
        <v>332.699999999</v>
      </c>
      <c r="CA8">
        <v>339.20000000030001</v>
      </c>
      <c r="CB8">
        <v>345.19999999970003</v>
      </c>
      <c r="CC8">
        <v>351.39999999960003</v>
      </c>
      <c r="CD8">
        <v>357.50000000009999</v>
      </c>
      <c r="CE8">
        <v>363.40000000020001</v>
      </c>
      <c r="CF8">
        <v>369.6</v>
      </c>
      <c r="CG8">
        <v>375.39999999899999</v>
      </c>
      <c r="CH8">
        <v>381.60000000060001</v>
      </c>
      <c r="CI8">
        <v>387.19999999919997</v>
      </c>
      <c r="CJ8">
        <v>392.70000000030001</v>
      </c>
      <c r="CK8">
        <v>398.10000000029999</v>
      </c>
      <c r="CL8">
        <v>403.00000000019998</v>
      </c>
      <c r="CM8">
        <v>408.49999999950001</v>
      </c>
      <c r="CN8">
        <v>413.59999999989998</v>
      </c>
      <c r="CO8">
        <v>418.90000000060002</v>
      </c>
      <c r="CP8">
        <v>424.1000000002</v>
      </c>
      <c r="CQ8">
        <v>429.20000000049998</v>
      </c>
      <c r="CR8">
        <v>434.49999999940002</v>
      </c>
      <c r="CS8">
        <v>438.79999999990002</v>
      </c>
      <c r="CT8">
        <v>443.49999999940002</v>
      </c>
      <c r="CU8">
        <v>446.20000000030001</v>
      </c>
      <c r="CV8">
        <v>448.8000000001</v>
      </c>
      <c r="CW8">
        <v>450.8999999998</v>
      </c>
      <c r="CX8">
        <v>451.1000000002</v>
      </c>
      <c r="CY8">
        <v>451.1000000002</v>
      </c>
      <c r="CZ8">
        <v>451.39999999989999</v>
      </c>
      <c r="DA8">
        <v>451.19999999949999</v>
      </c>
      <c r="DB8">
        <v>451.1000000002</v>
      </c>
      <c r="DC8">
        <v>451.1000000002</v>
      </c>
      <c r="DD8">
        <v>450.9999999991</v>
      </c>
      <c r="DE8">
        <v>451.19999999949999</v>
      </c>
      <c r="DF8">
        <v>451.1000000002</v>
      </c>
      <c r="DG8">
        <v>6.4000000002000004</v>
      </c>
      <c r="DH8">
        <v>2.8999999994999999</v>
      </c>
      <c r="DI8">
        <v>2.6999999991000001</v>
      </c>
      <c r="DJ8">
        <v>2.8999999994999999</v>
      </c>
      <c r="DK8">
        <v>2.3999999993999999</v>
      </c>
      <c r="DL8">
        <v>2.8000000001999998</v>
      </c>
      <c r="DM8">
        <v>2.3000000000999998</v>
      </c>
      <c r="DN8">
        <v>2.5000000005</v>
      </c>
      <c r="DO8">
        <v>2.0999999997000001</v>
      </c>
      <c r="DP8">
        <v>1.8999999993000001</v>
      </c>
      <c r="DQ8">
        <v>1.6999999989000001</v>
      </c>
      <c r="DR8">
        <v>1.3999999992000001</v>
      </c>
      <c r="DS8">
        <v>1.6999999989000001</v>
      </c>
      <c r="DT8">
        <v>1.3999999992000001</v>
      </c>
      <c r="DU8">
        <v>1.0000000002</v>
      </c>
      <c r="DV8">
        <v>1.0000000002</v>
      </c>
      <c r="DW8">
        <v>3.3000000002999998</v>
      </c>
      <c r="DX8">
        <v>9</v>
      </c>
      <c r="DY8">
        <v>15.9999999996</v>
      </c>
      <c r="DZ8">
        <v>22.800000000600001</v>
      </c>
      <c r="EA8">
        <v>29.699999999100001</v>
      </c>
      <c r="EB8">
        <v>36.099999999399998</v>
      </c>
      <c r="EC8">
        <v>43.099999998999998</v>
      </c>
      <c r="ED8">
        <v>50.4000000001</v>
      </c>
      <c r="EE8">
        <v>58.199999999500001</v>
      </c>
      <c r="EF8">
        <v>65.399999999499997</v>
      </c>
      <c r="EG8">
        <v>73.399999999299993</v>
      </c>
      <c r="EH8">
        <v>80.700000000399996</v>
      </c>
      <c r="EI8">
        <v>87.999999999699995</v>
      </c>
      <c r="EJ8">
        <v>95.199999999699997</v>
      </c>
      <c r="EK8">
        <v>103.4</v>
      </c>
      <c r="EL8">
        <v>111.80000000059999</v>
      </c>
      <c r="EM8">
        <v>120.6000000002</v>
      </c>
      <c r="EN8">
        <v>129.4999999991</v>
      </c>
      <c r="EO8">
        <v>137.3000000003</v>
      </c>
      <c r="EP8">
        <v>145.0999999997</v>
      </c>
      <c r="EQ8">
        <v>153.0000000002</v>
      </c>
      <c r="ER8">
        <v>161.5000000002</v>
      </c>
      <c r="ES8">
        <v>169.5999999993</v>
      </c>
      <c r="ET8">
        <v>177.99999999990001</v>
      </c>
      <c r="EU8">
        <v>185.90000000040001</v>
      </c>
      <c r="EV8">
        <v>193.69999999980001</v>
      </c>
      <c r="EW8">
        <v>201.60000000030001</v>
      </c>
      <c r="EX8">
        <v>209.69999999940001</v>
      </c>
      <c r="EY8">
        <v>217.8999999996</v>
      </c>
      <c r="EZ8">
        <v>226.1999999992</v>
      </c>
      <c r="FA8">
        <v>234.0999999997</v>
      </c>
      <c r="FB8">
        <v>241.59999999940001</v>
      </c>
      <c r="FC8">
        <v>248.9000000005</v>
      </c>
      <c r="FD8">
        <v>256.6999999999</v>
      </c>
      <c r="FE8">
        <v>264.69999999970003</v>
      </c>
      <c r="FF8">
        <v>272.10000000010001</v>
      </c>
      <c r="FG8">
        <v>279.89999999949998</v>
      </c>
      <c r="FH8">
        <v>287.20000000070002</v>
      </c>
      <c r="FI8">
        <v>294.09999999920001</v>
      </c>
      <c r="FJ8">
        <v>301.49999999959999</v>
      </c>
      <c r="FK8">
        <v>308.39999999989999</v>
      </c>
      <c r="FL8">
        <v>315.59999999989998</v>
      </c>
      <c r="FM8">
        <v>322.39999999909998</v>
      </c>
      <c r="FN8">
        <v>329.70000000020002</v>
      </c>
      <c r="FO8">
        <v>336.10000000039997</v>
      </c>
      <c r="FP8">
        <v>342.69999999919997</v>
      </c>
      <c r="FQ8">
        <v>349.09999999950003</v>
      </c>
      <c r="FR8">
        <v>355.2</v>
      </c>
      <c r="FS8">
        <v>361.19999999940001</v>
      </c>
      <c r="FT8">
        <v>367.59999999960002</v>
      </c>
      <c r="FU8">
        <v>373.70000000009998</v>
      </c>
      <c r="FV8">
        <v>380.10000000029999</v>
      </c>
      <c r="FW8">
        <v>385.8</v>
      </c>
      <c r="FX8">
        <v>391.40000000039998</v>
      </c>
      <c r="FY8">
        <v>396.80000000040002</v>
      </c>
      <c r="FZ8">
        <v>402.2000000004</v>
      </c>
      <c r="GA8">
        <v>407.60000000050002</v>
      </c>
      <c r="GB8">
        <v>412.69999999890001</v>
      </c>
      <c r="GC8">
        <v>417.99999999969998</v>
      </c>
      <c r="GD8">
        <v>423.00000000070003</v>
      </c>
      <c r="GE8">
        <v>427.90000000060002</v>
      </c>
      <c r="GF8">
        <v>432.8999999998</v>
      </c>
      <c r="GG8">
        <v>437.09999999920001</v>
      </c>
      <c r="GH8">
        <v>441.49999999900001</v>
      </c>
      <c r="GI8">
        <v>444.49999999959999</v>
      </c>
      <c r="GJ8">
        <v>446.89999999899999</v>
      </c>
      <c r="GK8">
        <v>448.89999999939999</v>
      </c>
      <c r="GL8">
        <v>450.69999999940001</v>
      </c>
      <c r="GM8">
        <v>450.8999999998</v>
      </c>
      <c r="GN8">
        <v>450.8999999998</v>
      </c>
      <c r="GO8">
        <v>450.9999999991</v>
      </c>
      <c r="GP8">
        <v>450.8999999998</v>
      </c>
      <c r="GQ8">
        <v>450.8999999998</v>
      </c>
      <c r="GR8">
        <v>450.9999999991</v>
      </c>
      <c r="GS8">
        <v>450.80000000050001</v>
      </c>
      <c r="GT8">
        <v>451.1000000002</v>
      </c>
      <c r="GU8">
        <v>450.9999999991</v>
      </c>
      <c r="GV8">
        <v>451.1000000002</v>
      </c>
      <c r="GW8">
        <v>1</v>
      </c>
      <c r="GX8">
        <v>109.9000000013</v>
      </c>
      <c r="GY8">
        <v>112.79999999899999</v>
      </c>
      <c r="GZ8">
        <v>112.79999999899999</v>
      </c>
      <c r="HA8">
        <v>120.6000000002</v>
      </c>
      <c r="HB8">
        <v>114.8176437985</v>
      </c>
      <c r="HC8">
        <v>-7.8000000011999999</v>
      </c>
      <c r="HD8">
        <v>451.1000000002</v>
      </c>
      <c r="HE8">
        <v>280.72370608540001</v>
      </c>
      <c r="HF8">
        <v>98.621700098700003</v>
      </c>
      <c r="HG8">
        <v>451.39999999989999</v>
      </c>
      <c r="HH8">
        <v>451.1000000002</v>
      </c>
      <c r="HI8">
        <v>451.39999999989999</v>
      </c>
      <c r="HJ8">
        <v>451.1000000002</v>
      </c>
      <c r="HK8">
        <v>119.6480938416</v>
      </c>
      <c r="HL8">
        <v>3.2737037106</v>
      </c>
      <c r="HM8">
        <v>3.2105574320999999</v>
      </c>
      <c r="HN8">
        <v>3.2407118266000001</v>
      </c>
      <c r="HO8">
        <v>3.0636012157999999</v>
      </c>
      <c r="HP8">
        <v>3.4505084173</v>
      </c>
      <c r="HQ8">
        <v>2.2378009208999998</v>
      </c>
      <c r="HR8">
        <v>16.195943699800001</v>
      </c>
      <c r="HS8">
        <v>-30.4985337243</v>
      </c>
      <c r="HT8">
        <v>-208</v>
      </c>
      <c r="HU8">
        <v>395.54134988390001</v>
      </c>
      <c r="HV8">
        <v>89.149560117299998</v>
      </c>
      <c r="HW8">
        <v>608</v>
      </c>
      <c r="HX8">
        <v>16.195943699800001</v>
      </c>
      <c r="HY8">
        <v>-30.4985337243</v>
      </c>
      <c r="HZ8">
        <v>-208</v>
      </c>
      <c r="IA8">
        <v>395.54134988390001</v>
      </c>
      <c r="IB8">
        <v>89.149560117299998</v>
      </c>
      <c r="IC8">
        <v>608</v>
      </c>
      <c r="ID8">
        <v>55.558650116300001</v>
      </c>
      <c r="IE8">
        <v>1.1082787999999999E-3</v>
      </c>
      <c r="IF8">
        <v>-39.8826979472</v>
      </c>
      <c r="IG8">
        <v>-272</v>
      </c>
      <c r="IH8">
        <v>417.20192840480001</v>
      </c>
      <c r="II8">
        <v>98.533724340199996</v>
      </c>
      <c r="IJ8">
        <v>672</v>
      </c>
      <c r="IK8">
        <v>379.3454061841</v>
      </c>
      <c r="IL8">
        <v>119.6480938416</v>
      </c>
      <c r="IM8">
        <v>403.20523107629998</v>
      </c>
      <c r="IN8">
        <v>129.03225806450001</v>
      </c>
      <c r="IO8">
        <v>6.9999999996</v>
      </c>
      <c r="IP8">
        <v>5.5000000011000001</v>
      </c>
      <c r="IQ8">
        <v>9</v>
      </c>
      <c r="IR8">
        <v>5.6049659425999998</v>
      </c>
      <c r="IS8">
        <v>5.6049659425999998</v>
      </c>
      <c r="IT8">
        <v>6.6999999999000002</v>
      </c>
      <c r="IU8">
        <v>-32.844574780099997</v>
      </c>
      <c r="IV8">
        <v>10.5000000003</v>
      </c>
      <c r="IW8">
        <v>82.1114369501</v>
      </c>
      <c r="IX8">
        <v>9.6999999986999992</v>
      </c>
      <c r="IY8">
        <v>96.187683284499997</v>
      </c>
      <c r="IZ8">
        <v>-35.6556478818</v>
      </c>
      <c r="JA8">
        <v>0.34363023040000001</v>
      </c>
      <c r="JB8">
        <v>-3.7029020000000002E-4</v>
      </c>
      <c r="JC8">
        <v>7.5519999999999999E-7</v>
      </c>
      <c r="JD8">
        <v>0.30546441839999999</v>
      </c>
      <c r="JE8">
        <v>0.37858516869999997</v>
      </c>
      <c r="JF8">
        <v>0.14360464449999999</v>
      </c>
      <c r="JG8">
        <v>115.0335814781</v>
      </c>
      <c r="JH8">
        <v>3.4505084173</v>
      </c>
      <c r="JI8">
        <v>2.9924667999999999E-3</v>
      </c>
      <c r="JJ8">
        <v>-7.3240199999999997E-5</v>
      </c>
      <c r="JK8">
        <v>3.2737037106</v>
      </c>
      <c r="JL8">
        <v>1.7543526949999999</v>
      </c>
      <c r="JM8">
        <v>0.66384600090000001</v>
      </c>
      <c r="JN8" t="s">
        <v>524</v>
      </c>
      <c r="JQ8">
        <v>1</v>
      </c>
    </row>
    <row r="9" spans="1:277">
      <c r="A9" t="s">
        <v>620</v>
      </c>
      <c r="B9" t="s">
        <v>621</v>
      </c>
      <c r="C9" t="s">
        <v>209</v>
      </c>
      <c r="D9">
        <v>3</v>
      </c>
      <c r="E9" t="s">
        <v>210</v>
      </c>
      <c r="F9" t="s">
        <v>211</v>
      </c>
      <c r="G9" t="s">
        <v>523</v>
      </c>
      <c r="H9" t="s">
        <v>528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3.2000000009999998</v>
      </c>
      <c r="R9">
        <v>0.90000000089999999</v>
      </c>
      <c r="S9">
        <v>0.90000000089999999</v>
      </c>
      <c r="T9">
        <v>0.90000000089999999</v>
      </c>
      <c r="U9">
        <v>0.90000000089999999</v>
      </c>
      <c r="V9">
        <v>0.7000000005</v>
      </c>
      <c r="W9">
        <v>0.7000000005</v>
      </c>
      <c r="X9">
        <v>0.40000000079999998</v>
      </c>
      <c r="Y9">
        <v>0.60000000119999997</v>
      </c>
      <c r="Z9">
        <v>0.40000000079999998</v>
      </c>
      <c r="AA9">
        <v>0.40000000079999998</v>
      </c>
      <c r="AB9">
        <v>0.40000000079999998</v>
      </c>
      <c r="AC9">
        <v>0.3000000015</v>
      </c>
      <c r="AD9">
        <v>0.3000000015</v>
      </c>
      <c r="AE9">
        <v>0.1000000011</v>
      </c>
      <c r="AF9">
        <v>0.1000000011</v>
      </c>
      <c r="AG9">
        <v>0.1000000011</v>
      </c>
      <c r="AH9">
        <v>0</v>
      </c>
      <c r="AI9">
        <v>2.7000000008999998</v>
      </c>
      <c r="AJ9">
        <v>9.1000000010999997</v>
      </c>
      <c r="AK9">
        <v>15.1000000005</v>
      </c>
      <c r="AL9">
        <v>22.300000000499999</v>
      </c>
      <c r="AM9">
        <v>29.700000000999999</v>
      </c>
      <c r="AN9">
        <v>38.300000000200001</v>
      </c>
      <c r="AO9">
        <v>45.500000000199996</v>
      </c>
      <c r="AP9">
        <v>52.700000000199999</v>
      </c>
      <c r="AQ9">
        <v>60.500000001399997</v>
      </c>
      <c r="AR9">
        <v>68.200000001500001</v>
      </c>
      <c r="AS9">
        <v>76.100000000199998</v>
      </c>
      <c r="AT9">
        <v>84.5000000008</v>
      </c>
      <c r="AU9">
        <v>93.1</v>
      </c>
      <c r="AV9">
        <v>101.3000000003</v>
      </c>
      <c r="AW9">
        <v>109.60000000159999</v>
      </c>
      <c r="AX9">
        <v>118.10000000150001</v>
      </c>
      <c r="AY9">
        <v>126.8</v>
      </c>
      <c r="AZ9">
        <v>135.90000000110001</v>
      </c>
      <c r="BA9">
        <v>145.2000000008</v>
      </c>
      <c r="BB9">
        <v>152.900000001</v>
      </c>
      <c r="BC9">
        <v>161.00000000009999</v>
      </c>
      <c r="BD9">
        <v>169.30000000140001</v>
      </c>
      <c r="BE9">
        <v>177.4000000005</v>
      </c>
      <c r="BF9">
        <v>186.3000000012</v>
      </c>
      <c r="BG9">
        <v>195.70000000019999</v>
      </c>
      <c r="BH9">
        <v>203.80000000109999</v>
      </c>
      <c r="BI9">
        <v>211.60000000049999</v>
      </c>
      <c r="BJ9">
        <v>219.90000000009999</v>
      </c>
      <c r="BK9">
        <v>227.7000000013</v>
      </c>
      <c r="BL9">
        <v>236.10000000010001</v>
      </c>
      <c r="BM9">
        <v>245.30000000050001</v>
      </c>
      <c r="BN9">
        <v>252.70000000089999</v>
      </c>
      <c r="BO9">
        <v>260.70000000070002</v>
      </c>
      <c r="BP9">
        <v>268.40000000079999</v>
      </c>
      <c r="BQ9">
        <v>275.70000000009998</v>
      </c>
      <c r="BR9">
        <v>283.300000001</v>
      </c>
      <c r="BS9">
        <v>291.80000000090001</v>
      </c>
      <c r="BT9">
        <v>299.60000000029999</v>
      </c>
      <c r="BU9">
        <v>306.50000000059998</v>
      </c>
      <c r="BV9">
        <v>313.60000000129997</v>
      </c>
      <c r="BW9">
        <v>320.80000000130002</v>
      </c>
      <c r="BX9">
        <v>327.50000000120002</v>
      </c>
      <c r="BY9">
        <v>334.50000000080001</v>
      </c>
      <c r="BZ9">
        <v>342.40000000139997</v>
      </c>
      <c r="CA9">
        <v>349.29999999990002</v>
      </c>
      <c r="CB9">
        <v>355.80000000119998</v>
      </c>
      <c r="CC9">
        <v>361.7000000013</v>
      </c>
      <c r="CD9">
        <v>368.10000000150001</v>
      </c>
      <c r="CE9">
        <v>374.49999999990001</v>
      </c>
      <c r="CF9">
        <v>380.4</v>
      </c>
      <c r="CG9">
        <v>386.90000000129999</v>
      </c>
      <c r="CH9">
        <v>393.70000000049998</v>
      </c>
      <c r="CI9">
        <v>400.00000000149998</v>
      </c>
      <c r="CJ9">
        <v>405.6</v>
      </c>
      <c r="CK9">
        <v>411.00000000009999</v>
      </c>
      <c r="CL9">
        <v>416.50000000120002</v>
      </c>
      <c r="CM9">
        <v>421.8000000001</v>
      </c>
      <c r="CN9">
        <v>427.40000000049997</v>
      </c>
      <c r="CO9">
        <v>432.20000000110002</v>
      </c>
      <c r="CP9">
        <v>437.8000000015</v>
      </c>
      <c r="CQ9">
        <v>443.80000000090001</v>
      </c>
      <c r="CR9">
        <v>448.7000000008</v>
      </c>
      <c r="CS9">
        <v>453.1999999999</v>
      </c>
      <c r="CT9">
        <v>457.20000000070002</v>
      </c>
      <c r="CU9">
        <v>460.20000000139999</v>
      </c>
      <c r="CV9">
        <v>460.30000000059999</v>
      </c>
      <c r="CW9">
        <v>460.50000000099999</v>
      </c>
      <c r="CX9">
        <v>460.30000000059999</v>
      </c>
      <c r="CY9">
        <v>460.50000000099999</v>
      </c>
      <c r="CZ9">
        <v>460.39999999989999</v>
      </c>
      <c r="DA9">
        <v>460.30000000059999</v>
      </c>
      <c r="DB9">
        <v>460.30000000059999</v>
      </c>
      <c r="DC9">
        <v>460.39999999989999</v>
      </c>
      <c r="DD9">
        <v>460.39999999989999</v>
      </c>
      <c r="DE9">
        <v>460.50000000099999</v>
      </c>
      <c r="DF9">
        <v>460.60000000029999</v>
      </c>
      <c r="DG9">
        <v>4.1000000000999997</v>
      </c>
      <c r="DH9">
        <v>2.2000000007999998</v>
      </c>
      <c r="DI9">
        <v>2.0000000004</v>
      </c>
      <c r="DJ9">
        <v>2.0000000004</v>
      </c>
      <c r="DK9">
        <v>1.7000000007</v>
      </c>
      <c r="DL9">
        <v>1.9000000011</v>
      </c>
      <c r="DM9">
        <v>1.6000000014</v>
      </c>
      <c r="DN9">
        <v>1.5000000003</v>
      </c>
      <c r="DO9">
        <v>1.400000001</v>
      </c>
      <c r="DP9">
        <v>1.400000001</v>
      </c>
      <c r="DQ9">
        <v>1.5000000003</v>
      </c>
      <c r="DR9">
        <v>1.2000000006</v>
      </c>
      <c r="DS9">
        <v>1.2000000006</v>
      </c>
      <c r="DT9">
        <v>1.0000000002</v>
      </c>
      <c r="DU9">
        <v>1.0000000002</v>
      </c>
      <c r="DV9">
        <v>1.0000000002</v>
      </c>
      <c r="DW9">
        <v>0.7000000005</v>
      </c>
      <c r="DX9">
        <v>2.8000000001999998</v>
      </c>
      <c r="DY9">
        <v>8.4999999999</v>
      </c>
      <c r="DZ9">
        <v>15.699999999899999</v>
      </c>
      <c r="EA9">
        <v>22.800000000600001</v>
      </c>
      <c r="EB9">
        <v>30.0999999999</v>
      </c>
      <c r="EC9">
        <v>38.900000001400002</v>
      </c>
      <c r="ED9">
        <v>46.000000000299998</v>
      </c>
      <c r="EE9">
        <v>53.200000000300001</v>
      </c>
      <c r="EF9">
        <v>60.300000001000001</v>
      </c>
      <c r="EG9">
        <v>68.100000000400001</v>
      </c>
      <c r="EH9">
        <v>76.300000000599994</v>
      </c>
      <c r="EI9">
        <v>85.300000000599994</v>
      </c>
      <c r="EJ9">
        <v>93.500000000900002</v>
      </c>
      <c r="EK9">
        <v>101.0000000006</v>
      </c>
      <c r="EL9">
        <v>109.3000000001</v>
      </c>
      <c r="EM9">
        <v>117.400000001</v>
      </c>
      <c r="EN9">
        <v>127.10000000150001</v>
      </c>
      <c r="EO9">
        <v>136.3000000001</v>
      </c>
      <c r="EP9">
        <v>145.3000000001</v>
      </c>
      <c r="EQ9">
        <v>152.900000001</v>
      </c>
      <c r="ER9">
        <v>161.20000000050001</v>
      </c>
      <c r="ES9">
        <v>169.5</v>
      </c>
      <c r="ET9">
        <v>177.70000000019999</v>
      </c>
      <c r="EU9">
        <v>187.4000000007</v>
      </c>
      <c r="EV9">
        <v>196.10000000100001</v>
      </c>
      <c r="EW9">
        <v>204.6000000009</v>
      </c>
      <c r="EX9">
        <v>212.30000000109999</v>
      </c>
      <c r="EY9">
        <v>220.40000000020001</v>
      </c>
      <c r="EZ9">
        <v>228.8000000008</v>
      </c>
      <c r="FA9">
        <v>237.8000000008</v>
      </c>
      <c r="FB9">
        <v>247.10000000049999</v>
      </c>
      <c r="FC9">
        <v>254.10000000010001</v>
      </c>
      <c r="FD9">
        <v>262.30000000029997</v>
      </c>
      <c r="FE9">
        <v>269.8</v>
      </c>
      <c r="FF9">
        <v>277.60000000129997</v>
      </c>
      <c r="FG9">
        <v>286.20000000049998</v>
      </c>
      <c r="FH9">
        <v>294.30000000140001</v>
      </c>
      <c r="FI9">
        <v>302.20000000009998</v>
      </c>
      <c r="FJ9">
        <v>309.10000000039997</v>
      </c>
      <c r="FK9">
        <v>316.40000000150002</v>
      </c>
      <c r="FL9">
        <v>322.90000000100002</v>
      </c>
      <c r="FM9">
        <v>330.30000000140001</v>
      </c>
      <c r="FN9">
        <v>338.00000000159997</v>
      </c>
      <c r="FO9">
        <v>345.60000000060001</v>
      </c>
      <c r="FP9">
        <v>352.5000000009</v>
      </c>
      <c r="FQ9">
        <v>359.10000000150001</v>
      </c>
      <c r="FR9">
        <v>365.60000000100001</v>
      </c>
      <c r="FS9">
        <v>371.70000000149997</v>
      </c>
      <c r="FT9">
        <v>377.60000000159999</v>
      </c>
      <c r="FU9">
        <v>383.9000000007</v>
      </c>
      <c r="FV9">
        <v>390.9000000003</v>
      </c>
      <c r="FW9">
        <v>397.3999999998</v>
      </c>
      <c r="FX9">
        <v>403.7000000008</v>
      </c>
      <c r="FY9">
        <v>408.90000000039998</v>
      </c>
      <c r="FZ9">
        <v>414.60000000010001</v>
      </c>
      <c r="GA9">
        <v>419.7000000004</v>
      </c>
      <c r="GB9">
        <v>425.10000000039997</v>
      </c>
      <c r="GC9">
        <v>429.90000000100002</v>
      </c>
      <c r="GD9">
        <v>435.5000000014</v>
      </c>
      <c r="GE9">
        <v>440.70000000099998</v>
      </c>
      <c r="GF9">
        <v>446.30000000140001</v>
      </c>
      <c r="GG9">
        <v>450.8999999998</v>
      </c>
      <c r="GH9">
        <v>454.60000000090002</v>
      </c>
      <c r="GI9">
        <v>458.00000000049999</v>
      </c>
      <c r="GJ9">
        <v>460.30000000059999</v>
      </c>
      <c r="GK9">
        <v>460.39999999989999</v>
      </c>
      <c r="GL9">
        <v>460.1000000002</v>
      </c>
      <c r="GM9">
        <v>460.20000000139999</v>
      </c>
      <c r="GN9">
        <v>460.60000000029999</v>
      </c>
      <c r="GO9">
        <v>460.9</v>
      </c>
      <c r="GP9">
        <v>459.00000000070003</v>
      </c>
      <c r="GQ9">
        <v>459.60000000010001</v>
      </c>
      <c r="GR9">
        <v>460.1000000002</v>
      </c>
      <c r="GS9">
        <v>460.1000000002</v>
      </c>
      <c r="GT9">
        <v>460.20000000139999</v>
      </c>
      <c r="GU9">
        <v>460.50000000099999</v>
      </c>
      <c r="GV9">
        <v>460.30000000059999</v>
      </c>
      <c r="GW9">
        <v>1</v>
      </c>
      <c r="GX9">
        <v>109.49999999870001</v>
      </c>
      <c r="GY9">
        <v>109.60000000159999</v>
      </c>
      <c r="GZ9">
        <v>109.60000000159999</v>
      </c>
      <c r="HA9">
        <v>117.400000001</v>
      </c>
      <c r="HB9">
        <v>111.5216409826</v>
      </c>
      <c r="HC9">
        <v>-7.7999999993999998</v>
      </c>
      <c r="HD9">
        <v>460.3001627964</v>
      </c>
      <c r="HE9">
        <v>312.83353592259999</v>
      </c>
      <c r="HF9">
        <v>96.104916432400003</v>
      </c>
      <c r="HG9">
        <v>460.9</v>
      </c>
      <c r="HH9">
        <v>460.9</v>
      </c>
      <c r="HI9">
        <v>460.60000000029999</v>
      </c>
      <c r="HJ9">
        <v>460.9</v>
      </c>
      <c r="HK9">
        <v>114.9560117302</v>
      </c>
      <c r="HL9">
        <v>3.3980120746</v>
      </c>
      <c r="HM9">
        <v>3.2904101190000001</v>
      </c>
      <c r="HN9">
        <v>3.3608191824000002</v>
      </c>
      <c r="HO9">
        <v>3.2904805932999999</v>
      </c>
      <c r="HP9">
        <v>3.6320043581000001</v>
      </c>
      <c r="HQ9">
        <v>2.1472096642</v>
      </c>
      <c r="HR9">
        <v>15.4167245501</v>
      </c>
      <c r="HS9">
        <v>-28.152492668600001</v>
      </c>
      <c r="HT9">
        <v>-192</v>
      </c>
      <c r="HU9">
        <v>424.35517690519998</v>
      </c>
      <c r="HV9">
        <v>96.187683284499997</v>
      </c>
      <c r="HW9">
        <v>656</v>
      </c>
      <c r="HX9">
        <v>15.4167245501</v>
      </c>
      <c r="HY9">
        <v>-28.152492668600001</v>
      </c>
      <c r="HZ9">
        <v>-192</v>
      </c>
      <c r="IA9">
        <v>424.35517690519998</v>
      </c>
      <c r="IB9">
        <v>96.187683284499997</v>
      </c>
      <c r="IC9">
        <v>656</v>
      </c>
      <c r="ID9">
        <v>36.544823094900003</v>
      </c>
      <c r="IE9">
        <v>0.1005209475</v>
      </c>
      <c r="IF9">
        <v>-37.536656891500002</v>
      </c>
      <c r="IG9">
        <v>-256</v>
      </c>
      <c r="IH9">
        <v>445.95590406050002</v>
      </c>
      <c r="II9">
        <v>105.57184750730001</v>
      </c>
      <c r="IJ9">
        <v>720</v>
      </c>
      <c r="IK9">
        <v>408.93845235499998</v>
      </c>
      <c r="IL9">
        <v>124.3401759531</v>
      </c>
      <c r="IM9">
        <v>432.21522682919999</v>
      </c>
      <c r="IN9">
        <v>133.724340176</v>
      </c>
      <c r="IO9">
        <v>7.2</v>
      </c>
      <c r="IP9">
        <v>5.9999999994</v>
      </c>
      <c r="IQ9">
        <v>9.7000000004999993</v>
      </c>
      <c r="IR9">
        <v>7.3770807173000001</v>
      </c>
      <c r="IS9">
        <v>7.3770807173000001</v>
      </c>
      <c r="IT9">
        <v>7.7000000001000002</v>
      </c>
      <c r="IU9">
        <v>-28.152492668600001</v>
      </c>
      <c r="IV9">
        <v>11.0999999997</v>
      </c>
      <c r="IW9">
        <v>65.689149560100006</v>
      </c>
      <c r="IX9">
        <v>8.4999999999</v>
      </c>
      <c r="IY9">
        <v>103.22580645159999</v>
      </c>
      <c r="IZ9">
        <v>-33.084512186600001</v>
      </c>
      <c r="JA9">
        <v>0.32587108250000002</v>
      </c>
      <c r="JB9">
        <v>-3.4782550000000002E-4</v>
      </c>
      <c r="JC9">
        <v>6.9729999999999998E-7</v>
      </c>
      <c r="JD9">
        <v>0.29428971349999999</v>
      </c>
      <c r="JE9">
        <v>0.34015701860000003</v>
      </c>
      <c r="JF9">
        <v>0.1456145928</v>
      </c>
      <c r="JG9">
        <v>112.601742628</v>
      </c>
      <c r="JH9">
        <v>3.6320043581000001</v>
      </c>
      <c r="JI9">
        <v>2.9447393000000001E-3</v>
      </c>
      <c r="JJ9">
        <v>-7.3903800000000002E-5</v>
      </c>
      <c r="JK9">
        <v>3.3980120746</v>
      </c>
      <c r="JL9">
        <v>1.3569709781999999</v>
      </c>
      <c r="JM9">
        <v>0.68626279940000001</v>
      </c>
      <c r="JN9" t="s">
        <v>524</v>
      </c>
      <c r="JQ9">
        <v>1</v>
      </c>
    </row>
    <row r="10" spans="1:277">
      <c r="A10" t="s">
        <v>632</v>
      </c>
      <c r="B10" t="s">
        <v>633</v>
      </c>
      <c r="C10" t="s">
        <v>209</v>
      </c>
      <c r="D10">
        <v>3</v>
      </c>
      <c r="E10" t="s">
        <v>210</v>
      </c>
      <c r="F10" t="s">
        <v>211</v>
      </c>
      <c r="G10" t="s">
        <v>523</v>
      </c>
      <c r="H10" t="s">
        <v>528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1.3999999992000001</v>
      </c>
      <c r="R10">
        <v>0.89999999909999995</v>
      </c>
      <c r="S10">
        <v>0.89999999909999995</v>
      </c>
      <c r="T10">
        <v>0.79999999980000003</v>
      </c>
      <c r="U10">
        <v>0.89999999909999995</v>
      </c>
      <c r="V10">
        <v>0.79999999980000003</v>
      </c>
      <c r="W10">
        <v>0.79999999980000003</v>
      </c>
      <c r="X10">
        <v>0.69999999869999996</v>
      </c>
      <c r="Y10">
        <v>0.99999999839999998</v>
      </c>
      <c r="Z10">
        <v>0.89999999909999995</v>
      </c>
      <c r="AA10">
        <v>0.79999999980000003</v>
      </c>
      <c r="AB10">
        <v>0.59999999940000004</v>
      </c>
      <c r="AC10">
        <v>0.89999999909999995</v>
      </c>
      <c r="AD10">
        <v>0.79999999980000003</v>
      </c>
      <c r="AE10">
        <v>0.79999999980000003</v>
      </c>
      <c r="AF10">
        <v>0.69999999869999996</v>
      </c>
      <c r="AG10">
        <v>0.59999999940000004</v>
      </c>
      <c r="AH10">
        <v>0</v>
      </c>
      <c r="AI10">
        <v>1.8</v>
      </c>
      <c r="AJ10">
        <v>8.2999999995000007</v>
      </c>
      <c r="AK10">
        <v>15.199999999799999</v>
      </c>
      <c r="AL10">
        <v>22.499999999100002</v>
      </c>
      <c r="AM10">
        <v>30.199999999199999</v>
      </c>
      <c r="AN10">
        <v>37.199999998800003</v>
      </c>
      <c r="AO10">
        <v>44.5</v>
      </c>
      <c r="AP10">
        <v>51.799999999299999</v>
      </c>
      <c r="AQ10">
        <v>59.499999999400004</v>
      </c>
      <c r="AR10">
        <v>67.299999998800004</v>
      </c>
      <c r="AS10">
        <v>75.699999999400006</v>
      </c>
      <c r="AT10">
        <v>83.799999998499999</v>
      </c>
      <c r="AU10">
        <v>91.3</v>
      </c>
      <c r="AV10">
        <v>99.0999999995</v>
      </c>
      <c r="AW10">
        <v>107.8999999991</v>
      </c>
      <c r="AX10">
        <v>116.399999999</v>
      </c>
      <c r="AY10">
        <v>124.3999999988</v>
      </c>
      <c r="AZ10">
        <v>133.6999999985</v>
      </c>
      <c r="BA10">
        <v>141.599999999</v>
      </c>
      <c r="BB10">
        <v>149.5999999988</v>
      </c>
      <c r="BC10">
        <v>157.6999999997</v>
      </c>
      <c r="BD10">
        <v>165.79999999890001</v>
      </c>
      <c r="BE10">
        <v>173.9999999991</v>
      </c>
      <c r="BF10">
        <v>183.49999999920001</v>
      </c>
      <c r="BG10">
        <v>191.19999999929999</v>
      </c>
      <c r="BH10">
        <v>199.29999999840001</v>
      </c>
      <c r="BI10">
        <v>207.19999999890001</v>
      </c>
      <c r="BJ10">
        <v>215.19999999870001</v>
      </c>
      <c r="BK10">
        <v>223.3999999989</v>
      </c>
      <c r="BL10">
        <v>232</v>
      </c>
      <c r="BM10">
        <v>239.8999999987</v>
      </c>
      <c r="BN10">
        <v>247.6999999999</v>
      </c>
      <c r="BO10">
        <v>255.19999999960001</v>
      </c>
      <c r="BP10">
        <v>262.89999999970001</v>
      </c>
      <c r="BQ10">
        <v>270.2999999983</v>
      </c>
      <c r="BR10">
        <v>277.69999999869998</v>
      </c>
      <c r="BS10">
        <v>286.19999999859999</v>
      </c>
      <c r="BT10">
        <v>293.20000000009998</v>
      </c>
      <c r="BU10">
        <v>300.49999999940002</v>
      </c>
      <c r="BV10">
        <v>307.29999999860001</v>
      </c>
      <c r="BW10">
        <v>314.3</v>
      </c>
      <c r="BX10">
        <v>321.3999999989</v>
      </c>
      <c r="BY10">
        <v>327.89999999840001</v>
      </c>
      <c r="BZ10">
        <v>335.69999999959998</v>
      </c>
      <c r="CA10">
        <v>342.59999999989998</v>
      </c>
      <c r="CB10">
        <v>348.59999999939998</v>
      </c>
      <c r="CC10">
        <v>354.7999999992</v>
      </c>
      <c r="CD10">
        <v>361.19999999940001</v>
      </c>
      <c r="CE10">
        <v>367.59999999960002</v>
      </c>
      <c r="CF10">
        <v>373.79999999939997</v>
      </c>
      <c r="CG10">
        <v>379.69999999949999</v>
      </c>
      <c r="CH10">
        <v>386.39999999939999</v>
      </c>
      <c r="CI10">
        <v>392.49999999990001</v>
      </c>
      <c r="CJ10">
        <v>397.79999999879999</v>
      </c>
      <c r="CK10">
        <v>403.69999999890001</v>
      </c>
      <c r="CL10">
        <v>409.39999999859998</v>
      </c>
      <c r="CM10">
        <v>414.49999999900001</v>
      </c>
      <c r="CN10">
        <v>420.00000000009999</v>
      </c>
      <c r="CO10">
        <v>425.19999999970003</v>
      </c>
      <c r="CP10">
        <v>430.39999999930001</v>
      </c>
      <c r="CQ10">
        <v>436.39999999870003</v>
      </c>
      <c r="CR10">
        <v>441.7999999987</v>
      </c>
      <c r="CS10">
        <v>446.5999999993</v>
      </c>
      <c r="CT10">
        <v>450.60000000010001</v>
      </c>
      <c r="CU10">
        <v>453.79999999929998</v>
      </c>
      <c r="CV10">
        <v>457.19999999890001</v>
      </c>
      <c r="CW10">
        <v>457.39999999930001</v>
      </c>
      <c r="CX10">
        <v>457.699999999</v>
      </c>
      <c r="CY10">
        <v>457.5999999997</v>
      </c>
      <c r="CZ10">
        <v>457.4999999986</v>
      </c>
      <c r="DA10">
        <v>457.39999999930001</v>
      </c>
      <c r="DB10">
        <v>457.39999999930001</v>
      </c>
      <c r="DC10">
        <v>457.39999999930001</v>
      </c>
      <c r="DD10">
        <v>457.4999999986</v>
      </c>
      <c r="DE10">
        <v>457.7999999983</v>
      </c>
      <c r="DF10">
        <v>457.7999999983</v>
      </c>
      <c r="DG10">
        <v>1.8999999993000001</v>
      </c>
      <c r="DH10">
        <v>1.5999999996000001</v>
      </c>
      <c r="DI10">
        <v>1.4999999985000001</v>
      </c>
      <c r="DJ10">
        <v>1.6999999989000001</v>
      </c>
      <c r="DK10">
        <v>1.5999999996000001</v>
      </c>
      <c r="DL10">
        <v>1.8</v>
      </c>
      <c r="DM10">
        <v>1.5999999996000001</v>
      </c>
      <c r="DN10">
        <v>1.5999999996000001</v>
      </c>
      <c r="DO10">
        <v>1.8999999993000001</v>
      </c>
      <c r="DP10">
        <v>1.4999999985000001</v>
      </c>
      <c r="DQ10">
        <v>1.4999999985000001</v>
      </c>
      <c r="DR10">
        <v>1.6999999989000001</v>
      </c>
      <c r="DS10">
        <v>1.6999999989000001</v>
      </c>
      <c r="DT10">
        <v>1.4999999985000001</v>
      </c>
      <c r="DU10">
        <v>1.4999999985000001</v>
      </c>
      <c r="DV10">
        <v>1.3999999992000001</v>
      </c>
      <c r="DW10">
        <v>1.0999999995</v>
      </c>
      <c r="DX10">
        <v>0.50000000010000001</v>
      </c>
      <c r="DY10">
        <v>6.2999999990999997</v>
      </c>
      <c r="DZ10">
        <v>13.299999998700001</v>
      </c>
      <c r="EA10">
        <v>20.0999999997</v>
      </c>
      <c r="EB10">
        <v>28.499999998500002</v>
      </c>
      <c r="EC10">
        <v>35.399999998799998</v>
      </c>
      <c r="ED10">
        <v>42.4999999996</v>
      </c>
      <c r="EE10">
        <v>49.9</v>
      </c>
      <c r="EF10">
        <v>57.499999999000003</v>
      </c>
      <c r="EG10">
        <v>65.199999999100001</v>
      </c>
      <c r="EH10">
        <v>72.999999998500002</v>
      </c>
      <c r="EI10">
        <v>81.899999999200006</v>
      </c>
      <c r="EJ10">
        <v>89.199999998500004</v>
      </c>
      <c r="EK10">
        <v>97.099999999000005</v>
      </c>
      <c r="EL10">
        <v>105.0999999989</v>
      </c>
      <c r="EM10">
        <v>113.6999999999</v>
      </c>
      <c r="EN10">
        <v>122.1999999998</v>
      </c>
      <c r="EO10">
        <v>131.19999999980001</v>
      </c>
      <c r="EP10">
        <v>139.29999999890001</v>
      </c>
      <c r="EQ10">
        <v>147.3999999998</v>
      </c>
      <c r="ER10">
        <v>155.89999999969999</v>
      </c>
      <c r="ES10">
        <v>164.1</v>
      </c>
      <c r="ET10">
        <v>172.29999999840001</v>
      </c>
      <c r="EU10">
        <v>181.39999999950001</v>
      </c>
      <c r="EV10">
        <v>189.39999999930001</v>
      </c>
      <c r="EW10">
        <v>197.6999999988</v>
      </c>
      <c r="EX10">
        <v>205.79999999969999</v>
      </c>
      <c r="EY10">
        <v>213.89999999880001</v>
      </c>
      <c r="EZ10">
        <v>222.1999999983</v>
      </c>
      <c r="FA10">
        <v>230.7999999994</v>
      </c>
      <c r="FB10">
        <v>238.7999999992</v>
      </c>
      <c r="FC10">
        <v>246.79999999899999</v>
      </c>
      <c r="FD10">
        <v>254.59999999839999</v>
      </c>
      <c r="FE10">
        <v>262.19999999919997</v>
      </c>
      <c r="FF10">
        <v>269.89999999930001</v>
      </c>
      <c r="FG10">
        <v>277.39999999899999</v>
      </c>
      <c r="FH10">
        <v>286.09999999939998</v>
      </c>
      <c r="FI10">
        <v>293.09999999899998</v>
      </c>
      <c r="FJ10">
        <v>300.69999999980001</v>
      </c>
      <c r="FK10">
        <v>307.7999999987</v>
      </c>
      <c r="FL10">
        <v>315.09999999979999</v>
      </c>
      <c r="FM10">
        <v>321.79999999969999</v>
      </c>
      <c r="FN10">
        <v>329.09999999899998</v>
      </c>
      <c r="FO10">
        <v>336.49999999940002</v>
      </c>
      <c r="FP10">
        <v>343.59999999830001</v>
      </c>
      <c r="FQ10">
        <v>349.8</v>
      </c>
      <c r="FR10">
        <v>356.19999999840002</v>
      </c>
      <c r="FS10">
        <v>362.59999999860003</v>
      </c>
      <c r="FT10">
        <v>368.79999999839998</v>
      </c>
      <c r="FU10">
        <v>375.0999999993</v>
      </c>
      <c r="FV10">
        <v>381.5999999988</v>
      </c>
      <c r="FW10">
        <v>388.19999999940001</v>
      </c>
      <c r="FX10">
        <v>394.19999999880002</v>
      </c>
      <c r="FY10">
        <v>399.6999999999</v>
      </c>
      <c r="FZ10">
        <v>405.29999999850003</v>
      </c>
      <c r="GA10">
        <v>410.8999999989</v>
      </c>
      <c r="GB10">
        <v>416.09999999860003</v>
      </c>
      <c r="GC10">
        <v>421.5999999997</v>
      </c>
      <c r="GD10">
        <v>426.7</v>
      </c>
      <c r="GE10">
        <v>432.39999999970001</v>
      </c>
      <c r="GF10">
        <v>437.69999999859999</v>
      </c>
      <c r="GG10">
        <v>442.9</v>
      </c>
      <c r="GH10">
        <v>447.09999999939998</v>
      </c>
      <c r="GI10">
        <v>450.9999999991</v>
      </c>
      <c r="GJ10">
        <v>453.89999999859998</v>
      </c>
      <c r="GK10">
        <v>456.79999999990002</v>
      </c>
      <c r="GL10">
        <v>457.19999999890001</v>
      </c>
      <c r="GM10">
        <v>457.39999999930001</v>
      </c>
      <c r="GN10">
        <v>457.4999999986</v>
      </c>
      <c r="GO10">
        <v>457.3</v>
      </c>
      <c r="GP10">
        <v>457.19999999890001</v>
      </c>
      <c r="GQ10">
        <v>457.3</v>
      </c>
      <c r="GR10">
        <v>457.3</v>
      </c>
      <c r="GS10">
        <v>457.4999999986</v>
      </c>
      <c r="GT10">
        <v>457.4999999986</v>
      </c>
      <c r="GU10">
        <v>457.3</v>
      </c>
      <c r="GV10">
        <v>457.4999999986</v>
      </c>
      <c r="GW10">
        <v>1</v>
      </c>
      <c r="GX10">
        <v>108.8</v>
      </c>
      <c r="GY10">
        <v>107.8999999991</v>
      </c>
      <c r="GZ10">
        <v>107.8999999991</v>
      </c>
      <c r="HA10">
        <v>113.6999999999</v>
      </c>
      <c r="HB10">
        <v>109.30421719580001</v>
      </c>
      <c r="HC10">
        <v>-5.8000000007999999</v>
      </c>
      <c r="HD10">
        <v>457.4999999986</v>
      </c>
      <c r="HE10">
        <v>311.6814268549</v>
      </c>
      <c r="HF10">
        <v>93.915240904100003</v>
      </c>
      <c r="HG10">
        <v>457.7999999983</v>
      </c>
      <c r="HH10">
        <v>457.50002184940001</v>
      </c>
      <c r="HI10">
        <v>457.7999999983</v>
      </c>
      <c r="HJ10">
        <v>457.4999999986</v>
      </c>
      <c r="HK10">
        <v>117.3020527859</v>
      </c>
      <c r="HL10">
        <v>3.3030314571999999</v>
      </c>
      <c r="HM10">
        <v>3.2317325187999999</v>
      </c>
      <c r="HN10">
        <v>3.2844899802</v>
      </c>
      <c r="HO10">
        <v>3.2158248497000002</v>
      </c>
      <c r="HP10">
        <v>3.5282530805999999</v>
      </c>
      <c r="HQ10">
        <v>2.1105974717999998</v>
      </c>
      <c r="HR10">
        <v>15.388976291700001</v>
      </c>
      <c r="HS10">
        <v>-28.152492668600001</v>
      </c>
      <c r="HT10">
        <v>-192</v>
      </c>
      <c r="HU10">
        <v>420.98564405079998</v>
      </c>
      <c r="HV10">
        <v>98.533724340199996</v>
      </c>
      <c r="HW10">
        <v>672</v>
      </c>
      <c r="HX10">
        <v>15.388976291700001</v>
      </c>
      <c r="HY10">
        <v>-28.152492668600001</v>
      </c>
      <c r="HZ10">
        <v>-192</v>
      </c>
      <c r="IA10">
        <v>420.98564405079998</v>
      </c>
      <c r="IB10">
        <v>98.533724340199996</v>
      </c>
      <c r="IC10">
        <v>672</v>
      </c>
      <c r="ID10">
        <v>36.514377798600002</v>
      </c>
      <c r="IE10">
        <v>0.60092865669999995</v>
      </c>
      <c r="IF10">
        <v>-37.536656891500002</v>
      </c>
      <c r="IG10">
        <v>-256</v>
      </c>
      <c r="IH10">
        <v>442.64434611600001</v>
      </c>
      <c r="II10">
        <v>107.91788856300001</v>
      </c>
      <c r="IJ10">
        <v>736</v>
      </c>
      <c r="IK10">
        <v>405.59666775900001</v>
      </c>
      <c r="IL10">
        <v>126.6862170088</v>
      </c>
      <c r="IM10">
        <v>430.10629301839998</v>
      </c>
      <c r="IN10">
        <v>136.0703812317</v>
      </c>
      <c r="IO10">
        <v>6.9999999996</v>
      </c>
      <c r="IP10">
        <v>5.9999999994</v>
      </c>
      <c r="IQ10">
        <v>9.5000000001</v>
      </c>
      <c r="IR10">
        <v>7.2587245104999996</v>
      </c>
      <c r="IS10">
        <v>7.2587245104999996</v>
      </c>
      <c r="IT10">
        <v>4.9999999991999999</v>
      </c>
      <c r="IU10">
        <v>-30.4985337243</v>
      </c>
      <c r="IV10">
        <v>8.6000000009999997</v>
      </c>
      <c r="IW10">
        <v>65.689149560100006</v>
      </c>
      <c r="IX10">
        <v>7.2999999992999998</v>
      </c>
      <c r="IY10">
        <v>105.57184750730001</v>
      </c>
      <c r="IZ10">
        <v>-33.187256225799999</v>
      </c>
      <c r="JA10">
        <v>0.33316702079999999</v>
      </c>
      <c r="JB10">
        <v>-3.4824969999999999E-4</v>
      </c>
      <c r="JC10">
        <v>7.0959999999999995E-7</v>
      </c>
      <c r="JD10">
        <v>0.30275218780000002</v>
      </c>
      <c r="JE10">
        <v>0.25415985880000003</v>
      </c>
      <c r="JF10">
        <v>0.11001723820000001</v>
      </c>
      <c r="JG10">
        <v>110.0073217716</v>
      </c>
      <c r="JH10">
        <v>3.5282530805999999</v>
      </c>
      <c r="JI10">
        <v>2.7171636000000001E-3</v>
      </c>
      <c r="JJ10">
        <v>-6.7056000000000003E-5</v>
      </c>
      <c r="JK10">
        <v>3.3030314571999999</v>
      </c>
      <c r="JL10">
        <v>1.3071385488</v>
      </c>
      <c r="JM10">
        <v>0.60719235380000003</v>
      </c>
      <c r="JN10" t="s">
        <v>524</v>
      </c>
      <c r="JQ10">
        <v>1</v>
      </c>
    </row>
    <row r="11" spans="1:277">
      <c r="A11" t="s">
        <v>645</v>
      </c>
      <c r="B11" t="s">
        <v>646</v>
      </c>
      <c r="C11" t="s">
        <v>209</v>
      </c>
      <c r="D11">
        <v>3</v>
      </c>
      <c r="E11" t="s">
        <v>210</v>
      </c>
      <c r="F11" t="s">
        <v>211</v>
      </c>
      <c r="G11" t="s">
        <v>523</v>
      </c>
      <c r="H11" t="s">
        <v>528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1.0999999995</v>
      </c>
      <c r="R11">
        <v>0.50000000010000001</v>
      </c>
      <c r="S11">
        <v>0.39999999899999999</v>
      </c>
      <c r="T11">
        <v>0.20000000039999999</v>
      </c>
      <c r="U11">
        <v>0</v>
      </c>
      <c r="V11">
        <v>0.20000000039999999</v>
      </c>
      <c r="W11">
        <v>0.39999999899999999</v>
      </c>
      <c r="X11">
        <v>0.29999999970000002</v>
      </c>
      <c r="Y11">
        <v>0.20000000039999999</v>
      </c>
      <c r="Z11">
        <v>0.20000000039999999</v>
      </c>
      <c r="AA11">
        <v>0.39999999899999999</v>
      </c>
      <c r="AB11">
        <v>0.29999999970000002</v>
      </c>
      <c r="AC11">
        <v>0.20000000039999999</v>
      </c>
      <c r="AD11">
        <v>0.39999999899999999</v>
      </c>
      <c r="AE11">
        <v>0.50000000010000001</v>
      </c>
      <c r="AF11">
        <v>0.50000000010000001</v>
      </c>
      <c r="AG11">
        <v>0.59999999940000004</v>
      </c>
      <c r="AH11">
        <v>0.39999999899999999</v>
      </c>
      <c r="AI11">
        <v>0.50000000010000001</v>
      </c>
      <c r="AJ11">
        <v>5.6000000003999997</v>
      </c>
      <c r="AK11">
        <v>12.4999999989</v>
      </c>
      <c r="AL11">
        <v>19.199999998799999</v>
      </c>
      <c r="AM11">
        <v>26.200000000199999</v>
      </c>
      <c r="AN11">
        <v>33.799999999199997</v>
      </c>
      <c r="AO11">
        <v>41.600000000500003</v>
      </c>
      <c r="AP11">
        <v>49.399999999899997</v>
      </c>
      <c r="AQ11">
        <v>57.300000000399997</v>
      </c>
      <c r="AR11">
        <v>65.300000000200001</v>
      </c>
      <c r="AS11">
        <v>72.899999999200006</v>
      </c>
      <c r="AT11">
        <v>81.099999999399998</v>
      </c>
      <c r="AU11">
        <v>89.099999999199994</v>
      </c>
      <c r="AV11">
        <v>98</v>
      </c>
      <c r="AW11">
        <v>106.20000000020001</v>
      </c>
      <c r="AX11">
        <v>115.20000000020001</v>
      </c>
      <c r="AY11">
        <v>122.6999999999</v>
      </c>
      <c r="AZ11">
        <v>131.19999999980001</v>
      </c>
      <c r="BA11">
        <v>139.6000000004</v>
      </c>
      <c r="BB11">
        <v>148.79999999899999</v>
      </c>
      <c r="BC11">
        <v>156.9</v>
      </c>
      <c r="BD11">
        <v>165.49999999920001</v>
      </c>
      <c r="BE11">
        <v>173.49999999900001</v>
      </c>
      <c r="BF11">
        <v>181.6999999992</v>
      </c>
      <c r="BG11">
        <v>190.30000000019999</v>
      </c>
      <c r="BH11">
        <v>199.19999999909999</v>
      </c>
      <c r="BI11">
        <v>207.19999999890001</v>
      </c>
      <c r="BJ11">
        <v>216.00000000029999</v>
      </c>
      <c r="BK11">
        <v>223.79999999980001</v>
      </c>
      <c r="BL11">
        <v>231.59999999920001</v>
      </c>
      <c r="BM11">
        <v>239.599999999</v>
      </c>
      <c r="BN11">
        <v>247.9000000003</v>
      </c>
      <c r="BO11">
        <v>256.19999999980001</v>
      </c>
      <c r="BP11">
        <v>263.79999999879999</v>
      </c>
      <c r="BQ11">
        <v>271.80000000040002</v>
      </c>
      <c r="BR11">
        <v>279.00000000049999</v>
      </c>
      <c r="BS11">
        <v>286.70000000060003</v>
      </c>
      <c r="BT11">
        <v>293.89999999880001</v>
      </c>
      <c r="BU11">
        <v>301.79999999929998</v>
      </c>
      <c r="BV11">
        <v>309.29999999900002</v>
      </c>
      <c r="BW11">
        <v>316.19999999930002</v>
      </c>
      <c r="BX11">
        <v>323.699999999</v>
      </c>
      <c r="BY11">
        <v>330.09999999920001</v>
      </c>
      <c r="BZ11">
        <v>336.99999999950001</v>
      </c>
      <c r="CA11">
        <v>344.10000000029999</v>
      </c>
      <c r="CB11">
        <v>351.09999999989998</v>
      </c>
      <c r="CC11">
        <v>357.79999999979998</v>
      </c>
      <c r="CD11">
        <v>363.99999999959999</v>
      </c>
      <c r="CE11">
        <v>370.4999999991</v>
      </c>
      <c r="CF11">
        <v>376.8</v>
      </c>
      <c r="CG11">
        <v>382.40000000039998</v>
      </c>
      <c r="CH11">
        <v>389.10000000029999</v>
      </c>
      <c r="CI11">
        <v>395.00000000040001</v>
      </c>
      <c r="CJ11">
        <v>401.49999999990001</v>
      </c>
      <c r="CK11">
        <v>407.40000000010002</v>
      </c>
      <c r="CL11">
        <v>413.19999999909999</v>
      </c>
      <c r="CM11">
        <v>418.29999999939997</v>
      </c>
      <c r="CN11">
        <v>423.8999999998</v>
      </c>
      <c r="CO11">
        <v>429.50000000019998</v>
      </c>
      <c r="CP11">
        <v>434.60000000050002</v>
      </c>
      <c r="CQ11">
        <v>440.09999999979999</v>
      </c>
      <c r="CR11">
        <v>445.20000000009998</v>
      </c>
      <c r="CS11">
        <v>450.49999999900001</v>
      </c>
      <c r="CT11">
        <v>454.49999999980002</v>
      </c>
      <c r="CU11">
        <v>454.79999999950002</v>
      </c>
      <c r="CV11">
        <v>454.89999999880001</v>
      </c>
      <c r="CW11">
        <v>454.89999999880001</v>
      </c>
      <c r="CX11">
        <v>455.09999999920001</v>
      </c>
      <c r="CY11">
        <v>454.99999999990001</v>
      </c>
      <c r="CZ11">
        <v>454.59999999910002</v>
      </c>
      <c r="DA11">
        <v>454.79999999950002</v>
      </c>
      <c r="DB11">
        <v>454.89999999880001</v>
      </c>
      <c r="DC11">
        <v>454.99999999990001</v>
      </c>
      <c r="DD11">
        <v>454.99999999990001</v>
      </c>
      <c r="DE11">
        <v>455.20000000030001</v>
      </c>
      <c r="DF11">
        <v>455.20000000030001</v>
      </c>
      <c r="DG11">
        <v>1.8999999993000001</v>
      </c>
      <c r="DH11">
        <v>1.3999999992000001</v>
      </c>
      <c r="DI11">
        <v>1.1999999988000001</v>
      </c>
      <c r="DJ11">
        <v>1.1999999988000001</v>
      </c>
      <c r="DK11">
        <v>1.1999999988000001</v>
      </c>
      <c r="DL11">
        <v>1.0999999995</v>
      </c>
      <c r="DM11">
        <v>1.2999999999</v>
      </c>
      <c r="DN11">
        <v>1.1999999988000001</v>
      </c>
      <c r="DO11">
        <v>1.0999999995</v>
      </c>
      <c r="DP11">
        <v>1.3999999992000001</v>
      </c>
      <c r="DQ11">
        <v>1.3999999992000001</v>
      </c>
      <c r="DR11">
        <v>1.3999999992000001</v>
      </c>
      <c r="DS11">
        <v>1.3999999992000001</v>
      </c>
      <c r="DT11">
        <v>1.5000000003</v>
      </c>
      <c r="DU11">
        <v>1.3999999992000001</v>
      </c>
      <c r="DV11">
        <v>1.5000000003</v>
      </c>
      <c r="DW11">
        <v>1.5000000003</v>
      </c>
      <c r="DX11">
        <v>1.5999999996000001</v>
      </c>
      <c r="DY11">
        <v>4.1000000000999997</v>
      </c>
      <c r="DZ11">
        <v>11.5000000005</v>
      </c>
      <c r="EA11">
        <v>18.200000000399999</v>
      </c>
      <c r="EB11">
        <v>25.400000000399999</v>
      </c>
      <c r="EC11">
        <v>32.799999999000001</v>
      </c>
      <c r="ED11">
        <v>40.6000000003</v>
      </c>
      <c r="EE11">
        <v>48.3999999997</v>
      </c>
      <c r="EF11">
        <v>56.399999999499997</v>
      </c>
      <c r="EG11">
        <v>64.699999998999999</v>
      </c>
      <c r="EH11">
        <v>72.000000000100002</v>
      </c>
      <c r="EI11">
        <v>79.899999998799998</v>
      </c>
      <c r="EJ11">
        <v>87.900000000399999</v>
      </c>
      <c r="EK11">
        <v>96.9000000005</v>
      </c>
      <c r="EL11">
        <v>104.7999999992</v>
      </c>
      <c r="EM11">
        <v>113.6999999999</v>
      </c>
      <c r="EN11">
        <v>121.9999999994</v>
      </c>
      <c r="EO11">
        <v>130.10000000030001</v>
      </c>
      <c r="EP11">
        <v>138.79999999879999</v>
      </c>
      <c r="EQ11">
        <v>147.79999999879999</v>
      </c>
      <c r="ER11">
        <v>155.80000000050001</v>
      </c>
      <c r="ES11">
        <v>164.69999999940001</v>
      </c>
      <c r="ET11">
        <v>172.8000000003</v>
      </c>
      <c r="EU11">
        <v>181.30000000019999</v>
      </c>
      <c r="EV11">
        <v>189.8000000001</v>
      </c>
      <c r="EW11">
        <v>199.09999999979999</v>
      </c>
      <c r="EX11">
        <v>207.19999999890001</v>
      </c>
      <c r="EY11">
        <v>215.5000000002</v>
      </c>
      <c r="EZ11">
        <v>223.59999999940001</v>
      </c>
      <c r="FA11">
        <v>231.70000000030001</v>
      </c>
      <c r="FB11">
        <v>240.20000000019999</v>
      </c>
      <c r="FC11">
        <v>248.9000000005</v>
      </c>
      <c r="FD11">
        <v>256.99999999959999</v>
      </c>
      <c r="FE11">
        <v>264.90000000010002</v>
      </c>
      <c r="FF11">
        <v>272.69999999949999</v>
      </c>
      <c r="FG11">
        <v>279.80000000029997</v>
      </c>
      <c r="FH11">
        <v>287.69999999890001</v>
      </c>
      <c r="FI11">
        <v>295.29999999979998</v>
      </c>
      <c r="FJ11">
        <v>303.5999999993</v>
      </c>
      <c r="FK11">
        <v>310.90000000039998</v>
      </c>
      <c r="FL11">
        <v>318.60000000050002</v>
      </c>
      <c r="FM11">
        <v>325.39999999970001</v>
      </c>
      <c r="FN11">
        <v>332.19999999890001</v>
      </c>
      <c r="FO11">
        <v>339.09999999920001</v>
      </c>
      <c r="FP11">
        <v>345.99999999950001</v>
      </c>
      <c r="FQ11">
        <v>353.60000000039997</v>
      </c>
      <c r="FR11">
        <v>360.69999999930002</v>
      </c>
      <c r="FS11">
        <v>366.89999999909998</v>
      </c>
      <c r="FT11">
        <v>373.49999999969998</v>
      </c>
      <c r="FU11">
        <v>379.30000000050001</v>
      </c>
      <c r="FV11">
        <v>385.29999999990002</v>
      </c>
      <c r="FW11">
        <v>391.49999999969998</v>
      </c>
      <c r="FX11">
        <v>397.4999999991</v>
      </c>
      <c r="FY11">
        <v>404.3000000001</v>
      </c>
      <c r="FZ11">
        <v>410.39999999880001</v>
      </c>
      <c r="GA11">
        <v>415.39999999989999</v>
      </c>
      <c r="GB11">
        <v>421.09999999960002</v>
      </c>
      <c r="GC11">
        <v>426.49999999959999</v>
      </c>
      <c r="GD11">
        <v>431.30000000019999</v>
      </c>
      <c r="GE11">
        <v>436.20000000009998</v>
      </c>
      <c r="GF11">
        <v>441.19999999930002</v>
      </c>
      <c r="GG11">
        <v>446.5</v>
      </c>
      <c r="GH11">
        <v>451.49999999919999</v>
      </c>
      <c r="GI11">
        <v>454.70000000020002</v>
      </c>
      <c r="GJ11">
        <v>454.70000000020002</v>
      </c>
      <c r="GK11">
        <v>454.70000000020002</v>
      </c>
      <c r="GL11">
        <v>454.59999999910002</v>
      </c>
      <c r="GM11">
        <v>454.70000000020002</v>
      </c>
      <c r="GN11">
        <v>454.79999999950002</v>
      </c>
      <c r="GO11">
        <v>454.79999999950002</v>
      </c>
      <c r="GP11">
        <v>454.99999999990001</v>
      </c>
      <c r="GQ11">
        <v>455.09999999920001</v>
      </c>
      <c r="GR11">
        <v>455.20000000030001</v>
      </c>
      <c r="GS11">
        <v>454.89999999880001</v>
      </c>
      <c r="GT11">
        <v>454.89999999880001</v>
      </c>
      <c r="GU11">
        <v>454.79999999950002</v>
      </c>
      <c r="GV11">
        <v>454.99999999990001</v>
      </c>
      <c r="GW11">
        <v>1</v>
      </c>
      <c r="GX11">
        <v>108.0999999995</v>
      </c>
      <c r="GY11">
        <v>106.20000000020001</v>
      </c>
      <c r="GZ11">
        <v>106.20000000020001</v>
      </c>
      <c r="HA11">
        <v>113.6999999999</v>
      </c>
      <c r="HB11">
        <v>108.0119644035</v>
      </c>
      <c r="HC11">
        <v>-7.4999999997</v>
      </c>
      <c r="HD11">
        <v>454.99999999990001</v>
      </c>
      <c r="HE11">
        <v>301.42685124029998</v>
      </c>
      <c r="HF11">
        <v>88.508163042299998</v>
      </c>
      <c r="HG11">
        <v>455.20000000030001</v>
      </c>
      <c r="HH11">
        <v>455.19996704049998</v>
      </c>
      <c r="HI11">
        <v>455.20000000030001</v>
      </c>
      <c r="HJ11">
        <v>455.20000000030001</v>
      </c>
      <c r="HK11">
        <v>112.6099706745</v>
      </c>
      <c r="HL11">
        <v>3.4129875299000001</v>
      </c>
      <c r="HM11">
        <v>3.2850466269999998</v>
      </c>
      <c r="HN11">
        <v>3.3829630204000001</v>
      </c>
      <c r="HO11">
        <v>3.3135421722</v>
      </c>
      <c r="HP11">
        <v>3.6071388773000002</v>
      </c>
      <c r="HQ11">
        <v>2.3409839535999999</v>
      </c>
      <c r="HR11">
        <v>19.503801361200001</v>
      </c>
      <c r="HS11">
        <v>-25.806451612899998</v>
      </c>
      <c r="HT11">
        <v>-176</v>
      </c>
      <c r="HU11">
        <v>409.4388156439</v>
      </c>
      <c r="HV11">
        <v>91.495601172999997</v>
      </c>
      <c r="HW11">
        <v>624</v>
      </c>
      <c r="HX11">
        <v>19.503801361200001</v>
      </c>
      <c r="HY11">
        <v>-25.806451612899998</v>
      </c>
      <c r="HZ11">
        <v>-176</v>
      </c>
      <c r="IA11">
        <v>409.4388156439</v>
      </c>
      <c r="IB11">
        <v>91.495601172999997</v>
      </c>
      <c r="IC11">
        <v>624</v>
      </c>
      <c r="ID11">
        <v>45.761151396700001</v>
      </c>
      <c r="IE11">
        <v>0.40263678209999998</v>
      </c>
      <c r="IF11">
        <v>-35.190615835800003</v>
      </c>
      <c r="IG11">
        <v>-240</v>
      </c>
      <c r="IH11">
        <v>430.85284552860003</v>
      </c>
      <c r="II11">
        <v>100.87976539589999</v>
      </c>
      <c r="IJ11">
        <v>688</v>
      </c>
      <c r="IK11">
        <v>389.93501428259998</v>
      </c>
      <c r="IL11">
        <v>117.3020527859</v>
      </c>
      <c r="IM11">
        <v>414.73038892459999</v>
      </c>
      <c r="IN11">
        <v>126.6862170088</v>
      </c>
      <c r="IO11">
        <v>7.4000000004000004</v>
      </c>
      <c r="IP11">
        <v>5.6999999997000002</v>
      </c>
      <c r="IQ11">
        <v>9.2999999997000007</v>
      </c>
      <c r="IR11">
        <v>6.0878859614999996</v>
      </c>
      <c r="IS11">
        <v>6.0878859614999996</v>
      </c>
      <c r="IT11">
        <v>5.9000000001000004</v>
      </c>
      <c r="IU11">
        <v>-30.4985337243</v>
      </c>
      <c r="IV11">
        <v>9.7000000004999993</v>
      </c>
      <c r="IW11">
        <v>53.958944281500003</v>
      </c>
      <c r="IX11">
        <v>6.6999999999000002</v>
      </c>
      <c r="IY11">
        <v>103.22580645159999</v>
      </c>
      <c r="IZ11">
        <v>-31.856080390799999</v>
      </c>
      <c r="JA11">
        <v>0.3215069532</v>
      </c>
      <c r="JB11">
        <v>-3.1192390000000001E-4</v>
      </c>
      <c r="JC11">
        <v>6.4290000000000002E-7</v>
      </c>
      <c r="JD11">
        <v>0.2929984336</v>
      </c>
      <c r="JE11">
        <v>0.2470925954</v>
      </c>
      <c r="JF11">
        <v>9.2169336000000004E-2</v>
      </c>
      <c r="JG11">
        <v>108.3524799416</v>
      </c>
      <c r="JH11">
        <v>3.6071388773000002</v>
      </c>
      <c r="JI11">
        <v>2.9147536000000002E-3</v>
      </c>
      <c r="JJ11">
        <v>-7.1653499999999994E-5</v>
      </c>
      <c r="JK11">
        <v>3.4129875299000001</v>
      </c>
      <c r="JL11">
        <v>1.5312978266999999</v>
      </c>
      <c r="JM11">
        <v>0.50547524929999998</v>
      </c>
      <c r="JN11" t="s">
        <v>524</v>
      </c>
      <c r="JQ11">
        <v>1</v>
      </c>
    </row>
    <row r="12" spans="1:277">
      <c r="A12" t="s">
        <v>654</v>
      </c>
      <c r="B12" t="s">
        <v>655</v>
      </c>
      <c r="C12" t="s">
        <v>209</v>
      </c>
      <c r="D12">
        <v>3</v>
      </c>
      <c r="E12" t="s">
        <v>210</v>
      </c>
      <c r="F12" t="s">
        <v>211</v>
      </c>
      <c r="G12" t="s">
        <v>523</v>
      </c>
      <c r="H12" t="s">
        <v>528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2.0000000004</v>
      </c>
      <c r="R12">
        <v>0.60000000119999997</v>
      </c>
      <c r="S12">
        <v>0.80000000159999995</v>
      </c>
      <c r="T12">
        <v>0.50000000010000001</v>
      </c>
      <c r="U12">
        <v>0.50000000010000001</v>
      </c>
      <c r="V12">
        <v>0.50000000010000001</v>
      </c>
      <c r="W12">
        <v>0.50000000010000001</v>
      </c>
      <c r="X12">
        <v>0.50000000010000001</v>
      </c>
      <c r="Y12">
        <v>0.60000000119999997</v>
      </c>
      <c r="Z12">
        <v>0.60000000119999997</v>
      </c>
      <c r="AA12">
        <v>0.50000000010000001</v>
      </c>
      <c r="AB12">
        <v>0.3000000015</v>
      </c>
      <c r="AC12">
        <v>0.3000000015</v>
      </c>
      <c r="AD12">
        <v>0.50000000010000001</v>
      </c>
      <c r="AE12">
        <v>0.40000000079999998</v>
      </c>
      <c r="AF12">
        <v>0.40000000079999998</v>
      </c>
      <c r="AG12">
        <v>0.20000000039999999</v>
      </c>
      <c r="AH12">
        <v>0</v>
      </c>
      <c r="AI12">
        <v>5.0000000010000001</v>
      </c>
      <c r="AJ12">
        <v>11.0000000004</v>
      </c>
      <c r="AK12">
        <v>17.200000000199999</v>
      </c>
      <c r="AL12">
        <v>24.1000000005</v>
      </c>
      <c r="AM12">
        <v>31.9</v>
      </c>
      <c r="AN12">
        <v>39.5000000008</v>
      </c>
      <c r="AO12">
        <v>47.500000000599996</v>
      </c>
      <c r="AP12">
        <v>54.799999999900002</v>
      </c>
      <c r="AQ12">
        <v>61.900000000600002</v>
      </c>
      <c r="AR12">
        <v>69.7</v>
      </c>
      <c r="AS12">
        <v>77.800000000899999</v>
      </c>
      <c r="AT12">
        <v>86.200000001600003</v>
      </c>
      <c r="AU12">
        <v>94.4</v>
      </c>
      <c r="AV12">
        <v>102.8999999999</v>
      </c>
      <c r="AW12">
        <v>111.30000000050001</v>
      </c>
      <c r="AX12">
        <v>119.3000000003</v>
      </c>
      <c r="AY12">
        <v>127.60000000159999</v>
      </c>
      <c r="AZ12">
        <v>136.2000000008</v>
      </c>
      <c r="BA12">
        <v>144.70000000069999</v>
      </c>
      <c r="BB12">
        <v>153.0000000002</v>
      </c>
      <c r="BC12">
        <v>162.00000000029999</v>
      </c>
      <c r="BD12">
        <v>169.5</v>
      </c>
      <c r="BE12">
        <v>177.90000000059999</v>
      </c>
      <c r="BF12">
        <v>186.4000000005</v>
      </c>
      <c r="BG12">
        <v>195.00000000150001</v>
      </c>
      <c r="BH12">
        <v>203.10000000060001</v>
      </c>
      <c r="BI12">
        <v>211.60000000049999</v>
      </c>
      <c r="BJ12">
        <v>219.4</v>
      </c>
      <c r="BK12">
        <v>227.40000000160001</v>
      </c>
      <c r="BL12">
        <v>235.5000000007</v>
      </c>
      <c r="BM12">
        <v>243.10000000150001</v>
      </c>
      <c r="BN12">
        <v>251.1000000013</v>
      </c>
      <c r="BO12">
        <v>259.40000000079999</v>
      </c>
      <c r="BP12">
        <v>267.20000000020002</v>
      </c>
      <c r="BQ12">
        <v>274.30000000090001</v>
      </c>
      <c r="BR12">
        <v>281.80000000069998</v>
      </c>
      <c r="BS12">
        <v>289.40000000150002</v>
      </c>
      <c r="BT12">
        <v>296.00000000030002</v>
      </c>
      <c r="BU12">
        <v>303.7000000004</v>
      </c>
      <c r="BV12">
        <v>311.20000000009998</v>
      </c>
      <c r="BW12">
        <v>318.30000000080003</v>
      </c>
      <c r="BX12">
        <v>325.10000000000002</v>
      </c>
      <c r="BY12">
        <v>331.79999999990002</v>
      </c>
      <c r="BZ12">
        <v>338.80000000140001</v>
      </c>
      <c r="CA12">
        <v>345.20000000160002</v>
      </c>
      <c r="CB12">
        <v>350.90000000129999</v>
      </c>
      <c r="CC12">
        <v>358.00000000019998</v>
      </c>
      <c r="CD12">
        <v>364.80000000119998</v>
      </c>
      <c r="CE12">
        <v>370.80000000059999</v>
      </c>
      <c r="CF12">
        <v>376.90000000110001</v>
      </c>
      <c r="CG12">
        <v>382.80000000119998</v>
      </c>
      <c r="CH12">
        <v>388.7000000013</v>
      </c>
      <c r="CI12">
        <v>394.40000000100002</v>
      </c>
      <c r="CJ12">
        <v>399.40000000020001</v>
      </c>
      <c r="CK12">
        <v>405.80000000050001</v>
      </c>
      <c r="CL12">
        <v>411.40000000089998</v>
      </c>
      <c r="CM12">
        <v>417.10000000060001</v>
      </c>
      <c r="CN12">
        <v>422.10000000159999</v>
      </c>
      <c r="CO12">
        <v>427.20000000009998</v>
      </c>
      <c r="CP12">
        <v>432.30000000040002</v>
      </c>
      <c r="CQ12">
        <v>437.30000000140001</v>
      </c>
      <c r="CR12">
        <v>442.30000000059999</v>
      </c>
      <c r="CS12">
        <v>447.00000000009999</v>
      </c>
      <c r="CT12">
        <v>450.70000000120001</v>
      </c>
      <c r="CU12">
        <v>450.90000000160001</v>
      </c>
      <c r="CV12">
        <v>450.80000000050001</v>
      </c>
      <c r="CW12">
        <v>450.80000000050001</v>
      </c>
      <c r="CX12">
        <v>450.70000000120001</v>
      </c>
      <c r="CY12">
        <v>450.90000000160001</v>
      </c>
      <c r="CZ12">
        <v>450.70000000120001</v>
      </c>
      <c r="DA12">
        <v>450.60000000010001</v>
      </c>
      <c r="DB12">
        <v>450.70000000120001</v>
      </c>
      <c r="DC12">
        <v>450.60000000010001</v>
      </c>
      <c r="DD12">
        <v>450.50000000080001</v>
      </c>
      <c r="DE12">
        <v>450.90000000160001</v>
      </c>
      <c r="DF12">
        <v>450.80000000050001</v>
      </c>
      <c r="DG12">
        <v>2.4000000012</v>
      </c>
      <c r="DH12">
        <v>1.7000000007</v>
      </c>
      <c r="DI12">
        <v>1.2999999999</v>
      </c>
      <c r="DJ12">
        <v>1.2999999999</v>
      </c>
      <c r="DK12">
        <v>1.2999999999</v>
      </c>
      <c r="DL12">
        <v>1.2999999999</v>
      </c>
      <c r="DM12">
        <v>1.2999999999</v>
      </c>
      <c r="DN12">
        <v>1.400000001</v>
      </c>
      <c r="DO12">
        <v>1.400000001</v>
      </c>
      <c r="DP12">
        <v>1.2000000006</v>
      </c>
      <c r="DQ12">
        <v>1.2000000006</v>
      </c>
      <c r="DR12">
        <v>1.2000000006</v>
      </c>
      <c r="DS12">
        <v>1.1000000013</v>
      </c>
      <c r="DT12">
        <v>1.1000000013</v>
      </c>
      <c r="DU12">
        <v>1.2000000006</v>
      </c>
      <c r="DV12">
        <v>1.1000000013</v>
      </c>
      <c r="DW12">
        <v>1.1000000013</v>
      </c>
      <c r="DX12">
        <v>4.4000000015999996</v>
      </c>
      <c r="DY12">
        <v>10.9000000011</v>
      </c>
      <c r="DZ12">
        <v>17.499999999900002</v>
      </c>
      <c r="EA12">
        <v>24.800000001099999</v>
      </c>
      <c r="EB12">
        <v>32.000000001099998</v>
      </c>
      <c r="EC12">
        <v>40.100000000199998</v>
      </c>
      <c r="ED12">
        <v>47.700000000999999</v>
      </c>
      <c r="EE12">
        <v>55.400000001099997</v>
      </c>
      <c r="EF12">
        <v>62.5</v>
      </c>
      <c r="EG12">
        <v>70.200000000100005</v>
      </c>
      <c r="EH12">
        <v>78.000000001299995</v>
      </c>
      <c r="EI12">
        <v>86.200000001600003</v>
      </c>
      <c r="EJ12">
        <v>94.4</v>
      </c>
      <c r="EK12">
        <v>102.6000000002</v>
      </c>
      <c r="EL12">
        <v>111.0000000008</v>
      </c>
      <c r="EM12">
        <v>119.09999999990001</v>
      </c>
      <c r="EN12">
        <v>127.9000000013</v>
      </c>
      <c r="EO12">
        <v>136.4000000012</v>
      </c>
      <c r="EP12">
        <v>144.80000000000001</v>
      </c>
      <c r="EQ12">
        <v>153.20000000069999</v>
      </c>
      <c r="ER12">
        <v>162.00000000029999</v>
      </c>
      <c r="ES12">
        <v>170.10000000119999</v>
      </c>
      <c r="ET12">
        <v>178.5</v>
      </c>
      <c r="EU12">
        <v>186.90000000059999</v>
      </c>
      <c r="EV12">
        <v>195.4000000005</v>
      </c>
      <c r="EW12">
        <v>203.90000000040001</v>
      </c>
      <c r="EX12">
        <v>212.7</v>
      </c>
      <c r="EY12">
        <v>220.60000000060001</v>
      </c>
      <c r="EZ12">
        <v>228.6000000004</v>
      </c>
      <c r="FA12">
        <v>236.89999999989999</v>
      </c>
      <c r="FB12">
        <v>245.00000000079999</v>
      </c>
      <c r="FC12">
        <v>252.90000000129999</v>
      </c>
      <c r="FD12">
        <v>261.4000000012</v>
      </c>
      <c r="FE12">
        <v>269.29999999990002</v>
      </c>
      <c r="FF12">
        <v>277</v>
      </c>
      <c r="FG12">
        <v>284.50000000159997</v>
      </c>
      <c r="FH12">
        <v>291.50000000120002</v>
      </c>
      <c r="FI12">
        <v>299.70000000139999</v>
      </c>
      <c r="FJ12">
        <v>307.30000000040002</v>
      </c>
      <c r="FK12">
        <v>314.8000000001</v>
      </c>
      <c r="FL12">
        <v>321.7000000004</v>
      </c>
      <c r="FM12">
        <v>328.7</v>
      </c>
      <c r="FN12">
        <v>335.80000000069998</v>
      </c>
      <c r="FO12">
        <v>342.30000000029997</v>
      </c>
      <c r="FP12">
        <v>348.60000000119999</v>
      </c>
      <c r="FQ12">
        <v>356.10000000090002</v>
      </c>
      <c r="FR12">
        <v>363.00000000120002</v>
      </c>
      <c r="FS12">
        <v>369.09999999989998</v>
      </c>
      <c r="FT12">
        <v>375</v>
      </c>
      <c r="FU12">
        <v>381.10000000050002</v>
      </c>
      <c r="FV12">
        <v>387.50000000070003</v>
      </c>
      <c r="FW12">
        <v>393.40000000079999</v>
      </c>
      <c r="FX12">
        <v>398.4</v>
      </c>
      <c r="FY12">
        <v>404.80000000029997</v>
      </c>
      <c r="FZ12">
        <v>410.6000000011</v>
      </c>
      <c r="GA12">
        <v>416.30000000080003</v>
      </c>
      <c r="GB12">
        <v>421.10000000140002</v>
      </c>
      <c r="GC12">
        <v>426.1999999999</v>
      </c>
      <c r="GD12">
        <v>431.20000000089999</v>
      </c>
      <c r="GE12">
        <v>435.90000000039998</v>
      </c>
      <c r="GF12">
        <v>440.70000000099998</v>
      </c>
      <c r="GG12">
        <v>444.300000001</v>
      </c>
      <c r="GH12">
        <v>448.40000000110001</v>
      </c>
      <c r="GI12">
        <v>450.60000000010001</v>
      </c>
      <c r="GJ12">
        <v>450.60000000010001</v>
      </c>
      <c r="GK12">
        <v>450.60000000010001</v>
      </c>
      <c r="GL12">
        <v>450.50000000080001</v>
      </c>
      <c r="GM12">
        <v>450.80000000050001</v>
      </c>
      <c r="GN12">
        <v>450.60000000010001</v>
      </c>
      <c r="GO12">
        <v>450.80000000050001</v>
      </c>
      <c r="GP12">
        <v>450.50000000080001</v>
      </c>
      <c r="GQ12">
        <v>450.70000000120001</v>
      </c>
      <c r="GR12">
        <v>450.70000000120001</v>
      </c>
      <c r="GS12">
        <v>450.60000000010001</v>
      </c>
      <c r="GT12">
        <v>450.50000000080001</v>
      </c>
      <c r="GU12">
        <v>450.40000000150002</v>
      </c>
      <c r="GV12">
        <v>450.60000000010001</v>
      </c>
      <c r="GW12">
        <v>1</v>
      </c>
      <c r="GX12">
        <v>111.9999999992</v>
      </c>
      <c r="GY12">
        <v>111.30000000050001</v>
      </c>
      <c r="GZ12">
        <v>111.30000000050001</v>
      </c>
      <c r="HA12">
        <v>119.09999999990001</v>
      </c>
      <c r="HB12">
        <v>113.2930353779</v>
      </c>
      <c r="HC12">
        <v>-7.7999999993999998</v>
      </c>
      <c r="HD12">
        <v>450.60006654109998</v>
      </c>
      <c r="HE12">
        <v>290.32475324389998</v>
      </c>
      <c r="HF12">
        <v>95.739037373900004</v>
      </c>
      <c r="HG12">
        <v>450.90000000160001</v>
      </c>
      <c r="HH12">
        <v>450.80000000050001</v>
      </c>
      <c r="HI12">
        <v>450.90000000160001</v>
      </c>
      <c r="HJ12">
        <v>450.80000000050001</v>
      </c>
      <c r="HK12">
        <v>112.6099706745</v>
      </c>
      <c r="HL12">
        <v>3.3895586029000002</v>
      </c>
      <c r="HM12">
        <v>3.2920907272000002</v>
      </c>
      <c r="HN12">
        <v>3.3524697511000001</v>
      </c>
      <c r="HO12">
        <v>3.2303769277000001</v>
      </c>
      <c r="HP12">
        <v>3.5872944578000001</v>
      </c>
      <c r="HQ12">
        <v>2.2768386065000001</v>
      </c>
      <c r="HR12">
        <v>17.553998004</v>
      </c>
      <c r="HS12">
        <v>-28.152492668600001</v>
      </c>
      <c r="HT12">
        <v>-192</v>
      </c>
      <c r="HU12">
        <v>403.6177886218</v>
      </c>
      <c r="HV12">
        <v>89.149560117299998</v>
      </c>
      <c r="HW12">
        <v>608</v>
      </c>
      <c r="HX12">
        <v>17.553998004</v>
      </c>
      <c r="HY12">
        <v>-28.152492668600001</v>
      </c>
      <c r="HZ12">
        <v>-192</v>
      </c>
      <c r="IA12">
        <v>403.6177886218</v>
      </c>
      <c r="IB12">
        <v>89.149560117299998</v>
      </c>
      <c r="IC12">
        <v>608</v>
      </c>
      <c r="ID12">
        <v>47.182211378700003</v>
      </c>
      <c r="IE12">
        <v>0.20129754950000001</v>
      </c>
      <c r="IF12">
        <v>-37.536656891500002</v>
      </c>
      <c r="IG12">
        <v>-256</v>
      </c>
      <c r="IH12">
        <v>425.61062437610002</v>
      </c>
      <c r="II12">
        <v>98.533724340199996</v>
      </c>
      <c r="IJ12">
        <v>672</v>
      </c>
      <c r="IK12">
        <v>386.06379061780001</v>
      </c>
      <c r="IL12">
        <v>117.3020527859</v>
      </c>
      <c r="IM12">
        <v>410.26904735469998</v>
      </c>
      <c r="IN12">
        <v>126.6862170088</v>
      </c>
      <c r="IO12">
        <v>6.5999999988000004</v>
      </c>
      <c r="IP12">
        <v>5.8000000007999999</v>
      </c>
      <c r="IQ12">
        <v>9</v>
      </c>
      <c r="IR12">
        <v>5.8947897807</v>
      </c>
      <c r="IS12">
        <v>5.8947897807</v>
      </c>
      <c r="IT12">
        <v>6.4999999995</v>
      </c>
      <c r="IU12">
        <v>-30.4985337243</v>
      </c>
      <c r="IV12">
        <v>12.0999999999</v>
      </c>
      <c r="IW12">
        <v>72.727272727300004</v>
      </c>
      <c r="IX12">
        <v>10.5000000003</v>
      </c>
      <c r="IY12">
        <v>93.841642228699996</v>
      </c>
      <c r="IZ12">
        <v>-33.793631650599998</v>
      </c>
      <c r="JA12">
        <v>0.3292061147</v>
      </c>
      <c r="JB12">
        <v>-3.4888269999999998E-4</v>
      </c>
      <c r="JC12">
        <v>7.1200000000000002E-7</v>
      </c>
      <c r="JD12">
        <v>0.2950236645</v>
      </c>
      <c r="JE12">
        <v>0.27328076559999998</v>
      </c>
      <c r="JF12">
        <v>9.2473493399999995E-2</v>
      </c>
      <c r="JG12">
        <v>113.569782238</v>
      </c>
      <c r="JH12">
        <v>3.5872944578000001</v>
      </c>
      <c r="JI12">
        <v>3.0537005000000001E-3</v>
      </c>
      <c r="JJ12">
        <v>-7.7797800000000002E-5</v>
      </c>
      <c r="JK12">
        <v>3.3895586029000002</v>
      </c>
      <c r="JL12">
        <v>1.0945627143000001</v>
      </c>
      <c r="JM12">
        <v>0.47667236019999998</v>
      </c>
      <c r="JN12" t="s">
        <v>524</v>
      </c>
      <c r="JQ12">
        <v>1</v>
      </c>
    </row>
    <row r="13" spans="1:277">
      <c r="A13" t="s">
        <v>669</v>
      </c>
      <c r="B13" t="s">
        <v>670</v>
      </c>
      <c r="C13" t="s">
        <v>209</v>
      </c>
      <c r="D13">
        <v>3</v>
      </c>
      <c r="E13" t="s">
        <v>210</v>
      </c>
      <c r="F13" t="s">
        <v>211</v>
      </c>
      <c r="G13" t="s">
        <v>523</v>
      </c>
      <c r="H13" t="s">
        <v>528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5.9000000001000004</v>
      </c>
      <c r="R13">
        <v>1.8</v>
      </c>
      <c r="S13">
        <v>1.9000000011</v>
      </c>
      <c r="T13">
        <v>1.7000000007</v>
      </c>
      <c r="U13">
        <v>1.8</v>
      </c>
      <c r="V13">
        <v>1.2999999999</v>
      </c>
      <c r="W13">
        <v>1.400000001</v>
      </c>
      <c r="X13">
        <v>0.90000000089999999</v>
      </c>
      <c r="Y13">
        <v>0.79999999980000003</v>
      </c>
      <c r="Z13">
        <v>0.90000000089999999</v>
      </c>
      <c r="AA13">
        <v>0.79999999980000003</v>
      </c>
      <c r="AB13">
        <v>0.7000000005</v>
      </c>
      <c r="AC13">
        <v>0.59999999940000004</v>
      </c>
      <c r="AD13">
        <v>0.50000000010000001</v>
      </c>
      <c r="AE13">
        <v>0.29999999970000002</v>
      </c>
      <c r="AF13">
        <v>0.1000000011</v>
      </c>
      <c r="AG13">
        <v>0</v>
      </c>
      <c r="AH13">
        <v>3.6</v>
      </c>
      <c r="AI13">
        <v>9.7999999998000007</v>
      </c>
      <c r="AJ13">
        <v>16.499999999700002</v>
      </c>
      <c r="AK13">
        <v>23.499999999300002</v>
      </c>
      <c r="AL13">
        <v>31.300000000600001</v>
      </c>
      <c r="AM13">
        <v>38.200000000899998</v>
      </c>
      <c r="AN13">
        <v>45.299999999800001</v>
      </c>
      <c r="AO13">
        <v>52.499999999800004</v>
      </c>
      <c r="AP13">
        <v>59.800000000899999</v>
      </c>
      <c r="AQ13">
        <v>67.300000000599994</v>
      </c>
      <c r="AR13">
        <v>75.200000001099994</v>
      </c>
      <c r="AS13">
        <v>84.300000000400004</v>
      </c>
      <c r="AT13">
        <v>91.399999999299993</v>
      </c>
      <c r="AU13">
        <v>99.400000000999995</v>
      </c>
      <c r="AV13">
        <v>107.29999999970001</v>
      </c>
      <c r="AW13">
        <v>115.70000000029999</v>
      </c>
      <c r="AX13">
        <v>124.1000000009</v>
      </c>
      <c r="AY13">
        <v>132.9999999998</v>
      </c>
      <c r="AZ13">
        <v>140.800000001</v>
      </c>
      <c r="BA13">
        <v>149.49999999950001</v>
      </c>
      <c r="BB13">
        <v>157.80000000090001</v>
      </c>
      <c r="BC13">
        <v>165.80000000070001</v>
      </c>
      <c r="BD13">
        <v>173.8999999998</v>
      </c>
      <c r="BE13">
        <v>182.39999999969999</v>
      </c>
      <c r="BF13">
        <v>190.50000000060001</v>
      </c>
      <c r="BG13">
        <v>199.09999999979999</v>
      </c>
      <c r="BH13">
        <v>207.20000000069999</v>
      </c>
      <c r="BI13">
        <v>214.90000000090001</v>
      </c>
      <c r="BJ13">
        <v>223.2000000004</v>
      </c>
      <c r="BK13">
        <v>231.29999999949999</v>
      </c>
      <c r="BL13">
        <v>239.9000000005</v>
      </c>
      <c r="BM13">
        <v>247.19999999980001</v>
      </c>
      <c r="BN13">
        <v>255.19999999960001</v>
      </c>
      <c r="BO13">
        <v>262.39999999960003</v>
      </c>
      <c r="BP13">
        <v>270.0999999997</v>
      </c>
      <c r="BQ13">
        <v>277.59999999939998</v>
      </c>
      <c r="BR13">
        <v>285.20000000030001</v>
      </c>
      <c r="BS13">
        <v>292.7</v>
      </c>
      <c r="BT13">
        <v>300.19999999970003</v>
      </c>
      <c r="BU13">
        <v>307.69999999940001</v>
      </c>
      <c r="BV13">
        <v>314.50000000040001</v>
      </c>
      <c r="BW13">
        <v>321.10000000100001</v>
      </c>
      <c r="BX13">
        <v>327.99999999950001</v>
      </c>
      <c r="BY13">
        <v>334.60000000010001</v>
      </c>
      <c r="BZ13">
        <v>342.09999999979999</v>
      </c>
      <c r="CA13">
        <v>348.29999999969999</v>
      </c>
      <c r="CB13">
        <v>355.10000000069999</v>
      </c>
      <c r="CC13">
        <v>361.5000000009</v>
      </c>
      <c r="CD13">
        <v>367.09999999950003</v>
      </c>
      <c r="CE13">
        <v>373.2</v>
      </c>
      <c r="CF13">
        <v>378.89999999970001</v>
      </c>
      <c r="CG13">
        <v>384.50000000009999</v>
      </c>
      <c r="CH13">
        <v>391.30000000109999</v>
      </c>
      <c r="CI13">
        <v>396.6</v>
      </c>
      <c r="CJ13">
        <v>402.70000000060003</v>
      </c>
      <c r="CK13">
        <v>408.49999999950001</v>
      </c>
      <c r="CL13">
        <v>413.59999999989998</v>
      </c>
      <c r="CM13">
        <v>418.49999999980002</v>
      </c>
      <c r="CN13">
        <v>423.80000000050001</v>
      </c>
      <c r="CO13">
        <v>428.7000000004</v>
      </c>
      <c r="CP13">
        <v>433.69999999959998</v>
      </c>
      <c r="CQ13">
        <v>438.90000000100002</v>
      </c>
      <c r="CR13">
        <v>444.80000000109999</v>
      </c>
      <c r="CS13">
        <v>448.89999999939999</v>
      </c>
      <c r="CT13">
        <v>453.7</v>
      </c>
      <c r="CU13">
        <v>457.8000000001</v>
      </c>
      <c r="CV13">
        <v>458.59999999989998</v>
      </c>
      <c r="CW13">
        <v>458.50000000059998</v>
      </c>
      <c r="CX13">
        <v>458.70000000099998</v>
      </c>
      <c r="CY13">
        <v>458.70000000099998</v>
      </c>
      <c r="CZ13">
        <v>458.80000000029997</v>
      </c>
      <c r="DA13">
        <v>458.80000000029997</v>
      </c>
      <c r="DB13">
        <v>458.70000000099998</v>
      </c>
      <c r="DC13">
        <v>458.89999999960003</v>
      </c>
      <c r="DD13">
        <v>458.70000000099998</v>
      </c>
      <c r="DE13">
        <v>458.59999999989998</v>
      </c>
      <c r="DF13">
        <v>458.50000000059998</v>
      </c>
      <c r="DG13">
        <v>6.4999999995</v>
      </c>
      <c r="DH13">
        <v>2.8999999994999999</v>
      </c>
      <c r="DI13">
        <v>2.7000000008999998</v>
      </c>
      <c r="DJ13">
        <v>2.3999999993999999</v>
      </c>
      <c r="DK13">
        <v>2.5000000005</v>
      </c>
      <c r="DL13">
        <v>2.0999999997000001</v>
      </c>
      <c r="DM13">
        <v>2.0999999997000001</v>
      </c>
      <c r="DN13">
        <v>1.9000000011</v>
      </c>
      <c r="DO13">
        <v>1.9000000011</v>
      </c>
      <c r="DP13">
        <v>1.8</v>
      </c>
      <c r="DQ13">
        <v>1.400000001</v>
      </c>
      <c r="DR13">
        <v>1.5000000003</v>
      </c>
      <c r="DS13">
        <v>1.2000000006</v>
      </c>
      <c r="DT13">
        <v>1.2000000006</v>
      </c>
      <c r="DU13">
        <v>1.2000000006</v>
      </c>
      <c r="DV13">
        <v>1.0999999995</v>
      </c>
      <c r="DW13">
        <v>2.7000000008999998</v>
      </c>
      <c r="DX13">
        <v>9.2000000003999993</v>
      </c>
      <c r="DY13">
        <v>16.1000000007</v>
      </c>
      <c r="DZ13">
        <v>23.4</v>
      </c>
      <c r="EA13">
        <v>31.300000000600001</v>
      </c>
      <c r="EB13">
        <v>38.000000000500002</v>
      </c>
      <c r="EC13">
        <v>45.200000000499998</v>
      </c>
      <c r="ED13">
        <v>52.700000000199999</v>
      </c>
      <c r="EE13">
        <v>59.699999999799999</v>
      </c>
      <c r="EF13">
        <v>67.100000000199998</v>
      </c>
      <c r="EG13">
        <v>74.700000001000006</v>
      </c>
      <c r="EH13">
        <v>83.500000000599996</v>
      </c>
      <c r="EI13">
        <v>90.700000000700001</v>
      </c>
      <c r="EJ13">
        <v>98.799999999799994</v>
      </c>
      <c r="EK13">
        <v>107</v>
      </c>
      <c r="EL13">
        <v>115.1000000009</v>
      </c>
      <c r="EM13">
        <v>123.7000000001</v>
      </c>
      <c r="EN13">
        <v>132.9000000005</v>
      </c>
      <c r="EO13">
        <v>140.49999999950001</v>
      </c>
      <c r="EP13">
        <v>148.6000000004</v>
      </c>
      <c r="EQ13">
        <v>157.1000000004</v>
      </c>
      <c r="ER13">
        <v>165.0000000009</v>
      </c>
      <c r="ES13">
        <v>173.50000000079999</v>
      </c>
      <c r="ET13">
        <v>182.60000000010001</v>
      </c>
      <c r="EU13">
        <v>190.39999999950001</v>
      </c>
      <c r="EV13">
        <v>199.00000000049999</v>
      </c>
      <c r="EW13">
        <v>207.5999999997</v>
      </c>
      <c r="EX13">
        <v>215.400000001</v>
      </c>
      <c r="EY13">
        <v>223.59999999940001</v>
      </c>
      <c r="EZ13">
        <v>231.20000000019999</v>
      </c>
      <c r="FA13">
        <v>240.1000000009</v>
      </c>
      <c r="FB13">
        <v>247.800000001</v>
      </c>
      <c r="FC13">
        <v>256.10000000050002</v>
      </c>
      <c r="FD13">
        <v>263.80000000059999</v>
      </c>
      <c r="FE13">
        <v>271.80000000040002</v>
      </c>
      <c r="FF13">
        <v>279.39999999939999</v>
      </c>
      <c r="FG13">
        <v>287.7000000008</v>
      </c>
      <c r="FH13">
        <v>294.90000000079999</v>
      </c>
      <c r="FI13">
        <v>302.40000000049997</v>
      </c>
      <c r="FJ13">
        <v>309.90000000020001</v>
      </c>
      <c r="FK13">
        <v>316.69999999940001</v>
      </c>
      <c r="FL13">
        <v>324.00000000049999</v>
      </c>
      <c r="FM13">
        <v>331.00000000009999</v>
      </c>
      <c r="FN13">
        <v>339.1000000011</v>
      </c>
      <c r="FO13">
        <v>345.40000000020001</v>
      </c>
      <c r="FP13">
        <v>352.3999999998</v>
      </c>
      <c r="FQ13">
        <v>359.0999999997</v>
      </c>
      <c r="FR13">
        <v>365.10000000090002</v>
      </c>
      <c r="FS13">
        <v>371.19999999959998</v>
      </c>
      <c r="FT13">
        <v>377.59999999979999</v>
      </c>
      <c r="FU13">
        <v>383.29999999950002</v>
      </c>
      <c r="FV13">
        <v>390.30000000090001</v>
      </c>
      <c r="FW13">
        <v>395.70000000089999</v>
      </c>
      <c r="FX13">
        <v>402</v>
      </c>
      <c r="FY13">
        <v>407.80000000090001</v>
      </c>
      <c r="FZ13">
        <v>413.39999999949998</v>
      </c>
      <c r="GA13">
        <v>418.70000000020002</v>
      </c>
      <c r="GB13">
        <v>423.8999999998</v>
      </c>
      <c r="GC13">
        <v>428.7000000004</v>
      </c>
      <c r="GD13">
        <v>433.39999999989999</v>
      </c>
      <c r="GE13">
        <v>438.29999999979998</v>
      </c>
      <c r="GF13">
        <v>443.80000000090001</v>
      </c>
      <c r="GG13">
        <v>447.70000000060003</v>
      </c>
      <c r="GH13">
        <v>452.19999999970003</v>
      </c>
      <c r="GI13">
        <v>456.00000000009999</v>
      </c>
      <c r="GJ13">
        <v>458.50000000059998</v>
      </c>
      <c r="GK13">
        <v>458.70000000099998</v>
      </c>
      <c r="GL13">
        <v>458.59999999989998</v>
      </c>
      <c r="GM13">
        <v>458.70000000099998</v>
      </c>
      <c r="GN13">
        <v>458.50000000059998</v>
      </c>
      <c r="GO13">
        <v>458.39999999949998</v>
      </c>
      <c r="GP13">
        <v>458.59999999989998</v>
      </c>
      <c r="GQ13">
        <v>458.59999999989998</v>
      </c>
      <c r="GR13">
        <v>458.50000000059998</v>
      </c>
      <c r="GS13">
        <v>458.50000000059998</v>
      </c>
      <c r="GT13">
        <v>458.80000000029997</v>
      </c>
      <c r="GU13">
        <v>458.59999999989998</v>
      </c>
      <c r="GV13">
        <v>458.80000000029997</v>
      </c>
      <c r="GW13">
        <v>1</v>
      </c>
      <c r="GX13">
        <v>112.8000000008</v>
      </c>
      <c r="GY13">
        <v>115.70000000029999</v>
      </c>
      <c r="GZ13">
        <v>115.70000000029999</v>
      </c>
      <c r="HA13">
        <v>123.7000000001</v>
      </c>
      <c r="HB13">
        <v>117.78741144440001</v>
      </c>
      <c r="HC13">
        <v>-7.9999999998</v>
      </c>
      <c r="HD13">
        <v>458.79993460520001</v>
      </c>
      <c r="HE13">
        <v>282.7641525885</v>
      </c>
      <c r="HF13">
        <v>100.98734604960001</v>
      </c>
      <c r="HG13">
        <v>458.89999999960003</v>
      </c>
      <c r="HH13">
        <v>458.80000000029997</v>
      </c>
      <c r="HI13">
        <v>458.89999999960003</v>
      </c>
      <c r="HJ13">
        <v>458.80000000029997</v>
      </c>
      <c r="HK13">
        <v>114.9560117302</v>
      </c>
      <c r="HL13">
        <v>3.3712030055</v>
      </c>
      <c r="HM13">
        <v>3.2773832280000001</v>
      </c>
      <c r="HN13">
        <v>3.3261765346000001</v>
      </c>
      <c r="HO13">
        <v>3.0832327121000001</v>
      </c>
      <c r="HP13">
        <v>3.5332446621</v>
      </c>
      <c r="HQ13">
        <v>2.3293393992000002</v>
      </c>
      <c r="HR13">
        <v>16.800065394800001</v>
      </c>
      <c r="HS13">
        <v>-30.4985337243</v>
      </c>
      <c r="HT13">
        <v>-208</v>
      </c>
      <c r="HU13">
        <v>400.55156403289999</v>
      </c>
      <c r="HV13">
        <v>86.803519061599999</v>
      </c>
      <c r="HW13">
        <v>592</v>
      </c>
      <c r="HX13">
        <v>16.800065394800001</v>
      </c>
      <c r="HY13">
        <v>-30.4985337243</v>
      </c>
      <c r="HZ13">
        <v>-208</v>
      </c>
      <c r="IA13">
        <v>400.55156403289999</v>
      </c>
      <c r="IB13">
        <v>86.803519061599999</v>
      </c>
      <c r="IC13">
        <v>592</v>
      </c>
      <c r="ID13">
        <v>58.248435967399999</v>
      </c>
      <c r="IE13">
        <v>0.101307903</v>
      </c>
      <c r="IF13">
        <v>-39.8826979472</v>
      </c>
      <c r="IG13">
        <v>-272</v>
      </c>
      <c r="IH13">
        <v>423.00190735669997</v>
      </c>
      <c r="II13">
        <v>96.187683284499997</v>
      </c>
      <c r="IJ13">
        <v>656</v>
      </c>
      <c r="IK13">
        <v>383.75149863809997</v>
      </c>
      <c r="IL13">
        <v>117.3020527859</v>
      </c>
      <c r="IM13">
        <v>408.53933514940002</v>
      </c>
      <c r="IN13">
        <v>126.6862170088</v>
      </c>
      <c r="IO13">
        <v>6.9000000003000004</v>
      </c>
      <c r="IP13">
        <v>5.9000000001000004</v>
      </c>
      <c r="IQ13">
        <v>9.2000000003999993</v>
      </c>
      <c r="IR13">
        <v>5.4006534741000003</v>
      </c>
      <c r="IS13">
        <v>5.4006534741000003</v>
      </c>
      <c r="IT13">
        <v>6.3000000008999999</v>
      </c>
      <c r="IU13">
        <v>-32.844574780099997</v>
      </c>
      <c r="IV13">
        <v>11.4000000012</v>
      </c>
      <c r="IW13">
        <v>82.1114369501</v>
      </c>
      <c r="IX13">
        <v>10.699999998899999</v>
      </c>
      <c r="IY13">
        <v>91.495601172999997</v>
      </c>
      <c r="IZ13">
        <v>-36.069188574499996</v>
      </c>
      <c r="JA13">
        <v>0.34021085849999999</v>
      </c>
      <c r="JB13">
        <v>-3.7614279999999999E-4</v>
      </c>
      <c r="JC13">
        <v>7.3099999999999997E-7</v>
      </c>
      <c r="JD13">
        <v>0.29663001560000002</v>
      </c>
      <c r="JE13">
        <v>0.23484264299999999</v>
      </c>
      <c r="JF13">
        <v>0.1054578639</v>
      </c>
      <c r="JG13">
        <v>118.2511376157</v>
      </c>
      <c r="JH13">
        <v>3.5332446621</v>
      </c>
      <c r="JI13">
        <v>3.6564129999999999E-3</v>
      </c>
      <c r="JJ13">
        <v>-8.13413E-5</v>
      </c>
      <c r="JK13">
        <v>3.3712030055</v>
      </c>
      <c r="JL13">
        <v>1.2532515693999999</v>
      </c>
      <c r="JM13">
        <v>0.48542794109999998</v>
      </c>
      <c r="JN13" t="s">
        <v>524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85.113824411799996</v>
      </c>
      <c r="D16" s="9">
        <f>AVERAGE(C18:C20)</f>
        <v>84.213371348099997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77.689333013999999</v>
      </c>
      <c r="D17" s="9">
        <f>AVERAGE(C21:C23)</f>
        <v>82.681865127866658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83.742738054</v>
      </c>
      <c r="D18" s="11">
        <f>AVERAGE(C24:C26)</f>
        <v>82.473689354800001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80.559728214800003</v>
      </c>
      <c r="D19" s="6">
        <f>AVERAGE('Summary(3pcs)'!E34:E35)</f>
        <v>144.4873861116879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88.337647775500002</v>
      </c>
      <c r="D20" s="9">
        <f>AVERAGE('Summary(3pcs)'!E36:E38)</f>
        <v>136.16694325600457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77.112007906299993</v>
      </c>
      <c r="D21" s="9">
        <f>AVERAGE('Summary(3pcs)'!E39:E41)</f>
        <v>139.71945922540456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84.717767569599999</v>
      </c>
      <c r="D22" s="11">
        <f>AVERAGE('Summary(3pcs)'!E42:E44)</f>
        <v>139.88836260830456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86.215819907699995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84.130239228899995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82.194153049999997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81.096675785499997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9.4954011211000005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6.5664628830999998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2.6091580743999998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1.0386193659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-3.2212150521999998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5.0682688546000003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4.5490762183999998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-10.207166275800001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4.9274103611250002</v>
      </c>
      <c r="C39" s="5">
        <f>'Summary(3pcs)'!M34</f>
        <v>9.4954011211000005</v>
      </c>
      <c r="D39" s="11">
        <f t="shared" si="0"/>
        <v>-3.9394423126000002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6.5664628830999998</v>
      </c>
      <c r="D40" s="6">
        <f t="shared" si="0"/>
        <v>-5.1809414742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2.6091580743999998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1.0386193659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-0.95275906375000008</v>
      </c>
      <c r="C43" s="8">
        <f>'Summary(3pcs)'!M39</f>
        <v>-3.2212150521999998</v>
      </c>
      <c r="D43" s="6">
        <f t="shared" ref="D43:D54" si="2">C55</f>
        <v>-6.1234816474000002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5.0682688546000003</v>
      </c>
      <c r="D44" s="9">
        <f t="shared" si="2"/>
        <v>-7.3086591125999991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4.5490762183999998</v>
      </c>
      <c r="D45" s="11">
        <f t="shared" si="2"/>
        <v>-9.7598530720000003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-10.207166275800001</v>
      </c>
      <c r="D46" s="6">
        <f t="shared" si="2"/>
        <v>-17.540120458899999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-3.9394423126000002</v>
      </c>
      <c r="D47" s="9">
        <f t="shared" si="2"/>
        <v>-12.445638667099999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-5.1809414742</v>
      </c>
      <c r="D48" s="11">
        <f t="shared" si="2"/>
        <v>-5.1367462608000007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-2.9514758926000004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-1.4831969805999998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-6.0164535928999996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-6.7228750754999993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-10.183028572725</v>
      </c>
      <c r="C55" s="5">
        <f>'Summary(3pcs)'!N34</f>
        <v>-6.1234816474000002</v>
      </c>
      <c r="D55" s="6">
        <f>AVERAGE(D31:D33)</f>
        <v>6.2236740262000003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-7.3086591125999991</v>
      </c>
      <c r="D56" s="9">
        <f>AVERAGE(D34:D36)</f>
        <v>0.96189105610000014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-9.7598530720000003</v>
      </c>
      <c r="D57" s="9">
        <f>AVERAGE(D37:D39)</f>
        <v>-3.1991774566666673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-17.540120458899999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-5.5042644502750004</v>
      </c>
      <c r="C59" s="8">
        <f>'Summary(3pcs)'!N39</f>
        <v>-12.445638667099999</v>
      </c>
      <c r="D59" s="9">
        <f>AVERAGE(D43:D45)</f>
        <v>-7.7306646106666674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-5.1367462608000007</v>
      </c>
      <c r="D60" s="9">
        <f>AVERAGE(D46:D48)</f>
        <v>-11.707501795600001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-2.9514758926000004</v>
      </c>
      <c r="D61" s="9">
        <f>AVERAGE(D49:D51)</f>
        <v>-3.4837088220333334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-1.4831969805999998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-6.0164535928999996</v>
      </c>
      <c r="D63" s="6">
        <f>AVERAGE(C71:C73)</f>
        <v>-5.3043222030000008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-6.7228750754999993</v>
      </c>
      <c r="D64" s="9">
        <f>AVERAGE(C74:C76)</f>
        <v>-7.7013073365000002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-4.8369756937000004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-4.813544193866667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-5.9095295270000001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-2.7769584854333331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0.15687503916666681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-0.28663249810000008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-11.534246445000001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-2.4018176790000001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-1.9769024850000001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-5.6855837106999996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-7.0306787490999998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-10.3876595497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-7.2204624414000005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-4.7879972457999997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-2.5024673938999999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-7.9566863775000005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-2.3735594749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-4.1103867292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-5.3353281020000001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-6.7178950309999994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-5.675365448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-2.8429645300000002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-3.6588305830999999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-1.8290803432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0.30901288989999998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3.2285013199000003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-3.0668890922999998</v>
      </c>
    </row>
    <row r="96" spans="1:7">
      <c r="A96" s="1" t="s">
        <v>87</v>
      </c>
      <c r="C96" s="5">
        <f>'Summary(3pcs)'!W43</f>
        <v>1.6201496123999997</v>
      </c>
    </row>
    <row r="97" spans="1:3">
      <c r="A97" s="1" t="s">
        <v>87</v>
      </c>
      <c r="C97" s="8">
        <f>'Summary(3pcs)'!W44</f>
        <v>1.7344799041999996</v>
      </c>
    </row>
    <row r="98" spans="1:3" ht="17.25" thickBot="1">
      <c r="A98" s="1" t="s">
        <v>87</v>
      </c>
      <c r="C98" s="10">
        <f>'Summary(3pcs)'!W45</f>
        <v>-4.2145270108999995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2022-09-23T12:43:27Z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