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<sst xmlns="http://schemas.openxmlformats.org/spreadsheetml/2006/main" count="1419" uniqueCount="671">
  <si>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</si>
  <si>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</si>
  <si>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</si>
  <si>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</si>
  <si>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</si>
  <si>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</si>
  <si>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</si>
  <si>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</si>
  <si>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</si>
  <si>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</si>
  <si>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</si>
  <si>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</si>
  <si>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</si>
  <si>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</si>
  <si>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</si>
  <si>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</si>
  <si>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</si>
  <si>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</si>
  <si>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</si>
  <si>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</si>
  <si>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</si>
  <si>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</si>
  <si>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</si>
  <si>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</si>
  <si>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</si>
  <si>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</si>
  <si>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</si>
  <si>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</si>
  <si>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</si>
  <si>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</si>
  <si>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</si>
  <si>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</si>
  <si>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</si>
  <si>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</si>
  <si>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</si>
  <si>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</si>
  <si>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</si>
  <si>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</si>
  <si>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</si>
  <si>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</si>
  <si>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</si>
  <si>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</si>
  <si>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</si>
  <si>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</si>
  <si>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</si>
  <si>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</si>
  <si>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</si>
  <si>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</si>
  <si>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</si>
  <si>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</si>
  <si>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</si>
  <si>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</si>
  <si>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</si>
  <si>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</si>
  <si>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</si>
  <si>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</si>
  <si>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</si>
  <si>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</si>
  <si>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</si>
  <si>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</si>
  <si>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</si>
  <si>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</si>
  <si>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</si>
  <si>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</si>
  <si>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</si>
  <si>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</si>
  <si>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</si>
  <si>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</si>
  <si>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</si>
  <si>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</si>
  <si>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</si>
  <si>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</si>
  <si>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</si>
  <si>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</si>
  <si>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</si>
  <si>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</si>
  <si>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</si>
  <si>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</si>
  <si>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</si>
  <si>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</si>
  <si>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</si>
  <si>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</si>
  <si>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</si>
  <si>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</si>
  <si>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</si>
  <si>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</si>
  <si>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</si>
  <si>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</si>
  <si>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</si>
  <si>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</si>
  <si>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</si>
  <si>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</si>
  <si>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</si>
  <si>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</si>
  <si>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</si>
  <si>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</si>
  <si>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</si>
  <si>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</si>
  <si>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</si>
  <si>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</si>
  <si>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</si>
  <si>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</si>
  <si>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</si>
  <si>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</si>
  <si>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</si>
  <si>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</si>
  <si>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</si>
  <si>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</si>
  <si>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</si>
  <si>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</si>
  <si>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</si>
  <si>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</si>
  <si>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</si>
  <si>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</si>
  <si>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</si>
  <si>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</si>
  <si>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</si>
  <si>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</si>
  <si>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</si>
  <si>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</si>
  <si>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</si>
  <si>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</si>
  <si>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</si>
  <si>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</si>
  <si>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</si>
  <si>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</si>
  <si>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</si>
  <si>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</si>
  <si>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</si>
  <si>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</si>
  <si>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</si>
  <si>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</si>
  <si>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</si>
  <si>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</si>
  <si>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</si>
  <si>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</si>
  <si>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</si>
  <si>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</si>
  <si>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</si>
  <si>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</si>
  <si>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</si>
  <si>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</si>
  <si>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</si>
  <si>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</si>
  <si>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</si>
  <si>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</si>
  <si>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</si>
  <si>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</si>
  <si>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</si>
  <si>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</si>
  <si>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</si>
  <si>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</si>
  <si>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</si>
  <si>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</si>
  <si>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</si>
  <si>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</si>
  <si>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</si>
  <si>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</si>
  <si>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</si>
  <si>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</si>
  <si>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</si>
  <si>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</si>
  <si>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</si>
  <si>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</si>
  <si>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</si>
  <si>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</si>
  <si>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</si>
  <si>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</si>
  <si>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</si>
  <si>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</si>
  <si>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</si>
  <si>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</si>
  <si>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</si>
  <si>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 VSY832XN9P13_2022092320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</si>
  <si>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</si>
  <si>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</si>
  <si>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</si>
  <si>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</si>
  <si>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</si>
  <si>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</si>
  <si>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</si>
  <si>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</si>
  <si>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</si>
  <si>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</si>
  <si>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</si>
  <si>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</si>
  <si>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</si>
  <si>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</si>
  <si>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</si>
  <si>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</si>
  <si>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</si>
  <si>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</si>
  <si>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</si>
  <si>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</si>
  <si>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</si>
  <si>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</si>
  <si>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</si>
  <si>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</si>
  <si>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</si>
  <si>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</si>
  <si>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</si>
  <si>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</si>
  <si>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</si>
  <si>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</si>
  <si>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</si>
  <si>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</si>
  <si>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</si>
  <si>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</si>
  <si>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</si>
  <si>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</si>
  <si>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T220923201326790VCMLEBC060</t>
  </si>
  <si>
    <t>'2022-09-23 20:13:35:936</t>
  </si>
  <si>
    <t>VCMLEBC060A</t>
  </si>
  <si>
    <t>DB_C1001</t>
  </si>
  <si>
    <t>210615ADOE</t>
  </si>
  <si>
    <t>R13A_OC_MFG_C10_21091603_b1779c9</t>
  </si>
  <si>
    <t xml:space="preserve"> VSY832XN9P13</t>
  </si>
  <si>
    <t>22cb59100747</t>
  </si>
  <si>
    <t>0x52800662a744c804</t>
  </si>
  <si>
    <t>MF9C3739A54F34B6A940043132</t>
  </si>
  <si>
    <t>MF4C3464BDW714A7A632</t>
  </si>
  <si>
    <t>DNA22301023920G12A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</si>
  <si>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</si>
  <si>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</si>
  <si>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</si>
  <si>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</si>
  <si>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</si>
  <si>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</si>
  <si>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T220923201445059VCMLEBC060</t>
  </si>
  <si>
    <t>'2022-09-23 20:14:53:882</t>
  </si>
  <si>
    <t>22cb59100332</t>
  </si>
  <si>
    <t>0x52800562a7460707</t>
  </si>
  <si>
    <t>MF9C3739A4Y634B6A937065126</t>
  </si>
  <si>
    <t>MF4C3464BDWB14A7A639</t>
  </si>
  <si>
    <t>DNA22301023960F09A</t>
  </si>
  <si>
    <t>T220923201558307VCMLEBC060</t>
  </si>
  <si>
    <t>'2022-09-23 20:16:07:159</t>
  </si>
  <si>
    <t>22cb59100245</t>
  </si>
  <si>
    <t>0x52800662a7448705</t>
  </si>
  <si>
    <t>MF9C3739A54634B6A840028130</t>
  </si>
  <si>
    <t>MF4C3464BDW814A7A626</t>
  </si>
  <si>
    <t>DNA22301023920H04A</t>
  </si>
  <si>
    <t>T220923201757272VCMLEBC060</t>
  </si>
  <si>
    <t>'2022-09-23 20:18:06:524</t>
  </si>
  <si>
    <t>22cb59110759</t>
  </si>
  <si>
    <t>0x52800662a74ca304</t>
  </si>
  <si>
    <t>MF9C3739A5GR34B6A138102142</t>
  </si>
  <si>
    <t>MF4C3464BDW214A7A645</t>
  </si>
  <si>
    <t>DNA22301023920H06A</t>
  </si>
  <si>
    <t>T220923201909356VCMLEBC060</t>
  </si>
  <si>
    <t>'2022-09-23 20:19:18:260</t>
  </si>
  <si>
    <t>22cb59110495</t>
  </si>
  <si>
    <t>0x52800662a7443801</t>
  </si>
  <si>
    <t>MF9C3739A5ES34B6B141024136</t>
  </si>
  <si>
    <t>MF4C3464BDWC14A7A637</t>
  </si>
  <si>
    <t>DNA22301023920G09A</t>
  </si>
  <si>
    <t>T220923202204098VCMLEBC060</t>
  </si>
  <si>
    <t>'2022-09-23 20:22:13:421</t>
  </si>
  <si>
    <t>22cb59100244</t>
  </si>
  <si>
    <t>0x52800662a7448402</t>
  </si>
  <si>
    <t>MF9C3739A53C34B6A440027127</t>
  </si>
  <si>
    <t>MF4C3464BDWR14A7A641</t>
  </si>
  <si>
    <t>DNA22297010860H04A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</si>
  <si>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</si>
  <si>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</si>
  <si>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</si>
  <si>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</si>
  <si>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</si>
  <si>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</si>
  <si>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</si>
  <si>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</si>
  <si>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</si>
  <si>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</si>
  <si>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</si>
  <si>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</si>
  <si>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</si>
  <si>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</si>
  <si>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</si>
  <si>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</si>
  <si>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</si>
  <si>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</si>
  <si>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</si>
  <si>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</si>
  <si>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</si>
  <si>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</si>
  <si>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</si>
  <si>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</si>
  <si>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</si>
  <si>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</si>
  <si>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</si>
  <si>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</si>
  <si>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</si>
  <si>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</si>
  <si>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</si>
  <si>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T220923201353396VCMLEBC060</t>
  </si>
  <si>
    <t>'2022-09-23 20:14:23:790</t>
  </si>
  <si>
    <t>R13A_IPQC_MFG_SFR_InfDn_C10_21090805_b1779c9</t>
  </si>
  <si>
    <t>D6x_Wide</t>
  </si>
  <si>
    <t>Normal</t>
  </si>
  <si>
    <t>T220923201511290VCMLEBC060</t>
  </si>
  <si>
    <t>'2022-09-23 20:15:40:057</t>
  </si>
  <si>
    <t>T220923201624618VCMLEBC060</t>
  </si>
  <si>
    <t>'2022-09-23 20:16:53:604</t>
  </si>
  <si>
    <t>T220923201823964VCMLEBC060</t>
  </si>
  <si>
    <t>'2022-09-23 20:18:54:293</t>
  </si>
  <si>
    <t>T220923201935682VCMLEBC060</t>
  </si>
  <si>
    <t>'2022-09-23 20:20:05:158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</si>
  <si>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</si>
  <si>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</si>
  <si>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</si>
  <si>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</si>
  <si>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</si>
  <si>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</si>
  <si>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</si>
  <si>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</si>
  <si>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</si>
  <si>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</si>
  <si>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</si>
  <si>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</si>
  <si>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</si>
  <si>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20:14:13:764</t>
  </si>
  <si>
    <t>'2022-09-23 20:15:30:027</t>
  </si>
  <si>
    <t>'2022-09-23 20:16:43:577</t>
  </si>
  <si>
    <t>'2022-09-23 20:18:44:269</t>
  </si>
  <si>
    <t>'2022-09-23 20:19:55:131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</si>
  <si>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</si>
  <si>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</si>
  <si>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</si>
  <si>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</si>
  <si>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</si>
  <si>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</si>
  <si>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</si>
  <si>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</si>
  <si>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</si>
  <si>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</si>
  <si>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</si>
  <si>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</si>
  <si>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</si>
  <si>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</si>
  <si>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</si>
  <si>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</si>
  <si>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</si>
  <si>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</si>
  <si>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</si>
  <si>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</si>
  <si>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</si>
  <si>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</si>
  <si>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</si>
  <si>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</si>
  <si>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</si>
  <si>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</si>
  <si>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</si>
  <si>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</si>
  <si>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</si>
  <si>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</si>
  <si>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</si>
  <si>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</si>
  <si>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</si>
  <si>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</si>
  <si>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</si>
  <si>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</si>
  <si>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</si>
  <si>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</si>
  <si>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</si>
  <si>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</si>
  <si>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</si>
  <si>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</si>
  <si>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</si>
  <si>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</si>
  <si>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</si>
  <si>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</si>
  <si>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</si>
  <si>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</si>
  <si>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</si>
  <si>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</si>
  <si>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</si>
  <si>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</si>
  <si>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</si>
  <si>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</si>
  <si>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</si>
  <si>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</si>
  <si>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</si>
  <si>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</si>
  <si>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</si>
  <si>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</si>
  <si>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</si>
  <si>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</si>
  <si>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</si>
  <si>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</si>
  <si>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</si>
  <si>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</si>
  <si>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</si>
  <si>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</si>
  <si>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</si>
  <si>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</si>
  <si>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</si>
  <si>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</si>
  <si>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</si>
  <si>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</si>
  <si>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</si>
  <si>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</si>
  <si>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</si>
  <si>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</si>
  <si>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</si>
  <si>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</si>
  <si>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</si>
  <si>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</si>
  <si>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</si>
  <si>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</si>
  <si>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</si>
  <si>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</si>
  <si>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</si>
  <si>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</si>
  <si>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</si>
  <si>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</si>
  <si>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</si>
  <si>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</si>
  <si>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</si>
  <si>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</si>
  <si>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</si>
  <si>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</si>
  <si>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</si>
  <si>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</si>
  <si>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</si>
  <si>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</si>
  <si>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</si>
  <si>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</si>
  <si>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</si>
  <si>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</si>
  <si>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</si>
  <si>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</si>
  <si>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</si>
  <si>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</si>
  <si>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</si>
  <si>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</si>
  <si>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</si>
  <si>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</si>
  <si>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</si>
  <si>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</si>
  <si>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</si>
  <si>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</si>
  <si>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</si>
  <si>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</si>
  <si>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</si>
  <si>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</si>
  <si>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</si>
  <si>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</si>
  <si>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</si>
  <si>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</si>
  <si>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</si>
  <si>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</si>
  <si>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</si>
  <si>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</si>
  <si>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</si>
  <si>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</si>
  <si>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</si>
  <si>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</si>
  <si>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</si>
  <si>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</si>
  <si>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</si>
  <si>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</si>
  <si>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</si>
  <si>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</si>
  <si>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</si>
  <si>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</si>
  <si>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</si>
  <si>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</si>
  <si>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</si>
  <si>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</si>
  <si>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</si>
  <si>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</si>
  <si>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</si>
  <si>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</si>
  <si>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</si>
  <si>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</si>
  <si>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</si>
  <si>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</si>
  <si>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</si>
  <si>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</si>
  <si>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</si>
  <si>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</si>
  <si>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</si>
  <si>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</si>
  <si>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</si>
  <si>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</si>
  <si>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</si>
  <si>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</si>
  <si>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</si>
  <si>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</si>
  <si>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</si>
  <si>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</si>
  <si>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</si>
  <si>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</si>
  <si>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</si>
  <si>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</si>
  <si>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</si>
  <si>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</si>
  <si>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</si>
  <si>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</si>
  <si>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</si>
  <si>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</si>
  <si>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</si>
  <si>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</si>
  <si>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</si>
  <si>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</si>
  <si>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</si>
  <si>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</si>
  <si>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</si>
  <si>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</si>
  <si>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</si>
  <si>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</si>
  <si>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</si>
  <si>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</si>
  <si>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</si>
  <si>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</si>
  <si>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</si>
  <si>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</si>
  <si>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</si>
  <si>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</si>
  <si>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</si>
  <si>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</si>
  <si>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</si>
  <si>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</si>
  <si>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</si>
  <si>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</si>
  <si>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</si>
  <si>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</si>
  <si>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</si>
  <si>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</si>
  <si>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</si>
  <si>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</si>
  <si>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</si>
  <si>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</si>
  <si>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</si>
  <si>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</si>
  <si>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</si>
  <si>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</si>
  <si>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</si>
  <si>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</si>
  <si>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</si>
  <si>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</si>
  <si>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</si>
  <si>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</si>
  <si>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</si>
  <si>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</si>
  <si>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</si>
  <si>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</si>
  <si>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</si>
  <si>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</si>
  <si>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</si>
  <si>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</si>
  <si>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</si>
  <si>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</si>
  <si>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</si>
  <si>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</si>
  <si>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</si>
  <si>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</si>
  <si>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</si>
  <si>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</si>
  <si>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</si>
  <si>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</si>
  <si>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</si>
  <si>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</si>
  <si>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</si>
  <si>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</si>
  <si>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</si>
  <si>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</si>
  <si>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</si>
  <si>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</si>
  <si>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</si>
  <si>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</si>
  <si>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</si>
  <si>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</si>
  <si>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</si>
  <si>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</si>
  <si>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</si>
  <si>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</si>
  <si>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</si>
  <si>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</si>
  <si>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</si>
  <si>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</si>
  <si>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</si>
  <si>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T220923201338584VCMLEBC060</t>
  </si>
  <si>
    <t>'2022-09-23 20:13:51:119</t>
  </si>
  <si>
    <t>R13A_IPQC_MFG_Laser_C10_21090805_b1779c9</t>
  </si>
  <si>
    <t>v9p4</t>
  </si>
  <si>
    <t>T220923201456541VCMLEBC060</t>
  </si>
  <si>
    <t>'2022-09-23 20:15:09:072</t>
  </si>
  <si>
    <t>T220923201609854VCMLEBC060</t>
  </si>
  <si>
    <t>'2022-09-23 20:16:22:384</t>
  </si>
  <si>
    <t>T220923201809201VCMLEBC060</t>
  </si>
  <si>
    <t>'2022-09-23 20:18:21:734</t>
  </si>
  <si>
    <t>T220923201920921VCMLEBC060</t>
  </si>
  <si>
    <t>'2022-09-23 20:19:33:459</t>
  </si>
  <si>
    <t>T220923202216087VCMLEBC060</t>
  </si>
  <si>
    <t>'2022-09-23 20:22:28:624</t>
  </si>
  <si>
    <t>T220923202309901VCMLEBC060</t>
  </si>
  <si>
    <t>'2022-09-23 20:23:18:828</t>
  </si>
  <si>
    <t>22cb59110606</t>
  </si>
  <si>
    <t>0x52800662a74f3607</t>
  </si>
  <si>
    <t>MF9C3739A54G34B6A144021134</t>
  </si>
  <si>
    <t>MF4C3464BDWK14A7A627</t>
  </si>
  <si>
    <t>DNA22301023960F11A</t>
  </si>
  <si>
    <t>T220923202415777VCMLEBC060</t>
  </si>
  <si>
    <t>'2022-09-23 20:24:24:610</t>
  </si>
  <si>
    <t>22cb59110646</t>
  </si>
  <si>
    <t>0x52800562a745c007</t>
  </si>
  <si>
    <t>MF9C3739A5GD34B6A441043122</t>
  </si>
  <si>
    <t>MF4C3464BDW614A7A623</t>
  </si>
  <si>
    <t>DNA22301023920H11A</t>
  </si>
  <si>
    <t>T220923202538356VCMLEBC060</t>
  </si>
  <si>
    <t>'2022-09-23 20:25:47:168</t>
  </si>
  <si>
    <t>22cb59100719</t>
  </si>
  <si>
    <t>0x52800662a7ef6807</t>
  </si>
  <si>
    <t>MF9C3739A52Z34B6A840025146</t>
  </si>
  <si>
    <t>MF4C3464BDWN14A7A627</t>
  </si>
  <si>
    <t>DNA22301023960F13A</t>
  </si>
  <si>
    <t>T220923202647970VCMLEBC060</t>
  </si>
  <si>
    <t>'2022-09-23 20:26:56:852</t>
  </si>
  <si>
    <t>22cb59110454</t>
  </si>
  <si>
    <t>0x52800662a744f504</t>
  </si>
  <si>
    <t>MF9C3739A4WZ34B6A438024121</t>
  </si>
  <si>
    <t>MF4C3464BDWA14A7A638</t>
  </si>
  <si>
    <t>DNA22301023920G13A</t>
  </si>
  <si>
    <t>T220923202756943VCMLEBC060</t>
  </si>
  <si>
    <t>'2022-09-23 20:28:05:834</t>
  </si>
  <si>
    <t>22cb59110303</t>
  </si>
  <si>
    <t>0x52800562a7460201</t>
  </si>
  <si>
    <t>MF9C3739A53F34B69935029148</t>
  </si>
  <si>
    <t>MF4C3464BDWS14A7A639</t>
  </si>
  <si>
    <t>DNA22297010860F13A</t>
  </si>
  <si>
    <t>T220923202903790VCMLEBC060</t>
  </si>
  <si>
    <t>'2022-09-23 20:29:12:748</t>
  </si>
  <si>
    <t>22cb59100273</t>
  </si>
  <si>
    <t>0x52800662a6ce2b02</t>
  </si>
  <si>
    <t>MF9C3739A53E34B6A341022111</t>
  </si>
  <si>
    <t>MF4C3464BDJG14A7A640</t>
  </si>
  <si>
    <t>DNA22294084260H03A</t>
  </si>
  <si>
    <t>T220923202230849VCMLEBC060</t>
  </si>
  <si>
    <t>'2022-09-23 20:23:00:138</t>
  </si>
  <si>
    <t>T220923202336330VCMLEBC060</t>
  </si>
  <si>
    <t>'2022-09-23 20:24:06:224</t>
  </si>
  <si>
    <t>T220923202442104VCMLEBC060</t>
  </si>
  <si>
    <t>'2022-09-23 20:25:12:176</t>
  </si>
  <si>
    <t>T220923202604665VCMLEBC060</t>
  </si>
  <si>
    <t>'2022-09-23 20:26:33:964</t>
  </si>
  <si>
    <t>T220923202714283VCMLEBC060</t>
  </si>
  <si>
    <t>'2022-09-23 20:27:44:563</t>
  </si>
  <si>
    <t>T220923202823237VCMLEBC060</t>
  </si>
  <si>
    <t>'2022-09-23 20:28:53:431</t>
  </si>
  <si>
    <t>T220923202930142VCMLEBC060</t>
  </si>
  <si>
    <t>'2022-09-23 20:30:00:426</t>
  </si>
  <si>
    <t>'2022-09-23 20:22:50:115</t>
  </si>
  <si>
    <t>'2022-09-23 20:23:56:197</t>
  </si>
  <si>
    <t>'2022-09-23 20:25:02:149</t>
  </si>
  <si>
    <t>'2022-09-23 20:26:23:932</t>
  </si>
  <si>
    <t>'2022-09-23 20:27:34:533</t>
  </si>
  <si>
    <t>'2022-09-23 20:28:43:405</t>
  </si>
  <si>
    <t>'2022-09-23 20:29:50:397</t>
  </si>
  <si>
    <t>T220923202321564VCMLEBC060</t>
  </si>
  <si>
    <t>'2022-09-23 20:23:34:096</t>
  </si>
  <si>
    <t>T220923202427340VCMLEBC060</t>
  </si>
  <si>
    <t>'2022-09-23 20:24:39:883</t>
  </si>
  <si>
    <t>T220923202549903VCMLEBC060</t>
  </si>
  <si>
    <t>'2022-09-23 20:26:02:441</t>
  </si>
  <si>
    <t>T220923202659522VCMLEBC060</t>
  </si>
  <si>
    <t>'2022-09-23 20:27:12:056</t>
  </si>
  <si>
    <t>T220923202808475VCMLEBC060</t>
  </si>
  <si>
    <t>'2022-09-23 20:28:21:018</t>
  </si>
  <si>
    <t>T220923202915381VCMLEBC060</t>
  </si>
  <si>
    <t>'2022-09-23 20:29:27:921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</si>
</sst>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8.9753025194999996</c:v>
                </c:pt>
                <c:pt idx="1">
                  <c:v>0.77634343319999999</c:v>
                </c:pt>
                <c:pt idx="2">
                  <c:v>3.1054004964000002</c:v>
                </c:pt>
                <c:pt idx="3">
                  <c:v>-2.5971715969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-0.64117425109999981</c:v>
                </c:pt>
                <c:pt idx="1">
                  <c:v>-1.4764451473999998</c:v>
                </c:pt>
                <c:pt idx="2">
                  <c:v>-3.0798536344</c:v>
                </c:pt>
                <c:pt idx="3">
                  <c:v>1.4588147931000002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4.2856821496999995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-1.7324910109666665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30080"/>
        <c:axId val="46431616"/>
      </c:scatterChart>
      <c:valAx>
        <c:axId val="4643008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6431616"/>
        <c:crosses val="autoZero"/>
        <c:crossBetween val="midCat"/>
        <c:majorUnit val="10"/>
      </c:valAx>
      <c:valAx>
        <c:axId val="4643161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64300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-4.3126358097999997</c:v>
                </c:pt>
                <c:pt idx="1">
                  <c:v>-0.24921208580000001</c:v>
                </c:pt>
                <c:pt idx="2">
                  <c:v>9.9662406470999994</c:v>
                </c:pt>
                <c:pt idx="3">
                  <c:v>1.0851438918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-11.135786063199999</c:v>
                </c:pt>
                <c:pt idx="1">
                  <c:v>9.7576343950000002</c:v>
                </c:pt>
                <c:pt idx="2">
                  <c:v>0.9575604107000002</c:v>
                </c:pt>
                <c:pt idx="3">
                  <c:v>-4.7297438414999995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-2.3863398308333332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2.6887708300000313E-2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03648"/>
        <c:axId val="46609536"/>
      </c:scatterChart>
      <c:valAx>
        <c:axId val="4660364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6609536"/>
        <c:crosses val="autoZero"/>
        <c:crossBetween val="midCat"/>
        <c:majorUnit val="10"/>
      </c:valAx>
      <c:valAx>
        <c:axId val="4660953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6603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0.90319497400000004</c:v>
                </c:pt>
                <c:pt idx="1">
                  <c:v>-1.4162547825</c:v>
                </c:pt>
                <c:pt idx="2">
                  <c:v>-15.179681480099999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-3.5218973301999998</c:v>
                </c:pt>
                <c:pt idx="1">
                  <c:v>0.56278686829999991</c:v>
                </c:pt>
                <c:pt idx="2">
                  <c:v>-3.0457265546999999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3.9848598376333331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-2.4313602536666665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34112"/>
        <c:axId val="46635648"/>
      </c:scatterChart>
      <c:valAx>
        <c:axId val="4663411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6635648"/>
        <c:crosses val="autoZero"/>
        <c:crossBetween val="midCat"/>
        <c:majorUnit val="10"/>
      </c:valAx>
      <c:valAx>
        <c:axId val="4663564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6634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2.4512321993000001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-7.0144615489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-4.7149013544333327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-3.1658004117666665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148928"/>
        <c:axId val="59150720"/>
      </c:scatterChart>
      <c:valAx>
        <c:axId val="5914892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150720"/>
        <c:crosses val="autoZero"/>
        <c:crossBetween val="midCat"/>
        <c:majorUnit val="10"/>
      </c:valAx>
      <c:valAx>
        <c:axId val="5915072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148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103.8859523263</c:v>
                </c:pt>
                <c:pt idx="1">
                  <c:v>99.304781935400001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100.86134616963334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61440"/>
        <c:axId val="58862976"/>
      </c:scatterChart>
      <c:valAx>
        <c:axId val="5886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862976"/>
        <c:crosses val="autoZero"/>
        <c:crossBetween val="midCat"/>
      </c:valAx>
      <c:valAx>
        <c:axId val="5886297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861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99.393304247200007</c:v>
                </c:pt>
                <c:pt idx="1">
                  <c:v>107.5494223629</c:v>
                </c:pt>
                <c:pt idx="2">
                  <c:v>106.5280211842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103.3467277589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08672"/>
        <c:axId val="58910208"/>
      </c:scatterChart>
      <c:valAx>
        <c:axId val="5890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910208"/>
        <c:crosses val="autoZero"/>
        <c:crossBetween val="midCat"/>
      </c:valAx>
      <c:valAx>
        <c:axId val="5891020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90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95.962739729600003</c:v>
                </c:pt>
                <c:pt idx="1">
                  <c:v>100.3585041476</c:v>
                </c:pt>
                <c:pt idx="2">
                  <c:v>101.30040099679999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100.08538163696666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967552"/>
        <c:axId val="58969088"/>
      </c:scatterChart>
      <c:valAx>
        <c:axId val="58967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969088"/>
        <c:crosses val="autoZero"/>
        <c:crossBetween val="midCat"/>
      </c:valAx>
      <c:valAx>
        <c:axId val="5896908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8967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98.597239766499996</c:v>
                </c:pt>
                <c:pt idx="1">
                  <c:v>102.6158819167</c:v>
                </c:pt>
                <c:pt idx="2">
                  <c:v>107.001133196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103.89311844043334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69568"/>
        <c:axId val="59071104"/>
      </c:scatterChart>
      <c:valAx>
        <c:axId val="5906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071104"/>
        <c:crosses val="autoZero"/>
        <c:crossBetween val="midCat"/>
      </c:valAx>
      <c:valAx>
        <c:axId val="5907110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9069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-10.5116095543</c:v>
                </c:pt>
                <c:pt idx="1">
                  <c:v>-0.11678218840000021</c:v>
                </c:pt>
                <c:pt idx="2">
                  <c:v>-2.7306289672999999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-4.5632598399999997</c:v>
                </c:pt>
                <c:pt idx="1">
                  <c:v>1.6720304489000002</c:v>
                </c:pt>
                <c:pt idx="2">
                  <c:v>-2.3900750279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-4.4530069033333328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-1.7604348063333333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17568"/>
        <c:axId val="59527552"/>
      </c:scatterChart>
      <c:valAx>
        <c:axId val="5951756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527552"/>
        <c:crosses val="autoZero"/>
        <c:crossBetween val="midCat"/>
        <c:majorUnit val="10"/>
      </c:valAx>
      <c:valAx>
        <c:axId val="5952755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517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-8.8031778335999995</c:v>
                </c:pt>
                <c:pt idx="1">
                  <c:v>-4.2566869259000004</c:v>
                </c:pt>
                <c:pt idx="2">
                  <c:v>-4.0529110432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-2.2228272556999999</c:v>
                </c:pt>
                <c:pt idx="1">
                  <c:v>-7.0246949195999999</c:v>
                </c:pt>
                <c:pt idx="2">
                  <c:v>-3.3053944111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-5.7042586009000003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-4.1843055288000004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41536"/>
        <c:axId val="59442688"/>
      </c:scatterChart>
      <c:valAx>
        <c:axId val="5944153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442688"/>
        <c:crosses val="autoZero"/>
        <c:crossBetween val="midCat"/>
        <c:majorUnit val="10"/>
      </c:valAx>
      <c:valAx>
        <c:axId val="5944268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441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-4.4522160291999997</c:v>
                </c:pt>
                <c:pt idx="1">
                  <c:v>-9.4713661670999993</c:v>
                </c:pt>
                <c:pt idx="2">
                  <c:v>0.37400865549999995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-2.6436643302</c:v>
                </c:pt>
                <c:pt idx="1">
                  <c:v>-2.5047966241999999</c:v>
                </c:pt>
                <c:pt idx="2">
                  <c:v>3.1631050109999999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-4.5165245136000003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-0.66178531446666666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87744"/>
        <c:axId val="59489280"/>
      </c:scatterChart>
      <c:valAx>
        <c:axId val="5948774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489280"/>
        <c:crosses val="autoZero"/>
        <c:crossBetween val="midCat"/>
        <c:majorUnit val="10"/>
      </c:valAx>
      <c:valAx>
        <c:axId val="594892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487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-10.829535484299999</c:v>
                </c:pt>
                <c:pt idx="1">
                  <c:v>-6.9829885960000002</c:v>
                </c:pt>
                <c:pt idx="2">
                  <c:v>-4.1594297885999998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-8.2603654860999995</c:v>
                </c:pt>
                <c:pt idx="1">
                  <c:v>-0.8192448616000001</c:v>
                </c:pt>
                <c:pt idx="2">
                  <c:v>-4.2982845306000002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-7.323984622966667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-4.4592982927666664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02560"/>
        <c:axId val="59208448"/>
      </c:scatterChart>
      <c:valAx>
        <c:axId val="5920256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208448"/>
        <c:crosses val="autoZero"/>
        <c:crossBetween val="midCat"/>
        <c:majorUnit val="10"/>
      </c:valAx>
      <c:valAx>
        <c:axId val="5920844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592025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6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 VSY832XN9P13_2022092320_D50_ON_OC.csv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 VSY832XN9P13_2022092320_FPDC_INFD_normal.csv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 VSY832XN9P13_2022092320_INFDMargin_IPQC.csv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 VSY832XN9P13_2022092320_VCM_MEASURE.csv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173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L48" sqref="L48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150</v>
      </c>
      <c r="S31" s="84" t="s">
        <v>152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22cb59100747</v>
      </c>
      <c r="C34" s="44">
        <f>IPQC!S2+VLOOKUP($R$31,$AD$38:$AK$42,6,FALSE)+VLOOKUP('File location'!$B$1,'Tester offset'!$A$2:$D$4,2,FALSE)</f>
        <v>103.8859523263</v>
      </c>
      <c r="D34" s="44">
        <f>IPQC!Z2+VLOOKUP($R$31,$AD$38:$AK$42,6,FALSE)</f>
        <v>88.999338152799993</v>
      </c>
      <c r="E34" s="44">
        <f>VCM!HU2-'Summary(3pcs)'!C34-'Summary(3pcs)'!$D$32</f>
        <v>124.24671417493789</v>
      </c>
      <c r="F34" s="90">
        <f>AVERAGEIF($A$34:$A$45,1,$C$34:$C$45)</f>
        <v>100.86134616963334</v>
      </c>
      <c r="G34" s="91">
        <f>AVERAGEIF($A$34:$A$45,1,$D$34:$D$45)</f>
        <v>88.751010716566668</v>
      </c>
      <c r="H34" s="91">
        <f>AVERAGEIF($A$34:$A$45,1,$E$34:$E$45)</f>
        <v>132.6525165055379</v>
      </c>
      <c r="I34" s="91">
        <f>85-F34</f>
        <v>-15.861346169633336</v>
      </c>
      <c r="J34"/>
      <c r="K34" s="79">
        <f>T34</f>
        <v>1</v>
      </c>
      <c r="L34" s="80" t="str">
        <f>OC!J2</f>
        <v>22cb59100747</v>
      </c>
      <c r="M34" s="44">
        <f>OC!S2+VLOOKUP($R$31,$AD$38:$AK$42,4,FALSE)</f>
        <v>8.9753025194999996</v>
      </c>
      <c r="N34" s="44">
        <f>OC!T2+VLOOKUP($R$31,$AD$38:$AK$42,5,FALSE)</f>
        <v>-0.64117425109999981</v>
      </c>
      <c r="O34" s="92">
        <f>AVERAGEIF($K$34:$K$45,1,$M$34:$M$45)</f>
        <v>4.2856821496999995</v>
      </c>
      <c r="P34" s="92">
        <f>AVERAGEIF($K$34:$K$45,1,$N$34:$N$45)</f>
        <v>-1.7324910109666665</v>
      </c>
      <c r="Q34" s="90">
        <f>P34*0.001</f>
        <v>-1.7324910109666664E-3</v>
      </c>
      <c r="R34" s="90">
        <f>O34*0.001</f>
        <v>4.2856821496999997E-3</v>
      </c>
      <c r="T34" s="79">
        <v>1</v>
      </c>
      <c r="U34" s="80" t="str">
        <f>FPDC!J2</f>
        <v>22cb59100747</v>
      </c>
      <c r="V34" s="75">
        <f>FPDC!R2+VLOOKUP($R$31,$AD$38:$AK$42,2,FALSE)+VLOOKUP($R$31,$AD$38:$AK$42,7,FALSE)+VLOOKUP('File location'!$B$1,'Tester offset'!$A$2:$D$4,3,FALSE)</f>
        <v>-10.829535484299999</v>
      </c>
      <c r="W34" s="76">
        <f>FPDC!S2+VLOOKUP($R$31,$AD$38:$AK$42,3,FALSE)+VLOOKUP($R$31,$AD$38:$AK$42,8,FALSE)+VLOOKUP('File location'!$B$1,'Tester offset'!$A$2:$D$4,4,FALSE)</f>
        <v>-8.2603654860999995</v>
      </c>
      <c r="X34" s="92">
        <f>AVERAGEIF($T$34:$T$45,1,$V$34:$V$45)</f>
        <v>-7.323984622966667</v>
      </c>
      <c r="Y34" s="92">
        <f>AVERAGEIF($T$34:$T$45,1,$W$34:$W$45)</f>
        <v>-4.4592982927666664</v>
      </c>
      <c r="Z34" s="90">
        <f>(X34*-0.01)/4</f>
        <v>1.8309961557416668E-2</v>
      </c>
      <c r="AA34" s="90">
        <f>(Y34*-0.01)/4</f>
        <v>1.1148245731916665E-2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22cb59100332</v>
      </c>
      <c r="C35" s="44">
        <f>IPQC!S3+VLOOKUP($R$31,$AD$38:$AK$42,6,FALSE)+VLOOKUP('File location'!$B$1,'Tester offset'!$A$2:$D$4,2,FALSE)</f>
        <v>99.304781935400001</v>
      </c>
      <c r="D35" s="44">
        <f>IPQC!Z3+VLOOKUP($R$31,$AD$38:$AK$42,6,FALSE)</f>
        <v>92.258351380600004</v>
      </c>
      <c r="E35" s="44">
        <f>VCM!HU3-'Summary(3pcs)'!C35-'Summary(3pcs)'!$D$32</f>
        <v>135.09946231423788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22cb59100332</v>
      </c>
      <c r="M35" s="44">
        <f>OC!S3+VLOOKUP($R$31,$AD$38:$AK$42,4,FALSE)</f>
        <v>0.77634343319999999</v>
      </c>
      <c r="N35" s="44">
        <f>OC!T3+VLOOKUP($R$31,$AD$38:$AK$42,5,FALSE)</f>
        <v>-1.4764451473999998</v>
      </c>
      <c r="O35" s="92"/>
      <c r="P35" s="92"/>
      <c r="Q35" s="90"/>
      <c r="R35" s="90"/>
      <c r="T35" s="79">
        <v>1</v>
      </c>
      <c r="U35" s="80" t="str">
        <f>FPDC!J3</f>
        <v>22cb59100332</v>
      </c>
      <c r="V35" s="75">
        <f>FPDC!R3+VLOOKUP($R$31,$AD$38:$AK$42,2,FALSE)+VLOOKUP($R$31,$AD$38:$AK$42,7,FALSE)+VLOOKUP('File location'!$B$1,'Tester offset'!$A$2:$D$4,3,FALSE)</f>
        <v>-6.9829885960000002</v>
      </c>
      <c r="W35" s="76">
        <f>FPDC!S3+VLOOKUP($R$31,$AD$38:$AK$42,3,FALSE)+VLOOKUP($R$31,$AD$38:$AK$42,8,FALSE)+VLOOKUP('File location'!$B$1,'Tester offset'!$A$2:$D$4,4,FALSE)</f>
        <v>-0.8192448616000001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22cb59100245</v>
      </c>
      <c r="C36" s="44">
        <f>IPQC!S4+VLOOKUP($R$31,$AD$38:$AK$42,6,FALSE)+VLOOKUP('File location'!$B$1,'Tester offset'!$A$2:$D$4,2,FALSE)</f>
        <v>99.393304247200007</v>
      </c>
      <c r="D36" s="44">
        <f>IPQC!Z4+VLOOKUP($R$31,$AD$38:$AK$42,6,FALSE)</f>
        <v>84.995342616299993</v>
      </c>
      <c r="E36" s="44">
        <f>VCM!HU4-'Summary(3pcs)'!C36-'Summary(3pcs)'!$D$32</f>
        <v>138.61137302743793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22cb59100245</v>
      </c>
      <c r="M36" s="44">
        <f>OC!S4+VLOOKUP($R$31,$AD$38:$AK$42,4,FALSE)</f>
        <v>3.1054004964000002</v>
      </c>
      <c r="N36" s="44">
        <f>OC!T4+VLOOKUP($R$31,$AD$38:$AK$42,5,FALSE)</f>
        <v>-3.0798536344</v>
      </c>
      <c r="O36" s="92"/>
      <c r="P36" s="92"/>
      <c r="Q36" s="90"/>
      <c r="R36" s="90"/>
      <c r="T36" s="79">
        <v>1</v>
      </c>
      <c r="U36" s="80" t="str">
        <f>FPDC!J4</f>
        <v>22cb59100245</v>
      </c>
      <c r="V36" s="75">
        <f>FPDC!R4+VLOOKUP($R$31,$AD$38:$AK$42,2,FALSE)+VLOOKUP($R$31,$AD$38:$AK$42,7,FALSE)+VLOOKUP('File location'!$B$1,'Tester offset'!$A$2:$D$4,3,FALSE)</f>
        <v>-4.1594297885999998</v>
      </c>
      <c r="W36" s="76">
        <f>FPDC!S4+VLOOKUP($R$31,$AD$38:$AK$42,3,FALSE)+VLOOKUP($R$31,$AD$38:$AK$42,8,FALSE)+VLOOKUP('File location'!$B$1,'Tester offset'!$A$2:$D$4,4,FALSE)</f>
        <v>-4.2982845306000002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22cb59110759</v>
      </c>
      <c r="C37" s="44">
        <f>IPQC!S5+VLOOKUP($R$31,$AD$38:$AK$42,6,FALSE)+VLOOKUP('File location'!$B$1,'Tester offset'!$A$2:$D$4,2,FALSE)</f>
        <v>107.5494223629</v>
      </c>
      <c r="D37" s="44">
        <f>IPQC!Z5+VLOOKUP($R$31,$AD$38:$AK$42,6,FALSE)</f>
        <v>91.521538058399997</v>
      </c>
      <c r="E37" s="44">
        <f>VCM!HU5-'Summary(3pcs)'!C37-'Summary(3pcs)'!$D$32</f>
        <v>118.13987807053786</v>
      </c>
      <c r="F37" s="90">
        <f>AVERAGEIF($A$34:$A$45,2,$C$34:$C$45)</f>
        <v>103.3467277589</v>
      </c>
      <c r="G37" s="91">
        <f>AVERAGEIF($A$34:$A$45,2,$D$34:$D$45)</f>
        <v>88.995641513766671</v>
      </c>
      <c r="H37" s="91">
        <f>AVERAGEIF($A$34:$A$45,2,$E$34:$E$45)</f>
        <v>131.29782826850456</v>
      </c>
      <c r="I37" s="91">
        <f>85-F37</f>
        <v>-18.346727758900002</v>
      </c>
      <c r="J37"/>
      <c r="K37" s="79">
        <f t="shared" si="1"/>
        <v>2</v>
      </c>
      <c r="L37" s="80" t="str">
        <f>OC!J5</f>
        <v>22cb59110759</v>
      </c>
      <c r="M37" s="44">
        <f>OC!S5+VLOOKUP($R$31,$AD$38:$AK$42,4,FALSE)</f>
        <v>-2.5971715969</v>
      </c>
      <c r="N37" s="44">
        <f>OC!T5+VLOOKUP($R$31,$AD$38:$AK$42,5,FALSE)</f>
        <v>1.4588147931000002</v>
      </c>
      <c r="O37" s="92">
        <f>AVERAGEIF($K$34:$K$45,2,$M$34:$M$45)</f>
        <v>-2.3863398308333332</v>
      </c>
      <c r="P37" s="92">
        <f>AVERAGEIF($K$34:$K$45,2,$N$34:$N$45)</f>
        <v>2.6887708300000313E-2</v>
      </c>
      <c r="Q37" s="90">
        <f>P37*0.001</f>
        <v>2.6887708300000312E-5</v>
      </c>
      <c r="R37" s="90">
        <f>O37*0.001</f>
        <v>-2.3863398308333335E-3</v>
      </c>
      <c r="T37" s="79">
        <v>2</v>
      </c>
      <c r="U37" s="80" t="str">
        <f>FPDC!J5</f>
        <v>22cb59110759</v>
      </c>
      <c r="V37" s="75">
        <f>FPDC!R5+VLOOKUP($R$31,$AD$38:$AK$42,2,FALSE)+VLOOKUP($R$31,$AD$38:$AK$42,7,FALSE)+VLOOKUP('File location'!$B$1,'Tester offset'!$A$2:$D$4,3,FALSE)</f>
        <v>-10.5116095543</v>
      </c>
      <c r="W37" s="76">
        <f>FPDC!S5+VLOOKUP($R$31,$AD$38:$AK$42,3,FALSE)+VLOOKUP($R$31,$AD$38:$AK$42,8,FALSE)+VLOOKUP('File location'!$B$1,'Tester offset'!$A$2:$D$4,4,FALSE)</f>
        <v>-4.5632598399999997</v>
      </c>
      <c r="X37" s="92">
        <f>AVERAGEIF($T$34:$T$45,2,$V$34:$V$45)</f>
        <v>-4.4530069033333328</v>
      </c>
      <c r="Y37" s="92">
        <f>AVERAGEIF($T$34:$T$45,2,$W$34:$W$45)</f>
        <v>-1.7604348063333333</v>
      </c>
      <c r="Z37" s="90">
        <f>(X37*-0.01)/4</f>
        <v>1.1132517258333332E-2</v>
      </c>
      <c r="AA37" s="90">
        <f>(Y37*-0.01)/4</f>
        <v>4.4010870158333335E-3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22cb59110495</v>
      </c>
      <c r="C38" s="44">
        <f>IPQC!S6+VLOOKUP($R$31,$AD$38:$AK$42,6,FALSE)+VLOOKUP('File location'!$B$1,'Tester offset'!$A$2:$D$4,2,FALSE)</f>
        <v>106.5280211842</v>
      </c>
      <c r="D38" s="44">
        <f>IPQC!Z6+VLOOKUP($R$31,$AD$38:$AK$42,6,FALSE)</f>
        <v>91.477846053299999</v>
      </c>
      <c r="E38" s="44">
        <f>VCM!HU6-'Summary(3pcs)'!C38-'Summary(3pcs)'!$D$32</f>
        <v>128.5665089516379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22cb59110495</v>
      </c>
      <c r="M38" s="44">
        <f>OC!S6+VLOOKUP($R$31,$AD$38:$AK$42,4,FALSE)</f>
        <v>-4.3126358097999997</v>
      </c>
      <c r="N38" s="44">
        <f>OC!T6+VLOOKUP($R$31,$AD$38:$AK$42,5,FALSE)</f>
        <v>-11.135786063199999</v>
      </c>
      <c r="O38" s="92"/>
      <c r="P38" s="92"/>
      <c r="Q38" s="90"/>
      <c r="R38" s="90"/>
      <c r="T38" s="79">
        <v>2</v>
      </c>
      <c r="U38" s="80" t="str">
        <f>FPDC!J6</f>
        <v>22cb59110495</v>
      </c>
      <c r="V38" s="75">
        <f>FPDC!R6+VLOOKUP($R$31,$AD$38:$AK$42,2,FALSE)+VLOOKUP($R$31,$AD$38:$AK$42,7,FALSE)+VLOOKUP('File location'!$B$1,'Tester offset'!$A$2:$D$4,3,FALSE)</f>
        <v>-0.11678218840000021</v>
      </c>
      <c r="W38" s="76">
        <f>FPDC!S6+VLOOKUP($R$31,$AD$38:$AK$42,3,FALSE)+VLOOKUP($R$31,$AD$38:$AK$42,8,FALSE)+VLOOKUP('File location'!$B$1,'Tester offset'!$A$2:$D$4,4,FALSE)</f>
        <v>1.6720304489000002</v>
      </c>
      <c r="X38" s="92"/>
      <c r="Y38" s="92"/>
      <c r="Z38" s="90"/>
      <c r="AA38" s="90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22cb59100244</v>
      </c>
      <c r="C39" s="44">
        <f>IPQC!S7+VLOOKUP($R$31,$AD$38:$AK$42,6,FALSE)+VLOOKUP('File location'!$B$1,'Tester offset'!$A$2:$D$4,2,FALSE)</f>
        <v>95.962739729600003</v>
      </c>
      <c r="D39" s="44">
        <f>IPQC!Z7+VLOOKUP($R$31,$AD$38:$AK$42,6,FALSE)</f>
        <v>83.987540429600003</v>
      </c>
      <c r="E39" s="44">
        <f>VCM!HU7-'Summary(3pcs)'!C39-'Summary(3pcs)'!$D$32</f>
        <v>147.18709778333789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22cb59100244</v>
      </c>
      <c r="M39" s="44">
        <f>OC!S7+VLOOKUP($R$31,$AD$38:$AK$42,4,FALSE)</f>
        <v>-0.24921208580000001</v>
      </c>
      <c r="N39" s="44">
        <f>OC!T7+VLOOKUP($R$31,$AD$38:$AK$42,5,FALSE)</f>
        <v>9.7576343950000002</v>
      </c>
      <c r="O39" s="92"/>
      <c r="P39" s="92"/>
      <c r="Q39" s="90"/>
      <c r="R39" s="90"/>
      <c r="T39" s="79">
        <v>2</v>
      </c>
      <c r="U39" s="80" t="str">
        <f>FPDC!J7</f>
        <v>22cb59100244</v>
      </c>
      <c r="V39" s="75">
        <f>FPDC!R7+VLOOKUP($R$31,$AD$38:$AK$42,2,FALSE)+VLOOKUP($R$31,$AD$38:$AK$42,7,FALSE)+VLOOKUP('File location'!$B$1,'Tester offset'!$A$2:$D$4,3,FALSE)</f>
        <v>-2.7306289672999999</v>
      </c>
      <c r="W39" s="76">
        <f>FPDC!S7+VLOOKUP($R$31,$AD$38:$AK$42,3,FALSE)+VLOOKUP($R$31,$AD$38:$AK$42,8,FALSE)+VLOOKUP('File location'!$B$1,'Tester offset'!$A$2:$D$4,4,FALSE)</f>
        <v>-2.3900750279</v>
      </c>
      <c r="X39" s="92"/>
      <c r="Y39" s="92"/>
      <c r="Z39" s="90"/>
      <c r="AA39" s="90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22cb59110606</v>
      </c>
      <c r="C40" s="44">
        <f>IPQC!S8+VLOOKUP($R$31,$AD$38:$AK$42,6,FALSE)+VLOOKUP('File location'!$B$1,'Tester offset'!$A$2:$D$4,2,FALSE)</f>
        <v>100.3585041476</v>
      </c>
      <c r="D40" s="44">
        <f>IPQC!Z8+VLOOKUP($R$31,$AD$38:$AK$42,6,FALSE)</f>
        <v>88.793480109100003</v>
      </c>
      <c r="E40" s="44">
        <f>VCM!HU8-'Summary(3pcs)'!C40-'Summary(3pcs)'!$D$32</f>
        <v>148.06834000143789</v>
      </c>
      <c r="F40" s="90">
        <f>AVERAGEIF($A$34:$A$45,3,$C$34:$C$45)</f>
        <v>100.08538163696666</v>
      </c>
      <c r="G40" s="91">
        <f>AVERAGEIF($A$34:$A$45,3,$D$34:$D$45)</f>
        <v>85.611472831866664</v>
      </c>
      <c r="H40" s="91">
        <f>AVERAGEIF($A$34:$A$45,3,$E$34:$E$45)</f>
        <v>135.16134971233788</v>
      </c>
      <c r="I40" s="91">
        <f>85-F40</f>
        <v>-15.085381636966659</v>
      </c>
      <c r="J40"/>
      <c r="K40" s="79">
        <f t="shared" si="1"/>
        <v>3</v>
      </c>
      <c r="L40" s="80" t="str">
        <f>OC!J8</f>
        <v>22cb59110606</v>
      </c>
      <c r="M40" s="44">
        <f>OC!S8+VLOOKUP($R$31,$AD$38:$AK$42,4,FALSE)</f>
        <v>9.9662406470999994</v>
      </c>
      <c r="N40" s="44">
        <f>OC!T8+VLOOKUP($R$31,$AD$38:$AK$42,5,FALSE)</f>
        <v>0.9575604107000002</v>
      </c>
      <c r="O40" s="92">
        <f>AVERAGEIF($K$34:$K$45,3,$M$34:$M$45)</f>
        <v>3.9848598376333331</v>
      </c>
      <c r="P40" s="92">
        <f>AVERAGEIF($K$34:$K$45,3,$N$34:$N$45)</f>
        <v>-2.4313602536666665</v>
      </c>
      <c r="Q40" s="90">
        <f>P40*0.001</f>
        <v>-2.4313602536666667E-3</v>
      </c>
      <c r="R40" s="90">
        <f>O40*0.001</f>
        <v>3.9848598376333328E-3</v>
      </c>
      <c r="T40" s="79">
        <v>3</v>
      </c>
      <c r="U40" s="80" t="str">
        <f>FPDC!J8</f>
        <v>22cb59110606</v>
      </c>
      <c r="V40" s="75">
        <f>FPDC!R8+VLOOKUP($R$31,$AD$38:$AK$42,2,FALSE)+VLOOKUP($R$31,$AD$38:$AK$42,7,FALSE)+VLOOKUP('File location'!$B$1,'Tester offset'!$A$2:$D$4,3,FALSE)</f>
        <v>-8.8031778335999995</v>
      </c>
      <c r="W40" s="76">
        <f>FPDC!S8+VLOOKUP($R$31,$AD$38:$AK$42,3,FALSE)+VLOOKUP($R$31,$AD$38:$AK$42,8,FALSE)+VLOOKUP('File location'!$B$1,'Tester offset'!$A$2:$D$4,4,FALSE)</f>
        <v>-2.2228272556999999</v>
      </c>
      <c r="X40" s="92">
        <f>AVERAGEIF($T$34:$T$45,3,$V$34:$V$45)</f>
        <v>-5.7042586009000003</v>
      </c>
      <c r="Y40" s="92">
        <f>AVERAGEIF($T$34:$T$45,3,$W$34:$W$45)</f>
        <v>-4.1843055288000004</v>
      </c>
      <c r="Z40" s="90">
        <f>(X40*-0.01)/4</f>
        <v>1.426064650225E-2</v>
      </c>
      <c r="AA40" s="90">
        <f>(Y40*-0.01)/4</f>
        <v>1.0460763822000001E-2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22cb59110646</v>
      </c>
      <c r="C41" s="44">
        <f>IPQC!S9+VLOOKUP($R$31,$AD$38:$AK$42,6,FALSE)+VLOOKUP('File location'!$B$1,'Tester offset'!$A$2:$D$4,2,FALSE)</f>
        <v>101.30040099679999</v>
      </c>
      <c r="D41" s="44">
        <f>IPQC!Z9+VLOOKUP($R$31,$AD$38:$AK$42,6,FALSE)</f>
        <v>87.451938525000003</v>
      </c>
      <c r="E41" s="44">
        <f>VCM!HU9-'Summary(3pcs)'!C41-'Summary(3pcs)'!$D$32</f>
        <v>116.61585856313786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22cb59110646</v>
      </c>
      <c r="M41" s="44">
        <f>OC!S9+VLOOKUP($R$31,$AD$38:$AK$42,4,FALSE)</f>
        <v>1.0851438918</v>
      </c>
      <c r="N41" s="44">
        <f>OC!T9+VLOOKUP($R$31,$AD$38:$AK$42,5,FALSE)</f>
        <v>-4.7297438414999995</v>
      </c>
      <c r="O41" s="92"/>
      <c r="P41" s="92"/>
      <c r="Q41" s="90"/>
      <c r="R41" s="90"/>
      <c r="T41" s="79">
        <v>3</v>
      </c>
      <c r="U41" s="80" t="str">
        <f>FPDC!J9</f>
        <v>22cb59110646</v>
      </c>
      <c r="V41" s="75">
        <f>FPDC!R9+VLOOKUP($R$31,$AD$38:$AK$42,2,FALSE)+VLOOKUP($R$31,$AD$38:$AK$42,7,FALSE)+VLOOKUP('File location'!$B$1,'Tester offset'!$A$2:$D$4,3,FALSE)</f>
        <v>-4.2566869259000004</v>
      </c>
      <c r="W41" s="76">
        <f>FPDC!S9+VLOOKUP($R$31,$AD$38:$AK$42,3,FALSE)+VLOOKUP($R$31,$AD$38:$AK$42,8,FALSE)+VLOOKUP('File location'!$B$1,'Tester offset'!$A$2:$D$4,4,FALSE)</f>
        <v>-7.0246949195999999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22cb59100719</v>
      </c>
      <c r="C42" s="44">
        <f>IPQC!S10+VLOOKUP($R$31,$AD$38:$AK$42,6,FALSE)+VLOOKUP('File location'!$B$1,'Tester offset'!$A$2:$D$4,2,FALSE)</f>
        <v>98.597239766499996</v>
      </c>
      <c r="D42" s="44">
        <f>IPQC!Z10+VLOOKUP($R$31,$AD$38:$AK$42,6,FALSE)</f>
        <v>80.5889998615</v>
      </c>
      <c r="E42" s="44">
        <f>VCM!HU10-'Summary(3pcs)'!C42-'Summary(3pcs)'!$D$32</f>
        <v>140.79985057243789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22cb59100719</v>
      </c>
      <c r="M42" s="44">
        <f>OC!S10+VLOOKUP($R$31,$AD$38:$AK$42,4,FALSE)</f>
        <v>0.90319497400000004</v>
      </c>
      <c r="N42" s="44">
        <f>OC!T10+VLOOKUP($R$31,$AD$38:$AK$42,5,FALSE)</f>
        <v>-3.5218973301999998</v>
      </c>
      <c r="O42" s="92"/>
      <c r="P42" s="92"/>
      <c r="Q42" s="90"/>
      <c r="R42" s="90"/>
      <c r="T42" s="79">
        <v>3</v>
      </c>
      <c r="U42" s="80" t="str">
        <f>FPDC!J10</f>
        <v>22cb59100719</v>
      </c>
      <c r="V42" s="75">
        <f>FPDC!R10+VLOOKUP($R$31,$AD$38:$AK$42,2,FALSE)+VLOOKUP($R$31,$AD$38:$AK$42,7,FALSE)+VLOOKUP('File location'!$B$1,'Tester offset'!$A$2:$D$4,3,FALSE)</f>
        <v>-4.0529110432</v>
      </c>
      <c r="W42" s="76">
        <f>FPDC!S10+VLOOKUP($R$31,$AD$38:$AK$42,3,FALSE)+VLOOKUP($R$31,$AD$38:$AK$42,8,FALSE)+VLOOKUP('File location'!$B$1,'Tester offset'!$A$2:$D$4,4,FALSE)</f>
        <v>-3.3053944111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22cb59110454</v>
      </c>
      <c r="C43" s="44">
        <f>IPQC!S11+VLOOKUP($R$31,$AD$38:$AK$42,6,FALSE)+VLOOKUP('File location'!$B$1,'Tester offset'!$A$2:$D$4,2,FALSE)</f>
        <v>102.6158819167</v>
      </c>
      <c r="D43" s="44">
        <f>IPQC!Z11+VLOOKUP($R$31,$AD$38:$AK$42,6,FALSE)</f>
        <v>91.951560419700002</v>
      </c>
      <c r="E43" s="44">
        <f>VCM!HU11-'Summary(3pcs)'!C43-'Summary(3pcs)'!$D$32</f>
        <v>122.58951744783792</v>
      </c>
      <c r="F43" s="90">
        <f>AVERAGEIF($A$34:$A$45,4,$C$34:$C$45)</f>
        <v>103.89311844043334</v>
      </c>
      <c r="G43" s="91">
        <f>AVERAGEIF($A$34:$A$45,4,$D$34:$D$45)</f>
        <v>90.636653049433335</v>
      </c>
      <c r="H43" s="91">
        <f>AVERAGEIF($A$34:$A$45,4,$E$34:$E$45)</f>
        <v>114.98161161147124</v>
      </c>
      <c r="I43" s="91">
        <f>85-F43</f>
        <v>-18.893118440433341</v>
      </c>
      <c r="J43"/>
      <c r="K43" s="79">
        <f t="shared" si="1"/>
        <v>4</v>
      </c>
      <c r="L43" s="80" t="str">
        <f>OC!J11</f>
        <v>22cb59110454</v>
      </c>
      <c r="M43" s="44">
        <f>OC!S11+VLOOKUP($R$31,$AD$38:$AK$42,4,FALSE)</f>
        <v>-1.4162547825</v>
      </c>
      <c r="N43" s="44">
        <f>OC!T11+VLOOKUP($R$31,$AD$38:$AK$42,5,FALSE)</f>
        <v>0.56278686829999991</v>
      </c>
      <c r="O43" s="92">
        <f>AVERAGEIF($K$34:$K$45,4,$M$34:$M$45)</f>
        <v>-4.7149013544333327</v>
      </c>
      <c r="P43" s="92">
        <f>AVERAGEIF($K$34:$K$45,4,$N$34:$N$45)</f>
        <v>-3.1658004117666665</v>
      </c>
      <c r="Q43" s="90">
        <f>P43*0.001</f>
        <v>-3.1658004117666666E-3</v>
      </c>
      <c r="R43" s="90">
        <f>O43*0.001</f>
        <v>-4.714901354433333E-3</v>
      </c>
      <c r="T43" s="79">
        <v>4</v>
      </c>
      <c r="U43" s="80" t="str">
        <f>FPDC!J11</f>
        <v>22cb59110454</v>
      </c>
      <c r="V43" s="75">
        <f>FPDC!R11+VLOOKUP($R$31,$AD$38:$AK$42,2,FALSE)+VLOOKUP($R$31,$AD$38:$AK$42,7,FALSE)+VLOOKUP('File location'!$B$1,'Tester offset'!$A$2:$D$4,3,FALSE)</f>
        <v>-4.4522160291999997</v>
      </c>
      <c r="W43" s="76">
        <f>FPDC!S11+VLOOKUP($R$31,$AD$38:$AK$42,3,FALSE)+VLOOKUP($R$31,$AD$38:$AK$42,8,FALSE)+VLOOKUP('File location'!$B$1,'Tester offset'!$A$2:$D$4,4,FALSE)</f>
        <v>-2.6436643302</v>
      </c>
      <c r="X43" s="92">
        <f>AVERAGEIF($T$34:$T$45,4,$V$34:$V$45)</f>
        <v>-4.5165245136000003</v>
      </c>
      <c r="Y43" s="92">
        <f>AVERAGEIF($T$34:$T$45,4,$W$34:$W$45)</f>
        <v>-0.66178531446666666</v>
      </c>
      <c r="Z43" s="90">
        <f>(X43*-0.01)/4</f>
        <v>1.1291311284000001E-2</v>
      </c>
      <c r="AA43" s="90">
        <f>(Y43*-0.01)/4</f>
        <v>1.6544632861666666E-3</v>
      </c>
    </row>
    <row r="44" spans="1:37" s="32" customFormat="1" ht="17.100000000000001" customHeight="1">
      <c r="A44" s="79">
        <f t="shared" si="0"/>
        <v>4</v>
      </c>
      <c r="B44" s="80" t="str">
        <f>IPQC!J12</f>
        <v>22cb59110303</v>
      </c>
      <c r="C44" s="44">
        <f>IPQC!S12+VLOOKUP($R$31,$AD$38:$AK$42,6,FALSE)+VLOOKUP('File location'!$B$1,'Tester offset'!$A$2:$D$4,2,FALSE)</f>
        <v>107.001133196</v>
      </c>
      <c r="D44" s="44">
        <f>IPQC!Z12+VLOOKUP($R$31,$AD$38:$AK$42,6,FALSE)</f>
        <v>88.589367194199994</v>
      </c>
      <c r="E44" s="44">
        <f>VCM!HU12-'Summary(3pcs)'!C44-'Summary(3pcs)'!$D$32</f>
        <v>109.24887347513788</v>
      </c>
      <c r="F44" s="90"/>
      <c r="G44" s="91"/>
      <c r="H44" s="91"/>
      <c r="I44" s="91"/>
      <c r="J44"/>
      <c r="K44" s="79">
        <f t="shared" si="1"/>
        <v>4</v>
      </c>
      <c r="L44" s="80" t="str">
        <f>OC!J12</f>
        <v>22cb59110303</v>
      </c>
      <c r="M44" s="44">
        <f>OC!S12+VLOOKUP($R$31,$AD$38:$AK$42,4,FALSE)</f>
        <v>-15.179681480099999</v>
      </c>
      <c r="N44" s="44">
        <f>OC!T12+VLOOKUP($R$31,$AD$38:$AK$42,5,FALSE)</f>
        <v>-3.0457265546999999</v>
      </c>
      <c r="O44" s="92"/>
      <c r="P44" s="92"/>
      <c r="Q44" s="90"/>
      <c r="R44" s="90"/>
      <c r="T44" s="79">
        <v>4</v>
      </c>
      <c r="U44" s="80" t="str">
        <f>FPDC!J12</f>
        <v>22cb59110303</v>
      </c>
      <c r="V44" s="75">
        <f>FPDC!R12+VLOOKUP($R$31,$AD$38:$AK$42,2,FALSE)+VLOOKUP($R$31,$AD$38:$AK$42,7,FALSE)+VLOOKUP('File location'!$B$1,'Tester offset'!$A$2:$D$4,3,FALSE)</f>
        <v>-9.4713661670999993</v>
      </c>
      <c r="W44" s="76">
        <f>FPDC!S12+VLOOKUP($R$31,$AD$38:$AK$42,3,FALSE)+VLOOKUP($R$31,$AD$38:$AK$42,8,FALSE)+VLOOKUP('File location'!$B$1,'Tester offset'!$A$2:$D$4,4,FALSE)</f>
        <v>-2.5047966241999999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 t="str">
        <f>IPQC!J13</f>
        <v>22cb59100273</v>
      </c>
      <c r="C45" s="44">
        <f>IPQC!S13+VLOOKUP($R$31,$AD$38:$AK$42,6,FALSE)+VLOOKUP('File location'!$B$1,'Tester offset'!$A$2:$D$4,2,FALSE)</f>
        <v>102.06234020860001</v>
      </c>
      <c r="D45" s="44">
        <f>IPQC!Z13+VLOOKUP($R$31,$AD$38:$AK$42,6,FALSE)</f>
        <v>91.369031534399994</v>
      </c>
      <c r="E45" s="44">
        <f>VCM!HU13-'Summary(3pcs)'!C45-'Summary(3pcs)'!$D$32</f>
        <v>113.10644391143791</v>
      </c>
      <c r="F45" s="90"/>
      <c r="G45" s="91"/>
      <c r="H45" s="91"/>
      <c r="I45" s="91"/>
      <c r="J45"/>
      <c r="K45" s="79">
        <f t="shared" si="1"/>
        <v>4</v>
      </c>
      <c r="L45" s="80" t="str">
        <f>OC!J13</f>
        <v>22cb59100273</v>
      </c>
      <c r="M45" s="44">
        <f>OC!S13+VLOOKUP($R$31,$AD$38:$AK$42,4,FALSE)</f>
        <v>2.4512321993000001</v>
      </c>
      <c r="N45" s="44">
        <f>OC!T13+VLOOKUP($R$31,$AD$38:$AK$42,5,FALSE)</f>
        <v>-7.0144615489</v>
      </c>
      <c r="O45" s="92"/>
      <c r="P45" s="92"/>
      <c r="Q45" s="90"/>
      <c r="R45" s="90"/>
      <c r="T45" s="79">
        <v>4</v>
      </c>
      <c r="U45" s="80" t="str">
        <f>FPDC!J13</f>
        <v>22cb59100273</v>
      </c>
      <c r="V45" s="75">
        <f>FPDC!R13+VLOOKUP($R$31,$AD$38:$AK$42,2,FALSE)+VLOOKUP($R$31,$AD$38:$AK$42,7,FALSE)+VLOOKUP('File location'!$B$1,'Tester offset'!$A$2:$D$4,3,FALSE)</f>
        <v>0.37400865549999995</v>
      </c>
      <c r="W45" s="76">
        <f>FPDC!S13+VLOOKUP($R$31,$AD$38:$AK$42,3,FALSE)+VLOOKUP($R$31,$AD$38:$AK$42,8,FALSE)+VLOOKUP('File location'!$B$1,'Tester offset'!$A$2:$D$4,4,FALSE)</f>
        <v>3.1631050109999999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161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155</v>
      </c>
      <c r="G48" s="89"/>
      <c r="H48" s="78" t="s">
        <v>141</v>
      </c>
      <c r="I48" s="32"/>
      <c r="K48" s="32"/>
      <c r="L48" s="32"/>
      <c r="M48" s="32"/>
      <c r="N48" s="32"/>
      <c r="O48" s="93" t="s">
        <v>156</v>
      </c>
      <c r="P48" s="89"/>
      <c r="Q48" s="78" t="s">
        <v>162</v>
      </c>
      <c r="R48" s="32"/>
      <c r="S48" s="32"/>
      <c r="T48" s="32"/>
      <c r="U48" s="32"/>
      <c r="V48" s="32"/>
      <c r="W48" s="32"/>
      <c r="X48" s="32"/>
      <c r="Y48" s="93" t="s">
        <v>156</v>
      </c>
      <c r="Z48" s="89"/>
      <c r="AA48" s="78" t="s">
        <v>104</v>
      </c>
    </row>
    <row r="49" spans="6:27" ht="17.25">
      <c r="F49" s="89" t="s">
        <v>157</v>
      </c>
      <c r="G49" s="89"/>
      <c r="H49" s="78" t="s">
        <v>107</v>
      </c>
      <c r="I49" s="32"/>
      <c r="K49" s="32"/>
      <c r="L49" s="32"/>
      <c r="M49" s="32"/>
      <c r="N49" s="32"/>
      <c r="O49" s="93" t="s">
        <v>165</v>
      </c>
      <c r="P49" s="89"/>
      <c r="Q49" s="78" t="s">
        <v>163</v>
      </c>
      <c r="R49" s="32"/>
      <c r="S49" s="32"/>
      <c r="T49" s="32"/>
      <c r="U49" s="32"/>
      <c r="V49" s="32"/>
      <c r="W49" s="32"/>
      <c r="X49" s="32"/>
      <c r="Y49" s="93" t="s">
        <v>159</v>
      </c>
      <c r="Z49" s="89"/>
      <c r="AA49" s="78" t="s">
        <v>164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165</v>
      </c>
      <c r="P50" s="89"/>
      <c r="Q50" s="78" t="s">
        <v>166</v>
      </c>
      <c r="R50" s="32"/>
      <c r="S50" s="32"/>
      <c r="T50" s="32"/>
      <c r="U50" s="32"/>
      <c r="V50" s="32"/>
      <c r="W50" s="32"/>
      <c r="X50" s="32"/>
      <c r="Y50" s="93" t="s">
        <v>158</v>
      </c>
      <c r="Z50" s="89"/>
      <c r="AA50" s="78" t="s">
        <v>142</v>
      </c>
    </row>
    <row r="52" spans="6:27" ht="19.5">
      <c r="I52" s="45"/>
      <c r="J52" s="45"/>
      <c r="K52" s="81" t="s">
        <v>151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103.8859523263</v>
      </c>
      <c r="L54" s="49">
        <f t="shared" ref="L54:L65" si="4">D34</f>
        <v>88.999338152799993</v>
      </c>
      <c r="M54" s="49">
        <f t="shared" ref="M54:M65" si="5">E34</f>
        <v>124.24671417493789</v>
      </c>
      <c r="N54" s="49">
        <f t="shared" ref="N54:O65" si="6">M34</f>
        <v>8.9753025194999996</v>
      </c>
      <c r="O54" s="49">
        <f t="shared" si="6"/>
        <v>-0.64117425109999981</v>
      </c>
      <c r="P54" s="49">
        <f t="shared" ref="P54:P65" si="7">V34</f>
        <v>-10.829535484299999</v>
      </c>
      <c r="Q54" s="50">
        <f t="shared" ref="Q54:Q65" si="8">W34</f>
        <v>-8.2603654860999995</v>
      </c>
    </row>
    <row r="55" spans="6:27" ht="19.5">
      <c r="I55" s="47">
        <f t="shared" si="2"/>
        <v>1</v>
      </c>
      <c r="J55" s="46"/>
      <c r="K55" s="51">
        <f t="shared" si="3"/>
        <v>99.304781935400001</v>
      </c>
      <c r="L55" s="52">
        <f t="shared" si="4"/>
        <v>92.258351380600004</v>
      </c>
      <c r="M55" s="52">
        <f t="shared" si="5"/>
        <v>135.09946231423788</v>
      </c>
      <c r="N55" s="52">
        <f t="shared" si="6"/>
        <v>0.77634343319999999</v>
      </c>
      <c r="O55" s="52">
        <f t="shared" si="6"/>
        <v>-1.4764451473999998</v>
      </c>
      <c r="P55" s="52">
        <f t="shared" si="7"/>
        <v>-6.9829885960000002</v>
      </c>
      <c r="Q55" s="53">
        <f t="shared" si="8"/>
        <v>-0.8192448616000001</v>
      </c>
    </row>
    <row r="56" spans="6:27" ht="19.5">
      <c r="I56" s="47">
        <f t="shared" si="2"/>
        <v>1</v>
      </c>
      <c r="J56" s="46"/>
      <c r="K56" s="54">
        <f t="shared" si="3"/>
        <v>99.393304247200007</v>
      </c>
      <c r="L56" s="55">
        <f t="shared" si="4"/>
        <v>84.995342616299993</v>
      </c>
      <c r="M56" s="55">
        <f t="shared" si="5"/>
        <v>138.61137302743793</v>
      </c>
      <c r="N56" s="55">
        <f t="shared" si="6"/>
        <v>3.1054004964000002</v>
      </c>
      <c r="O56" s="55">
        <f t="shared" si="6"/>
        <v>-3.0798536344</v>
      </c>
      <c r="P56" s="55">
        <f t="shared" si="7"/>
        <v>-4.1594297885999998</v>
      </c>
      <c r="Q56" s="56">
        <f t="shared" si="8"/>
        <v>-4.2982845306000002</v>
      </c>
    </row>
    <row r="57" spans="6:27" ht="19.5">
      <c r="I57" s="47">
        <f t="shared" si="2"/>
        <v>2</v>
      </c>
      <c r="J57" s="46"/>
      <c r="K57" s="57">
        <f t="shared" si="3"/>
        <v>107.5494223629</v>
      </c>
      <c r="L57" s="58">
        <f t="shared" si="4"/>
        <v>91.521538058399997</v>
      </c>
      <c r="M57" s="58">
        <f t="shared" si="5"/>
        <v>118.13987807053786</v>
      </c>
      <c r="N57" s="58">
        <f t="shared" si="6"/>
        <v>-2.5971715969</v>
      </c>
      <c r="O57" s="58">
        <f t="shared" si="6"/>
        <v>1.4588147931000002</v>
      </c>
      <c r="P57" s="58">
        <f t="shared" si="7"/>
        <v>-10.5116095543</v>
      </c>
      <c r="Q57" s="59">
        <f t="shared" si="8"/>
        <v>-4.5632598399999997</v>
      </c>
    </row>
    <row r="58" spans="6:27" ht="19.5">
      <c r="I58" s="47">
        <f t="shared" si="2"/>
        <v>2</v>
      </c>
      <c r="J58" s="46"/>
      <c r="K58" s="57">
        <f t="shared" si="3"/>
        <v>106.5280211842</v>
      </c>
      <c r="L58" s="58">
        <f t="shared" si="4"/>
        <v>91.477846053299999</v>
      </c>
      <c r="M58" s="58">
        <f t="shared" si="5"/>
        <v>128.5665089516379</v>
      </c>
      <c r="N58" s="58">
        <f t="shared" si="6"/>
        <v>-4.3126358097999997</v>
      </c>
      <c r="O58" s="58">
        <f t="shared" si="6"/>
        <v>-11.135786063199999</v>
      </c>
      <c r="P58" s="58">
        <f t="shared" si="7"/>
        <v>-0.11678218840000021</v>
      </c>
      <c r="Q58" s="59">
        <f t="shared" si="8"/>
        <v>1.6720304489000002</v>
      </c>
    </row>
    <row r="59" spans="6:27" ht="19.5">
      <c r="I59" s="47">
        <f t="shared" si="2"/>
        <v>2</v>
      </c>
      <c r="J59" s="46"/>
      <c r="K59" s="57">
        <f t="shared" si="3"/>
        <v>95.962739729600003</v>
      </c>
      <c r="L59" s="58">
        <f t="shared" si="4"/>
        <v>83.987540429600003</v>
      </c>
      <c r="M59" s="58">
        <f t="shared" si="5"/>
        <v>147.18709778333789</v>
      </c>
      <c r="N59" s="58">
        <f t="shared" si="6"/>
        <v>-0.24921208580000001</v>
      </c>
      <c r="O59" s="58">
        <f t="shared" si="6"/>
        <v>9.7576343950000002</v>
      </c>
      <c r="P59" s="58">
        <f t="shared" si="7"/>
        <v>-2.7306289672999999</v>
      </c>
      <c r="Q59" s="59">
        <f t="shared" si="8"/>
        <v>-2.3900750279</v>
      </c>
    </row>
    <row r="60" spans="6:27" ht="19.5">
      <c r="I60" s="47">
        <f t="shared" si="2"/>
        <v>3</v>
      </c>
      <c r="J60" s="46"/>
      <c r="K60" s="60">
        <f t="shared" si="3"/>
        <v>100.3585041476</v>
      </c>
      <c r="L60" s="61">
        <f t="shared" si="4"/>
        <v>88.793480109100003</v>
      </c>
      <c r="M60" s="61">
        <f t="shared" si="5"/>
        <v>148.06834000143789</v>
      </c>
      <c r="N60" s="61">
        <f t="shared" si="6"/>
        <v>9.9662406470999994</v>
      </c>
      <c r="O60" s="61">
        <f t="shared" si="6"/>
        <v>0.9575604107000002</v>
      </c>
      <c r="P60" s="61">
        <f t="shared" si="7"/>
        <v>-8.8031778335999995</v>
      </c>
      <c r="Q60" s="62">
        <f t="shared" si="8"/>
        <v>-2.2228272556999999</v>
      </c>
    </row>
    <row r="61" spans="6:27" ht="19.5">
      <c r="I61" s="47">
        <f t="shared" si="2"/>
        <v>3</v>
      </c>
      <c r="J61" s="46"/>
      <c r="K61" s="63">
        <f t="shared" si="3"/>
        <v>101.30040099679999</v>
      </c>
      <c r="L61" s="64">
        <f t="shared" si="4"/>
        <v>87.451938525000003</v>
      </c>
      <c r="M61" s="64">
        <f t="shared" si="5"/>
        <v>116.61585856313786</v>
      </c>
      <c r="N61" s="64">
        <f t="shared" si="6"/>
        <v>1.0851438918</v>
      </c>
      <c r="O61" s="64">
        <f t="shared" si="6"/>
        <v>-4.7297438414999995</v>
      </c>
      <c r="P61" s="64">
        <f t="shared" si="7"/>
        <v>-4.2566869259000004</v>
      </c>
      <c r="Q61" s="65">
        <f t="shared" si="8"/>
        <v>-7.0246949195999999</v>
      </c>
    </row>
    <row r="62" spans="6:27" ht="19.5">
      <c r="I62" s="47">
        <f t="shared" si="2"/>
        <v>3</v>
      </c>
      <c r="J62" s="46"/>
      <c r="K62" s="66">
        <f t="shared" si="3"/>
        <v>98.597239766499996</v>
      </c>
      <c r="L62" s="67">
        <f t="shared" si="4"/>
        <v>80.5889998615</v>
      </c>
      <c r="M62" s="67">
        <f t="shared" si="5"/>
        <v>140.79985057243789</v>
      </c>
      <c r="N62" s="67">
        <f t="shared" si="6"/>
        <v>0.90319497400000004</v>
      </c>
      <c r="O62" s="67">
        <f t="shared" si="6"/>
        <v>-3.5218973301999998</v>
      </c>
      <c r="P62" s="67">
        <f t="shared" si="7"/>
        <v>-4.0529110432</v>
      </c>
      <c r="Q62" s="68">
        <f t="shared" si="8"/>
        <v>-3.3053944111</v>
      </c>
    </row>
    <row r="63" spans="6:27" ht="19.5">
      <c r="I63" s="47">
        <f t="shared" si="2"/>
        <v>4</v>
      </c>
      <c r="J63" s="46"/>
      <c r="K63" s="57">
        <f t="shared" si="3"/>
        <v>102.6158819167</v>
      </c>
      <c r="L63" s="58">
        <f t="shared" si="4"/>
        <v>91.951560419700002</v>
      </c>
      <c r="M63" s="58">
        <f t="shared" si="5"/>
        <v>122.58951744783792</v>
      </c>
      <c r="N63" s="58">
        <f t="shared" si="6"/>
        <v>-1.4162547825</v>
      </c>
      <c r="O63" s="58">
        <f t="shared" si="6"/>
        <v>0.56278686829999991</v>
      </c>
      <c r="P63" s="58">
        <f t="shared" si="7"/>
        <v>-4.4522160291999997</v>
      </c>
      <c r="Q63" s="59">
        <f t="shared" si="8"/>
        <v>-2.6436643302</v>
      </c>
    </row>
    <row r="64" spans="6:27" ht="19.5">
      <c r="I64" s="47">
        <f t="shared" si="2"/>
        <v>4</v>
      </c>
      <c r="J64" s="46"/>
      <c r="K64" s="57">
        <f t="shared" si="3"/>
        <v>107.001133196</v>
      </c>
      <c r="L64" s="58">
        <f t="shared" si="4"/>
        <v>88.589367194199994</v>
      </c>
      <c r="M64" s="58">
        <f t="shared" si="5"/>
        <v>109.24887347513788</v>
      </c>
      <c r="N64" s="58">
        <f t="shared" si="6"/>
        <v>-15.179681480099999</v>
      </c>
      <c r="O64" s="58">
        <f t="shared" si="6"/>
        <v>-3.0457265546999999</v>
      </c>
      <c r="P64" s="58">
        <f t="shared" si="7"/>
        <v>-9.4713661670999993</v>
      </c>
      <c r="Q64" s="59">
        <f t="shared" si="8"/>
        <v>-2.5047966241999999</v>
      </c>
    </row>
    <row r="65" spans="9:17" ht="20.25" thickBot="1">
      <c r="I65" s="47">
        <f t="shared" si="2"/>
        <v>4</v>
      </c>
      <c r="J65" s="46"/>
      <c r="K65" s="69">
        <f t="shared" si="3"/>
        <v>102.06234020860001</v>
      </c>
      <c r="L65" s="70">
        <f t="shared" si="4"/>
        <v>91.369031534399994</v>
      </c>
      <c r="M65" s="70">
        <f t="shared" si="5"/>
        <v>113.10644391143791</v>
      </c>
      <c r="N65" s="70">
        <f t="shared" si="6"/>
        <v>2.4512321993000001</v>
      </c>
      <c r="O65" s="70">
        <f t="shared" si="6"/>
        <v>-7.0144615489</v>
      </c>
      <c r="P65" s="70">
        <f t="shared" si="7"/>
        <v>0.37400865549999995</v>
      </c>
      <c r="Q65" s="71">
        <f t="shared" si="8"/>
        <v>3.1631050109999999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</row>
    <row r="2" spans="1:36">
      <c r="A2" t="s">
        <v>210</v>
      </c>
      <c r="B2" t="s">
        <v>211</v>
      </c>
      <c r="C2" t="s">
        <v>212</v>
      </c>
      <c r="D2">
        <v>3</v>
      </c>
      <c r="E2" t="s">
        <v>213</v>
      </c>
      <c r="F2" t="s">
        <v>214</v>
      </c>
      <c r="G2" t="s">
        <v>215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2121.4753025195</v>
      </c>
      <c r="R2">
        <v>1517.1411742511</v>
      </c>
      <c r="S2">
        <v>8.9753025194999996</v>
      </c>
      <c r="T2">
        <v>-4.6411742510999998</v>
      </c>
      <c r="U2">
        <v>10.104283930399999</v>
      </c>
      <c r="V2">
        <v>734.27120000000002</v>
      </c>
      <c r="W2">
        <v>393.8544</v>
      </c>
      <c r="X2">
        <v>399.71789999999999</v>
      </c>
      <c r="Y2">
        <v>393.7593</v>
      </c>
      <c r="Z2">
        <v>395.74959999999999</v>
      </c>
      <c r="AA2">
        <v>565.02075000000002</v>
      </c>
      <c r="AB2" t="s">
        <v>222</v>
      </c>
      <c r="AC2" t="s">
        <v>223</v>
      </c>
      <c r="AD2" t="s">
        <v>224</v>
      </c>
      <c r="AE2" t="s">
        <v>225</v>
      </c>
      <c r="AF2" t="s">
        <v>226</v>
      </c>
      <c r="AG2">
        <v>7</v>
      </c>
      <c r="AH2" t="s">
        <v>227</v>
      </c>
      <c r="AJ2">
        <v>1</v>
      </c>
    </row>
    <row r="3" spans="1:36">
      <c r="A3" t="s">
        <v>228</v>
      </c>
      <c r="B3" t="s">
        <v>229</v>
      </c>
      <c r="C3" t="s">
        <v>212</v>
      </c>
      <c r="D3">
        <v>3</v>
      </c>
      <c r="E3" t="s">
        <v>213</v>
      </c>
      <c r="F3" t="s">
        <v>214</v>
      </c>
      <c r="G3" t="s">
        <v>215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2113.2763434332001</v>
      </c>
      <c r="R3">
        <v>1517.9764451474</v>
      </c>
      <c r="S3">
        <v>0.77634343319999999</v>
      </c>
      <c r="T3">
        <v>-5.4764451473999998</v>
      </c>
      <c r="U3">
        <v>5.5311988373999998</v>
      </c>
      <c r="V3">
        <v>723.95510000000002</v>
      </c>
      <c r="W3">
        <v>391.26459999999997</v>
      </c>
      <c r="X3">
        <v>394.11189999999999</v>
      </c>
      <c r="Y3">
        <v>391.43720000000002</v>
      </c>
      <c r="Z3">
        <v>391.56630000000001</v>
      </c>
      <c r="AA3">
        <v>558.02504999999996</v>
      </c>
      <c r="AB3" t="s">
        <v>222</v>
      </c>
      <c r="AC3" t="s">
        <v>223</v>
      </c>
      <c r="AD3" t="s">
        <v>224</v>
      </c>
      <c r="AE3" t="s">
        <v>225</v>
      </c>
      <c r="AF3" t="s">
        <v>226</v>
      </c>
      <c r="AG3">
        <v>7</v>
      </c>
      <c r="AH3" t="s">
        <v>227</v>
      </c>
      <c r="AJ3">
        <v>1</v>
      </c>
    </row>
    <row r="4" spans="1:36">
      <c r="A4" t="s">
        <v>235</v>
      </c>
      <c r="B4" t="s">
        <v>236</v>
      </c>
      <c r="C4" t="s">
        <v>212</v>
      </c>
      <c r="D4">
        <v>3</v>
      </c>
      <c r="E4" t="s">
        <v>213</v>
      </c>
      <c r="F4" t="s">
        <v>214</v>
      </c>
      <c r="G4" t="s">
        <v>215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2115.6054004963999</v>
      </c>
      <c r="R4">
        <v>1519.5798536344</v>
      </c>
      <c r="S4">
        <v>3.1054004964000002</v>
      </c>
      <c r="T4">
        <v>-7.0798536344</v>
      </c>
      <c r="U4">
        <v>7.7309662868000002</v>
      </c>
      <c r="V4">
        <v>732.06659999999999</v>
      </c>
      <c r="W4">
        <v>395.17970000000003</v>
      </c>
      <c r="X4">
        <v>397.19580000000002</v>
      </c>
      <c r="Y4">
        <v>394.11649999999997</v>
      </c>
      <c r="Z4">
        <v>395.18169999999998</v>
      </c>
      <c r="AA4">
        <v>563.74251249999998</v>
      </c>
      <c r="AB4" t="s">
        <v>222</v>
      </c>
      <c r="AC4" t="s">
        <v>223</v>
      </c>
      <c r="AD4" t="s">
        <v>224</v>
      </c>
      <c r="AE4" t="s">
        <v>225</v>
      </c>
      <c r="AF4" t="s">
        <v>226</v>
      </c>
      <c r="AG4">
        <v>7</v>
      </c>
      <c r="AH4" t="s">
        <v>227</v>
      </c>
      <c r="AJ4">
        <v>1</v>
      </c>
    </row>
    <row r="5" spans="1:36">
      <c r="A5" t="s">
        <v>242</v>
      </c>
      <c r="B5" t="s">
        <v>243</v>
      </c>
      <c r="C5" t="s">
        <v>212</v>
      </c>
      <c r="D5">
        <v>3</v>
      </c>
      <c r="E5" t="s">
        <v>213</v>
      </c>
      <c r="F5" t="s">
        <v>214</v>
      </c>
      <c r="G5" t="s">
        <v>215</v>
      </c>
      <c r="H5" t="s">
        <v>216</v>
      </c>
      <c r="J5" t="s">
        <v>244</v>
      </c>
      <c r="K5" t="s">
        <v>245</v>
      </c>
      <c r="L5" t="s">
        <v>246</v>
      </c>
      <c r="M5" t="s">
        <v>247</v>
      </c>
      <c r="N5" t="s">
        <v>248</v>
      </c>
      <c r="O5">
        <v>0</v>
      </c>
      <c r="P5">
        <v>0</v>
      </c>
      <c r="Q5">
        <v>2109.9028284031001</v>
      </c>
      <c r="R5">
        <v>1515.0411852069001</v>
      </c>
      <c r="S5">
        <v>-2.5971715969</v>
      </c>
      <c r="T5">
        <v>-2.5411852068999998</v>
      </c>
      <c r="U5">
        <v>3.6335826067000001</v>
      </c>
      <c r="V5">
        <v>735.12049999999999</v>
      </c>
      <c r="W5">
        <v>393.77159999999998</v>
      </c>
      <c r="X5">
        <v>397.69639999999998</v>
      </c>
      <c r="Y5">
        <v>396.5795</v>
      </c>
      <c r="Z5">
        <v>391.52749999999997</v>
      </c>
      <c r="AA5">
        <v>565.00712499999997</v>
      </c>
      <c r="AB5" t="s">
        <v>222</v>
      </c>
      <c r="AC5" t="s">
        <v>223</v>
      </c>
      <c r="AD5" t="s">
        <v>224</v>
      </c>
      <c r="AE5" t="s">
        <v>225</v>
      </c>
      <c r="AF5" t="s">
        <v>226</v>
      </c>
      <c r="AG5">
        <v>7</v>
      </c>
      <c r="AH5" t="s">
        <v>227</v>
      </c>
      <c r="AJ5">
        <v>1</v>
      </c>
    </row>
    <row r="6" spans="1:36">
      <c r="A6" t="s">
        <v>249</v>
      </c>
      <c r="B6" t="s">
        <v>250</v>
      </c>
      <c r="C6" t="s">
        <v>212</v>
      </c>
      <c r="D6">
        <v>3</v>
      </c>
      <c r="E6" t="s">
        <v>213</v>
      </c>
      <c r="F6" t="s">
        <v>214</v>
      </c>
      <c r="G6" t="s">
        <v>215</v>
      </c>
      <c r="H6" t="s">
        <v>216</v>
      </c>
      <c r="J6" t="s">
        <v>251</v>
      </c>
      <c r="K6" t="s">
        <v>252</v>
      </c>
      <c r="L6" t="s">
        <v>253</v>
      </c>
      <c r="M6" t="s">
        <v>254</v>
      </c>
      <c r="N6" t="s">
        <v>255</v>
      </c>
      <c r="O6">
        <v>0</v>
      </c>
      <c r="P6">
        <v>0</v>
      </c>
      <c r="Q6">
        <v>2108.1873641901998</v>
      </c>
      <c r="R6">
        <v>1527.6357860631999</v>
      </c>
      <c r="S6">
        <v>-4.3126358097999997</v>
      </c>
      <c r="T6">
        <v>-15.135786063199999</v>
      </c>
      <c r="U6">
        <v>15.738197081599999</v>
      </c>
      <c r="V6">
        <v>715.76739999999995</v>
      </c>
      <c r="W6">
        <v>383.7097</v>
      </c>
      <c r="X6">
        <v>391.8775</v>
      </c>
      <c r="Y6">
        <v>385.9391</v>
      </c>
      <c r="Z6">
        <v>384.1474</v>
      </c>
      <c r="AA6">
        <v>551.09291250000001</v>
      </c>
      <c r="AB6" t="s">
        <v>222</v>
      </c>
      <c r="AC6" t="s">
        <v>223</v>
      </c>
      <c r="AD6" t="s">
        <v>224</v>
      </c>
      <c r="AE6" t="s">
        <v>225</v>
      </c>
      <c r="AF6" t="s">
        <v>226</v>
      </c>
      <c r="AG6">
        <v>7</v>
      </c>
      <c r="AH6" t="s">
        <v>227</v>
      </c>
      <c r="AJ6">
        <v>1</v>
      </c>
    </row>
    <row r="7" spans="1:36">
      <c r="A7" t="s">
        <v>256</v>
      </c>
      <c r="B7" t="s">
        <v>257</v>
      </c>
      <c r="C7" t="s">
        <v>212</v>
      </c>
      <c r="D7">
        <v>3</v>
      </c>
      <c r="E7" t="s">
        <v>213</v>
      </c>
      <c r="F7" t="s">
        <v>214</v>
      </c>
      <c r="G7" t="s">
        <v>215</v>
      </c>
      <c r="H7" t="s">
        <v>216</v>
      </c>
      <c r="J7" t="s">
        <v>258</v>
      </c>
      <c r="K7" t="s">
        <v>259</v>
      </c>
      <c r="L7" t="s">
        <v>260</v>
      </c>
      <c r="M7" t="s">
        <v>261</v>
      </c>
      <c r="N7" t="s">
        <v>262</v>
      </c>
      <c r="O7">
        <v>0</v>
      </c>
      <c r="P7">
        <v>0</v>
      </c>
      <c r="Q7">
        <v>2112.2507879141999</v>
      </c>
      <c r="R7">
        <v>1506.742365605</v>
      </c>
      <c r="S7">
        <v>-0.24921208580000001</v>
      </c>
      <c r="T7">
        <v>5.7576343950000002</v>
      </c>
      <c r="U7">
        <v>5.7630252896999998</v>
      </c>
      <c r="V7">
        <v>734.96400000000006</v>
      </c>
      <c r="W7">
        <v>400.1189</v>
      </c>
      <c r="X7">
        <v>396.93779999999998</v>
      </c>
      <c r="Y7">
        <v>396.87650000000002</v>
      </c>
      <c r="Z7">
        <v>395.39710000000002</v>
      </c>
      <c r="AA7">
        <v>566.14828750000004</v>
      </c>
      <c r="AB7" t="s">
        <v>222</v>
      </c>
      <c r="AC7" t="s">
        <v>223</v>
      </c>
      <c r="AD7" t="s">
        <v>224</v>
      </c>
      <c r="AE7" t="s">
        <v>225</v>
      </c>
      <c r="AF7" t="s">
        <v>226</v>
      </c>
      <c r="AG7">
        <v>7</v>
      </c>
      <c r="AH7" t="s">
        <v>227</v>
      </c>
      <c r="AJ7">
        <v>1</v>
      </c>
    </row>
    <row r="8" spans="1:36">
      <c r="A8" t="s">
        <v>596</v>
      </c>
      <c r="B8" t="s">
        <v>597</v>
      </c>
      <c r="C8" t="s">
        <v>212</v>
      </c>
      <c r="D8">
        <v>3</v>
      </c>
      <c r="E8" t="s">
        <v>213</v>
      </c>
      <c r="F8" t="s">
        <v>214</v>
      </c>
      <c r="G8" t="s">
        <v>215</v>
      </c>
      <c r="H8" t="s">
        <v>216</v>
      </c>
      <c r="J8" t="s">
        <v>598</v>
      </c>
      <c r="K8" t="s">
        <v>599</v>
      </c>
      <c r="L8" t="s">
        <v>600</v>
      </c>
      <c r="M8" t="s">
        <v>601</v>
      </c>
      <c r="N8" t="s">
        <v>602</v>
      </c>
      <c r="O8">
        <v>0</v>
      </c>
      <c r="P8">
        <v>0</v>
      </c>
      <c r="Q8">
        <v>2122.4662406471002</v>
      </c>
      <c r="R8">
        <v>1515.5424395893001</v>
      </c>
      <c r="S8">
        <v>9.9662406470999994</v>
      </c>
      <c r="T8">
        <v>-3.0424395892999998</v>
      </c>
      <c r="U8">
        <v>10.420287485999999</v>
      </c>
      <c r="V8">
        <v>740.95039999999995</v>
      </c>
      <c r="W8">
        <v>396.55250000000001</v>
      </c>
      <c r="X8">
        <v>400.39710000000002</v>
      </c>
      <c r="Y8">
        <v>396.4597</v>
      </c>
      <c r="Z8">
        <v>397.69310000000002</v>
      </c>
      <c r="AA8">
        <v>569.36300000000006</v>
      </c>
      <c r="AB8" t="s">
        <v>222</v>
      </c>
      <c r="AC8" t="s">
        <v>223</v>
      </c>
      <c r="AD8" t="s">
        <v>224</v>
      </c>
      <c r="AE8" t="s">
        <v>225</v>
      </c>
      <c r="AF8" t="s">
        <v>226</v>
      </c>
      <c r="AG8">
        <v>7</v>
      </c>
      <c r="AH8" t="s">
        <v>227</v>
      </c>
      <c r="AJ8">
        <v>1</v>
      </c>
    </row>
    <row r="9" spans="1:36">
      <c r="A9" t="s">
        <v>603</v>
      </c>
      <c r="B9" t="s">
        <v>604</v>
      </c>
      <c r="C9" t="s">
        <v>212</v>
      </c>
      <c r="D9">
        <v>3</v>
      </c>
      <c r="E9" t="s">
        <v>213</v>
      </c>
      <c r="F9" t="s">
        <v>214</v>
      </c>
      <c r="G9" t="s">
        <v>215</v>
      </c>
      <c r="H9" t="s">
        <v>216</v>
      </c>
      <c r="J9" t="s">
        <v>605</v>
      </c>
      <c r="K9" t="s">
        <v>606</v>
      </c>
      <c r="L9" t="s">
        <v>607</v>
      </c>
      <c r="M9" t="s">
        <v>608</v>
      </c>
      <c r="N9" t="s">
        <v>609</v>
      </c>
      <c r="O9">
        <v>0</v>
      </c>
      <c r="P9">
        <v>0</v>
      </c>
      <c r="Q9">
        <v>2113.5851438917998</v>
      </c>
      <c r="R9">
        <v>1521.2297438415001</v>
      </c>
      <c r="S9">
        <v>1.0851438918</v>
      </c>
      <c r="T9">
        <v>-8.7297438414999995</v>
      </c>
      <c r="U9">
        <v>8.7969292826000007</v>
      </c>
      <c r="V9">
        <v>741.80439999999999</v>
      </c>
      <c r="W9">
        <v>396.19349999999997</v>
      </c>
      <c r="X9">
        <v>405.32139999999998</v>
      </c>
      <c r="Y9">
        <v>398.91109999999998</v>
      </c>
      <c r="Z9">
        <v>397.32560000000001</v>
      </c>
      <c r="AA9">
        <v>570.62114999999994</v>
      </c>
      <c r="AB9" t="s">
        <v>222</v>
      </c>
      <c r="AC9" t="s">
        <v>223</v>
      </c>
      <c r="AD9" t="s">
        <v>224</v>
      </c>
      <c r="AE9" t="s">
        <v>225</v>
      </c>
      <c r="AF9" t="s">
        <v>226</v>
      </c>
      <c r="AG9">
        <v>7</v>
      </c>
      <c r="AH9" t="s">
        <v>227</v>
      </c>
      <c r="AJ9">
        <v>1</v>
      </c>
    </row>
    <row r="10" spans="1:36">
      <c r="A10" t="s">
        <v>610</v>
      </c>
      <c r="B10" t="s">
        <v>611</v>
      </c>
      <c r="C10" t="s">
        <v>212</v>
      </c>
      <c r="D10">
        <v>3</v>
      </c>
      <c r="E10" t="s">
        <v>213</v>
      </c>
      <c r="F10" t="s">
        <v>214</v>
      </c>
      <c r="G10" t="s">
        <v>215</v>
      </c>
      <c r="H10" t="s">
        <v>216</v>
      </c>
      <c r="J10" t="s">
        <v>612</v>
      </c>
      <c r="K10" t="s">
        <v>613</v>
      </c>
      <c r="L10" t="s">
        <v>614</v>
      </c>
      <c r="M10" t="s">
        <v>615</v>
      </c>
      <c r="N10" t="s">
        <v>616</v>
      </c>
      <c r="O10">
        <v>0</v>
      </c>
      <c r="P10">
        <v>0</v>
      </c>
      <c r="Q10">
        <v>2113.4031949740001</v>
      </c>
      <c r="R10">
        <v>1520.0218973302001</v>
      </c>
      <c r="S10">
        <v>0.90319497400000004</v>
      </c>
      <c r="T10">
        <v>-7.5218973301999998</v>
      </c>
      <c r="U10">
        <v>7.5759290259999998</v>
      </c>
      <c r="V10">
        <v>744.9393</v>
      </c>
      <c r="W10">
        <v>399.40649999999999</v>
      </c>
      <c r="X10">
        <v>405.93310000000002</v>
      </c>
      <c r="Y10">
        <v>401.09809999999999</v>
      </c>
      <c r="Z10">
        <v>401.07119999999998</v>
      </c>
      <c r="AA10">
        <v>573.40826249999998</v>
      </c>
      <c r="AB10" t="s">
        <v>222</v>
      </c>
      <c r="AC10" t="s">
        <v>223</v>
      </c>
      <c r="AD10" t="s">
        <v>224</v>
      </c>
      <c r="AE10" t="s">
        <v>225</v>
      </c>
      <c r="AF10" t="s">
        <v>226</v>
      </c>
      <c r="AG10">
        <v>7</v>
      </c>
      <c r="AH10" t="s">
        <v>227</v>
      </c>
      <c r="AJ10">
        <v>1</v>
      </c>
    </row>
    <row r="11" spans="1:36">
      <c r="A11" t="s">
        <v>617</v>
      </c>
      <c r="B11" t="s">
        <v>618</v>
      </c>
      <c r="C11" t="s">
        <v>212</v>
      </c>
      <c r="D11">
        <v>3</v>
      </c>
      <c r="E11" t="s">
        <v>213</v>
      </c>
      <c r="F11" t="s">
        <v>214</v>
      </c>
      <c r="G11" t="s">
        <v>215</v>
      </c>
      <c r="H11" t="s">
        <v>216</v>
      </c>
      <c r="J11" t="s">
        <v>619</v>
      </c>
      <c r="K11" t="s">
        <v>620</v>
      </c>
      <c r="L11" t="s">
        <v>621</v>
      </c>
      <c r="M11" t="s">
        <v>622</v>
      </c>
      <c r="N11" t="s">
        <v>623</v>
      </c>
      <c r="O11">
        <v>0</v>
      </c>
      <c r="P11">
        <v>0</v>
      </c>
      <c r="Q11">
        <v>2111.0837452175001</v>
      </c>
      <c r="R11">
        <v>1515.9372131317</v>
      </c>
      <c r="S11">
        <v>-1.4162547825</v>
      </c>
      <c r="T11">
        <v>-3.4372131317000001</v>
      </c>
      <c r="U11">
        <v>3.7175545351000001</v>
      </c>
      <c r="V11">
        <v>740.63239999999996</v>
      </c>
      <c r="W11">
        <v>396.64269999999999</v>
      </c>
      <c r="X11">
        <v>398.0779</v>
      </c>
      <c r="Y11">
        <v>397.21620000000001</v>
      </c>
      <c r="Z11">
        <v>393.04309999999998</v>
      </c>
      <c r="AA11">
        <v>568.43868750000001</v>
      </c>
      <c r="AB11" t="s">
        <v>222</v>
      </c>
      <c r="AC11" t="s">
        <v>223</v>
      </c>
      <c r="AD11" t="s">
        <v>224</v>
      </c>
      <c r="AE11" t="s">
        <v>225</v>
      </c>
      <c r="AF11" t="s">
        <v>226</v>
      </c>
      <c r="AG11">
        <v>7</v>
      </c>
      <c r="AH11" t="s">
        <v>227</v>
      </c>
      <c r="AJ11">
        <v>1</v>
      </c>
    </row>
    <row r="12" spans="1:36">
      <c r="A12" t="s">
        <v>624</v>
      </c>
      <c r="B12" t="s">
        <v>625</v>
      </c>
      <c r="C12" t="s">
        <v>212</v>
      </c>
      <c r="D12">
        <v>3</v>
      </c>
      <c r="E12" t="s">
        <v>213</v>
      </c>
      <c r="F12" t="s">
        <v>214</v>
      </c>
      <c r="G12" t="s">
        <v>215</v>
      </c>
      <c r="H12" t="s">
        <v>216</v>
      </c>
      <c r="J12" t="s">
        <v>626</v>
      </c>
      <c r="K12" t="s">
        <v>627</v>
      </c>
      <c r="L12" t="s">
        <v>628</v>
      </c>
      <c r="M12" t="s">
        <v>629</v>
      </c>
      <c r="N12" t="s">
        <v>630</v>
      </c>
      <c r="O12">
        <v>0</v>
      </c>
      <c r="P12">
        <v>0</v>
      </c>
      <c r="Q12">
        <v>2097.3203185199</v>
      </c>
      <c r="R12">
        <v>1519.5457265547</v>
      </c>
      <c r="S12">
        <v>-15.179681480099999</v>
      </c>
      <c r="T12">
        <v>-7.0457265546999999</v>
      </c>
      <c r="U12">
        <v>16.735142441000001</v>
      </c>
      <c r="V12">
        <v>738.09379999999999</v>
      </c>
      <c r="W12">
        <v>395.17329999999998</v>
      </c>
      <c r="X12">
        <v>399.83850000000001</v>
      </c>
      <c r="Y12">
        <v>400.08109999999999</v>
      </c>
      <c r="Z12">
        <v>389.25290000000001</v>
      </c>
      <c r="AA12">
        <v>567.09012499999994</v>
      </c>
      <c r="AB12" t="s">
        <v>222</v>
      </c>
      <c r="AC12" t="s">
        <v>223</v>
      </c>
      <c r="AD12" t="s">
        <v>224</v>
      </c>
      <c r="AE12" t="s">
        <v>225</v>
      </c>
      <c r="AF12" t="s">
        <v>226</v>
      </c>
      <c r="AG12">
        <v>7</v>
      </c>
      <c r="AH12" t="s">
        <v>227</v>
      </c>
      <c r="AJ12">
        <v>1</v>
      </c>
    </row>
    <row r="13" spans="1:36">
      <c r="A13" t="s">
        <v>631</v>
      </c>
      <c r="B13" t="s">
        <v>632</v>
      </c>
      <c r="C13" t="s">
        <v>212</v>
      </c>
      <c r="D13">
        <v>3</v>
      </c>
      <c r="E13" t="s">
        <v>213</v>
      </c>
      <c r="F13" t="s">
        <v>214</v>
      </c>
      <c r="G13" t="s">
        <v>215</v>
      </c>
      <c r="H13" t="s">
        <v>216</v>
      </c>
      <c r="J13" t="s">
        <v>633</v>
      </c>
      <c r="K13" t="s">
        <v>634</v>
      </c>
      <c r="L13" t="s">
        <v>635</v>
      </c>
      <c r="M13" t="s">
        <v>636</v>
      </c>
      <c r="N13" t="s">
        <v>637</v>
      </c>
      <c r="O13">
        <v>0</v>
      </c>
      <c r="P13">
        <v>0</v>
      </c>
      <c r="Q13">
        <v>2114.9512321993002</v>
      </c>
      <c r="R13">
        <v>1523.5144615489</v>
      </c>
      <c r="S13">
        <v>2.4512321993000001</v>
      </c>
      <c r="T13">
        <v>-11.0144615489</v>
      </c>
      <c r="U13">
        <v>11.283922301600001</v>
      </c>
      <c r="V13">
        <v>737.89829999999995</v>
      </c>
      <c r="W13">
        <v>394.5985</v>
      </c>
      <c r="X13">
        <v>398.37509999999997</v>
      </c>
      <c r="Y13">
        <v>397.38600000000002</v>
      </c>
      <c r="Z13">
        <v>394.93130000000002</v>
      </c>
      <c r="AA13">
        <v>567.11051250000003</v>
      </c>
      <c r="AB13" t="s">
        <v>222</v>
      </c>
      <c r="AC13" t="s">
        <v>223</v>
      </c>
      <c r="AD13" t="s">
        <v>224</v>
      </c>
      <c r="AE13" t="s">
        <v>225</v>
      </c>
      <c r="AF13" t="s">
        <v>226</v>
      </c>
      <c r="AG13">
        <v>7</v>
      </c>
      <c r="AH13" t="s">
        <v>227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263</v>
      </c>
      <c r="R1" t="s">
        <v>264</v>
      </c>
      <c r="S1" t="s">
        <v>265</v>
      </c>
      <c r="T1" t="s">
        <v>266</v>
      </c>
      <c r="U1" t="s">
        <v>267</v>
      </c>
      <c r="V1" t="s">
        <v>268</v>
      </c>
      <c r="W1" t="s">
        <v>269</v>
      </c>
      <c r="X1" t="s">
        <v>270</v>
      </c>
      <c r="Y1" t="s">
        <v>271</v>
      </c>
      <c r="Z1" t="s">
        <v>272</v>
      </c>
      <c r="AA1" t="s">
        <v>273</v>
      </c>
      <c r="AB1" t="s">
        <v>274</v>
      </c>
      <c r="AC1" t="s">
        <v>275</v>
      </c>
      <c r="AD1" t="s">
        <v>276</v>
      </c>
      <c r="AE1" t="s">
        <v>277</v>
      </c>
      <c r="AF1" t="s">
        <v>278</v>
      </c>
      <c r="AG1" t="s">
        <v>279</v>
      </c>
      <c r="AH1" t="s">
        <v>280</v>
      </c>
      <c r="AI1" t="s">
        <v>281</v>
      </c>
      <c r="AJ1" t="s">
        <v>282</v>
      </c>
      <c r="AK1" t="s">
        <v>283</v>
      </c>
      <c r="AL1" t="s">
        <v>284</v>
      </c>
      <c r="AM1" t="s">
        <v>285</v>
      </c>
      <c r="AN1" t="s">
        <v>286</v>
      </c>
      <c r="AO1" t="s">
        <v>287</v>
      </c>
      <c r="AP1" t="s">
        <v>288</v>
      </c>
      <c r="AQ1" t="s">
        <v>289</v>
      </c>
      <c r="AR1" t="s">
        <v>290</v>
      </c>
      <c r="AS1" t="s">
        <v>291</v>
      </c>
      <c r="AT1" t="s">
        <v>292</v>
      </c>
      <c r="AU1" t="s">
        <v>293</v>
      </c>
      <c r="AV1" t="s">
        <v>207</v>
      </c>
      <c r="AW1" t="s">
        <v>208</v>
      </c>
      <c r="AX1" t="s">
        <v>209</v>
      </c>
    </row>
    <row r="2" spans="1:50">
      <c r="A2" t="s">
        <v>294</v>
      </c>
      <c r="B2" t="s">
        <v>295</v>
      </c>
      <c r="C2" t="s">
        <v>212</v>
      </c>
      <c r="D2">
        <v>3</v>
      </c>
      <c r="E2" t="s">
        <v>213</v>
      </c>
      <c r="F2" t="s">
        <v>214</v>
      </c>
      <c r="G2" t="s">
        <v>296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9.4174999999999992E-6</v>
      </c>
      <c r="R2">
        <v>-4.8295354843</v>
      </c>
      <c r="S2">
        <v>-5.2603654861000004</v>
      </c>
      <c r="T2">
        <v>-0.30938100810000002</v>
      </c>
      <c r="U2">
        <v>1.9892795085999999</v>
      </c>
      <c r="V2">
        <v>0.44318142529999999</v>
      </c>
      <c r="W2">
        <v>1.8999140263000001</v>
      </c>
      <c r="X2">
        <v>3.3599202632999998</v>
      </c>
      <c r="Y2">
        <v>1.9408067465000001</v>
      </c>
      <c r="Z2">
        <v>0.47033092380000002</v>
      </c>
      <c r="AA2">
        <v>0.42497545479999999</v>
      </c>
      <c r="AB2">
        <v>-1.1947262287</v>
      </c>
      <c r="AC2">
        <v>0.41612708570000001</v>
      </c>
      <c r="AD2">
        <v>-1.6976299286000001</v>
      </c>
      <c r="AE2">
        <v>-1.3697804213</v>
      </c>
      <c r="AF2">
        <v>-0.64902549980000002</v>
      </c>
      <c r="AG2">
        <v>-0.62500882150000003</v>
      </c>
      <c r="AH2">
        <v>1.0149781704</v>
      </c>
      <c r="AI2">
        <v>0.2818185091</v>
      </c>
      <c r="AJ2">
        <v>-0.47786220909999999</v>
      </c>
      <c r="AK2">
        <v>2.0362789999999999E-4</v>
      </c>
      <c r="AL2">
        <v>4.6102322600000002E-2</v>
      </c>
      <c r="AM2">
        <v>9.4515986699999999E-2</v>
      </c>
      <c r="AN2">
        <v>0.14548522229999999</v>
      </c>
      <c r="AO2">
        <v>0.14626996219999999</v>
      </c>
      <c r="AP2">
        <v>0.14626996219999999</v>
      </c>
      <c r="AQ2">
        <v>7.1411384275999996</v>
      </c>
      <c r="AR2" t="s">
        <v>297</v>
      </c>
      <c r="AS2" t="s">
        <v>298</v>
      </c>
      <c r="AT2">
        <v>3</v>
      </c>
      <c r="AU2">
        <v>2.9</v>
      </c>
      <c r="AX2">
        <v>1</v>
      </c>
    </row>
    <row r="3" spans="1:50">
      <c r="A3" t="s">
        <v>299</v>
      </c>
      <c r="B3" t="s">
        <v>300</v>
      </c>
      <c r="C3" t="s">
        <v>212</v>
      </c>
      <c r="D3">
        <v>3</v>
      </c>
      <c r="E3" t="s">
        <v>213</v>
      </c>
      <c r="F3" t="s">
        <v>214</v>
      </c>
      <c r="G3" t="s">
        <v>296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1.8476999999999999E-6</v>
      </c>
      <c r="R3">
        <v>-0.98298859599999999</v>
      </c>
      <c r="S3">
        <v>2.1807551383999999</v>
      </c>
      <c r="T3">
        <v>-1.8196278811</v>
      </c>
      <c r="U3">
        <v>1.5878074169</v>
      </c>
      <c r="V3">
        <v>-4.7161560059000003</v>
      </c>
      <c r="W3">
        <v>1.3563318253000001</v>
      </c>
      <c r="X3">
        <v>1.3560211658000001</v>
      </c>
      <c r="Y3">
        <v>1.3312470913000001</v>
      </c>
      <c r="Z3">
        <v>-0.31904146080000001</v>
      </c>
      <c r="AA3">
        <v>1.0397057533</v>
      </c>
      <c r="AB3">
        <v>-0.25608330969999998</v>
      </c>
      <c r="AC3">
        <v>0.29778742790000001</v>
      </c>
      <c r="AD3">
        <v>-1.52899611</v>
      </c>
      <c r="AE3">
        <v>-0.66719067099999996</v>
      </c>
      <c r="AF3">
        <v>-0.4231369197</v>
      </c>
      <c r="AG3">
        <v>0.7051323652</v>
      </c>
      <c r="AH3">
        <v>-0.72213709349999999</v>
      </c>
      <c r="AI3">
        <v>0.1463294476</v>
      </c>
      <c r="AJ3">
        <v>-9.4327405099999997E-2</v>
      </c>
      <c r="AK3">
        <v>1.8429190000000001E-4</v>
      </c>
      <c r="AL3">
        <v>4.3643288299999999E-2</v>
      </c>
      <c r="AM3">
        <v>6.3805125700000007E-2</v>
      </c>
      <c r="AN3">
        <v>7.7469095599999996E-2</v>
      </c>
      <c r="AO3">
        <v>7.7469095599999996E-2</v>
      </c>
      <c r="AP3">
        <v>0.10361287</v>
      </c>
      <c r="AQ3">
        <v>2.3920617788</v>
      </c>
      <c r="AR3" t="s">
        <v>297</v>
      </c>
      <c r="AS3" t="s">
        <v>298</v>
      </c>
      <c r="AT3">
        <v>3</v>
      </c>
      <c r="AU3">
        <v>2.9</v>
      </c>
      <c r="AX3">
        <v>1</v>
      </c>
    </row>
    <row r="4" spans="1:50">
      <c r="A4" t="s">
        <v>301</v>
      </c>
      <c r="B4" t="s">
        <v>302</v>
      </c>
      <c r="C4" t="s">
        <v>212</v>
      </c>
      <c r="D4">
        <v>3</v>
      </c>
      <c r="E4" t="s">
        <v>213</v>
      </c>
      <c r="F4" t="s">
        <v>214</v>
      </c>
      <c r="G4" t="s">
        <v>296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-2.5629999999999999E-6</v>
      </c>
      <c r="R4">
        <v>1.8405702114</v>
      </c>
      <c r="S4">
        <v>-1.2982845305999999</v>
      </c>
      <c r="T4">
        <v>1.8902986049999999</v>
      </c>
      <c r="U4">
        <v>4.2245492935</v>
      </c>
      <c r="V4">
        <v>-1.1501706839000001</v>
      </c>
      <c r="W4">
        <v>-1.6660964489000001</v>
      </c>
      <c r="X4">
        <v>-0.46694046259999999</v>
      </c>
      <c r="Y4">
        <v>1.5386613606999999</v>
      </c>
      <c r="Z4">
        <v>-0.16666860880000001</v>
      </c>
      <c r="AA4">
        <v>-1.4504543542999999</v>
      </c>
      <c r="AB4">
        <v>-1.7937200069000001</v>
      </c>
      <c r="AC4">
        <v>0.40428546069999999</v>
      </c>
      <c r="AD4">
        <v>-9.69816446E-2</v>
      </c>
      <c r="AE4">
        <v>0.13223721090000001</v>
      </c>
      <c r="AF4">
        <v>-0.15967176850000001</v>
      </c>
      <c r="AG4">
        <v>-0.73620808120000003</v>
      </c>
      <c r="AH4">
        <v>0.43239927290000002</v>
      </c>
      <c r="AI4">
        <v>0.2309014201</v>
      </c>
      <c r="AJ4">
        <v>0.50261980299999998</v>
      </c>
      <c r="AK4">
        <v>2.3021629999999999E-4</v>
      </c>
      <c r="AL4">
        <v>4.84446771E-2</v>
      </c>
      <c r="AM4">
        <v>5.0454847499999997E-2</v>
      </c>
      <c r="AN4">
        <v>3.26481983E-2</v>
      </c>
      <c r="AO4">
        <v>0.1104496568</v>
      </c>
      <c r="AP4">
        <v>0.1104496568</v>
      </c>
      <c r="AQ4">
        <v>2.2523857186999998</v>
      </c>
      <c r="AR4" t="s">
        <v>297</v>
      </c>
      <c r="AS4" t="s">
        <v>298</v>
      </c>
      <c r="AT4">
        <v>4</v>
      </c>
      <c r="AU4">
        <v>2.9</v>
      </c>
      <c r="AX4">
        <v>1</v>
      </c>
    </row>
    <row r="5" spans="1:50">
      <c r="A5" t="s">
        <v>303</v>
      </c>
      <c r="B5" t="s">
        <v>304</v>
      </c>
      <c r="C5" t="s">
        <v>212</v>
      </c>
      <c r="D5">
        <v>3</v>
      </c>
      <c r="E5" t="s">
        <v>213</v>
      </c>
      <c r="F5" t="s">
        <v>214</v>
      </c>
      <c r="G5" t="s">
        <v>296</v>
      </c>
      <c r="H5" t="s">
        <v>216</v>
      </c>
      <c r="J5" t="s">
        <v>244</v>
      </c>
      <c r="K5" t="s">
        <v>245</v>
      </c>
      <c r="L5" t="s">
        <v>246</v>
      </c>
      <c r="M5" t="s">
        <v>247</v>
      </c>
      <c r="N5" t="s">
        <v>248</v>
      </c>
      <c r="O5">
        <v>0</v>
      </c>
      <c r="P5">
        <v>0</v>
      </c>
      <c r="Q5">
        <v>-2.42591E-5</v>
      </c>
      <c r="R5">
        <v>-4.5116095542999997</v>
      </c>
      <c r="S5">
        <v>-1.56325984</v>
      </c>
      <c r="T5">
        <v>3.1034440993999999</v>
      </c>
      <c r="U5">
        <v>5.6504545212000004</v>
      </c>
      <c r="V5">
        <v>2.1954774857000001</v>
      </c>
      <c r="W5">
        <v>2.0824763774999999</v>
      </c>
      <c r="X5">
        <v>5.3648943900999999</v>
      </c>
      <c r="Y5">
        <v>1.8125460148000001</v>
      </c>
      <c r="Z5">
        <v>-0.43145245310000002</v>
      </c>
      <c r="AA5">
        <v>1.174456358</v>
      </c>
      <c r="AB5">
        <v>-2.0730867385999998</v>
      </c>
      <c r="AC5">
        <v>-0.27105766529999997</v>
      </c>
      <c r="AD5">
        <v>-1.3339722157</v>
      </c>
      <c r="AE5">
        <v>-2.5178284645</v>
      </c>
      <c r="AF5">
        <v>-1.4703266621</v>
      </c>
      <c r="AG5">
        <v>-0.33396154639999998</v>
      </c>
      <c r="AH5">
        <v>-8.2468852400000001E-2</v>
      </c>
      <c r="AI5">
        <v>-5.4731965100000002E-2</v>
      </c>
      <c r="AJ5">
        <v>2.6557438100000001E-2</v>
      </c>
      <c r="AK5">
        <v>1.7070940000000001E-4</v>
      </c>
      <c r="AL5">
        <v>4.2821645700000001E-2</v>
      </c>
      <c r="AM5">
        <v>8.1604860700000004E-2</v>
      </c>
      <c r="AN5">
        <v>0.1154134497</v>
      </c>
      <c r="AO5">
        <v>0.20554372670000001</v>
      </c>
      <c r="AP5">
        <v>0.20554372670000001</v>
      </c>
      <c r="AQ5">
        <v>4.7747672297000001</v>
      </c>
      <c r="AR5" t="s">
        <v>297</v>
      </c>
      <c r="AS5" t="s">
        <v>298</v>
      </c>
      <c r="AT5">
        <v>4</v>
      </c>
      <c r="AU5">
        <v>2.9</v>
      </c>
      <c r="AX5">
        <v>1</v>
      </c>
    </row>
    <row r="6" spans="1:50">
      <c r="A6" t="s">
        <v>305</v>
      </c>
      <c r="B6" t="s">
        <v>306</v>
      </c>
      <c r="C6" t="s">
        <v>212</v>
      </c>
      <c r="D6">
        <v>3</v>
      </c>
      <c r="E6" t="s">
        <v>213</v>
      </c>
      <c r="F6" t="s">
        <v>214</v>
      </c>
      <c r="G6" t="s">
        <v>296</v>
      </c>
      <c r="H6" t="s">
        <v>216</v>
      </c>
      <c r="J6" t="s">
        <v>251</v>
      </c>
      <c r="K6" t="s">
        <v>252</v>
      </c>
      <c r="L6" t="s">
        <v>253</v>
      </c>
      <c r="M6" t="s">
        <v>254</v>
      </c>
      <c r="N6" t="s">
        <v>255</v>
      </c>
      <c r="O6">
        <v>0</v>
      </c>
      <c r="P6">
        <v>0</v>
      </c>
      <c r="Q6">
        <v>-1.6570099999999999E-5</v>
      </c>
      <c r="R6">
        <v>5.8832178115999998</v>
      </c>
      <c r="S6">
        <v>4.6720304489000002</v>
      </c>
      <c r="T6">
        <v>1.8990780115000001</v>
      </c>
      <c r="U6">
        <v>6.0385646819999996</v>
      </c>
      <c r="V6">
        <v>-8.3762063980000008</v>
      </c>
      <c r="W6">
        <v>0.2009512484</v>
      </c>
      <c r="X6">
        <v>-1.2162458896999999</v>
      </c>
      <c r="Y6">
        <v>2.26252985</v>
      </c>
      <c r="Z6">
        <v>-0.84507519009999998</v>
      </c>
      <c r="AA6">
        <v>-0.79664349560000003</v>
      </c>
      <c r="AB6">
        <v>-3.1701118946000002</v>
      </c>
      <c r="AC6">
        <v>2.4161996841</v>
      </c>
      <c r="AD6">
        <v>-1.9119803904999999</v>
      </c>
      <c r="AE6">
        <v>-0.33668261770000002</v>
      </c>
      <c r="AF6">
        <v>-1.1482475995999999</v>
      </c>
      <c r="AG6">
        <v>8.4587693199999994E-2</v>
      </c>
      <c r="AH6">
        <v>0.50691479439999998</v>
      </c>
      <c r="AI6">
        <v>0.52025049919999999</v>
      </c>
      <c r="AJ6">
        <v>-4.3584823600000003E-2</v>
      </c>
      <c r="AK6">
        <v>3.3682660000000002E-4</v>
      </c>
      <c r="AL6">
        <v>6.0960322599999998E-2</v>
      </c>
      <c r="AM6">
        <v>0.20747175809999999</v>
      </c>
      <c r="AN6">
        <v>0.1896016449</v>
      </c>
      <c r="AO6">
        <v>0.2131688893</v>
      </c>
      <c r="AP6">
        <v>0.2131688893</v>
      </c>
      <c r="AQ6">
        <v>7.5126639971999998</v>
      </c>
      <c r="AR6" t="s">
        <v>297</v>
      </c>
      <c r="AS6" t="s">
        <v>298</v>
      </c>
      <c r="AT6">
        <v>4</v>
      </c>
      <c r="AU6">
        <v>2.9</v>
      </c>
      <c r="AX6">
        <v>1</v>
      </c>
    </row>
    <row r="7" spans="1:50">
      <c r="A7" t="s">
        <v>638</v>
      </c>
      <c r="B7" t="s">
        <v>639</v>
      </c>
      <c r="C7" t="s">
        <v>212</v>
      </c>
      <c r="D7">
        <v>3</v>
      </c>
      <c r="E7" t="s">
        <v>213</v>
      </c>
      <c r="F7" t="s">
        <v>214</v>
      </c>
      <c r="G7" t="s">
        <v>296</v>
      </c>
      <c r="H7" t="s">
        <v>216</v>
      </c>
      <c r="J7" t="s">
        <v>258</v>
      </c>
      <c r="K7" t="s">
        <v>259</v>
      </c>
      <c r="L7" t="s">
        <v>260</v>
      </c>
      <c r="M7" t="s">
        <v>261</v>
      </c>
      <c r="N7" t="s">
        <v>262</v>
      </c>
      <c r="O7">
        <v>0</v>
      </c>
      <c r="P7">
        <v>0</v>
      </c>
      <c r="Q7">
        <v>-6.4373000000000002E-6</v>
      </c>
      <c r="R7">
        <v>3.2693710327000001</v>
      </c>
      <c r="S7">
        <v>0.60992497209999996</v>
      </c>
      <c r="T7">
        <v>1.9783141612999999</v>
      </c>
      <c r="U7">
        <v>2.3565452099000002</v>
      </c>
      <c r="V7">
        <v>5.6250214576999999</v>
      </c>
      <c r="W7">
        <v>1.0546191931</v>
      </c>
      <c r="X7">
        <v>2.3915128708000002</v>
      </c>
      <c r="Y7">
        <v>-5.1403105300000002E-2</v>
      </c>
      <c r="Z7">
        <v>1.6353187561</v>
      </c>
      <c r="AA7">
        <v>1.6296919584</v>
      </c>
      <c r="AB7">
        <v>-0.81037390229999995</v>
      </c>
      <c r="AC7">
        <v>-1.4134817123000001</v>
      </c>
      <c r="AD7">
        <v>-1.0555033683999999</v>
      </c>
      <c r="AE7">
        <v>-0.7376599908</v>
      </c>
      <c r="AF7">
        <v>-8.4460422399999999E-2</v>
      </c>
      <c r="AG7">
        <v>-0.40154570340000001</v>
      </c>
      <c r="AH7">
        <v>-0.45299431680000002</v>
      </c>
      <c r="AI7">
        <v>-1.4296156168</v>
      </c>
      <c r="AJ7">
        <v>-0.75813317300000005</v>
      </c>
      <c r="AK7">
        <v>1.539961E-4</v>
      </c>
      <c r="AL7">
        <v>4.0519952800000002E-2</v>
      </c>
      <c r="AM7">
        <v>9.8322615000000002E-2</v>
      </c>
      <c r="AN7">
        <v>9.4267249100000006E-2</v>
      </c>
      <c r="AO7">
        <v>0.11204062400000001</v>
      </c>
      <c r="AP7">
        <v>0.11204062400000001</v>
      </c>
      <c r="AQ7">
        <v>3.3257774160000002</v>
      </c>
      <c r="AR7" t="s">
        <v>297</v>
      </c>
      <c r="AS7" t="s">
        <v>298</v>
      </c>
      <c r="AT7">
        <v>3</v>
      </c>
      <c r="AU7">
        <v>2.9</v>
      </c>
      <c r="AX7">
        <v>1</v>
      </c>
    </row>
    <row r="8" spans="1:50">
      <c r="A8" t="s">
        <v>640</v>
      </c>
      <c r="B8" t="s">
        <v>641</v>
      </c>
      <c r="C8" t="s">
        <v>212</v>
      </c>
      <c r="D8">
        <v>3</v>
      </c>
      <c r="E8" t="s">
        <v>213</v>
      </c>
      <c r="F8" t="s">
        <v>214</v>
      </c>
      <c r="G8" t="s">
        <v>296</v>
      </c>
      <c r="H8" t="s">
        <v>216</v>
      </c>
      <c r="J8" t="s">
        <v>598</v>
      </c>
      <c r="K8" t="s">
        <v>599</v>
      </c>
      <c r="L8" t="s">
        <v>600</v>
      </c>
      <c r="M8" t="s">
        <v>601</v>
      </c>
      <c r="N8" t="s">
        <v>602</v>
      </c>
      <c r="O8">
        <v>0</v>
      </c>
      <c r="P8">
        <v>0</v>
      </c>
      <c r="Q8">
        <v>1.1026899999999999E-5</v>
      </c>
      <c r="R8">
        <v>-2.8031778335999999</v>
      </c>
      <c r="S8">
        <v>0.77717274430000005</v>
      </c>
      <c r="T8">
        <v>4.1018037796</v>
      </c>
      <c r="U8">
        <v>1.3954781294</v>
      </c>
      <c r="V8">
        <v>1.2097684145000001</v>
      </c>
      <c r="W8">
        <v>2.6537442207000002</v>
      </c>
      <c r="X8">
        <v>0.9465313554</v>
      </c>
      <c r="Y8">
        <v>0.85364007949999998</v>
      </c>
      <c r="Z8">
        <v>0.85992836949999996</v>
      </c>
      <c r="AA8">
        <v>0.8031890988</v>
      </c>
      <c r="AB8">
        <v>-0.7124181986</v>
      </c>
      <c r="AC8">
        <v>-1.4581003188999999</v>
      </c>
      <c r="AD8">
        <v>-1.6871833801</v>
      </c>
      <c r="AE8">
        <v>-0.71075373890000004</v>
      </c>
      <c r="AF8">
        <v>-0.65495073800000003</v>
      </c>
      <c r="AG8">
        <v>-0.76972377299999994</v>
      </c>
      <c r="AH8">
        <v>-0.50969362259999995</v>
      </c>
      <c r="AI8">
        <v>-0.2537082732</v>
      </c>
      <c r="AJ8">
        <v>0.2457826585</v>
      </c>
      <c r="AK8">
        <v>2.2763850000000001E-4</v>
      </c>
      <c r="AL8">
        <v>4.9838188999999998E-2</v>
      </c>
      <c r="AM8">
        <v>9.6490442800000006E-2</v>
      </c>
      <c r="AN8">
        <v>4.6993274199999997E-2</v>
      </c>
      <c r="AO8">
        <v>9.6490442800000006E-2</v>
      </c>
      <c r="AP8">
        <v>9.6490442800000006E-2</v>
      </c>
      <c r="AQ8">
        <v>2.9089179158</v>
      </c>
      <c r="AR8" t="s">
        <v>297</v>
      </c>
      <c r="AS8" t="s">
        <v>298</v>
      </c>
      <c r="AT8">
        <v>3</v>
      </c>
      <c r="AU8">
        <v>2.9</v>
      </c>
      <c r="AX8">
        <v>1</v>
      </c>
    </row>
    <row r="9" spans="1:50">
      <c r="A9" t="s">
        <v>642</v>
      </c>
      <c r="B9" t="s">
        <v>643</v>
      </c>
      <c r="C9" t="s">
        <v>212</v>
      </c>
      <c r="D9">
        <v>3</v>
      </c>
      <c r="E9" t="s">
        <v>213</v>
      </c>
      <c r="F9" t="s">
        <v>214</v>
      </c>
      <c r="G9" t="s">
        <v>296</v>
      </c>
      <c r="H9" t="s">
        <v>216</v>
      </c>
      <c r="J9" t="s">
        <v>605</v>
      </c>
      <c r="K9" t="s">
        <v>606</v>
      </c>
      <c r="L9" t="s">
        <v>607</v>
      </c>
      <c r="M9" t="s">
        <v>608</v>
      </c>
      <c r="N9" t="s">
        <v>609</v>
      </c>
      <c r="O9">
        <v>0</v>
      </c>
      <c r="P9">
        <v>0</v>
      </c>
      <c r="Q9">
        <v>-3.0338800000000002E-5</v>
      </c>
      <c r="R9">
        <v>1.7433130741</v>
      </c>
      <c r="S9">
        <v>-4.0246949195999999</v>
      </c>
      <c r="T9">
        <v>0.85939031840000002</v>
      </c>
      <c r="U9">
        <v>4.3980007172000004</v>
      </c>
      <c r="V9">
        <v>-0.13214635850000001</v>
      </c>
      <c r="W9">
        <v>-0.53988742830000003</v>
      </c>
      <c r="X9">
        <v>4.2346754074000001</v>
      </c>
      <c r="Y9">
        <v>1.6702545880999999</v>
      </c>
      <c r="Z9">
        <v>1.3493734598</v>
      </c>
      <c r="AA9">
        <v>-0.33237180109999998</v>
      </c>
      <c r="AB9">
        <v>-1.5303585528999999</v>
      </c>
      <c r="AC9">
        <v>-0.6652907133</v>
      </c>
      <c r="AD9">
        <v>-0.83156597610000005</v>
      </c>
      <c r="AE9">
        <v>-1.7913310527999999</v>
      </c>
      <c r="AF9">
        <v>-0.7978990078</v>
      </c>
      <c r="AG9">
        <v>-0.31646114590000002</v>
      </c>
      <c r="AH9">
        <v>-0.62714630370000002</v>
      </c>
      <c r="AI9">
        <v>-0.62696886060000001</v>
      </c>
      <c r="AJ9">
        <v>0.24389019610000001</v>
      </c>
      <c r="AK9">
        <v>2.5708779999999997E-4</v>
      </c>
      <c r="AL9">
        <v>5.2696131200000003E-2</v>
      </c>
      <c r="AM9">
        <v>6.3865363600000002E-2</v>
      </c>
      <c r="AN9">
        <v>0.12086011469999999</v>
      </c>
      <c r="AO9">
        <v>0.16560053829999999</v>
      </c>
      <c r="AP9">
        <v>0.16560053829999999</v>
      </c>
      <c r="AQ9">
        <v>4.3860357580000002</v>
      </c>
      <c r="AR9" t="s">
        <v>297</v>
      </c>
      <c r="AS9" t="s">
        <v>298</v>
      </c>
      <c r="AT9">
        <v>4</v>
      </c>
      <c r="AU9">
        <v>2.9</v>
      </c>
      <c r="AX9">
        <v>1</v>
      </c>
    </row>
    <row r="10" spans="1:50">
      <c r="A10" t="s">
        <v>644</v>
      </c>
      <c r="B10" t="s">
        <v>645</v>
      </c>
      <c r="C10" t="s">
        <v>212</v>
      </c>
      <c r="D10">
        <v>3</v>
      </c>
      <c r="E10" t="s">
        <v>213</v>
      </c>
      <c r="F10" t="s">
        <v>214</v>
      </c>
      <c r="G10" t="s">
        <v>296</v>
      </c>
      <c r="H10" t="s">
        <v>216</v>
      </c>
      <c r="J10" t="s">
        <v>612</v>
      </c>
      <c r="K10" t="s">
        <v>613</v>
      </c>
      <c r="L10" t="s">
        <v>614</v>
      </c>
      <c r="M10" t="s">
        <v>615</v>
      </c>
      <c r="N10" t="s">
        <v>616</v>
      </c>
      <c r="O10">
        <v>0</v>
      </c>
      <c r="P10">
        <v>0</v>
      </c>
      <c r="Q10">
        <v>-7.9273999999999997E-6</v>
      </c>
      <c r="R10">
        <v>1.9470889568</v>
      </c>
      <c r="S10">
        <v>-0.30539441109999999</v>
      </c>
      <c r="T10">
        <v>-1.3914766312</v>
      </c>
      <c r="U10">
        <v>2.7609834671</v>
      </c>
      <c r="V10">
        <v>3.0323824883000001</v>
      </c>
      <c r="W10">
        <v>0.40378218890000001</v>
      </c>
      <c r="X10">
        <v>2.6723835467999999</v>
      </c>
      <c r="Y10">
        <v>1.8950157165999999</v>
      </c>
      <c r="Z10">
        <v>-0.9086593986</v>
      </c>
      <c r="AA10">
        <v>0.14199066160000001</v>
      </c>
      <c r="AB10">
        <v>-1.5990607738</v>
      </c>
      <c r="AC10">
        <v>-0.73319500680000005</v>
      </c>
      <c r="AD10">
        <v>-1.1889724731</v>
      </c>
      <c r="AE10">
        <v>-0.92053878310000004</v>
      </c>
      <c r="AF10">
        <v>-1.2367025614</v>
      </c>
      <c r="AG10">
        <v>-0.38346579669999997</v>
      </c>
      <c r="AH10">
        <v>-0.2896408439</v>
      </c>
      <c r="AI10">
        <v>0.63033658270000004</v>
      </c>
      <c r="AJ10">
        <v>-0.1169557422</v>
      </c>
      <c r="AK10">
        <v>2.081699E-4</v>
      </c>
      <c r="AL10">
        <v>4.8182886100000002E-2</v>
      </c>
      <c r="AM10">
        <v>8.3992324800000004E-2</v>
      </c>
      <c r="AN10">
        <v>5.2463836999999999E-2</v>
      </c>
      <c r="AO10">
        <v>8.3992324800000004E-2</v>
      </c>
      <c r="AP10">
        <v>0.1076197773</v>
      </c>
      <c r="AQ10">
        <v>1.9708934908</v>
      </c>
      <c r="AR10" t="s">
        <v>297</v>
      </c>
      <c r="AS10" t="s">
        <v>298</v>
      </c>
      <c r="AT10">
        <v>3</v>
      </c>
      <c r="AU10">
        <v>2.9</v>
      </c>
      <c r="AX10">
        <v>1</v>
      </c>
    </row>
    <row r="11" spans="1:50">
      <c r="A11" t="s">
        <v>646</v>
      </c>
      <c r="B11" t="s">
        <v>647</v>
      </c>
      <c r="C11" t="s">
        <v>212</v>
      </c>
      <c r="D11">
        <v>3</v>
      </c>
      <c r="E11" t="s">
        <v>213</v>
      </c>
      <c r="F11" t="s">
        <v>214</v>
      </c>
      <c r="G11" t="s">
        <v>296</v>
      </c>
      <c r="H11" t="s">
        <v>216</v>
      </c>
      <c r="J11" t="s">
        <v>619</v>
      </c>
      <c r="K11" t="s">
        <v>620</v>
      </c>
      <c r="L11" t="s">
        <v>621</v>
      </c>
      <c r="M11" t="s">
        <v>622</v>
      </c>
      <c r="N11" t="s">
        <v>623</v>
      </c>
      <c r="O11">
        <v>0</v>
      </c>
      <c r="P11">
        <v>0</v>
      </c>
      <c r="Q11">
        <v>2.0265999999999998E-6</v>
      </c>
      <c r="R11">
        <v>1.5477839708000001</v>
      </c>
      <c r="S11">
        <v>0.35633566979999998</v>
      </c>
      <c r="T11">
        <v>1.6767785549000001</v>
      </c>
      <c r="U11">
        <v>6.2204608917000002</v>
      </c>
      <c r="V11">
        <v>-2.2589359283000001</v>
      </c>
      <c r="W11">
        <v>1.2244693041000001</v>
      </c>
      <c r="X11">
        <v>2.0296599865</v>
      </c>
      <c r="Y11">
        <v>1.4844343661999999</v>
      </c>
      <c r="Z11">
        <v>1.2270194292000001</v>
      </c>
      <c r="AA11">
        <v>-0.3694860935</v>
      </c>
      <c r="AB11">
        <v>-1.8831441402</v>
      </c>
      <c r="AC11">
        <v>1.4116240739999999</v>
      </c>
      <c r="AD11">
        <v>-2.1267583370000001</v>
      </c>
      <c r="AE11">
        <v>-1.2200725079000001</v>
      </c>
      <c r="AF11">
        <v>-1.2387521266999999</v>
      </c>
      <c r="AG11">
        <v>0.19489182529999999</v>
      </c>
      <c r="AH11">
        <v>0.85360407829999996</v>
      </c>
      <c r="AI11">
        <v>-0.12995803359999999</v>
      </c>
      <c r="AJ11">
        <v>-0.10366648439999999</v>
      </c>
      <c r="AK11">
        <v>2.0934219999999999E-4</v>
      </c>
      <c r="AL11">
        <v>4.71275523E-2</v>
      </c>
      <c r="AM11">
        <v>5.5678065899999997E-2</v>
      </c>
      <c r="AN11">
        <v>5.07319756E-2</v>
      </c>
      <c r="AO11">
        <v>0.1478270441</v>
      </c>
      <c r="AP11">
        <v>0.1478270441</v>
      </c>
      <c r="AQ11">
        <v>1.5882727505000001</v>
      </c>
      <c r="AR11" t="s">
        <v>297</v>
      </c>
      <c r="AS11" t="s">
        <v>298</v>
      </c>
      <c r="AT11">
        <v>4</v>
      </c>
      <c r="AU11">
        <v>2.9</v>
      </c>
      <c r="AX11">
        <v>1</v>
      </c>
    </row>
    <row r="12" spans="1:50">
      <c r="A12" t="s">
        <v>648</v>
      </c>
      <c r="B12" t="s">
        <v>649</v>
      </c>
      <c r="C12" t="s">
        <v>212</v>
      </c>
      <c r="D12">
        <v>3</v>
      </c>
      <c r="E12" t="s">
        <v>213</v>
      </c>
      <c r="F12" t="s">
        <v>214</v>
      </c>
      <c r="G12" t="s">
        <v>296</v>
      </c>
      <c r="H12" t="s">
        <v>216</v>
      </c>
      <c r="J12" t="s">
        <v>626</v>
      </c>
      <c r="K12" t="s">
        <v>627</v>
      </c>
      <c r="L12" t="s">
        <v>628</v>
      </c>
      <c r="M12" t="s">
        <v>629</v>
      </c>
      <c r="N12" t="s">
        <v>630</v>
      </c>
      <c r="O12">
        <v>0</v>
      </c>
      <c r="P12">
        <v>0</v>
      </c>
      <c r="Q12">
        <v>-1.3500500000000001E-5</v>
      </c>
      <c r="R12">
        <v>-3.4713661670999998</v>
      </c>
      <c r="S12">
        <v>0.49520337580000001</v>
      </c>
      <c r="T12">
        <v>3.5856833458000001</v>
      </c>
      <c r="U12">
        <v>4.8089990615999998</v>
      </c>
      <c r="V12">
        <v>-2.7703304290999999</v>
      </c>
      <c r="W12">
        <v>2.0311374664000001</v>
      </c>
      <c r="X12">
        <v>3.7108302099999997E-2</v>
      </c>
      <c r="Y12">
        <v>0.88635730739999996</v>
      </c>
      <c r="Z12">
        <v>0.4990876615</v>
      </c>
      <c r="AA12">
        <v>-1.0786023140000001</v>
      </c>
      <c r="AB12">
        <v>-2.7783668041</v>
      </c>
      <c r="AC12">
        <v>-0.39188539979999998</v>
      </c>
      <c r="AD12">
        <v>-1.5419168472</v>
      </c>
      <c r="AE12">
        <v>-0.28557902569999999</v>
      </c>
      <c r="AF12">
        <v>-0.4599371552</v>
      </c>
      <c r="AG12">
        <v>-1.3330346345999999</v>
      </c>
      <c r="AH12">
        <v>-0.69917267559999996</v>
      </c>
      <c r="AI12">
        <v>-0.61254251000000004</v>
      </c>
      <c r="AJ12">
        <v>5.0425112199999997E-2</v>
      </c>
      <c r="AK12">
        <v>2.488096E-4</v>
      </c>
      <c r="AL12">
        <v>5.1406674100000001E-2</v>
      </c>
      <c r="AM12">
        <v>7.4074819700000002E-2</v>
      </c>
      <c r="AN12">
        <v>3.4594144700000003E-2</v>
      </c>
      <c r="AO12">
        <v>0.15417732300000001</v>
      </c>
      <c r="AP12">
        <v>0.15417732300000001</v>
      </c>
      <c r="AQ12">
        <v>3.5065095821000001</v>
      </c>
      <c r="AR12" t="s">
        <v>297</v>
      </c>
      <c r="AS12" t="s">
        <v>298</v>
      </c>
      <c r="AT12">
        <v>4</v>
      </c>
      <c r="AU12">
        <v>2.9</v>
      </c>
      <c r="AX12">
        <v>1</v>
      </c>
    </row>
    <row r="13" spans="1:50">
      <c r="A13" t="s">
        <v>650</v>
      </c>
      <c r="B13" t="s">
        <v>651</v>
      </c>
      <c r="C13" t="s">
        <v>212</v>
      </c>
      <c r="D13">
        <v>3</v>
      </c>
      <c r="E13" t="s">
        <v>213</v>
      </c>
      <c r="F13" t="s">
        <v>214</v>
      </c>
      <c r="G13" t="s">
        <v>296</v>
      </c>
      <c r="H13" t="s">
        <v>216</v>
      </c>
      <c r="J13" t="s">
        <v>633</v>
      </c>
      <c r="K13" t="s">
        <v>634</v>
      </c>
      <c r="L13" t="s">
        <v>635</v>
      </c>
      <c r="M13" t="s">
        <v>636</v>
      </c>
      <c r="N13" t="s">
        <v>637</v>
      </c>
      <c r="O13">
        <v>0</v>
      </c>
      <c r="P13">
        <v>0</v>
      </c>
      <c r="Q13">
        <v>-8.5830999999999992E-6</v>
      </c>
      <c r="R13">
        <v>6.3740086555</v>
      </c>
      <c r="S13">
        <v>6.1631050109999999</v>
      </c>
      <c r="T13">
        <v>-4.0154056549000003</v>
      </c>
      <c r="U13">
        <v>-2.1419248580999999</v>
      </c>
      <c r="V13">
        <v>-2.8228902816999999</v>
      </c>
      <c r="W13">
        <v>0.4313239157</v>
      </c>
      <c r="X13">
        <v>-1.1768597364</v>
      </c>
      <c r="Y13">
        <v>2.3593940734999999</v>
      </c>
      <c r="Z13">
        <v>1.066983223</v>
      </c>
      <c r="AA13">
        <v>-0.88630485530000003</v>
      </c>
      <c r="AB13">
        <v>0.88895434139999996</v>
      </c>
      <c r="AC13">
        <v>5.8240055999999998E-2</v>
      </c>
      <c r="AD13">
        <v>-1.4090082644999999</v>
      </c>
      <c r="AE13">
        <v>-1.6211420300000001E-2</v>
      </c>
      <c r="AF13">
        <v>-1.0913383961000001</v>
      </c>
      <c r="AG13">
        <v>0.1420492679</v>
      </c>
      <c r="AH13">
        <v>-0.74131798739999999</v>
      </c>
      <c r="AI13">
        <v>-0.78228378300000001</v>
      </c>
      <c r="AJ13">
        <v>0.8241848946</v>
      </c>
      <c r="AK13">
        <v>1.8377939999999999E-4</v>
      </c>
      <c r="AL13">
        <v>4.4464178399999998E-2</v>
      </c>
      <c r="AM13">
        <v>0.1115240529</v>
      </c>
      <c r="AN13">
        <v>0.1449180692</v>
      </c>
      <c r="AO13">
        <v>0.17930495739999999</v>
      </c>
      <c r="AP13">
        <v>0.17930495739999999</v>
      </c>
      <c r="AQ13">
        <v>8.8663323712000004</v>
      </c>
      <c r="AR13" t="s">
        <v>297</v>
      </c>
      <c r="AS13" t="s">
        <v>298</v>
      </c>
      <c r="AT13">
        <v>4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307</v>
      </c>
      <c r="R1" t="s">
        <v>308</v>
      </c>
      <c r="S1" t="s">
        <v>309</v>
      </c>
      <c r="T1" t="s">
        <v>310</v>
      </c>
      <c r="U1" t="s">
        <v>311</v>
      </c>
      <c r="V1" t="s">
        <v>312</v>
      </c>
      <c r="W1" t="s">
        <v>313</v>
      </c>
      <c r="X1" t="s">
        <v>314</v>
      </c>
      <c r="Y1" t="s">
        <v>315</v>
      </c>
      <c r="Z1" t="s">
        <v>316</v>
      </c>
      <c r="AA1" t="s">
        <v>317</v>
      </c>
      <c r="AB1" t="s">
        <v>318</v>
      </c>
      <c r="AC1" t="s">
        <v>319</v>
      </c>
      <c r="AD1" t="s">
        <v>207</v>
      </c>
      <c r="AE1" t="s">
        <v>208</v>
      </c>
      <c r="AF1" t="s">
        <v>209</v>
      </c>
    </row>
    <row r="2" spans="1:32">
      <c r="A2" t="s">
        <v>294</v>
      </c>
      <c r="B2" t="s">
        <v>320</v>
      </c>
      <c r="C2" t="s">
        <v>212</v>
      </c>
      <c r="D2">
        <v>3</v>
      </c>
      <c r="E2" t="s">
        <v>213</v>
      </c>
      <c r="F2" t="s">
        <v>214</v>
      </c>
      <c r="G2" t="s">
        <v>296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-1.1730205279000001</v>
      </c>
      <c r="R2">
        <v>-8</v>
      </c>
      <c r="S2">
        <v>105.8859523263</v>
      </c>
      <c r="T2">
        <v>109.98681646110001</v>
      </c>
      <c r="U2">
        <v>3.4988068091</v>
      </c>
      <c r="V2">
        <v>2.3304661999999999E-3</v>
      </c>
      <c r="W2">
        <v>-6.2827699999999995E-5</v>
      </c>
      <c r="X2">
        <v>3.2991137446000001</v>
      </c>
      <c r="Y2">
        <v>103.3547187299</v>
      </c>
      <c r="Z2">
        <v>82.999338152799993</v>
      </c>
      <c r="AA2">
        <v>301.74981976499998</v>
      </c>
      <c r="AB2">
        <v>324.05751880349999</v>
      </c>
      <c r="AC2">
        <v>1</v>
      </c>
      <c r="AF2">
        <v>1</v>
      </c>
    </row>
    <row r="3" spans="1:32">
      <c r="A3" t="s">
        <v>299</v>
      </c>
      <c r="B3" t="s">
        <v>321</v>
      </c>
      <c r="C3" t="s">
        <v>212</v>
      </c>
      <c r="D3">
        <v>3</v>
      </c>
      <c r="E3" t="s">
        <v>213</v>
      </c>
      <c r="F3" t="s">
        <v>214</v>
      </c>
      <c r="G3" t="s">
        <v>296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-2.3460410557000002</v>
      </c>
      <c r="R3">
        <v>-16</v>
      </c>
      <c r="S3">
        <v>101.3047819354</v>
      </c>
      <c r="T3">
        <v>109.5783204639</v>
      </c>
      <c r="U3">
        <v>3.5333609667000001</v>
      </c>
      <c r="V3">
        <v>2.7216617E-3</v>
      </c>
      <c r="W3">
        <v>-6.9048900000000002E-5</v>
      </c>
      <c r="X3">
        <v>3.3127243149000001</v>
      </c>
      <c r="Y3">
        <v>101.0037716086</v>
      </c>
      <c r="Z3">
        <v>86.258351380600004</v>
      </c>
      <c r="AA3">
        <v>312.60256790429997</v>
      </c>
      <c r="AB3">
        <v>334.22891407989999</v>
      </c>
      <c r="AC3">
        <v>1</v>
      </c>
      <c r="AF3">
        <v>1</v>
      </c>
    </row>
    <row r="4" spans="1:32">
      <c r="A4" t="s">
        <v>301</v>
      </c>
      <c r="B4" t="s">
        <v>322</v>
      </c>
      <c r="C4" t="s">
        <v>212</v>
      </c>
      <c r="D4">
        <v>3</v>
      </c>
      <c r="E4" t="s">
        <v>213</v>
      </c>
      <c r="F4" t="s">
        <v>214</v>
      </c>
      <c r="G4" t="s">
        <v>296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-3.5190615836000001</v>
      </c>
      <c r="R4">
        <v>-24</v>
      </c>
      <c r="S4">
        <v>101.39330424720001</v>
      </c>
      <c r="T4">
        <v>113.3583293291</v>
      </c>
      <c r="U4">
        <v>3.4106256173</v>
      </c>
      <c r="V4">
        <v>2.7826965E-3</v>
      </c>
      <c r="W4">
        <v>-6.2326800000000001E-5</v>
      </c>
      <c r="X4">
        <v>3.2193874374</v>
      </c>
      <c r="Y4">
        <v>99.677226199800003</v>
      </c>
      <c r="Z4">
        <v>78.995342616299993</v>
      </c>
      <c r="AA4">
        <v>316.11447861750003</v>
      </c>
      <c r="AB4">
        <v>337.52896521069999</v>
      </c>
      <c r="AC4">
        <v>1</v>
      </c>
      <c r="AF4">
        <v>1</v>
      </c>
    </row>
    <row r="5" spans="1:32">
      <c r="A5" t="s">
        <v>303</v>
      </c>
      <c r="B5" t="s">
        <v>323</v>
      </c>
      <c r="C5" t="s">
        <v>212</v>
      </c>
      <c r="D5">
        <v>3</v>
      </c>
      <c r="E5" t="s">
        <v>213</v>
      </c>
      <c r="F5" t="s">
        <v>214</v>
      </c>
      <c r="G5" t="s">
        <v>296</v>
      </c>
      <c r="H5" t="s">
        <v>216</v>
      </c>
      <c r="J5" t="s">
        <v>244</v>
      </c>
      <c r="K5" t="s">
        <v>245</v>
      </c>
      <c r="L5" t="s">
        <v>246</v>
      </c>
      <c r="M5" t="s">
        <v>247</v>
      </c>
      <c r="N5" t="s">
        <v>248</v>
      </c>
      <c r="O5">
        <v>0</v>
      </c>
      <c r="P5">
        <v>0</v>
      </c>
      <c r="Q5">
        <v>0</v>
      </c>
      <c r="R5">
        <v>0</v>
      </c>
      <c r="S5">
        <v>109.5494223629</v>
      </c>
      <c r="T5">
        <v>109.5494223629</v>
      </c>
      <c r="U5">
        <v>3.4754916698999998</v>
      </c>
      <c r="V5">
        <v>2.5050734000000002E-3</v>
      </c>
      <c r="W5">
        <v>-6.4517599999999994E-5</v>
      </c>
      <c r="X5">
        <v>3.2780420244999999</v>
      </c>
      <c r="Y5">
        <v>106.8129474405</v>
      </c>
      <c r="Z5">
        <v>85.521538058399997</v>
      </c>
      <c r="AA5">
        <v>295.64298366060001</v>
      </c>
      <c r="AB5">
        <v>317.99893642910001</v>
      </c>
      <c r="AC5">
        <v>1</v>
      </c>
      <c r="AF5">
        <v>1</v>
      </c>
    </row>
    <row r="6" spans="1:32">
      <c r="A6" t="s">
        <v>305</v>
      </c>
      <c r="B6" t="s">
        <v>324</v>
      </c>
      <c r="C6" t="s">
        <v>212</v>
      </c>
      <c r="D6">
        <v>3</v>
      </c>
      <c r="E6" t="s">
        <v>213</v>
      </c>
      <c r="F6" t="s">
        <v>214</v>
      </c>
      <c r="G6" t="s">
        <v>296</v>
      </c>
      <c r="H6" t="s">
        <v>216</v>
      </c>
      <c r="J6" t="s">
        <v>251</v>
      </c>
      <c r="K6" t="s">
        <v>252</v>
      </c>
      <c r="L6" t="s">
        <v>253</v>
      </c>
      <c r="M6" t="s">
        <v>254</v>
      </c>
      <c r="N6" t="s">
        <v>255</v>
      </c>
      <c r="O6">
        <v>0</v>
      </c>
      <c r="P6">
        <v>0</v>
      </c>
      <c r="Q6">
        <v>-2.3460410557000002</v>
      </c>
      <c r="R6">
        <v>-16</v>
      </c>
      <c r="S6">
        <v>108.5280211842</v>
      </c>
      <c r="T6">
        <v>116.7865782306</v>
      </c>
      <c r="U6">
        <v>3.5267251529000001</v>
      </c>
      <c r="V6">
        <v>2.6145662000000001E-3</v>
      </c>
      <c r="W6">
        <v>-6.9283900000000003E-5</v>
      </c>
      <c r="X6">
        <v>3.3137095595999999</v>
      </c>
      <c r="Y6">
        <v>107.4061844947</v>
      </c>
      <c r="Z6">
        <v>85.477846053299999</v>
      </c>
      <c r="AA6">
        <v>306.06961454179998</v>
      </c>
      <c r="AB6">
        <v>327.41961454139999</v>
      </c>
      <c r="AC6">
        <v>1</v>
      </c>
      <c r="AF6">
        <v>1</v>
      </c>
    </row>
    <row r="7" spans="1:32">
      <c r="A7" t="s">
        <v>638</v>
      </c>
      <c r="B7" t="s">
        <v>652</v>
      </c>
      <c r="C7" t="s">
        <v>212</v>
      </c>
      <c r="D7">
        <v>3</v>
      </c>
      <c r="E7" t="s">
        <v>213</v>
      </c>
      <c r="F7" t="s">
        <v>214</v>
      </c>
      <c r="G7" t="s">
        <v>296</v>
      </c>
      <c r="H7" t="s">
        <v>216</v>
      </c>
      <c r="J7" t="s">
        <v>258</v>
      </c>
      <c r="K7" t="s">
        <v>259</v>
      </c>
      <c r="L7" t="s">
        <v>260</v>
      </c>
      <c r="M7" t="s">
        <v>261</v>
      </c>
      <c r="N7" t="s">
        <v>262</v>
      </c>
      <c r="O7">
        <v>0</v>
      </c>
      <c r="P7">
        <v>0</v>
      </c>
      <c r="Q7">
        <v>-2.3460410557000002</v>
      </c>
      <c r="R7">
        <v>-16</v>
      </c>
      <c r="S7">
        <v>97.962739729600003</v>
      </c>
      <c r="T7">
        <v>106.2318808294</v>
      </c>
      <c r="U7">
        <v>3.5334148916000001</v>
      </c>
      <c r="V7">
        <v>3.5409265E-3</v>
      </c>
      <c r="W7">
        <v>-7.0193500000000005E-5</v>
      </c>
      <c r="X7">
        <v>3.3436337406000001</v>
      </c>
      <c r="Y7">
        <v>97.960282593000002</v>
      </c>
      <c r="Z7">
        <v>77.987540429600003</v>
      </c>
      <c r="AA7">
        <v>324.69020337339998</v>
      </c>
      <c r="AB7">
        <v>347.65562873120001</v>
      </c>
      <c r="AC7">
        <v>1</v>
      </c>
      <c r="AF7">
        <v>1</v>
      </c>
    </row>
    <row r="8" spans="1:32">
      <c r="A8" t="s">
        <v>640</v>
      </c>
      <c r="B8" t="s">
        <v>653</v>
      </c>
      <c r="C8" t="s">
        <v>212</v>
      </c>
      <c r="D8">
        <v>3</v>
      </c>
      <c r="E8" t="s">
        <v>213</v>
      </c>
      <c r="F8" t="s">
        <v>214</v>
      </c>
      <c r="G8" t="s">
        <v>296</v>
      </c>
      <c r="H8" t="s">
        <v>216</v>
      </c>
      <c r="J8" t="s">
        <v>598</v>
      </c>
      <c r="K8" t="s">
        <v>599</v>
      </c>
      <c r="L8" t="s">
        <v>600</v>
      </c>
      <c r="M8" t="s">
        <v>601</v>
      </c>
      <c r="N8" t="s">
        <v>602</v>
      </c>
      <c r="O8">
        <v>0</v>
      </c>
      <c r="P8">
        <v>0</v>
      </c>
      <c r="Q8">
        <v>-1.1730205279000001</v>
      </c>
      <c r="R8">
        <v>-8</v>
      </c>
      <c r="S8">
        <v>102.3585041476</v>
      </c>
      <c r="T8">
        <v>106.4847786016</v>
      </c>
      <c r="U8">
        <v>3.5200510950999999</v>
      </c>
      <c r="V8">
        <v>1.9794128000000001E-3</v>
      </c>
      <c r="W8">
        <v>-5.8308499999999999E-5</v>
      </c>
      <c r="X8">
        <v>3.2603298866000001</v>
      </c>
      <c r="Y8">
        <v>100.64827687410001</v>
      </c>
      <c r="Z8">
        <v>82.793480109100003</v>
      </c>
      <c r="AA8">
        <v>325.57144559160002</v>
      </c>
      <c r="AB8">
        <v>347.02852601040001</v>
      </c>
      <c r="AC8">
        <v>1</v>
      </c>
      <c r="AF8">
        <v>1</v>
      </c>
    </row>
    <row r="9" spans="1:32">
      <c r="A9" t="s">
        <v>642</v>
      </c>
      <c r="B9" t="s">
        <v>654</v>
      </c>
      <c r="C9" t="s">
        <v>212</v>
      </c>
      <c r="D9">
        <v>3</v>
      </c>
      <c r="E9" t="s">
        <v>213</v>
      </c>
      <c r="F9" t="s">
        <v>214</v>
      </c>
      <c r="G9" t="s">
        <v>296</v>
      </c>
      <c r="H9" t="s">
        <v>216</v>
      </c>
      <c r="J9" t="s">
        <v>605</v>
      </c>
      <c r="K9" t="s">
        <v>606</v>
      </c>
      <c r="L9" t="s">
        <v>607</v>
      </c>
      <c r="M9" t="s">
        <v>608</v>
      </c>
      <c r="N9" t="s">
        <v>609</v>
      </c>
      <c r="O9">
        <v>0</v>
      </c>
      <c r="P9">
        <v>0</v>
      </c>
      <c r="Q9">
        <v>-1.1730205279000001</v>
      </c>
      <c r="R9">
        <v>-8</v>
      </c>
      <c r="S9">
        <v>103.30040099679999</v>
      </c>
      <c r="T9">
        <v>107.3663910953</v>
      </c>
      <c r="U9">
        <v>3.4697521251999999</v>
      </c>
      <c r="V9">
        <v>2.8992054999999999E-3</v>
      </c>
      <c r="W9">
        <v>-6.8851999999999997E-5</v>
      </c>
      <c r="X9">
        <v>3.2896561037000001</v>
      </c>
      <c r="Y9">
        <v>101.9887620682</v>
      </c>
      <c r="Z9">
        <v>81.451938525000003</v>
      </c>
      <c r="AA9">
        <v>294.11896415310002</v>
      </c>
      <c r="AB9">
        <v>316.1797268551</v>
      </c>
      <c r="AC9">
        <v>1</v>
      </c>
      <c r="AF9">
        <v>1</v>
      </c>
    </row>
    <row r="10" spans="1:32">
      <c r="A10" t="s">
        <v>644</v>
      </c>
      <c r="B10" t="s">
        <v>655</v>
      </c>
      <c r="C10" t="s">
        <v>212</v>
      </c>
      <c r="D10">
        <v>3</v>
      </c>
      <c r="E10" t="s">
        <v>213</v>
      </c>
      <c r="F10" t="s">
        <v>214</v>
      </c>
      <c r="G10" t="s">
        <v>296</v>
      </c>
      <c r="H10" t="s">
        <v>216</v>
      </c>
      <c r="J10" t="s">
        <v>612</v>
      </c>
      <c r="K10" t="s">
        <v>613</v>
      </c>
      <c r="L10" t="s">
        <v>614</v>
      </c>
      <c r="M10" t="s">
        <v>615</v>
      </c>
      <c r="N10" t="s">
        <v>616</v>
      </c>
      <c r="O10">
        <v>0</v>
      </c>
      <c r="P10">
        <v>0</v>
      </c>
      <c r="Q10">
        <v>-3.5190615836000001</v>
      </c>
      <c r="R10">
        <v>-24</v>
      </c>
      <c r="S10">
        <v>100.5972397665</v>
      </c>
      <c r="T10">
        <v>112.9297430702</v>
      </c>
      <c r="U10">
        <v>3.5149473786000001</v>
      </c>
      <c r="V10">
        <v>2.7413228999999999E-3</v>
      </c>
      <c r="W10">
        <v>-6.5742300000000002E-5</v>
      </c>
      <c r="X10">
        <v>3.3113089012999999</v>
      </c>
      <c r="Y10">
        <v>95.662146700299999</v>
      </c>
      <c r="Z10">
        <v>74.5889998615</v>
      </c>
      <c r="AA10">
        <v>318.30295616249998</v>
      </c>
      <c r="AB10">
        <v>339.62813304349999</v>
      </c>
      <c r="AC10">
        <v>1</v>
      </c>
      <c r="AF10">
        <v>1</v>
      </c>
    </row>
    <row r="11" spans="1:32">
      <c r="A11" t="s">
        <v>646</v>
      </c>
      <c r="B11" t="s">
        <v>656</v>
      </c>
      <c r="C11" t="s">
        <v>212</v>
      </c>
      <c r="D11">
        <v>3</v>
      </c>
      <c r="E11" t="s">
        <v>213</v>
      </c>
      <c r="F11" t="s">
        <v>214</v>
      </c>
      <c r="G11" t="s">
        <v>296</v>
      </c>
      <c r="H11" t="s">
        <v>216</v>
      </c>
      <c r="J11" t="s">
        <v>619</v>
      </c>
      <c r="K11" t="s">
        <v>620</v>
      </c>
      <c r="L11" t="s">
        <v>621</v>
      </c>
      <c r="M11" t="s">
        <v>622</v>
      </c>
      <c r="N11" t="s">
        <v>623</v>
      </c>
      <c r="O11">
        <v>0</v>
      </c>
      <c r="P11">
        <v>0</v>
      </c>
      <c r="Q11">
        <v>0</v>
      </c>
      <c r="R11">
        <v>0</v>
      </c>
      <c r="S11">
        <v>104.6158819167</v>
      </c>
      <c r="T11">
        <v>104.6158819167</v>
      </c>
      <c r="U11">
        <v>3.5077482866</v>
      </c>
      <c r="V11">
        <v>3.3552941E-3</v>
      </c>
      <c r="W11">
        <v>-7.20207E-5</v>
      </c>
      <c r="X11">
        <v>3.3253606622</v>
      </c>
      <c r="Y11">
        <v>103.7127649171</v>
      </c>
      <c r="Z11">
        <v>85.951560419700002</v>
      </c>
      <c r="AA11">
        <v>300.09262303780002</v>
      </c>
      <c r="AB11">
        <v>322.0794425858</v>
      </c>
      <c r="AC11">
        <v>1</v>
      </c>
      <c r="AF11">
        <v>1</v>
      </c>
    </row>
    <row r="12" spans="1:32">
      <c r="A12" t="s">
        <v>648</v>
      </c>
      <c r="B12" t="s">
        <v>657</v>
      </c>
      <c r="C12" t="s">
        <v>212</v>
      </c>
      <c r="D12">
        <v>3</v>
      </c>
      <c r="E12" t="s">
        <v>213</v>
      </c>
      <c r="F12" t="s">
        <v>214</v>
      </c>
      <c r="G12" t="s">
        <v>296</v>
      </c>
      <c r="H12" t="s">
        <v>216</v>
      </c>
      <c r="J12" t="s">
        <v>626</v>
      </c>
      <c r="K12" t="s">
        <v>627</v>
      </c>
      <c r="L12" t="s">
        <v>628</v>
      </c>
      <c r="M12" t="s">
        <v>629</v>
      </c>
      <c r="N12" t="s">
        <v>630</v>
      </c>
      <c r="O12">
        <v>0</v>
      </c>
      <c r="P12">
        <v>0</v>
      </c>
      <c r="Q12">
        <v>1.1730205279000001</v>
      </c>
      <c r="R12">
        <v>8</v>
      </c>
      <c r="S12">
        <v>109.001133196</v>
      </c>
      <c r="T12">
        <v>104.9286041723</v>
      </c>
      <c r="U12">
        <v>3.4686179499000001</v>
      </c>
      <c r="V12">
        <v>2.8175992000000001E-3</v>
      </c>
      <c r="W12">
        <v>-6.6904399999999996E-5</v>
      </c>
      <c r="X12">
        <v>3.2900898592000001</v>
      </c>
      <c r="Y12">
        <v>102.9455090917</v>
      </c>
      <c r="Z12">
        <v>82.589367194199994</v>
      </c>
      <c r="AA12">
        <v>286.75197906519998</v>
      </c>
      <c r="AB12">
        <v>308.7418215239</v>
      </c>
      <c r="AC12">
        <v>1</v>
      </c>
      <c r="AF12">
        <v>1</v>
      </c>
    </row>
    <row r="13" spans="1:32">
      <c r="A13" t="s">
        <v>650</v>
      </c>
      <c r="B13" t="s">
        <v>658</v>
      </c>
      <c r="C13" t="s">
        <v>212</v>
      </c>
      <c r="D13">
        <v>3</v>
      </c>
      <c r="E13" t="s">
        <v>213</v>
      </c>
      <c r="F13" t="s">
        <v>214</v>
      </c>
      <c r="G13" t="s">
        <v>296</v>
      </c>
      <c r="H13" t="s">
        <v>216</v>
      </c>
      <c r="J13" t="s">
        <v>633</v>
      </c>
      <c r="K13" t="s">
        <v>634</v>
      </c>
      <c r="L13" t="s">
        <v>635</v>
      </c>
      <c r="M13" t="s">
        <v>636</v>
      </c>
      <c r="N13" t="s">
        <v>637</v>
      </c>
      <c r="O13">
        <v>0</v>
      </c>
      <c r="P13">
        <v>0</v>
      </c>
      <c r="Q13">
        <v>0</v>
      </c>
      <c r="R13">
        <v>0</v>
      </c>
      <c r="S13">
        <v>104.06234020860001</v>
      </c>
      <c r="T13">
        <v>104.06234020860001</v>
      </c>
      <c r="U13">
        <v>3.4844893309999998</v>
      </c>
      <c r="V13">
        <v>2.7237689E-3</v>
      </c>
      <c r="W13">
        <v>-6.7941900000000001E-5</v>
      </c>
      <c r="X13">
        <v>3.2977671990999999</v>
      </c>
      <c r="Y13">
        <v>103.761533215</v>
      </c>
      <c r="Z13">
        <v>85.369031534399994</v>
      </c>
      <c r="AA13">
        <v>290.60954950140001</v>
      </c>
      <c r="AB13">
        <v>312.75945983640003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325</v>
      </c>
      <c r="R1" t="s">
        <v>326</v>
      </c>
      <c r="S1" t="s">
        <v>327</v>
      </c>
      <c r="T1" t="s">
        <v>328</v>
      </c>
      <c r="U1" t="s">
        <v>329</v>
      </c>
      <c r="V1" t="s">
        <v>330</v>
      </c>
      <c r="W1" t="s">
        <v>331</v>
      </c>
      <c r="X1" t="s">
        <v>332</v>
      </c>
      <c r="Y1" t="s">
        <v>333</v>
      </c>
      <c r="Z1" t="s">
        <v>334</v>
      </c>
      <c r="AA1" t="s">
        <v>335</v>
      </c>
      <c r="AB1" t="s">
        <v>336</v>
      </c>
      <c r="AC1" t="s">
        <v>337</v>
      </c>
      <c r="AD1" t="s">
        <v>338</v>
      </c>
      <c r="AE1" t="s">
        <v>339</v>
      </c>
      <c r="AF1" t="s">
        <v>340</v>
      </c>
      <c r="AG1" t="s">
        <v>341</v>
      </c>
      <c r="AH1" t="s">
        <v>342</v>
      </c>
      <c r="AI1" t="s">
        <v>343</v>
      </c>
      <c r="AJ1" t="s">
        <v>344</v>
      </c>
      <c r="AK1" t="s">
        <v>345</v>
      </c>
      <c r="AL1" t="s">
        <v>346</v>
      </c>
      <c r="AM1" t="s">
        <v>347</v>
      </c>
      <c r="AN1" t="s">
        <v>348</v>
      </c>
      <c r="AO1" t="s">
        <v>349</v>
      </c>
      <c r="AP1" t="s">
        <v>350</v>
      </c>
      <c r="AQ1" t="s">
        <v>351</v>
      </c>
      <c r="AR1" t="s">
        <v>352</v>
      </c>
      <c r="AS1" t="s">
        <v>353</v>
      </c>
      <c r="AT1" t="s">
        <v>354</v>
      </c>
      <c r="AU1" t="s">
        <v>355</v>
      </c>
      <c r="AV1" t="s">
        <v>356</v>
      </c>
      <c r="AW1" t="s">
        <v>357</v>
      </c>
      <c r="AX1" t="s">
        <v>358</v>
      </c>
      <c r="AY1" t="s">
        <v>359</v>
      </c>
      <c r="AZ1" t="s">
        <v>360</v>
      </c>
      <c r="BA1" t="s">
        <v>361</v>
      </c>
      <c r="BB1" t="s">
        <v>362</v>
      </c>
      <c r="BC1" t="s">
        <v>363</v>
      </c>
      <c r="BD1" t="s">
        <v>364</v>
      </c>
      <c r="BE1" t="s">
        <v>365</v>
      </c>
      <c r="BF1" t="s">
        <v>366</v>
      </c>
      <c r="BG1" t="s">
        <v>367</v>
      </c>
      <c r="BH1" t="s">
        <v>368</v>
      </c>
      <c r="BI1" t="s">
        <v>369</v>
      </c>
      <c r="BJ1" t="s">
        <v>370</v>
      </c>
      <c r="BK1" t="s">
        <v>371</v>
      </c>
      <c r="BL1" t="s">
        <v>372</v>
      </c>
      <c r="BM1" t="s">
        <v>373</v>
      </c>
      <c r="BN1" t="s">
        <v>374</v>
      </c>
      <c r="BO1" t="s">
        <v>375</v>
      </c>
      <c r="BP1" t="s">
        <v>376</v>
      </c>
      <c r="BQ1" t="s">
        <v>377</v>
      </c>
      <c r="BR1" t="s">
        <v>378</v>
      </c>
      <c r="BS1" t="s">
        <v>379</v>
      </c>
      <c r="BT1" t="s">
        <v>380</v>
      </c>
      <c r="BU1" t="s">
        <v>381</v>
      </c>
      <c r="BV1" t="s">
        <v>382</v>
      </c>
      <c r="BW1" t="s">
        <v>383</v>
      </c>
      <c r="BX1" t="s">
        <v>384</v>
      </c>
      <c r="BY1" t="s">
        <v>385</v>
      </c>
      <c r="BZ1" t="s">
        <v>386</v>
      </c>
      <c r="CA1" t="s">
        <v>387</v>
      </c>
      <c r="CB1" t="s">
        <v>388</v>
      </c>
      <c r="CC1" t="s">
        <v>389</v>
      </c>
      <c r="CD1" t="s">
        <v>390</v>
      </c>
      <c r="CE1" t="s">
        <v>391</v>
      </c>
      <c r="CF1" t="s">
        <v>392</v>
      </c>
      <c r="CG1" t="s">
        <v>393</v>
      </c>
      <c r="CH1" t="s">
        <v>394</v>
      </c>
      <c r="CI1" t="s">
        <v>395</v>
      </c>
      <c r="CJ1" t="s">
        <v>396</v>
      </c>
      <c r="CK1" t="s">
        <v>397</v>
      </c>
      <c r="CL1" t="s">
        <v>398</v>
      </c>
      <c r="CM1" t="s">
        <v>399</v>
      </c>
      <c r="CN1" t="s">
        <v>400</v>
      </c>
      <c r="CO1" t="s">
        <v>401</v>
      </c>
      <c r="CP1" t="s">
        <v>402</v>
      </c>
      <c r="CQ1" t="s">
        <v>403</v>
      </c>
      <c r="CR1" t="s">
        <v>404</v>
      </c>
      <c r="CS1" t="s">
        <v>405</v>
      </c>
      <c r="CT1" t="s">
        <v>406</v>
      </c>
      <c r="CU1" t="s">
        <v>407</v>
      </c>
      <c r="CV1" t="s">
        <v>408</v>
      </c>
      <c r="CW1" t="s">
        <v>409</v>
      </c>
      <c r="CX1" t="s">
        <v>410</v>
      </c>
      <c r="CY1" t="s">
        <v>411</v>
      </c>
      <c r="CZ1" t="s">
        <v>412</v>
      </c>
      <c r="DA1" t="s">
        <v>413</v>
      </c>
      <c r="DB1" t="s">
        <v>414</v>
      </c>
      <c r="DC1" t="s">
        <v>415</v>
      </c>
      <c r="DD1" t="s">
        <v>416</v>
      </c>
      <c r="DE1" t="s">
        <v>417</v>
      </c>
      <c r="DF1" t="s">
        <v>418</v>
      </c>
      <c r="DG1" t="s">
        <v>419</v>
      </c>
      <c r="DH1" t="s">
        <v>420</v>
      </c>
      <c r="DI1" t="s">
        <v>421</v>
      </c>
      <c r="DJ1" t="s">
        <v>422</v>
      </c>
      <c r="DK1" t="s">
        <v>423</v>
      </c>
      <c r="DL1" t="s">
        <v>424</v>
      </c>
      <c r="DM1" t="s">
        <v>425</v>
      </c>
      <c r="DN1" t="s">
        <v>426</v>
      </c>
      <c r="DO1" t="s">
        <v>427</v>
      </c>
      <c r="DP1" t="s">
        <v>428</v>
      </c>
      <c r="DQ1" t="s">
        <v>429</v>
      </c>
      <c r="DR1" t="s">
        <v>430</v>
      </c>
      <c r="DS1" t="s">
        <v>431</v>
      </c>
      <c r="DT1" t="s">
        <v>432</v>
      </c>
      <c r="DU1" t="s">
        <v>433</v>
      </c>
      <c r="DV1" t="s">
        <v>434</v>
      </c>
      <c r="DW1" t="s">
        <v>435</v>
      </c>
      <c r="DX1" t="s">
        <v>436</v>
      </c>
      <c r="DY1" t="s">
        <v>437</v>
      </c>
      <c r="DZ1" t="s">
        <v>438</v>
      </c>
      <c r="EA1" t="s">
        <v>439</v>
      </c>
      <c r="EB1" t="s">
        <v>440</v>
      </c>
      <c r="EC1" t="s">
        <v>441</v>
      </c>
      <c r="ED1" t="s">
        <v>442</v>
      </c>
      <c r="EE1" t="s">
        <v>443</v>
      </c>
      <c r="EF1" t="s">
        <v>444</v>
      </c>
      <c r="EG1" t="s">
        <v>445</v>
      </c>
      <c r="EH1" t="s">
        <v>446</v>
      </c>
      <c r="EI1" t="s">
        <v>447</v>
      </c>
      <c r="EJ1" t="s">
        <v>448</v>
      </c>
      <c r="EK1" t="s">
        <v>449</v>
      </c>
      <c r="EL1" t="s">
        <v>450</v>
      </c>
      <c r="EM1" t="s">
        <v>451</v>
      </c>
      <c r="EN1" t="s">
        <v>452</v>
      </c>
      <c r="EO1" t="s">
        <v>453</v>
      </c>
      <c r="EP1" t="s">
        <v>454</v>
      </c>
      <c r="EQ1" t="s">
        <v>455</v>
      </c>
      <c r="ER1" t="s">
        <v>456</v>
      </c>
      <c r="ES1" t="s">
        <v>457</v>
      </c>
      <c r="ET1" t="s">
        <v>458</v>
      </c>
      <c r="EU1" t="s">
        <v>459</v>
      </c>
      <c r="EV1" t="s">
        <v>460</v>
      </c>
      <c r="EW1" t="s">
        <v>461</v>
      </c>
      <c r="EX1" t="s">
        <v>462</v>
      </c>
      <c r="EY1" t="s">
        <v>463</v>
      </c>
      <c r="EZ1" t="s">
        <v>464</v>
      </c>
      <c r="FA1" t="s">
        <v>465</v>
      </c>
      <c r="FB1" t="s">
        <v>466</v>
      </c>
      <c r="FC1" t="s">
        <v>467</v>
      </c>
      <c r="FD1" t="s">
        <v>468</v>
      </c>
      <c r="FE1" t="s">
        <v>469</v>
      </c>
      <c r="FF1" t="s">
        <v>470</v>
      </c>
      <c r="FG1" t="s">
        <v>471</v>
      </c>
      <c r="FH1" t="s">
        <v>472</v>
      </c>
      <c r="FI1" t="s">
        <v>473</v>
      </c>
      <c r="FJ1" t="s">
        <v>474</v>
      </c>
      <c r="FK1" t="s">
        <v>475</v>
      </c>
      <c r="FL1" t="s">
        <v>476</v>
      </c>
      <c r="FM1" t="s">
        <v>477</v>
      </c>
      <c r="FN1" t="s">
        <v>478</v>
      </c>
      <c r="FO1" t="s">
        <v>479</v>
      </c>
      <c r="FP1" t="s">
        <v>480</v>
      </c>
      <c r="FQ1" t="s">
        <v>481</v>
      </c>
      <c r="FR1" t="s">
        <v>482</v>
      </c>
      <c r="FS1" t="s">
        <v>483</v>
      </c>
      <c r="FT1" t="s">
        <v>484</v>
      </c>
      <c r="FU1" t="s">
        <v>485</v>
      </c>
      <c r="FV1" t="s">
        <v>486</v>
      </c>
      <c r="FW1" t="s">
        <v>487</v>
      </c>
      <c r="FX1" t="s">
        <v>488</v>
      </c>
      <c r="FY1" t="s">
        <v>489</v>
      </c>
      <c r="FZ1" t="s">
        <v>490</v>
      </c>
      <c r="GA1" t="s">
        <v>491</v>
      </c>
      <c r="GB1" t="s">
        <v>492</v>
      </c>
      <c r="GC1" t="s">
        <v>493</v>
      </c>
      <c r="GD1" t="s">
        <v>494</v>
      </c>
      <c r="GE1" t="s">
        <v>495</v>
      </c>
      <c r="GF1" t="s">
        <v>496</v>
      </c>
      <c r="GG1" t="s">
        <v>497</v>
      </c>
      <c r="GH1" t="s">
        <v>498</v>
      </c>
      <c r="GI1" t="s">
        <v>499</v>
      </c>
      <c r="GJ1" t="s">
        <v>500</v>
      </c>
      <c r="GK1" t="s">
        <v>501</v>
      </c>
      <c r="GL1" t="s">
        <v>502</v>
      </c>
      <c r="GM1" t="s">
        <v>503</v>
      </c>
      <c r="GN1" t="s">
        <v>504</v>
      </c>
      <c r="GO1" t="s">
        <v>505</v>
      </c>
      <c r="GP1" t="s">
        <v>506</v>
      </c>
      <c r="GQ1" t="s">
        <v>507</v>
      </c>
      <c r="GR1" t="s">
        <v>508</v>
      </c>
      <c r="GS1" t="s">
        <v>509</v>
      </c>
      <c r="GT1" t="s">
        <v>510</v>
      </c>
      <c r="GU1" t="s">
        <v>511</v>
      </c>
      <c r="GV1" t="s">
        <v>512</v>
      </c>
      <c r="GW1" t="s">
        <v>513</v>
      </c>
      <c r="GX1" t="s">
        <v>514</v>
      </c>
      <c r="GY1" t="s">
        <v>515</v>
      </c>
      <c r="GZ1" t="s">
        <v>516</v>
      </c>
      <c r="HA1" t="s">
        <v>517</v>
      </c>
      <c r="HB1" t="s">
        <v>518</v>
      </c>
      <c r="HC1" t="s">
        <v>519</v>
      </c>
      <c r="HD1" t="s">
        <v>520</v>
      </c>
      <c r="HE1" t="s">
        <v>521</v>
      </c>
      <c r="HF1" t="s">
        <v>522</v>
      </c>
      <c r="HG1" t="s">
        <v>523</v>
      </c>
      <c r="HH1" t="s">
        <v>524</v>
      </c>
      <c r="HI1" t="s">
        <v>525</v>
      </c>
      <c r="HJ1" t="s">
        <v>526</v>
      </c>
      <c r="HK1" t="s">
        <v>527</v>
      </c>
      <c r="HL1" t="s">
        <v>528</v>
      </c>
      <c r="HM1" t="s">
        <v>529</v>
      </c>
      <c r="HN1" t="s">
        <v>530</v>
      </c>
      <c r="HO1" t="s">
        <v>531</v>
      </c>
      <c r="HP1" t="s">
        <v>532</v>
      </c>
      <c r="HQ1" t="s">
        <v>533</v>
      </c>
      <c r="HR1" t="s">
        <v>534</v>
      </c>
      <c r="HS1" t="s">
        <v>535</v>
      </c>
      <c r="HT1" t="s">
        <v>536</v>
      </c>
      <c r="HU1" t="s">
        <v>537</v>
      </c>
      <c r="HV1" t="s">
        <v>538</v>
      </c>
      <c r="HW1" t="s">
        <v>539</v>
      </c>
      <c r="HX1" t="s">
        <v>540</v>
      </c>
      <c r="HY1" t="s">
        <v>541</v>
      </c>
      <c r="HZ1" t="s">
        <v>542</v>
      </c>
      <c r="IA1" t="s">
        <v>543</v>
      </c>
      <c r="IB1" t="s">
        <v>544</v>
      </c>
      <c r="IC1" t="s">
        <v>545</v>
      </c>
      <c r="ID1" t="s">
        <v>546</v>
      </c>
      <c r="IE1" t="s">
        <v>547</v>
      </c>
      <c r="IF1" t="s">
        <v>548</v>
      </c>
      <c r="IG1" t="s">
        <v>549</v>
      </c>
      <c r="IH1" t="s">
        <v>550</v>
      </c>
      <c r="II1" t="s">
        <v>551</v>
      </c>
      <c r="IJ1" t="s">
        <v>552</v>
      </c>
      <c r="IK1" t="s">
        <v>553</v>
      </c>
      <c r="IL1" t="s">
        <v>554</v>
      </c>
      <c r="IM1" t="s">
        <v>555</v>
      </c>
      <c r="IN1" t="s">
        <v>556</v>
      </c>
      <c r="IO1" t="s">
        <v>557</v>
      </c>
      <c r="IP1" t="s">
        <v>558</v>
      </c>
      <c r="IQ1" t="s">
        <v>559</v>
      </c>
      <c r="IR1" t="s">
        <v>560</v>
      </c>
      <c r="IS1" t="s">
        <v>561</v>
      </c>
      <c r="IT1" t="s">
        <v>562</v>
      </c>
      <c r="IU1" t="s">
        <v>563</v>
      </c>
      <c r="IV1" t="s">
        <v>564</v>
      </c>
      <c r="IW1" t="s">
        <v>565</v>
      </c>
      <c r="IX1" t="s">
        <v>566</v>
      </c>
      <c r="IY1" t="s">
        <v>567</v>
      </c>
      <c r="IZ1" t="s">
        <v>568</v>
      </c>
      <c r="JA1" t="s">
        <v>569</v>
      </c>
      <c r="JB1" t="s">
        <v>570</v>
      </c>
      <c r="JC1" t="s">
        <v>571</v>
      </c>
      <c r="JD1" t="s">
        <v>572</v>
      </c>
      <c r="JE1" t="s">
        <v>573</v>
      </c>
      <c r="JF1" t="s">
        <v>574</v>
      </c>
      <c r="JG1" t="s">
        <v>575</v>
      </c>
      <c r="JH1" t="s">
        <v>576</v>
      </c>
      <c r="JI1" t="s">
        <v>577</v>
      </c>
      <c r="JJ1" t="s">
        <v>578</v>
      </c>
      <c r="JK1" t="s">
        <v>314</v>
      </c>
      <c r="JL1" t="s">
        <v>579</v>
      </c>
      <c r="JM1" t="s">
        <v>580</v>
      </c>
      <c r="JN1" t="s">
        <v>581</v>
      </c>
      <c r="JO1" t="s">
        <v>207</v>
      </c>
      <c r="JP1" t="s">
        <v>208</v>
      </c>
      <c r="JQ1" t="s">
        <v>209</v>
      </c>
    </row>
    <row r="2" spans="1:277">
      <c r="A2" t="s">
        <v>582</v>
      </c>
      <c r="B2" t="s">
        <v>583</v>
      </c>
      <c r="C2" t="s">
        <v>212</v>
      </c>
      <c r="D2">
        <v>3</v>
      </c>
      <c r="E2" t="s">
        <v>213</v>
      </c>
      <c r="F2" t="s">
        <v>214</v>
      </c>
      <c r="G2" t="s">
        <v>584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4.7000000013000003</v>
      </c>
      <c r="R2">
        <v>2.2000000007999998</v>
      </c>
      <c r="S2">
        <v>2.2000000007999998</v>
      </c>
      <c r="T2">
        <v>2.2000000007999998</v>
      </c>
      <c r="U2">
        <v>2.4000000012</v>
      </c>
      <c r="V2">
        <v>2.0999999997000001</v>
      </c>
      <c r="W2">
        <v>2.0000000004</v>
      </c>
      <c r="X2">
        <v>1.9000000011</v>
      </c>
      <c r="Y2">
        <v>2.0999999997000001</v>
      </c>
      <c r="Z2">
        <v>2.0000000004</v>
      </c>
      <c r="AA2">
        <v>2.0999999997000001</v>
      </c>
      <c r="AB2">
        <v>2.0000000004</v>
      </c>
      <c r="AC2">
        <v>1.7000000007</v>
      </c>
      <c r="AD2">
        <v>1.7000000007</v>
      </c>
      <c r="AE2">
        <v>1.5999999996000001</v>
      </c>
      <c r="AF2">
        <v>1.1000000013</v>
      </c>
      <c r="AG2">
        <v>0</v>
      </c>
      <c r="AH2">
        <v>2.5000000005</v>
      </c>
      <c r="AI2">
        <v>6.4000000002000004</v>
      </c>
      <c r="AJ2">
        <v>9.4000000008000004</v>
      </c>
      <c r="AK2">
        <v>16.2</v>
      </c>
      <c r="AL2">
        <v>22.600000000200001</v>
      </c>
      <c r="AM2">
        <v>29.599999999800001</v>
      </c>
      <c r="AN2">
        <v>37.599999999700003</v>
      </c>
      <c r="AO2">
        <v>45.500000000199996</v>
      </c>
      <c r="AP2">
        <v>53.5</v>
      </c>
      <c r="AQ2">
        <v>60.199999999900001</v>
      </c>
      <c r="AR2">
        <v>67.900000000000006</v>
      </c>
      <c r="AS2">
        <v>75.300000000400004</v>
      </c>
      <c r="AT2">
        <v>83.599999999900007</v>
      </c>
      <c r="AU2">
        <v>91.599999999700003</v>
      </c>
      <c r="AV2">
        <v>100.2000000008</v>
      </c>
      <c r="AW2">
        <v>108.1000000013</v>
      </c>
      <c r="AX2">
        <v>116.40000000080001</v>
      </c>
      <c r="AY2">
        <v>124.20000000020001</v>
      </c>
      <c r="AZ2">
        <v>131.800000001</v>
      </c>
      <c r="BA2">
        <v>140.99999999959999</v>
      </c>
      <c r="BB2">
        <v>149.80000000109999</v>
      </c>
      <c r="BC2">
        <v>157.50000000119999</v>
      </c>
      <c r="BD2">
        <v>165.1000000002</v>
      </c>
      <c r="BE2">
        <v>173.50000000079999</v>
      </c>
      <c r="BF2">
        <v>180.8000000001</v>
      </c>
      <c r="BG2">
        <v>190.30000000019999</v>
      </c>
      <c r="BH2">
        <v>198.5999999997</v>
      </c>
      <c r="BI2">
        <v>206.5000000002</v>
      </c>
      <c r="BJ2">
        <v>213.79999999949999</v>
      </c>
      <c r="BK2">
        <v>221.7000000001</v>
      </c>
      <c r="BL2">
        <v>229.6999999999</v>
      </c>
      <c r="BM2">
        <v>237.00000000099999</v>
      </c>
      <c r="BN2">
        <v>245.89999999989999</v>
      </c>
      <c r="BO2">
        <v>254.00000000079999</v>
      </c>
      <c r="BP2">
        <v>260.8</v>
      </c>
      <c r="BQ2">
        <v>268.1000000011</v>
      </c>
      <c r="BR2">
        <v>276.10000000100001</v>
      </c>
      <c r="BS2">
        <v>283.10000000060001</v>
      </c>
      <c r="BT2">
        <v>290.39999999989999</v>
      </c>
      <c r="BU2">
        <v>298.20000000110002</v>
      </c>
      <c r="BV2">
        <v>305.5999999997</v>
      </c>
      <c r="BW2">
        <v>312.4000000007</v>
      </c>
      <c r="BX2">
        <v>319.1999999999</v>
      </c>
      <c r="BY2">
        <v>326.60000000029999</v>
      </c>
      <c r="BZ2">
        <v>332.7000000008</v>
      </c>
      <c r="CA2">
        <v>339.20000000030001</v>
      </c>
      <c r="CB2">
        <v>345.60000000060001</v>
      </c>
      <c r="CC2">
        <v>353.19999999959998</v>
      </c>
      <c r="CD2">
        <v>359.0999999997</v>
      </c>
      <c r="CE2">
        <v>365.30000000130002</v>
      </c>
      <c r="CF2">
        <v>371.4</v>
      </c>
      <c r="CG2">
        <v>377.70000000089999</v>
      </c>
      <c r="CH2">
        <v>383.9000000007</v>
      </c>
      <c r="CI2">
        <v>389.19999999959998</v>
      </c>
      <c r="CJ2">
        <v>395.3000000001</v>
      </c>
      <c r="CK2">
        <v>401.70000000030001</v>
      </c>
      <c r="CL2">
        <v>407.40000000010002</v>
      </c>
      <c r="CM2">
        <v>412.50000000040001</v>
      </c>
      <c r="CN2">
        <v>418.49999999980002</v>
      </c>
      <c r="CO2">
        <v>423.50000000080001</v>
      </c>
      <c r="CP2">
        <v>429.20000000049998</v>
      </c>
      <c r="CQ2">
        <v>434.19999999970003</v>
      </c>
      <c r="CR2">
        <v>438.79999999990002</v>
      </c>
      <c r="CS2">
        <v>444.1999999999</v>
      </c>
      <c r="CT2">
        <v>448.5999999997</v>
      </c>
      <c r="CU2">
        <v>453.300000001</v>
      </c>
      <c r="CV2">
        <v>456.50000000019998</v>
      </c>
      <c r="CW2">
        <v>456.50000000019998</v>
      </c>
      <c r="CX2">
        <v>457.00000000030002</v>
      </c>
      <c r="CY2">
        <v>456.70000000060003</v>
      </c>
      <c r="CZ2">
        <v>456.90000000100002</v>
      </c>
      <c r="DA2">
        <v>457.00000000030002</v>
      </c>
      <c r="DB2">
        <v>457.09999999960002</v>
      </c>
      <c r="DC2">
        <v>457.09999999960002</v>
      </c>
      <c r="DD2">
        <v>457.09999999960002</v>
      </c>
      <c r="DE2">
        <v>457.3</v>
      </c>
      <c r="DF2">
        <v>457.00000000030002</v>
      </c>
      <c r="DG2">
        <v>5.8000000007999999</v>
      </c>
      <c r="DH2">
        <v>3.8999999996999999</v>
      </c>
      <c r="DI2">
        <v>4.1000000000999997</v>
      </c>
      <c r="DJ2">
        <v>4.0000000008000001</v>
      </c>
      <c r="DK2">
        <v>3.7000000010999998</v>
      </c>
      <c r="DL2">
        <v>3.8999999996999999</v>
      </c>
      <c r="DM2">
        <v>3.8999999996999999</v>
      </c>
      <c r="DN2">
        <v>3.6</v>
      </c>
      <c r="DO2">
        <v>3.7000000010999998</v>
      </c>
      <c r="DP2">
        <v>3.5000000007000001</v>
      </c>
      <c r="DQ2">
        <v>3.3999999995999999</v>
      </c>
      <c r="DR2">
        <v>3.7000000010999998</v>
      </c>
      <c r="DS2">
        <v>3.0999999999000001</v>
      </c>
      <c r="DT2">
        <v>3.2000000009999998</v>
      </c>
      <c r="DU2">
        <v>2.8000000001999998</v>
      </c>
      <c r="DV2">
        <v>2.3000000000999998</v>
      </c>
      <c r="DW2">
        <v>2.4000000012</v>
      </c>
      <c r="DX2">
        <v>5.9000000001000004</v>
      </c>
      <c r="DY2">
        <v>10.200000000599999</v>
      </c>
      <c r="DZ2">
        <v>14.6000000004</v>
      </c>
      <c r="EA2">
        <v>21.8999999997</v>
      </c>
      <c r="EB2">
        <v>27.799999999800001</v>
      </c>
      <c r="EC2">
        <v>36.700000000599999</v>
      </c>
      <c r="ED2">
        <v>44.5</v>
      </c>
      <c r="EE2">
        <v>52.4000000005</v>
      </c>
      <c r="EF2">
        <v>59.000000001099998</v>
      </c>
      <c r="EG2">
        <v>66.200000001099994</v>
      </c>
      <c r="EH2">
        <v>73.500000000399993</v>
      </c>
      <c r="EI2">
        <v>80.900000000800006</v>
      </c>
      <c r="EJ2">
        <v>89.900000000899993</v>
      </c>
      <c r="EK2">
        <v>98.500000000100002</v>
      </c>
      <c r="EL2">
        <v>105.7000000001</v>
      </c>
      <c r="EM2">
        <v>114.2</v>
      </c>
      <c r="EN2">
        <v>122.9000000003</v>
      </c>
      <c r="EO2">
        <v>130.4</v>
      </c>
      <c r="EP2">
        <v>139.6999999997</v>
      </c>
      <c r="EQ2">
        <v>148.10000000030001</v>
      </c>
      <c r="ER2">
        <v>155.80000000050001</v>
      </c>
      <c r="ES2">
        <v>163.50000000060001</v>
      </c>
      <c r="ET2">
        <v>172.20000000089999</v>
      </c>
      <c r="EU2">
        <v>179.7000000006</v>
      </c>
      <c r="EV2">
        <v>188.7000000006</v>
      </c>
      <c r="EW2">
        <v>197.6000000013</v>
      </c>
      <c r="EX2">
        <v>205.90000000079999</v>
      </c>
      <c r="EY2">
        <v>212.99999999970001</v>
      </c>
      <c r="EZ2">
        <v>220.6999999999</v>
      </c>
      <c r="FA2">
        <v>229.19999999980001</v>
      </c>
      <c r="FB2">
        <v>236.3999999998</v>
      </c>
      <c r="FC2">
        <v>245.5000000009</v>
      </c>
      <c r="FD2">
        <v>253.3999999996</v>
      </c>
      <c r="FE2">
        <v>260.59999999960002</v>
      </c>
      <c r="FF2">
        <v>268.2000000004</v>
      </c>
      <c r="FG2">
        <v>276.40000000060002</v>
      </c>
      <c r="FH2">
        <v>283.4000000003</v>
      </c>
      <c r="FI2">
        <v>290.60000000029999</v>
      </c>
      <c r="FJ2">
        <v>299.0000000009</v>
      </c>
      <c r="FK2">
        <v>306.09999999979999</v>
      </c>
      <c r="FL2">
        <v>312.90000000079999</v>
      </c>
      <c r="FM2">
        <v>319.80000000109999</v>
      </c>
      <c r="FN2">
        <v>327.60000000050002</v>
      </c>
      <c r="FO2">
        <v>333.50000000059998</v>
      </c>
      <c r="FP2">
        <v>339.90000000089998</v>
      </c>
      <c r="FQ2">
        <v>346.99999999980002</v>
      </c>
      <c r="FR2">
        <v>354.9000000003</v>
      </c>
      <c r="FS2">
        <v>360.80000000040002</v>
      </c>
      <c r="FT2">
        <v>367.00000000019998</v>
      </c>
      <c r="FU2">
        <v>373.10000000069999</v>
      </c>
      <c r="FV2">
        <v>379.5000000009</v>
      </c>
      <c r="FW2">
        <v>385.10000000129997</v>
      </c>
      <c r="FX2">
        <v>390.99999999959999</v>
      </c>
      <c r="FY2">
        <v>396.89999999970001</v>
      </c>
      <c r="FZ2">
        <v>403.7000000008</v>
      </c>
      <c r="GA2">
        <v>408.4000000003</v>
      </c>
      <c r="GB2">
        <v>414.30000000040002</v>
      </c>
      <c r="GC2">
        <v>419.79999999969999</v>
      </c>
      <c r="GD2">
        <v>425.10000000039997</v>
      </c>
      <c r="GE2">
        <v>430.40000000110001</v>
      </c>
      <c r="GF2">
        <v>435.1999999999</v>
      </c>
      <c r="GG2">
        <v>439.5999999997</v>
      </c>
      <c r="GH2">
        <v>444.90000000039998</v>
      </c>
      <c r="GI2">
        <v>448.8000000001</v>
      </c>
      <c r="GJ2">
        <v>453.300000001</v>
      </c>
      <c r="GK2">
        <v>456.60000000129997</v>
      </c>
      <c r="GL2">
        <v>456.29999999979998</v>
      </c>
      <c r="GM2">
        <v>456.70000000060003</v>
      </c>
      <c r="GN2">
        <v>456.79999999990002</v>
      </c>
      <c r="GO2">
        <v>456.79999999990002</v>
      </c>
      <c r="GP2">
        <v>456.90000000100002</v>
      </c>
      <c r="GQ2">
        <v>457.00000000030002</v>
      </c>
      <c r="GR2">
        <v>457.00000000030002</v>
      </c>
      <c r="GS2">
        <v>457.20000000070002</v>
      </c>
      <c r="GT2">
        <v>457.09999999960002</v>
      </c>
      <c r="GU2">
        <v>457.09999999960002</v>
      </c>
      <c r="GV2">
        <v>457.09999999960002</v>
      </c>
      <c r="GW2">
        <v>1</v>
      </c>
      <c r="GX2">
        <v>105.49999999969999</v>
      </c>
      <c r="GY2">
        <v>108.1000000013</v>
      </c>
      <c r="GZ2">
        <v>108.1000000013</v>
      </c>
      <c r="HA2">
        <v>114.2</v>
      </c>
      <c r="HB2">
        <v>109.5829724419</v>
      </c>
      <c r="HC2">
        <v>-6.0999999987000004</v>
      </c>
      <c r="HD2">
        <v>457.09996719119999</v>
      </c>
      <c r="HE2">
        <v>298.05279964930003</v>
      </c>
      <c r="HF2">
        <v>86.696358268500006</v>
      </c>
      <c r="HG2">
        <v>457.3</v>
      </c>
      <c r="HH2">
        <v>457.1999890646</v>
      </c>
      <c r="HI2">
        <v>457.3</v>
      </c>
      <c r="HJ2">
        <v>457.20000000070002</v>
      </c>
      <c r="HK2">
        <v>117.3020527859</v>
      </c>
      <c r="HL2">
        <v>3.2991137446000001</v>
      </c>
      <c r="HM2">
        <v>3.2145505240999999</v>
      </c>
      <c r="HN2">
        <v>3.2610977664999998</v>
      </c>
      <c r="HO2">
        <v>3.2529999951000002</v>
      </c>
      <c r="HP2">
        <v>3.4988068091</v>
      </c>
      <c r="HQ2">
        <v>2.2763657404000002</v>
      </c>
      <c r="HR2">
        <v>22.886614173400002</v>
      </c>
      <c r="HS2">
        <v>-25.806451612899998</v>
      </c>
      <c r="HT2">
        <v>-176</v>
      </c>
      <c r="HU2">
        <v>407.6357720913</v>
      </c>
      <c r="HV2">
        <v>93.841642228699996</v>
      </c>
      <c r="HW2">
        <v>640</v>
      </c>
      <c r="HX2">
        <v>22.886614173400002</v>
      </c>
      <c r="HY2">
        <v>-25.806451612899998</v>
      </c>
      <c r="HZ2">
        <v>-176</v>
      </c>
      <c r="IA2">
        <v>407.6357720913</v>
      </c>
      <c r="IB2">
        <v>93.841642228699996</v>
      </c>
      <c r="IC2">
        <v>640</v>
      </c>
      <c r="ID2">
        <v>49.564216973299999</v>
      </c>
      <c r="IE2">
        <v>2.5312335962999999</v>
      </c>
      <c r="IF2">
        <v>-35.190615835800003</v>
      </c>
      <c r="IG2">
        <v>-240</v>
      </c>
      <c r="IH2">
        <v>429.94347112970001</v>
      </c>
      <c r="II2">
        <v>103.22580645159999</v>
      </c>
      <c r="IJ2">
        <v>704</v>
      </c>
      <c r="IK2">
        <v>384.74915791780001</v>
      </c>
      <c r="IL2">
        <v>119.6480938416</v>
      </c>
      <c r="IM2">
        <v>409.6080818012</v>
      </c>
      <c r="IN2">
        <v>129.03225806450001</v>
      </c>
      <c r="IO2">
        <v>7.2999999992999998</v>
      </c>
      <c r="IP2">
        <v>5.6999999997000002</v>
      </c>
      <c r="IQ2">
        <v>9.5000000001</v>
      </c>
      <c r="IR2">
        <v>6.4740521906000001</v>
      </c>
      <c r="IS2">
        <v>6.4740521906000001</v>
      </c>
      <c r="IT2">
        <v>5.6999999997000002</v>
      </c>
      <c r="IU2">
        <v>-28.152492668600001</v>
      </c>
      <c r="IV2">
        <v>9.2999999997000007</v>
      </c>
      <c r="IW2">
        <v>72.727272727300004</v>
      </c>
      <c r="IX2">
        <v>6.9000000003000004</v>
      </c>
      <c r="IY2">
        <v>103.22580645159999</v>
      </c>
      <c r="IZ2">
        <v>-33.258614336900003</v>
      </c>
      <c r="JA2">
        <v>0.33008218379999998</v>
      </c>
      <c r="JB2">
        <v>-3.1234550000000001E-4</v>
      </c>
      <c r="JC2">
        <v>6.5349999999999997E-7</v>
      </c>
      <c r="JD2">
        <v>0.30311170739999999</v>
      </c>
      <c r="JE2">
        <v>0.26040941519999999</v>
      </c>
      <c r="JF2">
        <v>0.1233934195</v>
      </c>
      <c r="JG2">
        <v>109.98681646110001</v>
      </c>
      <c r="JH2">
        <v>3.4988068091</v>
      </c>
      <c r="JI2">
        <v>2.3304661999999999E-3</v>
      </c>
      <c r="JJ2">
        <v>-6.2827699999999995E-5</v>
      </c>
      <c r="JK2">
        <v>3.2991137446000001</v>
      </c>
      <c r="JL2">
        <v>1.1539805303999999</v>
      </c>
      <c r="JM2">
        <v>0.51044266410000005</v>
      </c>
      <c r="JN2" t="s">
        <v>585</v>
      </c>
      <c r="JQ2">
        <v>1</v>
      </c>
    </row>
    <row r="3" spans="1:277">
      <c r="A3" t="s">
        <v>586</v>
      </c>
      <c r="B3" t="s">
        <v>587</v>
      </c>
      <c r="C3" t="s">
        <v>212</v>
      </c>
      <c r="D3">
        <v>3</v>
      </c>
      <c r="E3" t="s">
        <v>213</v>
      </c>
      <c r="F3" t="s">
        <v>214</v>
      </c>
      <c r="G3" t="s">
        <v>584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0</v>
      </c>
      <c r="R3">
        <v>0.40000000079999998</v>
      </c>
      <c r="S3">
        <v>0.3000000015</v>
      </c>
      <c r="T3">
        <v>0.40000000079999998</v>
      </c>
      <c r="U3">
        <v>0.40000000079999998</v>
      </c>
      <c r="V3">
        <v>0.50000000010000001</v>
      </c>
      <c r="W3">
        <v>0.50000000010000001</v>
      </c>
      <c r="X3">
        <v>0.60000000119999997</v>
      </c>
      <c r="Y3">
        <v>0.7000000005</v>
      </c>
      <c r="Z3">
        <v>0.50000000010000001</v>
      </c>
      <c r="AA3">
        <v>0.7000000005</v>
      </c>
      <c r="AB3">
        <v>1.1000000013</v>
      </c>
      <c r="AC3">
        <v>1.2999999999</v>
      </c>
      <c r="AD3">
        <v>1.0000000002</v>
      </c>
      <c r="AE3">
        <v>1.0000000002</v>
      </c>
      <c r="AF3">
        <v>0.90000000089999999</v>
      </c>
      <c r="AG3">
        <v>0.3000000015</v>
      </c>
      <c r="AH3">
        <v>0.60000000119999997</v>
      </c>
      <c r="AI3">
        <v>4.1000000000999997</v>
      </c>
      <c r="AJ3">
        <v>8.3000000013000008</v>
      </c>
      <c r="AK3">
        <v>14.800000000800001</v>
      </c>
      <c r="AL3">
        <v>22.200000001199999</v>
      </c>
      <c r="AM3">
        <v>29.700000000999999</v>
      </c>
      <c r="AN3">
        <v>36.700000000599999</v>
      </c>
      <c r="AO3">
        <v>44.100000000999998</v>
      </c>
      <c r="AP3">
        <v>50.900000000200002</v>
      </c>
      <c r="AQ3">
        <v>58.500000000999997</v>
      </c>
      <c r="AR3">
        <v>66.099999999999994</v>
      </c>
      <c r="AS3">
        <v>74.700000001000006</v>
      </c>
      <c r="AT3">
        <v>82.900000001199999</v>
      </c>
      <c r="AU3">
        <v>90.500000000200004</v>
      </c>
      <c r="AV3">
        <v>98.700000000499998</v>
      </c>
      <c r="AW3">
        <v>106.80000000139999</v>
      </c>
      <c r="AX3">
        <v>115.9000000007</v>
      </c>
      <c r="AY3">
        <v>124.4999999999</v>
      </c>
      <c r="AZ3">
        <v>133.20000000019999</v>
      </c>
      <c r="BA3">
        <v>141.40000000040001</v>
      </c>
      <c r="BB3">
        <v>149.5000000014</v>
      </c>
      <c r="BC3">
        <v>157.2000000015</v>
      </c>
      <c r="BD3">
        <v>165.39999999989999</v>
      </c>
      <c r="BE3">
        <v>173.40000000149999</v>
      </c>
      <c r="BF3">
        <v>182.50000000079999</v>
      </c>
      <c r="BG3">
        <v>190.70000000100001</v>
      </c>
      <c r="BH3">
        <v>198.9000000012</v>
      </c>
      <c r="BI3">
        <v>206.40000000090001</v>
      </c>
      <c r="BJ3">
        <v>214.20000000030001</v>
      </c>
      <c r="BK3">
        <v>222.40000000059999</v>
      </c>
      <c r="BL3">
        <v>230.9000000005</v>
      </c>
      <c r="BM3">
        <v>239.10000000069999</v>
      </c>
      <c r="BN3">
        <v>246.90000000009999</v>
      </c>
      <c r="BO3">
        <v>254.6000000002</v>
      </c>
      <c r="BP3">
        <v>261.90000000129999</v>
      </c>
      <c r="BQ3">
        <v>269.20000000060003</v>
      </c>
      <c r="BR3">
        <v>276.6000000011</v>
      </c>
      <c r="BS3">
        <v>284.70000000020002</v>
      </c>
      <c r="BT3">
        <v>292.300000001</v>
      </c>
      <c r="BU3">
        <v>299.30000000059999</v>
      </c>
      <c r="BV3">
        <v>306.59999999989998</v>
      </c>
      <c r="BW3">
        <v>313.10000000119999</v>
      </c>
      <c r="BX3">
        <v>320.10000000079998</v>
      </c>
      <c r="BY3">
        <v>326.89999999999998</v>
      </c>
      <c r="BZ3">
        <v>334.20000000110002</v>
      </c>
      <c r="CA3">
        <v>341.2000000008</v>
      </c>
      <c r="CB3">
        <v>347.70000000030001</v>
      </c>
      <c r="CC3">
        <v>354.10000000050002</v>
      </c>
      <c r="CD3">
        <v>360.20000000099998</v>
      </c>
      <c r="CE3">
        <v>366.1000000011</v>
      </c>
      <c r="CF3">
        <v>372.30000000090001</v>
      </c>
      <c r="CG3">
        <v>378.40000000139997</v>
      </c>
      <c r="CH3">
        <v>384.90000000089998</v>
      </c>
      <c r="CI3">
        <v>391.10000000069999</v>
      </c>
      <c r="CJ3">
        <v>396.80000000040002</v>
      </c>
      <c r="CK3">
        <v>402.2000000004</v>
      </c>
      <c r="CL3">
        <v>407.69999999970003</v>
      </c>
      <c r="CM3">
        <v>413.00000000049999</v>
      </c>
      <c r="CN3">
        <v>418.49999999980002</v>
      </c>
      <c r="CO3">
        <v>423.70000000120001</v>
      </c>
      <c r="CP3">
        <v>429.10000000119999</v>
      </c>
      <c r="CQ3">
        <v>434.30000000080003</v>
      </c>
      <c r="CR3">
        <v>439.9000000012</v>
      </c>
      <c r="CS3">
        <v>444.10000000060001</v>
      </c>
      <c r="CT3">
        <v>448.00000000030002</v>
      </c>
      <c r="CU3">
        <v>449.90000000139997</v>
      </c>
      <c r="CV3">
        <v>449.90000000139997</v>
      </c>
      <c r="CW3">
        <v>450.00000000070003</v>
      </c>
      <c r="CX3">
        <v>450.00000000070003</v>
      </c>
      <c r="CY3">
        <v>449.90000000139997</v>
      </c>
      <c r="CZ3">
        <v>449.90000000139997</v>
      </c>
      <c r="DA3">
        <v>450.1</v>
      </c>
      <c r="DB3">
        <v>450.20000000110002</v>
      </c>
      <c r="DC3">
        <v>450.39999999970001</v>
      </c>
      <c r="DD3">
        <v>450.20000000110002</v>
      </c>
      <c r="DE3">
        <v>450.30000000040002</v>
      </c>
      <c r="DF3">
        <v>450.20000000110002</v>
      </c>
      <c r="DG3">
        <v>0.60000000119999997</v>
      </c>
      <c r="DH3">
        <v>1.2999999999</v>
      </c>
      <c r="DI3">
        <v>1.2000000006</v>
      </c>
      <c r="DJ3">
        <v>1.400000001</v>
      </c>
      <c r="DK3">
        <v>1.2999999999</v>
      </c>
      <c r="DL3">
        <v>1.400000001</v>
      </c>
      <c r="DM3">
        <v>1.5000000003</v>
      </c>
      <c r="DN3">
        <v>1.5000000003</v>
      </c>
      <c r="DO3">
        <v>1.6000000014</v>
      </c>
      <c r="DP3">
        <v>1.5000000003</v>
      </c>
      <c r="DQ3">
        <v>1.7000000007</v>
      </c>
      <c r="DR3">
        <v>1.9000000011</v>
      </c>
      <c r="DS3">
        <v>2.0000000004</v>
      </c>
      <c r="DT3">
        <v>1.9000000011</v>
      </c>
      <c r="DU3">
        <v>1.7000000007</v>
      </c>
      <c r="DV3">
        <v>1.5000000003</v>
      </c>
      <c r="DW3">
        <v>1.0000000002</v>
      </c>
      <c r="DX3">
        <v>3.2000000009999998</v>
      </c>
      <c r="DY3">
        <v>7.6000000007999997</v>
      </c>
      <c r="DZ3">
        <v>13.3999999998</v>
      </c>
      <c r="EA3">
        <v>21.0000000006</v>
      </c>
      <c r="EB3">
        <v>28.299999999899999</v>
      </c>
      <c r="EC3">
        <v>35.700000000400003</v>
      </c>
      <c r="ED3">
        <v>42.900000000399999</v>
      </c>
      <c r="EE3">
        <v>50.200000001500001</v>
      </c>
      <c r="EF3">
        <v>57.300000000399997</v>
      </c>
      <c r="EG3">
        <v>64.800000000099999</v>
      </c>
      <c r="EH3">
        <v>73.3</v>
      </c>
      <c r="EI3">
        <v>81.500000000200004</v>
      </c>
      <c r="EJ3">
        <v>89.400000000800006</v>
      </c>
      <c r="EK3">
        <v>97.100000000899996</v>
      </c>
      <c r="EL3">
        <v>105.0000000014</v>
      </c>
      <c r="EM3">
        <v>113.50000000129999</v>
      </c>
      <c r="EN3">
        <v>122.60000000060001</v>
      </c>
      <c r="EO3">
        <v>131.800000001</v>
      </c>
      <c r="EP3">
        <v>140.00000000119999</v>
      </c>
      <c r="EQ3">
        <v>148.00000000099999</v>
      </c>
      <c r="ER3">
        <v>155.80000000050001</v>
      </c>
      <c r="ES3">
        <v>164.40000000149999</v>
      </c>
      <c r="ET3">
        <v>172.70000000100001</v>
      </c>
      <c r="EU3">
        <v>181.20000000089999</v>
      </c>
      <c r="EV3">
        <v>189.50000000040001</v>
      </c>
      <c r="EW3">
        <v>198.00000000029999</v>
      </c>
      <c r="EX3">
        <v>205.79999999969999</v>
      </c>
      <c r="EY3">
        <v>213.90000000059999</v>
      </c>
      <c r="EZ3">
        <v>221.8000000012</v>
      </c>
      <c r="FA3">
        <v>230.60000000080001</v>
      </c>
      <c r="FB3">
        <v>238.6999999999</v>
      </c>
      <c r="FC3">
        <v>246.6000000004</v>
      </c>
      <c r="FD3">
        <v>254.6000000002</v>
      </c>
      <c r="FE3">
        <v>262.30000000029997</v>
      </c>
      <c r="FF3">
        <v>269.70000000070002</v>
      </c>
      <c r="FG3">
        <v>277.40000000089998</v>
      </c>
      <c r="FH3">
        <v>285.30000000140001</v>
      </c>
      <c r="FI3">
        <v>293.10000000079998</v>
      </c>
      <c r="FJ3">
        <v>300.40000000010002</v>
      </c>
      <c r="FK3">
        <v>307.60000000010001</v>
      </c>
      <c r="FL3">
        <v>314.40000000110001</v>
      </c>
      <c r="FM3">
        <v>321.5</v>
      </c>
      <c r="FN3">
        <v>328.5000000014</v>
      </c>
      <c r="FO3">
        <v>335.60000000029999</v>
      </c>
      <c r="FP3">
        <v>342.59999999989998</v>
      </c>
      <c r="FQ3">
        <v>349.50000000030002</v>
      </c>
      <c r="FR3">
        <v>355.70000000009998</v>
      </c>
      <c r="FS3">
        <v>361.7000000013</v>
      </c>
      <c r="FT3">
        <v>367.90000000110001</v>
      </c>
      <c r="FU3">
        <v>374.10000000090002</v>
      </c>
      <c r="FV3">
        <v>380.30000000069998</v>
      </c>
      <c r="FW3">
        <v>386.80000000019999</v>
      </c>
      <c r="FX3">
        <v>392.9000000007</v>
      </c>
      <c r="FY3">
        <v>398.69999999970003</v>
      </c>
      <c r="FZ3">
        <v>404.3000000001</v>
      </c>
      <c r="GA3">
        <v>409.80000000130002</v>
      </c>
      <c r="GB3">
        <v>414.50000000080001</v>
      </c>
      <c r="GC3">
        <v>420.00000000009999</v>
      </c>
      <c r="GD3">
        <v>425.20000000149997</v>
      </c>
      <c r="GE3">
        <v>430.50000000040001</v>
      </c>
      <c r="GF3">
        <v>435.80000000109999</v>
      </c>
      <c r="GG3">
        <v>440.70000000099998</v>
      </c>
      <c r="GH3">
        <v>444.4000000003</v>
      </c>
      <c r="GI3">
        <v>447.40000000089998</v>
      </c>
      <c r="GJ3">
        <v>449.70000000099998</v>
      </c>
      <c r="GK3">
        <v>449.90000000139997</v>
      </c>
      <c r="GL3">
        <v>450.00000000070003</v>
      </c>
      <c r="GM3">
        <v>450.00000000070003</v>
      </c>
      <c r="GN3">
        <v>449.90000000139997</v>
      </c>
      <c r="GO3">
        <v>449.90000000139997</v>
      </c>
      <c r="GP3">
        <v>450.00000000070003</v>
      </c>
      <c r="GQ3">
        <v>450.1</v>
      </c>
      <c r="GR3">
        <v>450.30000000040002</v>
      </c>
      <c r="GS3">
        <v>450.20000000110002</v>
      </c>
      <c r="GT3">
        <v>450.20000000110002</v>
      </c>
      <c r="GU3">
        <v>450.39999999970001</v>
      </c>
      <c r="GV3">
        <v>450.20000000110002</v>
      </c>
      <c r="GW3">
        <v>1</v>
      </c>
      <c r="GX3">
        <v>109.50000000049999</v>
      </c>
      <c r="GY3">
        <v>106.80000000139999</v>
      </c>
      <c r="GZ3">
        <v>106.80000000139999</v>
      </c>
      <c r="HA3">
        <v>113.50000000129999</v>
      </c>
      <c r="HB3">
        <v>108.4387365396</v>
      </c>
      <c r="HC3">
        <v>-6.6999999999000002</v>
      </c>
      <c r="HD3">
        <v>450.20000000110002</v>
      </c>
      <c r="HE3">
        <v>305.4686133001</v>
      </c>
      <c r="HF3">
        <v>93.392305984800004</v>
      </c>
      <c r="HG3">
        <v>450.39999999970001</v>
      </c>
      <c r="HH3">
        <v>450.39999999970001</v>
      </c>
      <c r="HI3">
        <v>450.39999999970001</v>
      </c>
      <c r="HJ3">
        <v>450.39999999970001</v>
      </c>
      <c r="HK3">
        <v>114.9560117302</v>
      </c>
      <c r="HL3">
        <v>3.3127243149000001</v>
      </c>
      <c r="HM3">
        <v>3.2386481151000002</v>
      </c>
      <c r="HN3">
        <v>3.3268807382999999</v>
      </c>
      <c r="HO3">
        <v>3.2159410832000002</v>
      </c>
      <c r="HP3">
        <v>3.5333609667000001</v>
      </c>
      <c r="HQ3">
        <v>2.1404059917999998</v>
      </c>
      <c r="HR3">
        <v>15.046430554800001</v>
      </c>
      <c r="HS3">
        <v>-28.152492668600001</v>
      </c>
      <c r="HT3">
        <v>-192</v>
      </c>
      <c r="HU3">
        <v>413.90734983969998</v>
      </c>
      <c r="HV3">
        <v>96.187683284499997</v>
      </c>
      <c r="HW3">
        <v>656</v>
      </c>
      <c r="HX3">
        <v>15.046430554800001</v>
      </c>
      <c r="HY3">
        <v>-28.152492668600001</v>
      </c>
      <c r="HZ3">
        <v>-192</v>
      </c>
      <c r="IA3">
        <v>413.90734983969998</v>
      </c>
      <c r="IB3">
        <v>96.187683284499997</v>
      </c>
      <c r="IC3">
        <v>656</v>
      </c>
      <c r="ID3">
        <v>36.492650159999997</v>
      </c>
      <c r="IE3">
        <v>0.30101032680000001</v>
      </c>
      <c r="IF3">
        <v>-37.536656891500002</v>
      </c>
      <c r="IG3">
        <v>-256</v>
      </c>
      <c r="IH3">
        <v>435.53369601529999</v>
      </c>
      <c r="II3">
        <v>105.57184750730001</v>
      </c>
      <c r="IJ3">
        <v>720</v>
      </c>
      <c r="IK3">
        <v>398.86091928489998</v>
      </c>
      <c r="IL3">
        <v>124.3401759531</v>
      </c>
      <c r="IM3">
        <v>420.63053180989999</v>
      </c>
      <c r="IN3">
        <v>133.724340176</v>
      </c>
      <c r="IO3">
        <v>7.6000000007999997</v>
      </c>
      <c r="IP3">
        <v>5.6000000003999997</v>
      </c>
      <c r="IQ3">
        <v>9.2000000003999993</v>
      </c>
      <c r="IR3">
        <v>7.0629713761000001</v>
      </c>
      <c r="IS3">
        <v>7.0629713761000001</v>
      </c>
      <c r="IT3">
        <v>5.0999999985000004</v>
      </c>
      <c r="IU3">
        <v>-30.4985337243</v>
      </c>
      <c r="IV3">
        <v>8.7000000002999993</v>
      </c>
      <c r="IW3">
        <v>49.266862170099998</v>
      </c>
      <c r="IX3">
        <v>6.7999999991999998</v>
      </c>
      <c r="IY3">
        <v>103.22580645159999</v>
      </c>
      <c r="IZ3">
        <v>-32.9793400131</v>
      </c>
      <c r="JA3">
        <v>0.33203925540000001</v>
      </c>
      <c r="JB3">
        <v>-3.4706579999999997E-4</v>
      </c>
      <c r="JC3">
        <v>7.1699999999999997E-7</v>
      </c>
      <c r="JD3">
        <v>0.30186635080000002</v>
      </c>
      <c r="JE3">
        <v>0.34831799450000001</v>
      </c>
      <c r="JF3">
        <v>0.14059672640000001</v>
      </c>
      <c r="JG3">
        <v>109.5783204639</v>
      </c>
      <c r="JH3">
        <v>3.5333609667000001</v>
      </c>
      <c r="JI3">
        <v>2.7216617E-3</v>
      </c>
      <c r="JJ3">
        <v>-6.9048900000000002E-5</v>
      </c>
      <c r="JK3">
        <v>3.3127243149000001</v>
      </c>
      <c r="JL3">
        <v>1.4028804692000001</v>
      </c>
      <c r="JM3">
        <v>0.69213583639999998</v>
      </c>
      <c r="JN3" t="s">
        <v>585</v>
      </c>
      <c r="JQ3">
        <v>1</v>
      </c>
    </row>
    <row r="4" spans="1:277">
      <c r="A4" t="s">
        <v>588</v>
      </c>
      <c r="B4" t="s">
        <v>589</v>
      </c>
      <c r="C4" t="s">
        <v>212</v>
      </c>
      <c r="D4">
        <v>3</v>
      </c>
      <c r="E4" t="s">
        <v>213</v>
      </c>
      <c r="F4" t="s">
        <v>214</v>
      </c>
      <c r="G4" t="s">
        <v>584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0.90000000089999999</v>
      </c>
      <c r="R4">
        <v>0.50000000010000001</v>
      </c>
      <c r="S4">
        <v>0.60000000119999997</v>
      </c>
      <c r="T4">
        <v>0.50000000010000001</v>
      </c>
      <c r="U4">
        <v>0.3000000015</v>
      </c>
      <c r="V4">
        <v>0.40000000079999998</v>
      </c>
      <c r="W4">
        <v>0.50000000010000001</v>
      </c>
      <c r="X4">
        <v>0.40000000079999998</v>
      </c>
      <c r="Y4">
        <v>0.3000000015</v>
      </c>
      <c r="Z4">
        <v>0.50000000010000001</v>
      </c>
      <c r="AA4">
        <v>0.50000000010000001</v>
      </c>
      <c r="AB4">
        <v>0.20000000039999999</v>
      </c>
      <c r="AC4">
        <v>0.20000000039999999</v>
      </c>
      <c r="AD4">
        <v>0.1000000011</v>
      </c>
      <c r="AE4">
        <v>0</v>
      </c>
      <c r="AF4">
        <v>0.20000000039999999</v>
      </c>
      <c r="AG4">
        <v>1.7000000007</v>
      </c>
      <c r="AH4">
        <v>5.6000000003999997</v>
      </c>
      <c r="AI4">
        <v>9.7000000004999993</v>
      </c>
      <c r="AJ4">
        <v>15.199999999799999</v>
      </c>
      <c r="AK4">
        <v>22.1000000001</v>
      </c>
      <c r="AL4">
        <v>28.500000000299998</v>
      </c>
      <c r="AM4">
        <v>35.800000001500003</v>
      </c>
      <c r="AN4">
        <v>42.800000001100003</v>
      </c>
      <c r="AO4">
        <v>49.700000001399999</v>
      </c>
      <c r="AP4">
        <v>56.700000000999999</v>
      </c>
      <c r="AQ4">
        <v>64.700000000800003</v>
      </c>
      <c r="AR4">
        <v>72.500000000200004</v>
      </c>
      <c r="AS4">
        <v>79.999999999899998</v>
      </c>
      <c r="AT4">
        <v>87.600000000700007</v>
      </c>
      <c r="AU4">
        <v>95.300000000899999</v>
      </c>
      <c r="AV4">
        <v>102.6000000002</v>
      </c>
      <c r="AW4">
        <v>110.9000000015</v>
      </c>
      <c r="AX4">
        <v>119.6</v>
      </c>
      <c r="AY4">
        <v>127.9000000013</v>
      </c>
      <c r="AZ4">
        <v>135.60000000139999</v>
      </c>
      <c r="BA4">
        <v>143.60000000119999</v>
      </c>
      <c r="BB4">
        <v>151.70000000030001</v>
      </c>
      <c r="BC4">
        <v>159.2000000001</v>
      </c>
      <c r="BD4">
        <v>167.4000000003</v>
      </c>
      <c r="BE4">
        <v>175.80000000090001</v>
      </c>
      <c r="BF4">
        <v>183.60000000030001</v>
      </c>
      <c r="BG4">
        <v>191.50000000079999</v>
      </c>
      <c r="BH4">
        <v>199.8000000003</v>
      </c>
      <c r="BI4">
        <v>207.00000000029999</v>
      </c>
      <c r="BJ4">
        <v>214.90000000090001</v>
      </c>
      <c r="BK4">
        <v>223.1000000011</v>
      </c>
      <c r="BL4">
        <v>230.9999999998</v>
      </c>
      <c r="BM4">
        <v>238.6999999999</v>
      </c>
      <c r="BN4">
        <v>246.50000000110001</v>
      </c>
      <c r="BO4">
        <v>254.00000000079999</v>
      </c>
      <c r="BP4">
        <v>261.2000000008</v>
      </c>
      <c r="BQ4">
        <v>268.29999999969999</v>
      </c>
      <c r="BR4">
        <v>276.30000000140001</v>
      </c>
      <c r="BS4">
        <v>283.7</v>
      </c>
      <c r="BT4">
        <v>291.10000000039997</v>
      </c>
      <c r="BU4">
        <v>298.30000000040002</v>
      </c>
      <c r="BV4">
        <v>305.00000000030002</v>
      </c>
      <c r="BW4">
        <v>311.70000000020002</v>
      </c>
      <c r="BX4">
        <v>318.40000000010002</v>
      </c>
      <c r="BY4">
        <v>325.70000000120001</v>
      </c>
      <c r="BZ4">
        <v>332.7000000008</v>
      </c>
      <c r="CA4">
        <v>339.1000000011</v>
      </c>
      <c r="CB4">
        <v>346.0000000014</v>
      </c>
      <c r="CC4">
        <v>352.30000000050001</v>
      </c>
      <c r="CD4">
        <v>358.20000000060003</v>
      </c>
      <c r="CE4">
        <v>364.10000000069999</v>
      </c>
      <c r="CF4">
        <v>370.20000000120001</v>
      </c>
      <c r="CG4">
        <v>376.90000000110001</v>
      </c>
      <c r="CH4">
        <v>383.40000000060002</v>
      </c>
      <c r="CI4">
        <v>388.80000000059999</v>
      </c>
      <c r="CJ4">
        <v>394.8</v>
      </c>
      <c r="CK4">
        <v>400.60000000079998</v>
      </c>
      <c r="CL4">
        <v>406.0000000009</v>
      </c>
      <c r="CM4">
        <v>411.00000000009999</v>
      </c>
      <c r="CN4">
        <v>416.30000000080003</v>
      </c>
      <c r="CO4">
        <v>421.7000000008</v>
      </c>
      <c r="CP4">
        <v>427.10000000079998</v>
      </c>
      <c r="CQ4">
        <v>433.50000000099999</v>
      </c>
      <c r="CR4">
        <v>438.29999999979998</v>
      </c>
      <c r="CS4">
        <v>443.19999999970003</v>
      </c>
      <c r="CT4">
        <v>447.90000000100002</v>
      </c>
      <c r="CU4">
        <v>452.90000000020001</v>
      </c>
      <c r="CV4">
        <v>456.50000000019998</v>
      </c>
      <c r="CW4">
        <v>458.50000000059998</v>
      </c>
      <c r="CX4">
        <v>458.80000000029997</v>
      </c>
      <c r="CY4">
        <v>458.70000000099998</v>
      </c>
      <c r="CZ4">
        <v>458.40000000129999</v>
      </c>
      <c r="DA4">
        <v>458.30000000019999</v>
      </c>
      <c r="DB4">
        <v>458.30000000019999</v>
      </c>
      <c r="DC4">
        <v>458.20000000089999</v>
      </c>
      <c r="DD4">
        <v>458.09999999979999</v>
      </c>
      <c r="DE4">
        <v>458.40000000129999</v>
      </c>
      <c r="DF4">
        <v>458.59999999989998</v>
      </c>
      <c r="DG4">
        <v>1.6000000014</v>
      </c>
      <c r="DH4">
        <v>1.2999999999</v>
      </c>
      <c r="DI4">
        <v>1.2999999999</v>
      </c>
      <c r="DJ4">
        <v>1.2000000006</v>
      </c>
      <c r="DK4">
        <v>1.2000000006</v>
      </c>
      <c r="DL4">
        <v>1.1000000013</v>
      </c>
      <c r="DM4">
        <v>1.2999999999</v>
      </c>
      <c r="DN4">
        <v>1.2999999999</v>
      </c>
      <c r="DO4">
        <v>1.2999999999</v>
      </c>
      <c r="DP4">
        <v>1.1000000013</v>
      </c>
      <c r="DQ4">
        <v>1.1000000013</v>
      </c>
      <c r="DR4">
        <v>1.1000000013</v>
      </c>
      <c r="DS4">
        <v>1.0000000002</v>
      </c>
      <c r="DT4">
        <v>1.2000000006</v>
      </c>
      <c r="DU4">
        <v>1.0000000002</v>
      </c>
      <c r="DV4">
        <v>1.2000000006</v>
      </c>
      <c r="DW4">
        <v>4.2000000012000003</v>
      </c>
      <c r="DX4">
        <v>8.8000000014000008</v>
      </c>
      <c r="DY4">
        <v>13.300000000500001</v>
      </c>
      <c r="DZ4">
        <v>20.599999999800001</v>
      </c>
      <c r="EA4">
        <v>27.6000000013</v>
      </c>
      <c r="EB4">
        <v>34.600000000900003</v>
      </c>
      <c r="EC4">
        <v>41.600000000500003</v>
      </c>
      <c r="ED4">
        <v>48.300000000399997</v>
      </c>
      <c r="EE4">
        <v>55.200000000700001</v>
      </c>
      <c r="EF4">
        <v>62.700000000400003</v>
      </c>
      <c r="EG4">
        <v>70.999999999899998</v>
      </c>
      <c r="EH4">
        <v>78.999999999699995</v>
      </c>
      <c r="EI4">
        <v>86.400000000099993</v>
      </c>
      <c r="EJ4">
        <v>93.899999999800002</v>
      </c>
      <c r="EK4">
        <v>100.9000000013</v>
      </c>
      <c r="EL4">
        <v>108.60000000140001</v>
      </c>
      <c r="EM4">
        <v>117.50000000030001</v>
      </c>
      <c r="EN4">
        <v>126.2999999999</v>
      </c>
      <c r="EO4">
        <v>134.2000000004</v>
      </c>
      <c r="EP4">
        <v>142.40000000059999</v>
      </c>
      <c r="EQ4">
        <v>150.00000000150001</v>
      </c>
      <c r="ER4">
        <v>157.60000000049999</v>
      </c>
      <c r="ES4">
        <v>165.60000000030001</v>
      </c>
      <c r="ET4">
        <v>174.30000000059999</v>
      </c>
      <c r="EU4">
        <v>182.70000000120001</v>
      </c>
      <c r="EV4">
        <v>190.40000000129999</v>
      </c>
      <c r="EW4">
        <v>198.8000000001</v>
      </c>
      <c r="EX4">
        <v>206.10000000119999</v>
      </c>
      <c r="EY4">
        <v>213.90000000059999</v>
      </c>
      <c r="EZ4">
        <v>222.20000000019999</v>
      </c>
      <c r="FA4">
        <v>230.50000000150001</v>
      </c>
      <c r="FB4">
        <v>238.19999999980001</v>
      </c>
      <c r="FC4">
        <v>246.30000000070001</v>
      </c>
      <c r="FD4">
        <v>253.89999999969999</v>
      </c>
      <c r="FE4">
        <v>261.3000000001</v>
      </c>
      <c r="FF4">
        <v>268.70000000049998</v>
      </c>
      <c r="FG4">
        <v>276.8000000015</v>
      </c>
      <c r="FH4">
        <v>284.20000000009998</v>
      </c>
      <c r="FI4">
        <v>291.40000000010002</v>
      </c>
      <c r="FJ4">
        <v>298.80000000050001</v>
      </c>
      <c r="FK4">
        <v>305.60000000150001</v>
      </c>
      <c r="FL4">
        <v>312.7000000004</v>
      </c>
      <c r="FM4">
        <v>319.4000000003</v>
      </c>
      <c r="FN4">
        <v>327.00000000109998</v>
      </c>
      <c r="FO4">
        <v>333.59999999989998</v>
      </c>
      <c r="FP4">
        <v>340.10000000129997</v>
      </c>
      <c r="FQ4">
        <v>346.90000000049997</v>
      </c>
      <c r="FR4">
        <v>353.70000000149997</v>
      </c>
      <c r="FS4">
        <v>359.80000000019999</v>
      </c>
      <c r="FT4">
        <v>365.9000000007</v>
      </c>
      <c r="FU4">
        <v>372.10000000050002</v>
      </c>
      <c r="FV4">
        <v>378.80000000040002</v>
      </c>
      <c r="FW4">
        <v>385.00000000019998</v>
      </c>
      <c r="FX4">
        <v>390.60000000060001</v>
      </c>
      <c r="FY4">
        <v>396.50000000070003</v>
      </c>
      <c r="FZ4">
        <v>402.50000000009999</v>
      </c>
      <c r="GA4">
        <v>407.69999999970003</v>
      </c>
      <c r="GB4">
        <v>413.09999999979999</v>
      </c>
      <c r="GC4">
        <v>418.20000000009998</v>
      </c>
      <c r="GD4">
        <v>423.30000000040002</v>
      </c>
      <c r="GE4">
        <v>429.20000000049998</v>
      </c>
      <c r="GF4">
        <v>434.69999999980001</v>
      </c>
      <c r="GG4">
        <v>439.20000000070002</v>
      </c>
      <c r="GH4">
        <v>444.5000000014</v>
      </c>
      <c r="GI4">
        <v>449.00000000049999</v>
      </c>
      <c r="GJ4">
        <v>453.300000001</v>
      </c>
      <c r="GK4">
        <v>456.10000000119999</v>
      </c>
      <c r="GL4">
        <v>458.20000000089999</v>
      </c>
      <c r="GM4">
        <v>458.40000000129999</v>
      </c>
      <c r="GN4">
        <v>458.59999999989998</v>
      </c>
      <c r="GO4">
        <v>458.40000000129999</v>
      </c>
      <c r="GP4">
        <v>458.50000000059998</v>
      </c>
      <c r="GQ4">
        <v>458.20000000089999</v>
      </c>
      <c r="GR4">
        <v>458.20000000089999</v>
      </c>
      <c r="GS4">
        <v>458.30000000019999</v>
      </c>
      <c r="GT4">
        <v>458.30000000019999</v>
      </c>
      <c r="GU4">
        <v>458.50000000059998</v>
      </c>
      <c r="GV4">
        <v>458.50000000059998</v>
      </c>
      <c r="GW4">
        <v>1</v>
      </c>
      <c r="GX4">
        <v>112.1999999996</v>
      </c>
      <c r="GY4">
        <v>110.9000000015</v>
      </c>
      <c r="GZ4">
        <v>110.9000000015</v>
      </c>
      <c r="HA4">
        <v>117.50000000030001</v>
      </c>
      <c r="HB4">
        <v>112.5431654688</v>
      </c>
      <c r="HC4">
        <v>-6.5999999988000004</v>
      </c>
      <c r="HD4">
        <v>458.50003270180002</v>
      </c>
      <c r="HE4">
        <v>304.96461739590001</v>
      </c>
      <c r="HF4">
        <v>90.145203837899999</v>
      </c>
      <c r="HG4">
        <v>458.80000000029997</v>
      </c>
      <c r="HH4">
        <v>458.59999999989998</v>
      </c>
      <c r="HI4">
        <v>458.80000000029997</v>
      </c>
      <c r="HJ4">
        <v>458.59999999989998</v>
      </c>
      <c r="HK4">
        <v>119.6480938416</v>
      </c>
      <c r="HL4">
        <v>3.2193874374</v>
      </c>
      <c r="HM4">
        <v>3.1502438910000001</v>
      </c>
      <c r="HN4">
        <v>3.1832673402</v>
      </c>
      <c r="HO4">
        <v>3.105752098</v>
      </c>
      <c r="HP4">
        <v>3.4106256173</v>
      </c>
      <c r="HQ4">
        <v>2.1436300355000002</v>
      </c>
      <c r="HR4">
        <v>22.397961630899999</v>
      </c>
      <c r="HS4">
        <v>-28.152492668600001</v>
      </c>
      <c r="HT4">
        <v>-192</v>
      </c>
      <c r="HU4">
        <v>417.5077828647</v>
      </c>
      <c r="HV4">
        <v>98.533724340199996</v>
      </c>
      <c r="HW4">
        <v>672</v>
      </c>
      <c r="HX4">
        <v>22.397961630899999</v>
      </c>
      <c r="HY4">
        <v>-28.152492668600001</v>
      </c>
      <c r="HZ4">
        <v>-192</v>
      </c>
      <c r="IA4">
        <v>417.5077828647</v>
      </c>
      <c r="IB4">
        <v>98.533724340199996</v>
      </c>
      <c r="IC4">
        <v>672</v>
      </c>
      <c r="ID4">
        <v>41.092217135200002</v>
      </c>
      <c r="IE4">
        <v>1.7160780473999999</v>
      </c>
      <c r="IF4">
        <v>-37.536656891500002</v>
      </c>
      <c r="IG4">
        <v>-256</v>
      </c>
      <c r="IH4">
        <v>438.92226945789997</v>
      </c>
      <c r="II4">
        <v>107.91788856300001</v>
      </c>
      <c r="IJ4">
        <v>736</v>
      </c>
      <c r="IK4">
        <v>395.10982123380001</v>
      </c>
      <c r="IL4">
        <v>126.6862170088</v>
      </c>
      <c r="IM4">
        <v>418.86608894699998</v>
      </c>
      <c r="IN4">
        <v>136.0703812317</v>
      </c>
      <c r="IO4">
        <v>7.2999999992999998</v>
      </c>
      <c r="IP4">
        <v>6.4000000002000004</v>
      </c>
      <c r="IQ4">
        <v>8.8999999989000003</v>
      </c>
      <c r="IR4">
        <v>6.3215932053000001</v>
      </c>
      <c r="IS4">
        <v>6.3215932053000001</v>
      </c>
      <c r="IT4">
        <v>5.4</v>
      </c>
      <c r="IU4">
        <v>-30.4985337243</v>
      </c>
      <c r="IV4">
        <v>8.6000000009999997</v>
      </c>
      <c r="IW4">
        <v>63.3431085044</v>
      </c>
      <c r="IX4">
        <v>7.5999999989999996</v>
      </c>
      <c r="IY4">
        <v>105.57184750730001</v>
      </c>
      <c r="IZ4">
        <v>-35.5244651796</v>
      </c>
      <c r="JA4">
        <v>0.34642604970000002</v>
      </c>
      <c r="JB4">
        <v>-3.5940530000000003E-4</v>
      </c>
      <c r="JC4">
        <v>7.1139999999999998E-7</v>
      </c>
      <c r="JD4">
        <v>0.3106180972</v>
      </c>
      <c r="JE4">
        <v>0.29714864419999998</v>
      </c>
      <c r="JF4">
        <v>0.111242335</v>
      </c>
      <c r="JG4">
        <v>113.3583293291</v>
      </c>
      <c r="JH4">
        <v>3.4106256173</v>
      </c>
      <c r="JI4">
        <v>2.7826965E-3</v>
      </c>
      <c r="JJ4">
        <v>-6.2326800000000001E-5</v>
      </c>
      <c r="JK4">
        <v>3.2193874374</v>
      </c>
      <c r="JL4">
        <v>1.4611078708</v>
      </c>
      <c r="JM4">
        <v>0.55087399609999999</v>
      </c>
      <c r="JN4" t="s">
        <v>585</v>
      </c>
      <c r="JQ4">
        <v>1</v>
      </c>
    </row>
    <row r="5" spans="1:277">
      <c r="A5" t="s">
        <v>590</v>
      </c>
      <c r="B5" t="s">
        <v>591</v>
      </c>
      <c r="C5" t="s">
        <v>212</v>
      </c>
      <c r="D5">
        <v>3</v>
      </c>
      <c r="E5" t="s">
        <v>213</v>
      </c>
      <c r="F5" t="s">
        <v>214</v>
      </c>
      <c r="G5" t="s">
        <v>584</v>
      </c>
      <c r="H5" t="s">
        <v>216</v>
      </c>
      <c r="J5" t="s">
        <v>244</v>
      </c>
      <c r="K5" t="s">
        <v>245</v>
      </c>
      <c r="L5" t="s">
        <v>246</v>
      </c>
      <c r="M5" t="s">
        <v>247</v>
      </c>
      <c r="N5" t="s">
        <v>248</v>
      </c>
      <c r="O5">
        <v>0</v>
      </c>
      <c r="P5">
        <v>0</v>
      </c>
      <c r="Q5">
        <v>0</v>
      </c>
      <c r="R5">
        <v>1.0000000002</v>
      </c>
      <c r="S5">
        <v>1.1000000013</v>
      </c>
      <c r="T5">
        <v>1.0000000002</v>
      </c>
      <c r="U5">
        <v>1.1000000013</v>
      </c>
      <c r="V5">
        <v>1.1000000013</v>
      </c>
      <c r="W5">
        <v>1.5000000003</v>
      </c>
      <c r="X5">
        <v>1.400000001</v>
      </c>
      <c r="Y5">
        <v>1.2999999999</v>
      </c>
      <c r="Z5">
        <v>1.2000000006</v>
      </c>
      <c r="AA5">
        <v>1.2999999999</v>
      </c>
      <c r="AB5">
        <v>1.5000000003</v>
      </c>
      <c r="AC5">
        <v>1.7000000007</v>
      </c>
      <c r="AD5">
        <v>1.6000000014</v>
      </c>
      <c r="AE5">
        <v>1.7000000007</v>
      </c>
      <c r="AF5">
        <v>1.7000000007</v>
      </c>
      <c r="AG5">
        <v>2.0000000004</v>
      </c>
      <c r="AH5">
        <v>2.7000000008999998</v>
      </c>
      <c r="AI5">
        <v>7.8000000011999999</v>
      </c>
      <c r="AJ5">
        <v>12.0999999999</v>
      </c>
      <c r="AK5">
        <v>16.9000000005</v>
      </c>
      <c r="AL5">
        <v>23.700000001599999</v>
      </c>
      <c r="AM5">
        <v>30.900000001599999</v>
      </c>
      <c r="AN5">
        <v>37.5000000004</v>
      </c>
      <c r="AO5">
        <v>44.400000000699997</v>
      </c>
      <c r="AP5">
        <v>52.4000000005</v>
      </c>
      <c r="AQ5">
        <v>60.400000000299997</v>
      </c>
      <c r="AR5">
        <v>68.100000000400001</v>
      </c>
      <c r="AS5">
        <v>75.300000000400004</v>
      </c>
      <c r="AT5">
        <v>82.800000000099999</v>
      </c>
      <c r="AU5">
        <v>90.500000000200004</v>
      </c>
      <c r="AV5">
        <v>98.1000000011</v>
      </c>
      <c r="AW5">
        <v>107.8000000016</v>
      </c>
      <c r="AX5">
        <v>116.6000000012</v>
      </c>
      <c r="AY5">
        <v>124.4000000006</v>
      </c>
      <c r="AZ5">
        <v>132.50000000150001</v>
      </c>
      <c r="BA5">
        <v>140.20000000159999</v>
      </c>
      <c r="BB5">
        <v>147.89999999989999</v>
      </c>
      <c r="BC5">
        <v>156.60000000030001</v>
      </c>
      <c r="BD5">
        <v>164.90000000160001</v>
      </c>
      <c r="BE5">
        <v>172.9000000014</v>
      </c>
      <c r="BF5">
        <v>181.20000000089999</v>
      </c>
      <c r="BG5">
        <v>188.7000000006</v>
      </c>
      <c r="BH5">
        <v>196.90000000079999</v>
      </c>
      <c r="BI5">
        <v>204.5000000016</v>
      </c>
      <c r="BJ5">
        <v>213.0000000016</v>
      </c>
      <c r="BK5">
        <v>221.40000000040001</v>
      </c>
      <c r="BL5">
        <v>229.00000000119999</v>
      </c>
      <c r="BM5">
        <v>236.6000000002</v>
      </c>
      <c r="BN5">
        <v>243.90000000129999</v>
      </c>
      <c r="BO5">
        <v>251.60000000139999</v>
      </c>
      <c r="BP5">
        <v>259.60000000119999</v>
      </c>
      <c r="BQ5">
        <v>267.70000000030001</v>
      </c>
      <c r="BR5">
        <v>275.10000000069999</v>
      </c>
      <c r="BS5">
        <v>282.10000000039997</v>
      </c>
      <c r="BT5">
        <v>289.10000000000002</v>
      </c>
      <c r="BU5">
        <v>296.20000000070002</v>
      </c>
      <c r="BV5">
        <v>303.20000000030001</v>
      </c>
      <c r="BW5">
        <v>310.5000000014</v>
      </c>
      <c r="BX5">
        <v>317.80000000069998</v>
      </c>
      <c r="BY5">
        <v>324.59999999989998</v>
      </c>
      <c r="BZ5">
        <v>331.00000000009999</v>
      </c>
      <c r="CA5">
        <v>337.90000000039998</v>
      </c>
      <c r="CB5">
        <v>344.30000000069998</v>
      </c>
      <c r="CC5">
        <v>350.4000000012</v>
      </c>
      <c r="CD5">
        <v>356.80000000140001</v>
      </c>
      <c r="CE5">
        <v>363.30000000090001</v>
      </c>
      <c r="CF5">
        <v>370.00000000080001</v>
      </c>
      <c r="CG5">
        <v>376.10000000129997</v>
      </c>
      <c r="CH5">
        <v>381.6999999999</v>
      </c>
      <c r="CI5">
        <v>387.6</v>
      </c>
      <c r="CJ5">
        <v>393.3000000015</v>
      </c>
      <c r="CK5">
        <v>399.00000000130001</v>
      </c>
      <c r="CL5">
        <v>404.20000000089999</v>
      </c>
      <c r="CM5">
        <v>410.30000000140001</v>
      </c>
      <c r="CN5">
        <v>416.00000000109998</v>
      </c>
      <c r="CO5">
        <v>421.20000000070002</v>
      </c>
      <c r="CP5">
        <v>426.60000000069999</v>
      </c>
      <c r="CQ5">
        <v>431.30000000019999</v>
      </c>
      <c r="CR5">
        <v>436.80000000130002</v>
      </c>
      <c r="CS5">
        <v>441.50000000080001</v>
      </c>
      <c r="CT5">
        <v>446.5</v>
      </c>
      <c r="CU5">
        <v>450.90000000160001</v>
      </c>
      <c r="CV5">
        <v>455.30000000140001</v>
      </c>
      <c r="CW5">
        <v>459.20000000110002</v>
      </c>
      <c r="CX5">
        <v>461.60000000050002</v>
      </c>
      <c r="CY5">
        <v>461.30000000080003</v>
      </c>
      <c r="CZ5">
        <v>461.40000000010002</v>
      </c>
      <c r="DA5">
        <v>461.50000000130001</v>
      </c>
      <c r="DB5">
        <v>461.40000000010002</v>
      </c>
      <c r="DC5">
        <v>461.60000000050002</v>
      </c>
      <c r="DD5">
        <v>461.30000000080003</v>
      </c>
      <c r="DE5">
        <v>461.50000000130001</v>
      </c>
      <c r="DF5">
        <v>461.60000000050002</v>
      </c>
      <c r="DG5">
        <v>1.2000000006</v>
      </c>
      <c r="DH5">
        <v>2.1000000015000002</v>
      </c>
      <c r="DI5">
        <v>2.3000000000999998</v>
      </c>
      <c r="DJ5">
        <v>2.4000000012</v>
      </c>
      <c r="DK5">
        <v>2.3000000000999998</v>
      </c>
      <c r="DL5">
        <v>2.3000000000999998</v>
      </c>
      <c r="DM5">
        <v>2.3000000000999998</v>
      </c>
      <c r="DN5">
        <v>2.5000000005</v>
      </c>
      <c r="DO5">
        <v>2.4000000012</v>
      </c>
      <c r="DP5">
        <v>2.5000000005</v>
      </c>
      <c r="DQ5">
        <v>2.4000000012</v>
      </c>
      <c r="DR5">
        <v>2.5000000005</v>
      </c>
      <c r="DS5">
        <v>2.5000000005</v>
      </c>
      <c r="DT5">
        <v>2.8000000001999998</v>
      </c>
      <c r="DU5">
        <v>2.8000000001999998</v>
      </c>
      <c r="DV5">
        <v>2.7000000008999998</v>
      </c>
      <c r="DW5">
        <v>2.8000000001999998</v>
      </c>
      <c r="DX5">
        <v>6.4000000002000004</v>
      </c>
      <c r="DY5">
        <v>11.0000000004</v>
      </c>
      <c r="DZ5">
        <v>16.2</v>
      </c>
      <c r="EA5">
        <v>22.700000001399999</v>
      </c>
      <c r="EB5">
        <v>29.4000000013</v>
      </c>
      <c r="EC5">
        <v>36.4000000009</v>
      </c>
      <c r="ED5">
        <v>43.600000000900003</v>
      </c>
      <c r="EE5">
        <v>51.300000001000001</v>
      </c>
      <c r="EF5">
        <v>59.300000000799997</v>
      </c>
      <c r="EG5">
        <v>66.800000000500006</v>
      </c>
      <c r="EH5">
        <v>74.200000000900005</v>
      </c>
      <c r="EI5">
        <v>81.799999999899995</v>
      </c>
      <c r="EJ5">
        <v>89.1000000011</v>
      </c>
      <c r="EK5">
        <v>96.9000000005</v>
      </c>
      <c r="EL5">
        <v>105.5000000015</v>
      </c>
      <c r="EM5">
        <v>114.5000000015</v>
      </c>
      <c r="EN5">
        <v>123.0000000014</v>
      </c>
      <c r="EO5">
        <v>131.40000000020001</v>
      </c>
      <c r="EP5">
        <v>139.20000000140001</v>
      </c>
      <c r="EQ5">
        <v>146.80000000039999</v>
      </c>
      <c r="ER5">
        <v>155.09999999990001</v>
      </c>
      <c r="ES5">
        <v>163.8000000003</v>
      </c>
      <c r="ET5">
        <v>172.00000000049999</v>
      </c>
      <c r="EU5">
        <v>180.20000000069999</v>
      </c>
      <c r="EV5">
        <v>188.00000000009999</v>
      </c>
      <c r="EW5">
        <v>196.10000000100001</v>
      </c>
      <c r="EX5">
        <v>203.90000000040001</v>
      </c>
      <c r="EY5">
        <v>212.4000000003</v>
      </c>
      <c r="EZ5">
        <v>220.7000000017</v>
      </c>
      <c r="FA5">
        <v>228.30000000070001</v>
      </c>
      <c r="FB5">
        <v>236.40000000160001</v>
      </c>
      <c r="FC5">
        <v>243.70000000089999</v>
      </c>
      <c r="FD5">
        <v>251.2999999999</v>
      </c>
      <c r="FE5">
        <v>259.80000000159998</v>
      </c>
      <c r="FF5">
        <v>267.60000000100001</v>
      </c>
      <c r="FG5">
        <v>275.10000000069999</v>
      </c>
      <c r="FH5">
        <v>282.30000000080003</v>
      </c>
      <c r="FI5">
        <v>289.70000000120001</v>
      </c>
      <c r="FJ5">
        <v>296.7000000008</v>
      </c>
      <c r="FK5">
        <v>303.8000000015</v>
      </c>
      <c r="FL5">
        <v>311.70000000020002</v>
      </c>
      <c r="FM5">
        <v>318.80000000090001</v>
      </c>
      <c r="FN5">
        <v>325.90000000160001</v>
      </c>
      <c r="FO5">
        <v>332.3</v>
      </c>
      <c r="FP5">
        <v>338.99999999990001</v>
      </c>
      <c r="FQ5">
        <v>345.20000000160002</v>
      </c>
      <c r="FR5">
        <v>352.10000000010001</v>
      </c>
      <c r="FS5">
        <v>358.29999999990002</v>
      </c>
      <c r="FT5">
        <v>365.00000000159997</v>
      </c>
      <c r="FU5">
        <v>371.50000000109998</v>
      </c>
      <c r="FV5">
        <v>377.4000000012</v>
      </c>
      <c r="FW5">
        <v>383.30000000130002</v>
      </c>
      <c r="FX5">
        <v>389.30000000069998</v>
      </c>
      <c r="FY5">
        <v>395.2000000008</v>
      </c>
      <c r="FZ5">
        <v>400.60000000079998</v>
      </c>
      <c r="GA5">
        <v>406.1000000002</v>
      </c>
      <c r="GB5">
        <v>411.60000000129997</v>
      </c>
      <c r="GC5">
        <v>417.4000000003</v>
      </c>
      <c r="GD5">
        <v>423.00000000070003</v>
      </c>
      <c r="GE5">
        <v>428.10000000100001</v>
      </c>
      <c r="GF5">
        <v>432.70000000120001</v>
      </c>
      <c r="GG5">
        <v>437.90000000079999</v>
      </c>
      <c r="GH5">
        <v>442.70000000139999</v>
      </c>
      <c r="GI5">
        <v>447.00000000009999</v>
      </c>
      <c r="GJ5">
        <v>451.60000000029999</v>
      </c>
      <c r="GK5">
        <v>455.30000000140001</v>
      </c>
      <c r="GL5">
        <v>458.50000000059998</v>
      </c>
      <c r="GM5">
        <v>461.20000000160002</v>
      </c>
      <c r="GN5">
        <v>461.10000000039997</v>
      </c>
      <c r="GO5">
        <v>461.40000000010002</v>
      </c>
      <c r="GP5">
        <v>461.40000000010002</v>
      </c>
      <c r="GQ5">
        <v>461.20000000160002</v>
      </c>
      <c r="GR5">
        <v>461.30000000080003</v>
      </c>
      <c r="GS5">
        <v>461.50000000130001</v>
      </c>
      <c r="GT5">
        <v>461.50000000130001</v>
      </c>
      <c r="GU5">
        <v>461.40000000010002</v>
      </c>
      <c r="GV5">
        <v>461.50000000130001</v>
      </c>
      <c r="GW5">
        <v>1</v>
      </c>
      <c r="GX5">
        <v>109.99999999880001</v>
      </c>
      <c r="GY5">
        <v>107.8000000016</v>
      </c>
      <c r="GZ5">
        <v>107.8000000016</v>
      </c>
      <c r="HA5">
        <v>114.5000000015</v>
      </c>
      <c r="HB5">
        <v>109.4134871644</v>
      </c>
      <c r="HC5">
        <v>-6.6999999999000002</v>
      </c>
      <c r="HD5">
        <v>461.50000000130001</v>
      </c>
      <c r="HE5">
        <v>295.77891885909997</v>
      </c>
      <c r="HF5">
        <v>85.385602860000006</v>
      </c>
      <c r="HG5">
        <v>461.60000000050002</v>
      </c>
      <c r="HH5">
        <v>461.50000000130001</v>
      </c>
      <c r="HI5">
        <v>461.60000000050002</v>
      </c>
      <c r="HJ5">
        <v>461.50000000130001</v>
      </c>
      <c r="HK5">
        <v>121.9941348974</v>
      </c>
      <c r="HL5">
        <v>3.2780420244999999</v>
      </c>
      <c r="HM5">
        <v>3.2083750202000001</v>
      </c>
      <c r="HN5">
        <v>3.2388710389000002</v>
      </c>
      <c r="HO5">
        <v>3.2172965411000001</v>
      </c>
      <c r="HP5">
        <v>3.4754916698999998</v>
      </c>
      <c r="HQ5">
        <v>2.2411758168000002</v>
      </c>
      <c r="HR5">
        <v>24.027884304400001</v>
      </c>
      <c r="HS5">
        <v>-25.806451612899998</v>
      </c>
      <c r="HT5">
        <v>-176</v>
      </c>
      <c r="HU5">
        <v>405.19240602349998</v>
      </c>
      <c r="HV5">
        <v>93.841642228699996</v>
      </c>
      <c r="HW5">
        <v>640</v>
      </c>
      <c r="HX5">
        <v>24.027884304400001</v>
      </c>
      <c r="HY5">
        <v>-25.806451612899998</v>
      </c>
      <c r="HZ5">
        <v>-176</v>
      </c>
      <c r="IA5">
        <v>405.19240602349998</v>
      </c>
      <c r="IB5">
        <v>93.841642228699996</v>
      </c>
      <c r="IC5">
        <v>640</v>
      </c>
      <c r="ID5">
        <v>56.307593977800003</v>
      </c>
      <c r="IE5">
        <v>2.7364749223999998</v>
      </c>
      <c r="IF5">
        <v>-35.190615835800003</v>
      </c>
      <c r="IG5">
        <v>-240</v>
      </c>
      <c r="IH5">
        <v>427.54835879199999</v>
      </c>
      <c r="II5">
        <v>103.22580645159999</v>
      </c>
      <c r="IJ5">
        <v>704</v>
      </c>
      <c r="IK5">
        <v>381.16452171899999</v>
      </c>
      <c r="IL5">
        <v>119.6480938416</v>
      </c>
      <c r="IM5">
        <v>404.44053732039998</v>
      </c>
      <c r="IN5">
        <v>129.03225806450001</v>
      </c>
      <c r="IO5">
        <v>6.8000000009999999</v>
      </c>
      <c r="IP5">
        <v>5.7999999989999997</v>
      </c>
      <c r="IQ5">
        <v>9.7000000004999993</v>
      </c>
      <c r="IR5">
        <v>5.8063647920000001</v>
      </c>
      <c r="IS5">
        <v>5.8063647920000001</v>
      </c>
      <c r="IT5">
        <v>5.8000000007999999</v>
      </c>
      <c r="IU5">
        <v>-28.152492668600001</v>
      </c>
      <c r="IV5">
        <v>8.4999999999</v>
      </c>
      <c r="IW5">
        <v>58.651026393000002</v>
      </c>
      <c r="IX5">
        <v>7.0999999989000004</v>
      </c>
      <c r="IY5">
        <v>98.533724340199996</v>
      </c>
      <c r="IZ5">
        <v>-33.461042815399999</v>
      </c>
      <c r="JA5">
        <v>0.3347369818</v>
      </c>
      <c r="JB5">
        <v>-3.3091469999999999E-4</v>
      </c>
      <c r="JC5">
        <v>6.8869999999999997E-7</v>
      </c>
      <c r="JD5">
        <v>0.30506015250000001</v>
      </c>
      <c r="JE5">
        <v>0.33920008870000001</v>
      </c>
      <c r="JF5">
        <v>0.13192181820000001</v>
      </c>
      <c r="JG5">
        <v>109.5494223629</v>
      </c>
      <c r="JH5">
        <v>3.4754916698999998</v>
      </c>
      <c r="JI5">
        <v>2.5050734000000002E-3</v>
      </c>
      <c r="JJ5">
        <v>-6.4517599999999994E-5</v>
      </c>
      <c r="JK5">
        <v>3.2780420244999999</v>
      </c>
      <c r="JL5">
        <v>1.6782444584</v>
      </c>
      <c r="JM5">
        <v>0.58417534979999997</v>
      </c>
      <c r="JN5" t="s">
        <v>585</v>
      </c>
      <c r="JQ5">
        <v>1</v>
      </c>
    </row>
    <row r="6" spans="1:277">
      <c r="A6" t="s">
        <v>592</v>
      </c>
      <c r="B6" t="s">
        <v>593</v>
      </c>
      <c r="C6" t="s">
        <v>212</v>
      </c>
      <c r="D6">
        <v>3</v>
      </c>
      <c r="E6" t="s">
        <v>213</v>
      </c>
      <c r="F6" t="s">
        <v>214</v>
      </c>
      <c r="G6" t="s">
        <v>584</v>
      </c>
      <c r="H6" t="s">
        <v>216</v>
      </c>
      <c r="J6" t="s">
        <v>251</v>
      </c>
      <c r="K6" t="s">
        <v>252</v>
      </c>
      <c r="L6" t="s">
        <v>253</v>
      </c>
      <c r="M6" t="s">
        <v>254</v>
      </c>
      <c r="N6" t="s">
        <v>255</v>
      </c>
      <c r="O6">
        <v>0</v>
      </c>
      <c r="P6">
        <v>0</v>
      </c>
      <c r="Q6">
        <v>0.19999999860000001</v>
      </c>
      <c r="R6">
        <v>0</v>
      </c>
      <c r="S6">
        <v>0</v>
      </c>
      <c r="T6">
        <v>9.9999999300000003E-2</v>
      </c>
      <c r="U6">
        <v>0.19999999860000001</v>
      </c>
      <c r="V6">
        <v>0</v>
      </c>
      <c r="W6">
        <v>9.9999999300000003E-2</v>
      </c>
      <c r="X6">
        <v>9.9999999300000003E-2</v>
      </c>
      <c r="Y6">
        <v>0.19999999860000001</v>
      </c>
      <c r="Z6">
        <v>0</v>
      </c>
      <c r="AA6">
        <v>0.29999999970000002</v>
      </c>
      <c r="AB6">
        <v>9.9999999300000003E-2</v>
      </c>
      <c r="AC6">
        <v>0</v>
      </c>
      <c r="AD6">
        <v>9.9999999300000003E-2</v>
      </c>
      <c r="AE6">
        <v>0</v>
      </c>
      <c r="AF6">
        <v>9.9999999300000003E-2</v>
      </c>
      <c r="AG6">
        <v>1.0999999995</v>
      </c>
      <c r="AH6">
        <v>5.1999999996000001</v>
      </c>
      <c r="AI6">
        <v>10.4999999985</v>
      </c>
      <c r="AJ6">
        <v>15.8999999985</v>
      </c>
      <c r="AK6">
        <v>22.699999999500001</v>
      </c>
      <c r="AL6">
        <v>29.199999998999999</v>
      </c>
      <c r="AM6">
        <v>36.5999999995</v>
      </c>
      <c r="AN6">
        <v>43.399999998699997</v>
      </c>
      <c r="AO6">
        <v>50.499999999400004</v>
      </c>
      <c r="AP6">
        <v>58.199999999500001</v>
      </c>
      <c r="AQ6">
        <v>65.999999998899995</v>
      </c>
      <c r="AR6">
        <v>74.099999999800005</v>
      </c>
      <c r="AS6">
        <v>81.5999999995</v>
      </c>
      <c r="AT6">
        <v>89.499999998199996</v>
      </c>
      <c r="AU6">
        <v>97.199999998300001</v>
      </c>
      <c r="AV6">
        <v>104.99999999960001</v>
      </c>
      <c r="AW6">
        <v>114.2</v>
      </c>
      <c r="AX6">
        <v>123.6999999983</v>
      </c>
      <c r="AY6">
        <v>131.5999999988</v>
      </c>
      <c r="AZ6">
        <v>140.19999999980001</v>
      </c>
      <c r="BA6">
        <v>147.89999999989999</v>
      </c>
      <c r="BB6">
        <v>155.89999999969999</v>
      </c>
      <c r="BC6">
        <v>164.39999999969999</v>
      </c>
      <c r="BD6">
        <v>173.1</v>
      </c>
      <c r="BE6">
        <v>180.89999999939999</v>
      </c>
      <c r="BF6">
        <v>189.29999999820001</v>
      </c>
      <c r="BG6">
        <v>196.89999999899999</v>
      </c>
      <c r="BH6">
        <v>204.79999999949999</v>
      </c>
      <c r="BI6">
        <v>212.89999999860001</v>
      </c>
      <c r="BJ6">
        <v>221.0999999988</v>
      </c>
      <c r="BK6">
        <v>229.6999999999</v>
      </c>
      <c r="BL6">
        <v>237.6999999997</v>
      </c>
      <c r="BM6">
        <v>245.2999999987</v>
      </c>
      <c r="BN6">
        <v>252.59999999979999</v>
      </c>
      <c r="BO6">
        <v>260.39999999920002</v>
      </c>
      <c r="BP6">
        <v>268.0999999993</v>
      </c>
      <c r="BQ6">
        <v>275.99999999980002</v>
      </c>
      <c r="BR6">
        <v>283.39999999840001</v>
      </c>
      <c r="BS6">
        <v>290.99999999929997</v>
      </c>
      <c r="BT6">
        <v>298.19999999930002</v>
      </c>
      <c r="BU6">
        <v>304.79999999990002</v>
      </c>
      <c r="BV6">
        <v>311.89999999880001</v>
      </c>
      <c r="BW6">
        <v>318.89999999840001</v>
      </c>
      <c r="BX6">
        <v>326.09999999839999</v>
      </c>
      <c r="BY6">
        <v>332.89999999939999</v>
      </c>
      <c r="BZ6">
        <v>339.79999999969999</v>
      </c>
      <c r="CA6">
        <v>346.49999999969998</v>
      </c>
      <c r="CB6">
        <v>352.59999999830001</v>
      </c>
      <c r="CC6">
        <v>358.69999999890001</v>
      </c>
      <c r="CD6">
        <v>365.19999999840002</v>
      </c>
      <c r="CE6">
        <v>371.29999999889998</v>
      </c>
      <c r="CF6">
        <v>377.79999999839998</v>
      </c>
      <c r="CG6">
        <v>383.8999999989</v>
      </c>
      <c r="CH6">
        <v>389.59999999860003</v>
      </c>
      <c r="CI6">
        <v>395.59999999979999</v>
      </c>
      <c r="CJ6">
        <v>401.09999999910002</v>
      </c>
      <c r="CK6">
        <v>406.4999999991</v>
      </c>
      <c r="CL6">
        <v>412.19999999880002</v>
      </c>
      <c r="CM6">
        <v>417.39999999849999</v>
      </c>
      <c r="CN6">
        <v>422.59999999989998</v>
      </c>
      <c r="CO6">
        <v>427.99999999990001</v>
      </c>
      <c r="CP6">
        <v>433.39999999989999</v>
      </c>
      <c r="CQ6">
        <v>438.59999999950003</v>
      </c>
      <c r="CR6">
        <v>443.59999999870001</v>
      </c>
      <c r="CS6">
        <v>448.5999999997</v>
      </c>
      <c r="CT6">
        <v>452.69999999980001</v>
      </c>
      <c r="CU6">
        <v>455.3999999989</v>
      </c>
      <c r="CV6">
        <v>456.59999999950003</v>
      </c>
      <c r="CW6">
        <v>456.49999999840003</v>
      </c>
      <c r="CX6">
        <v>456.59999999950003</v>
      </c>
      <c r="CY6">
        <v>456.59999999950003</v>
      </c>
      <c r="CZ6">
        <v>456.69999999880002</v>
      </c>
      <c r="DA6">
        <v>456.69999999880002</v>
      </c>
      <c r="DB6">
        <v>456.89999999920002</v>
      </c>
      <c r="DC6">
        <v>456.79999999990002</v>
      </c>
      <c r="DD6">
        <v>456.79999999990002</v>
      </c>
      <c r="DE6">
        <v>456.79999999990002</v>
      </c>
      <c r="DF6">
        <v>456.59999999950003</v>
      </c>
      <c r="DG6">
        <v>0.89999999909999995</v>
      </c>
      <c r="DH6">
        <v>0.99999999839999998</v>
      </c>
      <c r="DI6">
        <v>0.99999999839999998</v>
      </c>
      <c r="DJ6">
        <v>0.99999999839999998</v>
      </c>
      <c r="DK6">
        <v>0.99999999839999998</v>
      </c>
      <c r="DL6">
        <v>0.89999999909999995</v>
      </c>
      <c r="DM6">
        <v>0.79999999980000003</v>
      </c>
      <c r="DN6">
        <v>0.99999999839999998</v>
      </c>
      <c r="DO6">
        <v>0.99999999839999998</v>
      </c>
      <c r="DP6">
        <v>0.99999999839999998</v>
      </c>
      <c r="DQ6">
        <v>0.79999999980000003</v>
      </c>
      <c r="DR6">
        <v>0.89999999909999995</v>
      </c>
      <c r="DS6">
        <v>0.89999999909999995</v>
      </c>
      <c r="DT6">
        <v>0.89999999909999995</v>
      </c>
      <c r="DU6">
        <v>0.79999999980000003</v>
      </c>
      <c r="DV6">
        <v>0.79999999980000003</v>
      </c>
      <c r="DW6">
        <v>4.5999999984000004</v>
      </c>
      <c r="DX6">
        <v>9.5999999993999996</v>
      </c>
      <c r="DY6">
        <v>14.799999999000001</v>
      </c>
      <c r="DZ6">
        <v>21.699999999300001</v>
      </c>
      <c r="EA6">
        <v>28.8999999993</v>
      </c>
      <c r="EB6">
        <v>36.199999998599999</v>
      </c>
      <c r="EC6">
        <v>43.099999998999998</v>
      </c>
      <c r="ED6">
        <v>49.599999998500003</v>
      </c>
      <c r="EE6">
        <v>57.3999999997</v>
      </c>
      <c r="EF6">
        <v>64.999999998700005</v>
      </c>
      <c r="EG6">
        <v>73.099999999600001</v>
      </c>
      <c r="EH6">
        <v>80.999999998299998</v>
      </c>
      <c r="EI6">
        <v>89.299999999600004</v>
      </c>
      <c r="EJ6">
        <v>96.499999999699995</v>
      </c>
      <c r="EK6">
        <v>104.0999999987</v>
      </c>
      <c r="EL6">
        <v>112.4</v>
      </c>
      <c r="EM6">
        <v>121.6999999997</v>
      </c>
      <c r="EN6">
        <v>130.4999999993</v>
      </c>
      <c r="EO6">
        <v>139.19999999960001</v>
      </c>
      <c r="EP6">
        <v>147.09999999830001</v>
      </c>
      <c r="EQ6">
        <v>155.09999999990001</v>
      </c>
      <c r="ER6">
        <v>163.59999999990001</v>
      </c>
      <c r="ES6">
        <v>172.19999999909999</v>
      </c>
      <c r="ET6">
        <v>180.3</v>
      </c>
      <c r="EU6">
        <v>188.6999999988</v>
      </c>
      <c r="EV6">
        <v>196.4999999982</v>
      </c>
      <c r="EW6">
        <v>204.4999999998</v>
      </c>
      <c r="EX6">
        <v>212.89999999860001</v>
      </c>
      <c r="EY6">
        <v>221.2999999992</v>
      </c>
      <c r="EZ6">
        <v>229.5999999988</v>
      </c>
      <c r="FA6">
        <v>237.4</v>
      </c>
      <c r="FB6">
        <v>245.69999999949999</v>
      </c>
      <c r="FC6">
        <v>253.09999999990001</v>
      </c>
      <c r="FD6">
        <v>260.9999999986</v>
      </c>
      <c r="FE6">
        <v>268.79999999979998</v>
      </c>
      <c r="FF6">
        <v>276.9999999982</v>
      </c>
      <c r="FG6">
        <v>284.29999999929998</v>
      </c>
      <c r="FH6">
        <v>292.1999999999</v>
      </c>
      <c r="FI6">
        <v>299.49999999919999</v>
      </c>
      <c r="FJ6">
        <v>306.49999999879998</v>
      </c>
      <c r="FK6">
        <v>313.59999999950003</v>
      </c>
      <c r="FL6">
        <v>320.79999999950002</v>
      </c>
      <c r="FM6">
        <v>328.1999999999</v>
      </c>
      <c r="FN6">
        <v>335.49999999919999</v>
      </c>
      <c r="FO6">
        <v>342.29999999839998</v>
      </c>
      <c r="FP6">
        <v>348.99999999829998</v>
      </c>
      <c r="FQ6">
        <v>355.2</v>
      </c>
      <c r="FR6">
        <v>361.79999999879999</v>
      </c>
      <c r="FS6">
        <v>367.8</v>
      </c>
      <c r="FT6">
        <v>374.09999999910002</v>
      </c>
      <c r="FU6">
        <v>380.89999999830002</v>
      </c>
      <c r="FV6">
        <v>386.99999999879998</v>
      </c>
      <c r="FW6">
        <v>393.0999999993</v>
      </c>
      <c r="FX6">
        <v>398.89999999830002</v>
      </c>
      <c r="FY6">
        <v>404.39999999939999</v>
      </c>
      <c r="FZ6">
        <v>409.79999999939997</v>
      </c>
      <c r="GA6">
        <v>415.49999999919999</v>
      </c>
      <c r="GB6">
        <v>420.59999999950003</v>
      </c>
      <c r="GC6">
        <v>425.99999999950001</v>
      </c>
      <c r="GD6">
        <v>431.39999999949998</v>
      </c>
      <c r="GE6">
        <v>436.39999999870003</v>
      </c>
      <c r="GF6">
        <v>441.19999999930002</v>
      </c>
      <c r="GG6">
        <v>445.89999999880001</v>
      </c>
      <c r="GH6">
        <v>450.19999999930002</v>
      </c>
      <c r="GI6">
        <v>453.59999999889999</v>
      </c>
      <c r="GJ6">
        <v>455.5999999993</v>
      </c>
      <c r="GK6">
        <v>456.69999999880002</v>
      </c>
      <c r="GL6">
        <v>456.49999999840003</v>
      </c>
      <c r="GM6">
        <v>456.59999999950003</v>
      </c>
      <c r="GN6">
        <v>456.59999999950003</v>
      </c>
      <c r="GO6">
        <v>456.69999999880002</v>
      </c>
      <c r="GP6">
        <v>456.59999999950003</v>
      </c>
      <c r="GQ6">
        <v>456.59999999950003</v>
      </c>
      <c r="GR6">
        <v>456.59999999950003</v>
      </c>
      <c r="GS6">
        <v>456.79999999990002</v>
      </c>
      <c r="GT6">
        <v>456.79999999990002</v>
      </c>
      <c r="GU6">
        <v>456.69999999880002</v>
      </c>
      <c r="GV6">
        <v>456.69999999880002</v>
      </c>
      <c r="GW6">
        <v>1</v>
      </c>
      <c r="GX6">
        <v>116.79999999979999</v>
      </c>
      <c r="GY6">
        <v>114.2</v>
      </c>
      <c r="GZ6">
        <v>114.2</v>
      </c>
      <c r="HA6">
        <v>121.6999999997</v>
      </c>
      <c r="HB6">
        <v>116.13656961460001</v>
      </c>
      <c r="HC6">
        <v>-7.4999999997</v>
      </c>
      <c r="HD6">
        <v>456.69996716169999</v>
      </c>
      <c r="HE6">
        <v>298.4610661113</v>
      </c>
      <c r="HF6">
        <v>93.086394483800007</v>
      </c>
      <c r="HG6">
        <v>456.89999999920002</v>
      </c>
      <c r="HH6">
        <v>456.79999999990002</v>
      </c>
      <c r="HI6">
        <v>456.89999999920002</v>
      </c>
      <c r="HJ6">
        <v>456.79999999990002</v>
      </c>
      <c r="HK6">
        <v>117.3020527859</v>
      </c>
      <c r="HL6">
        <v>3.3137095595999999</v>
      </c>
      <c r="HM6">
        <v>3.2306890461000002</v>
      </c>
      <c r="HN6">
        <v>3.2857681624000001</v>
      </c>
      <c r="HO6">
        <v>3.2147765170999998</v>
      </c>
      <c r="HP6">
        <v>3.5267251529000001</v>
      </c>
      <c r="HQ6">
        <v>2.1870408054000001</v>
      </c>
      <c r="HR6">
        <v>23.050175130900001</v>
      </c>
      <c r="HS6">
        <v>-28.152492668600001</v>
      </c>
      <c r="HT6">
        <v>-192</v>
      </c>
      <c r="HU6">
        <v>414.59763572589998</v>
      </c>
      <c r="HV6">
        <v>93.841642228699996</v>
      </c>
      <c r="HW6">
        <v>640</v>
      </c>
      <c r="HX6">
        <v>23.050175130900001</v>
      </c>
      <c r="HY6">
        <v>-28.152492668600001</v>
      </c>
      <c r="HZ6">
        <v>-192</v>
      </c>
      <c r="IA6">
        <v>414.59763572589998</v>
      </c>
      <c r="IB6">
        <v>93.841642228699996</v>
      </c>
      <c r="IC6">
        <v>640</v>
      </c>
      <c r="ID6">
        <v>42.202364273999997</v>
      </c>
      <c r="IE6">
        <v>1.1218366895</v>
      </c>
      <c r="IF6">
        <v>-37.536656891500002</v>
      </c>
      <c r="IG6">
        <v>-256</v>
      </c>
      <c r="IH6">
        <v>435.94763572549999</v>
      </c>
      <c r="II6">
        <v>103.22580645159999</v>
      </c>
      <c r="IJ6">
        <v>704</v>
      </c>
      <c r="IK6">
        <v>391.54746059510001</v>
      </c>
      <c r="IL6">
        <v>121.9941348974</v>
      </c>
      <c r="IM6">
        <v>414.72010726880001</v>
      </c>
      <c r="IN6">
        <v>131.37829912020001</v>
      </c>
      <c r="IO6">
        <v>6.9000000003000004</v>
      </c>
      <c r="IP6">
        <v>5.4</v>
      </c>
      <c r="IQ6">
        <v>9.4999999982999999</v>
      </c>
      <c r="IR6">
        <v>6.5977925389000003</v>
      </c>
      <c r="IS6">
        <v>6.5977925389000003</v>
      </c>
      <c r="IT6">
        <v>5.8000000007999999</v>
      </c>
      <c r="IU6">
        <v>-30.4985337243</v>
      </c>
      <c r="IV6">
        <v>9.5999999993999996</v>
      </c>
      <c r="IW6">
        <v>79.765395894400001</v>
      </c>
      <c r="IX6">
        <v>8.7999999996000007</v>
      </c>
      <c r="IY6">
        <v>100.87976539589999</v>
      </c>
      <c r="IZ6">
        <v>-35.372739290299997</v>
      </c>
      <c r="JA6">
        <v>0.33597156299999997</v>
      </c>
      <c r="JB6">
        <v>-3.545725E-4</v>
      </c>
      <c r="JC6">
        <v>7.1190000000000002E-7</v>
      </c>
      <c r="JD6">
        <v>0.30177659870000001</v>
      </c>
      <c r="JE6">
        <v>0.3442865765</v>
      </c>
      <c r="JF6">
        <v>0.1458873933</v>
      </c>
      <c r="JG6">
        <v>116.7865782306</v>
      </c>
      <c r="JH6">
        <v>3.5267251529000001</v>
      </c>
      <c r="JI6">
        <v>2.6145662000000001E-3</v>
      </c>
      <c r="JJ6">
        <v>-6.9283900000000003E-5</v>
      </c>
      <c r="JK6">
        <v>3.3137095595999999</v>
      </c>
      <c r="JL6">
        <v>1.9315876786999999</v>
      </c>
      <c r="JM6">
        <v>0.70009133000000001</v>
      </c>
      <c r="JN6" t="s">
        <v>585</v>
      </c>
      <c r="JQ6">
        <v>1</v>
      </c>
    </row>
    <row r="7" spans="1:277">
      <c r="A7" t="s">
        <v>594</v>
      </c>
      <c r="B7" t="s">
        <v>595</v>
      </c>
      <c r="C7" t="s">
        <v>212</v>
      </c>
      <c r="D7">
        <v>3</v>
      </c>
      <c r="E7" t="s">
        <v>213</v>
      </c>
      <c r="F7" t="s">
        <v>214</v>
      </c>
      <c r="G7" t="s">
        <v>584</v>
      </c>
      <c r="H7" t="s">
        <v>216</v>
      </c>
      <c r="J7" t="s">
        <v>258</v>
      </c>
      <c r="K7" t="s">
        <v>259</v>
      </c>
      <c r="L7" t="s">
        <v>260</v>
      </c>
      <c r="M7" t="s">
        <v>261</v>
      </c>
      <c r="N7" t="s">
        <v>262</v>
      </c>
      <c r="O7">
        <v>0</v>
      </c>
      <c r="P7">
        <v>0</v>
      </c>
      <c r="Q7">
        <v>1.2999999999</v>
      </c>
      <c r="R7">
        <v>0.39999999899999999</v>
      </c>
      <c r="S7">
        <v>0.39999999899999999</v>
      </c>
      <c r="T7">
        <v>0.39999999899999999</v>
      </c>
      <c r="U7">
        <v>0.39999999899999999</v>
      </c>
      <c r="V7">
        <v>0.29999999970000002</v>
      </c>
      <c r="W7">
        <v>0.29999999970000002</v>
      </c>
      <c r="X7">
        <v>0.39999999899999999</v>
      </c>
      <c r="Y7">
        <v>0.29999999970000002</v>
      </c>
      <c r="Z7">
        <v>0.20000000039999999</v>
      </c>
      <c r="AA7">
        <v>0.20000000039999999</v>
      </c>
      <c r="AB7">
        <v>0.20000000039999999</v>
      </c>
      <c r="AC7">
        <v>0.29999999970000002</v>
      </c>
      <c r="AD7">
        <v>0.39999999899999999</v>
      </c>
      <c r="AE7">
        <v>0.20000000039999999</v>
      </c>
      <c r="AF7">
        <v>9.9999999300000003E-2</v>
      </c>
      <c r="AG7">
        <v>9.9999999300000003E-2</v>
      </c>
      <c r="AH7">
        <v>0</v>
      </c>
      <c r="AI7">
        <v>2.8999999994999999</v>
      </c>
      <c r="AJ7">
        <v>7.2999999992999998</v>
      </c>
      <c r="AK7">
        <v>12.8999999997</v>
      </c>
      <c r="AL7">
        <v>19.699999998900001</v>
      </c>
      <c r="AM7">
        <v>26.700000000300001</v>
      </c>
      <c r="AN7">
        <v>33.799999999199997</v>
      </c>
      <c r="AO7">
        <v>40.9</v>
      </c>
      <c r="AP7">
        <v>48.600000000100003</v>
      </c>
      <c r="AQ7">
        <v>56.199999999100001</v>
      </c>
      <c r="AR7">
        <v>64.099999999600001</v>
      </c>
      <c r="AS7">
        <v>71.799999999700006</v>
      </c>
      <c r="AT7">
        <v>79.799999999500002</v>
      </c>
      <c r="AU7">
        <v>87.499999999600007</v>
      </c>
      <c r="AV7">
        <v>94.900000000099993</v>
      </c>
      <c r="AW7">
        <v>103.6000000004</v>
      </c>
      <c r="AX7">
        <v>112.6000000004</v>
      </c>
      <c r="AY7">
        <v>121.1000000003</v>
      </c>
      <c r="AZ7">
        <v>129.80000000059999</v>
      </c>
      <c r="BA7">
        <v>137.89999999969999</v>
      </c>
      <c r="BB7">
        <v>145.80000000019999</v>
      </c>
      <c r="BC7">
        <v>153.69999999890001</v>
      </c>
      <c r="BD7">
        <v>162.39999999930001</v>
      </c>
      <c r="BE7">
        <v>171.00000000029999</v>
      </c>
      <c r="BF7">
        <v>179.5000000002</v>
      </c>
      <c r="BG7">
        <v>188.29999999980001</v>
      </c>
      <c r="BH7">
        <v>196.09999999920001</v>
      </c>
      <c r="BI7">
        <v>203.1999999999</v>
      </c>
      <c r="BJ7">
        <v>211.90000000020001</v>
      </c>
      <c r="BK7">
        <v>220.49999999939999</v>
      </c>
      <c r="BL7">
        <v>228.6000000004</v>
      </c>
      <c r="BM7">
        <v>237.19999999960001</v>
      </c>
      <c r="BN7">
        <v>244.6</v>
      </c>
      <c r="BO7">
        <v>251.8</v>
      </c>
      <c r="BP7">
        <v>260.20000000060003</v>
      </c>
      <c r="BQ7">
        <v>268.50000000009999</v>
      </c>
      <c r="BR7">
        <v>276.09999999910002</v>
      </c>
      <c r="BS7">
        <v>284.70000000020002</v>
      </c>
      <c r="BT7">
        <v>291.79999999910001</v>
      </c>
      <c r="BU7">
        <v>298.8999999998</v>
      </c>
      <c r="BV7">
        <v>305.5999999997</v>
      </c>
      <c r="BW7">
        <v>313.29999999979998</v>
      </c>
      <c r="BX7">
        <v>320.99999999990001</v>
      </c>
      <c r="BY7">
        <v>327.69999999980001</v>
      </c>
      <c r="BZ7">
        <v>335.19999999949999</v>
      </c>
      <c r="CA7">
        <v>342.09999999979999</v>
      </c>
      <c r="CB7">
        <v>348.89999999899999</v>
      </c>
      <c r="CC7">
        <v>355.40000000039998</v>
      </c>
      <c r="CD7">
        <v>361.6000000002</v>
      </c>
      <c r="CE7">
        <v>368.199999999</v>
      </c>
      <c r="CF7">
        <v>374.70000000030001</v>
      </c>
      <c r="CG7">
        <v>380.69999999970003</v>
      </c>
      <c r="CH7">
        <v>387.39999999960003</v>
      </c>
      <c r="CI7">
        <v>393.89999999909998</v>
      </c>
      <c r="CJ7">
        <v>399.99999999959999</v>
      </c>
      <c r="CK7">
        <v>406.19999999940001</v>
      </c>
      <c r="CL7">
        <v>410.7000000004</v>
      </c>
      <c r="CM7">
        <v>416.60000000050002</v>
      </c>
      <c r="CN7">
        <v>422.50000000059998</v>
      </c>
      <c r="CO7">
        <v>428.3999999989</v>
      </c>
      <c r="CP7">
        <v>434.29999999900002</v>
      </c>
      <c r="CQ7">
        <v>440.19999999909999</v>
      </c>
      <c r="CR7">
        <v>445.70000000020002</v>
      </c>
      <c r="CS7">
        <v>450.60000000010001</v>
      </c>
      <c r="CT7">
        <v>455.7000000004</v>
      </c>
      <c r="CU7">
        <v>457.89999999939999</v>
      </c>
      <c r="CV7">
        <v>458.00000000049999</v>
      </c>
      <c r="CW7">
        <v>458.00000000049999</v>
      </c>
      <c r="CX7">
        <v>458.09999999979999</v>
      </c>
      <c r="CY7">
        <v>457.8000000001</v>
      </c>
      <c r="CZ7">
        <v>457.8000000001</v>
      </c>
      <c r="DA7">
        <v>457.8000000001</v>
      </c>
      <c r="DB7">
        <v>458.00000000049999</v>
      </c>
      <c r="DC7">
        <v>458.09999999979999</v>
      </c>
      <c r="DD7">
        <v>457.89999999939999</v>
      </c>
      <c r="DE7">
        <v>457.50000000040001</v>
      </c>
      <c r="DF7">
        <v>457.3</v>
      </c>
      <c r="DG7">
        <v>1.8999999993000001</v>
      </c>
      <c r="DH7">
        <v>1.2999999999</v>
      </c>
      <c r="DI7">
        <v>1.2999999999</v>
      </c>
      <c r="DJ7">
        <v>1.2000000006</v>
      </c>
      <c r="DK7">
        <v>1.2999999999</v>
      </c>
      <c r="DL7">
        <v>1.2999999999</v>
      </c>
      <c r="DM7">
        <v>1.3999999992000001</v>
      </c>
      <c r="DN7">
        <v>1.3999999992000001</v>
      </c>
      <c r="DO7">
        <v>1.0999999995</v>
      </c>
      <c r="DP7">
        <v>1.0999999995</v>
      </c>
      <c r="DQ7">
        <v>1.2000000006</v>
      </c>
      <c r="DR7">
        <v>1.0000000002</v>
      </c>
      <c r="DS7">
        <v>1.2000000006</v>
      </c>
      <c r="DT7">
        <v>1.0000000002</v>
      </c>
      <c r="DU7">
        <v>1.0000000002</v>
      </c>
      <c r="DV7">
        <v>1.0000000002</v>
      </c>
      <c r="DW7">
        <v>1.0999999995</v>
      </c>
      <c r="DX7">
        <v>1.5000000003</v>
      </c>
      <c r="DY7">
        <v>6.1000000004999997</v>
      </c>
      <c r="DZ7">
        <v>11.199999998999999</v>
      </c>
      <c r="EA7">
        <v>18.299999999699999</v>
      </c>
      <c r="EB7">
        <v>25.299999999299999</v>
      </c>
      <c r="EC7">
        <v>32.100000000400001</v>
      </c>
      <c r="ED7">
        <v>39.3999999997</v>
      </c>
      <c r="EE7">
        <v>47.099999999799998</v>
      </c>
      <c r="EF7">
        <v>54.799999999900002</v>
      </c>
      <c r="EG7">
        <v>62.599999999300003</v>
      </c>
      <c r="EH7">
        <v>70.299999999400001</v>
      </c>
      <c r="EI7">
        <v>78.400000000299997</v>
      </c>
      <c r="EJ7">
        <v>85.9</v>
      </c>
      <c r="EK7">
        <v>93.699999999400006</v>
      </c>
      <c r="EL7">
        <v>101.8000000004</v>
      </c>
      <c r="EM7">
        <v>110.6999999993</v>
      </c>
      <c r="EN7">
        <v>119.3000000003</v>
      </c>
      <c r="EO7">
        <v>128.6</v>
      </c>
      <c r="EP7">
        <v>136.59999999979999</v>
      </c>
      <c r="EQ7">
        <v>143.70000000050001</v>
      </c>
      <c r="ER7">
        <v>152.29999999969999</v>
      </c>
      <c r="ES7">
        <v>160.7000000004</v>
      </c>
      <c r="ET7">
        <v>169.4000000007</v>
      </c>
      <c r="EU7">
        <v>178.5</v>
      </c>
      <c r="EV7">
        <v>186.99999999990001</v>
      </c>
      <c r="EW7">
        <v>194.10000000060001</v>
      </c>
      <c r="EX7">
        <v>202.60000000049999</v>
      </c>
      <c r="EY7">
        <v>210.79999999890001</v>
      </c>
      <c r="EZ7">
        <v>219.19999999949999</v>
      </c>
      <c r="FA7">
        <v>228.6999999997</v>
      </c>
      <c r="FB7">
        <v>236.80000000059999</v>
      </c>
      <c r="FC7">
        <v>244.49999999889999</v>
      </c>
      <c r="FD7">
        <v>251.50000000029999</v>
      </c>
      <c r="FE7">
        <v>259.79999999979998</v>
      </c>
      <c r="FF7">
        <v>268</v>
      </c>
      <c r="FG7">
        <v>275.79999999939997</v>
      </c>
      <c r="FH7">
        <v>284.79999999939997</v>
      </c>
      <c r="FI7">
        <v>292.10000000060001</v>
      </c>
      <c r="FJ7">
        <v>298.60000000010001</v>
      </c>
      <c r="FK7">
        <v>305.699999999</v>
      </c>
      <c r="FL7">
        <v>313.39999999909998</v>
      </c>
      <c r="FM7">
        <v>321.20000000030001</v>
      </c>
      <c r="FN7">
        <v>328.59999999889999</v>
      </c>
      <c r="FO7">
        <v>336.29999999900002</v>
      </c>
      <c r="FP7">
        <v>342.80000000040002</v>
      </c>
      <c r="FQ7">
        <v>348.70000000049998</v>
      </c>
      <c r="FR7">
        <v>355.59999999899998</v>
      </c>
      <c r="FS7">
        <v>362.4</v>
      </c>
      <c r="FT7">
        <v>369.09999999989998</v>
      </c>
      <c r="FU7">
        <v>375.59999999939998</v>
      </c>
      <c r="FV7">
        <v>382.90000000049997</v>
      </c>
      <c r="FW7">
        <v>389.10000000029999</v>
      </c>
      <c r="FX7">
        <v>394.89999999930001</v>
      </c>
      <c r="FY7">
        <v>400.40000000039998</v>
      </c>
      <c r="FZ7">
        <v>406.1000000002</v>
      </c>
      <c r="GA7">
        <v>411.79999999990002</v>
      </c>
      <c r="GB7">
        <v>417.49999999959999</v>
      </c>
      <c r="GC7">
        <v>423.19999999930002</v>
      </c>
      <c r="GD7">
        <v>429.09999999939998</v>
      </c>
      <c r="GE7">
        <v>435.59999999889999</v>
      </c>
      <c r="GF7">
        <v>440.89999999960003</v>
      </c>
      <c r="GG7">
        <v>445.79999999950002</v>
      </c>
      <c r="GH7">
        <v>450.1</v>
      </c>
      <c r="GI7">
        <v>454.70000000020002</v>
      </c>
      <c r="GJ7">
        <v>456.79999999990002</v>
      </c>
      <c r="GK7">
        <v>457.39999999930001</v>
      </c>
      <c r="GL7">
        <v>457.39999999930001</v>
      </c>
      <c r="GM7">
        <v>457.50000000040001</v>
      </c>
      <c r="GN7">
        <v>457.3</v>
      </c>
      <c r="GO7">
        <v>457.00000000030002</v>
      </c>
      <c r="GP7">
        <v>457.00000000030002</v>
      </c>
      <c r="GQ7">
        <v>457.3</v>
      </c>
      <c r="GR7">
        <v>457.39999999930001</v>
      </c>
      <c r="GS7">
        <v>457.5999999997</v>
      </c>
      <c r="GT7">
        <v>457.699999999</v>
      </c>
      <c r="GU7">
        <v>457.50000000040001</v>
      </c>
      <c r="GV7">
        <v>457.39999999930001</v>
      </c>
      <c r="GW7">
        <v>1</v>
      </c>
      <c r="GX7">
        <v>105.599999999</v>
      </c>
      <c r="GY7">
        <v>103.6000000004</v>
      </c>
      <c r="GZ7">
        <v>103.6000000004</v>
      </c>
      <c r="HA7">
        <v>110.6999999993</v>
      </c>
      <c r="HB7">
        <v>105.2616031452</v>
      </c>
      <c r="HC7">
        <v>-7.0999999989000004</v>
      </c>
      <c r="HD7">
        <v>457.39989079330002</v>
      </c>
      <c r="HE7">
        <v>317.39133995780003</v>
      </c>
      <c r="HF7">
        <v>85.286403845199999</v>
      </c>
      <c r="HG7">
        <v>458.09999999979999</v>
      </c>
      <c r="HH7">
        <v>457.70002184020001</v>
      </c>
      <c r="HI7">
        <v>458.09999999979999</v>
      </c>
      <c r="HJ7">
        <v>457.699999999</v>
      </c>
      <c r="HK7">
        <v>114.9560117302</v>
      </c>
      <c r="HL7">
        <v>3.3436337406000001</v>
      </c>
      <c r="HM7">
        <v>3.2635643327000001</v>
      </c>
      <c r="HN7">
        <v>3.3028900794</v>
      </c>
      <c r="HO7">
        <v>3.2104164036</v>
      </c>
      <c r="HP7">
        <v>3.5334148916000001</v>
      </c>
      <c r="HQ7">
        <v>2.1867112383</v>
      </c>
      <c r="HR7">
        <v>19.9751993</v>
      </c>
      <c r="HS7">
        <v>-25.806451612899998</v>
      </c>
      <c r="HT7">
        <v>-176</v>
      </c>
      <c r="HU7">
        <v>422.65294310299998</v>
      </c>
      <c r="HV7">
        <v>98.533724340199996</v>
      </c>
      <c r="HW7">
        <v>672</v>
      </c>
      <c r="HX7">
        <v>19.9751993</v>
      </c>
      <c r="HY7">
        <v>-25.806451612899998</v>
      </c>
      <c r="HZ7">
        <v>-176</v>
      </c>
      <c r="IA7">
        <v>422.65294310299998</v>
      </c>
      <c r="IB7">
        <v>98.533724340199996</v>
      </c>
      <c r="IC7">
        <v>672</v>
      </c>
      <c r="ID7">
        <v>35.047078737200003</v>
      </c>
      <c r="IE7">
        <v>2.4571366000000002E-3</v>
      </c>
      <c r="IF7">
        <v>-35.190615835800003</v>
      </c>
      <c r="IG7">
        <v>-240</v>
      </c>
      <c r="IH7">
        <v>445.61836846080001</v>
      </c>
      <c r="II7">
        <v>107.91788856300001</v>
      </c>
      <c r="IJ7">
        <v>736</v>
      </c>
      <c r="IK7">
        <v>402.677743803</v>
      </c>
      <c r="IL7">
        <v>124.3401759531</v>
      </c>
      <c r="IM7">
        <v>427.8146991369</v>
      </c>
      <c r="IN7">
        <v>133.724340176</v>
      </c>
      <c r="IO7">
        <v>7.1000000006999997</v>
      </c>
      <c r="IP7">
        <v>6.4999999995</v>
      </c>
      <c r="IQ7">
        <v>9.5000000001</v>
      </c>
      <c r="IR7">
        <v>6.5950578385999998</v>
      </c>
      <c r="IS7">
        <v>6.5950578385999998</v>
      </c>
      <c r="IT7">
        <v>5.4</v>
      </c>
      <c r="IU7">
        <v>-28.152492668600001</v>
      </c>
      <c r="IV7">
        <v>8.7000000002999993</v>
      </c>
      <c r="IW7">
        <v>49.266862170099998</v>
      </c>
      <c r="IX7">
        <v>6.6000000005999997</v>
      </c>
      <c r="IY7">
        <v>105.57184750730001</v>
      </c>
      <c r="IZ7">
        <v>-32.189676505000001</v>
      </c>
      <c r="JA7">
        <v>0.33428701080000001</v>
      </c>
      <c r="JB7">
        <v>-3.5225760000000001E-4</v>
      </c>
      <c r="JC7">
        <v>6.9080000000000002E-7</v>
      </c>
      <c r="JD7">
        <v>0.29907581919999998</v>
      </c>
      <c r="JE7">
        <v>0.31337918799999998</v>
      </c>
      <c r="JF7">
        <v>0.1453770811</v>
      </c>
      <c r="JG7">
        <v>106.2318808294</v>
      </c>
      <c r="JH7">
        <v>3.5334148916000001</v>
      </c>
      <c r="JI7">
        <v>3.5409265E-3</v>
      </c>
      <c r="JJ7">
        <v>-7.0193500000000005E-5</v>
      </c>
      <c r="JK7">
        <v>3.3436337406000001</v>
      </c>
      <c r="JL7">
        <v>1.5805621604</v>
      </c>
      <c r="JM7">
        <v>0.61278750959999995</v>
      </c>
      <c r="JN7" t="s">
        <v>585</v>
      </c>
      <c r="JQ7">
        <v>1</v>
      </c>
    </row>
    <row r="8" spans="1:277">
      <c r="A8" t="s">
        <v>659</v>
      </c>
      <c r="B8" t="s">
        <v>660</v>
      </c>
      <c r="C8" t="s">
        <v>212</v>
      </c>
      <c r="D8">
        <v>3</v>
      </c>
      <c r="E8" t="s">
        <v>213</v>
      </c>
      <c r="F8" t="s">
        <v>214</v>
      </c>
      <c r="G8" t="s">
        <v>584</v>
      </c>
      <c r="H8" t="s">
        <v>216</v>
      </c>
      <c r="J8" t="s">
        <v>598</v>
      </c>
      <c r="K8" t="s">
        <v>599</v>
      </c>
      <c r="L8" t="s">
        <v>600</v>
      </c>
      <c r="M8" t="s">
        <v>601</v>
      </c>
      <c r="N8" t="s">
        <v>602</v>
      </c>
      <c r="O8">
        <v>0</v>
      </c>
      <c r="P8">
        <v>0</v>
      </c>
      <c r="Q8">
        <v>1.1000000013</v>
      </c>
      <c r="R8">
        <v>0.20000000039999999</v>
      </c>
      <c r="S8">
        <v>0.20000000039999999</v>
      </c>
      <c r="T8">
        <v>0.20000000039999999</v>
      </c>
      <c r="U8">
        <v>0.40000000079999998</v>
      </c>
      <c r="V8">
        <v>0.1000000011</v>
      </c>
      <c r="W8">
        <v>0.20000000039999999</v>
      </c>
      <c r="X8">
        <v>0.20000000039999999</v>
      </c>
      <c r="Y8">
        <v>0.1000000011</v>
      </c>
      <c r="Z8">
        <v>0.1000000011</v>
      </c>
      <c r="AA8">
        <v>0.20000000039999999</v>
      </c>
      <c r="AB8">
        <v>0</v>
      </c>
      <c r="AC8">
        <v>0</v>
      </c>
      <c r="AD8">
        <v>0.20000000039999999</v>
      </c>
      <c r="AE8">
        <v>0.1000000011</v>
      </c>
      <c r="AF8">
        <v>0</v>
      </c>
      <c r="AG8">
        <v>0.60000000119999997</v>
      </c>
      <c r="AH8">
        <v>1.7000000007</v>
      </c>
      <c r="AI8">
        <v>5.1000000002999997</v>
      </c>
      <c r="AJ8">
        <v>8.4999999999</v>
      </c>
      <c r="AK8">
        <v>12.6</v>
      </c>
      <c r="AL8">
        <v>19.299999999899999</v>
      </c>
      <c r="AM8">
        <v>26.6000000011</v>
      </c>
      <c r="AN8">
        <v>34.100000000800001</v>
      </c>
      <c r="AO8">
        <v>41.600000000500003</v>
      </c>
      <c r="AP8">
        <v>48.3999999997</v>
      </c>
      <c r="AQ8">
        <v>56.000000000500002</v>
      </c>
      <c r="AR8">
        <v>63.600000001300003</v>
      </c>
      <c r="AS8">
        <v>71.400000000700004</v>
      </c>
      <c r="AT8">
        <v>79.300000001200004</v>
      </c>
      <c r="AU8">
        <v>87.400000000299997</v>
      </c>
      <c r="AV8">
        <v>95.500000001299995</v>
      </c>
      <c r="AW8">
        <v>104.1999999998</v>
      </c>
      <c r="AX8">
        <v>113.1999999998</v>
      </c>
      <c r="AY8">
        <v>121.4</v>
      </c>
      <c r="AZ8">
        <v>129.7000000013</v>
      </c>
      <c r="BA8">
        <v>138.20000000120001</v>
      </c>
      <c r="BB8">
        <v>146.20000000100001</v>
      </c>
      <c r="BC8">
        <v>154.3000000001</v>
      </c>
      <c r="BD8">
        <v>162.20000000069999</v>
      </c>
      <c r="BE8">
        <v>170.20000000050001</v>
      </c>
      <c r="BF8">
        <v>178.6000000011</v>
      </c>
      <c r="BG8">
        <v>187.30000000140001</v>
      </c>
      <c r="BH8">
        <v>195.4000000005</v>
      </c>
      <c r="BI8">
        <v>202.90000000020001</v>
      </c>
      <c r="BJ8">
        <v>211.3000000008</v>
      </c>
      <c r="BK8">
        <v>218.8999999998</v>
      </c>
      <c r="BL8">
        <v>227.20000000120001</v>
      </c>
      <c r="BM8">
        <v>235.09999999990001</v>
      </c>
      <c r="BN8">
        <v>243.2000000008</v>
      </c>
      <c r="BO8">
        <v>251.0000000002</v>
      </c>
      <c r="BP8">
        <v>258.49999999990001</v>
      </c>
      <c r="BQ8">
        <v>266.30000000109999</v>
      </c>
      <c r="BR8">
        <v>273.90000000010002</v>
      </c>
      <c r="BS8">
        <v>281.1000000002</v>
      </c>
      <c r="BT8">
        <v>288.70000000099998</v>
      </c>
      <c r="BU8">
        <v>296.10000000140002</v>
      </c>
      <c r="BV8">
        <v>303.5</v>
      </c>
      <c r="BW8">
        <v>310.7</v>
      </c>
      <c r="BX8">
        <v>317.39999999989999</v>
      </c>
      <c r="BY8">
        <v>324.20000000089999</v>
      </c>
      <c r="BZ8">
        <v>331.20000000049998</v>
      </c>
      <c r="CA8">
        <v>337.99999999969998</v>
      </c>
      <c r="CB8">
        <v>345.10000000050002</v>
      </c>
      <c r="CC8">
        <v>351.50000000070003</v>
      </c>
      <c r="CD8">
        <v>357.79999999979998</v>
      </c>
      <c r="CE8">
        <v>364.2</v>
      </c>
      <c r="CF8">
        <v>370.00000000080001</v>
      </c>
      <c r="CG8">
        <v>376.20000000060003</v>
      </c>
      <c r="CH8">
        <v>382.60000000079998</v>
      </c>
      <c r="CI8">
        <v>388.7000000013</v>
      </c>
      <c r="CJ8">
        <v>395.0999999997</v>
      </c>
      <c r="CK8">
        <v>400.60000000079998</v>
      </c>
      <c r="CL8">
        <v>406.2000000013</v>
      </c>
      <c r="CM8">
        <v>411.70000000060003</v>
      </c>
      <c r="CN8">
        <v>417.60000000069999</v>
      </c>
      <c r="CO8">
        <v>423.00000000070003</v>
      </c>
      <c r="CP8">
        <v>428.20000000030001</v>
      </c>
      <c r="CQ8">
        <v>433.9</v>
      </c>
      <c r="CR8">
        <v>439.20000000070002</v>
      </c>
      <c r="CS8">
        <v>444.60000000069999</v>
      </c>
      <c r="CT8">
        <v>449.70000000099998</v>
      </c>
      <c r="CU8">
        <v>455.4000000007</v>
      </c>
      <c r="CV8">
        <v>457.50000000040001</v>
      </c>
      <c r="CW8">
        <v>457.50000000040001</v>
      </c>
      <c r="CX8">
        <v>457.40000000110001</v>
      </c>
      <c r="CY8">
        <v>457.20000000070002</v>
      </c>
      <c r="CZ8">
        <v>457.20000000070002</v>
      </c>
      <c r="DA8">
        <v>457.3</v>
      </c>
      <c r="DB8">
        <v>457.50000000040001</v>
      </c>
      <c r="DC8">
        <v>457.50000000040001</v>
      </c>
      <c r="DD8">
        <v>457.50000000040001</v>
      </c>
      <c r="DE8">
        <v>457.5999999997</v>
      </c>
      <c r="DF8">
        <v>457.40000000110001</v>
      </c>
      <c r="DG8">
        <v>1.8</v>
      </c>
      <c r="DH8">
        <v>1.2000000006</v>
      </c>
      <c r="DI8">
        <v>1.1000000013</v>
      </c>
      <c r="DJ8">
        <v>2.2000000007999998</v>
      </c>
      <c r="DK8">
        <v>2.0999999997000001</v>
      </c>
      <c r="DL8">
        <v>2.0000000004</v>
      </c>
      <c r="DM8">
        <v>2.0999999997000001</v>
      </c>
      <c r="DN8">
        <v>2.0999999997000001</v>
      </c>
      <c r="DO8">
        <v>2.0999999997000001</v>
      </c>
      <c r="DP8">
        <v>2.0000000004</v>
      </c>
      <c r="DQ8">
        <v>2.0999999997000001</v>
      </c>
      <c r="DR8">
        <v>1.9000000011</v>
      </c>
      <c r="DS8">
        <v>2.0000000004</v>
      </c>
      <c r="DT8">
        <v>1.8</v>
      </c>
      <c r="DU8">
        <v>1.9000000011</v>
      </c>
      <c r="DV8">
        <v>1.8</v>
      </c>
      <c r="DW8">
        <v>1.9000000011</v>
      </c>
      <c r="DX8">
        <v>3.5000000007000001</v>
      </c>
      <c r="DY8">
        <v>7.1000000006999997</v>
      </c>
      <c r="DZ8">
        <v>11.0999999997</v>
      </c>
      <c r="EA8">
        <v>17.400000000599999</v>
      </c>
      <c r="EB8">
        <v>24.800000001099999</v>
      </c>
      <c r="EC8">
        <v>32.4000000001</v>
      </c>
      <c r="ED8">
        <v>39.600000000100003</v>
      </c>
      <c r="EE8">
        <v>46.900000001199999</v>
      </c>
      <c r="EF8">
        <v>54.299999999800001</v>
      </c>
      <c r="EG8">
        <v>61.700000000199999</v>
      </c>
      <c r="EH8">
        <v>69.499999999600007</v>
      </c>
      <c r="EI8">
        <v>77.500000001199993</v>
      </c>
      <c r="EJ8">
        <v>85.699999999599996</v>
      </c>
      <c r="EK8">
        <v>93.500000000900002</v>
      </c>
      <c r="EL8">
        <v>101.3000000003</v>
      </c>
      <c r="EM8">
        <v>110.3000000003</v>
      </c>
      <c r="EN8">
        <v>119.4000000014</v>
      </c>
      <c r="EO8">
        <v>127.7000000009</v>
      </c>
      <c r="EP8">
        <v>136.4000000012</v>
      </c>
      <c r="EQ8">
        <v>144.2999999999</v>
      </c>
      <c r="ER8">
        <v>152.29999999969999</v>
      </c>
      <c r="ES8">
        <v>160.6000000011</v>
      </c>
      <c r="ET8">
        <v>168.80000000129999</v>
      </c>
      <c r="EU8">
        <v>176.99999999970001</v>
      </c>
      <c r="EV8">
        <v>185.4000000003</v>
      </c>
      <c r="EW8">
        <v>193.80000000090001</v>
      </c>
      <c r="EX8">
        <v>201.69999999960001</v>
      </c>
      <c r="EY8">
        <v>210.1000000002</v>
      </c>
      <c r="EZ8">
        <v>217.8999999996</v>
      </c>
      <c r="FA8">
        <v>226.09999999990001</v>
      </c>
      <c r="FB8">
        <v>234.2000000008</v>
      </c>
      <c r="FC8">
        <v>242.50000000029999</v>
      </c>
      <c r="FD8">
        <v>250.29999999969999</v>
      </c>
      <c r="FE8">
        <v>257.99999999980002</v>
      </c>
      <c r="FF8">
        <v>265.60000000060001</v>
      </c>
      <c r="FG8">
        <v>273.00000000099999</v>
      </c>
      <c r="FH8">
        <v>280.89999999970001</v>
      </c>
      <c r="FI8">
        <v>288.70000000099998</v>
      </c>
      <c r="FJ8">
        <v>296.20000000070002</v>
      </c>
      <c r="FK8">
        <v>303.20000000030001</v>
      </c>
      <c r="FL8">
        <v>310.4000000003</v>
      </c>
      <c r="FM8">
        <v>317.39999999989999</v>
      </c>
      <c r="FN8">
        <v>324.70000000099998</v>
      </c>
      <c r="FO8">
        <v>331.40000000089998</v>
      </c>
      <c r="FP8">
        <v>338.30000000130002</v>
      </c>
      <c r="FQ8">
        <v>345.19999999970003</v>
      </c>
      <c r="FR8">
        <v>351.89999999970001</v>
      </c>
      <c r="FS8">
        <v>358.10000000129997</v>
      </c>
      <c r="FT8">
        <v>364.70000000009998</v>
      </c>
      <c r="FU8">
        <v>370.80000000059999</v>
      </c>
      <c r="FV8">
        <v>376.90000000110001</v>
      </c>
      <c r="FW8">
        <v>382.70000000009998</v>
      </c>
      <c r="FX8">
        <v>389.10000000029999</v>
      </c>
      <c r="FY8">
        <v>395.2000000008</v>
      </c>
      <c r="FZ8">
        <v>401.10000000100001</v>
      </c>
      <c r="GA8">
        <v>407.00000000109998</v>
      </c>
      <c r="GB8">
        <v>412.3</v>
      </c>
      <c r="GC8">
        <v>417.90000000039998</v>
      </c>
      <c r="GD8">
        <v>423.30000000040002</v>
      </c>
      <c r="GE8">
        <v>428.30000000140001</v>
      </c>
      <c r="GF8">
        <v>433.39999999989999</v>
      </c>
      <c r="GG8">
        <v>439.10000000140002</v>
      </c>
      <c r="GH8">
        <v>444.49999999959999</v>
      </c>
      <c r="GI8">
        <v>449.50000000059998</v>
      </c>
      <c r="GJ8">
        <v>454.10000000079998</v>
      </c>
      <c r="GK8">
        <v>457.09999999960002</v>
      </c>
      <c r="GL8">
        <v>457.00000000030002</v>
      </c>
      <c r="GM8">
        <v>457.3</v>
      </c>
      <c r="GN8">
        <v>457.3</v>
      </c>
      <c r="GO8">
        <v>457.40000000110001</v>
      </c>
      <c r="GP8">
        <v>457.3</v>
      </c>
      <c r="GQ8">
        <v>457.20000000070002</v>
      </c>
      <c r="GR8">
        <v>457.20000000070002</v>
      </c>
      <c r="GS8">
        <v>457.3</v>
      </c>
      <c r="GT8">
        <v>457.50000000040001</v>
      </c>
      <c r="GU8">
        <v>457.5999999997</v>
      </c>
      <c r="GV8">
        <v>457.50000000040001</v>
      </c>
      <c r="GW8">
        <v>1</v>
      </c>
      <c r="GX8">
        <v>105.60000000079999</v>
      </c>
      <c r="GY8">
        <v>104.1999999998</v>
      </c>
      <c r="GZ8">
        <v>104.1999999998</v>
      </c>
      <c r="HA8">
        <v>110.3000000003</v>
      </c>
      <c r="HB8">
        <v>105.6296874999</v>
      </c>
      <c r="HC8">
        <v>-6.1000000004999997</v>
      </c>
      <c r="HD8">
        <v>457.4999672207</v>
      </c>
      <c r="HE8">
        <v>322.30026223919998</v>
      </c>
      <c r="HF8">
        <v>86.064663461400002</v>
      </c>
      <c r="HG8">
        <v>457.5999999997</v>
      </c>
      <c r="HH8">
        <v>457.5999999997</v>
      </c>
      <c r="HI8">
        <v>457.5999999997</v>
      </c>
      <c r="HJ8">
        <v>457.5999999997</v>
      </c>
      <c r="HK8">
        <v>117.3020527859</v>
      </c>
      <c r="HL8">
        <v>3.2603298866000001</v>
      </c>
      <c r="HM8">
        <v>3.2000577844999998</v>
      </c>
      <c r="HN8">
        <v>3.2354589286</v>
      </c>
      <c r="HO8">
        <v>3.3013921436999998</v>
      </c>
      <c r="HP8">
        <v>3.5200510950999999</v>
      </c>
      <c r="HQ8">
        <v>2.0647726568999998</v>
      </c>
      <c r="HR8">
        <v>19.565024038499999</v>
      </c>
      <c r="HS8">
        <v>-25.806451612899998</v>
      </c>
      <c r="HT8">
        <v>-176</v>
      </c>
      <c r="HU8">
        <v>427.92994973909998</v>
      </c>
      <c r="HV8">
        <v>103.22580645159999</v>
      </c>
      <c r="HW8">
        <v>704</v>
      </c>
      <c r="HX8">
        <v>19.565024038499999</v>
      </c>
      <c r="HY8">
        <v>-25.806451612899998</v>
      </c>
      <c r="HZ8">
        <v>-176</v>
      </c>
      <c r="IA8">
        <v>427.92994973909998</v>
      </c>
      <c r="IB8">
        <v>103.22580645159999</v>
      </c>
      <c r="IC8">
        <v>704</v>
      </c>
      <c r="ID8">
        <v>29.6700502606</v>
      </c>
      <c r="IE8">
        <v>1.7102272733999999</v>
      </c>
      <c r="IF8">
        <v>-35.190615835800003</v>
      </c>
      <c r="IG8">
        <v>-240</v>
      </c>
      <c r="IH8">
        <v>449.38703015800002</v>
      </c>
      <c r="II8">
        <v>112.6099706745</v>
      </c>
      <c r="IJ8">
        <v>768</v>
      </c>
      <c r="IK8">
        <v>408.36492570069998</v>
      </c>
      <c r="IL8">
        <v>129.03225806450001</v>
      </c>
      <c r="IM8">
        <v>430.30454545600003</v>
      </c>
      <c r="IN8">
        <v>138.4164222874</v>
      </c>
      <c r="IO8">
        <v>7.4000000004000004</v>
      </c>
      <c r="IP8">
        <v>5.7000000015000003</v>
      </c>
      <c r="IQ8">
        <v>9.1000000010999997</v>
      </c>
      <c r="IR8">
        <v>7.7656118116000004</v>
      </c>
      <c r="IS8">
        <v>7.7656118116000004</v>
      </c>
      <c r="IT8">
        <v>4.8000000005999999</v>
      </c>
      <c r="IU8">
        <v>-28.152492668600001</v>
      </c>
      <c r="IV8">
        <v>7.6000000007999997</v>
      </c>
      <c r="IW8">
        <v>51.612903225799997</v>
      </c>
      <c r="IX8">
        <v>5.2999999988999997</v>
      </c>
      <c r="IY8">
        <v>110.26392961880001</v>
      </c>
      <c r="IZ8">
        <v>-32.016663445799999</v>
      </c>
      <c r="JA8">
        <v>0.32968153620000001</v>
      </c>
      <c r="JB8">
        <v>-3.2578499999999999E-4</v>
      </c>
      <c r="JC8">
        <v>6.8370000000000001E-7</v>
      </c>
      <c r="JD8">
        <v>0.30671742880000002</v>
      </c>
      <c r="JE8">
        <v>0.2684580869</v>
      </c>
      <c r="JF8">
        <v>0.12331722940000001</v>
      </c>
      <c r="JG8">
        <v>106.4847786016</v>
      </c>
      <c r="JH8">
        <v>3.5200510950999999</v>
      </c>
      <c r="JI8">
        <v>1.9794128000000001E-3</v>
      </c>
      <c r="JJ8">
        <v>-5.8308499999999999E-5</v>
      </c>
      <c r="JK8">
        <v>3.2603298866000001</v>
      </c>
      <c r="JL8">
        <v>1.5999246989</v>
      </c>
      <c r="JM8">
        <v>0.69223969409999997</v>
      </c>
      <c r="JN8" t="s">
        <v>585</v>
      </c>
      <c r="JQ8">
        <v>1</v>
      </c>
    </row>
    <row r="9" spans="1:277">
      <c r="A9" t="s">
        <v>661</v>
      </c>
      <c r="B9" t="s">
        <v>662</v>
      </c>
      <c r="C9" t="s">
        <v>212</v>
      </c>
      <c r="D9">
        <v>3</v>
      </c>
      <c r="E9" t="s">
        <v>213</v>
      </c>
      <c r="F9" t="s">
        <v>214</v>
      </c>
      <c r="G9" t="s">
        <v>584</v>
      </c>
      <c r="H9" t="s">
        <v>216</v>
      </c>
      <c r="J9" t="s">
        <v>605</v>
      </c>
      <c r="K9" t="s">
        <v>606</v>
      </c>
      <c r="L9" t="s">
        <v>607</v>
      </c>
      <c r="M9" t="s">
        <v>608</v>
      </c>
      <c r="N9" t="s">
        <v>609</v>
      </c>
      <c r="O9">
        <v>0</v>
      </c>
      <c r="P9">
        <v>0</v>
      </c>
      <c r="Q9">
        <v>5.4999999992999999</v>
      </c>
      <c r="R9">
        <v>2.5999999998000001</v>
      </c>
      <c r="S9">
        <v>2.0999999997000001</v>
      </c>
      <c r="T9">
        <v>2.0000000004</v>
      </c>
      <c r="U9">
        <v>2.2000000007999998</v>
      </c>
      <c r="V9">
        <v>2.0999999997000001</v>
      </c>
      <c r="W9">
        <v>2.0000000004</v>
      </c>
      <c r="X9">
        <v>1.5999999996000001</v>
      </c>
      <c r="Y9">
        <v>1.400000001</v>
      </c>
      <c r="Z9">
        <v>1.0999999995</v>
      </c>
      <c r="AA9">
        <v>1.0999999995</v>
      </c>
      <c r="AB9">
        <v>0.90000000089999999</v>
      </c>
      <c r="AC9">
        <v>0.90000000089999999</v>
      </c>
      <c r="AD9">
        <v>0.50000000010000001</v>
      </c>
      <c r="AE9">
        <v>0.29999999970000002</v>
      </c>
      <c r="AF9">
        <v>9.9999999300000003E-2</v>
      </c>
      <c r="AG9">
        <v>0</v>
      </c>
      <c r="AH9">
        <v>1.2999999999</v>
      </c>
      <c r="AI9">
        <v>4.6000000001999997</v>
      </c>
      <c r="AJ9">
        <v>8.7000000002999993</v>
      </c>
      <c r="AK9">
        <v>14.699999999699999</v>
      </c>
      <c r="AL9">
        <v>21.500000000699998</v>
      </c>
      <c r="AM9">
        <v>28.700000000799999</v>
      </c>
      <c r="AN9">
        <v>36.299999999800001</v>
      </c>
      <c r="AO9">
        <v>43.799999999500002</v>
      </c>
      <c r="AP9">
        <v>50.199999999699997</v>
      </c>
      <c r="AQ9">
        <v>57.800000000499999</v>
      </c>
      <c r="AR9">
        <v>65.300000000200001</v>
      </c>
      <c r="AS9">
        <v>73.000000000300005</v>
      </c>
      <c r="AT9">
        <v>81.000000000100002</v>
      </c>
      <c r="AU9">
        <v>89.299999999600004</v>
      </c>
      <c r="AV9">
        <v>96.999999999799996</v>
      </c>
      <c r="AW9">
        <v>104.9000000003</v>
      </c>
      <c r="AX9">
        <v>113.3000000009</v>
      </c>
      <c r="AY9">
        <v>121.4999999993</v>
      </c>
      <c r="AZ9">
        <v>130.00000000099999</v>
      </c>
      <c r="BA9">
        <v>138.19999999940001</v>
      </c>
      <c r="BB9">
        <v>146.5000000007</v>
      </c>
      <c r="BC9">
        <v>154.3000000001</v>
      </c>
      <c r="BD9">
        <v>162.30000000000001</v>
      </c>
      <c r="BE9">
        <v>170.29999999980001</v>
      </c>
      <c r="BF9">
        <v>178.7000000004</v>
      </c>
      <c r="BG9">
        <v>186.79999999949999</v>
      </c>
      <c r="BH9">
        <v>195.2000000001</v>
      </c>
      <c r="BI9">
        <v>202.80000000090001</v>
      </c>
      <c r="BJ9">
        <v>210.30000000059999</v>
      </c>
      <c r="BK9">
        <v>218.39999999969999</v>
      </c>
      <c r="BL9">
        <v>226.3999999996</v>
      </c>
      <c r="BM9">
        <v>234.3000000001</v>
      </c>
      <c r="BN9">
        <v>242.400000001</v>
      </c>
      <c r="BO9">
        <v>250.0999999993</v>
      </c>
      <c r="BP9">
        <v>257.70000000009998</v>
      </c>
      <c r="BQ9">
        <v>264.69999999970003</v>
      </c>
      <c r="BR9">
        <v>272.19999999940001</v>
      </c>
      <c r="BS9">
        <v>279.70000000099998</v>
      </c>
      <c r="BT9">
        <v>287.3</v>
      </c>
      <c r="BU9">
        <v>294.5999999993</v>
      </c>
      <c r="BV9">
        <v>301.60000000069999</v>
      </c>
      <c r="BW9">
        <v>308.60000000029999</v>
      </c>
      <c r="BX9">
        <v>315.30000000019999</v>
      </c>
      <c r="BY9">
        <v>322.00000000009999</v>
      </c>
      <c r="BZ9">
        <v>328.49999999959999</v>
      </c>
      <c r="CA9">
        <v>335.80000000069998</v>
      </c>
      <c r="CB9">
        <v>342.09999999979999</v>
      </c>
      <c r="CC9">
        <v>348.79999999979998</v>
      </c>
      <c r="CD9">
        <v>355.10000000069999</v>
      </c>
      <c r="CE9">
        <v>361.30000000050001</v>
      </c>
      <c r="CF9">
        <v>367.09999999950003</v>
      </c>
      <c r="CG9">
        <v>372.9000000003</v>
      </c>
      <c r="CH9">
        <v>379.10000000010001</v>
      </c>
      <c r="CI9">
        <v>385.29999999990002</v>
      </c>
      <c r="CJ9">
        <v>391.49999999969998</v>
      </c>
      <c r="CK9">
        <v>397.19999999940001</v>
      </c>
      <c r="CL9">
        <v>402.70000000060003</v>
      </c>
      <c r="CM9">
        <v>408.49999999950001</v>
      </c>
      <c r="CN9">
        <v>413.59999999989998</v>
      </c>
      <c r="CO9">
        <v>418.49999999980002</v>
      </c>
      <c r="CP9">
        <v>423.60000000010001</v>
      </c>
      <c r="CQ9">
        <v>429.20000000049998</v>
      </c>
      <c r="CR9">
        <v>434.40000000010002</v>
      </c>
      <c r="CS9">
        <v>439.8000000001</v>
      </c>
      <c r="CT9">
        <v>444.90000000039998</v>
      </c>
      <c r="CU9">
        <v>450.30000000040002</v>
      </c>
      <c r="CV9">
        <v>453.49999999959999</v>
      </c>
      <c r="CW9">
        <v>453.60000000069999</v>
      </c>
      <c r="CX9">
        <v>453.7</v>
      </c>
      <c r="CY9">
        <v>453.60000000069999</v>
      </c>
      <c r="CZ9">
        <v>453.60000000069999</v>
      </c>
      <c r="DA9">
        <v>453.60000000069999</v>
      </c>
      <c r="DB9">
        <v>453.7</v>
      </c>
      <c r="DC9">
        <v>453.7</v>
      </c>
      <c r="DD9">
        <v>453.7</v>
      </c>
      <c r="DE9">
        <v>453.60000000069999</v>
      </c>
      <c r="DF9">
        <v>453.49999999959999</v>
      </c>
      <c r="DG9">
        <v>5.9999999994</v>
      </c>
      <c r="DH9">
        <v>3.0999999999000001</v>
      </c>
      <c r="DI9">
        <v>3.2000000009999998</v>
      </c>
      <c r="DJ9">
        <v>3.0000000006</v>
      </c>
      <c r="DK9">
        <v>2.7000000008999998</v>
      </c>
      <c r="DL9">
        <v>2.3999999993999999</v>
      </c>
      <c r="DM9">
        <v>2.2000000007999998</v>
      </c>
      <c r="DN9">
        <v>2.2000000007999998</v>
      </c>
      <c r="DO9">
        <v>2.2000000007999998</v>
      </c>
      <c r="DP9">
        <v>2.2000000007999998</v>
      </c>
      <c r="DQ9">
        <v>2.0000000004</v>
      </c>
      <c r="DR9">
        <v>1.400000001</v>
      </c>
      <c r="DS9">
        <v>1.2999999999</v>
      </c>
      <c r="DT9">
        <v>1.0999999995</v>
      </c>
      <c r="DU9">
        <v>1.0999999995</v>
      </c>
      <c r="DV9">
        <v>1.0999999995</v>
      </c>
      <c r="DW9">
        <v>0.79999999980000003</v>
      </c>
      <c r="DX9">
        <v>3.5000000007000001</v>
      </c>
      <c r="DY9">
        <v>7.7999999993999998</v>
      </c>
      <c r="DZ9">
        <v>13.5000000009</v>
      </c>
      <c r="EA9">
        <v>20.500000000499998</v>
      </c>
      <c r="EB9">
        <v>27.900000000999999</v>
      </c>
      <c r="EC9">
        <v>35.299999999599997</v>
      </c>
      <c r="ED9">
        <v>42.6000000007</v>
      </c>
      <c r="EE9">
        <v>49.399999999899997</v>
      </c>
      <c r="EF9">
        <v>56.700000000999999</v>
      </c>
      <c r="EG9">
        <v>64.000000000300005</v>
      </c>
      <c r="EH9">
        <v>72.000000000100002</v>
      </c>
      <c r="EI9">
        <v>80.200000000299994</v>
      </c>
      <c r="EJ9">
        <v>88.100000000799994</v>
      </c>
      <c r="EK9">
        <v>95.999999999500005</v>
      </c>
      <c r="EL9">
        <v>103.4</v>
      </c>
      <c r="EM9">
        <v>111.8999999999</v>
      </c>
      <c r="EN9">
        <v>120.30000000050001</v>
      </c>
      <c r="EO9">
        <v>128.69999999929999</v>
      </c>
      <c r="EP9">
        <v>137.3999999996</v>
      </c>
      <c r="EQ9">
        <v>145.39999999939999</v>
      </c>
      <c r="ER9">
        <v>153.50000000029999</v>
      </c>
      <c r="ES9">
        <v>161.20000000050001</v>
      </c>
      <c r="ET9">
        <v>169.5999999993</v>
      </c>
      <c r="EU9">
        <v>177.79999999949999</v>
      </c>
      <c r="EV9">
        <v>185.99999999970001</v>
      </c>
      <c r="EW9">
        <v>194.4000000003</v>
      </c>
      <c r="EX9">
        <v>202.80000000090001</v>
      </c>
      <c r="EY9">
        <v>210.1000000002</v>
      </c>
      <c r="EZ9">
        <v>217.8999999996</v>
      </c>
      <c r="FA9">
        <v>225.89999999950001</v>
      </c>
      <c r="FB9">
        <v>234.3000000001</v>
      </c>
      <c r="FC9">
        <v>242.2999999999</v>
      </c>
      <c r="FD9">
        <v>250.40000000079999</v>
      </c>
      <c r="FE9">
        <v>257.70000000009998</v>
      </c>
      <c r="FF9">
        <v>265.10000000050002</v>
      </c>
      <c r="FG9">
        <v>272.5000000009</v>
      </c>
      <c r="FH9">
        <v>280.30000000040002</v>
      </c>
      <c r="FI9">
        <v>287.8000000001</v>
      </c>
      <c r="FJ9">
        <v>295.40000000089998</v>
      </c>
      <c r="FK9">
        <v>302.29999999939997</v>
      </c>
      <c r="FL9">
        <v>309.40000000010002</v>
      </c>
      <c r="FM9">
        <v>316.10000000000002</v>
      </c>
      <c r="FN9">
        <v>322.89999999920002</v>
      </c>
      <c r="FO9">
        <v>329.70000000020002</v>
      </c>
      <c r="FP9">
        <v>336.69999999980001</v>
      </c>
      <c r="FQ9">
        <v>343.39999999970001</v>
      </c>
      <c r="FR9">
        <v>350.3000000001</v>
      </c>
      <c r="FS9">
        <v>356.49999999990001</v>
      </c>
      <c r="FT9">
        <v>362.60000000039997</v>
      </c>
      <c r="FU9">
        <v>368.59999999979999</v>
      </c>
      <c r="FV9">
        <v>374.70000000030001</v>
      </c>
      <c r="FW9">
        <v>380.80000000080003</v>
      </c>
      <c r="FX9">
        <v>387.00000000059998</v>
      </c>
      <c r="FY9">
        <v>392.70000000030001</v>
      </c>
      <c r="FZ9">
        <v>398.30000000069998</v>
      </c>
      <c r="GA9">
        <v>403.89999999930001</v>
      </c>
      <c r="GB9">
        <v>409.29999999929998</v>
      </c>
      <c r="GC9">
        <v>414.80000000050001</v>
      </c>
      <c r="GD9">
        <v>420.00000000009999</v>
      </c>
      <c r="GE9">
        <v>424.9</v>
      </c>
      <c r="GF9">
        <v>430.00000000030002</v>
      </c>
      <c r="GG9">
        <v>435.4000000003</v>
      </c>
      <c r="GH9">
        <v>440.50000000059998</v>
      </c>
      <c r="GI9">
        <v>445.10000000079998</v>
      </c>
      <c r="GJ9">
        <v>450.1</v>
      </c>
      <c r="GK9">
        <v>453.60000000069999</v>
      </c>
      <c r="GL9">
        <v>453.4000000003</v>
      </c>
      <c r="GM9">
        <v>453.4000000003</v>
      </c>
      <c r="GN9">
        <v>453.60000000069999</v>
      </c>
      <c r="GO9">
        <v>453.49999999959999</v>
      </c>
      <c r="GP9">
        <v>453.4000000003</v>
      </c>
      <c r="GQ9">
        <v>453.60000000069999</v>
      </c>
      <c r="GR9">
        <v>453.60000000069999</v>
      </c>
      <c r="GS9">
        <v>453.60000000069999</v>
      </c>
      <c r="GT9">
        <v>453.60000000069999</v>
      </c>
      <c r="GU9">
        <v>453.49999999959999</v>
      </c>
      <c r="GV9">
        <v>453.60000000069999</v>
      </c>
      <c r="GW9">
        <v>1</v>
      </c>
      <c r="GX9">
        <v>102.69999999949999</v>
      </c>
      <c r="GY9">
        <v>104.9000000003</v>
      </c>
      <c r="GZ9">
        <v>104.9000000003</v>
      </c>
      <c r="HA9">
        <v>111.8999999999</v>
      </c>
      <c r="HB9">
        <v>106.5726551308</v>
      </c>
      <c r="HC9">
        <v>-6.9999999996</v>
      </c>
      <c r="HD9">
        <v>453.59997795729998</v>
      </c>
      <c r="HE9">
        <v>290.84671001919997</v>
      </c>
      <c r="HF9">
        <v>84.724192658999996</v>
      </c>
      <c r="HG9">
        <v>453.7</v>
      </c>
      <c r="HH9">
        <v>453.60000000069999</v>
      </c>
      <c r="HI9">
        <v>453.7</v>
      </c>
      <c r="HJ9">
        <v>453.60000000069999</v>
      </c>
      <c r="HK9">
        <v>117.3020527859</v>
      </c>
      <c r="HL9">
        <v>3.2896561037000001</v>
      </c>
      <c r="HM9">
        <v>3.1507992206000002</v>
      </c>
      <c r="HN9">
        <v>3.2476661829000002</v>
      </c>
      <c r="HO9">
        <v>3.1825549865</v>
      </c>
      <c r="HP9">
        <v>3.4697521251999999</v>
      </c>
      <c r="HQ9">
        <v>2.2711087861000001</v>
      </c>
      <c r="HR9">
        <v>21.848462471800001</v>
      </c>
      <c r="HS9">
        <v>-25.806451612899998</v>
      </c>
      <c r="HT9">
        <v>-176</v>
      </c>
      <c r="HU9">
        <v>397.41936514999998</v>
      </c>
      <c r="HV9">
        <v>91.495601172999997</v>
      </c>
      <c r="HW9">
        <v>624</v>
      </c>
      <c r="HX9">
        <v>21.848462471800001</v>
      </c>
      <c r="HY9">
        <v>-25.806451612899998</v>
      </c>
      <c r="HZ9">
        <v>-176</v>
      </c>
      <c r="IA9">
        <v>397.41936514999998</v>
      </c>
      <c r="IB9">
        <v>91.495601172999997</v>
      </c>
      <c r="IC9">
        <v>624</v>
      </c>
      <c r="ID9">
        <v>56.180634850799997</v>
      </c>
      <c r="IE9">
        <v>1.3116389286000001</v>
      </c>
      <c r="IF9">
        <v>-35.190615835800003</v>
      </c>
      <c r="IG9">
        <v>-240</v>
      </c>
      <c r="IH9">
        <v>419.48012785190002</v>
      </c>
      <c r="II9">
        <v>100.87976539589999</v>
      </c>
      <c r="IJ9">
        <v>688</v>
      </c>
      <c r="IK9">
        <v>375.57090267810003</v>
      </c>
      <c r="IL9">
        <v>117.3020527859</v>
      </c>
      <c r="IM9">
        <v>399.78930893770001</v>
      </c>
      <c r="IN9">
        <v>126.6862170088</v>
      </c>
      <c r="IO9">
        <v>6.9999999996</v>
      </c>
      <c r="IP9">
        <v>5.5000000011000001</v>
      </c>
      <c r="IQ9">
        <v>8.7000000002999993</v>
      </c>
      <c r="IR9">
        <v>6.2082063005999997</v>
      </c>
      <c r="IS9">
        <v>6.2082063005999997</v>
      </c>
      <c r="IT9">
        <v>5.8000000007999999</v>
      </c>
      <c r="IU9">
        <v>-28.152492668600001</v>
      </c>
      <c r="IV9">
        <v>8.2000000001999993</v>
      </c>
      <c r="IW9">
        <v>68.035190615800005</v>
      </c>
      <c r="IX9">
        <v>6.1999999998000002</v>
      </c>
      <c r="IY9">
        <v>107.91788856300001</v>
      </c>
      <c r="IZ9">
        <v>-32.920758308499998</v>
      </c>
      <c r="JA9">
        <v>0.33633279739999999</v>
      </c>
      <c r="JB9">
        <v>-3.4169909999999998E-4</v>
      </c>
      <c r="JC9">
        <v>7.1190000000000002E-7</v>
      </c>
      <c r="JD9">
        <v>0.30398314250000003</v>
      </c>
      <c r="JE9">
        <v>0.1820410264</v>
      </c>
      <c r="JF9">
        <v>9.6981963700000007E-2</v>
      </c>
      <c r="JG9">
        <v>107.3663910953</v>
      </c>
      <c r="JH9">
        <v>3.4697521251999999</v>
      </c>
      <c r="JI9">
        <v>2.8992054999999999E-3</v>
      </c>
      <c r="JJ9">
        <v>-6.8851999999999997E-5</v>
      </c>
      <c r="JK9">
        <v>3.2896561037000001</v>
      </c>
      <c r="JL9">
        <v>1.0526019432</v>
      </c>
      <c r="JM9">
        <v>0.52882760439999998</v>
      </c>
      <c r="JN9" t="s">
        <v>585</v>
      </c>
      <c r="JQ9">
        <v>1</v>
      </c>
    </row>
    <row r="10" spans="1:277">
      <c r="A10" t="s">
        <v>663</v>
      </c>
      <c r="B10" t="s">
        <v>664</v>
      </c>
      <c r="C10" t="s">
        <v>212</v>
      </c>
      <c r="D10">
        <v>3</v>
      </c>
      <c r="E10" t="s">
        <v>213</v>
      </c>
      <c r="F10" t="s">
        <v>214</v>
      </c>
      <c r="G10" t="s">
        <v>584</v>
      </c>
      <c r="H10" t="s">
        <v>216</v>
      </c>
      <c r="J10" t="s">
        <v>612</v>
      </c>
      <c r="K10" t="s">
        <v>613</v>
      </c>
      <c r="L10" t="s">
        <v>614</v>
      </c>
      <c r="M10" t="s">
        <v>615</v>
      </c>
      <c r="N10" t="s">
        <v>616</v>
      </c>
      <c r="O10">
        <v>0</v>
      </c>
      <c r="P10">
        <v>0</v>
      </c>
      <c r="Q10">
        <v>0.29999999970000002</v>
      </c>
      <c r="R10">
        <v>1.0999999995</v>
      </c>
      <c r="S10">
        <v>1.0999999995</v>
      </c>
      <c r="T10">
        <v>0.90000000089999999</v>
      </c>
      <c r="U10">
        <v>0.60000000119999997</v>
      </c>
      <c r="V10">
        <v>0.50000000010000001</v>
      </c>
      <c r="W10">
        <v>0.7000000005</v>
      </c>
      <c r="X10">
        <v>0.40000000079999998</v>
      </c>
      <c r="Y10">
        <v>0.79999999980000003</v>
      </c>
      <c r="Z10">
        <v>0.60000000119999997</v>
      </c>
      <c r="AA10">
        <v>0.7000000005</v>
      </c>
      <c r="AB10">
        <v>0.40000000079999998</v>
      </c>
      <c r="AC10">
        <v>0.1000000011</v>
      </c>
      <c r="AD10">
        <v>0</v>
      </c>
      <c r="AE10">
        <v>0.29999999970000002</v>
      </c>
      <c r="AF10">
        <v>0.20000000039999999</v>
      </c>
      <c r="AG10">
        <v>1.2000000006</v>
      </c>
      <c r="AH10">
        <v>4.8999999999000003</v>
      </c>
      <c r="AI10">
        <v>8.7000000002999993</v>
      </c>
      <c r="AJ10">
        <v>12.5000000007</v>
      </c>
      <c r="AK10">
        <v>18.500000000099998</v>
      </c>
      <c r="AL10">
        <v>25.600000000800001</v>
      </c>
      <c r="AM10">
        <v>33.499999999499998</v>
      </c>
      <c r="AN10">
        <v>40.500000000999997</v>
      </c>
      <c r="AO10">
        <v>48.300000000399997</v>
      </c>
      <c r="AP10">
        <v>55.800000000099999</v>
      </c>
      <c r="AQ10">
        <v>62.400000000699997</v>
      </c>
      <c r="AR10">
        <v>70.100000000799994</v>
      </c>
      <c r="AS10">
        <v>77.999999999500005</v>
      </c>
      <c r="AT10">
        <v>86.499999999400004</v>
      </c>
      <c r="AU10">
        <v>94.199999999499994</v>
      </c>
      <c r="AV10">
        <v>102.80000000059999</v>
      </c>
      <c r="AW10">
        <v>110.8999999997</v>
      </c>
      <c r="AX10">
        <v>118.8999999995</v>
      </c>
      <c r="AY10">
        <v>127.3000000001</v>
      </c>
      <c r="AZ10">
        <v>136.50000000049999</v>
      </c>
      <c r="BA10">
        <v>144.0999999995</v>
      </c>
      <c r="BB10">
        <v>152.59999999940001</v>
      </c>
      <c r="BC10">
        <v>161.00000000009999</v>
      </c>
      <c r="BD10">
        <v>168.3000000012</v>
      </c>
      <c r="BE10">
        <v>176.7</v>
      </c>
      <c r="BF10">
        <v>185.4000000003</v>
      </c>
      <c r="BG10">
        <v>193.3000000008</v>
      </c>
      <c r="BH10">
        <v>202.00000000110001</v>
      </c>
      <c r="BI10">
        <v>210.30000000059999</v>
      </c>
      <c r="BJ10">
        <v>217.70000000109999</v>
      </c>
      <c r="BK10">
        <v>225.70000000089999</v>
      </c>
      <c r="BL10">
        <v>233.59999999959999</v>
      </c>
      <c r="BM10">
        <v>242.0999999995</v>
      </c>
      <c r="BN10">
        <v>249.70000000030001</v>
      </c>
      <c r="BO10">
        <v>257.99999999980002</v>
      </c>
      <c r="BP10">
        <v>265.6999999999</v>
      </c>
      <c r="BQ10">
        <v>272.69999999949999</v>
      </c>
      <c r="BR10">
        <v>280.50000000080001</v>
      </c>
      <c r="BS10">
        <v>287.8000000001</v>
      </c>
      <c r="BT10">
        <v>295.59999999950003</v>
      </c>
      <c r="BU10">
        <v>302.99999999990001</v>
      </c>
      <c r="BV10">
        <v>310.60000000069999</v>
      </c>
      <c r="BW10">
        <v>317.80000000069998</v>
      </c>
      <c r="BX10">
        <v>324.30000000019999</v>
      </c>
      <c r="BY10">
        <v>331.00000000009999</v>
      </c>
      <c r="BZ10">
        <v>337.80000000119998</v>
      </c>
      <c r="CA10">
        <v>345.60000000060001</v>
      </c>
      <c r="CB10">
        <v>351.70000000110002</v>
      </c>
      <c r="CC10">
        <v>358.29999999990002</v>
      </c>
      <c r="CD10">
        <v>364.90000000049997</v>
      </c>
      <c r="CE10">
        <v>370.89999999989999</v>
      </c>
      <c r="CF10">
        <v>376.90000000110001</v>
      </c>
      <c r="CG10">
        <v>383.20000000020002</v>
      </c>
      <c r="CH10">
        <v>389.00000000099999</v>
      </c>
      <c r="CI10">
        <v>396.20000000099998</v>
      </c>
      <c r="CJ10">
        <v>401.10000000100001</v>
      </c>
      <c r="CK10">
        <v>407.30000000080003</v>
      </c>
      <c r="CL10">
        <v>413.09999999979999</v>
      </c>
      <c r="CM10">
        <v>418.60000000090002</v>
      </c>
      <c r="CN10">
        <v>423.8999999998</v>
      </c>
      <c r="CO10">
        <v>429.10000000119999</v>
      </c>
      <c r="CP10">
        <v>434.69999999980001</v>
      </c>
      <c r="CQ10">
        <v>439.8000000001</v>
      </c>
      <c r="CR10">
        <v>445.99999999990001</v>
      </c>
      <c r="CS10">
        <v>450.30000000040002</v>
      </c>
      <c r="CT10">
        <v>455.2999999996</v>
      </c>
      <c r="CU10">
        <v>459.1</v>
      </c>
      <c r="CV10">
        <v>459.1</v>
      </c>
      <c r="CW10">
        <v>459.1</v>
      </c>
      <c r="CX10">
        <v>459.1</v>
      </c>
      <c r="CY10">
        <v>459.00000000070003</v>
      </c>
      <c r="CZ10">
        <v>458.89999999960003</v>
      </c>
      <c r="DA10">
        <v>459.1</v>
      </c>
      <c r="DB10">
        <v>459.39999999970001</v>
      </c>
      <c r="DC10">
        <v>459.30000000040002</v>
      </c>
      <c r="DD10">
        <v>459.30000000040002</v>
      </c>
      <c r="DE10">
        <v>459.30000000040002</v>
      </c>
      <c r="DF10">
        <v>459.30000000040002</v>
      </c>
      <c r="DG10">
        <v>1.2000000006</v>
      </c>
      <c r="DH10">
        <v>1.5999999996000001</v>
      </c>
      <c r="DI10">
        <v>1.5999999996000001</v>
      </c>
      <c r="DJ10">
        <v>1.400000001</v>
      </c>
      <c r="DK10">
        <v>1.5000000003</v>
      </c>
      <c r="DL10">
        <v>1.7000000007</v>
      </c>
      <c r="DM10">
        <v>1.5999999996000001</v>
      </c>
      <c r="DN10">
        <v>1.5000000003</v>
      </c>
      <c r="DO10">
        <v>1.2999999999</v>
      </c>
      <c r="DP10">
        <v>1.2999999999</v>
      </c>
      <c r="DQ10">
        <v>0.79999999980000003</v>
      </c>
      <c r="DR10">
        <v>1.0999999995</v>
      </c>
      <c r="DS10">
        <v>1.2999999999</v>
      </c>
      <c r="DT10">
        <v>1.0999999995</v>
      </c>
      <c r="DU10">
        <v>0.79999999980000003</v>
      </c>
      <c r="DV10">
        <v>0.7000000005</v>
      </c>
      <c r="DW10">
        <v>3.0999999999000001</v>
      </c>
      <c r="DX10">
        <v>7.4999999997</v>
      </c>
      <c r="DY10">
        <v>11.200000000799999</v>
      </c>
      <c r="DZ10">
        <v>16.600000000800001</v>
      </c>
      <c r="EA10">
        <v>23.9999999994</v>
      </c>
      <c r="EB10">
        <v>32.100000000400001</v>
      </c>
      <c r="EC10">
        <v>38.500000000599996</v>
      </c>
      <c r="ED10">
        <v>46.200000000700001</v>
      </c>
      <c r="EE10">
        <v>54.299999999800001</v>
      </c>
      <c r="EF10">
        <v>61.100000000800001</v>
      </c>
      <c r="EG10">
        <v>68.500000001199993</v>
      </c>
      <c r="EH10">
        <v>76.500000001000004</v>
      </c>
      <c r="EI10">
        <v>85.000000000900002</v>
      </c>
      <c r="EJ10">
        <v>91.899999999399995</v>
      </c>
      <c r="EK10">
        <v>100.2000000008</v>
      </c>
      <c r="EL10">
        <v>108.7000000007</v>
      </c>
      <c r="EM10">
        <v>116.7000000005</v>
      </c>
      <c r="EN10">
        <v>125.79999999979999</v>
      </c>
      <c r="EO10">
        <v>134.79999999980001</v>
      </c>
      <c r="EP10">
        <v>142.40000000059999</v>
      </c>
      <c r="EQ10">
        <v>150.60000000080001</v>
      </c>
      <c r="ER10">
        <v>158.99999999970001</v>
      </c>
      <c r="ES10">
        <v>166.60000000049999</v>
      </c>
      <c r="ET10">
        <v>175.1000000004</v>
      </c>
      <c r="EU10">
        <v>183.50000000099999</v>
      </c>
      <c r="EV10">
        <v>192.0000000009</v>
      </c>
      <c r="EW10">
        <v>200.50000000079999</v>
      </c>
      <c r="EX10">
        <v>208.59999999990001</v>
      </c>
      <c r="EY10">
        <v>216.4000000012</v>
      </c>
      <c r="EZ10">
        <v>224.400000001</v>
      </c>
      <c r="FA10">
        <v>232.70000000050001</v>
      </c>
      <c r="FB10">
        <v>241.40000000079999</v>
      </c>
      <c r="FC10">
        <v>248.9999999998</v>
      </c>
      <c r="FD10">
        <v>256.9000000003</v>
      </c>
      <c r="FE10">
        <v>264.99999999940002</v>
      </c>
      <c r="FF10">
        <v>272.10000000010001</v>
      </c>
      <c r="FG10">
        <v>280.09999999989998</v>
      </c>
      <c r="FH10">
        <v>287.7000000008</v>
      </c>
      <c r="FI10">
        <v>295.29999999979998</v>
      </c>
      <c r="FJ10">
        <v>302.99999999990001</v>
      </c>
      <c r="FK10">
        <v>310.49999999959999</v>
      </c>
      <c r="FL10">
        <v>317.80000000069998</v>
      </c>
      <c r="FM10">
        <v>324.50000000059998</v>
      </c>
      <c r="FN10">
        <v>331.50000000019998</v>
      </c>
      <c r="FO10">
        <v>338.49999999980002</v>
      </c>
      <c r="FP10">
        <v>345.6999999999</v>
      </c>
      <c r="FQ10">
        <v>352.6000000002</v>
      </c>
      <c r="FR10">
        <v>359.3000000001</v>
      </c>
      <c r="FS10">
        <v>365.60000000100001</v>
      </c>
      <c r="FT10">
        <v>371.50000000109998</v>
      </c>
      <c r="FU10">
        <v>377.80000000019999</v>
      </c>
      <c r="FV10">
        <v>384.1000000011</v>
      </c>
      <c r="FW10">
        <v>389.99999999940002</v>
      </c>
      <c r="FX10">
        <v>397.00000000080001</v>
      </c>
      <c r="FY10">
        <v>402.40000000089998</v>
      </c>
      <c r="FZ10">
        <v>408.4000000003</v>
      </c>
      <c r="GA10">
        <v>414.20000000110002</v>
      </c>
      <c r="GB10">
        <v>419.5</v>
      </c>
      <c r="GC10">
        <v>424.69999999959998</v>
      </c>
      <c r="GD10">
        <v>430.40000000110001</v>
      </c>
      <c r="GE10">
        <v>435.60000000069999</v>
      </c>
      <c r="GF10">
        <v>440.50000000059998</v>
      </c>
      <c r="GG10">
        <v>446.5</v>
      </c>
      <c r="GH10">
        <v>450.39999999970001</v>
      </c>
      <c r="GI10">
        <v>455.20000000030001</v>
      </c>
      <c r="GJ10">
        <v>458.70000000099998</v>
      </c>
      <c r="GK10">
        <v>459.1</v>
      </c>
      <c r="GL10">
        <v>459.20000000110002</v>
      </c>
      <c r="GM10">
        <v>459.20000000110002</v>
      </c>
      <c r="GN10">
        <v>459.1</v>
      </c>
      <c r="GO10">
        <v>459.20000000110002</v>
      </c>
      <c r="GP10">
        <v>459.1</v>
      </c>
      <c r="GQ10">
        <v>459.1</v>
      </c>
      <c r="GR10">
        <v>459.30000000040002</v>
      </c>
      <c r="GS10">
        <v>459.39999999970001</v>
      </c>
      <c r="GT10">
        <v>459.30000000040002</v>
      </c>
      <c r="GU10">
        <v>459.30000000040002</v>
      </c>
      <c r="GV10">
        <v>459.30000000040002</v>
      </c>
      <c r="GW10">
        <v>1</v>
      </c>
      <c r="GX10">
        <v>112.4999999993</v>
      </c>
      <c r="GY10">
        <v>110.8999999997</v>
      </c>
      <c r="GZ10">
        <v>110.8999999997</v>
      </c>
      <c r="HA10">
        <v>116.7000000005</v>
      </c>
      <c r="HB10">
        <v>112.3368999672</v>
      </c>
      <c r="HC10">
        <v>-5.8000000007999999</v>
      </c>
      <c r="HD10">
        <v>459.30000000040002</v>
      </c>
      <c r="HE10">
        <v>306.56329596180001</v>
      </c>
      <c r="HF10">
        <v>86.328660062200001</v>
      </c>
      <c r="HG10">
        <v>459.39999999970001</v>
      </c>
      <c r="HH10">
        <v>459.39999999970001</v>
      </c>
      <c r="HI10">
        <v>459.39999999970001</v>
      </c>
      <c r="HJ10">
        <v>459.39999999970001</v>
      </c>
      <c r="HK10">
        <v>114.9560117302</v>
      </c>
      <c r="HL10">
        <v>3.3113089012999999</v>
      </c>
      <c r="HM10">
        <v>3.2161888157999998</v>
      </c>
      <c r="HN10">
        <v>3.2740078092</v>
      </c>
      <c r="HO10">
        <v>3.2421119837000001</v>
      </c>
      <c r="HP10">
        <v>3.5149473786000001</v>
      </c>
      <c r="HQ10">
        <v>2.2175534666000001</v>
      </c>
      <c r="HR10">
        <v>26.008239905</v>
      </c>
      <c r="HS10">
        <v>-25.806451612899998</v>
      </c>
      <c r="HT10">
        <v>-176</v>
      </c>
      <c r="HU10">
        <v>418.90019592900001</v>
      </c>
      <c r="HV10">
        <v>96.187683284499997</v>
      </c>
      <c r="HW10">
        <v>656</v>
      </c>
      <c r="HX10">
        <v>26.008239905</v>
      </c>
      <c r="HY10">
        <v>-25.806451612899998</v>
      </c>
      <c r="HZ10">
        <v>-176</v>
      </c>
      <c r="IA10">
        <v>418.90019592900001</v>
      </c>
      <c r="IB10">
        <v>96.187683284499997</v>
      </c>
      <c r="IC10">
        <v>656</v>
      </c>
      <c r="ID10">
        <v>40.499804070800003</v>
      </c>
      <c r="IE10">
        <v>4.9350930662000003</v>
      </c>
      <c r="IF10">
        <v>-35.190615835800003</v>
      </c>
      <c r="IG10">
        <v>-240</v>
      </c>
      <c r="IH10">
        <v>440.22537281000001</v>
      </c>
      <c r="II10">
        <v>105.57184750730001</v>
      </c>
      <c r="IJ10">
        <v>720</v>
      </c>
      <c r="IK10">
        <v>392.89195602389998</v>
      </c>
      <c r="IL10">
        <v>121.9941348974</v>
      </c>
      <c r="IM10">
        <v>417.31448786359999</v>
      </c>
      <c r="IN10">
        <v>131.37829912020001</v>
      </c>
      <c r="IO10">
        <v>7.3999999986000002</v>
      </c>
      <c r="IP10">
        <v>6.1999999998000002</v>
      </c>
      <c r="IQ10">
        <v>9.2000000003999993</v>
      </c>
      <c r="IR10">
        <v>6.2755235436000003</v>
      </c>
      <c r="IS10">
        <v>6.2755235436000003</v>
      </c>
      <c r="IT10">
        <v>5.4999999992999999</v>
      </c>
      <c r="IU10">
        <v>-28.152492668600001</v>
      </c>
      <c r="IV10">
        <v>7.9999999998</v>
      </c>
      <c r="IW10">
        <v>86.803519061599999</v>
      </c>
      <c r="IX10">
        <v>6.6999999999000002</v>
      </c>
      <c r="IY10">
        <v>107.91788856300001</v>
      </c>
      <c r="IZ10">
        <v>-34.304206171600001</v>
      </c>
      <c r="JA10">
        <v>0.33508318669999998</v>
      </c>
      <c r="JB10">
        <v>-3.4140899999999998E-4</v>
      </c>
      <c r="JC10">
        <v>6.7889999999999997E-7</v>
      </c>
      <c r="JD10">
        <v>0.30199538300000001</v>
      </c>
      <c r="JE10">
        <v>0.26286358209999999</v>
      </c>
      <c r="JF10">
        <v>0.10758639020000001</v>
      </c>
      <c r="JG10">
        <v>112.9297430702</v>
      </c>
      <c r="JH10">
        <v>3.5149473786000001</v>
      </c>
      <c r="JI10">
        <v>2.7413228999999999E-3</v>
      </c>
      <c r="JJ10">
        <v>-6.5742300000000002E-5</v>
      </c>
      <c r="JK10">
        <v>3.3113089012999999</v>
      </c>
      <c r="JL10">
        <v>1.0665340291000001</v>
      </c>
      <c r="JM10">
        <v>0.55395719960000001</v>
      </c>
      <c r="JN10" t="s">
        <v>585</v>
      </c>
      <c r="JQ10">
        <v>1</v>
      </c>
    </row>
    <row r="11" spans="1:277">
      <c r="A11" t="s">
        <v>665</v>
      </c>
      <c r="B11" t="s">
        <v>666</v>
      </c>
      <c r="C11" t="s">
        <v>212</v>
      </c>
      <c r="D11">
        <v>3</v>
      </c>
      <c r="E11" t="s">
        <v>213</v>
      </c>
      <c r="F11" t="s">
        <v>214</v>
      </c>
      <c r="G11" t="s">
        <v>584</v>
      </c>
      <c r="H11" t="s">
        <v>216</v>
      </c>
      <c r="J11" t="s">
        <v>619</v>
      </c>
      <c r="K11" t="s">
        <v>620</v>
      </c>
      <c r="L11" t="s">
        <v>621</v>
      </c>
      <c r="M11" t="s">
        <v>622</v>
      </c>
      <c r="N11" t="s">
        <v>623</v>
      </c>
      <c r="O11">
        <v>0</v>
      </c>
      <c r="P11">
        <v>0</v>
      </c>
      <c r="Q11">
        <v>0</v>
      </c>
      <c r="R11">
        <v>0.3000000015</v>
      </c>
      <c r="S11">
        <v>0.3000000015</v>
      </c>
      <c r="T11">
        <v>0.3000000015</v>
      </c>
      <c r="U11">
        <v>0.20000000039999999</v>
      </c>
      <c r="V11">
        <v>0.3000000015</v>
      </c>
      <c r="W11">
        <v>0.3000000015</v>
      </c>
      <c r="X11">
        <v>0.40000000079999998</v>
      </c>
      <c r="Y11">
        <v>0.40000000079999998</v>
      </c>
      <c r="Z11">
        <v>0.40000000079999998</v>
      </c>
      <c r="AA11">
        <v>0.40000000079999998</v>
      </c>
      <c r="AB11">
        <v>0.3000000015</v>
      </c>
      <c r="AC11">
        <v>0.3000000015</v>
      </c>
      <c r="AD11">
        <v>0.40000000079999998</v>
      </c>
      <c r="AE11">
        <v>0.50000000010000001</v>
      </c>
      <c r="AF11">
        <v>0.7000000005</v>
      </c>
      <c r="AG11">
        <v>0.80000000159999995</v>
      </c>
      <c r="AH11">
        <v>0.90000000089999999</v>
      </c>
      <c r="AI11">
        <v>2.7000000008999998</v>
      </c>
      <c r="AJ11">
        <v>5.3000000006999999</v>
      </c>
      <c r="AK11">
        <v>11.5000000005</v>
      </c>
      <c r="AL11">
        <v>18.400000000799999</v>
      </c>
      <c r="AM11">
        <v>25.400000000399999</v>
      </c>
      <c r="AN11">
        <v>32.4000000001</v>
      </c>
      <c r="AO11">
        <v>39.600000000100003</v>
      </c>
      <c r="AP11">
        <v>47.100000001600002</v>
      </c>
      <c r="AQ11">
        <v>55.700000000800003</v>
      </c>
      <c r="AR11">
        <v>62.700000000400003</v>
      </c>
      <c r="AS11">
        <v>70.600000000899996</v>
      </c>
      <c r="AT11">
        <v>78.200000001700005</v>
      </c>
      <c r="AU11">
        <v>86.100000000400001</v>
      </c>
      <c r="AV11">
        <v>93.900000001699993</v>
      </c>
      <c r="AW11">
        <v>103.000000001</v>
      </c>
      <c r="AX11">
        <v>111.0000000008</v>
      </c>
      <c r="AY11">
        <v>119.3000000003</v>
      </c>
      <c r="AZ11">
        <v>127.50000000049999</v>
      </c>
      <c r="BA11">
        <v>135.50000000029999</v>
      </c>
      <c r="BB11">
        <v>143.50000000009999</v>
      </c>
      <c r="BC11">
        <v>151.6000000011</v>
      </c>
      <c r="BD11">
        <v>160.7000000004</v>
      </c>
      <c r="BE11">
        <v>168.6000000009</v>
      </c>
      <c r="BF11">
        <v>177.10000000080001</v>
      </c>
      <c r="BG11">
        <v>185.10000000060001</v>
      </c>
      <c r="BH11">
        <v>193.40000000009999</v>
      </c>
      <c r="BI11">
        <v>201.2000000013</v>
      </c>
      <c r="BJ11">
        <v>210.1000000002</v>
      </c>
      <c r="BK11">
        <v>217.5000000007</v>
      </c>
      <c r="BL11">
        <v>225.60000000159999</v>
      </c>
      <c r="BM11">
        <v>233.50000000029999</v>
      </c>
      <c r="BN11">
        <v>241.2000000004</v>
      </c>
      <c r="BO11">
        <v>248.8000000012</v>
      </c>
      <c r="BP11">
        <v>257.30000000109999</v>
      </c>
      <c r="BQ11">
        <v>264.60000000039997</v>
      </c>
      <c r="BR11">
        <v>272.20000000120001</v>
      </c>
      <c r="BS11">
        <v>279.90000000139997</v>
      </c>
      <c r="BT11">
        <v>287.10000000140002</v>
      </c>
      <c r="BU11">
        <v>294.30000000140001</v>
      </c>
      <c r="BV11">
        <v>301.2000000017</v>
      </c>
      <c r="BW11">
        <v>309.10000000039997</v>
      </c>
      <c r="BX11">
        <v>315.80000000029997</v>
      </c>
      <c r="BY11">
        <v>322.50000000019998</v>
      </c>
      <c r="BZ11">
        <v>329.60000000090002</v>
      </c>
      <c r="CA11">
        <v>336.30000000080003</v>
      </c>
      <c r="CB11">
        <v>342.90000000150002</v>
      </c>
      <c r="CC11">
        <v>349.00000000019998</v>
      </c>
      <c r="CD11">
        <v>355.2</v>
      </c>
      <c r="CE11">
        <v>362.30000000069998</v>
      </c>
      <c r="CF11">
        <v>368.2000000008</v>
      </c>
      <c r="CG11">
        <v>374.40000000060002</v>
      </c>
      <c r="CH11">
        <v>380.60000000039997</v>
      </c>
      <c r="CI11">
        <v>386.4000000012</v>
      </c>
      <c r="CJ11">
        <v>392.50000000170002</v>
      </c>
      <c r="CK11">
        <v>398.00000000099999</v>
      </c>
      <c r="CL11">
        <v>403.00000000019998</v>
      </c>
      <c r="CM11">
        <v>408.70000000179999</v>
      </c>
      <c r="CN11">
        <v>415.1000000002</v>
      </c>
      <c r="CO11">
        <v>420.00000000009999</v>
      </c>
      <c r="CP11">
        <v>425.50000000120002</v>
      </c>
      <c r="CQ11">
        <v>430.7000000008</v>
      </c>
      <c r="CR11">
        <v>435.90000000039998</v>
      </c>
      <c r="CS11">
        <v>440.90000000139997</v>
      </c>
      <c r="CT11">
        <v>445.60000000090002</v>
      </c>
      <c r="CU11">
        <v>448.7000000008</v>
      </c>
      <c r="CV11">
        <v>448.7000000008</v>
      </c>
      <c r="CW11">
        <v>449.00000000049999</v>
      </c>
      <c r="CX11">
        <v>449.00000000049999</v>
      </c>
      <c r="CY11">
        <v>449.10000000159999</v>
      </c>
      <c r="CZ11">
        <v>449.20000000089999</v>
      </c>
      <c r="DA11">
        <v>449.00000000049999</v>
      </c>
      <c r="DB11">
        <v>448.9000000012</v>
      </c>
      <c r="DC11">
        <v>448.9000000012</v>
      </c>
      <c r="DD11">
        <v>449.00000000049999</v>
      </c>
      <c r="DE11">
        <v>449.10000000159999</v>
      </c>
      <c r="DF11">
        <v>449.10000000159999</v>
      </c>
      <c r="DG11">
        <v>0.7000000005</v>
      </c>
      <c r="DH11">
        <v>1.400000001</v>
      </c>
      <c r="DI11">
        <v>1.5000000003</v>
      </c>
      <c r="DJ11">
        <v>1.3000000017</v>
      </c>
      <c r="DK11">
        <v>1.2000000006</v>
      </c>
      <c r="DL11">
        <v>1.1000000013</v>
      </c>
      <c r="DM11">
        <v>1.2000000006</v>
      </c>
      <c r="DN11">
        <v>1.3000000017</v>
      </c>
      <c r="DO11">
        <v>1.400000001</v>
      </c>
      <c r="DP11">
        <v>1.6000000014</v>
      </c>
      <c r="DQ11">
        <v>1.5000000003</v>
      </c>
      <c r="DR11">
        <v>1.6000000014</v>
      </c>
      <c r="DS11">
        <v>1.6000000014</v>
      </c>
      <c r="DT11">
        <v>1.6000000014</v>
      </c>
      <c r="DU11">
        <v>1.5000000003</v>
      </c>
      <c r="DV11">
        <v>1.400000001</v>
      </c>
      <c r="DW11">
        <v>1.5000000003</v>
      </c>
      <c r="DX11">
        <v>1.9000000011</v>
      </c>
      <c r="DY11">
        <v>5.2000000014000003</v>
      </c>
      <c r="DZ11">
        <v>9.9000000009000004</v>
      </c>
      <c r="EA11">
        <v>17.0000000016</v>
      </c>
      <c r="EB11">
        <v>24.000000001299998</v>
      </c>
      <c r="EC11">
        <v>31.000000000899998</v>
      </c>
      <c r="ED11">
        <v>38.200000000899998</v>
      </c>
      <c r="EE11">
        <v>45.800000001699999</v>
      </c>
      <c r="EF11">
        <v>54.300000001599997</v>
      </c>
      <c r="EG11">
        <v>61.5000000016</v>
      </c>
      <c r="EH11">
        <v>69.100000000600005</v>
      </c>
      <c r="EI11">
        <v>77.100000000400001</v>
      </c>
      <c r="EJ11">
        <v>84.700000001199996</v>
      </c>
      <c r="EK11">
        <v>92.400000001400002</v>
      </c>
      <c r="EL11">
        <v>100.7000000009</v>
      </c>
      <c r="EM11">
        <v>109.3000000001</v>
      </c>
      <c r="EN11">
        <v>117.9000000011</v>
      </c>
      <c r="EO11">
        <v>126.1000000013</v>
      </c>
      <c r="EP11">
        <v>134.3000000015</v>
      </c>
      <c r="EQ11">
        <v>142.0000000016</v>
      </c>
      <c r="ER11">
        <v>150.40000000040001</v>
      </c>
      <c r="ES11">
        <v>159.5000000016</v>
      </c>
      <c r="ET11">
        <v>167.4000000003</v>
      </c>
      <c r="EU11">
        <v>175.80000000090001</v>
      </c>
      <c r="EV11">
        <v>184.00000000110001</v>
      </c>
      <c r="EW11">
        <v>192.2000000013</v>
      </c>
      <c r="EX11">
        <v>200.20000000109999</v>
      </c>
      <c r="EY11">
        <v>209.30000000039999</v>
      </c>
      <c r="EZ11">
        <v>217.00000000060001</v>
      </c>
      <c r="FA11">
        <v>225.2000000008</v>
      </c>
      <c r="FB11">
        <v>233.3000000017</v>
      </c>
      <c r="FC11">
        <v>241.2000000004</v>
      </c>
      <c r="FD11">
        <v>249.0000000016</v>
      </c>
      <c r="FE11">
        <v>256.9000000003</v>
      </c>
      <c r="FF11">
        <v>264.80000000080003</v>
      </c>
      <c r="FG11">
        <v>272.6000000002</v>
      </c>
      <c r="FH11">
        <v>280.30000000040002</v>
      </c>
      <c r="FI11">
        <v>288.00000000049999</v>
      </c>
      <c r="FJ11">
        <v>295.10000000119999</v>
      </c>
      <c r="FK11">
        <v>302.30000000119998</v>
      </c>
      <c r="FL11">
        <v>310.300000001</v>
      </c>
      <c r="FM11">
        <v>317.1000000002</v>
      </c>
      <c r="FN11">
        <v>324.10000000159999</v>
      </c>
      <c r="FO11">
        <v>331.10000000119999</v>
      </c>
      <c r="FP11">
        <v>337.80000000119998</v>
      </c>
      <c r="FQ11">
        <v>344.30000000069998</v>
      </c>
      <c r="FR11">
        <v>350.80000000019999</v>
      </c>
      <c r="FS11">
        <v>357.40000000079999</v>
      </c>
      <c r="FT11">
        <v>364.60000000079998</v>
      </c>
      <c r="FU11">
        <v>370.5000000009</v>
      </c>
      <c r="FV11">
        <v>376.50000000030002</v>
      </c>
      <c r="FW11">
        <v>382.70000000009998</v>
      </c>
      <c r="FX11">
        <v>388.40000000160001</v>
      </c>
      <c r="FY11">
        <v>394.40000000100002</v>
      </c>
      <c r="FZ11">
        <v>399.80000000109999</v>
      </c>
      <c r="GA11">
        <v>405.50000000080001</v>
      </c>
      <c r="GB11">
        <v>411.40000000089998</v>
      </c>
      <c r="GC11">
        <v>417.4000000003</v>
      </c>
      <c r="GD11">
        <v>422.10000000159999</v>
      </c>
      <c r="GE11">
        <v>427.10000000079998</v>
      </c>
      <c r="GF11">
        <v>432.1</v>
      </c>
      <c r="GG11">
        <v>436.80000000130002</v>
      </c>
      <c r="GH11">
        <v>441.80000000050001</v>
      </c>
      <c r="GI11">
        <v>445.80000000130002</v>
      </c>
      <c r="GJ11">
        <v>448.50000000040001</v>
      </c>
      <c r="GK11">
        <v>448.7000000008</v>
      </c>
      <c r="GL11">
        <v>448.7000000008</v>
      </c>
      <c r="GM11">
        <v>448.7000000008</v>
      </c>
      <c r="GN11">
        <v>449.00000000049999</v>
      </c>
      <c r="GO11">
        <v>448.8000000001</v>
      </c>
      <c r="GP11">
        <v>449.00000000049999</v>
      </c>
      <c r="GQ11">
        <v>448.8000000001</v>
      </c>
      <c r="GR11">
        <v>448.9000000012</v>
      </c>
      <c r="GS11">
        <v>448.9000000012</v>
      </c>
      <c r="GT11">
        <v>449.00000000049999</v>
      </c>
      <c r="GU11">
        <v>449.10000000159999</v>
      </c>
      <c r="GV11">
        <v>449.20000000089999</v>
      </c>
      <c r="GW11">
        <v>1</v>
      </c>
      <c r="GX11">
        <v>105.7999999994</v>
      </c>
      <c r="GY11">
        <v>103.000000001</v>
      </c>
      <c r="GZ11">
        <v>103.000000001</v>
      </c>
      <c r="HA11">
        <v>109.3000000001</v>
      </c>
      <c r="HB11">
        <v>104.4889123908</v>
      </c>
      <c r="HC11">
        <v>-6.2999999990999997</v>
      </c>
      <c r="HD11">
        <v>449.20000000089999</v>
      </c>
      <c r="HE11">
        <v>300.21959256370002</v>
      </c>
      <c r="HF11">
        <v>85.824590893800007</v>
      </c>
      <c r="HG11">
        <v>449.20000000089999</v>
      </c>
      <c r="HH11">
        <v>449.20000000089999</v>
      </c>
      <c r="HI11">
        <v>449.20000000089999</v>
      </c>
      <c r="HJ11">
        <v>449.20000000089999</v>
      </c>
      <c r="HK11">
        <v>114.9560117302</v>
      </c>
      <c r="HL11">
        <v>3.3253606622</v>
      </c>
      <c r="HM11">
        <v>3.2341676101000001</v>
      </c>
      <c r="HN11">
        <v>3.3001368191</v>
      </c>
      <c r="HO11">
        <v>3.1906802608999998</v>
      </c>
      <c r="HP11">
        <v>3.5077482866</v>
      </c>
      <c r="HQ11">
        <v>2.2347826828000001</v>
      </c>
      <c r="HR11">
        <v>18.664321497</v>
      </c>
      <c r="HS11">
        <v>-25.806451612899998</v>
      </c>
      <c r="HT11">
        <v>-176</v>
      </c>
      <c r="HU11">
        <v>404.70850495460002</v>
      </c>
      <c r="HV11">
        <v>93.841642228699996</v>
      </c>
      <c r="HW11">
        <v>640</v>
      </c>
      <c r="HX11">
        <v>18.664321497</v>
      </c>
      <c r="HY11">
        <v>-25.806451612899998</v>
      </c>
      <c r="HZ11">
        <v>-176</v>
      </c>
      <c r="IA11">
        <v>404.70850495460002</v>
      </c>
      <c r="IB11">
        <v>93.841642228699996</v>
      </c>
      <c r="IC11">
        <v>640</v>
      </c>
      <c r="ID11">
        <v>44.491495046300003</v>
      </c>
      <c r="IE11">
        <v>0.90311699970000003</v>
      </c>
      <c r="IF11">
        <v>-35.190615835800003</v>
      </c>
      <c r="IG11">
        <v>-240</v>
      </c>
      <c r="IH11">
        <v>426.69532450259999</v>
      </c>
      <c r="II11">
        <v>103.22580645159999</v>
      </c>
      <c r="IJ11">
        <v>704</v>
      </c>
      <c r="IK11">
        <v>386.04418345760001</v>
      </c>
      <c r="IL11">
        <v>119.6480938416</v>
      </c>
      <c r="IM11">
        <v>411.32290994070001</v>
      </c>
      <c r="IN11">
        <v>129.03225806450001</v>
      </c>
      <c r="IO11">
        <v>7.1000000006999997</v>
      </c>
      <c r="IP11">
        <v>5.9999999994</v>
      </c>
      <c r="IQ11">
        <v>9.1000000010999997</v>
      </c>
      <c r="IR11">
        <v>5.9165316088999997</v>
      </c>
      <c r="IS11">
        <v>5.9165316088999997</v>
      </c>
      <c r="IT11">
        <v>5.5000000011000001</v>
      </c>
      <c r="IU11">
        <v>-28.152492668600001</v>
      </c>
      <c r="IV11">
        <v>9.4000000008000004</v>
      </c>
      <c r="IW11">
        <v>77.419354838700002</v>
      </c>
      <c r="IX11">
        <v>7.1000000006999997</v>
      </c>
      <c r="IY11">
        <v>103.22580645159999</v>
      </c>
      <c r="IZ11">
        <v>-31.8098810615</v>
      </c>
      <c r="JA11">
        <v>0.33419502309999999</v>
      </c>
      <c r="JB11">
        <v>-3.4921220000000002E-4</v>
      </c>
      <c r="JC11">
        <v>7.1539999999999996E-7</v>
      </c>
      <c r="JD11">
        <v>0.30071926069999999</v>
      </c>
      <c r="JE11">
        <v>0.19200862029999999</v>
      </c>
      <c r="JF11">
        <v>8.5897962899999999E-2</v>
      </c>
      <c r="JG11">
        <v>104.6158819167</v>
      </c>
      <c r="JH11">
        <v>3.5077482866</v>
      </c>
      <c r="JI11">
        <v>3.3552941E-3</v>
      </c>
      <c r="JJ11">
        <v>-7.20207E-5</v>
      </c>
      <c r="JK11">
        <v>3.3253606622</v>
      </c>
      <c r="JL11">
        <v>1.0986640793</v>
      </c>
      <c r="JM11">
        <v>0.44585300999999999</v>
      </c>
      <c r="JN11" t="s">
        <v>585</v>
      </c>
      <c r="JQ11">
        <v>1</v>
      </c>
    </row>
    <row r="12" spans="1:277">
      <c r="A12" t="s">
        <v>667</v>
      </c>
      <c r="B12" t="s">
        <v>668</v>
      </c>
      <c r="C12" t="s">
        <v>212</v>
      </c>
      <c r="D12">
        <v>3</v>
      </c>
      <c r="E12" t="s">
        <v>213</v>
      </c>
      <c r="F12" t="s">
        <v>214</v>
      </c>
      <c r="G12" t="s">
        <v>584</v>
      </c>
      <c r="H12" t="s">
        <v>216</v>
      </c>
      <c r="J12" t="s">
        <v>626</v>
      </c>
      <c r="K12" t="s">
        <v>627</v>
      </c>
      <c r="L12" t="s">
        <v>628</v>
      </c>
      <c r="M12" t="s">
        <v>629</v>
      </c>
      <c r="N12" t="s">
        <v>630</v>
      </c>
      <c r="O12">
        <v>0</v>
      </c>
      <c r="P12">
        <v>0</v>
      </c>
      <c r="Q12">
        <v>0.59999999940000004</v>
      </c>
      <c r="R12">
        <v>9.9999999300000003E-2</v>
      </c>
      <c r="S12">
        <v>0</v>
      </c>
      <c r="T12">
        <v>9.9999999300000003E-2</v>
      </c>
      <c r="U12">
        <v>0.20000000039999999</v>
      </c>
      <c r="V12">
        <v>9.9999999300000003E-2</v>
      </c>
      <c r="W12">
        <v>0</v>
      </c>
      <c r="X12">
        <v>0</v>
      </c>
      <c r="Y12">
        <v>0.20000000039999999</v>
      </c>
      <c r="Z12">
        <v>9.9999999300000003E-2</v>
      </c>
      <c r="AA12">
        <v>0</v>
      </c>
      <c r="AB12">
        <v>0</v>
      </c>
      <c r="AC12">
        <v>9.9999999300000003E-2</v>
      </c>
      <c r="AD12">
        <v>0</v>
      </c>
      <c r="AE12">
        <v>0.29999999970000002</v>
      </c>
      <c r="AF12">
        <v>0.29999999970000002</v>
      </c>
      <c r="AG12">
        <v>0.39999999899999999</v>
      </c>
      <c r="AH12">
        <v>2.3000000000999998</v>
      </c>
      <c r="AI12">
        <v>5.9999999994</v>
      </c>
      <c r="AJ12">
        <v>9.8999999991000003</v>
      </c>
      <c r="AK12">
        <v>14.299999998900001</v>
      </c>
      <c r="AL12">
        <v>19.8</v>
      </c>
      <c r="AM12">
        <v>25.9999999998</v>
      </c>
      <c r="AN12">
        <v>33.700000000000003</v>
      </c>
      <c r="AO12">
        <v>41.299999999000001</v>
      </c>
      <c r="AP12">
        <v>48.499999999000003</v>
      </c>
      <c r="AQ12">
        <v>56.300000000200001</v>
      </c>
      <c r="AR12">
        <v>63.700000000599999</v>
      </c>
      <c r="AS12">
        <v>70.999999999899998</v>
      </c>
      <c r="AT12">
        <v>77.799999999099995</v>
      </c>
      <c r="AU12">
        <v>86.100000000400001</v>
      </c>
      <c r="AV12">
        <v>94.299999998800004</v>
      </c>
      <c r="AW12">
        <v>102.9999999992</v>
      </c>
      <c r="AX12">
        <v>112.1000000003</v>
      </c>
      <c r="AY12">
        <v>119.6999999993</v>
      </c>
      <c r="AZ12">
        <v>127.3000000001</v>
      </c>
      <c r="BA12">
        <v>134.8999999991</v>
      </c>
      <c r="BB12">
        <v>144.0000000002</v>
      </c>
      <c r="BC12">
        <v>152.0999999993</v>
      </c>
      <c r="BD12">
        <v>160.09999999909999</v>
      </c>
      <c r="BE12">
        <v>168.099999999</v>
      </c>
      <c r="BF12">
        <v>176.10000000060001</v>
      </c>
      <c r="BG12">
        <v>183.30000000059999</v>
      </c>
      <c r="BH12">
        <v>192.49999999920001</v>
      </c>
      <c r="BI12">
        <v>200.60000000010001</v>
      </c>
      <c r="BJ12">
        <v>208.6999999992</v>
      </c>
      <c r="BK12">
        <v>216.09999999959999</v>
      </c>
      <c r="BL12">
        <v>223.89999999899999</v>
      </c>
      <c r="BM12">
        <v>230.9999999998</v>
      </c>
      <c r="BN12">
        <v>238.60000000060001</v>
      </c>
      <c r="BO12">
        <v>247.19999999980001</v>
      </c>
      <c r="BP12">
        <v>255.10000000030001</v>
      </c>
      <c r="BQ12">
        <v>262.49999999890002</v>
      </c>
      <c r="BR12">
        <v>269.69999999890001</v>
      </c>
      <c r="BS12">
        <v>276.59999999920001</v>
      </c>
      <c r="BT12">
        <v>283.4000000003</v>
      </c>
      <c r="BU12">
        <v>290.69999999959998</v>
      </c>
      <c r="BV12">
        <v>298.80000000050001</v>
      </c>
      <c r="BW12">
        <v>306.00000000049999</v>
      </c>
      <c r="BX12">
        <v>312.79999999969999</v>
      </c>
      <c r="BY12">
        <v>319.10000000060001</v>
      </c>
      <c r="BZ12">
        <v>325.69999999940001</v>
      </c>
      <c r="CA12">
        <v>332.00000000030002</v>
      </c>
      <c r="CB12">
        <v>337.90000000039998</v>
      </c>
      <c r="CC12">
        <v>345.40000000020001</v>
      </c>
      <c r="CD12">
        <v>351.89999999970001</v>
      </c>
      <c r="CE12">
        <v>358.09999999950003</v>
      </c>
      <c r="CF12">
        <v>363.99999999959999</v>
      </c>
      <c r="CG12">
        <v>369.49999999890002</v>
      </c>
      <c r="CH12">
        <v>375.50000000009999</v>
      </c>
      <c r="CI12">
        <v>381.49999999950001</v>
      </c>
      <c r="CJ12">
        <v>386.59999999979999</v>
      </c>
      <c r="CK12">
        <v>392.09999999910002</v>
      </c>
      <c r="CL12">
        <v>398.4</v>
      </c>
      <c r="CM12">
        <v>403.69999999890001</v>
      </c>
      <c r="CN12">
        <v>408.90000000039998</v>
      </c>
      <c r="CO12">
        <v>414.39999999970001</v>
      </c>
      <c r="CP12">
        <v>419.89999999899999</v>
      </c>
      <c r="CQ12">
        <v>424.60000000029999</v>
      </c>
      <c r="CR12">
        <v>429.79999999990002</v>
      </c>
      <c r="CS12">
        <v>434.40000000010002</v>
      </c>
      <c r="CT12">
        <v>438.50000000019998</v>
      </c>
      <c r="CU12">
        <v>442.99999999929997</v>
      </c>
      <c r="CV12">
        <v>448.8000000001</v>
      </c>
      <c r="CW12">
        <v>452.29999999900002</v>
      </c>
      <c r="CX12">
        <v>453.10000000060001</v>
      </c>
      <c r="CY12">
        <v>453.7</v>
      </c>
      <c r="CZ12">
        <v>453.7</v>
      </c>
      <c r="DA12">
        <v>453.7</v>
      </c>
      <c r="DB12">
        <v>453.59999999889999</v>
      </c>
      <c r="DC12">
        <v>453.2999999992</v>
      </c>
      <c r="DD12">
        <v>453.2999999992</v>
      </c>
      <c r="DE12">
        <v>453.7</v>
      </c>
      <c r="DF12">
        <v>453.7</v>
      </c>
      <c r="DG12">
        <v>1.2999999999</v>
      </c>
      <c r="DH12">
        <v>1.2000000006</v>
      </c>
      <c r="DI12">
        <v>1.0000000002</v>
      </c>
      <c r="DJ12">
        <v>1.0999999995</v>
      </c>
      <c r="DK12">
        <v>1.0999999995</v>
      </c>
      <c r="DL12">
        <v>1.0000000002</v>
      </c>
      <c r="DM12">
        <v>1.0999999995</v>
      </c>
      <c r="DN12">
        <v>1.0999999995</v>
      </c>
      <c r="DO12">
        <v>1.2000000006</v>
      </c>
      <c r="DP12">
        <v>1.0999999995</v>
      </c>
      <c r="DQ12">
        <v>1.0999999995</v>
      </c>
      <c r="DR12">
        <v>1.0000000002</v>
      </c>
      <c r="DS12">
        <v>1.0999999995</v>
      </c>
      <c r="DT12">
        <v>1.0999999995</v>
      </c>
      <c r="DU12">
        <v>1.2000000006</v>
      </c>
      <c r="DV12">
        <v>1.2000000006</v>
      </c>
      <c r="DW12">
        <v>1.2999999999</v>
      </c>
      <c r="DX12">
        <v>5.2999999988999997</v>
      </c>
      <c r="DY12">
        <v>9.2999999997000007</v>
      </c>
      <c r="DZ12">
        <v>13.6000000002</v>
      </c>
      <c r="EA12">
        <v>18.599999999400001</v>
      </c>
      <c r="EB12">
        <v>25.0999999989</v>
      </c>
      <c r="EC12">
        <v>32.4000000001</v>
      </c>
      <c r="ED12">
        <v>40.399999999899997</v>
      </c>
      <c r="EE12">
        <v>47.999999998900002</v>
      </c>
      <c r="EF12">
        <v>55.3</v>
      </c>
      <c r="EG12">
        <v>62.599999999300003</v>
      </c>
      <c r="EH12">
        <v>69.799999999299999</v>
      </c>
      <c r="EI12">
        <v>76.799999998900006</v>
      </c>
      <c r="EJ12">
        <v>84.3999999997</v>
      </c>
      <c r="EK12">
        <v>93.1</v>
      </c>
      <c r="EL12">
        <v>101.3999999996</v>
      </c>
      <c r="EM12">
        <v>110.3000000003</v>
      </c>
      <c r="EN12">
        <v>118.6999999991</v>
      </c>
      <c r="EO12">
        <v>126.2999999999</v>
      </c>
      <c r="EP12">
        <v>133.7999999996</v>
      </c>
      <c r="EQ12">
        <v>142.70000000030001</v>
      </c>
      <c r="ER12">
        <v>150.9999999998</v>
      </c>
      <c r="ES12">
        <v>159.2000000001</v>
      </c>
      <c r="ET12">
        <v>167.4000000003</v>
      </c>
      <c r="EU12">
        <v>175.60000000049999</v>
      </c>
      <c r="EV12">
        <v>182.80000000050001</v>
      </c>
      <c r="EW12">
        <v>191.8999999998</v>
      </c>
      <c r="EX12">
        <v>200.1</v>
      </c>
      <c r="EY12">
        <v>207.89999999939999</v>
      </c>
      <c r="EZ12">
        <v>215.6999999988</v>
      </c>
      <c r="FA12">
        <v>223.70000000050001</v>
      </c>
      <c r="FB12">
        <v>231.09999999909999</v>
      </c>
      <c r="FC12">
        <v>238.9000000003</v>
      </c>
      <c r="FD12">
        <v>247.99999999959999</v>
      </c>
      <c r="FE12">
        <v>255.79999999899999</v>
      </c>
      <c r="FF12">
        <v>263.4999999991</v>
      </c>
      <c r="FG12">
        <v>270.69999999909999</v>
      </c>
      <c r="FH12">
        <v>278.09999999950003</v>
      </c>
      <c r="FI12">
        <v>284.59999999899998</v>
      </c>
      <c r="FJ12">
        <v>292.4000000003</v>
      </c>
      <c r="FK12">
        <v>300.60000000050002</v>
      </c>
      <c r="FL12">
        <v>307.9999999991</v>
      </c>
      <c r="FM12">
        <v>315.09999999979999</v>
      </c>
      <c r="FN12">
        <v>321.7000000004</v>
      </c>
      <c r="FO12">
        <v>328.4000000003</v>
      </c>
      <c r="FP12">
        <v>334.30000000040002</v>
      </c>
      <c r="FQ12">
        <v>340.69999999880002</v>
      </c>
      <c r="FR12">
        <v>348.2000000004</v>
      </c>
      <c r="FS12">
        <v>355.09999999889999</v>
      </c>
      <c r="FT12">
        <v>361.69999999949999</v>
      </c>
      <c r="FU12">
        <v>368.0999999997</v>
      </c>
      <c r="FV12">
        <v>373.49999999969998</v>
      </c>
      <c r="FW12">
        <v>379.30000000050001</v>
      </c>
      <c r="FX12">
        <v>384.79999999979998</v>
      </c>
      <c r="FY12">
        <v>390.19999999980001</v>
      </c>
      <c r="FZ12">
        <v>397.19999999940001</v>
      </c>
      <c r="GA12">
        <v>402.70000000060003</v>
      </c>
      <c r="GB12">
        <v>407.99999999940002</v>
      </c>
      <c r="GC12">
        <v>413.39999999949998</v>
      </c>
      <c r="GD12">
        <v>418.59999999910002</v>
      </c>
      <c r="GE12">
        <v>423.19999999930002</v>
      </c>
      <c r="GF12">
        <v>428.2999999996</v>
      </c>
      <c r="GG12">
        <v>433.30000000059999</v>
      </c>
      <c r="GH12">
        <v>437.2999999996</v>
      </c>
      <c r="GI12">
        <v>441.19999999930002</v>
      </c>
      <c r="GJ12">
        <v>445.70000000020002</v>
      </c>
      <c r="GK12">
        <v>450.39999999970001</v>
      </c>
      <c r="GL12">
        <v>452.29999999900002</v>
      </c>
      <c r="GM12">
        <v>453.1999999999</v>
      </c>
      <c r="GN12">
        <v>453.7</v>
      </c>
      <c r="GO12">
        <v>453.7</v>
      </c>
      <c r="GP12">
        <v>453.7</v>
      </c>
      <c r="GQ12">
        <v>453.4000000003</v>
      </c>
      <c r="GR12">
        <v>453.4000000003</v>
      </c>
      <c r="GS12">
        <v>453.2999999992</v>
      </c>
      <c r="GT12">
        <v>453.2999999992</v>
      </c>
      <c r="GU12">
        <v>453.7</v>
      </c>
      <c r="GV12">
        <v>453.99999999969998</v>
      </c>
      <c r="GW12">
        <v>1</v>
      </c>
      <c r="GX12">
        <v>105.39999999859999</v>
      </c>
      <c r="GY12">
        <v>102.9999999992</v>
      </c>
      <c r="GZ12">
        <v>102.9999999992</v>
      </c>
      <c r="HA12">
        <v>110.3000000003</v>
      </c>
      <c r="HB12">
        <v>104.71542359750001</v>
      </c>
      <c r="HC12">
        <v>-7.3000000010999999</v>
      </c>
      <c r="HD12">
        <v>453.99999999969998</v>
      </c>
      <c r="HE12">
        <v>291.03768866370001</v>
      </c>
      <c r="HF12">
        <v>78.303657595700003</v>
      </c>
      <c r="HG12">
        <v>453.99999999969998</v>
      </c>
      <c r="HH12">
        <v>453.99999999969998</v>
      </c>
      <c r="HI12">
        <v>453.7</v>
      </c>
      <c r="HJ12">
        <v>453.99999999969998</v>
      </c>
      <c r="HK12">
        <v>121.9941348974</v>
      </c>
      <c r="HL12">
        <v>3.2900898592000001</v>
      </c>
      <c r="HM12">
        <v>3.1878881957999998</v>
      </c>
      <c r="HN12">
        <v>3.2665671308999999</v>
      </c>
      <c r="HO12">
        <v>3.2259432272000002</v>
      </c>
      <c r="HP12">
        <v>3.4686179499000001</v>
      </c>
      <c r="HQ12">
        <v>2.3039551498000002</v>
      </c>
      <c r="HR12">
        <v>26.4117660018</v>
      </c>
      <c r="HS12">
        <v>-23.460410557199999</v>
      </c>
      <c r="HT12">
        <v>-160</v>
      </c>
      <c r="HU12">
        <v>395.75311226119999</v>
      </c>
      <c r="HV12">
        <v>91.495601172999997</v>
      </c>
      <c r="HW12">
        <v>624</v>
      </c>
      <c r="HX12">
        <v>26.4117660018</v>
      </c>
      <c r="HY12">
        <v>-23.460410557199999</v>
      </c>
      <c r="HZ12">
        <v>-160</v>
      </c>
      <c r="IA12">
        <v>395.75311226119999</v>
      </c>
      <c r="IB12">
        <v>91.495601172999997</v>
      </c>
      <c r="IC12">
        <v>624</v>
      </c>
      <c r="ID12">
        <v>58.2468877385</v>
      </c>
      <c r="IE12">
        <v>6.0556241042999996</v>
      </c>
      <c r="IF12">
        <v>-32.844574780099997</v>
      </c>
      <c r="IG12">
        <v>-224</v>
      </c>
      <c r="IH12">
        <v>417.74295471990001</v>
      </c>
      <c r="II12">
        <v>100.87976539589999</v>
      </c>
      <c r="IJ12">
        <v>688</v>
      </c>
      <c r="IK12">
        <v>369.34134625939998</v>
      </c>
      <c r="IL12">
        <v>114.9560117302</v>
      </c>
      <c r="IM12">
        <v>392.47277734990001</v>
      </c>
      <c r="IN12">
        <v>124.3401759531</v>
      </c>
      <c r="IO12">
        <v>6.4999999995</v>
      </c>
      <c r="IP12">
        <v>5.8000000007999999</v>
      </c>
      <c r="IQ12">
        <v>9.1999999985999992</v>
      </c>
      <c r="IR12">
        <v>5.3893919268000001</v>
      </c>
      <c r="IS12">
        <v>5.3893919268000001</v>
      </c>
      <c r="IT12">
        <v>5.2999999988999997</v>
      </c>
      <c r="IU12">
        <v>-25.806451612899998</v>
      </c>
      <c r="IV12">
        <v>10.6000000014</v>
      </c>
      <c r="IW12">
        <v>93.841642228699996</v>
      </c>
      <c r="IX12">
        <v>9.7000000004999993</v>
      </c>
      <c r="IY12">
        <v>98.533724340199996</v>
      </c>
      <c r="IZ12">
        <v>-32.133098151200002</v>
      </c>
      <c r="JA12">
        <v>0.33440049910000003</v>
      </c>
      <c r="JB12">
        <v>-3.2991360000000003E-4</v>
      </c>
      <c r="JC12">
        <v>6.9350000000000001E-7</v>
      </c>
      <c r="JD12">
        <v>0.3039430662</v>
      </c>
      <c r="JE12">
        <v>0.40049609489999999</v>
      </c>
      <c r="JF12">
        <v>0.1657621085</v>
      </c>
      <c r="JG12">
        <v>104.9286041723</v>
      </c>
      <c r="JH12">
        <v>3.4686179499000001</v>
      </c>
      <c r="JI12">
        <v>2.8175992000000001E-3</v>
      </c>
      <c r="JJ12">
        <v>-6.6904399999999996E-5</v>
      </c>
      <c r="JK12">
        <v>3.2900898592000001</v>
      </c>
      <c r="JL12">
        <v>1.699562835</v>
      </c>
      <c r="JM12">
        <v>0.58004941470000004</v>
      </c>
      <c r="JN12" t="s">
        <v>585</v>
      </c>
      <c r="JQ12">
        <v>1</v>
      </c>
    </row>
    <row r="13" spans="1:277">
      <c r="A13" t="s">
        <v>669</v>
      </c>
      <c r="B13" t="s">
        <v>670</v>
      </c>
      <c r="C13" t="s">
        <v>212</v>
      </c>
      <c r="D13">
        <v>3</v>
      </c>
      <c r="E13" t="s">
        <v>213</v>
      </c>
      <c r="F13" t="s">
        <v>214</v>
      </c>
      <c r="G13" t="s">
        <v>584</v>
      </c>
      <c r="H13" t="s">
        <v>216</v>
      </c>
      <c r="J13" t="s">
        <v>633</v>
      </c>
      <c r="K13" t="s">
        <v>634</v>
      </c>
      <c r="L13" t="s">
        <v>635</v>
      </c>
      <c r="M13" t="s">
        <v>636</v>
      </c>
      <c r="N13" t="s">
        <v>637</v>
      </c>
      <c r="O13">
        <v>0</v>
      </c>
      <c r="P13">
        <v>0</v>
      </c>
      <c r="Q13">
        <v>1.2999999999</v>
      </c>
      <c r="R13">
        <v>0.20000000039999999</v>
      </c>
      <c r="S13">
        <v>0.29999999970000002</v>
      </c>
      <c r="T13">
        <v>0.20000000039999999</v>
      </c>
      <c r="U13">
        <v>0.20000000039999999</v>
      </c>
      <c r="V13">
        <v>9.9999999300000003E-2</v>
      </c>
      <c r="W13">
        <v>0.20000000039999999</v>
      </c>
      <c r="X13">
        <v>0</v>
      </c>
      <c r="Y13">
        <v>9.9999999300000003E-2</v>
      </c>
      <c r="Z13">
        <v>0.20000000039999999</v>
      </c>
      <c r="AA13">
        <v>0.20000000039999999</v>
      </c>
      <c r="AB13">
        <v>0.20000000039999999</v>
      </c>
      <c r="AC13">
        <v>0.20000000039999999</v>
      </c>
      <c r="AD13">
        <v>0</v>
      </c>
      <c r="AE13">
        <v>9.9999999300000003E-2</v>
      </c>
      <c r="AF13">
        <v>0.20000000039999999</v>
      </c>
      <c r="AG13">
        <v>9.9999999300000003E-2</v>
      </c>
      <c r="AH13">
        <v>0.29999999970000002</v>
      </c>
      <c r="AI13">
        <v>0.40000000079999998</v>
      </c>
      <c r="AJ13">
        <v>5.3000000006999999</v>
      </c>
      <c r="AK13">
        <v>11.699999999099999</v>
      </c>
      <c r="AL13">
        <v>18.399999998999998</v>
      </c>
      <c r="AM13">
        <v>24.9999999996</v>
      </c>
      <c r="AN13">
        <v>31.9999999992</v>
      </c>
      <c r="AO13">
        <v>39.600000000100003</v>
      </c>
      <c r="AP13">
        <v>47.099999999799998</v>
      </c>
      <c r="AQ13">
        <v>54.200000000499998</v>
      </c>
      <c r="AR13">
        <v>61.799999999500002</v>
      </c>
      <c r="AS13">
        <v>69.600000000700007</v>
      </c>
      <c r="AT13">
        <v>77.400000000099993</v>
      </c>
      <c r="AU13">
        <v>85.199999999499994</v>
      </c>
      <c r="AV13">
        <v>93.300000000500006</v>
      </c>
      <c r="AW13">
        <v>101.6</v>
      </c>
      <c r="AX13">
        <v>110.3999999996</v>
      </c>
      <c r="AY13">
        <v>118.6999999991</v>
      </c>
      <c r="AZ13">
        <v>127.00000000039999</v>
      </c>
      <c r="BA13">
        <v>135.0999999995</v>
      </c>
      <c r="BB13">
        <v>143.59999999940001</v>
      </c>
      <c r="BC13">
        <v>151.59999999920001</v>
      </c>
      <c r="BD13">
        <v>159.29999999930001</v>
      </c>
      <c r="BE13">
        <v>167.4000000003</v>
      </c>
      <c r="BF13">
        <v>175.40000000009999</v>
      </c>
      <c r="BG13">
        <v>183.49999999920001</v>
      </c>
      <c r="BH13">
        <v>191.60000000010001</v>
      </c>
      <c r="BI13">
        <v>199.6999999992</v>
      </c>
      <c r="BJ13">
        <v>207.5999999997</v>
      </c>
      <c r="BK13">
        <v>215.70000000069999</v>
      </c>
      <c r="BL13">
        <v>223.70000000050001</v>
      </c>
      <c r="BM13">
        <v>231.09999999909999</v>
      </c>
      <c r="BN13">
        <v>238.99999999959999</v>
      </c>
      <c r="BO13">
        <v>246.4999999993</v>
      </c>
      <c r="BP13">
        <v>253.89999999969999</v>
      </c>
      <c r="BQ13">
        <v>261.59999999979999</v>
      </c>
      <c r="BR13">
        <v>269.20000000060003</v>
      </c>
      <c r="BS13">
        <v>276.49999999990001</v>
      </c>
      <c r="BT13">
        <v>283.29999999910001</v>
      </c>
      <c r="BU13">
        <v>290.89999999999998</v>
      </c>
      <c r="BV13">
        <v>297.89999999960003</v>
      </c>
      <c r="BW13">
        <v>304.59999999950003</v>
      </c>
      <c r="BX13">
        <v>311.90000000060002</v>
      </c>
      <c r="BY13">
        <v>318.79999999910001</v>
      </c>
      <c r="BZ13">
        <v>325.60000000010001</v>
      </c>
      <c r="CA13">
        <v>331.89999999920002</v>
      </c>
      <c r="CB13">
        <v>338.20000000009998</v>
      </c>
      <c r="CC13">
        <v>344.90000000010002</v>
      </c>
      <c r="CD13">
        <v>351.30000000029997</v>
      </c>
      <c r="CE13">
        <v>357.29999999969999</v>
      </c>
      <c r="CF13">
        <v>363.6999999999</v>
      </c>
      <c r="CG13">
        <v>369.30000000029997</v>
      </c>
      <c r="CH13">
        <v>375.89999999909998</v>
      </c>
      <c r="CI13">
        <v>381.49999999950001</v>
      </c>
      <c r="CJ13">
        <v>387.30000000029997</v>
      </c>
      <c r="CK13">
        <v>392.59999999920001</v>
      </c>
      <c r="CL13">
        <v>398.60000000039997</v>
      </c>
      <c r="CM13">
        <v>403.89999999930001</v>
      </c>
      <c r="CN13">
        <v>409.49999999980002</v>
      </c>
      <c r="CO13">
        <v>414.9999999991</v>
      </c>
      <c r="CP13">
        <v>420.09999999939998</v>
      </c>
      <c r="CQ13">
        <v>425.40000000010002</v>
      </c>
      <c r="CR13">
        <v>430.09999999960002</v>
      </c>
      <c r="CS13">
        <v>434.69999999980001</v>
      </c>
      <c r="CT13">
        <v>438.20000000049998</v>
      </c>
      <c r="CU13">
        <v>441.80000000050001</v>
      </c>
      <c r="CV13">
        <v>444.99999999969998</v>
      </c>
      <c r="CW13">
        <v>445.20000000009998</v>
      </c>
      <c r="CX13">
        <v>445.20000000009998</v>
      </c>
      <c r="CY13">
        <v>445.49999999980002</v>
      </c>
      <c r="CZ13">
        <v>445.59999999910002</v>
      </c>
      <c r="DA13">
        <v>445.99999999990001</v>
      </c>
      <c r="DB13">
        <v>445.90000000060002</v>
      </c>
      <c r="DC13">
        <v>445.79999999950002</v>
      </c>
      <c r="DD13">
        <v>445.59999999910002</v>
      </c>
      <c r="DE13">
        <v>445.49999999980002</v>
      </c>
      <c r="DF13">
        <v>445.49999999980002</v>
      </c>
      <c r="DG13">
        <v>1.5999999996000001</v>
      </c>
      <c r="DH13">
        <v>0.79999999980000003</v>
      </c>
      <c r="DI13">
        <v>0.59999999940000004</v>
      </c>
      <c r="DJ13">
        <v>0.79999999980000003</v>
      </c>
      <c r="DK13">
        <v>0.79999999980000003</v>
      </c>
      <c r="DL13">
        <v>1.0000000002</v>
      </c>
      <c r="DM13">
        <v>0.79999999980000003</v>
      </c>
      <c r="DN13">
        <v>1.0000000002</v>
      </c>
      <c r="DO13">
        <v>0.7000000005</v>
      </c>
      <c r="DP13">
        <v>0.89999999909999995</v>
      </c>
      <c r="DQ13">
        <v>0.59999999940000004</v>
      </c>
      <c r="DR13">
        <v>1.0000000002</v>
      </c>
      <c r="DS13">
        <v>0.7000000005</v>
      </c>
      <c r="DT13">
        <v>0.7000000005</v>
      </c>
      <c r="DU13">
        <v>0.79999999980000003</v>
      </c>
      <c r="DV13">
        <v>0.89999999909999995</v>
      </c>
      <c r="DW13">
        <v>0.79999999980000003</v>
      </c>
      <c r="DX13">
        <v>0.89999999909999995</v>
      </c>
      <c r="DY13">
        <v>3.6999999993000001</v>
      </c>
      <c r="DZ13">
        <v>10.5999999996</v>
      </c>
      <c r="EA13">
        <v>17.700000000300001</v>
      </c>
      <c r="EB13">
        <v>24.499999999500002</v>
      </c>
      <c r="EC13">
        <v>31.6000000003</v>
      </c>
      <c r="ED13">
        <v>39.300000000399997</v>
      </c>
      <c r="EE13">
        <v>46.800000000099999</v>
      </c>
      <c r="EF13">
        <v>53.5</v>
      </c>
      <c r="EG13">
        <v>61.100000000800001</v>
      </c>
      <c r="EH13">
        <v>68.499999999400004</v>
      </c>
      <c r="EI13">
        <v>76.300000000599994</v>
      </c>
      <c r="EJ13">
        <v>83.899999999599999</v>
      </c>
      <c r="EK13">
        <v>92.199999999100001</v>
      </c>
      <c r="EL13">
        <v>100.3000000001</v>
      </c>
      <c r="EM13">
        <v>108.7000000007</v>
      </c>
      <c r="EN13">
        <v>117.89999999929999</v>
      </c>
      <c r="EO13">
        <v>126.0999999995</v>
      </c>
      <c r="EP13">
        <v>134.0999999993</v>
      </c>
      <c r="EQ13">
        <v>141.9999999998</v>
      </c>
      <c r="ER13">
        <v>150.29999999930001</v>
      </c>
      <c r="ES13">
        <v>158.29999999910001</v>
      </c>
      <c r="ET13">
        <v>166.90000000020001</v>
      </c>
      <c r="EU13">
        <v>174.9</v>
      </c>
      <c r="EV13">
        <v>183.30000000059999</v>
      </c>
      <c r="EW13">
        <v>191.50000000079999</v>
      </c>
      <c r="EX13">
        <v>199.59999999990001</v>
      </c>
      <c r="EY13">
        <v>206.89999999919999</v>
      </c>
      <c r="EZ13">
        <v>215.5000000002</v>
      </c>
      <c r="FA13">
        <v>223.29999999969999</v>
      </c>
      <c r="FB13">
        <v>230.7999999994</v>
      </c>
      <c r="FC13">
        <v>239.29999999930001</v>
      </c>
      <c r="FD13">
        <v>247.29999999910001</v>
      </c>
      <c r="FE13">
        <v>254.80000000059999</v>
      </c>
      <c r="FF13">
        <v>262.80000000040002</v>
      </c>
      <c r="FG13">
        <v>270.3000000001</v>
      </c>
      <c r="FH13">
        <v>277</v>
      </c>
      <c r="FI13">
        <v>284.20000000009998</v>
      </c>
      <c r="FJ13">
        <v>292.4000000003</v>
      </c>
      <c r="FK13">
        <v>299.49999999919999</v>
      </c>
      <c r="FL13">
        <v>306.80000000029997</v>
      </c>
      <c r="FM13">
        <v>314.09999999960002</v>
      </c>
      <c r="FN13">
        <v>321.09999999920001</v>
      </c>
      <c r="FO13">
        <v>327.19999999970003</v>
      </c>
      <c r="FP13">
        <v>333.50000000059998</v>
      </c>
      <c r="FQ13">
        <v>340.79999999990002</v>
      </c>
      <c r="FR13">
        <v>347.49999999990001</v>
      </c>
      <c r="FS13">
        <v>353.80000000080003</v>
      </c>
      <c r="FT13">
        <v>360.39999999960003</v>
      </c>
      <c r="FU13">
        <v>366.70000000049998</v>
      </c>
      <c r="FV13">
        <v>372.7999999992</v>
      </c>
      <c r="FW13">
        <v>378.00000000059998</v>
      </c>
      <c r="FX13">
        <v>383.59999999920001</v>
      </c>
      <c r="FY13">
        <v>389.79999999900002</v>
      </c>
      <c r="FZ13">
        <v>395.69999999909999</v>
      </c>
      <c r="GA13">
        <v>401.40000000060002</v>
      </c>
      <c r="GB13">
        <v>406.80000000069998</v>
      </c>
      <c r="GC13">
        <v>412.3</v>
      </c>
      <c r="GD13">
        <v>417.4000000003</v>
      </c>
      <c r="GE13">
        <v>422.30000000019999</v>
      </c>
      <c r="GF13">
        <v>426.99999999969998</v>
      </c>
      <c r="GG13">
        <v>431.00000000049999</v>
      </c>
      <c r="GH13">
        <v>434.60000000050002</v>
      </c>
      <c r="GI13">
        <v>438.50000000019998</v>
      </c>
      <c r="GJ13">
        <v>442.60000000029999</v>
      </c>
      <c r="GK13">
        <v>445.49999999980002</v>
      </c>
      <c r="GL13">
        <v>445.90000000060002</v>
      </c>
      <c r="GM13">
        <v>445.90000000060002</v>
      </c>
      <c r="GN13">
        <v>445.40000000049997</v>
      </c>
      <c r="GO13">
        <v>445.70000000020002</v>
      </c>
      <c r="GP13">
        <v>445.79999999950002</v>
      </c>
      <c r="GQ13">
        <v>445.90000000060002</v>
      </c>
      <c r="GR13">
        <v>446.2999999996</v>
      </c>
      <c r="GS13">
        <v>446.4000000007</v>
      </c>
      <c r="GT13">
        <v>445.79999999950002</v>
      </c>
      <c r="GU13">
        <v>445.59999999910002</v>
      </c>
      <c r="GV13">
        <v>445.70000000020002</v>
      </c>
      <c r="GW13">
        <v>1</v>
      </c>
      <c r="GX13">
        <v>103.1999999996</v>
      </c>
      <c r="GY13">
        <v>101.6</v>
      </c>
      <c r="GZ13">
        <v>101.6</v>
      </c>
      <c r="HA13">
        <v>108.7000000007</v>
      </c>
      <c r="HB13">
        <v>103.2735373236</v>
      </c>
      <c r="HC13">
        <v>-7.1000000006999997</v>
      </c>
      <c r="HD13">
        <v>445.6997758352</v>
      </c>
      <c r="HE13">
        <v>291.39835238649999</v>
      </c>
      <c r="HF13">
        <v>84.580228649399999</v>
      </c>
      <c r="HG13">
        <v>446.4000000007</v>
      </c>
      <c r="HH13">
        <v>446.4000000007</v>
      </c>
      <c r="HI13">
        <v>445.99999999990001</v>
      </c>
      <c r="HJ13">
        <v>446.4000000007</v>
      </c>
      <c r="HK13">
        <v>117.3020527859</v>
      </c>
      <c r="HL13">
        <v>3.2977671990999999</v>
      </c>
      <c r="HM13">
        <v>3.2035770440000002</v>
      </c>
      <c r="HN13">
        <v>3.2549771727999999</v>
      </c>
      <c r="HO13">
        <v>3.2081653918000002</v>
      </c>
      <c r="HP13">
        <v>3.4844893309999998</v>
      </c>
      <c r="HQ13">
        <v>2.2766004382</v>
      </c>
      <c r="HR13">
        <v>18.693308674200001</v>
      </c>
      <c r="HS13">
        <v>-25.806451612899998</v>
      </c>
      <c r="HT13">
        <v>-176</v>
      </c>
      <c r="HU13">
        <v>394.6718897101</v>
      </c>
      <c r="HV13">
        <v>91.495601172999997</v>
      </c>
      <c r="HW13">
        <v>624</v>
      </c>
      <c r="HX13">
        <v>18.693308674200001</v>
      </c>
      <c r="HY13">
        <v>-25.806451612899998</v>
      </c>
      <c r="HZ13">
        <v>-176</v>
      </c>
      <c r="IA13">
        <v>394.6718897101</v>
      </c>
      <c r="IB13">
        <v>91.495601172999997</v>
      </c>
      <c r="IC13">
        <v>624</v>
      </c>
      <c r="ID13">
        <v>51.7281102906</v>
      </c>
      <c r="IE13">
        <v>0.30080699360000002</v>
      </c>
      <c r="IF13">
        <v>-35.190615835800003</v>
      </c>
      <c r="IG13">
        <v>-240</v>
      </c>
      <c r="IH13">
        <v>416.82180004510002</v>
      </c>
      <c r="II13">
        <v>100.87976539589999</v>
      </c>
      <c r="IJ13">
        <v>688</v>
      </c>
      <c r="IK13">
        <v>375.97858103589999</v>
      </c>
      <c r="IL13">
        <v>117.3020527859</v>
      </c>
      <c r="IM13">
        <v>400.60778973319998</v>
      </c>
      <c r="IN13">
        <v>126.6862170088</v>
      </c>
      <c r="IO13">
        <v>7.1000000006999997</v>
      </c>
      <c r="IP13">
        <v>5.6000000003999997</v>
      </c>
      <c r="IQ13">
        <v>9.1999999985999992</v>
      </c>
      <c r="IR13">
        <v>6.0091798710999997</v>
      </c>
      <c r="IS13">
        <v>6.0091798710999997</v>
      </c>
      <c r="IT13">
        <v>6.0000000012000001</v>
      </c>
      <c r="IU13">
        <v>-28.152492668600001</v>
      </c>
      <c r="IV13">
        <v>9.5000000001</v>
      </c>
      <c r="IW13">
        <v>60.997067448700001</v>
      </c>
      <c r="IX13">
        <v>8.4000000006000004</v>
      </c>
      <c r="IY13">
        <v>98.533724340199996</v>
      </c>
      <c r="IZ13">
        <v>-31.603902268999999</v>
      </c>
      <c r="JA13">
        <v>0.33123139750000002</v>
      </c>
      <c r="JB13">
        <v>-3.2501829999999999E-4</v>
      </c>
      <c r="JC13">
        <v>6.9869999999999998E-7</v>
      </c>
      <c r="JD13">
        <v>0.30323547410000001</v>
      </c>
      <c r="JE13">
        <v>0.28534988929999999</v>
      </c>
      <c r="JF13">
        <v>0.1253381787</v>
      </c>
      <c r="JG13">
        <v>104.06234020860001</v>
      </c>
      <c r="JH13">
        <v>3.4844893309999998</v>
      </c>
      <c r="JI13">
        <v>2.7237689E-3</v>
      </c>
      <c r="JJ13">
        <v>-6.7941900000000001E-5</v>
      </c>
      <c r="JK13">
        <v>3.2977671990999999</v>
      </c>
      <c r="JL13">
        <v>1.5716415379999999</v>
      </c>
      <c r="JM13">
        <v>0.5578927119</v>
      </c>
      <c r="JN13" t="s">
        <v>585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88.999338152799993</v>
      </c>
      <c r="D16" s="9">
        <f>AVERAGE(C18:C20)</f>
        <v>89.331575575999992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92.258351380600004</v>
      </c>
      <c r="D17" s="9">
        <f>AVERAGE(C21:C23)</f>
        <v>86.744319687900017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84.995342616299993</v>
      </c>
      <c r="D18" s="11">
        <f>AVERAGE(C24:C26)</f>
        <v>87.04330915846667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91.521538058399997</v>
      </c>
      <c r="D19" s="6">
        <f>AVERAGE('Summary(3pcs)'!E34:E35)</f>
        <v>129.67308824458789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91.477846053299999</v>
      </c>
      <c r="D20" s="9">
        <f>AVERAGE('Summary(3pcs)'!E36:E38)</f>
        <v>128.43925334987122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83.987540429600003</v>
      </c>
      <c r="D21" s="9">
        <f>AVERAGE('Summary(3pcs)'!E39:E41)</f>
        <v>137.29043211597121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88.793480109100003</v>
      </c>
      <c r="D22" s="11">
        <f>AVERAGE('Summary(3pcs)'!E42:E44)</f>
        <v>124.2127471651379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87.451938525000003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80.5889998615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91.951560419700002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88.589367194199994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8.9753025194999996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0.77634343319999999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-2.5971715969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-4.3126358097999997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-0.24921208580000001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1.0851438918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0.90319497400000004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-1.4162547825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0.71045963649999977</v>
      </c>
      <c r="C39" s="5">
        <f>'Summary(3pcs)'!M34</f>
        <v>8.9753025194999996</v>
      </c>
      <c r="D39" s="11">
        <f t="shared" si="0"/>
        <v>-15.179681480099999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0.77634343319999999</v>
      </c>
      <c r="D40" s="6">
        <f t="shared" si="0"/>
        <v>2.4512321993000001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-2.5971715969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-4.3126358097999997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8.0717999375000016E-2</v>
      </c>
      <c r="C43" s="8">
        <f>'Summary(3pcs)'!M39</f>
        <v>-0.24921208580000001</v>
      </c>
      <c r="D43" s="6">
        <f t="shared" ref="D43:D54" si="2">C55</f>
        <v>-0.64117425109999981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1.0851438918</v>
      </c>
      <c r="D44" s="9">
        <f t="shared" si="2"/>
        <v>-1.4764451473999998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0.90319497400000004</v>
      </c>
      <c r="D45" s="11">
        <f t="shared" si="2"/>
        <v>1.4588147931000002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-1.4162547825</v>
      </c>
      <c r="D46" s="6">
        <f t="shared" si="2"/>
        <v>-11.135786063199999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-15.179681480099999</v>
      </c>
      <c r="D47" s="9">
        <f t="shared" si="2"/>
        <v>9.7576343950000002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2.4512321993000001</v>
      </c>
      <c r="D48" s="11">
        <f t="shared" si="2"/>
        <v>-4.7297438414999995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-3.5218973301999998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0.56278686829999991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-3.0457265546999999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-7.0144615489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-2.9486476671499995</v>
      </c>
      <c r="C55" s="5">
        <f>'Summary(3pcs)'!N34</f>
        <v>-0.64117425109999981</v>
      </c>
      <c r="D55" s="6">
        <f>AVERAGE(D31:D33)</f>
        <v>2.3848247852666664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-1.4764451473999998</v>
      </c>
      <c r="D56" s="9">
        <f>AVERAGE(D34:D36)</f>
        <v>-1.1589013345999999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1.4588147931000002</v>
      </c>
      <c r="D57" s="9">
        <f>AVERAGE(D37:D39)</f>
        <v>-5.230913762866666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-11.135786063199999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0.51719502290000019</v>
      </c>
      <c r="C59" s="8">
        <f>'Summary(3pcs)'!N39</f>
        <v>9.7576343950000002</v>
      </c>
      <c r="D59" s="9">
        <f>AVERAGE(D43:D45)</f>
        <v>-0.21960153513333314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-4.7297438414999995</v>
      </c>
      <c r="D60" s="9">
        <f>AVERAGE(D46:D48)</f>
        <v>-2.0359651698999994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-3.5218973301999998</v>
      </c>
      <c r="D61" s="9">
        <f>AVERAGE(D49:D51)</f>
        <v>-2.0016123388666665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0.56278686829999991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-3.0457265546999999</v>
      </c>
      <c r="D63" s="6">
        <f>AVERAGE(C71:C73)</f>
        <v>-7.323984622966667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-7.0144615489</v>
      </c>
      <c r="D64" s="9">
        <f>AVERAGE(C74:C76)</f>
        <v>-4.4530069033333328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-5.7042586009000003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-4.5165245136000003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-4.4592982927666664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-1.7604348063333333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-4.1843055288000004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-0.66178531446666666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-10.829535484299999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-6.9829885960000002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-4.1594297885999998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-10.5116095543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-0.11678218840000021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-2.7306289672999999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-8.8031778335999995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-4.2566869259000004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-4.0529110432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-4.4522160291999997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-9.4713661670999993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0.37400865549999995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-8.2603654860999995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-0.8192448616000001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-4.2982845306000002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-4.5632598399999997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1.6720304489000002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-2.3900750279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-2.2228272556999999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-7.0246949195999999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-3.3053944111</v>
      </c>
    </row>
    <row r="96" spans="1:7">
      <c r="A96" s="1" t="s">
        <v>87</v>
      </c>
      <c r="C96" s="5">
        <f>'Summary(3pcs)'!W43</f>
        <v>-2.6436643302</v>
      </c>
    </row>
    <row r="97" spans="1:3">
      <c r="A97" s="1" t="s">
        <v>87</v>
      </c>
      <c r="C97" s="8">
        <f>'Summary(3pcs)'!W44</f>
        <v>-2.5047966241999999</v>
      </c>
    </row>
    <row r="98" spans="1:3" ht="17.25" thickBot="1">
      <c r="A98" s="1" t="s">
        <v>87</v>
      </c>
      <c r="C98" s="10">
        <f>'Summary(3pcs)'!W45</f>
        <v>3.1631050109999999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2022-09-23T11:30:16Z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