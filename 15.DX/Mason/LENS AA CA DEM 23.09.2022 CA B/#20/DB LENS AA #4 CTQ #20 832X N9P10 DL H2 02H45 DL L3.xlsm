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<sst xmlns="http://schemas.openxmlformats.org/spreadsheetml/2006/main" count="924" uniqueCount="575">
  <si>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</si>
  <si>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</si>
  <si>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</si>
  <si>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</si>
  <si>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</si>
  <si>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</si>
  <si>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</si>
  <si>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</si>
  <si>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</si>
  <si>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</si>
  <si>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</si>
  <si>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</si>
  <si>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</si>
  <si>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</si>
  <si>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</si>
  <si>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</si>
  <si>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</si>
  <si>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</si>
  <si>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</si>
  <si>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</si>
  <si>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</si>
  <si>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</si>
  <si>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</si>
  <si>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</si>
  <si>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</si>
  <si>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</si>
  <si>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</si>
  <si>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</si>
  <si>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</si>
  <si>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</si>
  <si>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</si>
  <si>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</si>
  <si>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</si>
  <si>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</si>
  <si>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</si>
  <si>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</si>
  <si>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</si>
  <si>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</si>
  <si>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</si>
  <si>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</si>
  <si>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</si>
  <si>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</si>
  <si>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</si>
  <si>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</si>
  <si>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</si>
  <si>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</si>
  <si>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</si>
  <si>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</si>
  <si>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</si>
  <si>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</si>
  <si>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</si>
  <si>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</si>
  <si>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</si>
  <si>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</si>
  <si>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</si>
  <si>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</si>
  <si>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</si>
  <si>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</si>
  <si>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</si>
  <si>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</si>
  <si>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</si>
  <si>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</si>
  <si>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</si>
  <si>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</si>
  <si>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</si>
  <si>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</si>
  <si>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</si>
  <si>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</si>
  <si>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</si>
  <si>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</si>
  <si>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</si>
  <si>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</si>
  <si>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</si>
  <si>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</si>
  <si>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</si>
  <si>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</si>
  <si>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</si>
  <si>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</si>
  <si>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</si>
  <si>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</si>
  <si>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</si>
  <si>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</si>
  <si>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</si>
  <si>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</si>
  <si>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</si>
  <si>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</si>
  <si>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</si>
  <si>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</si>
  <si>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</si>
  <si>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</si>
  <si>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</si>
  <si>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</si>
  <si>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</si>
  <si>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</si>
  <si>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</si>
  <si>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</si>
  <si>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</si>
  <si>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</si>
  <si>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</si>
  <si>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</si>
  <si>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</si>
  <si>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</si>
  <si>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</si>
  <si>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</si>
  <si>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</si>
  <si>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</si>
  <si>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</si>
  <si>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</si>
  <si>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</si>
  <si>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</si>
  <si>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</si>
  <si>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</si>
  <si>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</si>
  <si>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</si>
  <si>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</si>
  <si>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</si>
  <si>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</si>
  <si>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</si>
  <si>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</si>
  <si>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</si>
  <si>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</si>
  <si>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</si>
  <si>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</si>
  <si>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</si>
  <si>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</si>
  <si>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</si>
  <si>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</si>
  <si>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</si>
  <si>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</si>
  <si>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</si>
  <si>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</si>
  <si>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</si>
  <si>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</si>
  <si>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</si>
  <si>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</si>
  <si>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</si>
  <si>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</si>
  <si>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</si>
  <si>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</si>
  <si>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</si>
  <si>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</si>
  <si>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</si>
  <si>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</si>
  <si>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</si>
  <si>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</si>
  <si>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</si>
  <si>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</si>
  <si>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</si>
  <si>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</si>
  <si>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</si>
  <si>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</si>
  <si>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</si>
  <si>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</si>
  <si>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</si>
  <si>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</si>
  <si>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</si>
  <si>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</si>
  <si>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</si>
  <si>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</si>
  <si>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</si>
  <si>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</si>
  <si>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</si>
  <si>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</si>
  <si>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</si>
  <si>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</si>
  <si>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</si>
  <si>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</si>
  <si>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</si>
  <si>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</si>
  <si>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</si>
  <si>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</si>
  <si>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</si>
  <si>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</si>
  <si>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</si>
  <si>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</si>
  <si>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</si>
  <si>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</si>
  <si>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</si>
  <si>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</si>
  <si>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</si>
  <si>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</si>
  <si>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</si>
  <si>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</si>
  <si>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</si>
  <si>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</si>
  <si>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</si>
  <si>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</si>
  <si>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</si>
  <si>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</si>
  <si>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</si>
  <si>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</si>
  <si>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</si>
  <si>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</si>
  <si>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</si>
  <si>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</si>
  <si>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</si>
  <si>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</si>
  <si>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</si>
  <si>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</si>
  <si>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</si>
  <si>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</si>
  <si>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</si>
  <si>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</si>
  <si>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</si>
  <si>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</si>
  <si>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</si>
  <si>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</si>
  <si>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</si>
  <si>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</si>
  <si>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VCMLEBC040A</t>
  </si>
  <si>
    <t>DB_M_C2001</t>
  </si>
  <si>
    <t>220217A</t>
  </si>
  <si>
    <t>EPSSWEXCEPTION_POR_R22A_OC_MFG_C20_22051701_5d43eac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</si>
  <si>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</si>
  <si>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</si>
  <si>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</si>
  <si>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</si>
  <si>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</si>
  <si>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</si>
  <si>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</si>
  <si>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</si>
  <si>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</si>
  <si>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</si>
  <si>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</si>
  <si>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</si>
  <si>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</si>
  <si>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</si>
  <si>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</si>
  <si>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</si>
  <si>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</si>
  <si>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</si>
  <si>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</si>
  <si>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</si>
  <si>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</si>
  <si>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</si>
  <si>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</si>
  <si>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</si>
  <si>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</si>
  <si>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</si>
  <si>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</si>
  <si>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</si>
  <si>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</si>
  <si>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</si>
  <si>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</si>
  <si>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</si>
  <si>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</si>
  <si>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</si>
  <si>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</si>
  <si>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</si>
  <si>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</si>
  <si>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</si>
  <si>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</si>
  <si>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</si>
  <si>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</si>
  <si>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</si>
  <si>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</si>
  <si>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</si>
  <si>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</si>
  <si>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</si>
  <si>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</si>
  <si>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</si>
  <si>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</si>
  <si>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</si>
  <si>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</si>
  <si>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</si>
  <si>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</si>
  <si>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</si>
  <si>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</si>
  <si>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</si>
  <si>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</si>
  <si>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</si>
  <si>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</si>
  <si>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</si>
  <si>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</si>
  <si>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</si>
  <si>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</si>
  <si>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</si>
  <si>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</si>
  <si>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</si>
  <si>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</si>
  <si>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</si>
  <si>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</si>
  <si>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</si>
  <si>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</si>
  <si>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</si>
  <si>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</si>
  <si>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</si>
  <si>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</si>
  <si>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</si>
  <si>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</si>
  <si>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</si>
  <si>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</si>
  <si>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</si>
  <si>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</si>
  <si>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</si>
  <si>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</si>
  <si>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</si>
  <si>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</si>
  <si>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</si>
  <si>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</si>
  <si>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</si>
  <si>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</si>
  <si>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</si>
  <si>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</si>
  <si>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</si>
  <si>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</si>
  <si>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</si>
  <si>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</si>
  <si>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</si>
  <si>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</si>
  <si>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</si>
  <si>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</si>
  <si>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</si>
  <si>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</si>
  <si>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</si>
  <si>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</si>
  <si>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</si>
  <si>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</si>
  <si>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</si>
  <si>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</si>
  <si>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</si>
  <si>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</si>
  <si>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</si>
  <si>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</si>
  <si>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</si>
  <si>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</si>
  <si>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</si>
  <si>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</si>
  <si>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</si>
  <si>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</si>
  <si>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</si>
  <si>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</si>
  <si>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</si>
  <si>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</si>
  <si>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</si>
  <si>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</si>
  <si>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</si>
  <si>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</si>
  <si>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</si>
  <si>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</si>
  <si>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</si>
  <si>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</si>
  <si>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</si>
  <si>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</si>
  <si>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</si>
  <si>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</si>
  <si>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</si>
  <si>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</si>
  <si>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</si>
  <si>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</si>
  <si>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</si>
  <si>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</si>
  <si>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</si>
  <si>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</si>
  <si>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</si>
  <si>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</si>
  <si>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</si>
  <si>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</si>
  <si>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</si>
  <si>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</si>
  <si>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</si>
  <si>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</si>
  <si>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</si>
  <si>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</si>
  <si>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</si>
  <si>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</si>
  <si>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</si>
  <si>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</si>
  <si>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</si>
  <si>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</si>
  <si>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</si>
  <si>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</si>
  <si>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</si>
  <si>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</si>
  <si>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</si>
  <si>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</si>
  <si>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</si>
  <si>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</si>
  <si>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</si>
  <si>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</si>
  <si>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</si>
  <si>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</si>
  <si>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</si>
  <si>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</si>
  <si>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</si>
  <si>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</si>
  <si>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</si>
  <si>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</si>
  <si>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</si>
  <si>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</si>
  <si>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</si>
  <si>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</si>
  <si>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</si>
  <si>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</si>
  <si>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</si>
  <si>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</si>
  <si>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</si>
  <si>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</si>
  <si>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</si>
  <si>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</si>
  <si>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</si>
  <si>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</si>
  <si>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</si>
  <si>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</si>
  <si>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</si>
  <si>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</si>
  <si>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</si>
  <si>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</si>
  <si>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</si>
  <si>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</si>
  <si>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</si>
  <si>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</si>
  <si>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</si>
  <si>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</si>
  <si>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</si>
  <si>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</si>
  <si>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</si>
  <si>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</si>
  <si>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</si>
  <si>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</si>
  <si>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</si>
  <si>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</si>
  <si>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</si>
  <si>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</si>
  <si>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</si>
  <si>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</si>
  <si>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</si>
  <si>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</si>
  <si>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</si>
  <si>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</si>
  <si>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</si>
  <si>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</si>
  <si>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</si>
  <si>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</si>
  <si>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</si>
  <si>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</si>
  <si>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</si>
  <si>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</si>
  <si>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</si>
  <si>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</si>
  <si>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</si>
  <si>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</si>
  <si>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</si>
  <si>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</si>
  <si>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</si>
  <si>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</si>
  <si>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</si>
  <si>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</si>
  <si>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</si>
  <si>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</si>
  <si>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</si>
  <si>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</si>
  <si>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</si>
  <si>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</si>
  <si>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</si>
  <si>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</si>
  <si>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</si>
  <si>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</si>
  <si>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</si>
  <si>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</si>
  <si>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</si>
  <si>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</si>
  <si>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</si>
  <si>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</si>
  <si>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</si>
  <si>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</si>
  <si>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</si>
  <si>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</si>
  <si>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</si>
  <si>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</si>
  <si>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</si>
  <si>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</si>
  <si>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</si>
  <si>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</si>
  <si>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</si>
  <si>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</si>
  <si>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</si>
  <si>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</si>
  <si>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</si>
  <si>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</si>
  <si>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</si>
  <si>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</si>
  <si>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</si>
  <si>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</si>
  <si>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</si>
  <si>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</si>
  <si>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</si>
  <si>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</si>
  <si>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</si>
  <si>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</si>
  <si>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</si>
  <si>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</si>
  <si>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</si>
  <si>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</si>
  <si>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</si>
  <si>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</si>
  <si>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</si>
  <si>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</si>
  <si>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</si>
  <si>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</si>
  <si>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</si>
  <si>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</si>
  <si>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</si>
  <si>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</si>
  <si>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</si>
  <si>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</si>
  <si>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</si>
  <si>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</si>
  <si>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</si>
  <si>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</si>
  <si>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</si>
  <si>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</si>
  <si>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</si>
  <si>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</si>
  <si>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</si>
  <si>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</si>
  <si>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</si>
  <si>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</si>
  <si>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</si>
  <si>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</si>
  <si>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</si>
  <si>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</si>
  <si>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</si>
  <si>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</si>
  <si>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</si>
  <si>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</si>
  <si>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EPSSWEXCEPTION_POR_R22A_IPQC_MFG_Laser_C20_22051701_5d43eac</t>
  </si>
  <si>
    <t>v9p402</t>
  </si>
  <si>
    <t>D:\EVMS\TP\ELOG\VSY832XN9P10_2022092400</t>
    <phoneticPr fontId="6" type="noConversion"/>
  </si>
  <si>
    <t>T220924004932393VCMLEBC040</t>
  </si>
  <si>
    <t>'20220924004934</t>
  </si>
  <si>
    <t>'2022-09-24 00:49:41:274</t>
  </si>
  <si>
    <t>VSY832XN9P10</t>
  </si>
  <si>
    <t>22cd05180790</t>
  </si>
  <si>
    <t>0x52801862de20f703</t>
  </si>
  <si>
    <t>MFEC387EB61VA3B6B041027012</t>
  </si>
  <si>
    <t>MF4C3264A6G515A7A639</t>
  </si>
  <si>
    <t>DNA22262085520E12A</t>
  </si>
  <si>
    <t>T220924005043563VCMLEBC040</t>
  </si>
  <si>
    <t>'20220924005045</t>
  </si>
  <si>
    <t>'2022-09-24 00:50:52:760</t>
  </si>
  <si>
    <t>22cd05180800</t>
  </si>
  <si>
    <t>0x52801562dbea0005</t>
  </si>
  <si>
    <t>MFEC387EB5VNA3B6A336017003</t>
  </si>
  <si>
    <t>MF4C3264A6G115A7A632</t>
  </si>
  <si>
    <t>DNA22262085520G03A</t>
  </si>
  <si>
    <t>T220924005203705VCMLEBC040</t>
  </si>
  <si>
    <t>'20220924005205</t>
  </si>
  <si>
    <t>'2022-09-24 00:52:12:521</t>
  </si>
  <si>
    <t>22cd05180117</t>
  </si>
  <si>
    <t>0x52801362dd1a6604</t>
  </si>
  <si>
    <t>MFEC387EB5WJA3B6B635102103</t>
  </si>
  <si>
    <t>MF4C3264A6G015A7A632</t>
  </si>
  <si>
    <t>DNA22262085520G01A</t>
  </si>
  <si>
    <t>T220924004958815VCMLEBC040</t>
  </si>
  <si>
    <t>'20220924005000</t>
  </si>
  <si>
    <t>'2022-09-24 00:50:27:598</t>
  </si>
  <si>
    <t>T220924005110384VCMLEBC040</t>
  </si>
  <si>
    <t>'20220924005112</t>
  </si>
  <si>
    <t>'2022-09-24 00:51:40:474</t>
  </si>
  <si>
    <t>'2022-09-24 00:50:17:576</t>
  </si>
  <si>
    <t>'2022-09-24 00:51:30:447</t>
  </si>
  <si>
    <t>T220924005230088VCMLEBC040</t>
  </si>
  <si>
    <t>'20220924005231</t>
  </si>
  <si>
    <t>'2022-09-24 00:52:48:863</t>
  </si>
  <si>
    <t>T220924004944013VCMLEBC040</t>
  </si>
  <si>
    <t>'20220924004945</t>
  </si>
  <si>
    <t>'2022-09-24 00:49:56:565</t>
  </si>
  <si>
    <t>T220924005055581VCMLEBC040</t>
  </si>
  <si>
    <t>'20220924005057</t>
  </si>
  <si>
    <t>'2022-09-24 00:51:08:134</t>
  </si>
  <si>
    <t>T220924005215283VCMLEBC040</t>
  </si>
  <si>
    <t>'20220924005216</t>
  </si>
  <si>
    <t>'2022-09-24 00:52:27:838</t>
  </si>
  <si>
    <t>'2022-09-24 00:52:58:885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</si>
</sst>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-1.3207338850999999</c:v>
                </c:pt>
                <c:pt idx="1">
                  <c:v>-0.89012411879999997</c:v>
                </c:pt>
                <c:pt idx="2">
                  <c:v>-0.58122926850000001</c:v>
                </c:pt>
                <c:pt idx="3">
                  <c:v>0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2.9989831514</c:v>
                </c:pt>
                <c:pt idx="1">
                  <c:v>-9.4468830429999997</c:v>
                </c:pt>
                <c:pt idx="2">
                  <c:v>-12.455594592800001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-0.93069575746666666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-6.3011648281333335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49856"/>
        <c:axId val="126651392"/>
      </c:scatterChart>
      <c:valAx>
        <c:axId val="1266498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651392"/>
        <c:crosses val="autoZero"/>
        <c:crossBetween val="midCat"/>
        <c:majorUnit val="10"/>
      </c:valAx>
      <c:valAx>
        <c:axId val="126651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64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27648"/>
        <c:axId val="128037632"/>
      </c:scatterChart>
      <c:valAx>
        <c:axId val="1280276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037632"/>
        <c:crosses val="autoZero"/>
        <c:crossBetween val="midCat"/>
        <c:majorUnit val="10"/>
      </c:valAx>
      <c:valAx>
        <c:axId val="1280376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0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62016"/>
        <c:axId val="132663552"/>
      </c:scatterChart>
      <c:valAx>
        <c:axId val="1326620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663552"/>
        <c:crosses val="autoZero"/>
        <c:crossBetween val="midCat"/>
        <c:majorUnit val="10"/>
      </c:valAx>
      <c:valAx>
        <c:axId val="1326635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66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00416"/>
        <c:axId val="133242880"/>
      </c:scatterChart>
      <c:valAx>
        <c:axId val="1327004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242880"/>
        <c:crosses val="autoZero"/>
        <c:crossBetween val="midCat"/>
        <c:majorUnit val="10"/>
      </c:valAx>
      <c:valAx>
        <c:axId val="1332428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70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88.4170998357</c:v>
                </c:pt>
                <c:pt idx="1">
                  <c:v>91.013713721000002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89.071322307199992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79744"/>
        <c:axId val="133281280"/>
      </c:scatterChart>
      <c:valAx>
        <c:axId val="13327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281280"/>
        <c:crosses val="autoZero"/>
        <c:crossBetween val="midCat"/>
      </c:valAx>
      <c:valAx>
        <c:axId val="1332812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27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87.783153364900002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34528"/>
        <c:axId val="133336064"/>
      </c:scatterChart>
      <c:valAx>
        <c:axId val="13333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36064"/>
        <c:crosses val="autoZero"/>
        <c:crossBetween val="midCat"/>
      </c:valAx>
      <c:valAx>
        <c:axId val="1333360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34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72928"/>
        <c:axId val="133391104"/>
      </c:scatterChart>
      <c:valAx>
        <c:axId val="13337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91104"/>
        <c:crosses val="autoZero"/>
        <c:crossBetween val="midCat"/>
      </c:valAx>
      <c:valAx>
        <c:axId val="13339110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7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19392"/>
        <c:axId val="133420928"/>
      </c:scatterChart>
      <c:valAx>
        <c:axId val="1334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20928"/>
        <c:crosses val="autoZero"/>
        <c:crossBetween val="midCat"/>
      </c:valAx>
      <c:valAx>
        <c:axId val="1334209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1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23328"/>
        <c:axId val="133524864"/>
      </c:scatterChart>
      <c:valAx>
        <c:axId val="133523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524864"/>
        <c:crosses val="autoZero"/>
        <c:crossBetween val="midCat"/>
        <c:majorUnit val="10"/>
      </c:valAx>
      <c:valAx>
        <c:axId val="1335248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523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04512"/>
        <c:axId val="134710400"/>
      </c:scatterChart>
      <c:valAx>
        <c:axId val="1347045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710400"/>
        <c:crosses val="autoZero"/>
        <c:crossBetween val="midCat"/>
        <c:majorUnit val="10"/>
      </c:valAx>
      <c:valAx>
        <c:axId val="1347104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70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4384"/>
        <c:axId val="134625920"/>
      </c:scatterChart>
      <c:valAx>
        <c:axId val="1346243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625920"/>
        <c:crosses val="autoZero"/>
        <c:crossBetween val="midCat"/>
        <c:majorUnit val="10"/>
      </c:valAx>
      <c:valAx>
        <c:axId val="1346259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62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3.2112884520999998</c:v>
                </c:pt>
                <c:pt idx="1">
                  <c:v>-2.2098282575999999</c:v>
                </c:pt>
                <c:pt idx="2">
                  <c:v>0.15346837040000061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3.6096601485999997</c:v>
                </c:pt>
                <c:pt idx="1">
                  <c:v>5.0275621414000007</c:v>
                </c:pt>
                <c:pt idx="2">
                  <c:v>2.8300447463999996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0.38497618830000019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3.8224223454666664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62784"/>
        <c:axId val="135856512"/>
      </c:scatterChart>
      <c:valAx>
        <c:axId val="1346627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5856512"/>
        <c:crosses val="autoZero"/>
        <c:crossBetween val="midCat"/>
        <c:majorUnit val="10"/>
      </c:valAx>
      <c:valAx>
        <c:axId val="1358565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66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D:\EVMS\TP\ELOG\VSY832XN9P10_2022092400_D50_ON_OC.csv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D:\EVMS\TP\ELOG\VSY832XN9P10_2022092400_FPDC_INFD_normal.csv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D:\EVMS\TP\ELOG\VSY832XN9P10_2022092400_INFDMargin_IPQC.csv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D:\EVMS\TP\ELOG\VSY832XN9P10_2022092400_VCM_MEASURE.csv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528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0" t="s">
        <v>14</v>
      </c>
      <c r="M32" s="80" t="s">
        <v>9</v>
      </c>
      <c r="R32" s="75" t="s">
        <v>157</v>
      </c>
      <c r="S32" s="92" t="s">
        <v>159</v>
      </c>
      <c r="T32" s="93"/>
      <c r="U32" s="80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1"/>
      <c r="C33" s="28" t="s">
        <v>17</v>
      </c>
      <c r="D33" s="28">
        <f>5.1^2/(150-5.1)*1000</f>
        <v>179.50310559006209</v>
      </c>
      <c r="M33" s="81"/>
      <c r="U33" s="81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22cd05180790</v>
      </c>
      <c r="C35" s="50">
        <f>IPQC!T2+VLOOKUP($R$32,$AD$39:$AK$43,6,FALSE)+VLOOKUP('File location'!$B$1,'Tester offset'!$A$2:$D$4,2,FALSE)</f>
        <v>88.4170998357</v>
      </c>
      <c r="D35" s="50">
        <f>IPQC!AA2+VLOOKUP($R$32,$AD$39:$AK$43,6,FALSE)</f>
        <v>70.053694079300001</v>
      </c>
      <c r="E35" s="50">
        <f>VCM!HV2-'Summary(3pcs)'!C35-'Summary(3pcs)'!$D$33</f>
        <v>141.32298416253792</v>
      </c>
      <c r="F35" s="84">
        <f>AVERAGEIF($A$35:$A$46,1,$C$35:$C$46)</f>
        <v>89.071322307199992</v>
      </c>
      <c r="G35" s="85">
        <f>AVERAGEIF($A$35:$A$46,1,$D$35:$D$46)</f>
        <v>72.746852496066666</v>
      </c>
      <c r="H35" s="85">
        <f>AVERAGEIF($A$35:$A$46,1,$E$35:$E$46)</f>
        <v>143.07226818733793</v>
      </c>
      <c r="I35" s="85">
        <f>85-F35</f>
        <v>-4.071322307199992</v>
      </c>
      <c r="K35" s="78">
        <f>T35</f>
        <v>1</v>
      </c>
      <c r="L35" s="79" t="str">
        <f>OC!K2</f>
        <v>22cd05180790</v>
      </c>
      <c r="M35" s="50">
        <f>OC!T2+VLOOKUP($R$32,$AD$39:$AK$43,4,FALSE)</f>
        <v>-1.3207338850999999</v>
      </c>
      <c r="N35" s="50">
        <f>OC!U2+VLOOKUP($R$32,$AD$39:$AK$43,5,FALSE)</f>
        <v>2.9989831514</v>
      </c>
      <c r="O35" s="86">
        <f>AVERAGEIF($K$35:$K$46,1,$M$35:$M$46)</f>
        <v>-0.93069575746666666</v>
      </c>
      <c r="P35" s="86">
        <f>AVERAGEIF($K$35:$K$46,1,$N$35:$N$46)</f>
        <v>-6.3011648281333335</v>
      </c>
      <c r="Q35" s="84">
        <f>P35*0.001</f>
        <v>-6.3011648281333333E-3</v>
      </c>
      <c r="R35" s="84">
        <f>O35*0.001</f>
        <v>-9.3069575746666669E-4</v>
      </c>
      <c r="S35" s="34"/>
      <c r="T35" s="78">
        <v>1</v>
      </c>
      <c r="U35" s="79" t="str">
        <f>FPDC!K2</f>
        <v>22cd05180790</v>
      </c>
      <c r="V35" s="76">
        <f>FPDC!S2+VLOOKUP($R$32,$AD$39:$AK$43,2,FALSE)+VLOOKUP($R$32,$AD$39:$AK$43,7,FALSE)+VLOOKUP('File location'!$B$1,'Tester offset'!$A$2:$D$4,3,FALSE)</f>
        <v>3.2112884520999998</v>
      </c>
      <c r="W35" s="77">
        <f>FPDC!T2+VLOOKUP($R$32,$AD$39:$AK$43,3,FALSE)+VLOOKUP($R$32,$AD$39:$AK$43,8,FALSE)+VLOOKUP('File location'!$B$1,'Tester offset'!$A$2:$D$4,4,FALSE)</f>
        <v>3.6096601485999997</v>
      </c>
      <c r="X35" s="86">
        <f>AVERAGEIF($T$35:$T$46,1,$V$35:$V$46)</f>
        <v>0.38497618830000019</v>
      </c>
      <c r="Y35" s="86">
        <f>AVERAGEIF($T$35:$T$46,1,$W$35:$W$46)</f>
        <v>3.8224223454666664</v>
      </c>
      <c r="Z35" s="84">
        <f>(X35*-0.01)/4</f>
        <v>-9.6244047075000046E-4</v>
      </c>
      <c r="AA35" s="84">
        <f>(Y35*-0.01)/4</f>
        <v>-9.5560558636666668E-3</v>
      </c>
    </row>
    <row r="36" spans="1:37" ht="17.100000000000001" customHeight="1">
      <c r="A36" s="78">
        <f t="shared" ref="A36:A46" si="0">T36</f>
        <v>1</v>
      </c>
      <c r="B36" s="79" t="str">
        <f>IPQC!K3</f>
        <v>22cd05180800</v>
      </c>
      <c r="C36" s="50">
        <f>IPQC!T3+VLOOKUP($R$32,$AD$39:$AK$43,6,FALSE)+VLOOKUP('File location'!$B$1,'Tester offset'!$A$2:$D$4,2,FALSE)</f>
        <v>91.013713721000002</v>
      </c>
      <c r="D36" s="50">
        <f>IPQC!AA3+VLOOKUP($R$32,$AD$39:$AK$43,6,FALSE)</f>
        <v>75.389071886899998</v>
      </c>
      <c r="E36" s="50">
        <f>VCM!HV3-'Summary(3pcs)'!C36-'Summary(3pcs)'!$D$33</f>
        <v>140.79004645893792</v>
      </c>
      <c r="F36" s="84"/>
      <c r="G36" s="85"/>
      <c r="H36" s="85"/>
      <c r="I36" s="85"/>
      <c r="K36" s="78">
        <f t="shared" ref="K36:K46" si="1">T36</f>
        <v>1</v>
      </c>
      <c r="L36" s="79" t="str">
        <f>OC!K3</f>
        <v>22cd05180800</v>
      </c>
      <c r="M36" s="50">
        <f>OC!T3+VLOOKUP($R$32,$AD$39:$AK$43,4,FALSE)</f>
        <v>-0.89012411879999997</v>
      </c>
      <c r="N36" s="50">
        <f>OC!U3+VLOOKUP($R$32,$AD$39:$AK$43,5,FALSE)</f>
        <v>-9.4468830429999997</v>
      </c>
      <c r="O36" s="86"/>
      <c r="P36" s="86"/>
      <c r="Q36" s="84"/>
      <c r="R36" s="84"/>
      <c r="S36" s="34"/>
      <c r="T36" s="78">
        <v>1</v>
      </c>
      <c r="U36" s="79" t="str">
        <f>FPDC!K3</f>
        <v>22cd05180800</v>
      </c>
      <c r="V36" s="76">
        <f>FPDC!S3+VLOOKUP($R$32,$AD$39:$AK$43,2,FALSE)+VLOOKUP($R$32,$AD$39:$AK$43,7,FALSE)+VLOOKUP('File location'!$B$1,'Tester offset'!$A$2:$D$4,3,FALSE)</f>
        <v>-2.2098282575999999</v>
      </c>
      <c r="W36" s="77">
        <f>FPDC!T3+VLOOKUP($R$32,$AD$39:$AK$43,3,FALSE)+VLOOKUP($R$32,$AD$39:$AK$43,8,FALSE)+VLOOKUP('File location'!$B$1,'Tester offset'!$A$2:$D$4,4,FALSE)</f>
        <v>5.0275621414000007</v>
      </c>
      <c r="X36" s="86"/>
      <c r="Y36" s="86"/>
      <c r="Z36" s="84"/>
      <c r="AA36" s="84"/>
    </row>
    <row r="37" spans="1:37" ht="17.100000000000001" customHeight="1">
      <c r="A37" s="78">
        <f t="shared" si="0"/>
        <v>1</v>
      </c>
      <c r="B37" s="79" t="str">
        <f>IPQC!K4</f>
        <v>22cd05180117</v>
      </c>
      <c r="C37" s="50">
        <f>IPQC!T4+VLOOKUP($R$32,$AD$39:$AK$43,6,FALSE)+VLOOKUP('File location'!$B$1,'Tester offset'!$A$2:$D$4,2,FALSE)</f>
        <v>87.783153364900002</v>
      </c>
      <c r="D37" s="50">
        <f>IPQC!AA4+VLOOKUP($R$32,$AD$39:$AK$43,6,FALSE)</f>
        <v>72.797791521999997</v>
      </c>
      <c r="E37" s="50">
        <f>VCM!HV4-'Summary(3pcs)'!C37-'Summary(3pcs)'!$D$33</f>
        <v>147.10377394053791</v>
      </c>
      <c r="F37" s="84"/>
      <c r="G37" s="85"/>
      <c r="H37" s="85"/>
      <c r="I37" s="85"/>
      <c r="K37" s="78">
        <f t="shared" si="1"/>
        <v>1</v>
      </c>
      <c r="L37" s="79" t="str">
        <f>OC!K4</f>
        <v>22cd05180117</v>
      </c>
      <c r="M37" s="50">
        <f>OC!T4+VLOOKUP($R$32,$AD$39:$AK$43,4,FALSE)</f>
        <v>-0.58122926850000001</v>
      </c>
      <c r="N37" s="50">
        <f>OC!U4+VLOOKUP($R$32,$AD$39:$AK$43,5,FALSE)</f>
        <v>-12.455594592800001</v>
      </c>
      <c r="O37" s="86"/>
      <c r="P37" s="86"/>
      <c r="Q37" s="84"/>
      <c r="R37" s="84"/>
      <c r="S37" s="34"/>
      <c r="T37" s="78">
        <v>1</v>
      </c>
      <c r="U37" s="79" t="str">
        <f>FPDC!K4</f>
        <v>22cd05180117</v>
      </c>
      <c r="V37" s="76">
        <f>FPDC!S4+VLOOKUP($R$32,$AD$39:$AK$43,2,FALSE)+VLOOKUP($R$32,$AD$39:$AK$43,7,FALSE)+VLOOKUP('File location'!$B$1,'Tester offset'!$A$2:$D$4,3,FALSE)</f>
        <v>0.15346837040000061</v>
      </c>
      <c r="W37" s="77">
        <f>FPDC!T4+VLOOKUP($R$32,$AD$39:$AK$43,3,FALSE)+VLOOKUP($R$32,$AD$39:$AK$43,8,FALSE)+VLOOKUP('File location'!$B$1,'Tester offset'!$A$2:$D$4,4,FALSE)</f>
        <v>2.8300447463999996</v>
      </c>
      <c r="X37" s="86"/>
      <c r="Y37" s="86"/>
      <c r="Z37" s="84"/>
      <c r="AA37" s="84"/>
      <c r="AD37" s="88" t="s">
        <v>144</v>
      </c>
      <c r="AE37" s="88" t="s">
        <v>137</v>
      </c>
      <c r="AF37" s="88"/>
      <c r="AG37" s="88"/>
      <c r="AH37" s="88"/>
      <c r="AI37" s="88"/>
      <c r="AJ37" s="88" t="s">
        <v>143</v>
      </c>
      <c r="AK37" s="88"/>
    </row>
    <row r="38" spans="1:37" ht="17.100000000000001" customHeight="1">
      <c r="A38" s="78">
        <f t="shared" si="0"/>
        <v>2</v>
      </c>
      <c r="B38" s="79">
        <f>IPQC!K5</f>
        <v>0</v>
      </c>
      <c r="C38" s="50">
        <f>IPQC!T5+VLOOKUP($R$32,$AD$39:$AK$43,6,FALSE)+VLOOKUP('File location'!$B$1,'Tester offset'!$A$2:$D$4,2,FALSE)</f>
        <v>6</v>
      </c>
      <c r="D38" s="50">
        <f>IPQC!AA5+VLOOKUP($R$32,$AD$39:$AK$43,6,FALSE)</f>
        <v>6</v>
      </c>
      <c r="E38" s="50">
        <f>VCM!HV5-'Summary(3pcs)'!C38-'Summary(3pcs)'!$D$33</f>
        <v>-185.50310559006209</v>
      </c>
      <c r="F38" s="84">
        <f>AVERAGEIF($A$35:$A$46,2,$C$35:$C$46)</f>
        <v>6</v>
      </c>
      <c r="G38" s="85">
        <f>AVERAGEIF($A$35:$A$46,2,$D$35:$D$46)</f>
        <v>6</v>
      </c>
      <c r="H38" s="85">
        <f>AVERAGEIF($A$35:$A$46,2,$E$35:$E$46)</f>
        <v>-185.50310559006209</v>
      </c>
      <c r="I38" s="85">
        <f>85-F38</f>
        <v>79</v>
      </c>
      <c r="K38" s="78">
        <f t="shared" si="1"/>
        <v>2</v>
      </c>
      <c r="L38" s="79">
        <f>OC!K5</f>
        <v>0</v>
      </c>
      <c r="M38" s="50">
        <f>OC!T5+VLOOKUP($R$32,$AD$39:$AK$43,4,FALSE)</f>
        <v>0</v>
      </c>
      <c r="N38" s="50">
        <f>OC!U5+VLOOKUP($R$32,$AD$39:$AK$43,5,FALSE)</f>
        <v>4</v>
      </c>
      <c r="O38" s="86">
        <f>AVERAGEIF($K$35:$K$46,2,$M$35:$M$46)</f>
        <v>0</v>
      </c>
      <c r="P38" s="86">
        <f>AVERAGEIF($K$35:$K$46,2,$N$35:$N$46)</f>
        <v>4</v>
      </c>
      <c r="Q38" s="84">
        <f>P38*0.001</f>
        <v>4.0000000000000001E-3</v>
      </c>
      <c r="R38" s="84">
        <f>O38*0.001</f>
        <v>0</v>
      </c>
      <c r="S38" s="34"/>
      <c r="T38" s="78">
        <v>2</v>
      </c>
      <c r="U38" s="79">
        <f>FPDC!K5</f>
        <v>0</v>
      </c>
      <c r="V38" s="76">
        <f>FPDC!S5+VLOOKUP($R$32,$AD$39:$AK$43,2,FALSE)+VLOOKUP($R$32,$AD$39:$AK$43,7,FALSE)+VLOOKUP('File location'!$B$1,'Tester offset'!$A$2:$D$4,3,FALSE)</f>
        <v>-3</v>
      </c>
      <c r="W38" s="77">
        <f>FPDC!T5+VLOOKUP($R$32,$AD$39:$AK$43,3,FALSE)+VLOOKUP($R$32,$AD$39:$AK$43,8,FALSE)+VLOOKUP('File location'!$B$1,'Tester offset'!$A$2:$D$4,4,FALSE)</f>
        <v>-3</v>
      </c>
      <c r="X38" s="86">
        <f>AVERAGEIF($T$35:$T$46,2,$V$35:$V$46)</f>
        <v>-3</v>
      </c>
      <c r="Y38" s="86">
        <f>AVERAGEIF($T$35:$T$46,2,$W$35:$W$46)</f>
        <v>-3</v>
      </c>
      <c r="Z38" s="84">
        <f>(X38*-0.01)/4</f>
        <v>7.4999999999999997E-3</v>
      </c>
      <c r="AA38" s="84">
        <f>(Y38*-0.01)/4</f>
        <v>7.4999999999999997E-3</v>
      </c>
      <c r="AD38" s="88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>
        <f>IPQC!K6</f>
        <v>0</v>
      </c>
      <c r="C39" s="50">
        <f>IPQC!T6+VLOOKUP($R$32,$AD$39:$AK$43,6,FALSE)+VLOOKUP('File location'!$B$1,'Tester offset'!$A$2:$D$4,2,FALSE)</f>
        <v>6</v>
      </c>
      <c r="D39" s="50">
        <f>IPQC!AA6+VLOOKUP($R$32,$AD$39:$AK$43,6,FALSE)</f>
        <v>6</v>
      </c>
      <c r="E39" s="50">
        <f>VCM!HV6-'Summary(3pcs)'!C39-'Summary(3pcs)'!$D$33</f>
        <v>-185.50310559006209</v>
      </c>
      <c r="F39" s="84"/>
      <c r="G39" s="85"/>
      <c r="H39" s="85"/>
      <c r="I39" s="85"/>
      <c r="K39" s="78">
        <f t="shared" si="1"/>
        <v>2</v>
      </c>
      <c r="L39" s="79">
        <f>OC!K6</f>
        <v>0</v>
      </c>
      <c r="M39" s="50">
        <f>OC!T6+VLOOKUP($R$32,$AD$39:$AK$43,4,FALSE)</f>
        <v>0</v>
      </c>
      <c r="N39" s="50">
        <f>OC!U6+VLOOKUP($R$32,$AD$39:$AK$43,5,FALSE)</f>
        <v>4</v>
      </c>
      <c r="O39" s="86"/>
      <c r="P39" s="86"/>
      <c r="Q39" s="84"/>
      <c r="R39" s="84"/>
      <c r="S39" s="34"/>
      <c r="T39" s="78">
        <v>2</v>
      </c>
      <c r="U39" s="79">
        <f>FPDC!K6</f>
        <v>0</v>
      </c>
      <c r="V39" s="76">
        <f>FPDC!S6+VLOOKUP($R$32,$AD$39:$AK$43,2,FALSE)+VLOOKUP($R$32,$AD$39:$AK$43,7,FALSE)+VLOOKUP('File location'!$B$1,'Tester offset'!$A$2:$D$4,3,FALSE)</f>
        <v>-3</v>
      </c>
      <c r="W39" s="77">
        <f>FPDC!T6+VLOOKUP($R$32,$AD$39:$AK$43,3,FALSE)+VLOOKUP($R$32,$AD$39:$AK$43,8,FALSE)+VLOOKUP('File location'!$B$1,'Tester offset'!$A$2:$D$4,4,FALSE)</f>
        <v>-3</v>
      </c>
      <c r="X39" s="86"/>
      <c r="Y39" s="86"/>
      <c r="Z39" s="84"/>
      <c r="AA39" s="84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>
        <f>IPQC!K7</f>
        <v>0</v>
      </c>
      <c r="C40" s="50">
        <f>IPQC!T7+VLOOKUP($R$32,$AD$39:$AK$43,6,FALSE)+VLOOKUP('File location'!$B$1,'Tester offset'!$A$2:$D$4,2,FALSE)</f>
        <v>6</v>
      </c>
      <c r="D40" s="50">
        <f>IPQC!AA7+VLOOKUP($R$32,$AD$39:$AK$43,6,FALSE)</f>
        <v>6</v>
      </c>
      <c r="E40" s="50">
        <f>VCM!HV7-'Summary(3pcs)'!C40-'Summary(3pcs)'!$D$33</f>
        <v>-185.50310559006209</v>
      </c>
      <c r="F40" s="84"/>
      <c r="G40" s="85"/>
      <c r="H40" s="85"/>
      <c r="I40" s="85"/>
      <c r="K40" s="78">
        <f t="shared" si="1"/>
        <v>2</v>
      </c>
      <c r="L40" s="79">
        <f>OC!K7</f>
        <v>0</v>
      </c>
      <c r="M40" s="50">
        <f>OC!T7+VLOOKUP($R$32,$AD$39:$AK$43,4,FALSE)</f>
        <v>0</v>
      </c>
      <c r="N40" s="50">
        <f>OC!U7+VLOOKUP($R$32,$AD$39:$AK$43,5,FALSE)</f>
        <v>4</v>
      </c>
      <c r="O40" s="86"/>
      <c r="P40" s="86"/>
      <c r="Q40" s="84"/>
      <c r="R40" s="84"/>
      <c r="S40" s="34"/>
      <c r="T40" s="78">
        <v>2</v>
      </c>
      <c r="U40" s="79">
        <f>FPDC!K7</f>
        <v>0</v>
      </c>
      <c r="V40" s="76">
        <f>FPDC!S7+VLOOKUP($R$32,$AD$39:$AK$43,2,FALSE)+VLOOKUP($R$32,$AD$39:$AK$43,7,FALSE)+VLOOKUP('File location'!$B$1,'Tester offset'!$A$2:$D$4,3,FALSE)</f>
        <v>-3</v>
      </c>
      <c r="W40" s="77">
        <f>FPDC!T7+VLOOKUP($R$32,$AD$39:$AK$43,3,FALSE)+VLOOKUP($R$32,$AD$39:$AK$43,8,FALSE)+VLOOKUP('File location'!$B$1,'Tester offset'!$A$2:$D$4,4,FALSE)</f>
        <v>-3</v>
      </c>
      <c r="X40" s="86"/>
      <c r="Y40" s="86"/>
      <c r="Z40" s="84"/>
      <c r="AA40" s="84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>
        <f>IPQC!K8</f>
        <v>0</v>
      </c>
      <c r="C41" s="50">
        <f>IPQC!T8+VLOOKUP($R$32,$AD$39:$AK$43,6,FALSE)+VLOOKUP('File location'!$B$1,'Tester offset'!$A$2:$D$4,2,FALSE)</f>
        <v>6</v>
      </c>
      <c r="D41" s="50">
        <f>IPQC!AA8+VLOOKUP($R$32,$AD$39:$AK$43,6,FALSE)</f>
        <v>6</v>
      </c>
      <c r="E41" s="50">
        <f>VCM!HV8-'Summary(3pcs)'!C41-'Summary(3pcs)'!$D$33</f>
        <v>-185.50310559006209</v>
      </c>
      <c r="F41" s="84">
        <f>AVERAGEIF($A$35:$A$46,3,$C$35:$C$46)</f>
        <v>6</v>
      </c>
      <c r="G41" s="85">
        <f>AVERAGEIF($A$35:$A$46,3,$D$35:$D$46)</f>
        <v>6</v>
      </c>
      <c r="H41" s="85">
        <f>AVERAGEIF($A$35:$A$46,3,$E$35:$E$46)</f>
        <v>-185.50310559006209</v>
      </c>
      <c r="I41" s="85">
        <f>85-F41</f>
        <v>79</v>
      </c>
      <c r="K41" s="78">
        <f t="shared" si="1"/>
        <v>3</v>
      </c>
      <c r="L41" s="79">
        <f>OC!K8</f>
        <v>0</v>
      </c>
      <c r="M41" s="50">
        <f>OC!T8+VLOOKUP($R$32,$AD$39:$AK$43,4,FALSE)</f>
        <v>0</v>
      </c>
      <c r="N41" s="50">
        <f>OC!U8+VLOOKUP($R$32,$AD$39:$AK$43,5,FALSE)</f>
        <v>4</v>
      </c>
      <c r="O41" s="86">
        <f>AVERAGEIF($K$35:$K$46,3,$M$35:$M$46)</f>
        <v>0</v>
      </c>
      <c r="P41" s="86">
        <f>AVERAGEIF($K$35:$K$46,3,$N$35:$N$46)</f>
        <v>4</v>
      </c>
      <c r="Q41" s="84">
        <f>P41*0.001</f>
        <v>4.0000000000000001E-3</v>
      </c>
      <c r="R41" s="84">
        <f>O41*0.001</f>
        <v>0</v>
      </c>
      <c r="S41" s="34"/>
      <c r="T41" s="78">
        <v>3</v>
      </c>
      <c r="U41" s="79">
        <f>FPDC!K8</f>
        <v>0</v>
      </c>
      <c r="V41" s="76">
        <f>FPDC!S8+VLOOKUP($R$32,$AD$39:$AK$43,2,FALSE)+VLOOKUP($R$32,$AD$39:$AK$43,7,FALSE)+VLOOKUP('File location'!$B$1,'Tester offset'!$A$2:$D$4,3,FALSE)</f>
        <v>-3</v>
      </c>
      <c r="W41" s="77">
        <f>FPDC!T8+VLOOKUP($R$32,$AD$39:$AK$43,3,FALSE)+VLOOKUP($R$32,$AD$39:$AK$43,8,FALSE)+VLOOKUP('File location'!$B$1,'Tester offset'!$A$2:$D$4,4,FALSE)</f>
        <v>-3</v>
      </c>
      <c r="X41" s="86">
        <f>AVERAGEIF($T$35:$T$46,3,$V$35:$V$46)</f>
        <v>-3</v>
      </c>
      <c r="Y41" s="86">
        <f>AVERAGEIF($T$35:$T$46,3,$W$35:$W$46)</f>
        <v>-3</v>
      </c>
      <c r="Z41" s="84">
        <f>(X41*-0.01)/4</f>
        <v>7.4999999999999997E-3</v>
      </c>
      <c r="AA41" s="84">
        <f>(Y41*-0.01)/4</f>
        <v>7.4999999999999997E-3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>
        <f>IPQC!K9</f>
        <v>0</v>
      </c>
      <c r="C42" s="50">
        <f>IPQC!T9+VLOOKUP($R$32,$AD$39:$AK$43,6,FALSE)+VLOOKUP('File location'!$B$1,'Tester offset'!$A$2:$D$4,2,FALSE)</f>
        <v>6</v>
      </c>
      <c r="D42" s="50">
        <f>IPQC!AA9+VLOOKUP($R$32,$AD$39:$AK$43,6,FALSE)</f>
        <v>6</v>
      </c>
      <c r="E42" s="50">
        <f>VCM!HV9-'Summary(3pcs)'!C42-'Summary(3pcs)'!$D$33</f>
        <v>-185.50310559006209</v>
      </c>
      <c r="F42" s="84"/>
      <c r="G42" s="85"/>
      <c r="H42" s="85"/>
      <c r="I42" s="85"/>
      <c r="K42" s="78">
        <f t="shared" si="1"/>
        <v>3</v>
      </c>
      <c r="L42" s="79">
        <f>OC!K9</f>
        <v>0</v>
      </c>
      <c r="M42" s="50">
        <f>OC!T9+VLOOKUP($R$32,$AD$39:$AK$43,4,FALSE)</f>
        <v>0</v>
      </c>
      <c r="N42" s="50">
        <f>OC!U9+VLOOKUP($R$32,$AD$39:$AK$43,5,FALSE)</f>
        <v>4</v>
      </c>
      <c r="O42" s="86"/>
      <c r="P42" s="86"/>
      <c r="Q42" s="84"/>
      <c r="R42" s="84"/>
      <c r="S42" s="34"/>
      <c r="T42" s="78">
        <v>3</v>
      </c>
      <c r="U42" s="79">
        <f>FPDC!K9</f>
        <v>0</v>
      </c>
      <c r="V42" s="76">
        <f>FPDC!S9+VLOOKUP($R$32,$AD$39:$AK$43,2,FALSE)+VLOOKUP($R$32,$AD$39:$AK$43,7,FALSE)+VLOOKUP('File location'!$B$1,'Tester offset'!$A$2:$D$4,3,FALSE)</f>
        <v>-3</v>
      </c>
      <c r="W42" s="77">
        <f>FPDC!T9+VLOOKUP($R$32,$AD$39:$AK$43,3,FALSE)+VLOOKUP($R$32,$AD$39:$AK$43,8,FALSE)+VLOOKUP('File location'!$B$1,'Tester offset'!$A$2:$D$4,4,FALSE)</f>
        <v>-3</v>
      </c>
      <c r="X42" s="86"/>
      <c r="Y42" s="86"/>
      <c r="Z42" s="84"/>
      <c r="AA42" s="84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>
        <f>IPQC!K10</f>
        <v>0</v>
      </c>
      <c r="C43" s="50">
        <f>IPQC!T10+VLOOKUP($R$32,$AD$39:$AK$43,6,FALSE)+VLOOKUP('File location'!$B$1,'Tester offset'!$A$2:$D$4,2,FALSE)</f>
        <v>6</v>
      </c>
      <c r="D43" s="50">
        <f>IPQC!AA10+VLOOKUP($R$32,$AD$39:$AK$43,6,FALSE)</f>
        <v>6</v>
      </c>
      <c r="E43" s="50">
        <f>VCM!HV10-'Summary(3pcs)'!C43-'Summary(3pcs)'!$D$33</f>
        <v>-185.50310559006209</v>
      </c>
      <c r="F43" s="84"/>
      <c r="G43" s="85"/>
      <c r="H43" s="85"/>
      <c r="I43" s="85"/>
      <c r="K43" s="78">
        <f t="shared" si="1"/>
        <v>3</v>
      </c>
      <c r="L43" s="79">
        <f>OC!K10</f>
        <v>0</v>
      </c>
      <c r="M43" s="50">
        <f>OC!T10+VLOOKUP($R$32,$AD$39:$AK$43,4,FALSE)</f>
        <v>0</v>
      </c>
      <c r="N43" s="50">
        <f>OC!U10+VLOOKUP($R$32,$AD$39:$AK$43,5,FALSE)</f>
        <v>4</v>
      </c>
      <c r="O43" s="86"/>
      <c r="P43" s="86"/>
      <c r="Q43" s="84"/>
      <c r="R43" s="84"/>
      <c r="S43" s="34"/>
      <c r="T43" s="78">
        <v>3</v>
      </c>
      <c r="U43" s="79">
        <f>FPDC!K10</f>
        <v>0</v>
      </c>
      <c r="V43" s="76">
        <f>FPDC!S10+VLOOKUP($R$32,$AD$39:$AK$43,2,FALSE)+VLOOKUP($R$32,$AD$39:$AK$43,7,FALSE)+VLOOKUP('File location'!$B$1,'Tester offset'!$A$2:$D$4,3,FALSE)</f>
        <v>-3</v>
      </c>
      <c r="W43" s="77">
        <f>FPDC!T10+VLOOKUP($R$32,$AD$39:$AK$43,3,FALSE)+VLOOKUP($R$32,$AD$39:$AK$43,8,FALSE)+VLOOKUP('File location'!$B$1,'Tester offset'!$A$2:$D$4,4,FALSE)</f>
        <v>-3</v>
      </c>
      <c r="X43" s="86"/>
      <c r="Y43" s="86"/>
      <c r="Z43" s="84"/>
      <c r="AA43" s="84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>
        <f>IPQC!K11</f>
        <v>0</v>
      </c>
      <c r="C44" s="50">
        <f>IPQC!T11+VLOOKUP($R$32,$AD$39:$AK$43,6,FALSE)+VLOOKUP('File location'!$B$1,'Tester offset'!$A$2:$D$4,2,FALSE)</f>
        <v>6</v>
      </c>
      <c r="D44" s="50">
        <f>IPQC!AA11+VLOOKUP($R$32,$AD$39:$AK$43,6,FALSE)</f>
        <v>6</v>
      </c>
      <c r="E44" s="50">
        <f>VCM!HV11-'Summary(3pcs)'!C44-'Summary(3pcs)'!$D$33</f>
        <v>-185.50310559006209</v>
      </c>
      <c r="F44" s="84">
        <f>AVERAGEIF($A$35:$A$46,4,$C$35:$C$46)</f>
        <v>6</v>
      </c>
      <c r="G44" s="85">
        <f>AVERAGEIF($A$35:$A$46,4,$D$35:$D$46)</f>
        <v>6</v>
      </c>
      <c r="H44" s="85">
        <f>AVERAGEIF($A$35:$A$46,4,$E$35:$E$46)</f>
        <v>-185.50310559006209</v>
      </c>
      <c r="I44" s="85">
        <f>85-F44</f>
        <v>79</v>
      </c>
      <c r="K44" s="78">
        <f t="shared" si="1"/>
        <v>4</v>
      </c>
      <c r="L44" s="79">
        <f>OC!K11</f>
        <v>0</v>
      </c>
      <c r="M44" s="50">
        <f>OC!T11+VLOOKUP($R$32,$AD$39:$AK$43,4,FALSE)</f>
        <v>0</v>
      </c>
      <c r="N44" s="50">
        <f>OC!U11+VLOOKUP($R$32,$AD$39:$AK$43,5,FALSE)</f>
        <v>4</v>
      </c>
      <c r="O44" s="86">
        <f>AVERAGEIF($K$35:$K$46,4,$M$35:$M$46)</f>
        <v>0</v>
      </c>
      <c r="P44" s="86">
        <f>AVERAGEIF($K$35:$K$46,4,$N$35:$N$46)</f>
        <v>4</v>
      </c>
      <c r="Q44" s="84">
        <f>P44*0.001</f>
        <v>4.0000000000000001E-3</v>
      </c>
      <c r="R44" s="84">
        <f>O44*0.001</f>
        <v>0</v>
      </c>
      <c r="S44" s="34"/>
      <c r="T44" s="78">
        <v>4</v>
      </c>
      <c r="U44" s="79">
        <f>FPDC!K11</f>
        <v>0</v>
      </c>
      <c r="V44" s="76">
        <f>FPDC!S11+VLOOKUP($R$32,$AD$39:$AK$43,2,FALSE)+VLOOKUP($R$32,$AD$39:$AK$43,7,FALSE)+VLOOKUP('File location'!$B$1,'Tester offset'!$A$2:$D$4,3,FALSE)</f>
        <v>-3</v>
      </c>
      <c r="W44" s="77">
        <f>FPDC!T11+VLOOKUP($R$32,$AD$39:$AK$43,3,FALSE)+VLOOKUP($R$32,$AD$39:$AK$43,8,FALSE)+VLOOKUP('File location'!$B$1,'Tester offset'!$A$2:$D$4,4,FALSE)</f>
        <v>-3</v>
      </c>
      <c r="X44" s="86">
        <f>AVERAGEIF($T$35:$T$46,4,$V$35:$V$46)</f>
        <v>-3</v>
      </c>
      <c r="Y44" s="86">
        <f>AVERAGEIF($T$35:$T$46,4,$W$35:$W$46)</f>
        <v>-3</v>
      </c>
      <c r="Z44" s="84">
        <f>(X44*-0.01)/4</f>
        <v>7.4999999999999997E-3</v>
      </c>
      <c r="AA44" s="84">
        <f>(Y44*-0.01)/4</f>
        <v>7.4999999999999997E-3</v>
      </c>
    </row>
    <row r="45" spans="1:37" ht="17.100000000000001" customHeight="1">
      <c r="A45" s="78">
        <f t="shared" si="0"/>
        <v>4</v>
      </c>
      <c r="B45" s="79">
        <f>IPQC!K12</f>
        <v>0</v>
      </c>
      <c r="C45" s="50">
        <f>IPQC!T12+VLOOKUP($R$32,$AD$39:$AK$43,6,FALSE)+VLOOKUP('File location'!$B$1,'Tester offset'!$A$2:$D$4,2,FALSE)</f>
        <v>6</v>
      </c>
      <c r="D45" s="50">
        <f>IPQC!AA12+VLOOKUP($R$32,$AD$39:$AK$43,6,FALSE)</f>
        <v>6</v>
      </c>
      <c r="E45" s="50">
        <f>VCM!HV12-'Summary(3pcs)'!C45-'Summary(3pcs)'!$D$33</f>
        <v>-185.50310559006209</v>
      </c>
      <c r="F45" s="84"/>
      <c r="G45" s="85"/>
      <c r="H45" s="85"/>
      <c r="I45" s="85"/>
      <c r="K45" s="78">
        <f t="shared" si="1"/>
        <v>4</v>
      </c>
      <c r="L45" s="79">
        <f>OC!K12</f>
        <v>0</v>
      </c>
      <c r="M45" s="50">
        <f>OC!T12+VLOOKUP($R$32,$AD$39:$AK$43,4,FALSE)</f>
        <v>0</v>
      </c>
      <c r="N45" s="50">
        <f>OC!U12+VLOOKUP($R$32,$AD$39:$AK$43,5,FALSE)</f>
        <v>4</v>
      </c>
      <c r="O45" s="86"/>
      <c r="P45" s="86"/>
      <c r="Q45" s="84"/>
      <c r="R45" s="84"/>
      <c r="S45" s="34"/>
      <c r="T45" s="78">
        <v>4</v>
      </c>
      <c r="U45" s="79">
        <f>FPDC!K12</f>
        <v>0</v>
      </c>
      <c r="V45" s="76">
        <f>FPDC!S12+VLOOKUP($R$32,$AD$39:$AK$43,2,FALSE)+VLOOKUP($R$32,$AD$39:$AK$43,7,FALSE)+VLOOKUP('File location'!$B$1,'Tester offset'!$A$2:$D$4,3,FALSE)</f>
        <v>-3</v>
      </c>
      <c r="W45" s="77">
        <f>FPDC!T12+VLOOKUP($R$32,$AD$39:$AK$43,3,FALSE)+VLOOKUP($R$32,$AD$39:$AK$43,8,FALSE)+VLOOKUP('File location'!$B$1,'Tester offset'!$A$2:$D$4,4,FALSE)</f>
        <v>-3</v>
      </c>
      <c r="X45" s="86"/>
      <c r="Y45" s="86"/>
      <c r="Z45" s="84"/>
      <c r="AA45" s="84"/>
    </row>
    <row r="46" spans="1:37" ht="17.100000000000001" customHeight="1">
      <c r="A46" s="78">
        <f t="shared" si="0"/>
        <v>4</v>
      </c>
      <c r="B46" s="79">
        <f>IPQC!K13</f>
        <v>0</v>
      </c>
      <c r="C46" s="50">
        <f>IPQC!T13+VLOOKUP($R$32,$AD$39:$AK$43,6,FALSE)+VLOOKUP('File location'!$B$1,'Tester offset'!$A$2:$D$4,2,FALSE)</f>
        <v>6</v>
      </c>
      <c r="D46" s="50">
        <f>IPQC!AA13+VLOOKUP($R$32,$AD$39:$AK$43,6,FALSE)</f>
        <v>6</v>
      </c>
      <c r="E46" s="50">
        <f>VCM!HV13-'Summary(3pcs)'!C46-'Summary(3pcs)'!$D$33</f>
        <v>-185.50310559006209</v>
      </c>
      <c r="F46" s="84"/>
      <c r="G46" s="85"/>
      <c r="H46" s="85"/>
      <c r="I46" s="85"/>
      <c r="K46" s="78">
        <f t="shared" si="1"/>
        <v>4</v>
      </c>
      <c r="L46" s="79">
        <f>OC!K13</f>
        <v>0</v>
      </c>
      <c r="M46" s="50">
        <f>OC!T13+VLOOKUP($R$32,$AD$39:$AK$43,4,FALSE)</f>
        <v>0</v>
      </c>
      <c r="N46" s="50">
        <f>OC!U13+VLOOKUP($R$32,$AD$39:$AK$43,5,FALSE)</f>
        <v>4</v>
      </c>
      <c r="O46" s="86"/>
      <c r="P46" s="86"/>
      <c r="Q46" s="84"/>
      <c r="R46" s="84"/>
      <c r="S46" s="34"/>
      <c r="T46" s="78">
        <v>4</v>
      </c>
      <c r="U46" s="79">
        <f>FPDC!K13</f>
        <v>0</v>
      </c>
      <c r="V46" s="76">
        <f>FPDC!S13+VLOOKUP($R$32,$AD$39:$AK$43,2,FALSE)+VLOOKUP($R$32,$AD$39:$AK$43,7,FALSE)+VLOOKUP('File location'!$B$1,'Tester offset'!$A$2:$D$4,3,FALSE)</f>
        <v>-3</v>
      </c>
      <c r="W46" s="77">
        <f>FPDC!T13+VLOOKUP($R$32,$AD$39:$AK$43,3,FALSE)+VLOOKUP($R$32,$AD$39:$AK$43,8,FALSE)+VLOOKUP('File location'!$B$1,'Tester offset'!$A$2:$D$4,4,FALSE)</f>
        <v>-3</v>
      </c>
      <c r="X46" s="86"/>
      <c r="Y46" s="86"/>
      <c r="Z46" s="84"/>
      <c r="AA46" s="84"/>
    </row>
    <row r="48" spans="1:37" ht="15">
      <c r="F48" s="82" t="s">
        <v>14</v>
      </c>
      <c r="G48" s="82"/>
      <c r="H48" s="29" t="s">
        <v>105</v>
      </c>
      <c r="O48" s="82" t="s">
        <v>114</v>
      </c>
      <c r="P48" s="82"/>
      <c r="Q48" s="29" t="s">
        <v>105</v>
      </c>
      <c r="Y48" s="82" t="s">
        <v>2</v>
      </c>
      <c r="Z48" s="82"/>
      <c r="AA48" s="29" t="s">
        <v>105</v>
      </c>
    </row>
    <row r="49" spans="6:27" ht="17.25">
      <c r="F49" s="83" t="s">
        <v>163</v>
      </c>
      <c r="G49" s="83"/>
      <c r="H49" s="49" t="s">
        <v>148</v>
      </c>
      <c r="O49" s="87" t="s">
        <v>165</v>
      </c>
      <c r="P49" s="83"/>
      <c r="Q49" s="49" t="s">
        <v>162</v>
      </c>
      <c r="Y49" s="87" t="s">
        <v>165</v>
      </c>
      <c r="Z49" s="83"/>
      <c r="AA49" s="49" t="s">
        <v>104</v>
      </c>
    </row>
    <row r="50" spans="6:27" ht="17.25">
      <c r="F50" s="83" t="s">
        <v>164</v>
      </c>
      <c r="G50" s="83"/>
      <c r="H50" s="49" t="s">
        <v>107</v>
      </c>
      <c r="O50" s="87" t="s">
        <v>171</v>
      </c>
      <c r="P50" s="83"/>
      <c r="Q50" s="49" t="s">
        <v>169</v>
      </c>
      <c r="Y50" s="87" t="s">
        <v>167</v>
      </c>
      <c r="Z50" s="83"/>
      <c r="AA50" s="49" t="s">
        <v>168</v>
      </c>
    </row>
    <row r="51" spans="6:27" ht="17.25">
      <c r="F51" s="83" t="s">
        <v>16</v>
      </c>
      <c r="G51" s="83"/>
      <c r="H51" s="49" t="s">
        <v>106</v>
      </c>
      <c r="O51" s="87" t="s">
        <v>171</v>
      </c>
      <c r="P51" s="83"/>
      <c r="Q51" s="79" t="s">
        <v>170</v>
      </c>
      <c r="Y51" s="87" t="s">
        <v>166</v>
      </c>
      <c r="Z51" s="83"/>
      <c r="AA51" s="49" t="s">
        <v>149</v>
      </c>
    </row>
    <row r="53" spans="6:27" ht="19.5">
      <c r="I53" s="42"/>
      <c r="J53" s="42"/>
      <c r="K53" s="89" t="s">
        <v>156</v>
      </c>
      <c r="L53" s="90"/>
      <c r="M53" s="90"/>
      <c r="N53" s="90"/>
      <c r="O53" s="90"/>
      <c r="P53" s="90"/>
      <c r="Q53" s="91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88.4170998357</v>
      </c>
      <c r="L55" s="52">
        <f t="shared" ref="L55:L66" si="4">D35</f>
        <v>70.053694079300001</v>
      </c>
      <c r="M55" s="52">
        <f t="shared" ref="M55:M66" si="5">E35</f>
        <v>141.32298416253792</v>
      </c>
      <c r="N55" s="52">
        <f t="shared" ref="N55:O66" si="6">M35</f>
        <v>-1.3207338850999999</v>
      </c>
      <c r="O55" s="52">
        <f t="shared" si="6"/>
        <v>2.9989831514</v>
      </c>
      <c r="P55" s="52">
        <f t="shared" ref="P55:P66" si="7">V35</f>
        <v>3.2112884520999998</v>
      </c>
      <c r="Q55" s="53">
        <f t="shared" ref="Q55:Q66" si="8">W35</f>
        <v>3.6096601485999997</v>
      </c>
    </row>
    <row r="56" spans="6:27" ht="19.5">
      <c r="I56" s="43">
        <f t="shared" si="2"/>
        <v>1</v>
      </c>
      <c r="J56" s="44"/>
      <c r="K56" s="54">
        <f t="shared" si="3"/>
        <v>91.013713721000002</v>
      </c>
      <c r="L56" s="55">
        <f t="shared" si="4"/>
        <v>75.389071886899998</v>
      </c>
      <c r="M56" s="55">
        <f t="shared" si="5"/>
        <v>140.79004645893792</v>
      </c>
      <c r="N56" s="55">
        <f t="shared" si="6"/>
        <v>-0.89012411879999997</v>
      </c>
      <c r="O56" s="55">
        <f t="shared" si="6"/>
        <v>-9.4468830429999997</v>
      </c>
      <c r="P56" s="55">
        <f t="shared" si="7"/>
        <v>-2.2098282575999999</v>
      </c>
      <c r="Q56" s="56">
        <f t="shared" si="8"/>
        <v>5.0275621414000007</v>
      </c>
    </row>
    <row r="57" spans="6:27" ht="19.5">
      <c r="I57" s="43">
        <f t="shared" si="2"/>
        <v>1</v>
      </c>
      <c r="J57" s="44"/>
      <c r="K57" s="57">
        <f t="shared" si="3"/>
        <v>87.783153364900002</v>
      </c>
      <c r="L57" s="58">
        <f t="shared" si="4"/>
        <v>72.797791521999997</v>
      </c>
      <c r="M57" s="58">
        <f t="shared" si="5"/>
        <v>147.10377394053791</v>
      </c>
      <c r="N57" s="58">
        <f t="shared" si="6"/>
        <v>-0.58122926850000001</v>
      </c>
      <c r="O57" s="58">
        <f t="shared" si="6"/>
        <v>-12.455594592800001</v>
      </c>
      <c r="P57" s="58">
        <f t="shared" si="7"/>
        <v>0.15346837040000061</v>
      </c>
      <c r="Q57" s="59">
        <f t="shared" si="8"/>
        <v>2.8300447463999996</v>
      </c>
    </row>
    <row r="58" spans="6:27" ht="19.5">
      <c r="I58" s="43">
        <f t="shared" si="2"/>
        <v>2</v>
      </c>
      <c r="J58" s="44"/>
      <c r="K58" s="60">
        <f t="shared" si="3"/>
        <v>6</v>
      </c>
      <c r="L58" s="61">
        <f t="shared" si="4"/>
        <v>6</v>
      </c>
      <c r="M58" s="61">
        <f t="shared" si="5"/>
        <v>-185.50310559006209</v>
      </c>
      <c r="N58" s="61">
        <f t="shared" si="6"/>
        <v>0</v>
      </c>
      <c r="O58" s="61">
        <f t="shared" si="6"/>
        <v>4</v>
      </c>
      <c r="P58" s="61">
        <f t="shared" si="7"/>
        <v>-3</v>
      </c>
      <c r="Q58" s="62">
        <f t="shared" si="8"/>
        <v>-3</v>
      </c>
    </row>
    <row r="59" spans="6:27" ht="19.5">
      <c r="I59" s="43">
        <f t="shared" si="2"/>
        <v>2</v>
      </c>
      <c r="J59" s="44"/>
      <c r="K59" s="60">
        <f t="shared" si="3"/>
        <v>6</v>
      </c>
      <c r="L59" s="61">
        <f t="shared" si="4"/>
        <v>6</v>
      </c>
      <c r="M59" s="61">
        <f t="shared" si="5"/>
        <v>-185.50310559006209</v>
      </c>
      <c r="N59" s="61">
        <f t="shared" si="6"/>
        <v>0</v>
      </c>
      <c r="O59" s="61">
        <f t="shared" si="6"/>
        <v>4</v>
      </c>
      <c r="P59" s="61">
        <f t="shared" si="7"/>
        <v>-3</v>
      </c>
      <c r="Q59" s="62">
        <f t="shared" si="8"/>
        <v>-3</v>
      </c>
    </row>
    <row r="60" spans="6:27" ht="19.5">
      <c r="I60" s="43">
        <f t="shared" si="2"/>
        <v>2</v>
      </c>
      <c r="J60" s="44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-3</v>
      </c>
      <c r="Q60" s="62">
        <f t="shared" si="8"/>
        <v>-3</v>
      </c>
    </row>
    <row r="61" spans="6:27" ht="19.5">
      <c r="I61" s="43">
        <f t="shared" si="2"/>
        <v>3</v>
      </c>
      <c r="J61" s="44"/>
      <c r="K61" s="66">
        <f t="shared" si="3"/>
        <v>6</v>
      </c>
      <c r="L61" s="67">
        <f t="shared" si="4"/>
        <v>6</v>
      </c>
      <c r="M61" s="67">
        <f t="shared" si="5"/>
        <v>-185.50310559006209</v>
      </c>
      <c r="N61" s="67">
        <f t="shared" si="6"/>
        <v>0</v>
      </c>
      <c r="O61" s="67">
        <f t="shared" si="6"/>
        <v>4</v>
      </c>
      <c r="P61" s="67">
        <f t="shared" si="7"/>
        <v>-3</v>
      </c>
      <c r="Q61" s="68">
        <f t="shared" si="8"/>
        <v>-3</v>
      </c>
    </row>
    <row r="62" spans="6:27" ht="19.5">
      <c r="I62" s="43">
        <f t="shared" si="2"/>
        <v>3</v>
      </c>
      <c r="J62" s="44"/>
      <c r="K62" s="69">
        <f t="shared" si="3"/>
        <v>6</v>
      </c>
      <c r="L62" s="70">
        <f t="shared" si="4"/>
        <v>6</v>
      </c>
      <c r="M62" s="70">
        <f t="shared" si="5"/>
        <v>-185.50310559006209</v>
      </c>
      <c r="N62" s="70">
        <f t="shared" si="6"/>
        <v>0</v>
      </c>
      <c r="O62" s="70">
        <f t="shared" si="6"/>
        <v>4</v>
      </c>
      <c r="P62" s="70">
        <f t="shared" si="7"/>
        <v>-3</v>
      </c>
      <c r="Q62" s="71">
        <f t="shared" si="8"/>
        <v>-3</v>
      </c>
    </row>
    <row r="63" spans="6:27" ht="19.5">
      <c r="I63" s="43">
        <f t="shared" si="2"/>
        <v>3</v>
      </c>
      <c r="J63" s="44"/>
      <c r="K63" s="72">
        <f t="shared" si="3"/>
        <v>6</v>
      </c>
      <c r="L63" s="73">
        <f t="shared" si="4"/>
        <v>6</v>
      </c>
      <c r="M63" s="73">
        <f t="shared" si="5"/>
        <v>-185.50310559006209</v>
      </c>
      <c r="N63" s="73">
        <f t="shared" si="6"/>
        <v>0</v>
      </c>
      <c r="O63" s="73">
        <f t="shared" si="6"/>
        <v>4</v>
      </c>
      <c r="P63" s="73">
        <f t="shared" si="7"/>
        <v>-3</v>
      </c>
      <c r="Q63" s="74">
        <f t="shared" si="8"/>
        <v>-3</v>
      </c>
    </row>
    <row r="64" spans="6:27" ht="19.5">
      <c r="I64" s="43">
        <f t="shared" si="2"/>
        <v>4</v>
      </c>
      <c r="J64" s="44"/>
      <c r="K64" s="60">
        <f t="shared" si="3"/>
        <v>6</v>
      </c>
      <c r="L64" s="61">
        <f t="shared" si="4"/>
        <v>6</v>
      </c>
      <c r="M64" s="61">
        <f t="shared" si="5"/>
        <v>-185.50310559006209</v>
      </c>
      <c r="N64" s="61">
        <f t="shared" si="6"/>
        <v>0</v>
      </c>
      <c r="O64" s="61">
        <f t="shared" si="6"/>
        <v>4</v>
      </c>
      <c r="P64" s="61">
        <f t="shared" si="7"/>
        <v>-3</v>
      </c>
      <c r="Q64" s="62">
        <f t="shared" si="8"/>
        <v>-3</v>
      </c>
    </row>
    <row r="65" spans="9:17" ht="19.5">
      <c r="I65" s="43">
        <f t="shared" si="2"/>
        <v>4</v>
      </c>
      <c r="J65" s="44"/>
      <c r="K65" s="60">
        <f t="shared" si="3"/>
        <v>6</v>
      </c>
      <c r="L65" s="61">
        <f t="shared" si="4"/>
        <v>6</v>
      </c>
      <c r="M65" s="61">
        <f t="shared" si="5"/>
        <v>-185.50310559006209</v>
      </c>
      <c r="N65" s="61">
        <f t="shared" si="6"/>
        <v>0</v>
      </c>
      <c r="O65" s="61">
        <f t="shared" si="6"/>
        <v>4</v>
      </c>
      <c r="P65" s="61">
        <f t="shared" si="7"/>
        <v>-3</v>
      </c>
      <c r="Q65" s="62">
        <f t="shared" si="8"/>
        <v>-3</v>
      </c>
    </row>
    <row r="66" spans="9:17" ht="20.25" thickBot="1">
      <c r="I66" s="43">
        <f t="shared" si="2"/>
        <v>4</v>
      </c>
      <c r="J66" s="44"/>
      <c r="K66" s="63">
        <f t="shared" si="3"/>
        <v>6</v>
      </c>
      <c r="L66" s="64">
        <f t="shared" si="4"/>
        <v>6</v>
      </c>
      <c r="M66" s="64">
        <f t="shared" si="5"/>
        <v>-185.50310559006209</v>
      </c>
      <c r="N66" s="64">
        <f t="shared" si="6"/>
        <v>0</v>
      </c>
      <c r="O66" s="64">
        <f t="shared" si="6"/>
        <v>4</v>
      </c>
      <c r="P66" s="64">
        <f t="shared" si="7"/>
        <v>-3</v>
      </c>
      <c r="Q66" s="65">
        <f t="shared" si="8"/>
        <v>-3</v>
      </c>
    </row>
  </sheetData>
  <sheetProtection selectLockedCells="1"/>
  <mergeCells count="68"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  <mergeCell ref="AE37:AI37"/>
    <mergeCell ref="AJ37:AK37"/>
    <mergeCell ref="AD37:AD38"/>
    <mergeCell ref="AA35:AA37"/>
    <mergeCell ref="Z38:Z40"/>
    <mergeCell ref="AA38:AA40"/>
    <mergeCell ref="Z35:Z37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s="17" t="s">
        <v>208</v>
      </c>
    </row>
    <row r="2" spans="1:37">
      <c r="A2" t="s">
        <v>529</v>
      </c>
      <c r="B2" t="s">
        <v>530</v>
      </c>
      <c r="C2" t="s">
        <v>531</v>
      </c>
      <c r="D2" t="s">
        <v>209</v>
      </c>
      <c r="E2">
        <v>3</v>
      </c>
      <c r="F2" t="s">
        <v>210</v>
      </c>
      <c r="G2" t="s">
        <v>211</v>
      </c>
      <c r="H2" t="s">
        <v>212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2111.1792661149002</v>
      </c>
      <c r="S2">
        <v>1529.5010168486001</v>
      </c>
      <c r="T2">
        <v>-1.3207338850999999</v>
      </c>
      <c r="U2">
        <v>-1.0010168486</v>
      </c>
      <c r="V2">
        <v>17.0522406704</v>
      </c>
      <c r="W2">
        <v>735.64670000000001</v>
      </c>
      <c r="X2">
        <v>394.2559</v>
      </c>
      <c r="Y2">
        <v>406.36360000000002</v>
      </c>
      <c r="Z2">
        <v>398.29660000000001</v>
      </c>
      <c r="AA2">
        <v>399.32420000000002</v>
      </c>
      <c r="AB2">
        <v>567.60338750000005</v>
      </c>
      <c r="AC2" t="s">
        <v>213</v>
      </c>
      <c r="AD2" t="s">
        <v>214</v>
      </c>
      <c r="AE2" t="s">
        <v>215</v>
      </c>
      <c r="AF2" t="s">
        <v>216</v>
      </c>
      <c r="AG2" t="s">
        <v>217</v>
      </c>
      <c r="AH2">
        <v>8</v>
      </c>
      <c r="AI2" t="s">
        <v>218</v>
      </c>
      <c r="AK2" s="17">
        <v>1</v>
      </c>
    </row>
    <row r="3" spans="1:37">
      <c r="A3" t="s">
        <v>538</v>
      </c>
      <c r="B3" t="s">
        <v>539</v>
      </c>
      <c r="C3" t="s">
        <v>540</v>
      </c>
      <c r="D3" t="s">
        <v>209</v>
      </c>
      <c r="E3">
        <v>3</v>
      </c>
      <c r="F3" t="s">
        <v>210</v>
      </c>
      <c r="G3" t="s">
        <v>211</v>
      </c>
      <c r="H3" t="s">
        <v>212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2111.6098758812</v>
      </c>
      <c r="S3">
        <v>1525.9468830430001</v>
      </c>
      <c r="T3">
        <v>-0.89012411879999997</v>
      </c>
      <c r="U3">
        <v>-13.446883043</v>
      </c>
      <c r="V3">
        <v>13.4763119777</v>
      </c>
      <c r="W3">
        <v>735.28989999999999</v>
      </c>
      <c r="X3">
        <v>390.00119999999998</v>
      </c>
      <c r="Y3">
        <v>398.60669999999999</v>
      </c>
      <c r="Z3">
        <v>389.9092</v>
      </c>
      <c r="AA3">
        <v>392.5772</v>
      </c>
      <c r="AB3">
        <v>564.03173749999996</v>
      </c>
      <c r="AC3" t="s">
        <v>213</v>
      </c>
      <c r="AD3" t="s">
        <v>214</v>
      </c>
      <c r="AE3" t="s">
        <v>215</v>
      </c>
      <c r="AF3" t="s">
        <v>216</v>
      </c>
      <c r="AG3" t="s">
        <v>217</v>
      </c>
      <c r="AH3">
        <v>8</v>
      </c>
      <c r="AI3" t="s">
        <v>218</v>
      </c>
      <c r="AK3" s="17">
        <v>1</v>
      </c>
    </row>
    <row r="4" spans="1:37">
      <c r="A4" t="s">
        <v>546</v>
      </c>
      <c r="B4" t="s">
        <v>547</v>
      </c>
      <c r="C4" t="s">
        <v>548</v>
      </c>
      <c r="D4" t="s">
        <v>209</v>
      </c>
      <c r="E4">
        <v>3</v>
      </c>
      <c r="F4" t="s">
        <v>210</v>
      </c>
      <c r="G4" t="s">
        <v>211</v>
      </c>
      <c r="H4" t="s">
        <v>212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2111.9187707315</v>
      </c>
      <c r="S4">
        <v>1528.9555945928</v>
      </c>
      <c r="T4">
        <v>-0.58122926850000001</v>
      </c>
      <c r="U4">
        <v>-16.455594592800001</v>
      </c>
      <c r="V4">
        <v>16.465856214199999</v>
      </c>
      <c r="W4">
        <v>719.69370000000004</v>
      </c>
      <c r="X4">
        <v>386.84120000000001</v>
      </c>
      <c r="Y4">
        <v>392.87889999999999</v>
      </c>
      <c r="Z4">
        <v>385.74900000000002</v>
      </c>
      <c r="AA4">
        <v>385.27550000000002</v>
      </c>
      <c r="AB4">
        <v>553.68992500000002</v>
      </c>
      <c r="AC4" t="s">
        <v>213</v>
      </c>
      <c r="AD4" t="s">
        <v>214</v>
      </c>
      <c r="AE4" t="s">
        <v>215</v>
      </c>
      <c r="AF4" t="s">
        <v>216</v>
      </c>
      <c r="AG4" t="s">
        <v>217</v>
      </c>
      <c r="AH4">
        <v>8</v>
      </c>
      <c r="AI4" t="s">
        <v>218</v>
      </c>
      <c r="AK4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249</v>
      </c>
      <c r="AW1" t="s">
        <v>206</v>
      </c>
      <c r="AX1" t="s">
        <v>207</v>
      </c>
      <c r="AY1" s="17" t="s">
        <v>208</v>
      </c>
    </row>
    <row r="2" spans="1:51">
      <c r="A2" t="s">
        <v>554</v>
      </c>
      <c r="B2" t="s">
        <v>555</v>
      </c>
      <c r="C2" t="s">
        <v>556</v>
      </c>
      <c r="D2" t="s">
        <v>209</v>
      </c>
      <c r="E2">
        <v>3</v>
      </c>
      <c r="F2" t="s">
        <v>210</v>
      </c>
      <c r="G2" t="s">
        <v>211</v>
      </c>
      <c r="H2" t="s">
        <v>250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-4.4882300000000002E-5</v>
      </c>
      <c r="S2">
        <v>6.2112884520999998</v>
      </c>
      <c r="T2">
        <v>6.6096601485999997</v>
      </c>
      <c r="U2">
        <v>2.9713439941000002</v>
      </c>
      <c r="V2">
        <v>5.3214235305999997</v>
      </c>
      <c r="W2">
        <v>-11.0825614929</v>
      </c>
      <c r="X2">
        <v>-1.3538949490000001</v>
      </c>
      <c r="Y2">
        <v>-3.3197202682000002</v>
      </c>
      <c r="Z2">
        <v>0.16796675320000001</v>
      </c>
      <c r="AA2">
        <v>-0.65658688549999999</v>
      </c>
      <c r="AB2">
        <v>0.24587059019999999</v>
      </c>
      <c r="AC2">
        <v>-2.1700329781000001</v>
      </c>
      <c r="AD2">
        <v>3.1864924431000001</v>
      </c>
      <c r="AE2">
        <v>0.48042175170000001</v>
      </c>
      <c r="AF2">
        <v>1.1876785755000001</v>
      </c>
      <c r="AG2">
        <v>0.42647784950000001</v>
      </c>
      <c r="AH2">
        <v>-1.1853424311</v>
      </c>
      <c r="AI2">
        <v>-0.94603276250000001</v>
      </c>
      <c r="AJ2">
        <v>0.19990265369999999</v>
      </c>
      <c r="AK2">
        <v>0.48714274169999999</v>
      </c>
      <c r="AL2">
        <v>1.905012E-4</v>
      </c>
      <c r="AM2">
        <v>4.47169356E-2</v>
      </c>
      <c r="AN2">
        <v>0.228779912</v>
      </c>
      <c r="AO2">
        <v>0.23801891510000001</v>
      </c>
      <c r="AP2">
        <v>0.23801891510000001</v>
      </c>
      <c r="AQ2">
        <v>0.23801891510000001</v>
      </c>
      <c r="AR2">
        <v>9.0701549885000006</v>
      </c>
      <c r="AS2" t="s">
        <v>251</v>
      </c>
      <c r="AT2" t="s">
        <v>252</v>
      </c>
      <c r="AU2">
        <v>3</v>
      </c>
      <c r="AV2">
        <v>2.9</v>
      </c>
      <c r="AY2" s="17">
        <v>1</v>
      </c>
    </row>
    <row r="3" spans="1:51">
      <c r="A3" t="s">
        <v>557</v>
      </c>
      <c r="B3" t="s">
        <v>558</v>
      </c>
      <c r="C3" t="s">
        <v>559</v>
      </c>
      <c r="D3" t="s">
        <v>209</v>
      </c>
      <c r="E3">
        <v>3</v>
      </c>
      <c r="F3" t="s">
        <v>210</v>
      </c>
      <c r="G3" t="s">
        <v>211</v>
      </c>
      <c r="H3" t="s">
        <v>250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-2.4557099999999999E-5</v>
      </c>
      <c r="S3">
        <v>0.79017174239999999</v>
      </c>
      <c r="T3">
        <v>8.0275621414000007</v>
      </c>
      <c r="U3">
        <v>2.3508431911000001</v>
      </c>
      <c r="V3">
        <v>6.9047565459999998</v>
      </c>
      <c r="W3">
        <v>-2.2754259109000001</v>
      </c>
      <c r="X3">
        <v>-2.4286308288999998</v>
      </c>
      <c r="Y3">
        <v>-1.6012988091</v>
      </c>
      <c r="Z3">
        <v>0.75235575440000002</v>
      </c>
      <c r="AA3">
        <v>0.45018666979999999</v>
      </c>
      <c r="AB3">
        <v>0.67354041340000004</v>
      </c>
      <c r="AC3">
        <v>-2.1780958176</v>
      </c>
      <c r="AD3">
        <v>0.35848402979999999</v>
      </c>
      <c r="AE3">
        <v>1.8918818234999999</v>
      </c>
      <c r="AF3">
        <v>0.12133070830000001</v>
      </c>
      <c r="AG3">
        <v>-0.1134464443</v>
      </c>
      <c r="AH3">
        <v>-0.54136717320000005</v>
      </c>
      <c r="AI3">
        <v>-0.40587270260000002</v>
      </c>
      <c r="AJ3">
        <v>0.22836560010000001</v>
      </c>
      <c r="AK3">
        <v>0.58299183850000003</v>
      </c>
      <c r="AL3">
        <v>1.950767E-4</v>
      </c>
      <c r="AM3">
        <v>4.6172656100000001E-2</v>
      </c>
      <c r="AN3">
        <v>7.7970340799999996E-2</v>
      </c>
      <c r="AO3">
        <v>0.15307158230000001</v>
      </c>
      <c r="AP3">
        <v>0.2280860841</v>
      </c>
      <c r="AQ3">
        <v>0.2280860841</v>
      </c>
      <c r="AR3">
        <v>8.0663576239000001</v>
      </c>
      <c r="AS3" t="s">
        <v>251</v>
      </c>
      <c r="AT3" t="s">
        <v>252</v>
      </c>
      <c r="AU3">
        <v>4</v>
      </c>
      <c r="AV3">
        <v>2.9</v>
      </c>
      <c r="AY3" s="17">
        <v>1</v>
      </c>
    </row>
    <row r="4" spans="1:51">
      <c r="A4" t="s">
        <v>562</v>
      </c>
      <c r="B4" t="s">
        <v>563</v>
      </c>
      <c r="C4" t="s">
        <v>574</v>
      </c>
      <c r="D4" t="s">
        <v>209</v>
      </c>
      <c r="E4">
        <v>3</v>
      </c>
      <c r="F4" t="s">
        <v>210</v>
      </c>
      <c r="G4" t="s">
        <v>211</v>
      </c>
      <c r="H4" t="s">
        <v>250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-2.8609999999999998E-6</v>
      </c>
      <c r="S4">
        <v>3.1534683704000002</v>
      </c>
      <c r="T4">
        <v>5.8300447463999996</v>
      </c>
      <c r="U4">
        <v>6.2088332175999996</v>
      </c>
      <c r="V4">
        <v>10.2169437408</v>
      </c>
      <c r="W4">
        <v>-6.6461696625000002</v>
      </c>
      <c r="X4">
        <v>-3.1310510635000002</v>
      </c>
      <c r="Y4">
        <v>-1.8332369328</v>
      </c>
      <c r="Z4">
        <v>-0.97465217110000002</v>
      </c>
      <c r="AA4">
        <v>-1.3325675725999999</v>
      </c>
      <c r="AB4">
        <v>0.43017780779999998</v>
      </c>
      <c r="AC4">
        <v>-2.6298844814</v>
      </c>
      <c r="AD4">
        <v>2.1418118477000001</v>
      </c>
      <c r="AE4">
        <v>1.5046004057</v>
      </c>
      <c r="AF4">
        <v>0.47717994450000001</v>
      </c>
      <c r="AG4">
        <v>2.5907427100000002E-2</v>
      </c>
      <c r="AH4">
        <v>0.50628197190000002</v>
      </c>
      <c r="AI4">
        <v>-0.29971569780000001</v>
      </c>
      <c r="AJ4">
        <v>0.79930442570000004</v>
      </c>
      <c r="AK4">
        <v>0.32805597780000001</v>
      </c>
      <c r="AL4">
        <v>2.1961959999999999E-4</v>
      </c>
      <c r="AM4">
        <v>4.7146514100000002E-2</v>
      </c>
      <c r="AN4">
        <v>0.1590913534</v>
      </c>
      <c r="AO4">
        <v>0.17583726350000001</v>
      </c>
      <c r="AP4">
        <v>0.28623312709999998</v>
      </c>
      <c r="AQ4">
        <v>0.28623312709999998</v>
      </c>
      <c r="AR4">
        <v>6.628256521</v>
      </c>
      <c r="AS4" t="s">
        <v>251</v>
      </c>
      <c r="AT4" t="s">
        <v>252</v>
      </c>
      <c r="AU4">
        <v>3</v>
      </c>
      <c r="AV4">
        <v>2.9</v>
      </c>
      <c r="AY4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206</v>
      </c>
      <c r="AF1" t="s">
        <v>207</v>
      </c>
      <c r="AG1" s="17" t="s">
        <v>208</v>
      </c>
    </row>
    <row r="2" spans="1:33">
      <c r="A2" t="s">
        <v>554</v>
      </c>
      <c r="B2" t="s">
        <v>555</v>
      </c>
      <c r="C2" t="s">
        <v>560</v>
      </c>
      <c r="D2" t="s">
        <v>209</v>
      </c>
      <c r="E2">
        <v>3</v>
      </c>
      <c r="F2" t="s">
        <v>210</v>
      </c>
      <c r="G2" t="s">
        <v>211</v>
      </c>
      <c r="H2" t="s">
        <v>250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-8.2111436950000005</v>
      </c>
      <c r="S2">
        <v>-56</v>
      </c>
      <c r="T2">
        <v>82.4170998357</v>
      </c>
      <c r="U2">
        <v>110.3566655625</v>
      </c>
      <c r="V2">
        <v>3.4275318743000001</v>
      </c>
      <c r="W2">
        <v>2.5222432E-3</v>
      </c>
      <c r="X2">
        <v>-6.2017600000000001E-5</v>
      </c>
      <c r="Y2">
        <v>3.2346512478</v>
      </c>
      <c r="Z2">
        <v>82.115610920199998</v>
      </c>
      <c r="AA2">
        <v>64.053694079300001</v>
      </c>
      <c r="AB2">
        <v>326.82608975260001</v>
      </c>
      <c r="AC2">
        <v>348.21585483370001</v>
      </c>
      <c r="AD2">
        <v>1</v>
      </c>
      <c r="AG2" s="17">
        <v>1</v>
      </c>
    </row>
    <row r="3" spans="1:33">
      <c r="A3" t="s">
        <v>557</v>
      </c>
      <c r="B3" t="s">
        <v>558</v>
      </c>
      <c r="C3" t="s">
        <v>561</v>
      </c>
      <c r="D3" t="s">
        <v>209</v>
      </c>
      <c r="E3">
        <v>3</v>
      </c>
      <c r="F3" t="s">
        <v>210</v>
      </c>
      <c r="G3" t="s">
        <v>211</v>
      </c>
      <c r="H3" t="s">
        <v>250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-4.6920821114000004</v>
      </c>
      <c r="S3">
        <v>-32</v>
      </c>
      <c r="T3">
        <v>85.013713721000002</v>
      </c>
      <c r="U3">
        <v>101.23640272910001</v>
      </c>
      <c r="V3">
        <v>3.4714154725999999</v>
      </c>
      <c r="W3">
        <v>2.6835029999999998E-3</v>
      </c>
      <c r="X3">
        <v>-6.1940599999999994E-5</v>
      </c>
      <c r="Y3">
        <v>3.2718676039000001</v>
      </c>
      <c r="Z3">
        <v>84.811597785000004</v>
      </c>
      <c r="AA3">
        <v>69.389071886899998</v>
      </c>
      <c r="AB3">
        <v>326.29315204900001</v>
      </c>
      <c r="AC3">
        <v>347.63112868669998</v>
      </c>
      <c r="AD3">
        <v>1</v>
      </c>
      <c r="AG3" s="17">
        <v>1</v>
      </c>
    </row>
    <row r="4" spans="1:33">
      <c r="A4" t="s">
        <v>562</v>
      </c>
      <c r="B4" t="s">
        <v>563</v>
      </c>
      <c r="C4" t="s">
        <v>564</v>
      </c>
      <c r="D4" t="s">
        <v>209</v>
      </c>
      <c r="E4">
        <v>3</v>
      </c>
      <c r="F4" t="s">
        <v>210</v>
      </c>
      <c r="G4" t="s">
        <v>211</v>
      </c>
      <c r="H4" t="s">
        <v>250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-9.3841642229000009</v>
      </c>
      <c r="S4">
        <v>-64</v>
      </c>
      <c r="T4">
        <v>81.783153364900002</v>
      </c>
      <c r="U4">
        <v>113.902895903</v>
      </c>
      <c r="V4">
        <v>3.4535205061999998</v>
      </c>
      <c r="W4">
        <v>2.6720438000000001E-3</v>
      </c>
      <c r="X4">
        <v>-6.4562599999999997E-5</v>
      </c>
      <c r="Y4">
        <v>3.2589869215</v>
      </c>
      <c r="Z4">
        <v>80.880083188599997</v>
      </c>
      <c r="AA4">
        <v>66.797791521999997</v>
      </c>
      <c r="AB4">
        <v>332.6068795306</v>
      </c>
      <c r="AC4">
        <v>354.93829400340002</v>
      </c>
      <c r="AD4">
        <v>1</v>
      </c>
      <c r="AG4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519</v>
      </c>
      <c r="JL1" t="s">
        <v>260</v>
      </c>
      <c r="JM1" t="s">
        <v>520</v>
      </c>
      <c r="JN1" t="s">
        <v>521</v>
      </c>
      <c r="JO1" t="s">
        <v>522</v>
      </c>
      <c r="JP1" t="s">
        <v>523</v>
      </c>
      <c r="JQ1" t="s">
        <v>524</v>
      </c>
      <c r="JR1" s="17" t="s">
        <v>525</v>
      </c>
      <c r="JS1" s="17" t="s">
        <v>206</v>
      </c>
      <c r="JT1" s="17" t="s">
        <v>207</v>
      </c>
      <c r="JU1" s="17" t="s">
        <v>208</v>
      </c>
    </row>
    <row r="2" spans="1:281">
      <c r="A2" t="s">
        <v>565</v>
      </c>
      <c r="B2" t="s">
        <v>566</v>
      </c>
      <c r="C2" t="s">
        <v>567</v>
      </c>
      <c r="D2" t="s">
        <v>209</v>
      </c>
      <c r="E2">
        <v>3</v>
      </c>
      <c r="F2" t="s">
        <v>210</v>
      </c>
      <c r="G2" t="s">
        <v>211</v>
      </c>
      <c r="H2" t="s">
        <v>526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1.5999999996000001</v>
      </c>
      <c r="S2">
        <v>9.9999999300000003E-2</v>
      </c>
      <c r="T2">
        <v>0</v>
      </c>
      <c r="U2">
        <v>0.19999999860000001</v>
      </c>
      <c r="V2">
        <v>0.29999999970000002</v>
      </c>
      <c r="W2">
        <v>0.19999999860000001</v>
      </c>
      <c r="X2">
        <v>9.9999999300000003E-2</v>
      </c>
      <c r="Y2">
        <v>9.9999999300000003E-2</v>
      </c>
      <c r="Z2">
        <v>0.19999999860000001</v>
      </c>
      <c r="AA2">
        <v>0.29999999970000002</v>
      </c>
      <c r="AB2">
        <v>0.29999999970000002</v>
      </c>
      <c r="AC2">
        <v>0.29999999970000002</v>
      </c>
      <c r="AD2">
        <v>0.19999999860000001</v>
      </c>
      <c r="AE2">
        <v>0.49999999830000003</v>
      </c>
      <c r="AF2">
        <v>0.29999999970000002</v>
      </c>
      <c r="AG2">
        <v>0.29999999970000002</v>
      </c>
      <c r="AH2">
        <v>0.29999999970000002</v>
      </c>
      <c r="AI2">
        <v>9.9999999300000003E-2</v>
      </c>
      <c r="AJ2">
        <v>4.9999999991999999</v>
      </c>
      <c r="AK2">
        <v>11.4999999987</v>
      </c>
      <c r="AL2">
        <v>18.0999999993</v>
      </c>
      <c r="AM2">
        <v>25.2</v>
      </c>
      <c r="AN2">
        <v>32.4000000001</v>
      </c>
      <c r="AO2">
        <v>38.999999998900002</v>
      </c>
      <c r="AP2">
        <v>46.699999998999999</v>
      </c>
      <c r="AQ2">
        <v>54.099999999399998</v>
      </c>
      <c r="AR2">
        <v>61.399999998699997</v>
      </c>
      <c r="AS2">
        <v>68.699999999799999</v>
      </c>
      <c r="AT2">
        <v>76.799999998900006</v>
      </c>
      <c r="AU2">
        <v>84.3999999997</v>
      </c>
      <c r="AV2">
        <v>91.899999999399995</v>
      </c>
      <c r="AW2">
        <v>99.899999999299993</v>
      </c>
      <c r="AX2">
        <v>108.39999999920001</v>
      </c>
      <c r="AY2">
        <v>116.79999999979999</v>
      </c>
      <c r="AZ2">
        <v>124.59999999919999</v>
      </c>
      <c r="BA2">
        <v>132.7999999994</v>
      </c>
      <c r="BB2">
        <v>140.89999999849999</v>
      </c>
      <c r="BC2">
        <v>148.5999999986</v>
      </c>
      <c r="BD2">
        <v>156.69999999949999</v>
      </c>
      <c r="BE2">
        <v>164.9999999991</v>
      </c>
      <c r="BF2">
        <v>172.6999999992</v>
      </c>
      <c r="BG2">
        <v>180.699999999</v>
      </c>
      <c r="BH2">
        <v>188.89999999919999</v>
      </c>
      <c r="BI2">
        <v>196.89999999899999</v>
      </c>
      <c r="BJ2">
        <v>204.59999999909999</v>
      </c>
      <c r="BK2">
        <v>212.89999999860001</v>
      </c>
      <c r="BL2">
        <v>220.59999999870001</v>
      </c>
      <c r="BM2">
        <v>228.29999999890001</v>
      </c>
      <c r="BN2">
        <v>235.79999999859999</v>
      </c>
      <c r="BO2">
        <v>243.89999999950001</v>
      </c>
      <c r="BP2">
        <v>251.1999999988</v>
      </c>
      <c r="BQ2">
        <v>258.59999999920001</v>
      </c>
      <c r="BR2">
        <v>266.29999999929998</v>
      </c>
      <c r="BS2">
        <v>273.59999999860003</v>
      </c>
      <c r="BT2">
        <v>280.69999999930002</v>
      </c>
      <c r="BU2">
        <v>287.9999999986</v>
      </c>
      <c r="BV2">
        <v>295.00000000009999</v>
      </c>
      <c r="BW2">
        <v>302.29999999939997</v>
      </c>
      <c r="BX2">
        <v>308.89999999999998</v>
      </c>
      <c r="BY2">
        <v>316.10000000000002</v>
      </c>
      <c r="BZ2">
        <v>322.99999999850002</v>
      </c>
      <c r="CA2">
        <v>329.49999999980002</v>
      </c>
      <c r="CB2">
        <v>336.09999999860003</v>
      </c>
      <c r="CC2">
        <v>342.69999999919997</v>
      </c>
      <c r="CD2">
        <v>349.09999999950003</v>
      </c>
      <c r="CE2">
        <v>355.39999999859998</v>
      </c>
      <c r="CF2">
        <v>361.2999999987</v>
      </c>
      <c r="CG2">
        <v>367.69999999890001</v>
      </c>
      <c r="CH2">
        <v>373.79999999939997</v>
      </c>
      <c r="CI2">
        <v>379.99999999919999</v>
      </c>
      <c r="CJ2">
        <v>385.69999999890001</v>
      </c>
      <c r="CK2">
        <v>391.49999999969998</v>
      </c>
      <c r="CL2">
        <v>397.19999999940001</v>
      </c>
      <c r="CM2">
        <v>402.69999999869998</v>
      </c>
      <c r="CN2">
        <v>408.49999999950001</v>
      </c>
      <c r="CO2">
        <v>413.69999999919997</v>
      </c>
      <c r="CP2">
        <v>418.89999999880001</v>
      </c>
      <c r="CQ2">
        <v>424.49999999919999</v>
      </c>
      <c r="CR2">
        <v>429.89999999920002</v>
      </c>
      <c r="CS2">
        <v>435.1999999999</v>
      </c>
      <c r="CT2">
        <v>440.09999999979999</v>
      </c>
      <c r="CU2">
        <v>444.2999999992</v>
      </c>
      <c r="CV2">
        <v>446.5999999993</v>
      </c>
      <c r="CW2">
        <v>449.09999999979999</v>
      </c>
      <c r="CX2">
        <v>451.49999999919999</v>
      </c>
      <c r="CY2">
        <v>453.39999999849999</v>
      </c>
      <c r="CZ2">
        <v>453.49999999959999</v>
      </c>
      <c r="DA2">
        <v>453.2999999992</v>
      </c>
      <c r="DB2">
        <v>453.2999999992</v>
      </c>
      <c r="DC2">
        <v>453.39999999849999</v>
      </c>
      <c r="DD2">
        <v>453.2999999992</v>
      </c>
      <c r="DE2">
        <v>453.39999999849999</v>
      </c>
      <c r="DF2">
        <v>453.39999999849999</v>
      </c>
      <c r="DG2">
        <v>453.2999999992</v>
      </c>
      <c r="DH2">
        <v>2.3999999993999999</v>
      </c>
      <c r="DI2">
        <v>1.2999999999</v>
      </c>
      <c r="DJ2">
        <v>1.1999999988000001</v>
      </c>
      <c r="DK2">
        <v>1.1999999988000001</v>
      </c>
      <c r="DL2">
        <v>0.99999999839999998</v>
      </c>
      <c r="DM2">
        <v>1.0999999995</v>
      </c>
      <c r="DN2">
        <v>1.1999999988000001</v>
      </c>
      <c r="DO2">
        <v>1.0999999995</v>
      </c>
      <c r="DP2">
        <v>1.1999999988000001</v>
      </c>
      <c r="DQ2">
        <v>1.0999999995</v>
      </c>
      <c r="DR2">
        <v>1.2999999999</v>
      </c>
      <c r="DS2">
        <v>1.1999999988000001</v>
      </c>
      <c r="DT2">
        <v>1.1999999988000001</v>
      </c>
      <c r="DU2">
        <v>1.2999999999</v>
      </c>
      <c r="DV2">
        <v>1.2999999999</v>
      </c>
      <c r="DW2">
        <v>1.3999999992000001</v>
      </c>
      <c r="DX2">
        <v>1.1999999988000001</v>
      </c>
      <c r="DY2">
        <v>2.9999999987999999</v>
      </c>
      <c r="DZ2">
        <v>10.0999999995</v>
      </c>
      <c r="EA2">
        <v>16.699999998300001</v>
      </c>
      <c r="EB2">
        <v>23.799999999000001</v>
      </c>
      <c r="EC2">
        <v>30.799999998600001</v>
      </c>
      <c r="ED2">
        <v>37.599999999700003</v>
      </c>
      <c r="EE2">
        <v>45.099999999399998</v>
      </c>
      <c r="EF2">
        <v>52.399999998699997</v>
      </c>
      <c r="EG2">
        <v>59.699999999799999</v>
      </c>
      <c r="EH2">
        <v>67.099999998399994</v>
      </c>
      <c r="EI2">
        <v>74.899999999599999</v>
      </c>
      <c r="EJ2">
        <v>82.699999998999999</v>
      </c>
      <c r="EK2">
        <v>90.099999999399998</v>
      </c>
      <c r="EL2">
        <v>98</v>
      </c>
      <c r="EM2">
        <v>106.09999999910001</v>
      </c>
      <c r="EN2">
        <v>114.49999999969999</v>
      </c>
      <c r="EO2">
        <v>122.89999999849999</v>
      </c>
      <c r="EP2">
        <v>131.09999999870001</v>
      </c>
      <c r="EQ2">
        <v>139.6999999997</v>
      </c>
      <c r="ER2">
        <v>146.89999999969999</v>
      </c>
      <c r="ES2">
        <v>155.1999999992</v>
      </c>
      <c r="ET2">
        <v>163.49999999869999</v>
      </c>
      <c r="EU2">
        <v>171.699999999</v>
      </c>
      <c r="EV2">
        <v>179.3999999991</v>
      </c>
      <c r="EW2">
        <v>187.5</v>
      </c>
      <c r="EX2">
        <v>195.89999999880001</v>
      </c>
      <c r="EY2">
        <v>203.49999999959999</v>
      </c>
      <c r="EZ2">
        <v>211.59999999870001</v>
      </c>
      <c r="FA2">
        <v>219.79999999890001</v>
      </c>
      <c r="FB2">
        <v>227.3999999998</v>
      </c>
      <c r="FC2">
        <v>235.1999999992</v>
      </c>
      <c r="FD2">
        <v>243.2999999983</v>
      </c>
      <c r="FE2">
        <v>250.69999999870001</v>
      </c>
      <c r="FF2">
        <v>258.29999999950002</v>
      </c>
      <c r="FG2">
        <v>266.29999999929998</v>
      </c>
      <c r="FH2">
        <v>273.69999999970003</v>
      </c>
      <c r="FI2">
        <v>280.99999999900001</v>
      </c>
      <c r="FJ2">
        <v>287.9999999986</v>
      </c>
      <c r="FK2">
        <v>295.79999999990002</v>
      </c>
      <c r="FL2">
        <v>302.79999999950002</v>
      </c>
      <c r="FM2">
        <v>309.59999999870001</v>
      </c>
      <c r="FN2">
        <v>316.9999999991</v>
      </c>
      <c r="FO2">
        <v>323.7999999983</v>
      </c>
      <c r="FP2">
        <v>330.3999999989</v>
      </c>
      <c r="FQ2">
        <v>337.1999999999</v>
      </c>
      <c r="FR2">
        <v>343.7999999987</v>
      </c>
      <c r="FS2">
        <v>350.59999999979999</v>
      </c>
      <c r="FT2">
        <v>357</v>
      </c>
      <c r="FU2">
        <v>363.09999999870001</v>
      </c>
      <c r="FV2">
        <v>369.29999999850003</v>
      </c>
      <c r="FW2">
        <v>375.79999999979998</v>
      </c>
      <c r="FX2">
        <v>381.5999999988</v>
      </c>
      <c r="FY2">
        <v>387.09999999989998</v>
      </c>
      <c r="FZ2">
        <v>393.0999999993</v>
      </c>
      <c r="GA2">
        <v>398.79999999900002</v>
      </c>
      <c r="GB2">
        <v>404.49999999869999</v>
      </c>
      <c r="GC2">
        <v>409.99999999990001</v>
      </c>
      <c r="GD2">
        <v>414.8999999998</v>
      </c>
      <c r="GE2">
        <v>420.49999999840003</v>
      </c>
      <c r="GF2">
        <v>425.89999999840001</v>
      </c>
      <c r="GG2">
        <v>430.99999999869999</v>
      </c>
      <c r="GH2">
        <v>435.89999999859998</v>
      </c>
      <c r="GI2">
        <v>440.69999999919997</v>
      </c>
      <c r="GJ2">
        <v>444.7</v>
      </c>
      <c r="GK2">
        <v>446.99999999829998</v>
      </c>
      <c r="GL2">
        <v>449.09999999979999</v>
      </c>
      <c r="GM2">
        <v>451.69999999959998</v>
      </c>
      <c r="GN2">
        <v>453.1999999999</v>
      </c>
      <c r="GO2">
        <v>453.2999999992</v>
      </c>
      <c r="GP2">
        <v>453.1999999999</v>
      </c>
      <c r="GQ2">
        <v>453.2999999992</v>
      </c>
      <c r="GR2">
        <v>453.1999999999</v>
      </c>
      <c r="GS2">
        <v>453.1999999999</v>
      </c>
      <c r="GT2">
        <v>453.2999999992</v>
      </c>
      <c r="GU2">
        <v>453.1999999999</v>
      </c>
      <c r="GV2">
        <v>453.1999999999</v>
      </c>
      <c r="GW2">
        <v>453.39999999849999</v>
      </c>
      <c r="GX2">
        <v>1</v>
      </c>
      <c r="GY2">
        <v>108.89999999929999</v>
      </c>
      <c r="GZ2">
        <v>108.39999999920001</v>
      </c>
      <c r="HA2">
        <v>108.39999999920001</v>
      </c>
      <c r="HB2">
        <v>114.49999999969999</v>
      </c>
      <c r="HC2">
        <v>109.89960295509999</v>
      </c>
      <c r="HD2">
        <v>-6.1000000004999997</v>
      </c>
      <c r="HE2">
        <v>453.39999999849999</v>
      </c>
      <c r="HF2">
        <v>299.34358663329999</v>
      </c>
      <c r="HG2">
        <v>91.536197198599993</v>
      </c>
      <c r="HH2">
        <v>453.49999999959999</v>
      </c>
      <c r="HI2">
        <v>453.39999999849999</v>
      </c>
      <c r="HJ2">
        <v>453.49999999959999</v>
      </c>
      <c r="HK2">
        <v>453.39999999849999</v>
      </c>
      <c r="HL2">
        <v>121.9941348974</v>
      </c>
      <c r="HM2">
        <v>3.2346512478</v>
      </c>
      <c r="HN2">
        <v>3.1524188440000001</v>
      </c>
      <c r="HO2">
        <v>3.1993383929000001</v>
      </c>
      <c r="HP2">
        <v>3.1380585057000001</v>
      </c>
      <c r="HQ2">
        <v>3.4275318743000001</v>
      </c>
      <c r="HR2">
        <v>2.1913761032000001</v>
      </c>
      <c r="HS2">
        <v>18.363405756399999</v>
      </c>
      <c r="HT2">
        <v>-28.152492668600001</v>
      </c>
      <c r="HU2">
        <v>-192</v>
      </c>
      <c r="HV2">
        <v>409.24318958830003</v>
      </c>
      <c r="HW2">
        <v>96.187683284499997</v>
      </c>
      <c r="HX2">
        <v>656</v>
      </c>
      <c r="HY2">
        <v>18.363405756399999</v>
      </c>
      <c r="HZ2">
        <v>-28.152492668600001</v>
      </c>
      <c r="IA2">
        <v>-192</v>
      </c>
      <c r="IB2">
        <v>409.24318958830003</v>
      </c>
      <c r="IC2">
        <v>96.187683284499997</v>
      </c>
      <c r="ID2">
        <v>656</v>
      </c>
      <c r="IE2">
        <v>44.156810410200002</v>
      </c>
      <c r="IF2">
        <v>0.30148891550000001</v>
      </c>
      <c r="IG2">
        <v>-37.536656891500002</v>
      </c>
      <c r="IH2">
        <v>-256</v>
      </c>
      <c r="II2">
        <v>430.63295466950001</v>
      </c>
      <c r="IJ2">
        <v>105.57184750730001</v>
      </c>
      <c r="IK2">
        <v>720</v>
      </c>
      <c r="IL2">
        <v>390.8797838319</v>
      </c>
      <c r="IM2">
        <v>124.3401759531</v>
      </c>
      <c r="IN2">
        <v>414.87133561190001</v>
      </c>
      <c r="IO2">
        <v>133.724340176</v>
      </c>
      <c r="IP2">
        <v>7.1000000006999997</v>
      </c>
      <c r="IQ2">
        <v>5.6000000003999997</v>
      </c>
      <c r="IR2">
        <v>8.6000000009999997</v>
      </c>
      <c r="IS2">
        <v>6.2970284320000003</v>
      </c>
      <c r="IT2">
        <v>6.2970284320000003</v>
      </c>
      <c r="IU2">
        <v>5.1999999996000001</v>
      </c>
      <c r="IV2">
        <v>-30.4985337243</v>
      </c>
      <c r="IW2">
        <v>8.1000000008999997</v>
      </c>
      <c r="IX2">
        <v>82.1114369501</v>
      </c>
      <c r="IY2">
        <v>6.9999999996</v>
      </c>
      <c r="IZ2">
        <v>103.22580645159999</v>
      </c>
      <c r="JA2">
        <v>-34.164875672500003</v>
      </c>
      <c r="JB2">
        <v>0.33955625090000002</v>
      </c>
      <c r="JC2">
        <v>-3.3583050000000002E-4</v>
      </c>
      <c r="JD2">
        <v>6.9360000000000002E-7</v>
      </c>
      <c r="JE2">
        <v>0.30915233930000002</v>
      </c>
      <c r="JF2">
        <v>0.18834296859999999</v>
      </c>
      <c r="JG2">
        <v>8.4158688300000006E-2</v>
      </c>
      <c r="JH2">
        <v>110.3566655625</v>
      </c>
      <c r="JI2">
        <v>3.4275318743000001</v>
      </c>
      <c r="JJ2">
        <v>2.5222432E-3</v>
      </c>
      <c r="JK2">
        <v>-6.2017600000000001E-5</v>
      </c>
      <c r="JL2">
        <v>3.2346512478</v>
      </c>
      <c r="JM2">
        <v>1.1587506586</v>
      </c>
      <c r="JN2">
        <v>0.51225075440000001</v>
      </c>
      <c r="JO2">
        <v>3.0263750002999998</v>
      </c>
      <c r="JP2">
        <v>2.3870000002</v>
      </c>
      <c r="JQ2">
        <v>3.6657500004000001</v>
      </c>
      <c r="JR2" s="17" t="s">
        <v>527</v>
      </c>
      <c r="JU2" s="17">
        <v>1</v>
      </c>
    </row>
    <row r="3" spans="1:281">
      <c r="A3" t="s">
        <v>568</v>
      </c>
      <c r="B3" t="s">
        <v>569</v>
      </c>
      <c r="C3" t="s">
        <v>570</v>
      </c>
      <c r="D3" t="s">
        <v>209</v>
      </c>
      <c r="E3">
        <v>3</v>
      </c>
      <c r="F3" t="s">
        <v>210</v>
      </c>
      <c r="G3" t="s">
        <v>211</v>
      </c>
      <c r="H3" t="s">
        <v>526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1.5999999996000001</v>
      </c>
      <c r="S3">
        <v>0.7000000005</v>
      </c>
      <c r="T3">
        <v>0.79999999980000003</v>
      </c>
      <c r="U3">
        <v>0.7000000005</v>
      </c>
      <c r="V3">
        <v>0.79999999980000003</v>
      </c>
      <c r="W3">
        <v>0.59999999940000004</v>
      </c>
      <c r="X3">
        <v>0.7000000005</v>
      </c>
      <c r="Y3">
        <v>0.59999999940000004</v>
      </c>
      <c r="Z3">
        <v>0.40000000079999998</v>
      </c>
      <c r="AA3">
        <v>0.50000000010000001</v>
      </c>
      <c r="AB3">
        <v>0.40000000079999998</v>
      </c>
      <c r="AC3">
        <v>0.40000000079999998</v>
      </c>
      <c r="AD3">
        <v>0.40000000079999998</v>
      </c>
      <c r="AE3">
        <v>0.40000000079999998</v>
      </c>
      <c r="AF3">
        <v>0.40000000079999998</v>
      </c>
      <c r="AG3">
        <v>0.40000000079999998</v>
      </c>
      <c r="AH3">
        <v>0.40000000079999998</v>
      </c>
      <c r="AI3">
        <v>0.20000000039999999</v>
      </c>
      <c r="AJ3">
        <v>0</v>
      </c>
      <c r="AK3">
        <v>2.2000000007999998</v>
      </c>
      <c r="AL3">
        <v>8.9000000007000004</v>
      </c>
      <c r="AM3">
        <v>15.4000000002</v>
      </c>
      <c r="AN3">
        <v>22.500000000899998</v>
      </c>
      <c r="AO3">
        <v>29.399999999399999</v>
      </c>
      <c r="AP3">
        <v>37.000000000299998</v>
      </c>
      <c r="AQ3">
        <v>44.700000000400003</v>
      </c>
      <c r="AR3">
        <v>52.299999999400001</v>
      </c>
      <c r="AS3">
        <v>59.999999999499998</v>
      </c>
      <c r="AT3">
        <v>67.4999999992</v>
      </c>
      <c r="AU3">
        <v>75.000000000699998</v>
      </c>
      <c r="AV3">
        <v>82.700000000800003</v>
      </c>
      <c r="AW3">
        <v>90.5999999995</v>
      </c>
      <c r="AX3">
        <v>99.400000000999995</v>
      </c>
      <c r="AY3">
        <v>108.2000000006</v>
      </c>
      <c r="AZ3">
        <v>116.2000000004</v>
      </c>
      <c r="BA3">
        <v>124.20000000020001</v>
      </c>
      <c r="BB3">
        <v>132.10000000069999</v>
      </c>
      <c r="BC3">
        <v>139.90000000009999</v>
      </c>
      <c r="BD3">
        <v>148.6000000004</v>
      </c>
      <c r="BE3">
        <v>156.9</v>
      </c>
      <c r="BF3">
        <v>164.80000000050001</v>
      </c>
      <c r="BG3">
        <v>172.8999999996</v>
      </c>
      <c r="BH3">
        <v>180.8000000001</v>
      </c>
      <c r="BI3">
        <v>188.7000000006</v>
      </c>
      <c r="BJ3">
        <v>196.79999999969999</v>
      </c>
      <c r="BK3">
        <v>205.20000000030001</v>
      </c>
      <c r="BL3">
        <v>213.10000000080001</v>
      </c>
      <c r="BM3">
        <v>220.99999999950001</v>
      </c>
      <c r="BN3">
        <v>228.8000000008</v>
      </c>
      <c r="BO3">
        <v>236.5000000009</v>
      </c>
      <c r="BP3">
        <v>244.09999999990001</v>
      </c>
      <c r="BQ3">
        <v>252.00000000040001</v>
      </c>
      <c r="BR3">
        <v>259.50000000009999</v>
      </c>
      <c r="BS3">
        <v>267.20000000020002</v>
      </c>
      <c r="BT3">
        <v>274.60000000060001</v>
      </c>
      <c r="BU3">
        <v>282.10000000039997</v>
      </c>
      <c r="BV3">
        <v>289.19999999930002</v>
      </c>
      <c r="BW3">
        <v>296.3</v>
      </c>
      <c r="BX3">
        <v>303.5</v>
      </c>
      <c r="BY3">
        <v>310.79999999929998</v>
      </c>
      <c r="BZ3">
        <v>317.49999999919999</v>
      </c>
      <c r="CA3">
        <v>324.20000000089999</v>
      </c>
      <c r="CB3">
        <v>331.09999999939998</v>
      </c>
      <c r="CC3">
        <v>337.60000000069999</v>
      </c>
      <c r="CD3">
        <v>344.00000000099999</v>
      </c>
      <c r="CE3">
        <v>350.3000000001</v>
      </c>
      <c r="CF3">
        <v>357</v>
      </c>
      <c r="CG3">
        <v>363.40000000020001</v>
      </c>
      <c r="CH3">
        <v>369.50000000070003</v>
      </c>
      <c r="CI3">
        <v>375.59999999939998</v>
      </c>
      <c r="CJ3">
        <v>381.60000000060001</v>
      </c>
      <c r="CK3">
        <v>387.19999999919997</v>
      </c>
      <c r="CL3">
        <v>393.2000000004</v>
      </c>
      <c r="CM3">
        <v>398.49999999929997</v>
      </c>
      <c r="CN3">
        <v>404.20000000089999</v>
      </c>
      <c r="CO3">
        <v>410.10000000100001</v>
      </c>
      <c r="CP3">
        <v>415.49999999919999</v>
      </c>
      <c r="CQ3">
        <v>420.70000000060003</v>
      </c>
      <c r="CR3">
        <v>426.2999999992</v>
      </c>
      <c r="CS3">
        <v>431.39999999949998</v>
      </c>
      <c r="CT3">
        <v>436.70000000020002</v>
      </c>
      <c r="CU3">
        <v>441.50000000080001</v>
      </c>
      <c r="CV3">
        <v>446.5999999993</v>
      </c>
      <c r="CW3">
        <v>451.0000000009</v>
      </c>
      <c r="CX3">
        <v>453.60000000069999</v>
      </c>
      <c r="CY3">
        <v>453.7</v>
      </c>
      <c r="CZ3">
        <v>453.90000000039998</v>
      </c>
      <c r="DA3">
        <v>453.60000000069999</v>
      </c>
      <c r="DB3">
        <v>453.7</v>
      </c>
      <c r="DC3">
        <v>453.7</v>
      </c>
      <c r="DD3">
        <v>453.49999999959999</v>
      </c>
      <c r="DE3">
        <v>453.60000000069999</v>
      </c>
      <c r="DF3">
        <v>453.60000000069999</v>
      </c>
      <c r="DG3">
        <v>453.49999999959999</v>
      </c>
      <c r="DH3">
        <v>2.5999999998000001</v>
      </c>
      <c r="DI3">
        <v>1.8999999993000001</v>
      </c>
      <c r="DJ3">
        <v>1.8</v>
      </c>
      <c r="DK3">
        <v>1.8999999993000001</v>
      </c>
      <c r="DL3">
        <v>2.0000000004</v>
      </c>
      <c r="DM3">
        <v>1.8999999993000001</v>
      </c>
      <c r="DN3">
        <v>2.0000000004</v>
      </c>
      <c r="DO3">
        <v>1.8</v>
      </c>
      <c r="DP3">
        <v>1.8</v>
      </c>
      <c r="DQ3">
        <v>1.7000000007</v>
      </c>
      <c r="DR3">
        <v>1.7000000007</v>
      </c>
      <c r="DS3">
        <v>1.5999999996000001</v>
      </c>
      <c r="DT3">
        <v>1.5999999996000001</v>
      </c>
      <c r="DU3">
        <v>1.5999999996000001</v>
      </c>
      <c r="DV3">
        <v>1.5999999996000001</v>
      </c>
      <c r="DW3">
        <v>1.5000000003</v>
      </c>
      <c r="DX3">
        <v>1.5999999996000001</v>
      </c>
      <c r="DY3">
        <v>1.3999999992000001</v>
      </c>
      <c r="DZ3">
        <v>1.0000000002</v>
      </c>
      <c r="EA3">
        <v>7.2999999992999998</v>
      </c>
      <c r="EB3">
        <v>14.1000000003</v>
      </c>
      <c r="EC3">
        <v>21.0000000006</v>
      </c>
      <c r="ED3">
        <v>27.700000000599999</v>
      </c>
      <c r="EE3">
        <v>35.100000000999998</v>
      </c>
      <c r="EF3">
        <v>43.100000000800001</v>
      </c>
      <c r="EG3">
        <v>50.300000000799997</v>
      </c>
      <c r="EH3">
        <v>57.899999999800002</v>
      </c>
      <c r="EI3">
        <v>65.399999999499997</v>
      </c>
      <c r="EJ3">
        <v>72.899999999200006</v>
      </c>
      <c r="EK3">
        <v>80.599999999299996</v>
      </c>
      <c r="EL3">
        <v>88.499999999799996</v>
      </c>
      <c r="EM3">
        <v>96.9000000005</v>
      </c>
      <c r="EN3">
        <v>105.4000000004</v>
      </c>
      <c r="EO3">
        <v>114.10000000070001</v>
      </c>
      <c r="EP3">
        <v>122.1000000005</v>
      </c>
      <c r="EQ3">
        <v>130.19999999960001</v>
      </c>
      <c r="ER3">
        <v>138.00000000079999</v>
      </c>
      <c r="ES3">
        <v>146.3999999996</v>
      </c>
      <c r="ET3">
        <v>154.89999999950001</v>
      </c>
      <c r="EU3">
        <v>163.09999999979999</v>
      </c>
      <c r="EV3">
        <v>171.09999999959999</v>
      </c>
      <c r="EW3">
        <v>179.40000000090001</v>
      </c>
      <c r="EX3">
        <v>187.4000000007</v>
      </c>
      <c r="EY3">
        <v>195.4999999998</v>
      </c>
      <c r="EZ3">
        <v>203.79999999930001</v>
      </c>
      <c r="FA3">
        <v>212.10000000060001</v>
      </c>
      <c r="FB3">
        <v>219.9999999993</v>
      </c>
      <c r="FC3">
        <v>228.10000000030001</v>
      </c>
      <c r="FD3">
        <v>235.80000000039999</v>
      </c>
      <c r="FE3">
        <v>243.50000000049999</v>
      </c>
      <c r="FF3">
        <v>251.70000000069999</v>
      </c>
      <c r="FG3">
        <v>259.50000000009999</v>
      </c>
      <c r="FH3">
        <v>267.20000000020002</v>
      </c>
      <c r="FI3">
        <v>274.49999999950001</v>
      </c>
      <c r="FJ3">
        <v>282.10000000039997</v>
      </c>
      <c r="FK3">
        <v>289.69999999940001</v>
      </c>
      <c r="FL3">
        <v>296.7000000008</v>
      </c>
      <c r="FM3">
        <v>304.29999999979998</v>
      </c>
      <c r="FN3">
        <v>311.40000000049997</v>
      </c>
      <c r="FO3">
        <v>318.60000000050002</v>
      </c>
      <c r="FP3">
        <v>325.39999999970001</v>
      </c>
      <c r="FQ3">
        <v>332.20000000070002</v>
      </c>
      <c r="FR3">
        <v>338.99999999990001</v>
      </c>
      <c r="FS3">
        <v>345.49999999940002</v>
      </c>
      <c r="FT3">
        <v>351.80000000040002</v>
      </c>
      <c r="FU3">
        <v>358.8</v>
      </c>
      <c r="FV3">
        <v>364.99999999980002</v>
      </c>
      <c r="FW3">
        <v>371.19999999959998</v>
      </c>
      <c r="FX3">
        <v>377.2000000008</v>
      </c>
      <c r="FY3">
        <v>383.20000000020002</v>
      </c>
      <c r="FZ3">
        <v>389.10000000029999</v>
      </c>
      <c r="GA3">
        <v>394.89999999930001</v>
      </c>
      <c r="GB3">
        <v>400.60000000079998</v>
      </c>
      <c r="GC3">
        <v>406.19999999940001</v>
      </c>
      <c r="GD3">
        <v>412.09999999960002</v>
      </c>
      <c r="GE3">
        <v>417.79999999929998</v>
      </c>
      <c r="GF3">
        <v>422.80000000029997</v>
      </c>
      <c r="GG3">
        <v>428.2999999996</v>
      </c>
      <c r="GH3">
        <v>433.0000000009</v>
      </c>
      <c r="GI3">
        <v>438.09999999939998</v>
      </c>
      <c r="GJ3">
        <v>442.9</v>
      </c>
      <c r="GK3">
        <v>447.20000000049998</v>
      </c>
      <c r="GL3">
        <v>451.19999999949999</v>
      </c>
      <c r="GM3">
        <v>453.60000000069999</v>
      </c>
      <c r="GN3">
        <v>453.49999999959999</v>
      </c>
      <c r="GO3">
        <v>453.7</v>
      </c>
      <c r="GP3">
        <v>453.49999999959999</v>
      </c>
      <c r="GQ3">
        <v>453.60000000069999</v>
      </c>
      <c r="GR3">
        <v>453.60000000069999</v>
      </c>
      <c r="GS3">
        <v>453.49999999959999</v>
      </c>
      <c r="GT3">
        <v>453.60000000069999</v>
      </c>
      <c r="GU3">
        <v>453.4000000003</v>
      </c>
      <c r="GV3">
        <v>453.60000000069999</v>
      </c>
      <c r="GW3">
        <v>453.49999999959999</v>
      </c>
      <c r="GX3">
        <v>1</v>
      </c>
      <c r="GY3">
        <v>99.700000000700001</v>
      </c>
      <c r="GZ3">
        <v>99.400000000999995</v>
      </c>
      <c r="HA3">
        <v>99.400000000999995</v>
      </c>
      <c r="HB3">
        <v>105.4000000004</v>
      </c>
      <c r="HC3">
        <v>100.7541988106</v>
      </c>
      <c r="HD3">
        <v>-5.9999999994</v>
      </c>
      <c r="HE3">
        <v>453.49999999959999</v>
      </c>
      <c r="HF3">
        <v>310.55266695940003</v>
      </c>
      <c r="HG3">
        <v>85.1295569766</v>
      </c>
      <c r="HH3">
        <v>453.90000000039998</v>
      </c>
      <c r="HI3">
        <v>453.7</v>
      </c>
      <c r="HJ3">
        <v>453.90000000039998</v>
      </c>
      <c r="HK3">
        <v>453.7</v>
      </c>
      <c r="HL3">
        <v>119.6480938416</v>
      </c>
      <c r="HM3">
        <v>3.2718676039000001</v>
      </c>
      <c r="HN3">
        <v>3.1994614087</v>
      </c>
      <c r="HO3">
        <v>3.2516855346</v>
      </c>
      <c r="HP3">
        <v>3.2091598391999998</v>
      </c>
      <c r="HQ3">
        <v>3.4714154725999999</v>
      </c>
      <c r="HR3">
        <v>2.1961228412999998</v>
      </c>
      <c r="HS3">
        <v>15.6246418341</v>
      </c>
      <c r="HT3">
        <v>-25.806451612899998</v>
      </c>
      <c r="HU3">
        <v>-176</v>
      </c>
      <c r="HV3">
        <v>411.30686577</v>
      </c>
      <c r="HW3">
        <v>98.533724340199996</v>
      </c>
      <c r="HX3">
        <v>672</v>
      </c>
      <c r="HY3">
        <v>15.6246418341</v>
      </c>
      <c r="HZ3">
        <v>-25.806451612899998</v>
      </c>
      <c r="IA3">
        <v>-176</v>
      </c>
      <c r="IB3">
        <v>411.30686577</v>
      </c>
      <c r="IC3">
        <v>98.533724340199996</v>
      </c>
      <c r="ID3">
        <v>672</v>
      </c>
      <c r="IE3">
        <v>42.393134230000001</v>
      </c>
      <c r="IF3">
        <v>0.202115936</v>
      </c>
      <c r="IG3">
        <v>-35.190615835800003</v>
      </c>
      <c r="IH3">
        <v>-240</v>
      </c>
      <c r="II3">
        <v>432.64484240770003</v>
      </c>
      <c r="IJ3">
        <v>107.91788856300001</v>
      </c>
      <c r="IK3">
        <v>736</v>
      </c>
      <c r="IL3">
        <v>395.68222393600001</v>
      </c>
      <c r="IM3">
        <v>124.3401759531</v>
      </c>
      <c r="IN3">
        <v>419.99069869900001</v>
      </c>
      <c r="IO3">
        <v>133.724340176</v>
      </c>
      <c r="IP3">
        <v>6.8000000009999999</v>
      </c>
      <c r="IQ3">
        <v>5.6999999997000002</v>
      </c>
      <c r="IR3">
        <v>8.8000000014000008</v>
      </c>
      <c r="IS3">
        <v>6.4694415731000001</v>
      </c>
      <c r="IT3">
        <v>6.4694415731000001</v>
      </c>
      <c r="IU3">
        <v>5.1999999996000001</v>
      </c>
      <c r="IV3">
        <v>-28.152492668600001</v>
      </c>
      <c r="IW3">
        <v>8.4999999999</v>
      </c>
      <c r="IX3">
        <v>77.419354838700002</v>
      </c>
      <c r="IY3">
        <v>7.5999999989999996</v>
      </c>
      <c r="IZ3">
        <v>105.57184750730001</v>
      </c>
      <c r="JA3">
        <v>-30.8154448417</v>
      </c>
      <c r="JB3">
        <v>0.33121495969999998</v>
      </c>
      <c r="JC3">
        <v>-3.1708289999999998E-4</v>
      </c>
      <c r="JD3">
        <v>6.7130000000000004E-7</v>
      </c>
      <c r="JE3">
        <v>0.30563583890000001</v>
      </c>
      <c r="JF3">
        <v>0.22754553999999999</v>
      </c>
      <c r="JG3">
        <v>9.0385481000000004E-2</v>
      </c>
      <c r="JH3">
        <v>101.23640272910001</v>
      </c>
      <c r="JI3">
        <v>3.4714154725999999</v>
      </c>
      <c r="JJ3">
        <v>2.6835029999999998E-3</v>
      </c>
      <c r="JK3">
        <v>-6.1940599999999994E-5</v>
      </c>
      <c r="JL3">
        <v>3.2718676039000001</v>
      </c>
      <c r="JM3">
        <v>1.2207957512000001</v>
      </c>
      <c r="JN3">
        <v>0.4722144559</v>
      </c>
      <c r="JO3">
        <v>2.8985000003999999</v>
      </c>
      <c r="JP3">
        <v>2.4296249999000001</v>
      </c>
      <c r="JQ3">
        <v>3.7510000005999999</v>
      </c>
      <c r="JR3" s="17" t="s">
        <v>527</v>
      </c>
      <c r="JU3" s="17">
        <v>1</v>
      </c>
    </row>
    <row r="4" spans="1:281">
      <c r="A4" t="s">
        <v>571</v>
      </c>
      <c r="B4" t="s">
        <v>572</v>
      </c>
      <c r="C4" t="s">
        <v>573</v>
      </c>
      <c r="D4" t="s">
        <v>209</v>
      </c>
      <c r="E4">
        <v>3</v>
      </c>
      <c r="F4" t="s">
        <v>210</v>
      </c>
      <c r="G4" t="s">
        <v>211</v>
      </c>
      <c r="H4" t="s">
        <v>526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0</v>
      </c>
      <c r="S4">
        <v>0.80000000159999995</v>
      </c>
      <c r="T4">
        <v>0.7000000005</v>
      </c>
      <c r="U4">
        <v>0.90000000089999999</v>
      </c>
      <c r="V4">
        <v>0.90000000089999999</v>
      </c>
      <c r="W4">
        <v>0.80000000159999995</v>
      </c>
      <c r="X4">
        <v>0.90000000089999999</v>
      </c>
      <c r="Y4">
        <v>0.90000000089999999</v>
      </c>
      <c r="Z4">
        <v>0.80000000159999995</v>
      </c>
      <c r="AA4">
        <v>0.7000000005</v>
      </c>
      <c r="AB4">
        <v>0.80000000159999995</v>
      </c>
      <c r="AC4">
        <v>0.90000000089999999</v>
      </c>
      <c r="AD4">
        <v>0.80000000159999995</v>
      </c>
      <c r="AE4">
        <v>0.90000000089999999</v>
      </c>
      <c r="AF4">
        <v>0.90000000089999999</v>
      </c>
      <c r="AG4">
        <v>0.90000000089999999</v>
      </c>
      <c r="AH4">
        <v>1.0000000002</v>
      </c>
      <c r="AI4">
        <v>1.400000001</v>
      </c>
      <c r="AJ4">
        <v>7.7000000001000002</v>
      </c>
      <c r="AK4">
        <v>14.800000000800001</v>
      </c>
      <c r="AL4">
        <v>21.0000000006</v>
      </c>
      <c r="AM4">
        <v>27.4000000009</v>
      </c>
      <c r="AN4">
        <v>34.600000000900003</v>
      </c>
      <c r="AO4">
        <v>42.000000001300002</v>
      </c>
      <c r="AP4">
        <v>49.500000000999997</v>
      </c>
      <c r="AQ4">
        <v>56.800000000300003</v>
      </c>
      <c r="AR4">
        <v>64.400000001099997</v>
      </c>
      <c r="AS4">
        <v>72.300000001599997</v>
      </c>
      <c r="AT4">
        <v>79.4000000005</v>
      </c>
      <c r="AU4">
        <v>87.000000001399997</v>
      </c>
      <c r="AV4">
        <v>95.300000000899999</v>
      </c>
      <c r="AW4">
        <v>103.3000000007</v>
      </c>
      <c r="AX4">
        <v>112.000000001</v>
      </c>
      <c r="AY4">
        <v>120.8999999999</v>
      </c>
      <c r="AZ4">
        <v>128.70000000109999</v>
      </c>
      <c r="BA4">
        <v>136.50000000049999</v>
      </c>
      <c r="BB4">
        <v>144.60000000139999</v>
      </c>
      <c r="BC4">
        <v>153.0000000002</v>
      </c>
      <c r="BD4">
        <v>161.10000000119999</v>
      </c>
      <c r="BE4">
        <v>169.20000000030001</v>
      </c>
      <c r="BF4">
        <v>177.6000000009</v>
      </c>
      <c r="BG4">
        <v>184.90000000020001</v>
      </c>
      <c r="BH4">
        <v>193.00000000110001</v>
      </c>
      <c r="BI4">
        <v>201.2000000013</v>
      </c>
      <c r="BJ4">
        <v>209.0000000007</v>
      </c>
      <c r="BK4">
        <v>217.3000000003</v>
      </c>
      <c r="BL4">
        <v>225.50000000049999</v>
      </c>
      <c r="BM4">
        <v>233.1000000013</v>
      </c>
      <c r="BN4">
        <v>240.60000000100001</v>
      </c>
      <c r="BO4">
        <v>248.10000000069999</v>
      </c>
      <c r="BP4">
        <v>256.10000000050002</v>
      </c>
      <c r="BQ4">
        <v>263.7000000013</v>
      </c>
      <c r="BR4">
        <v>271.20000000099998</v>
      </c>
      <c r="BS4">
        <v>279.00000000049999</v>
      </c>
      <c r="BT4">
        <v>286.30000000159998</v>
      </c>
      <c r="BU4">
        <v>293.10000000079998</v>
      </c>
      <c r="BV4">
        <v>300.10000000039997</v>
      </c>
      <c r="BW4">
        <v>307.30000000040002</v>
      </c>
      <c r="BX4">
        <v>314.60000000150001</v>
      </c>
      <c r="BY4">
        <v>321.7000000004</v>
      </c>
      <c r="BZ4">
        <v>328.5000000014</v>
      </c>
      <c r="CA4">
        <v>335.39999999989999</v>
      </c>
      <c r="CB4">
        <v>341.60000000159999</v>
      </c>
      <c r="CC4">
        <v>347.9000000007</v>
      </c>
      <c r="CD4">
        <v>354.30000000090001</v>
      </c>
      <c r="CE4">
        <v>360.90000000150002</v>
      </c>
      <c r="CF4">
        <v>367.40000000100002</v>
      </c>
      <c r="CG4">
        <v>373.80000000119998</v>
      </c>
      <c r="CH4">
        <v>379.80000000059999</v>
      </c>
      <c r="CI4">
        <v>386.00000000040001</v>
      </c>
      <c r="CJ4">
        <v>391.70000000009998</v>
      </c>
      <c r="CK4">
        <v>397.5000000009</v>
      </c>
      <c r="CL4">
        <v>402.70000000060003</v>
      </c>
      <c r="CM4">
        <v>408.7</v>
      </c>
      <c r="CN4">
        <v>414.50000000080001</v>
      </c>
      <c r="CO4">
        <v>419.90000000079999</v>
      </c>
      <c r="CP4">
        <v>425.60000000050002</v>
      </c>
      <c r="CQ4">
        <v>431.20000000089999</v>
      </c>
      <c r="CR4">
        <v>436.70000000020002</v>
      </c>
      <c r="CS4">
        <v>441.50000000080001</v>
      </c>
      <c r="CT4">
        <v>446.90000000079999</v>
      </c>
      <c r="CU4">
        <v>450.40000000150002</v>
      </c>
      <c r="CV4">
        <v>453.90000000039998</v>
      </c>
      <c r="CW4">
        <v>455.90000000079999</v>
      </c>
      <c r="CX4">
        <v>455.6000000011</v>
      </c>
      <c r="CY4">
        <v>455.6000000011</v>
      </c>
      <c r="CZ4">
        <v>455.90000000079999</v>
      </c>
      <c r="DA4">
        <v>455.8000000015</v>
      </c>
      <c r="DB4">
        <v>455.90000000079999</v>
      </c>
      <c r="DC4">
        <v>455.8000000015</v>
      </c>
      <c r="DD4">
        <v>455.8000000015</v>
      </c>
      <c r="DE4">
        <v>456.00000000009999</v>
      </c>
      <c r="DF4">
        <v>455.8000000015</v>
      </c>
      <c r="DG4">
        <v>456.00000000009999</v>
      </c>
      <c r="DH4">
        <v>1.1000000013</v>
      </c>
      <c r="DI4">
        <v>2.1000000015000002</v>
      </c>
      <c r="DJ4">
        <v>2.2000000007999998</v>
      </c>
      <c r="DK4">
        <v>2.1000000015000002</v>
      </c>
      <c r="DL4">
        <v>2.2000000007999998</v>
      </c>
      <c r="DM4">
        <v>2.1000000015000002</v>
      </c>
      <c r="DN4">
        <v>2.1000000015000002</v>
      </c>
      <c r="DO4">
        <v>2.2000000007999998</v>
      </c>
      <c r="DP4">
        <v>2.2000000007999998</v>
      </c>
      <c r="DQ4">
        <v>2.0000000004</v>
      </c>
      <c r="DR4">
        <v>2.0000000004</v>
      </c>
      <c r="DS4">
        <v>2.0000000004</v>
      </c>
      <c r="DT4">
        <v>1.9000000011</v>
      </c>
      <c r="DU4">
        <v>2.2000000007999998</v>
      </c>
      <c r="DV4">
        <v>1.9000000011</v>
      </c>
      <c r="DW4">
        <v>1.9000000011</v>
      </c>
      <c r="DX4">
        <v>2.1000000015000002</v>
      </c>
      <c r="DY4">
        <v>5.7000000015000003</v>
      </c>
      <c r="DZ4">
        <v>12.9000000015</v>
      </c>
      <c r="EA4">
        <v>19.700000000700001</v>
      </c>
      <c r="EB4">
        <v>26.200000000199999</v>
      </c>
      <c r="EC4">
        <v>33.300000001000001</v>
      </c>
      <c r="ED4">
        <v>40.300000000600001</v>
      </c>
      <c r="EE4">
        <v>48.000000000699998</v>
      </c>
      <c r="EF4">
        <v>55.200000000700001</v>
      </c>
      <c r="EG4">
        <v>62.6000000011</v>
      </c>
      <c r="EH4">
        <v>70.600000000899996</v>
      </c>
      <c r="EI4">
        <v>77.500000001199993</v>
      </c>
      <c r="EJ4">
        <v>85.200000001399999</v>
      </c>
      <c r="EK4">
        <v>92.900000001500004</v>
      </c>
      <c r="EL4">
        <v>101.20000000100001</v>
      </c>
      <c r="EM4">
        <v>109.2000000008</v>
      </c>
      <c r="EN4">
        <v>118.00000000039999</v>
      </c>
      <c r="EO4">
        <v>127.00000000039999</v>
      </c>
      <c r="EP4">
        <v>134.60000000119999</v>
      </c>
      <c r="EQ4">
        <v>142.80000000140001</v>
      </c>
      <c r="ER4">
        <v>150.9000000005</v>
      </c>
      <c r="ES4">
        <v>159.2000000001</v>
      </c>
      <c r="ET4">
        <v>167.300000001</v>
      </c>
      <c r="EU4">
        <v>176.00000000130001</v>
      </c>
      <c r="EV4">
        <v>183.39999999989999</v>
      </c>
      <c r="EW4">
        <v>191.30000000039999</v>
      </c>
      <c r="EX4">
        <v>199.8000000003</v>
      </c>
      <c r="EY4">
        <v>207.7000000008</v>
      </c>
      <c r="EZ4">
        <v>216.00000000029999</v>
      </c>
      <c r="FA4">
        <v>224.2000000006</v>
      </c>
      <c r="FB4">
        <v>232</v>
      </c>
      <c r="FC4">
        <v>239.60000000080001</v>
      </c>
      <c r="FD4">
        <v>247.20000000159999</v>
      </c>
      <c r="FE4">
        <v>255.10000000030001</v>
      </c>
      <c r="FF4">
        <v>263.10000000010001</v>
      </c>
      <c r="FG4">
        <v>270.70000000089999</v>
      </c>
      <c r="FH4">
        <v>278.50000000030002</v>
      </c>
      <c r="FI4">
        <v>285.6000000011</v>
      </c>
      <c r="FJ4">
        <v>292.90000000039998</v>
      </c>
      <c r="FK4">
        <v>300.20000000149997</v>
      </c>
      <c r="FL4">
        <v>307.20000000110002</v>
      </c>
      <c r="FM4">
        <v>314.7000000008</v>
      </c>
      <c r="FN4">
        <v>321.90000000079999</v>
      </c>
      <c r="FO4">
        <v>328.7</v>
      </c>
      <c r="FP4">
        <v>335.70000000149997</v>
      </c>
      <c r="FQ4">
        <v>342.10000000169998</v>
      </c>
      <c r="FR4">
        <v>348.40000000079999</v>
      </c>
      <c r="FS4">
        <v>354.9000000003</v>
      </c>
      <c r="FT4">
        <v>361.6000000002</v>
      </c>
      <c r="FU4">
        <v>368.00000000040001</v>
      </c>
      <c r="FV4">
        <v>374.49999999990001</v>
      </c>
      <c r="FW4">
        <v>380.90000000010002</v>
      </c>
      <c r="FX4">
        <v>386.90000000129999</v>
      </c>
      <c r="FY4">
        <v>392.60000000100001</v>
      </c>
      <c r="FZ4">
        <v>398.4</v>
      </c>
      <c r="GA4">
        <v>403.9000000012</v>
      </c>
      <c r="GB4">
        <v>409.70000000020002</v>
      </c>
      <c r="GC4">
        <v>415.0000000009</v>
      </c>
      <c r="GD4">
        <v>421.00000000030002</v>
      </c>
      <c r="GE4">
        <v>426.5000000014</v>
      </c>
      <c r="GF4">
        <v>431.80000000029997</v>
      </c>
      <c r="GG4">
        <v>436.99999999990001</v>
      </c>
      <c r="GH4">
        <v>441.90000000160001</v>
      </c>
      <c r="GI4">
        <v>446.5</v>
      </c>
      <c r="GJ4">
        <v>450.1</v>
      </c>
      <c r="GK4">
        <v>453.1999999999</v>
      </c>
      <c r="GL4">
        <v>455.5</v>
      </c>
      <c r="GM4">
        <v>455.6000000011</v>
      </c>
      <c r="GN4">
        <v>455.6000000011</v>
      </c>
      <c r="GO4">
        <v>455.6000000011</v>
      </c>
      <c r="GP4">
        <v>455.90000000079999</v>
      </c>
      <c r="GQ4">
        <v>455.8000000015</v>
      </c>
      <c r="GR4">
        <v>455.8000000015</v>
      </c>
      <c r="GS4">
        <v>455.90000000079999</v>
      </c>
      <c r="GT4">
        <v>456.00000000009999</v>
      </c>
      <c r="GU4">
        <v>456.00000000009999</v>
      </c>
      <c r="GV4">
        <v>455.8000000015</v>
      </c>
      <c r="GW4">
        <v>456.00000000009999</v>
      </c>
      <c r="GX4">
        <v>1</v>
      </c>
      <c r="GY4">
        <v>114.2</v>
      </c>
      <c r="GZ4">
        <v>112.000000001</v>
      </c>
      <c r="HA4">
        <v>112.000000001</v>
      </c>
      <c r="HB4">
        <v>118.00000000039999</v>
      </c>
      <c r="HC4">
        <v>113.5131578956</v>
      </c>
      <c r="HD4">
        <v>-5.9999999994</v>
      </c>
      <c r="HE4">
        <v>456.00000000009999</v>
      </c>
      <c r="HF4">
        <v>300.8768749999</v>
      </c>
      <c r="HG4">
        <v>98.527796052599996</v>
      </c>
      <c r="HH4">
        <v>456.00000000009999</v>
      </c>
      <c r="HI4">
        <v>456.00000000009999</v>
      </c>
      <c r="HJ4">
        <v>456.00000000009999</v>
      </c>
      <c r="HK4">
        <v>456.00000000009999</v>
      </c>
      <c r="HL4">
        <v>117.3020527859</v>
      </c>
      <c r="HM4">
        <v>3.2589869215</v>
      </c>
      <c r="HN4">
        <v>3.1829862343999999</v>
      </c>
      <c r="HO4">
        <v>3.2211583333</v>
      </c>
      <c r="HP4">
        <v>3.1103729845000001</v>
      </c>
      <c r="HQ4">
        <v>3.4535205061999998</v>
      </c>
      <c r="HR4">
        <v>2.1755433961000001</v>
      </c>
      <c r="HS4">
        <v>14.9853618429</v>
      </c>
      <c r="HT4">
        <v>-30.4985337243</v>
      </c>
      <c r="HU4">
        <v>-208</v>
      </c>
      <c r="HV4">
        <v>414.39003289549998</v>
      </c>
      <c r="HW4">
        <v>96.187683284499997</v>
      </c>
      <c r="HX4">
        <v>656</v>
      </c>
      <c r="HY4">
        <v>14.9853618429</v>
      </c>
      <c r="HZ4">
        <v>-30.4985337243</v>
      </c>
      <c r="IA4">
        <v>-208</v>
      </c>
      <c r="IB4">
        <v>414.39003289549998</v>
      </c>
      <c r="IC4">
        <v>96.187683284499997</v>
      </c>
      <c r="ID4">
        <v>656</v>
      </c>
      <c r="IE4">
        <v>41.609967104600003</v>
      </c>
      <c r="IF4">
        <v>0.90307017639999998</v>
      </c>
      <c r="IG4">
        <v>-39.8826979472</v>
      </c>
      <c r="IH4">
        <v>-272</v>
      </c>
      <c r="II4">
        <v>436.72144736839999</v>
      </c>
      <c r="IJ4">
        <v>105.57184750730001</v>
      </c>
      <c r="IK4">
        <v>720</v>
      </c>
      <c r="IL4">
        <v>399.40467105260001</v>
      </c>
      <c r="IM4">
        <v>126.6862170088</v>
      </c>
      <c r="IN4">
        <v>424.59178728099999</v>
      </c>
      <c r="IO4">
        <v>136.0703812317</v>
      </c>
      <c r="IP4">
        <v>7.2</v>
      </c>
      <c r="IQ4">
        <v>5.6000000003999997</v>
      </c>
      <c r="IR4">
        <v>9</v>
      </c>
      <c r="IS4">
        <v>6.0287816738000002</v>
      </c>
      <c r="IT4">
        <v>6.0287816738000002</v>
      </c>
      <c r="IU4">
        <v>5.2000000014000003</v>
      </c>
      <c r="IV4">
        <v>-32.844574780099997</v>
      </c>
      <c r="IW4">
        <v>7.4000000004000004</v>
      </c>
      <c r="IX4">
        <v>58.651026393000002</v>
      </c>
      <c r="IY4">
        <v>6.1999999998000002</v>
      </c>
      <c r="IZ4">
        <v>103.22580645159999</v>
      </c>
      <c r="JA4">
        <v>-35.0768433824</v>
      </c>
      <c r="JB4">
        <v>0.33941779659999999</v>
      </c>
      <c r="JC4">
        <v>-3.4360409999999999E-4</v>
      </c>
      <c r="JD4">
        <v>6.9510000000000002E-7</v>
      </c>
      <c r="JE4">
        <v>0.30684382110000002</v>
      </c>
      <c r="JF4">
        <v>0.43316782399999998</v>
      </c>
      <c r="JG4">
        <v>0.1342146179</v>
      </c>
      <c r="JH4">
        <v>113.902895903</v>
      </c>
      <c r="JI4">
        <v>3.4535205061999998</v>
      </c>
      <c r="JJ4">
        <v>2.6720438000000001E-3</v>
      </c>
      <c r="JK4">
        <v>-6.4562599999999997E-5</v>
      </c>
      <c r="JL4">
        <v>3.2589869215</v>
      </c>
      <c r="JM4">
        <v>2.0928022331</v>
      </c>
      <c r="JN4">
        <v>0.67273346209999996</v>
      </c>
      <c r="JO4">
        <v>3.069</v>
      </c>
      <c r="JP4">
        <v>2.3870000002</v>
      </c>
      <c r="JQ4">
        <v>3.8362500000000002</v>
      </c>
      <c r="JR4" s="17" t="s">
        <v>527</v>
      </c>
      <c r="JU4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70.053694079300001</v>
      </c>
      <c r="D16" s="9">
        <f>AVERAGE(C18:C20)</f>
        <v>28.265930507333334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75.389071886899998</v>
      </c>
      <c r="D17" s="9">
        <f>AVERAGE(C21:C23)</f>
        <v>6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72.797791521999997</v>
      </c>
      <c r="D18" s="11">
        <f>AVERAGE(C24:C26)</f>
        <v>6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6</v>
      </c>
      <c r="D19" s="6">
        <f>AVERAGE('Summary(3pcs)'!E35:E36)</f>
        <v>141.05651531073792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</v>
      </c>
      <c r="D20" s="9">
        <f>AVERAGE('Summary(3pcs)'!E37:E39)</f>
        <v>-74.634145746528759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6</v>
      </c>
      <c r="D21" s="9">
        <f>AVERAGE('Summary(3pcs)'!E40:E42)</f>
        <v>-185.50310559006209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6</v>
      </c>
      <c r="D22" s="11">
        <f>AVERAGE('Summary(3pcs)'!E43:E45)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-1.3207338850999999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-0.89012411879999997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-0.55271450097499997</v>
      </c>
      <c r="C39" s="5">
        <f>'Summary(3pcs)'!M35</f>
        <v>-1.3207338850999999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-0.89012411879999997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0</v>
      </c>
      <c r="C43" s="8">
        <f>'Summary(3pcs)'!M40</f>
        <v>0</v>
      </c>
      <c r="D43" s="6">
        <f t="shared" ref="D43:D54" si="2">C55</f>
        <v>2.9989831514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0</v>
      </c>
      <c r="D44" s="9">
        <f t="shared" si="2"/>
        <v>-9.4468830429999997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0.38802502710000009</v>
      </c>
      <c r="C55" s="5">
        <f>'Summary(3pcs)'!N35</f>
        <v>2.9989831514</v>
      </c>
      <c r="D55" s="6">
        <f>AVERAGE(D31:D33)</f>
        <v>-0.73695266796666659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-9.4468830429999997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4</v>
      </c>
      <c r="C59" s="8">
        <f>'Summary(3pcs)'!N40</f>
        <v>4</v>
      </c>
      <c r="D59" s="9">
        <f>AVERAGE(D43:D45)</f>
        <v>-0.81596663053333318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4</v>
      </c>
      <c r="D60" s="9">
        <f>AVERAGE(D46:D48)</f>
        <v>4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4</v>
      </c>
      <c r="D63" s="6">
        <f>AVERAGE(C71:C73)</f>
        <v>0.38497618830000019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4</v>
      </c>
      <c r="D64" s="9">
        <f>AVERAGE(C74:C76)</f>
        <v>-3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-3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-3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3.8224223454666664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3.2112884520999998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-2.2098282575999999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0.15346837040000061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-3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-3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-3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-3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-3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-3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-3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-3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3.6096601485999997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5.0275621414000007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2.8300447463999996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-3</v>
      </c>
    </row>
    <row r="96" spans="1:7">
      <c r="A96" s="1" t="s">
        <v>87</v>
      </c>
      <c r="C96" s="5">
        <f>'Summary(3pcs)'!W44</f>
        <v>-3</v>
      </c>
    </row>
    <row r="97" spans="1:3">
      <c r="A97" s="1" t="s">
        <v>87</v>
      </c>
      <c r="C97" s="8">
        <f>'Summary(3pcs)'!W45</f>
        <v>-3</v>
      </c>
    </row>
    <row r="98" spans="1:3" ht="17.25" thickBot="1">
      <c r="A98" s="1" t="s">
        <v>87</v>
      </c>
      <c r="C98" s="10">
        <f>'Summary(3pcs)'!W46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2022-09-23T17:54:14Z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