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<sst xmlns="http://schemas.openxmlformats.org/spreadsheetml/2006/main" count="1473" uniqueCount="710">
  <si>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</si>
  <si>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</si>
  <si>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</si>
  <si>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</si>
  <si>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</si>
  <si>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</si>
  <si>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</si>
  <si>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</si>
  <si>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</si>
  <si>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</si>
  <si>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</si>
  <si>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</si>
  <si>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</si>
  <si>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</si>
  <si>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</si>
  <si>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</si>
  <si>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</si>
  <si>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</si>
  <si>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</si>
  <si>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</si>
  <si>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</si>
  <si>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</si>
  <si>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</si>
  <si>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</si>
  <si>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</si>
  <si>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</si>
  <si>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</si>
  <si>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</si>
  <si>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</si>
  <si>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</si>
  <si>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</si>
  <si>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</si>
  <si>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</si>
  <si>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</si>
  <si>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</si>
  <si>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</si>
  <si>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</si>
  <si>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</si>
  <si>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</si>
  <si>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</si>
  <si>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</si>
  <si>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</si>
  <si>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</si>
  <si>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</si>
  <si>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</si>
  <si>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</si>
  <si>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</si>
  <si>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</si>
  <si>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</si>
  <si>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</si>
  <si>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</si>
  <si>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</si>
  <si>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</si>
  <si>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</si>
  <si>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</si>
  <si>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</si>
  <si>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</si>
  <si>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</si>
  <si>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</si>
  <si>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</si>
  <si>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</si>
  <si>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</si>
  <si>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</si>
  <si>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</si>
  <si>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</si>
  <si>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</si>
  <si>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</si>
  <si>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</si>
  <si>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</si>
  <si>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</si>
  <si>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</si>
  <si>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</si>
  <si>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</si>
  <si>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</si>
  <si>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</si>
  <si>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</si>
  <si>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</si>
  <si>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</si>
  <si>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</si>
  <si>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</si>
  <si>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</si>
  <si>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</si>
  <si>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</si>
  <si>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</si>
  <si>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</si>
  <si>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</si>
  <si>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</si>
  <si>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</si>
  <si>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</si>
  <si>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</si>
  <si>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</si>
  <si>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</si>
  <si>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</si>
  <si>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</si>
  <si>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</si>
  <si>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</si>
  <si>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</si>
  <si>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</si>
  <si>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</si>
  <si>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</si>
  <si>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</si>
  <si>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</si>
  <si>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</si>
  <si>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</si>
  <si>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</si>
  <si>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</si>
  <si>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</si>
  <si>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</si>
  <si>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</si>
  <si>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</si>
  <si>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</si>
  <si>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</si>
  <si>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</si>
  <si>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</si>
  <si>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</si>
  <si>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</si>
  <si>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</si>
  <si>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</si>
  <si>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</si>
  <si>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</si>
  <si>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</si>
  <si>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</si>
  <si>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</si>
  <si>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</si>
  <si>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</si>
  <si>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</si>
  <si>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</si>
  <si>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</si>
  <si>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</si>
  <si>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</si>
  <si>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</si>
  <si>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</si>
  <si>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</si>
  <si>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</si>
  <si>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</si>
  <si>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</si>
  <si>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</si>
  <si>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</si>
  <si>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</si>
  <si>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</si>
  <si>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</si>
  <si>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</si>
  <si>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</si>
  <si>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</si>
  <si>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</si>
  <si>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</si>
  <si>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</si>
  <si>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</si>
  <si>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</si>
  <si>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</si>
  <si>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</si>
  <si>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</si>
  <si>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</si>
  <si>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</si>
  <si>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</si>
  <si>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</si>
  <si>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</si>
  <si>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</si>
  <si>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</si>
  <si>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</si>
  <si>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</si>
  <si>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</si>
  <si>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</si>
  <si>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</si>
  <si>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</si>
  <si>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</si>
  <si>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</si>
  <si>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</si>
  <si>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</si>
  <si>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</si>
  <si>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</si>
  <si>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</si>
  <si>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D:\EVMS\TP\ELOG\VSY832XN9NAQ_2022092321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</si>
  <si>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</si>
  <si>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</si>
  <si>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</si>
  <si>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</si>
  <si>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</si>
  <si>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</si>
  <si>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</si>
  <si>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</si>
  <si>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</si>
  <si>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</si>
  <si>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</si>
  <si>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</si>
  <si>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</si>
  <si>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</si>
  <si>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</si>
  <si>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</si>
  <si>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</si>
  <si>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</si>
  <si>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</si>
  <si>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</si>
  <si>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</si>
  <si>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</si>
  <si>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</si>
  <si>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</si>
  <si>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</si>
  <si>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</si>
  <si>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</si>
  <si>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</si>
  <si>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</si>
  <si>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</si>
  <si>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</si>
  <si>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</si>
  <si>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</si>
  <si>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</si>
  <si>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</si>
  <si>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</si>
  <si>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</si>
  <si>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T220923212455931VCMLEBC040</t>
  </si>
  <si>
    <t>'20220923212457</t>
  </si>
  <si>
    <t>'2022-09-23 21:25:05:229</t>
  </si>
  <si>
    <t>VCMLEBC040A</t>
  </si>
  <si>
    <t>DB_M_C2001</t>
  </si>
  <si>
    <t>220217A</t>
  </si>
  <si>
    <t>EPSSWEXCEPTION_POR_R22A_OC_MFG_C20_22051701_5d43eac</t>
  </si>
  <si>
    <t>VSY832XN9NAQ</t>
  </si>
  <si>
    <t>22cb72200010</t>
  </si>
  <si>
    <t>0x52801862b2ea6804</t>
  </si>
  <si>
    <t>MFAC361AA0RKB3B6B740103121</t>
  </si>
  <si>
    <t>MF7C3457B6KJ14A7A648</t>
  </si>
  <si>
    <t>DNA22295012940I05A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</si>
  <si>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</si>
  <si>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</si>
  <si>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</si>
  <si>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</si>
  <si>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</si>
  <si>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</si>
  <si>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</si>
  <si>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</si>
  <si>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</si>
  <si>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</si>
  <si>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</si>
  <si>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</si>
  <si>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</si>
  <si>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</si>
  <si>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</si>
  <si>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</si>
  <si>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</si>
  <si>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</si>
  <si>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</si>
  <si>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</si>
  <si>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</si>
  <si>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</si>
  <si>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</si>
  <si>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</si>
  <si>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</si>
  <si>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</si>
  <si>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</si>
  <si>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</si>
  <si>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</si>
  <si>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</si>
  <si>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</si>
  <si>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</si>
  <si>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</si>
  <si>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</si>
  <si>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</si>
  <si>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</si>
  <si>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</si>
  <si>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T220923212522730VCMLEBC040</t>
  </si>
  <si>
    <t>'20220923212524</t>
  </si>
  <si>
    <t>'2022-09-23 21:25:52:060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</si>
  <si>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</si>
  <si>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</si>
  <si>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</si>
  <si>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</si>
  <si>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</si>
  <si>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</si>
  <si>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</si>
  <si>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</si>
  <si>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</si>
  <si>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</si>
  <si>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</si>
  <si>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</si>
  <si>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</si>
  <si>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</si>
  <si>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</si>
  <si>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</si>
  <si>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21:25:42:036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</si>
  <si>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</si>
  <si>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</si>
  <si>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</si>
  <si>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</si>
  <si>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</si>
  <si>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</si>
  <si>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</si>
  <si>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</si>
  <si>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</si>
  <si>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</si>
  <si>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</si>
  <si>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</si>
  <si>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</si>
  <si>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</si>
  <si>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</si>
  <si>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</si>
  <si>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</si>
  <si>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</si>
  <si>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</si>
  <si>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</si>
  <si>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</si>
  <si>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</si>
  <si>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</si>
  <si>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</si>
  <si>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</si>
  <si>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</si>
  <si>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</si>
  <si>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</si>
  <si>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</si>
  <si>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</si>
  <si>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</si>
  <si>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</si>
  <si>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</si>
  <si>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</si>
  <si>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</si>
  <si>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</si>
  <si>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</si>
  <si>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</si>
  <si>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</si>
  <si>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</si>
  <si>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</si>
  <si>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</si>
  <si>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</si>
  <si>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</si>
  <si>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</si>
  <si>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</si>
  <si>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</si>
  <si>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</si>
  <si>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</si>
  <si>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</si>
  <si>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</si>
  <si>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</si>
  <si>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</si>
  <si>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</si>
  <si>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</si>
  <si>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</si>
  <si>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</si>
  <si>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</si>
  <si>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</si>
  <si>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</si>
  <si>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</si>
  <si>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</si>
  <si>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</si>
  <si>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</si>
  <si>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</si>
  <si>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</si>
  <si>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</si>
  <si>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</si>
  <si>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</si>
  <si>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</si>
  <si>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</si>
  <si>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</si>
  <si>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</si>
  <si>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</si>
  <si>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</si>
  <si>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</si>
  <si>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</si>
  <si>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</si>
  <si>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</si>
  <si>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</si>
  <si>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</si>
  <si>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</si>
  <si>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</si>
  <si>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</si>
  <si>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</si>
  <si>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</si>
  <si>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</si>
  <si>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</si>
  <si>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</si>
  <si>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</si>
  <si>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</si>
  <si>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</si>
  <si>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</si>
  <si>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</si>
  <si>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</si>
  <si>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</si>
  <si>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</si>
  <si>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</si>
  <si>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</si>
  <si>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</si>
  <si>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</si>
  <si>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</si>
  <si>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</si>
  <si>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</si>
  <si>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</si>
  <si>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</si>
  <si>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</si>
  <si>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</si>
  <si>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</si>
  <si>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</si>
  <si>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</si>
  <si>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</si>
  <si>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</si>
  <si>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</si>
  <si>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</si>
  <si>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</si>
  <si>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</si>
  <si>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</si>
  <si>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</si>
  <si>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</si>
  <si>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</si>
  <si>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</si>
  <si>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</si>
  <si>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</si>
  <si>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</si>
  <si>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</si>
  <si>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</si>
  <si>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</si>
  <si>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</si>
  <si>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</si>
  <si>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</si>
  <si>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</si>
  <si>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</si>
  <si>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</si>
  <si>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</si>
  <si>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</si>
  <si>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</si>
  <si>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</si>
  <si>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</si>
  <si>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</si>
  <si>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</si>
  <si>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</si>
  <si>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</si>
  <si>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</si>
  <si>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</si>
  <si>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</si>
  <si>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</si>
  <si>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</si>
  <si>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</si>
  <si>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</si>
  <si>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</si>
  <si>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</si>
  <si>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</si>
  <si>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</si>
  <si>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</si>
  <si>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</si>
  <si>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</si>
  <si>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</si>
  <si>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</si>
  <si>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</si>
  <si>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</si>
  <si>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</si>
  <si>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</si>
  <si>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</si>
  <si>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</si>
  <si>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</si>
  <si>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</si>
  <si>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</si>
  <si>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</si>
  <si>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</si>
  <si>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</si>
  <si>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</si>
  <si>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</si>
  <si>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</si>
  <si>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</si>
  <si>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</si>
  <si>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</si>
  <si>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</si>
  <si>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</si>
  <si>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</si>
  <si>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</si>
  <si>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</si>
  <si>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</si>
  <si>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</si>
  <si>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</si>
  <si>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</si>
  <si>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</si>
  <si>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</si>
  <si>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</si>
  <si>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</si>
  <si>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</si>
  <si>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</si>
  <si>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</si>
  <si>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</si>
  <si>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</si>
  <si>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</si>
  <si>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</si>
  <si>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</si>
  <si>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</si>
  <si>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</si>
  <si>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</si>
  <si>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</si>
  <si>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</si>
  <si>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</si>
  <si>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</si>
  <si>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</si>
  <si>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</si>
  <si>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</si>
  <si>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</si>
  <si>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</si>
  <si>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</si>
  <si>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</si>
  <si>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</si>
  <si>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</si>
  <si>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</si>
  <si>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</si>
  <si>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</si>
  <si>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</si>
  <si>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</si>
  <si>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</si>
  <si>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</si>
  <si>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</si>
  <si>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</si>
  <si>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</si>
  <si>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</si>
  <si>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</si>
  <si>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</si>
  <si>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</si>
  <si>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</si>
  <si>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</si>
  <si>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</si>
  <si>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</si>
  <si>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</si>
  <si>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</si>
  <si>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</si>
  <si>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</si>
  <si>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</si>
  <si>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</si>
  <si>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</si>
  <si>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</si>
  <si>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</si>
  <si>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</si>
  <si>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</si>
  <si>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</si>
  <si>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</si>
  <si>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</si>
  <si>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</si>
  <si>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</si>
  <si>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</si>
  <si>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</si>
  <si>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</si>
  <si>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</si>
  <si>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</si>
  <si>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</si>
  <si>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</si>
  <si>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</si>
  <si>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</si>
  <si>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</si>
  <si>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</si>
  <si>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</si>
  <si>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T220923212507997VCMLEBC040</t>
  </si>
  <si>
    <t>'20220923212509</t>
  </si>
  <si>
    <t>'2022-09-23 21:25:20:552</t>
  </si>
  <si>
    <t>EPSSWEXCEPTION_POR_R22A_IPQC_MFG_Laser_C20_22051701_5d43eac</t>
  </si>
  <si>
    <t>v9p402</t>
  </si>
  <si>
    <t>T220923212601654VCMLEBC040</t>
  </si>
  <si>
    <t>'20220923212603</t>
  </si>
  <si>
    <t>'2022-09-23 21:26:10:434</t>
  </si>
  <si>
    <t>22cb72200022</t>
  </si>
  <si>
    <t>0x52801862b2f66607</t>
  </si>
  <si>
    <t>MFAC361AA0W0B3B6B634101000</t>
  </si>
  <si>
    <t>MF7C3457B6MB14A7A633</t>
  </si>
  <si>
    <t>DNA22301021690H07A</t>
  </si>
  <si>
    <t>T220923212708016VCMLEBC040</t>
  </si>
  <si>
    <t>'20220923212709</t>
  </si>
  <si>
    <t>'2022-09-23 21:27:16:886</t>
  </si>
  <si>
    <t>22cb72210238</t>
  </si>
  <si>
    <t>0x52801862b1c16804</t>
  </si>
  <si>
    <t>MFBC354BA7D621B6B840017114</t>
  </si>
  <si>
    <t>MF7C3457B6VE14A7A620</t>
  </si>
  <si>
    <t>DNA22295092620D05A</t>
  </si>
  <si>
    <t>T220923212824070VCMLEBC040</t>
  </si>
  <si>
    <t>'20220923212825</t>
  </si>
  <si>
    <t>'2022-09-23 21:28:32:839</t>
  </si>
  <si>
    <t>22cb72210886</t>
  </si>
  <si>
    <t>0x52801862b2f96a01</t>
  </si>
  <si>
    <t>MF8C3648B1BSB2B6C146018111</t>
  </si>
  <si>
    <t>MF7C3457B7L814A7A642</t>
  </si>
  <si>
    <t>DNA22301073960A12A</t>
  </si>
  <si>
    <t>T220923212629072VCMLEBC040</t>
  </si>
  <si>
    <t>'20220923212630</t>
  </si>
  <si>
    <t>'2022-09-23 21:26:57:859</t>
  </si>
  <si>
    <t>T220923212734385VCMLEBC040</t>
  </si>
  <si>
    <t>'20220923212736</t>
  </si>
  <si>
    <t>'2022-09-23 21:28:03:499</t>
  </si>
  <si>
    <t>T220923212850452VCMLEBC040</t>
  </si>
  <si>
    <t>'20220923212852</t>
  </si>
  <si>
    <t>'2022-09-23 21:29:19:981</t>
  </si>
  <si>
    <t>'2022-09-23 21:26:47:836</t>
  </si>
  <si>
    <t>'2022-09-23 21:27:53:468</t>
  </si>
  <si>
    <t>'2022-09-23 21:29:09:956</t>
  </si>
  <si>
    <t>T220923212614254VCMLEBC040</t>
  </si>
  <si>
    <t>'20220923212615</t>
  </si>
  <si>
    <t>'2022-09-23 21:26:26:817</t>
  </si>
  <si>
    <t>T220923212719665VCMLEBC040</t>
  </si>
  <si>
    <t>'20220923212721</t>
  </si>
  <si>
    <t>'2022-09-23 21:27:32:225</t>
  </si>
  <si>
    <t>T220923212835645VCMLEBC040</t>
  </si>
  <si>
    <t>'20220923212837</t>
  </si>
  <si>
    <t>'2022-09-23 21:28:48:199</t>
  </si>
  <si>
    <t>T220923212928299VCMLEBC040</t>
  </si>
  <si>
    <t>'20220923212929</t>
  </si>
  <si>
    <t>'2022-09-23 21:29:37:149</t>
  </si>
  <si>
    <t>22cb72200804</t>
  </si>
  <si>
    <t>0x52801862b2edc507</t>
  </si>
  <si>
    <t>MF8C3548B28YB3B6A945010114</t>
  </si>
  <si>
    <t>MF7C3457B6SG14A7A638</t>
  </si>
  <si>
    <t>DNA22301075630G10A</t>
  </si>
  <si>
    <t>T220923212939972VCMLEBC040</t>
  </si>
  <si>
    <t>'20220923212941</t>
  </si>
  <si>
    <t>'2022-09-23 21:29:52:526</t>
  </si>
  <si>
    <t>T220923212954694VCMLEBC040</t>
  </si>
  <si>
    <t>'20220923212956</t>
  </si>
  <si>
    <t>'2022-09-23 21:30:24:738</t>
  </si>
  <si>
    <t>'2022-09-23 21:30:14:716</t>
  </si>
  <si>
    <t>T220923213113141VCMLEBC040</t>
  </si>
  <si>
    <t>'20220923213114</t>
  </si>
  <si>
    <t>'2022-09-23 21:31:42:164</t>
  </si>
  <si>
    <t>22cb72210264</t>
  </si>
  <si>
    <t>0x52801862b2eddc05</t>
  </si>
  <si>
    <t>MFBC354BA7DK21B6C041103117</t>
  </si>
  <si>
    <t>MF7C3457B6V914A7A625</t>
  </si>
  <si>
    <t>DNA22295092620C12A</t>
  </si>
  <si>
    <t>'2022-09-23 21:31:32:139</t>
  </si>
  <si>
    <t>T220923213058423VCMLEBC040</t>
  </si>
  <si>
    <t>'20220923213100</t>
  </si>
  <si>
    <t>'2022-09-23 21:31:10:977</t>
  </si>
  <si>
    <t>T220923213152864VCMLEBC040</t>
  </si>
  <si>
    <t>'20220923213154</t>
  </si>
  <si>
    <t>'2022-09-23 21:32:02:039</t>
  </si>
  <si>
    <t>T220923213215204VCMLEBC040</t>
  </si>
  <si>
    <t>'20220923213216</t>
  </si>
  <si>
    <t>'2022-09-23 21:32:23:980</t>
  </si>
  <si>
    <t>22cb72210651</t>
  </si>
  <si>
    <t>0x52801862b2f45307</t>
  </si>
  <si>
    <t>MF9C3549B0RA42B6B833019106</t>
  </si>
  <si>
    <t>MF7C3457B7LJ14A7A649</t>
  </si>
  <si>
    <t>DNA22301071300G09A</t>
  </si>
  <si>
    <t>T220923213226788VCMLEBC040</t>
  </si>
  <si>
    <t>'20220923213228</t>
  </si>
  <si>
    <t>'2022-09-23 21:32:39:343</t>
  </si>
  <si>
    <t>T220923213241501VCMLEBC040</t>
  </si>
  <si>
    <t>'20220923213243</t>
  </si>
  <si>
    <t>'2022-09-23 21:33:00:930</t>
  </si>
  <si>
    <t>'2022-09-23 21:03:08:682</t>
  </si>
  <si>
    <t>T220923210318231VCMLEBC040</t>
  </si>
  <si>
    <t>'20220923210319</t>
  </si>
  <si>
    <t>'2022-09-23 21:03:27:036</t>
  </si>
  <si>
    <t>22cb72210817</t>
  </si>
  <si>
    <t>0x52801862b2ee8006</t>
  </si>
  <si>
    <t>MF8C3648B1HBB2B6C745009126</t>
  </si>
  <si>
    <t>MF7C3457B7LM14A7A640</t>
  </si>
  <si>
    <t>DNA22301073920H14A</t>
  </si>
  <si>
    <t>T220923210330098VCMLEBC040</t>
  </si>
  <si>
    <t>'20220923210331</t>
  </si>
  <si>
    <t>'2022-09-23 21:03:42:660</t>
  </si>
  <si>
    <t>T220923210344902VCMLEBC040</t>
  </si>
  <si>
    <t>'20220923210346</t>
  </si>
  <si>
    <t>'2022-09-23 21:04:14:269</t>
  </si>
  <si>
    <t>'2022-09-23 21:04:04:246</t>
  </si>
  <si>
    <t>T220923210425489VCMLEBC040</t>
  </si>
  <si>
    <t>'20220923210427</t>
  </si>
  <si>
    <t>'2022-09-23 21:04:34:367</t>
  </si>
  <si>
    <t>22cb72200516</t>
  </si>
  <si>
    <t>0x52801862b2ea4701</t>
  </si>
  <si>
    <t>MFAC361AA0VTB3B6B136009000</t>
  </si>
  <si>
    <t>MF7C3457B6M514A7A628</t>
  </si>
  <si>
    <t>DNA22301021690H11A</t>
  </si>
  <si>
    <t>T220923210451860VCMLEBC040</t>
  </si>
  <si>
    <t>'20220923210453</t>
  </si>
  <si>
    <t>'2022-09-23 21:05:20:676</t>
  </si>
  <si>
    <t>'2022-09-23 21:05:10:646</t>
  </si>
  <si>
    <t>T220923210437134VCMLEBC040</t>
  </si>
  <si>
    <t>'20220923210438</t>
  </si>
  <si>
    <t>'2022-09-23 21:04:49:688</t>
  </si>
  <si>
    <t>T220923210531015VCMLEBC040</t>
  </si>
  <si>
    <t>'20220923210532</t>
  </si>
  <si>
    <t>'2022-09-23 21:05:40:022</t>
  </si>
  <si>
    <t>22cb72210589</t>
  </si>
  <si>
    <t>0x52801862b2f67202</t>
  </si>
  <si>
    <t>MF8C3648B1HEB2B6C444013123</t>
  </si>
  <si>
    <t>MF7C3457B7LL14A7A632</t>
  </si>
  <si>
    <t>DNA22301073920G02A</t>
  </si>
  <si>
    <t>T220923210557551VCMLEBC040</t>
  </si>
  <si>
    <t>'20220923210559</t>
  </si>
  <si>
    <t>'2022-09-23 21:06:16:319</t>
  </si>
  <si>
    <t>T220923210542836VCMLEBC040</t>
  </si>
  <si>
    <t>'20220923210544</t>
  </si>
  <si>
    <t>'2022-09-23 21:05:55:389</t>
  </si>
  <si>
    <t>T220923210652299VCMLEBC040</t>
  </si>
  <si>
    <t>'20220923210653</t>
  </si>
  <si>
    <t>'2022-09-23 21:07:01:077</t>
  </si>
  <si>
    <t>22cb72210178</t>
  </si>
  <si>
    <t>0x52801862b2ec8007</t>
  </si>
  <si>
    <t>MFAC361AA0TAB3B6B332010109</t>
  </si>
  <si>
    <t>MF7C3457B7LA14A7A646</t>
  </si>
  <si>
    <t>DNA22301071300M08A</t>
  </si>
  <si>
    <t>'2022-09-23 21:06:26:342</t>
  </si>
  <si>
    <t>T220923210703846VCMLEBC040</t>
  </si>
  <si>
    <t>'20220923210705</t>
  </si>
  <si>
    <t>'2022-09-23 21:07:16:408</t>
  </si>
  <si>
    <t>T220923210718620VCMLEBC040</t>
  </si>
  <si>
    <t>'20220923210720</t>
  </si>
  <si>
    <t>'2022-09-23 21:07:38:332</t>
  </si>
  <si>
    <t>'2022-09-23 21:07:48:356</t>
  </si>
  <si>
    <t>T220923210811431VCMLEBC040</t>
  </si>
  <si>
    <t>'20220923210813</t>
  </si>
  <si>
    <t>'2022-09-23 21:08:20:280</t>
  </si>
  <si>
    <t>22cb72200494</t>
  </si>
  <si>
    <t>0x52801862b2f65a02</t>
  </si>
  <si>
    <t>MFAC361AA0NCB3B6B437102006</t>
  </si>
  <si>
    <t>MF7C3457B6KD14A7A648</t>
  </si>
  <si>
    <t>DNA22295012990K12A</t>
  </si>
  <si>
    <t>T220923210839258VCMLEBC040</t>
  </si>
  <si>
    <t>'20220923210840</t>
  </si>
  <si>
    <t>'2022-09-23 21:09:08:823</t>
  </si>
  <si>
    <t>'2022-09-23 21:08:58:799</t>
  </si>
  <si>
    <t>T220923210824538VCMLEBC040</t>
  </si>
  <si>
    <t>'20220923210826</t>
  </si>
  <si>
    <t>'2022-09-23 21:08:37:098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</si>
</sst>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7.5707744668999997</c:v>
                </c:pt>
                <c:pt idx="1">
                  <c:v>4.5035648304000002</c:v>
                </c:pt>
                <c:pt idx="2">
                  <c:v>4.1206869122000001</c:v>
                </c:pt>
                <c:pt idx="3">
                  <c:v>-4.9375132206999996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-7.1820381563000009</c:v>
                </c:pt>
                <c:pt idx="1">
                  <c:v>-11.2872845644</c:v>
                </c:pt>
                <c:pt idx="2">
                  <c:v>-10.738910199599999</c:v>
                </c:pt>
                <c:pt idx="3">
                  <c:v>-1.0504410789999996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5.3983420698333333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-9.7360776400999995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63104"/>
        <c:axId val="105705856"/>
      </c:scatterChart>
      <c:valAx>
        <c:axId val="1056631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705856"/>
        <c:crosses val="autoZero"/>
        <c:crossBetween val="midCat"/>
        <c:majorUnit val="10"/>
      </c:valAx>
      <c:valAx>
        <c:axId val="1057058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663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-1.4752065080000001</c:v>
                </c:pt>
                <c:pt idx="1">
                  <c:v>2.9835373828999998</c:v>
                </c:pt>
                <c:pt idx="2">
                  <c:v>5.0219505006</c:v>
                </c:pt>
                <c:pt idx="3">
                  <c:v>-1.2975327716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-5.2022319900999996</c:v>
                </c:pt>
                <c:pt idx="1">
                  <c:v>-0.16249674639999956</c:v>
                </c:pt>
                <c:pt idx="2">
                  <c:v>-9.3075822323999997</c:v>
                </c:pt>
                <c:pt idx="3">
                  <c:v>-10.147022422699999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-1.1430607819333334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-2.1383899384999996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43776"/>
        <c:axId val="61245312"/>
      </c:scatterChart>
      <c:valAx>
        <c:axId val="612437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45312"/>
        <c:crosses val="autoZero"/>
        <c:crossBetween val="midCat"/>
        <c:majorUnit val="10"/>
      </c:valAx>
      <c:valAx>
        <c:axId val="612453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4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5.0778153086</c:v>
                </c:pt>
                <c:pt idx="1">
                  <c:v>-6.5612225600000004E-2</c:v>
                </c:pt>
                <c:pt idx="2">
                  <c:v>-3.6337877980000002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0.91945094409999983</c:v>
                </c:pt>
                <c:pt idx="1">
                  <c:v>-9.1805075879999993</c:v>
                </c:pt>
                <c:pt idx="2">
                  <c:v>-3.6512422958000004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2.9340776792000001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-6.1783845703333329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35520"/>
        <c:axId val="129437056"/>
      </c:scatterChart>
      <c:valAx>
        <c:axId val="1294355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437056"/>
        <c:crosses val="autoZero"/>
        <c:crossBetween val="midCat"/>
        <c:majorUnit val="10"/>
      </c:valAx>
      <c:valAx>
        <c:axId val="129437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43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-5.9020505412000004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-4.3925969600000005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-3.2004835216000003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-5.7414489479333328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78016"/>
        <c:axId val="129488000"/>
      </c:scatterChart>
      <c:valAx>
        <c:axId val="1294780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488000"/>
        <c:crosses val="autoZero"/>
        <c:crossBetween val="midCat"/>
        <c:majorUnit val="10"/>
      </c:valAx>
      <c:valAx>
        <c:axId val="1294880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4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91.372501711500007</c:v>
                </c:pt>
                <c:pt idx="1">
                  <c:v>94.338091951400003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91.437724766500011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530496"/>
        <c:axId val="129540480"/>
      </c:scatterChart>
      <c:valAx>
        <c:axId val="12953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540480"/>
        <c:crosses val="autoZero"/>
        <c:crossBetween val="midCat"/>
      </c:valAx>
      <c:valAx>
        <c:axId val="1295404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53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88.602580636599996</c:v>
                </c:pt>
                <c:pt idx="1">
                  <c:v>84.290162775900001</c:v>
                </c:pt>
                <c:pt idx="2">
                  <c:v>89.671731683900006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90.090651013600009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320"/>
        <c:axId val="131225856"/>
      </c:scatterChart>
      <c:valAx>
        <c:axId val="13122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25856"/>
        <c:crosses val="autoZero"/>
        <c:crossBetween val="midCat"/>
      </c:valAx>
      <c:valAx>
        <c:axId val="1312258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2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96.310058581000007</c:v>
                </c:pt>
                <c:pt idx="1">
                  <c:v>92.769732095999998</c:v>
                </c:pt>
                <c:pt idx="2">
                  <c:v>89.081106141299998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91.322550973866669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6816"/>
        <c:axId val="129576960"/>
      </c:scatterChart>
      <c:valAx>
        <c:axId val="13126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576960"/>
        <c:crosses val="autoZero"/>
        <c:crossBetween val="midCat"/>
      </c:valAx>
      <c:valAx>
        <c:axId val="1295769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6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92.116814684299996</c:v>
                </c:pt>
                <c:pt idx="1">
                  <c:v>94.813907161700001</c:v>
                </c:pt>
                <c:pt idx="2">
                  <c:v>91.952867580499998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94.755577304033338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7552"/>
        <c:axId val="129609088"/>
      </c:scatterChart>
      <c:valAx>
        <c:axId val="12960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09088"/>
        <c:crosses val="autoZero"/>
        <c:crossBetween val="midCat"/>
      </c:valAx>
      <c:valAx>
        <c:axId val="1296090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07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3.9180030823000003</c:v>
                </c:pt>
                <c:pt idx="1">
                  <c:v>10.0839414597</c:v>
                </c:pt>
                <c:pt idx="2">
                  <c:v>16.8136425018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-0.86550998689999981</c:v>
                </c:pt>
                <c:pt idx="1">
                  <c:v>1.4399127959999998</c:v>
                </c:pt>
                <c:pt idx="2">
                  <c:v>6.6475353240999997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10.271862347933334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2.4073127110666666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81440"/>
        <c:axId val="129991424"/>
      </c:scatterChart>
      <c:valAx>
        <c:axId val="1299814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991424"/>
        <c:crosses val="autoZero"/>
        <c:crossBetween val="midCat"/>
        <c:majorUnit val="10"/>
      </c:valAx>
      <c:valAx>
        <c:axId val="129991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98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24.5640449524</c:v>
                </c:pt>
                <c:pt idx="1">
                  <c:v>21.563737869299999</c:v>
                </c:pt>
                <c:pt idx="2">
                  <c:v>14.831237793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5.4497938155999996</c:v>
                </c:pt>
                <c:pt idx="1">
                  <c:v>13.054309844999999</c:v>
                </c:pt>
                <c:pt idx="2">
                  <c:v>1.1575126647999996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20.319673538233332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6.553872108466666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0576"/>
        <c:axId val="130042112"/>
      </c:scatterChart>
      <c:valAx>
        <c:axId val="1300405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042112"/>
        <c:crosses val="autoZero"/>
        <c:crossBetween val="midCat"/>
        <c:majorUnit val="10"/>
      </c:valAx>
      <c:valAx>
        <c:axId val="1300421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04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10.860359191900001</c:v>
                </c:pt>
                <c:pt idx="1">
                  <c:v>9.2104997634999997</c:v>
                </c:pt>
                <c:pt idx="2">
                  <c:v>13.2950153351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12.551786422699999</c:v>
                </c:pt>
                <c:pt idx="1">
                  <c:v>5.7121706009000004</c:v>
                </c:pt>
                <c:pt idx="2">
                  <c:v>2.8173303603999997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11.121958096833334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7.0270957946666668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87168"/>
        <c:axId val="130088960"/>
      </c:scatterChart>
      <c:valAx>
        <c:axId val="1300871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088960"/>
        <c:crosses val="autoZero"/>
        <c:crossBetween val="midCat"/>
        <c:majorUnit val="10"/>
      </c:valAx>
      <c:valAx>
        <c:axId val="1300889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08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12.9242229462</c:v>
                </c:pt>
                <c:pt idx="1">
                  <c:v>8.9299411773999999</c:v>
                </c:pt>
                <c:pt idx="2">
                  <c:v>14.827865600599999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2.6669754982000002</c:v>
                </c:pt>
                <c:pt idx="1">
                  <c:v>2.0542883872999997</c:v>
                </c:pt>
                <c:pt idx="2">
                  <c:v>-7.5166625976999999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12.2273432414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-0.9317995707333333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46304"/>
        <c:axId val="130147840"/>
      </c:scatterChart>
      <c:valAx>
        <c:axId val="1301463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147840"/>
        <c:crosses val="autoZero"/>
        <c:crossBetween val="midCat"/>
        <c:majorUnit val="10"/>
      </c:valAx>
      <c:valAx>
        <c:axId val="1301478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014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D:\EVMS\TP\ELOG\VSY832XN9NAQ_2022092321_D50_ON_OC.csv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D:\EVMS\TP\ELOG\VSY832XN9NAQ_2022092321_FPDC_INFD_normal.csv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D:\EVMS\TP\ELOG\VSY832XN9NAQ_2022092321_INFDMargin_IPQC.csv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D:\EVMS\TP\ELOG\VSY832XN9NAQ_2022092321_VCM_MEASURE.csv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K32" sqref="K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22cb72200010</v>
      </c>
      <c r="C35" s="50">
        <f>IPQC!T2+VLOOKUP($R$32,$AD$39:$AK$43,6,FALSE)+VLOOKUP('File location'!$B$1,'Tester offset'!$A$2:$D$4,2,FALSE)</f>
        <v>91.372501711500007</v>
      </c>
      <c r="D35" s="50">
        <f>IPQC!AA2+VLOOKUP($R$32,$AD$39:$AK$43,6,FALSE)</f>
        <v>75.845775874200001</v>
      </c>
      <c r="E35" s="50">
        <f>VCM!HV2-'Summary(3pcs)'!C35-'Summary(3pcs)'!$D$33</f>
        <v>148.64063201503791</v>
      </c>
      <c r="F35" s="86">
        <f>AVERAGEIF($A$35:$A$46,1,$C$35:$C$46)</f>
        <v>91.437724766500011</v>
      </c>
      <c r="G35" s="90">
        <f>AVERAGEIF($A$35:$A$46,1,$D$35:$D$46)</f>
        <v>75.728764849566673</v>
      </c>
      <c r="H35" s="90">
        <f>AVERAGEIF($A$35:$A$46,1,$E$35:$E$46)</f>
        <v>146.80409656750456</v>
      </c>
      <c r="I35" s="90">
        <f>85-F35</f>
        <v>-6.4377247665000112</v>
      </c>
      <c r="K35" s="78">
        <f>T35</f>
        <v>1</v>
      </c>
      <c r="L35" s="79" t="str">
        <f>OC!K2</f>
        <v>22cb72200010</v>
      </c>
      <c r="M35" s="50">
        <f>OC!T2+VLOOKUP($R$32,$AD$39:$AK$43,4,FALSE)</f>
        <v>7.5707744668999997</v>
      </c>
      <c r="N35" s="50">
        <f>OC!U2+VLOOKUP($R$32,$AD$39:$AK$43,5,FALSE)</f>
        <v>-7.1820381563000009</v>
      </c>
      <c r="O35" s="85">
        <f>AVERAGEIF($K$35:$K$46,1,$M$35:$M$46)</f>
        <v>5.3983420698333333</v>
      </c>
      <c r="P35" s="85">
        <f>AVERAGEIF($K$35:$K$46,1,$N$35:$N$46)</f>
        <v>-9.7360776400999995</v>
      </c>
      <c r="Q35" s="86">
        <f>P35*0.001</f>
        <v>-9.7360776401E-3</v>
      </c>
      <c r="R35" s="86">
        <f>O35*0.001</f>
        <v>5.3983420698333331E-3</v>
      </c>
      <c r="S35" s="34"/>
      <c r="T35" s="78">
        <v>1</v>
      </c>
      <c r="U35" s="79" t="str">
        <f>FPDC!K2</f>
        <v>22cb72200010</v>
      </c>
      <c r="V35" s="76">
        <f>FPDC!S2+VLOOKUP($R$32,$AD$39:$AK$43,2,FALSE)+VLOOKUP($R$32,$AD$39:$AK$43,7,FALSE)+VLOOKUP('File location'!$B$1,'Tester offset'!$A$2:$D$4,3,FALSE)</f>
        <v>12.9242229462</v>
      </c>
      <c r="W35" s="77">
        <f>FPDC!T2+VLOOKUP($R$32,$AD$39:$AK$43,3,FALSE)+VLOOKUP($R$32,$AD$39:$AK$43,8,FALSE)+VLOOKUP('File location'!$B$1,'Tester offset'!$A$2:$D$4,4,FALSE)</f>
        <v>2.6669754982000002</v>
      </c>
      <c r="X35" s="85">
        <f>AVERAGEIF($T$35:$T$46,1,$V$35:$V$46)</f>
        <v>12.2273432414</v>
      </c>
      <c r="Y35" s="85">
        <f>AVERAGEIF($T$35:$T$46,1,$W$35:$W$46)</f>
        <v>-0.9317995707333333</v>
      </c>
      <c r="Z35" s="86">
        <f>(X35*-0.01)/4</f>
        <v>-3.0568358103500001E-2</v>
      </c>
      <c r="AA35" s="86">
        <f>(Y35*-0.01)/4</f>
        <v>2.3294989268333333E-3</v>
      </c>
    </row>
    <row r="36" spans="1:37" ht="17.100000000000001" customHeight="1">
      <c r="A36" s="78">
        <f t="shared" ref="A36:A46" si="0">T36</f>
        <v>1</v>
      </c>
      <c r="B36" s="79" t="str">
        <f>IPQC!K3</f>
        <v>22cb72200022</v>
      </c>
      <c r="C36" s="50">
        <f>IPQC!T3+VLOOKUP($R$32,$AD$39:$AK$43,6,FALSE)+VLOOKUP('File location'!$B$1,'Tester offset'!$A$2:$D$4,2,FALSE)</f>
        <v>94.338091951400003</v>
      </c>
      <c r="D36" s="50">
        <f>IPQC!AA3+VLOOKUP($R$32,$AD$39:$AK$43,6,FALSE)</f>
        <v>77.147456202499995</v>
      </c>
      <c r="E36" s="50">
        <f>VCM!HV3-'Summary(3pcs)'!C36-'Summary(3pcs)'!$D$33</f>
        <v>140.35315506013785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22cb72200022</v>
      </c>
      <c r="M36" s="50">
        <f>OC!T3+VLOOKUP($R$32,$AD$39:$AK$43,4,FALSE)</f>
        <v>4.5035648304000002</v>
      </c>
      <c r="N36" s="50">
        <f>OC!U3+VLOOKUP($R$32,$AD$39:$AK$43,5,FALSE)</f>
        <v>-11.2872845644</v>
      </c>
      <c r="O36" s="85"/>
      <c r="P36" s="85"/>
      <c r="Q36" s="86"/>
      <c r="R36" s="86"/>
      <c r="S36" s="34"/>
      <c r="T36" s="78">
        <v>1</v>
      </c>
      <c r="U36" s="79" t="str">
        <f>FPDC!K3</f>
        <v>22cb72200022</v>
      </c>
      <c r="V36" s="76">
        <f>FPDC!S3+VLOOKUP($R$32,$AD$39:$AK$43,2,FALSE)+VLOOKUP($R$32,$AD$39:$AK$43,7,FALSE)+VLOOKUP('File location'!$B$1,'Tester offset'!$A$2:$D$4,3,FALSE)</f>
        <v>8.9299411773999999</v>
      </c>
      <c r="W36" s="77">
        <f>FPDC!T3+VLOOKUP($R$32,$AD$39:$AK$43,3,FALSE)+VLOOKUP($R$32,$AD$39:$AK$43,8,FALSE)+VLOOKUP('File location'!$B$1,'Tester offset'!$A$2:$D$4,4,FALSE)</f>
        <v>2.0542883872999997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22cb72210238</v>
      </c>
      <c r="C37" s="50">
        <f>IPQC!T4+VLOOKUP($R$32,$AD$39:$AK$43,6,FALSE)+VLOOKUP('File location'!$B$1,'Tester offset'!$A$2:$D$4,2,FALSE)</f>
        <v>88.602580636599996</v>
      </c>
      <c r="D37" s="50">
        <f>IPQC!AA4+VLOOKUP($R$32,$AD$39:$AK$43,6,FALSE)</f>
        <v>74.193062471999994</v>
      </c>
      <c r="E37" s="50">
        <f>VCM!HV4-'Summary(3pcs)'!C37-'Summary(3pcs)'!$D$33</f>
        <v>151.41850262733789</v>
      </c>
      <c r="F37" s="86"/>
      <c r="G37" s="90"/>
      <c r="H37" s="90"/>
      <c r="I37" s="90"/>
      <c r="K37" s="78">
        <f t="shared" si="1"/>
        <v>1</v>
      </c>
      <c r="L37" s="79" t="str">
        <f>OC!K4</f>
        <v>22cb72210238</v>
      </c>
      <c r="M37" s="50">
        <f>OC!T4+VLOOKUP($R$32,$AD$39:$AK$43,4,FALSE)</f>
        <v>4.1206869122000001</v>
      </c>
      <c r="N37" s="50">
        <f>OC!U4+VLOOKUP($R$32,$AD$39:$AK$43,5,FALSE)</f>
        <v>-10.738910199599999</v>
      </c>
      <c r="O37" s="85"/>
      <c r="P37" s="85"/>
      <c r="Q37" s="86"/>
      <c r="R37" s="86"/>
      <c r="S37" s="34"/>
      <c r="T37" s="78">
        <v>1</v>
      </c>
      <c r="U37" s="79" t="str">
        <f>FPDC!K4</f>
        <v>22cb72210238</v>
      </c>
      <c r="V37" s="76">
        <f>FPDC!S4+VLOOKUP($R$32,$AD$39:$AK$43,2,FALSE)+VLOOKUP($R$32,$AD$39:$AK$43,7,FALSE)+VLOOKUP('File location'!$B$1,'Tester offset'!$A$2:$D$4,3,FALSE)</f>
        <v>14.827865600599999</v>
      </c>
      <c r="W37" s="77">
        <f>FPDC!T4+VLOOKUP($R$32,$AD$39:$AK$43,3,FALSE)+VLOOKUP($R$32,$AD$39:$AK$43,8,FALSE)+VLOOKUP('File location'!$B$1,'Tester offset'!$A$2:$D$4,4,FALSE)</f>
        <v>-7.5166625976999999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22cb72210886</v>
      </c>
      <c r="C38" s="50">
        <f>IPQC!T5+VLOOKUP($R$32,$AD$39:$AK$43,6,FALSE)+VLOOKUP('File location'!$B$1,'Tester offset'!$A$2:$D$4,2,FALSE)</f>
        <v>84.290162775900001</v>
      </c>
      <c r="D38" s="50">
        <f>IPQC!AA5+VLOOKUP($R$32,$AD$39:$AK$43,6,FALSE)</f>
        <v>70.6976299918</v>
      </c>
      <c r="E38" s="50">
        <f>VCM!HV5-'Summary(3pcs)'!C38-'Summary(3pcs)'!$D$33</f>
        <v>146.02264146353792</v>
      </c>
      <c r="F38" s="86">
        <f>AVERAGEIF($A$35:$A$46,2,$C$35:$C$46)</f>
        <v>90.090651013600009</v>
      </c>
      <c r="G38" s="90">
        <f>AVERAGEIF($A$35:$A$46,2,$D$35:$D$46)</f>
        <v>75.282964090966672</v>
      </c>
      <c r="H38" s="90">
        <f>AVERAGEIF($A$35:$A$46,2,$E$35:$E$46)</f>
        <v>150.81893487620457</v>
      </c>
      <c r="I38" s="90">
        <f>85-F38</f>
        <v>-5.0906510136000094</v>
      </c>
      <c r="K38" s="78">
        <f t="shared" si="1"/>
        <v>2</v>
      </c>
      <c r="L38" s="79" t="str">
        <f>OC!K5</f>
        <v>22cb72210886</v>
      </c>
      <c r="M38" s="50">
        <f>OC!T5+VLOOKUP($R$32,$AD$39:$AK$43,4,FALSE)</f>
        <v>-4.9375132206999996</v>
      </c>
      <c r="N38" s="50">
        <f>OC!U5+VLOOKUP($R$32,$AD$39:$AK$43,5,FALSE)</f>
        <v>-1.0504410789999996</v>
      </c>
      <c r="O38" s="85">
        <f>AVERAGEIF($K$35:$K$46,2,$M$35:$M$46)</f>
        <v>-1.1430607819333334</v>
      </c>
      <c r="P38" s="85">
        <f>AVERAGEIF($K$35:$K$46,2,$N$35:$N$46)</f>
        <v>-2.1383899384999996</v>
      </c>
      <c r="Q38" s="86">
        <f>P38*0.001</f>
        <v>-2.1383899384999996E-3</v>
      </c>
      <c r="R38" s="86">
        <f>O38*0.001</f>
        <v>-1.1430607819333334E-3</v>
      </c>
      <c r="S38" s="34"/>
      <c r="T38" s="78">
        <v>2</v>
      </c>
      <c r="U38" s="79" t="str">
        <f>FPDC!K5</f>
        <v>22cb72210886</v>
      </c>
      <c r="V38" s="76">
        <f>FPDC!S5+VLOOKUP($R$32,$AD$39:$AK$43,2,FALSE)+VLOOKUP($R$32,$AD$39:$AK$43,7,FALSE)+VLOOKUP('File location'!$B$1,'Tester offset'!$A$2:$D$4,3,FALSE)</f>
        <v>3.9180030823000003</v>
      </c>
      <c r="W38" s="77">
        <f>FPDC!T5+VLOOKUP($R$32,$AD$39:$AK$43,3,FALSE)+VLOOKUP($R$32,$AD$39:$AK$43,8,FALSE)+VLOOKUP('File location'!$B$1,'Tester offset'!$A$2:$D$4,4,FALSE)</f>
        <v>-0.86550998689999981</v>
      </c>
      <c r="X38" s="85">
        <f>AVERAGEIF($T$35:$T$46,2,$V$35:$V$46)</f>
        <v>10.271862347933334</v>
      </c>
      <c r="Y38" s="85">
        <f>AVERAGEIF($T$35:$T$46,2,$W$35:$W$46)</f>
        <v>2.4073127110666666</v>
      </c>
      <c r="Z38" s="86">
        <f>(X38*-0.01)/4</f>
        <v>-2.5679655869833336E-2</v>
      </c>
      <c r="AA38" s="86">
        <f>(Y38*-0.01)/4</f>
        <v>-6.0182817776666666E-3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22cb72200804</v>
      </c>
      <c r="C39" s="50">
        <f>IPQC!T6+VLOOKUP($R$32,$AD$39:$AK$43,6,FALSE)+VLOOKUP('File location'!$B$1,'Tester offset'!$A$2:$D$4,2,FALSE)</f>
        <v>89.671731683900006</v>
      </c>
      <c r="D39" s="50">
        <f>IPQC!AA6+VLOOKUP($R$32,$AD$39:$AK$43,6,FALSE)</f>
        <v>74.348896008699995</v>
      </c>
      <c r="E39" s="50">
        <f>VCM!HV6-'Summary(3pcs)'!C39-'Summary(3pcs)'!$D$33</f>
        <v>147.38030810433787</v>
      </c>
      <c r="F39" s="86"/>
      <c r="G39" s="90"/>
      <c r="H39" s="90"/>
      <c r="I39" s="90"/>
      <c r="K39" s="78">
        <f t="shared" si="1"/>
        <v>2</v>
      </c>
      <c r="L39" s="79" t="str">
        <f>OC!K6</f>
        <v>22cb72200804</v>
      </c>
      <c r="M39" s="50">
        <f>OC!T6+VLOOKUP($R$32,$AD$39:$AK$43,4,FALSE)</f>
        <v>-1.4752065080000001</v>
      </c>
      <c r="N39" s="50">
        <f>OC!U6+VLOOKUP($R$32,$AD$39:$AK$43,5,FALSE)</f>
        <v>-5.2022319900999996</v>
      </c>
      <c r="O39" s="85"/>
      <c r="P39" s="85"/>
      <c r="Q39" s="86"/>
      <c r="R39" s="86"/>
      <c r="S39" s="34"/>
      <c r="T39" s="78">
        <v>2</v>
      </c>
      <c r="U39" s="79" t="str">
        <f>FPDC!K6</f>
        <v>22cb72200804</v>
      </c>
      <c r="V39" s="76">
        <f>FPDC!S6+VLOOKUP($R$32,$AD$39:$AK$43,2,FALSE)+VLOOKUP($R$32,$AD$39:$AK$43,7,FALSE)+VLOOKUP('File location'!$B$1,'Tester offset'!$A$2:$D$4,3,FALSE)</f>
        <v>10.0839414597</v>
      </c>
      <c r="W39" s="77">
        <f>FPDC!T6+VLOOKUP($R$32,$AD$39:$AK$43,3,FALSE)+VLOOKUP($R$32,$AD$39:$AK$43,8,FALSE)+VLOOKUP('File location'!$B$1,'Tester offset'!$A$2:$D$4,4,FALSE)</f>
        <v>1.4399127959999998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22cb72210264</v>
      </c>
      <c r="C40" s="50">
        <f>IPQC!T7+VLOOKUP($R$32,$AD$39:$AK$43,6,FALSE)+VLOOKUP('File location'!$B$1,'Tester offset'!$A$2:$D$4,2,FALSE)</f>
        <v>96.310058581000007</v>
      </c>
      <c r="D40" s="50">
        <f>IPQC!AA7+VLOOKUP($R$32,$AD$39:$AK$43,6,FALSE)</f>
        <v>80.802366272399993</v>
      </c>
      <c r="E40" s="50">
        <f>VCM!HV7-'Summary(3pcs)'!C40-'Summary(3pcs)'!$D$33</f>
        <v>159.05385506073787</v>
      </c>
      <c r="F40" s="86"/>
      <c r="G40" s="90"/>
      <c r="H40" s="90"/>
      <c r="I40" s="90"/>
      <c r="K40" s="78">
        <f t="shared" si="1"/>
        <v>2</v>
      </c>
      <c r="L40" s="79" t="str">
        <f>OC!K7</f>
        <v>22cb72210264</v>
      </c>
      <c r="M40" s="50">
        <f>OC!T7+VLOOKUP($R$32,$AD$39:$AK$43,4,FALSE)</f>
        <v>2.9835373828999998</v>
      </c>
      <c r="N40" s="50">
        <f>OC!U7+VLOOKUP($R$32,$AD$39:$AK$43,5,FALSE)</f>
        <v>-0.16249674639999956</v>
      </c>
      <c r="O40" s="85"/>
      <c r="P40" s="85"/>
      <c r="Q40" s="86"/>
      <c r="R40" s="86"/>
      <c r="S40" s="34"/>
      <c r="T40" s="78">
        <v>2</v>
      </c>
      <c r="U40" s="79" t="str">
        <f>FPDC!K7</f>
        <v>22cb72210264</v>
      </c>
      <c r="V40" s="76">
        <f>FPDC!S7+VLOOKUP($R$32,$AD$39:$AK$43,2,FALSE)+VLOOKUP($R$32,$AD$39:$AK$43,7,FALSE)+VLOOKUP('File location'!$B$1,'Tester offset'!$A$2:$D$4,3,FALSE)</f>
        <v>16.8136425018</v>
      </c>
      <c r="W40" s="77">
        <f>FPDC!T7+VLOOKUP($R$32,$AD$39:$AK$43,3,FALSE)+VLOOKUP($R$32,$AD$39:$AK$43,8,FALSE)+VLOOKUP('File location'!$B$1,'Tester offset'!$A$2:$D$4,4,FALSE)</f>
        <v>6.6475353240999997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22cb72210651</v>
      </c>
      <c r="C41" s="50">
        <f>IPQC!T8+VLOOKUP($R$32,$AD$39:$AK$43,6,FALSE)+VLOOKUP('File location'!$B$1,'Tester offset'!$A$2:$D$4,2,FALSE)</f>
        <v>92.769732095999998</v>
      </c>
      <c r="D41" s="50">
        <f>IPQC!AA8+VLOOKUP($R$32,$AD$39:$AK$43,6,FALSE)</f>
        <v>75.606185025599999</v>
      </c>
      <c r="E41" s="50">
        <f>VCM!HV8-'Summary(3pcs)'!C41-'Summary(3pcs)'!$D$33</f>
        <v>148.8971545893379</v>
      </c>
      <c r="F41" s="86">
        <f>AVERAGEIF($A$35:$A$46,3,$C$35:$C$46)</f>
        <v>91.322550973866669</v>
      </c>
      <c r="G41" s="90">
        <f>AVERAGEIF($A$35:$A$46,3,$D$35:$D$46)</f>
        <v>72.698590818799985</v>
      </c>
      <c r="H41" s="90">
        <f>AVERAGEIF($A$35:$A$46,3,$E$35:$E$46)</f>
        <v>139.89067168367126</v>
      </c>
      <c r="I41" s="90">
        <f>85-F41</f>
        <v>-6.3225509738666688</v>
      </c>
      <c r="K41" s="78">
        <f t="shared" si="1"/>
        <v>3</v>
      </c>
      <c r="L41" s="79" t="str">
        <f>OC!K8</f>
        <v>22cb72210651</v>
      </c>
      <c r="M41" s="50">
        <f>OC!T8+VLOOKUP($R$32,$AD$39:$AK$43,4,FALSE)</f>
        <v>5.0219505006</v>
      </c>
      <c r="N41" s="50">
        <f>OC!U8+VLOOKUP($R$32,$AD$39:$AK$43,5,FALSE)</f>
        <v>-9.3075822323999997</v>
      </c>
      <c r="O41" s="85">
        <f>AVERAGEIF($K$35:$K$46,3,$M$35:$M$46)</f>
        <v>2.9340776792000001</v>
      </c>
      <c r="P41" s="85">
        <f>AVERAGEIF($K$35:$K$46,3,$N$35:$N$46)</f>
        <v>-6.1783845703333329</v>
      </c>
      <c r="Q41" s="86">
        <f>P41*0.001</f>
        <v>-6.178384570333333E-3</v>
      </c>
      <c r="R41" s="86">
        <f>O41*0.001</f>
        <v>2.9340776792000003E-3</v>
      </c>
      <c r="S41" s="34"/>
      <c r="T41" s="78">
        <v>3</v>
      </c>
      <c r="U41" s="79" t="str">
        <f>FPDC!K8</f>
        <v>22cb72210651</v>
      </c>
      <c r="V41" s="76">
        <f>FPDC!S8+VLOOKUP($R$32,$AD$39:$AK$43,2,FALSE)+VLOOKUP($R$32,$AD$39:$AK$43,7,FALSE)+VLOOKUP('File location'!$B$1,'Tester offset'!$A$2:$D$4,3,FALSE)</f>
        <v>24.5640449524</v>
      </c>
      <c r="W41" s="77">
        <f>FPDC!T8+VLOOKUP($R$32,$AD$39:$AK$43,3,FALSE)+VLOOKUP($R$32,$AD$39:$AK$43,8,FALSE)+VLOOKUP('File location'!$B$1,'Tester offset'!$A$2:$D$4,4,FALSE)</f>
        <v>5.4497938155999996</v>
      </c>
      <c r="X41" s="85">
        <f>AVERAGEIF($T$35:$T$46,3,$V$35:$V$46)</f>
        <v>20.319673538233332</v>
      </c>
      <c r="Y41" s="85">
        <f>AVERAGEIF($T$35:$T$46,3,$W$35:$W$46)</f>
        <v>6.553872108466666</v>
      </c>
      <c r="Z41" s="86">
        <f>(X41*-0.01)/4</f>
        <v>-5.079918384558333E-2</v>
      </c>
      <c r="AA41" s="86">
        <f>(Y41*-0.01)/4</f>
        <v>-1.6384680271166664E-2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22cb72210817</v>
      </c>
      <c r="C42" s="50">
        <f>IPQC!T9+VLOOKUP($R$32,$AD$39:$AK$43,6,FALSE)+VLOOKUP('File location'!$B$1,'Tester offset'!$A$2:$D$4,2,FALSE)</f>
        <v>89.081106141299998</v>
      </c>
      <c r="D42" s="50">
        <f>IPQC!AA9+VLOOKUP($R$32,$AD$39:$AK$43,6,FALSE)</f>
        <v>67.443717028700007</v>
      </c>
      <c r="E42" s="50">
        <f>VCM!HV9-'Summary(3pcs)'!C42-'Summary(3pcs)'!$D$33</f>
        <v>144.78296601343794</v>
      </c>
      <c r="F42" s="86"/>
      <c r="G42" s="90"/>
      <c r="H42" s="90"/>
      <c r="I42" s="90"/>
      <c r="K42" s="78">
        <f t="shared" si="1"/>
        <v>3</v>
      </c>
      <c r="L42" s="79" t="str">
        <f>OC!K9</f>
        <v>22cb72210817</v>
      </c>
      <c r="M42" s="50">
        <f>OC!T9+VLOOKUP($R$32,$AD$39:$AK$43,4,FALSE)</f>
        <v>-1.2975327716</v>
      </c>
      <c r="N42" s="50">
        <f>OC!U9+VLOOKUP($R$32,$AD$39:$AK$43,5,FALSE)</f>
        <v>-10.147022422699999</v>
      </c>
      <c r="O42" s="85"/>
      <c r="P42" s="85"/>
      <c r="Q42" s="86"/>
      <c r="R42" s="86"/>
      <c r="S42" s="34"/>
      <c r="T42" s="78">
        <v>3</v>
      </c>
      <c r="U42" s="79" t="str">
        <f>FPDC!K9</f>
        <v>22cb72210817</v>
      </c>
      <c r="V42" s="76">
        <f>FPDC!S9+VLOOKUP($R$32,$AD$39:$AK$43,2,FALSE)+VLOOKUP($R$32,$AD$39:$AK$43,7,FALSE)+VLOOKUP('File location'!$B$1,'Tester offset'!$A$2:$D$4,3,FALSE)</f>
        <v>21.563737869299999</v>
      </c>
      <c r="W42" s="77">
        <f>FPDC!T9+VLOOKUP($R$32,$AD$39:$AK$43,3,FALSE)+VLOOKUP($R$32,$AD$39:$AK$43,8,FALSE)+VLOOKUP('File location'!$B$1,'Tester offset'!$A$2:$D$4,4,FALSE)</f>
        <v>13.054309844999999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22cb72200516</v>
      </c>
      <c r="C43" s="50">
        <f>IPQC!T10+VLOOKUP($R$32,$AD$39:$AK$43,6,FALSE)+VLOOKUP('File location'!$B$1,'Tester offset'!$A$2:$D$4,2,FALSE)</f>
        <v>92.116814684299996</v>
      </c>
      <c r="D43" s="50">
        <f>IPQC!AA10+VLOOKUP($R$32,$AD$39:$AK$43,6,FALSE)</f>
        <v>75.045870402099993</v>
      </c>
      <c r="E43" s="50">
        <f>VCM!HV10-'Summary(3pcs)'!C43-'Summary(3pcs)'!$D$33</f>
        <v>125.99189444823793</v>
      </c>
      <c r="F43" s="86"/>
      <c r="G43" s="90"/>
      <c r="H43" s="90"/>
      <c r="I43" s="90"/>
      <c r="K43" s="78">
        <f t="shared" si="1"/>
        <v>3</v>
      </c>
      <c r="L43" s="79" t="str">
        <f>OC!K10</f>
        <v>22cb72200516</v>
      </c>
      <c r="M43" s="50">
        <f>OC!T10+VLOOKUP($R$32,$AD$39:$AK$43,4,FALSE)</f>
        <v>5.0778153086</v>
      </c>
      <c r="N43" s="50">
        <f>OC!U10+VLOOKUP($R$32,$AD$39:$AK$43,5,FALSE)</f>
        <v>0.91945094409999983</v>
      </c>
      <c r="O43" s="85"/>
      <c r="P43" s="85"/>
      <c r="Q43" s="86"/>
      <c r="R43" s="86"/>
      <c r="S43" s="34"/>
      <c r="T43" s="78">
        <v>3</v>
      </c>
      <c r="U43" s="79" t="str">
        <f>FPDC!K10</f>
        <v>22cb72200516</v>
      </c>
      <c r="V43" s="76">
        <f>FPDC!S10+VLOOKUP($R$32,$AD$39:$AK$43,2,FALSE)+VLOOKUP($R$32,$AD$39:$AK$43,7,FALSE)+VLOOKUP('File location'!$B$1,'Tester offset'!$A$2:$D$4,3,FALSE)</f>
        <v>14.831237793</v>
      </c>
      <c r="W43" s="77">
        <f>FPDC!T10+VLOOKUP($R$32,$AD$39:$AK$43,3,FALSE)+VLOOKUP($R$32,$AD$39:$AK$43,8,FALSE)+VLOOKUP('File location'!$B$1,'Tester offset'!$A$2:$D$4,4,FALSE)</f>
        <v>1.1575126647999996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22cb72210589</v>
      </c>
      <c r="C44" s="50">
        <f>IPQC!T11+VLOOKUP($R$32,$AD$39:$AK$43,6,FALSE)+VLOOKUP('File location'!$B$1,'Tester offset'!$A$2:$D$4,2,FALSE)</f>
        <v>94.813907161700001</v>
      </c>
      <c r="D44" s="50">
        <f>IPQC!AA11+VLOOKUP($R$32,$AD$39:$AK$43,6,FALSE)</f>
        <v>76.119501869800004</v>
      </c>
      <c r="E44" s="50">
        <f>VCM!HV11-'Summary(3pcs)'!C44-'Summary(3pcs)'!$D$33</f>
        <v>149.42430785963791</v>
      </c>
      <c r="F44" s="86">
        <f>AVERAGEIF($A$35:$A$46,4,$C$35:$C$46)</f>
        <v>94.755577304033338</v>
      </c>
      <c r="G44" s="90">
        <f>AVERAGEIF($A$35:$A$46,4,$D$35:$D$46)</f>
        <v>76.838059077466667</v>
      </c>
      <c r="H44" s="90">
        <f>AVERAGEIF($A$35:$A$46,4,$E$35:$E$46)</f>
        <v>142.02008211493788</v>
      </c>
      <c r="I44" s="90">
        <f>85-F44</f>
        <v>-9.7555773040333378</v>
      </c>
      <c r="K44" s="78">
        <f t="shared" si="1"/>
        <v>4</v>
      </c>
      <c r="L44" s="79" t="str">
        <f>OC!K11</f>
        <v>22cb72210589</v>
      </c>
      <c r="M44" s="50">
        <f>OC!T11+VLOOKUP($R$32,$AD$39:$AK$43,4,FALSE)</f>
        <v>-6.5612225600000004E-2</v>
      </c>
      <c r="N44" s="50">
        <f>OC!U11+VLOOKUP($R$32,$AD$39:$AK$43,5,FALSE)</f>
        <v>-9.1805075879999993</v>
      </c>
      <c r="O44" s="85">
        <f>AVERAGEIF($K$35:$K$46,4,$M$35:$M$46)</f>
        <v>-3.2004835216000003</v>
      </c>
      <c r="P44" s="85">
        <f>AVERAGEIF($K$35:$K$46,4,$N$35:$N$46)</f>
        <v>-5.7414489479333328</v>
      </c>
      <c r="Q44" s="86">
        <f>P44*0.001</f>
        <v>-5.7414489479333331E-3</v>
      </c>
      <c r="R44" s="86">
        <f>O44*0.001</f>
        <v>-3.2004835216000002E-3</v>
      </c>
      <c r="S44" s="34"/>
      <c r="T44" s="78">
        <v>4</v>
      </c>
      <c r="U44" s="79" t="str">
        <f>FPDC!K11</f>
        <v>22cb72210589</v>
      </c>
      <c r="V44" s="76">
        <f>FPDC!S11+VLOOKUP($R$32,$AD$39:$AK$43,2,FALSE)+VLOOKUP($R$32,$AD$39:$AK$43,7,FALSE)+VLOOKUP('File location'!$B$1,'Tester offset'!$A$2:$D$4,3,FALSE)</f>
        <v>10.860359191900001</v>
      </c>
      <c r="W44" s="77">
        <f>FPDC!T11+VLOOKUP($R$32,$AD$39:$AK$43,3,FALSE)+VLOOKUP($R$32,$AD$39:$AK$43,8,FALSE)+VLOOKUP('File location'!$B$1,'Tester offset'!$A$2:$D$4,4,FALSE)</f>
        <v>12.551786422699999</v>
      </c>
      <c r="X44" s="85">
        <f>AVERAGEIF($T$35:$T$46,4,$V$35:$V$46)</f>
        <v>11.121958096833334</v>
      </c>
      <c r="Y44" s="85">
        <f>AVERAGEIF($T$35:$T$46,4,$W$35:$W$46)</f>
        <v>7.0270957946666668</v>
      </c>
      <c r="Z44" s="86">
        <f>(X44*-0.01)/4</f>
        <v>-2.7804895242083336E-2</v>
      </c>
      <c r="AA44" s="86">
        <f>(Y44*-0.01)/4</f>
        <v>-1.7567739486666668E-2</v>
      </c>
    </row>
    <row r="45" spans="1:37" ht="17.100000000000001" customHeight="1">
      <c r="A45" s="78">
        <f t="shared" si="0"/>
        <v>4</v>
      </c>
      <c r="B45" s="79" t="str">
        <f>IPQC!K12</f>
        <v>22cb72210178</v>
      </c>
      <c r="C45" s="50">
        <f>IPQC!T12+VLOOKUP($R$32,$AD$39:$AK$43,6,FALSE)+VLOOKUP('File location'!$B$1,'Tester offset'!$A$2:$D$4,2,FALSE)</f>
        <v>91.952867580499998</v>
      </c>
      <c r="D45" s="50">
        <f>IPQC!AA12+VLOOKUP($R$32,$AD$39:$AK$43,6,FALSE)</f>
        <v>77.360532504299997</v>
      </c>
      <c r="E45" s="50">
        <f>VCM!HV12-'Summary(3pcs)'!C45-'Summary(3pcs)'!$D$33</f>
        <v>135.28392003363786</v>
      </c>
      <c r="F45" s="86"/>
      <c r="G45" s="90"/>
      <c r="H45" s="90"/>
      <c r="I45" s="90"/>
      <c r="K45" s="78">
        <f t="shared" si="1"/>
        <v>4</v>
      </c>
      <c r="L45" s="79" t="str">
        <f>OC!K12</f>
        <v>22cb72210178</v>
      </c>
      <c r="M45" s="50">
        <f>OC!T12+VLOOKUP($R$32,$AD$39:$AK$43,4,FALSE)</f>
        <v>-3.6337877980000002</v>
      </c>
      <c r="N45" s="50">
        <f>OC!U12+VLOOKUP($R$32,$AD$39:$AK$43,5,FALSE)</f>
        <v>-3.6512422958000004</v>
      </c>
      <c r="O45" s="85"/>
      <c r="P45" s="85"/>
      <c r="Q45" s="86"/>
      <c r="R45" s="86"/>
      <c r="S45" s="34"/>
      <c r="T45" s="78">
        <v>4</v>
      </c>
      <c r="U45" s="79" t="str">
        <f>FPDC!K12</f>
        <v>22cb72210178</v>
      </c>
      <c r="V45" s="76">
        <f>FPDC!S12+VLOOKUP($R$32,$AD$39:$AK$43,2,FALSE)+VLOOKUP($R$32,$AD$39:$AK$43,7,FALSE)+VLOOKUP('File location'!$B$1,'Tester offset'!$A$2:$D$4,3,FALSE)</f>
        <v>9.2104997634999997</v>
      </c>
      <c r="W45" s="77">
        <f>FPDC!T12+VLOOKUP($R$32,$AD$39:$AK$43,3,FALSE)+VLOOKUP($R$32,$AD$39:$AK$43,8,FALSE)+VLOOKUP('File location'!$B$1,'Tester offset'!$A$2:$D$4,4,FALSE)</f>
        <v>5.7121706009000004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22cb72200494</v>
      </c>
      <c r="C46" s="50">
        <f>IPQC!T13+VLOOKUP($R$32,$AD$39:$AK$43,6,FALSE)+VLOOKUP('File location'!$B$1,'Tester offset'!$A$2:$D$4,2,FALSE)</f>
        <v>97.4999571699</v>
      </c>
      <c r="D46" s="50">
        <f>IPQC!AA13+VLOOKUP($R$32,$AD$39:$AK$43,6,FALSE)</f>
        <v>77.034142858300001</v>
      </c>
      <c r="E46" s="50">
        <f>VCM!HV13-'Summary(3pcs)'!C46-'Summary(3pcs)'!$D$33</f>
        <v>141.3520184515379</v>
      </c>
      <c r="F46" s="86"/>
      <c r="G46" s="90"/>
      <c r="H46" s="90"/>
      <c r="I46" s="90"/>
      <c r="K46" s="78">
        <f t="shared" si="1"/>
        <v>4</v>
      </c>
      <c r="L46" s="79" t="str">
        <f>OC!K13</f>
        <v>22cb72200494</v>
      </c>
      <c r="M46" s="50">
        <f>OC!T13+VLOOKUP($R$32,$AD$39:$AK$43,4,FALSE)</f>
        <v>-5.9020505412000004</v>
      </c>
      <c r="N46" s="50">
        <f>OC!U13+VLOOKUP($R$32,$AD$39:$AK$43,5,FALSE)</f>
        <v>-4.3925969600000005</v>
      </c>
      <c r="O46" s="85"/>
      <c r="P46" s="85"/>
      <c r="Q46" s="86"/>
      <c r="R46" s="86"/>
      <c r="S46" s="34"/>
      <c r="T46" s="78">
        <v>4</v>
      </c>
      <c r="U46" s="79" t="str">
        <f>FPDC!K13</f>
        <v>22cb72200494</v>
      </c>
      <c r="V46" s="76">
        <f>FPDC!S13+VLOOKUP($R$32,$AD$39:$AK$43,2,FALSE)+VLOOKUP($R$32,$AD$39:$AK$43,7,FALSE)+VLOOKUP('File location'!$B$1,'Tester offset'!$A$2:$D$4,3,FALSE)</f>
        <v>13.2950153351</v>
      </c>
      <c r="W46" s="77">
        <f>FPDC!T13+VLOOKUP($R$32,$AD$39:$AK$43,3,FALSE)+VLOOKUP($R$32,$AD$39:$AK$43,8,FALSE)+VLOOKUP('File location'!$B$1,'Tester offset'!$A$2:$D$4,4,FALSE)</f>
        <v>2.8173303603999997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91.372501711500007</v>
      </c>
      <c r="L55" s="52">
        <f t="shared" ref="L55:L66" si="4">D35</f>
        <v>75.845775874200001</v>
      </c>
      <c r="M55" s="52">
        <f t="shared" ref="M55:M66" si="5">E35</f>
        <v>148.64063201503791</v>
      </c>
      <c r="N55" s="52">
        <f t="shared" ref="N55:O66" si="6">M35</f>
        <v>7.5707744668999997</v>
      </c>
      <c r="O55" s="52">
        <f t="shared" si="6"/>
        <v>-7.1820381563000009</v>
      </c>
      <c r="P55" s="52">
        <f t="shared" ref="P55:P66" si="7">V35</f>
        <v>12.9242229462</v>
      </c>
      <c r="Q55" s="53">
        <f t="shared" ref="Q55:Q66" si="8">W35</f>
        <v>2.6669754982000002</v>
      </c>
    </row>
    <row r="56" spans="6:27" ht="19.5">
      <c r="I56" s="43">
        <f t="shared" si="2"/>
        <v>1</v>
      </c>
      <c r="J56" s="44"/>
      <c r="K56" s="54">
        <f t="shared" si="3"/>
        <v>94.338091951400003</v>
      </c>
      <c r="L56" s="55">
        <f t="shared" si="4"/>
        <v>77.147456202499995</v>
      </c>
      <c r="M56" s="55">
        <f t="shared" si="5"/>
        <v>140.35315506013785</v>
      </c>
      <c r="N56" s="55">
        <f t="shared" si="6"/>
        <v>4.5035648304000002</v>
      </c>
      <c r="O56" s="55">
        <f t="shared" si="6"/>
        <v>-11.2872845644</v>
      </c>
      <c r="P56" s="55">
        <f t="shared" si="7"/>
        <v>8.9299411773999999</v>
      </c>
      <c r="Q56" s="56">
        <f t="shared" si="8"/>
        <v>2.0542883872999997</v>
      </c>
    </row>
    <row r="57" spans="6:27" ht="19.5">
      <c r="I57" s="43">
        <f t="shared" si="2"/>
        <v>1</v>
      </c>
      <c r="J57" s="44"/>
      <c r="K57" s="57">
        <f t="shared" si="3"/>
        <v>88.602580636599996</v>
      </c>
      <c r="L57" s="58">
        <f t="shared" si="4"/>
        <v>74.193062471999994</v>
      </c>
      <c r="M57" s="58">
        <f t="shared" si="5"/>
        <v>151.41850262733789</v>
      </c>
      <c r="N57" s="58">
        <f t="shared" si="6"/>
        <v>4.1206869122000001</v>
      </c>
      <c r="O57" s="58">
        <f t="shared" si="6"/>
        <v>-10.738910199599999</v>
      </c>
      <c r="P57" s="58">
        <f t="shared" si="7"/>
        <v>14.827865600599999</v>
      </c>
      <c r="Q57" s="59">
        <f t="shared" si="8"/>
        <v>-7.5166625976999999</v>
      </c>
    </row>
    <row r="58" spans="6:27" ht="19.5">
      <c r="I58" s="43">
        <f t="shared" si="2"/>
        <v>2</v>
      </c>
      <c r="J58" s="44"/>
      <c r="K58" s="60">
        <f t="shared" si="3"/>
        <v>84.290162775900001</v>
      </c>
      <c r="L58" s="61">
        <f t="shared" si="4"/>
        <v>70.6976299918</v>
      </c>
      <c r="M58" s="61">
        <f t="shared" si="5"/>
        <v>146.02264146353792</v>
      </c>
      <c r="N58" s="61">
        <f t="shared" si="6"/>
        <v>-4.9375132206999996</v>
      </c>
      <c r="O58" s="61">
        <f t="shared" si="6"/>
        <v>-1.0504410789999996</v>
      </c>
      <c r="P58" s="61">
        <f t="shared" si="7"/>
        <v>3.9180030823000003</v>
      </c>
      <c r="Q58" s="62">
        <f t="shared" si="8"/>
        <v>-0.86550998689999981</v>
      </c>
    </row>
    <row r="59" spans="6:27" ht="19.5">
      <c r="I59" s="43">
        <f t="shared" si="2"/>
        <v>2</v>
      </c>
      <c r="J59" s="44"/>
      <c r="K59" s="60">
        <f t="shared" si="3"/>
        <v>89.671731683900006</v>
      </c>
      <c r="L59" s="61">
        <f t="shared" si="4"/>
        <v>74.348896008699995</v>
      </c>
      <c r="M59" s="61">
        <f t="shared" si="5"/>
        <v>147.38030810433787</v>
      </c>
      <c r="N59" s="61">
        <f t="shared" si="6"/>
        <v>-1.4752065080000001</v>
      </c>
      <c r="O59" s="61">
        <f t="shared" si="6"/>
        <v>-5.2022319900999996</v>
      </c>
      <c r="P59" s="61">
        <f t="shared" si="7"/>
        <v>10.0839414597</v>
      </c>
      <c r="Q59" s="62">
        <f t="shared" si="8"/>
        <v>1.4399127959999998</v>
      </c>
    </row>
    <row r="60" spans="6:27" ht="19.5">
      <c r="I60" s="43">
        <f t="shared" si="2"/>
        <v>2</v>
      </c>
      <c r="J60" s="44"/>
      <c r="K60" s="60">
        <f t="shared" si="3"/>
        <v>96.310058581000007</v>
      </c>
      <c r="L60" s="61">
        <f t="shared" si="4"/>
        <v>80.802366272399993</v>
      </c>
      <c r="M60" s="61">
        <f t="shared" si="5"/>
        <v>159.05385506073787</v>
      </c>
      <c r="N60" s="61">
        <f t="shared" si="6"/>
        <v>2.9835373828999998</v>
      </c>
      <c r="O60" s="61">
        <f t="shared" si="6"/>
        <v>-0.16249674639999956</v>
      </c>
      <c r="P60" s="61">
        <f t="shared" si="7"/>
        <v>16.8136425018</v>
      </c>
      <c r="Q60" s="62">
        <f t="shared" si="8"/>
        <v>6.6475353240999997</v>
      </c>
    </row>
    <row r="61" spans="6:27" ht="19.5">
      <c r="I61" s="43">
        <f t="shared" si="2"/>
        <v>3</v>
      </c>
      <c r="J61" s="44"/>
      <c r="K61" s="66">
        <f t="shared" si="3"/>
        <v>92.769732095999998</v>
      </c>
      <c r="L61" s="67">
        <f t="shared" si="4"/>
        <v>75.606185025599999</v>
      </c>
      <c r="M61" s="67">
        <f t="shared" si="5"/>
        <v>148.8971545893379</v>
      </c>
      <c r="N61" s="67">
        <f t="shared" si="6"/>
        <v>5.0219505006</v>
      </c>
      <c r="O61" s="67">
        <f t="shared" si="6"/>
        <v>-9.3075822323999997</v>
      </c>
      <c r="P61" s="67">
        <f t="shared" si="7"/>
        <v>24.5640449524</v>
      </c>
      <c r="Q61" s="68">
        <f t="shared" si="8"/>
        <v>5.4497938155999996</v>
      </c>
    </row>
    <row r="62" spans="6:27" ht="19.5">
      <c r="I62" s="43">
        <f t="shared" si="2"/>
        <v>3</v>
      </c>
      <c r="J62" s="44"/>
      <c r="K62" s="69">
        <f t="shared" si="3"/>
        <v>89.081106141299998</v>
      </c>
      <c r="L62" s="70">
        <f t="shared" si="4"/>
        <v>67.443717028700007</v>
      </c>
      <c r="M62" s="70">
        <f t="shared" si="5"/>
        <v>144.78296601343794</v>
      </c>
      <c r="N62" s="70">
        <f t="shared" si="6"/>
        <v>-1.2975327716</v>
      </c>
      <c r="O62" s="70">
        <f t="shared" si="6"/>
        <v>-10.147022422699999</v>
      </c>
      <c r="P62" s="70">
        <f t="shared" si="7"/>
        <v>21.563737869299999</v>
      </c>
      <c r="Q62" s="71">
        <f t="shared" si="8"/>
        <v>13.054309844999999</v>
      </c>
    </row>
    <row r="63" spans="6:27" ht="19.5">
      <c r="I63" s="43">
        <f t="shared" si="2"/>
        <v>3</v>
      </c>
      <c r="J63" s="44"/>
      <c r="K63" s="72">
        <f t="shared" si="3"/>
        <v>92.116814684299996</v>
      </c>
      <c r="L63" s="73">
        <f t="shared" si="4"/>
        <v>75.045870402099993</v>
      </c>
      <c r="M63" s="73">
        <f t="shared" si="5"/>
        <v>125.99189444823793</v>
      </c>
      <c r="N63" s="73">
        <f t="shared" si="6"/>
        <v>5.0778153086</v>
      </c>
      <c r="O63" s="73">
        <f t="shared" si="6"/>
        <v>0.91945094409999983</v>
      </c>
      <c r="P63" s="73">
        <f t="shared" si="7"/>
        <v>14.831237793</v>
      </c>
      <c r="Q63" s="74">
        <f t="shared" si="8"/>
        <v>1.1575126647999996</v>
      </c>
    </row>
    <row r="64" spans="6:27" ht="19.5">
      <c r="I64" s="43">
        <f t="shared" si="2"/>
        <v>4</v>
      </c>
      <c r="J64" s="44"/>
      <c r="K64" s="60">
        <f t="shared" si="3"/>
        <v>94.813907161700001</v>
      </c>
      <c r="L64" s="61">
        <f t="shared" si="4"/>
        <v>76.119501869800004</v>
      </c>
      <c r="M64" s="61">
        <f t="shared" si="5"/>
        <v>149.42430785963791</v>
      </c>
      <c r="N64" s="61">
        <f t="shared" si="6"/>
        <v>-6.5612225600000004E-2</v>
      </c>
      <c r="O64" s="61">
        <f t="shared" si="6"/>
        <v>-9.1805075879999993</v>
      </c>
      <c r="P64" s="61">
        <f t="shared" si="7"/>
        <v>10.860359191900001</v>
      </c>
      <c r="Q64" s="62">
        <f t="shared" si="8"/>
        <v>12.551786422699999</v>
      </c>
    </row>
    <row r="65" spans="9:17" ht="19.5">
      <c r="I65" s="43">
        <f t="shared" si="2"/>
        <v>4</v>
      </c>
      <c r="J65" s="44"/>
      <c r="K65" s="60">
        <f t="shared" si="3"/>
        <v>91.952867580499998</v>
      </c>
      <c r="L65" s="61">
        <f t="shared" si="4"/>
        <v>77.360532504299997</v>
      </c>
      <c r="M65" s="61">
        <f t="shared" si="5"/>
        <v>135.28392003363786</v>
      </c>
      <c r="N65" s="61">
        <f t="shared" si="6"/>
        <v>-3.6337877980000002</v>
      </c>
      <c r="O65" s="61">
        <f t="shared" si="6"/>
        <v>-3.6512422958000004</v>
      </c>
      <c r="P65" s="61">
        <f t="shared" si="7"/>
        <v>9.2104997634999997</v>
      </c>
      <c r="Q65" s="62">
        <f t="shared" si="8"/>
        <v>5.7121706009000004</v>
      </c>
    </row>
    <row r="66" spans="9:17" ht="20.25" thickBot="1">
      <c r="I66" s="43">
        <f t="shared" si="2"/>
        <v>4</v>
      </c>
      <c r="J66" s="44"/>
      <c r="K66" s="63">
        <f t="shared" si="3"/>
        <v>97.4999571699</v>
      </c>
      <c r="L66" s="64">
        <f t="shared" si="4"/>
        <v>77.034142858300001</v>
      </c>
      <c r="M66" s="64">
        <f t="shared" si="5"/>
        <v>141.3520184515379</v>
      </c>
      <c r="N66" s="64">
        <f t="shared" si="6"/>
        <v>-5.9020505412000004</v>
      </c>
      <c r="O66" s="64">
        <f t="shared" si="6"/>
        <v>-4.3925969600000005</v>
      </c>
      <c r="P66" s="64">
        <f t="shared" si="7"/>
        <v>13.2950153351</v>
      </c>
      <c r="Q66" s="65">
        <f t="shared" si="8"/>
        <v>2.8173303603999997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2120.0707744668998</v>
      </c>
      <c r="S2">
        <v>1523.6820381563</v>
      </c>
      <c r="T2">
        <v>7.5707744668999997</v>
      </c>
      <c r="U2">
        <v>-11.182038156300001</v>
      </c>
      <c r="V2">
        <v>13.5038736426</v>
      </c>
      <c r="W2">
        <v>733.26769999999999</v>
      </c>
      <c r="X2">
        <v>395.85669999999999</v>
      </c>
      <c r="Y2">
        <v>398.774</v>
      </c>
      <c r="Z2">
        <v>394.4042</v>
      </c>
      <c r="AA2">
        <v>396.32940000000002</v>
      </c>
      <c r="AB2">
        <v>564.80438749999996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545</v>
      </c>
      <c r="B3" t="s">
        <v>546</v>
      </c>
      <c r="C3" t="s">
        <v>547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2117.0035648304001</v>
      </c>
      <c r="S3">
        <v>1527.7872845643999</v>
      </c>
      <c r="T3">
        <v>4.5035648304000002</v>
      </c>
      <c r="U3">
        <v>-15.2872845644</v>
      </c>
      <c r="V3">
        <v>15.9368492976</v>
      </c>
      <c r="W3">
        <v>735.12639999999999</v>
      </c>
      <c r="X3">
        <v>394.90069999999997</v>
      </c>
      <c r="Y3">
        <v>398.84780000000001</v>
      </c>
      <c r="Z3">
        <v>393.91629999999998</v>
      </c>
      <c r="AA3">
        <v>396.43810000000002</v>
      </c>
      <c r="AB3">
        <v>565.57606250000003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553</v>
      </c>
      <c r="B4" t="s">
        <v>554</v>
      </c>
      <c r="C4" t="s">
        <v>555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2116.6206869122002</v>
      </c>
      <c r="S4">
        <v>1527.2389101996</v>
      </c>
      <c r="T4">
        <v>4.1206869122000001</v>
      </c>
      <c r="U4">
        <v>-14.738910199599999</v>
      </c>
      <c r="V4">
        <v>15.3041018848</v>
      </c>
      <c r="W4">
        <v>746.05370000000005</v>
      </c>
      <c r="X4">
        <v>404.64420000000001</v>
      </c>
      <c r="Y4">
        <v>405.2672</v>
      </c>
      <c r="Z4">
        <v>403.0616</v>
      </c>
      <c r="AA4">
        <v>403.35</v>
      </c>
      <c r="AB4">
        <v>575.06722500000001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561</v>
      </c>
      <c r="B5" t="s">
        <v>562</v>
      </c>
      <c r="C5" t="s">
        <v>563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2107.5624867792999</v>
      </c>
      <c r="S5">
        <v>1517.5504410789999</v>
      </c>
      <c r="T5">
        <v>-4.9375132206999996</v>
      </c>
      <c r="U5">
        <v>-5.0504410789999996</v>
      </c>
      <c r="V5">
        <v>7.0630016209999997</v>
      </c>
      <c r="W5">
        <v>741.93240000000003</v>
      </c>
      <c r="X5">
        <v>400.04500000000002</v>
      </c>
      <c r="Y5">
        <v>400.1413</v>
      </c>
      <c r="Z5">
        <v>399.11900000000003</v>
      </c>
      <c r="AA5">
        <v>397.95639999999997</v>
      </c>
      <c r="AB5">
        <v>570.62391249999996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590</v>
      </c>
      <c r="B6" t="s">
        <v>591</v>
      </c>
      <c r="C6" t="s">
        <v>592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2111.0247934919998</v>
      </c>
      <c r="S6">
        <v>1521.7022319901</v>
      </c>
      <c r="T6">
        <v>-1.4752065080000001</v>
      </c>
      <c r="U6">
        <v>-9.2022319900999996</v>
      </c>
      <c r="V6">
        <v>9.3197268115000007</v>
      </c>
      <c r="W6">
        <v>731.03369999999995</v>
      </c>
      <c r="X6">
        <v>393.18979999999999</v>
      </c>
      <c r="Y6">
        <v>395.2484</v>
      </c>
      <c r="Z6">
        <v>392.10910000000001</v>
      </c>
      <c r="AA6">
        <v>391.57279999999997</v>
      </c>
      <c r="AB6">
        <v>562.03186249999999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617</v>
      </c>
      <c r="B7" t="s">
        <v>618</v>
      </c>
      <c r="C7" t="s">
        <v>619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2115.4835373829001</v>
      </c>
      <c r="S7">
        <v>1516.6624967463999</v>
      </c>
      <c r="T7">
        <v>2.9835373828999998</v>
      </c>
      <c r="U7">
        <v>-4.1624967463999996</v>
      </c>
      <c r="V7">
        <v>5.1213156980000001</v>
      </c>
      <c r="W7">
        <v>735.423</v>
      </c>
      <c r="X7">
        <v>396.84190000000001</v>
      </c>
      <c r="Y7">
        <v>396.82010000000002</v>
      </c>
      <c r="Z7">
        <v>394.46969999999999</v>
      </c>
      <c r="AA7">
        <v>394.05930000000001</v>
      </c>
      <c r="AB7">
        <v>565.48537499999998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2117.5219505005998</v>
      </c>
      <c r="S8">
        <v>1525.8075822323999</v>
      </c>
      <c r="T8">
        <v>5.0219505006</v>
      </c>
      <c r="U8">
        <v>-13.3075822324</v>
      </c>
      <c r="V8">
        <v>14.2236328589</v>
      </c>
      <c r="W8">
        <v>744.12660000000005</v>
      </c>
      <c r="X8">
        <v>397.28359999999998</v>
      </c>
      <c r="Y8">
        <v>403.34100000000001</v>
      </c>
      <c r="Z8">
        <v>399.5727</v>
      </c>
      <c r="AA8">
        <v>401.0915</v>
      </c>
      <c r="AB8">
        <v>572.22439999999995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2111.2024672284001</v>
      </c>
      <c r="S9">
        <v>1526.6470224227</v>
      </c>
      <c r="T9">
        <v>-1.2975327716</v>
      </c>
      <c r="U9">
        <v>-14.147022422699999</v>
      </c>
      <c r="V9">
        <v>14.206401188199999</v>
      </c>
      <c r="W9">
        <v>730.88390000000004</v>
      </c>
      <c r="X9">
        <v>395.22050000000002</v>
      </c>
      <c r="Y9">
        <v>400.2158</v>
      </c>
      <c r="Z9">
        <v>396.74290000000002</v>
      </c>
      <c r="AA9">
        <v>394.9871</v>
      </c>
      <c r="AB9">
        <v>563.8377375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2117.5778153085998</v>
      </c>
      <c r="S10">
        <v>1515.5805490559001</v>
      </c>
      <c r="T10">
        <v>5.0778153086</v>
      </c>
      <c r="U10">
        <v>-3.0805490559000002</v>
      </c>
      <c r="V10">
        <v>5.9391910892000004</v>
      </c>
      <c r="W10">
        <v>729.46270000000004</v>
      </c>
      <c r="X10">
        <v>393.86520000000002</v>
      </c>
      <c r="Y10">
        <v>392.69409999999999</v>
      </c>
      <c r="Z10">
        <v>391.41090000000003</v>
      </c>
      <c r="AA10">
        <v>394.2133</v>
      </c>
      <c r="AB10">
        <v>561.25428750000003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213</v>
      </c>
      <c r="E11">
        <v>3</v>
      </c>
      <c r="F11" t="s">
        <v>214</v>
      </c>
      <c r="G11" t="s">
        <v>215</v>
      </c>
      <c r="H11" t="s">
        <v>216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2112.4343877744</v>
      </c>
      <c r="S11">
        <v>1525.680507588</v>
      </c>
      <c r="T11">
        <v>-6.5612225600000004E-2</v>
      </c>
      <c r="U11">
        <v>-13.180507587999999</v>
      </c>
      <c r="V11">
        <v>13.180670895</v>
      </c>
      <c r="W11">
        <v>723.61980000000005</v>
      </c>
      <c r="X11">
        <v>389.4194</v>
      </c>
      <c r="Y11">
        <v>393.77390000000003</v>
      </c>
      <c r="Z11">
        <v>390.81569999999999</v>
      </c>
      <c r="AA11">
        <v>386.91789999999997</v>
      </c>
      <c r="AB11">
        <v>556.92576250000002</v>
      </c>
      <c r="AC11" t="s">
        <v>223</v>
      </c>
      <c r="AD11" t="s">
        <v>224</v>
      </c>
      <c r="AE11" t="s">
        <v>225</v>
      </c>
      <c r="AF11" t="s">
        <v>226</v>
      </c>
      <c r="AG11" t="s">
        <v>227</v>
      </c>
      <c r="AH11">
        <v>8</v>
      </c>
      <c r="AI11" t="s">
        <v>228</v>
      </c>
      <c r="AK11" s="17">
        <v>1</v>
      </c>
    </row>
    <row r="12" spans="1:37">
      <c r="A12" t="s">
        <v>679</v>
      </c>
      <c r="B12" t="s">
        <v>680</v>
      </c>
      <c r="C12" t="s">
        <v>681</v>
      </c>
      <c r="D12" t="s">
        <v>213</v>
      </c>
      <c r="E12">
        <v>3</v>
      </c>
      <c r="F12" t="s">
        <v>214</v>
      </c>
      <c r="G12" t="s">
        <v>215</v>
      </c>
      <c r="H12" t="s">
        <v>216</v>
      </c>
      <c r="I12" t="s">
        <v>217</v>
      </c>
      <c r="K12" t="s">
        <v>682</v>
      </c>
      <c r="L12" t="s">
        <v>683</v>
      </c>
      <c r="M12" t="s">
        <v>684</v>
      </c>
      <c r="N12" t="s">
        <v>685</v>
      </c>
      <c r="O12" t="s">
        <v>686</v>
      </c>
      <c r="P12">
        <v>0</v>
      </c>
      <c r="Q12">
        <v>0</v>
      </c>
      <c r="R12">
        <v>2108.866212202</v>
      </c>
      <c r="S12">
        <v>1520.1512422958001</v>
      </c>
      <c r="T12">
        <v>-3.6337877980000002</v>
      </c>
      <c r="U12">
        <v>-7.6512422958000004</v>
      </c>
      <c r="V12">
        <v>8.4702964781999999</v>
      </c>
      <c r="W12">
        <v>733.23289999999997</v>
      </c>
      <c r="X12">
        <v>396.42469999999997</v>
      </c>
      <c r="Y12">
        <v>396.48</v>
      </c>
      <c r="Z12">
        <v>398.51490000000001</v>
      </c>
      <c r="AA12">
        <v>393.60430000000002</v>
      </c>
      <c r="AB12">
        <v>564.7444375</v>
      </c>
      <c r="AC12" t="s">
        <v>223</v>
      </c>
      <c r="AD12" t="s">
        <v>224</v>
      </c>
      <c r="AE12" t="s">
        <v>225</v>
      </c>
      <c r="AF12" t="s">
        <v>226</v>
      </c>
      <c r="AG12" t="s">
        <v>227</v>
      </c>
      <c r="AH12">
        <v>8</v>
      </c>
      <c r="AI12" t="s">
        <v>228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213</v>
      </c>
      <c r="E13">
        <v>3</v>
      </c>
      <c r="F13" t="s">
        <v>214</v>
      </c>
      <c r="G13" t="s">
        <v>215</v>
      </c>
      <c r="H13" t="s">
        <v>216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2106.5979494588</v>
      </c>
      <c r="S13">
        <v>1520.89259696</v>
      </c>
      <c r="T13">
        <v>-5.9020505412000004</v>
      </c>
      <c r="U13">
        <v>-8.3925969600000005</v>
      </c>
      <c r="V13">
        <v>10.2601113212</v>
      </c>
      <c r="W13">
        <v>732.21349999999995</v>
      </c>
      <c r="X13">
        <v>394.5419</v>
      </c>
      <c r="Y13">
        <v>394.73700000000002</v>
      </c>
      <c r="Z13">
        <v>396.48450000000003</v>
      </c>
      <c r="AA13">
        <v>389.95890000000003</v>
      </c>
      <c r="AB13">
        <v>563.07203749999996</v>
      </c>
      <c r="AC13" t="s">
        <v>223</v>
      </c>
      <c r="AD13" t="s">
        <v>224</v>
      </c>
      <c r="AE13" t="s">
        <v>225</v>
      </c>
      <c r="AF13" t="s">
        <v>226</v>
      </c>
      <c r="AG13" t="s">
        <v>227</v>
      </c>
      <c r="AH13">
        <v>8</v>
      </c>
      <c r="AI13" t="s">
        <v>228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259</v>
      </c>
      <c r="AW1" t="s">
        <v>207</v>
      </c>
      <c r="AX1" t="s">
        <v>208</v>
      </c>
      <c r="AY1" s="17" t="s">
        <v>209</v>
      </c>
    </row>
    <row r="2" spans="1:51">
      <c r="A2" t="s">
        <v>260</v>
      </c>
      <c r="B2" t="s">
        <v>261</v>
      </c>
      <c r="C2" t="s">
        <v>262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-1.09911E-4</v>
      </c>
      <c r="S2">
        <v>15.9242229462</v>
      </c>
      <c r="T2">
        <v>5.6669754982000002</v>
      </c>
      <c r="U2">
        <v>-0.79922914509999998</v>
      </c>
      <c r="V2">
        <v>4.2683134079</v>
      </c>
      <c r="W2">
        <v>-4.4453983306999998</v>
      </c>
      <c r="X2">
        <v>-4.2014846802000001</v>
      </c>
      <c r="Y2">
        <v>-3.1808023453000001</v>
      </c>
      <c r="Z2">
        <v>2.5701265334999999</v>
      </c>
      <c r="AA2">
        <v>-0.89361298079999996</v>
      </c>
      <c r="AB2">
        <v>-1.2775313854000001</v>
      </c>
      <c r="AC2">
        <v>-1.5068112612</v>
      </c>
      <c r="AD2">
        <v>0.87436866759999998</v>
      </c>
      <c r="AE2">
        <v>0.71597915889999997</v>
      </c>
      <c r="AF2">
        <v>0.7197687626</v>
      </c>
      <c r="AG2">
        <v>-0.90340685840000001</v>
      </c>
      <c r="AH2">
        <v>-0.113794066</v>
      </c>
      <c r="AI2">
        <v>-0.5063201785</v>
      </c>
      <c r="AJ2">
        <v>1.2176285981999999</v>
      </c>
      <c r="AK2">
        <v>0.64110034699999996</v>
      </c>
      <c r="AL2">
        <v>2.584757E-4</v>
      </c>
      <c r="AM2">
        <v>5.3486078999999999E-2</v>
      </c>
      <c r="AN2">
        <v>0.25639879700000001</v>
      </c>
      <c r="AO2">
        <v>0.1663372964</v>
      </c>
      <c r="AP2">
        <v>0.28061258789999999</v>
      </c>
      <c r="AQ2">
        <v>0.28061258789999999</v>
      </c>
      <c r="AR2">
        <v>16.902529033699999</v>
      </c>
      <c r="AS2" t="s">
        <v>264</v>
      </c>
      <c r="AT2" t="s">
        <v>265</v>
      </c>
      <c r="AU2">
        <v>4</v>
      </c>
      <c r="AV2">
        <v>2.9</v>
      </c>
      <c r="AY2" s="17">
        <v>1</v>
      </c>
    </row>
    <row r="3" spans="1:51">
      <c r="A3" t="s">
        <v>569</v>
      </c>
      <c r="B3" t="s">
        <v>570</v>
      </c>
      <c r="C3" t="s">
        <v>571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1.8119799999999999E-5</v>
      </c>
      <c r="S3">
        <v>11.9299411774</v>
      </c>
      <c r="T3">
        <v>5.0542883872999997</v>
      </c>
      <c r="U3">
        <v>-0.71149897579999999</v>
      </c>
      <c r="V3">
        <v>4.4337706566000001</v>
      </c>
      <c r="W3">
        <v>-4.8820576667999998</v>
      </c>
      <c r="X3">
        <v>-3.7428646088000002</v>
      </c>
      <c r="Y3">
        <v>-3.0342805386</v>
      </c>
      <c r="Z3">
        <v>1.1070469618000001</v>
      </c>
      <c r="AA3">
        <v>-0.39166170360000002</v>
      </c>
      <c r="AB3">
        <v>-1.0179854631</v>
      </c>
      <c r="AC3">
        <v>-1.1135891676</v>
      </c>
      <c r="AD3">
        <v>1.0778859854</v>
      </c>
      <c r="AE3">
        <v>0.62496709819999996</v>
      </c>
      <c r="AF3">
        <v>0.95628035069999995</v>
      </c>
      <c r="AG3">
        <v>9.8764181100000001E-2</v>
      </c>
      <c r="AH3">
        <v>-5.2831262400000002E-2</v>
      </c>
      <c r="AI3">
        <v>-1.0894963741000001</v>
      </c>
      <c r="AJ3">
        <v>-0.52405619619999999</v>
      </c>
      <c r="AK3">
        <v>0.69184994700000002</v>
      </c>
      <c r="AL3">
        <v>1.813125E-4</v>
      </c>
      <c r="AM3">
        <v>4.4252488800000003E-2</v>
      </c>
      <c r="AN3">
        <v>0.20397004490000001</v>
      </c>
      <c r="AO3">
        <v>0.148501575</v>
      </c>
      <c r="AP3">
        <v>0.25076347589999998</v>
      </c>
      <c r="AQ3">
        <v>0.25076347589999998</v>
      </c>
      <c r="AR3">
        <v>12.956439618899999</v>
      </c>
      <c r="AS3" t="s">
        <v>264</v>
      </c>
      <c r="AT3" t="s">
        <v>265</v>
      </c>
      <c r="AU3">
        <v>3</v>
      </c>
      <c r="AV3">
        <v>2.9</v>
      </c>
      <c r="AY3" s="17">
        <v>1</v>
      </c>
    </row>
    <row r="4" spans="1:51">
      <c r="A4" t="s">
        <v>572</v>
      </c>
      <c r="B4" t="s">
        <v>573</v>
      </c>
      <c r="C4" t="s">
        <v>574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2.3603399999999998E-5</v>
      </c>
      <c r="S4">
        <v>17.827865600599999</v>
      </c>
      <c r="T4">
        <v>-4.5166625976999999</v>
      </c>
      <c r="U4">
        <v>-1.4132714272</v>
      </c>
      <c r="V4">
        <v>5.3846416472999996</v>
      </c>
      <c r="W4">
        <v>-3.2167539597000001</v>
      </c>
      <c r="X4">
        <v>-5.0093398094000001</v>
      </c>
      <c r="Y4">
        <v>3.6821420193000001</v>
      </c>
      <c r="Z4">
        <v>2.014595747</v>
      </c>
      <c r="AA4">
        <v>-2.2036914825</v>
      </c>
      <c r="AB4">
        <v>1.3326702118</v>
      </c>
      <c r="AC4">
        <v>-1.8804008961000001</v>
      </c>
      <c r="AD4">
        <v>0.86784601210000001</v>
      </c>
      <c r="AE4">
        <v>0.5539746284</v>
      </c>
      <c r="AF4">
        <v>-1.6926774979000001</v>
      </c>
      <c r="AG4">
        <v>-0.50753337139999999</v>
      </c>
      <c r="AH4">
        <v>0.56577527520000004</v>
      </c>
      <c r="AI4">
        <v>0.30308872460000003</v>
      </c>
      <c r="AJ4">
        <v>0.2587419748</v>
      </c>
      <c r="AK4">
        <v>-0.15086767079999999</v>
      </c>
      <c r="AL4">
        <v>1.7842460000000001E-4</v>
      </c>
      <c r="AM4">
        <v>4.4639419800000003E-2</v>
      </c>
      <c r="AN4">
        <v>0.27785134319999999</v>
      </c>
      <c r="AO4">
        <v>0.1375388354</v>
      </c>
      <c r="AP4">
        <v>0.29468604920000002</v>
      </c>
      <c r="AQ4">
        <v>0.29468604920000002</v>
      </c>
      <c r="AR4">
        <v>18.3911128781</v>
      </c>
      <c r="AS4" t="s">
        <v>264</v>
      </c>
      <c r="AT4" t="s">
        <v>265</v>
      </c>
      <c r="AU4">
        <v>3</v>
      </c>
      <c r="AV4">
        <v>2.9</v>
      </c>
      <c r="AY4" s="17">
        <v>1</v>
      </c>
    </row>
    <row r="5" spans="1:51">
      <c r="A5" t="s">
        <v>575</v>
      </c>
      <c r="B5" t="s">
        <v>576</v>
      </c>
      <c r="C5" t="s">
        <v>577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-2.8073799999999999E-5</v>
      </c>
      <c r="S5">
        <v>6.9180030823000003</v>
      </c>
      <c r="T5">
        <v>2.1344900131000002</v>
      </c>
      <c r="U5">
        <v>3.5061237811999999</v>
      </c>
      <c r="V5">
        <v>6.3178744316</v>
      </c>
      <c r="W5">
        <v>-5.0357952118</v>
      </c>
      <c r="X5">
        <v>-4.0464215278999998</v>
      </c>
      <c r="Y5">
        <v>-0.81557404990000004</v>
      </c>
      <c r="Z5">
        <v>0.757840395</v>
      </c>
      <c r="AA5">
        <v>-0.2452545166</v>
      </c>
      <c r="AB5">
        <v>0.49221330880000003</v>
      </c>
      <c r="AC5">
        <v>-1.893550992</v>
      </c>
      <c r="AD5">
        <v>1.0885814428</v>
      </c>
      <c r="AE5">
        <v>1.6398267745999999</v>
      </c>
      <c r="AF5">
        <v>-2.5769472000000001E-3</v>
      </c>
      <c r="AG5">
        <v>-0.3179907501</v>
      </c>
      <c r="AH5">
        <v>9.15493369E-2</v>
      </c>
      <c r="AI5">
        <v>0.42833027239999999</v>
      </c>
      <c r="AJ5">
        <v>0.42825126650000001</v>
      </c>
      <c r="AK5">
        <v>0.1732172072</v>
      </c>
      <c r="AL5">
        <v>1.9270490000000001E-4</v>
      </c>
      <c r="AM5">
        <v>4.6042457199999998E-2</v>
      </c>
      <c r="AN5">
        <v>0.16472916309999999</v>
      </c>
      <c r="AO5">
        <v>0.1052979976</v>
      </c>
      <c r="AP5">
        <v>0.2040222287</v>
      </c>
      <c r="AQ5">
        <v>0.2040222287</v>
      </c>
      <c r="AR5">
        <v>7.2398076122999999</v>
      </c>
      <c r="AS5" t="s">
        <v>264</v>
      </c>
      <c r="AT5" t="s">
        <v>265</v>
      </c>
      <c r="AU5">
        <v>4</v>
      </c>
      <c r="AV5">
        <v>2.9</v>
      </c>
      <c r="AY5" s="17">
        <v>1</v>
      </c>
    </row>
    <row r="6" spans="1:51">
      <c r="A6" t="s">
        <v>601</v>
      </c>
      <c r="B6" t="s">
        <v>602</v>
      </c>
      <c r="C6" t="s">
        <v>603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1.4304999999999999E-6</v>
      </c>
      <c r="S6">
        <v>13.0839414597</v>
      </c>
      <c r="T6">
        <v>4.4399127959999998</v>
      </c>
      <c r="U6">
        <v>1.3462238312000001</v>
      </c>
      <c r="V6">
        <v>6.5982437133999996</v>
      </c>
      <c r="W6">
        <v>-4.1601428986000002</v>
      </c>
      <c r="X6">
        <v>-3.9676640033999999</v>
      </c>
      <c r="Y6">
        <v>-2.0344004630999999</v>
      </c>
      <c r="Z6">
        <v>2.0008239745999998</v>
      </c>
      <c r="AA6">
        <v>0.63044852019999997</v>
      </c>
      <c r="AB6">
        <v>0.58850347999999997</v>
      </c>
      <c r="AC6">
        <v>-2.1054329871999999</v>
      </c>
      <c r="AD6">
        <v>1.383631587</v>
      </c>
      <c r="AE6">
        <v>0.76608073710000002</v>
      </c>
      <c r="AF6">
        <v>0.25517812369999998</v>
      </c>
      <c r="AG6">
        <v>-1.0430686473999999</v>
      </c>
      <c r="AH6">
        <v>0.38886493439999997</v>
      </c>
      <c r="AI6">
        <v>1.0186158419</v>
      </c>
      <c r="AJ6">
        <v>-0.59259867669999999</v>
      </c>
      <c r="AK6">
        <v>4.03631926E-2</v>
      </c>
      <c r="AL6">
        <v>2.438919E-4</v>
      </c>
      <c r="AM6">
        <v>5.2501075000000001E-2</v>
      </c>
      <c r="AN6">
        <v>0.24092496930000001</v>
      </c>
      <c r="AO6">
        <v>0.13890530170000001</v>
      </c>
      <c r="AP6">
        <v>0.27744144199999998</v>
      </c>
      <c r="AQ6">
        <v>0.27744144199999998</v>
      </c>
      <c r="AR6">
        <v>13.816741647600001</v>
      </c>
      <c r="AS6" t="s">
        <v>264</v>
      </c>
      <c r="AT6" t="s">
        <v>265</v>
      </c>
      <c r="AU6">
        <v>3</v>
      </c>
      <c r="AV6">
        <v>2.9</v>
      </c>
      <c r="AY6" s="17">
        <v>1</v>
      </c>
    </row>
    <row r="7" spans="1:51">
      <c r="A7" t="s">
        <v>605</v>
      </c>
      <c r="B7" t="s">
        <v>606</v>
      </c>
      <c r="C7" t="s">
        <v>607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5.1736800000000002E-5</v>
      </c>
      <c r="S7">
        <v>19.8136425018</v>
      </c>
      <c r="T7">
        <v>9.6475353240999997</v>
      </c>
      <c r="U7">
        <v>-2.1744813919000001</v>
      </c>
      <c r="V7">
        <v>7.6251430511000002</v>
      </c>
      <c r="W7">
        <v>-4.9495191574000001</v>
      </c>
      <c r="X7">
        <v>-5.5088124274999997</v>
      </c>
      <c r="Y7">
        <v>-2.0883774757000002</v>
      </c>
      <c r="Z7">
        <v>3.4039340019000002</v>
      </c>
      <c r="AA7">
        <v>0.42614799739999998</v>
      </c>
      <c r="AB7">
        <v>-0.48101079460000001</v>
      </c>
      <c r="AC7">
        <v>-3.5085186957999999</v>
      </c>
      <c r="AD7">
        <v>0.67239320280000003</v>
      </c>
      <c r="AE7">
        <v>0.83044970039999999</v>
      </c>
      <c r="AF7">
        <v>-0.40308549999999999</v>
      </c>
      <c r="AG7">
        <v>-0.77533894780000001</v>
      </c>
      <c r="AH7">
        <v>-0.39204755429999999</v>
      </c>
      <c r="AI7">
        <v>-0.47507458930000002</v>
      </c>
      <c r="AJ7">
        <v>-0.63296234610000002</v>
      </c>
      <c r="AK7">
        <v>0.2738824487</v>
      </c>
      <c r="AL7">
        <v>3.3814050000000002E-4</v>
      </c>
      <c r="AM7">
        <v>5.9727482499999998E-2</v>
      </c>
      <c r="AN7">
        <v>0.34007793660000002</v>
      </c>
      <c r="AO7">
        <v>0.20414888859999999</v>
      </c>
      <c r="AP7">
        <v>0.41188800330000003</v>
      </c>
      <c r="AQ7">
        <v>0.41188800330000003</v>
      </c>
      <c r="AR7">
        <v>22.037589864099999</v>
      </c>
      <c r="AS7" t="s">
        <v>264</v>
      </c>
      <c r="AT7" t="s">
        <v>265</v>
      </c>
      <c r="AU7">
        <v>3</v>
      </c>
      <c r="AV7">
        <v>2.9</v>
      </c>
      <c r="AY7" s="17">
        <v>1</v>
      </c>
    </row>
    <row r="8" spans="1:51">
      <c r="A8" t="s">
        <v>631</v>
      </c>
      <c r="B8" t="s">
        <v>632</v>
      </c>
      <c r="C8" t="s">
        <v>634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27.5640449524</v>
      </c>
      <c r="T8">
        <v>8.4497938155999996</v>
      </c>
      <c r="U8">
        <v>-1.8621006012000001</v>
      </c>
      <c r="V8">
        <v>1.0163631439</v>
      </c>
      <c r="W8">
        <v>-14.480546951299999</v>
      </c>
      <c r="X8">
        <v>-5.5336198806999999</v>
      </c>
      <c r="Y8">
        <v>-4.0854907035999997</v>
      </c>
      <c r="Z8">
        <v>3.3033874034999999</v>
      </c>
      <c r="AA8">
        <v>0.17152929310000001</v>
      </c>
      <c r="AB8">
        <v>-0.70857810970000001</v>
      </c>
      <c r="AC8">
        <v>-1.1118073463</v>
      </c>
      <c r="AD8">
        <v>3.2487487793000001</v>
      </c>
      <c r="AE8">
        <v>0.86958885190000001</v>
      </c>
      <c r="AF8">
        <v>0.31864726539999999</v>
      </c>
      <c r="AG8">
        <v>-1.7594367265999999</v>
      </c>
      <c r="AH8">
        <v>-0.98582428690000001</v>
      </c>
      <c r="AI8">
        <v>0.78191578390000005</v>
      </c>
      <c r="AJ8">
        <v>0.19950389860000001</v>
      </c>
      <c r="AK8">
        <v>0.9761164188</v>
      </c>
      <c r="AL8">
        <v>2.881871E-4</v>
      </c>
      <c r="AM8">
        <v>5.5855836700000001E-2</v>
      </c>
      <c r="AN8">
        <v>0.514981091</v>
      </c>
      <c r="AO8">
        <v>0.32996371390000001</v>
      </c>
      <c r="AP8">
        <v>0.514981091</v>
      </c>
      <c r="AQ8">
        <v>0.514981091</v>
      </c>
      <c r="AR8">
        <v>28.8301160189</v>
      </c>
      <c r="AS8" t="s">
        <v>264</v>
      </c>
      <c r="AT8" t="s">
        <v>265</v>
      </c>
      <c r="AU8">
        <v>3</v>
      </c>
      <c r="AV8">
        <v>2.9</v>
      </c>
      <c r="AY8" s="17">
        <v>1</v>
      </c>
    </row>
    <row r="9" spans="1:51">
      <c r="A9" t="s">
        <v>646</v>
      </c>
      <c r="B9" t="s">
        <v>647</v>
      </c>
      <c r="C9" t="s">
        <v>648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1.19209E-5</v>
      </c>
      <c r="S9">
        <v>24.563737869299999</v>
      </c>
      <c r="T9">
        <v>16.054309844999999</v>
      </c>
      <c r="U9">
        <v>-1.0644044876000001</v>
      </c>
      <c r="V9">
        <v>5.5635757445999996</v>
      </c>
      <c r="W9">
        <v>-6.9784326552999998</v>
      </c>
      <c r="X9">
        <v>-5.6596574782999998</v>
      </c>
      <c r="Y9">
        <v>-5.8906064033999996</v>
      </c>
      <c r="Z9">
        <v>2.3848826884999998</v>
      </c>
      <c r="AA9">
        <v>-0.14490306380000001</v>
      </c>
      <c r="AB9">
        <v>0.51937651630000004</v>
      </c>
      <c r="AC9">
        <v>-1.7342919110999999</v>
      </c>
      <c r="AD9">
        <v>0.96629667279999998</v>
      </c>
      <c r="AE9">
        <v>0.63269883390000003</v>
      </c>
      <c r="AF9">
        <v>1.4707237482</v>
      </c>
      <c r="AG9">
        <v>-0.82472097870000005</v>
      </c>
      <c r="AH9">
        <v>0.32262748479999998</v>
      </c>
      <c r="AI9">
        <v>-0.71012282370000002</v>
      </c>
      <c r="AJ9">
        <v>0.82626438140000003</v>
      </c>
      <c r="AK9">
        <v>0.25886690620000002</v>
      </c>
      <c r="AL9">
        <v>2.5489289999999998E-4</v>
      </c>
      <c r="AM9">
        <v>5.2396796599999997E-2</v>
      </c>
      <c r="AN9">
        <v>0.3888389766</v>
      </c>
      <c r="AO9">
        <v>0.32338109609999999</v>
      </c>
      <c r="AP9">
        <v>0.50841909649999995</v>
      </c>
      <c r="AQ9">
        <v>0.50841909649999995</v>
      </c>
      <c r="AR9">
        <v>29.344813557199998</v>
      </c>
      <c r="AS9" t="s">
        <v>264</v>
      </c>
      <c r="AT9" t="s">
        <v>265</v>
      </c>
      <c r="AU9">
        <v>4</v>
      </c>
      <c r="AV9">
        <v>2.9</v>
      </c>
      <c r="AY9" s="17">
        <v>1</v>
      </c>
    </row>
    <row r="10" spans="1:51">
      <c r="A10" t="s">
        <v>658</v>
      </c>
      <c r="B10" t="s">
        <v>659</v>
      </c>
      <c r="C10" t="s">
        <v>660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-9.5370000000000008E-7</v>
      </c>
      <c r="S10">
        <v>17.831237793</v>
      </c>
      <c r="T10">
        <v>4.1575126647999996</v>
      </c>
      <c r="U10">
        <v>-0.43950843810000001</v>
      </c>
      <c r="V10">
        <v>4.4816765785000001</v>
      </c>
      <c r="W10">
        <v>-2.5546348095</v>
      </c>
      <c r="X10">
        <v>-3.5433583259999999</v>
      </c>
      <c r="Y10">
        <v>-2.1516859530999999</v>
      </c>
      <c r="Z10">
        <v>2.3038167952999999</v>
      </c>
      <c r="AA10">
        <v>0.53665995600000005</v>
      </c>
      <c r="AB10">
        <v>-0.98664879800000005</v>
      </c>
      <c r="AC10">
        <v>-1.0656758547</v>
      </c>
      <c r="AD10">
        <v>1.0358887911000001</v>
      </c>
      <c r="AE10">
        <v>0.74768662450000001</v>
      </c>
      <c r="AF10">
        <v>0.84708267449999997</v>
      </c>
      <c r="AG10">
        <v>-0.72653031349999997</v>
      </c>
      <c r="AH10">
        <v>0.32529520989999999</v>
      </c>
      <c r="AI10">
        <v>0.10832729939999999</v>
      </c>
      <c r="AJ10">
        <v>-0.39120841029999998</v>
      </c>
      <c r="AK10">
        <v>0.65763342380000001</v>
      </c>
      <c r="AL10">
        <v>2.0969580000000001E-4</v>
      </c>
      <c r="AM10">
        <v>4.7768823799999999E-2</v>
      </c>
      <c r="AN10">
        <v>0.29305964709999999</v>
      </c>
      <c r="AO10">
        <v>0.1286329776</v>
      </c>
      <c r="AP10">
        <v>0.29305964709999999</v>
      </c>
      <c r="AQ10">
        <v>0.29305964709999999</v>
      </c>
      <c r="AR10">
        <v>18.309504438600001</v>
      </c>
      <c r="AS10" t="s">
        <v>264</v>
      </c>
      <c r="AT10" t="s">
        <v>265</v>
      </c>
      <c r="AU10">
        <v>3</v>
      </c>
      <c r="AV10">
        <v>2.9</v>
      </c>
      <c r="AY10" s="17">
        <v>1</v>
      </c>
    </row>
    <row r="11" spans="1:51">
      <c r="A11" t="s">
        <v>673</v>
      </c>
      <c r="B11" t="s">
        <v>674</v>
      </c>
      <c r="C11" t="s">
        <v>687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2.5749200000000001E-5</v>
      </c>
      <c r="S11">
        <v>13.860359191900001</v>
      </c>
      <c r="T11">
        <v>15.551786422699999</v>
      </c>
      <c r="U11">
        <v>-3.4450054200000003E-2</v>
      </c>
      <c r="V11">
        <v>9.9388647079000005</v>
      </c>
      <c r="W11">
        <v>-12.2349843979</v>
      </c>
      <c r="X11">
        <v>-4.2980422974000003</v>
      </c>
      <c r="Y11">
        <v>-7.1106085776999999</v>
      </c>
      <c r="Z11">
        <v>2.8842451572000001</v>
      </c>
      <c r="AA11">
        <v>1.1348798275</v>
      </c>
      <c r="AB11">
        <v>-1.4515682459000001</v>
      </c>
      <c r="AC11">
        <v>-3.3071167468999998</v>
      </c>
      <c r="AD11">
        <v>1.8774778843</v>
      </c>
      <c r="AE11">
        <v>0.87746286389999995</v>
      </c>
      <c r="AF11">
        <v>1.7862668037</v>
      </c>
      <c r="AG11">
        <v>-1.1609722376</v>
      </c>
      <c r="AH11">
        <v>0.64293599130000001</v>
      </c>
      <c r="AI11">
        <v>-1.2119934559000001</v>
      </c>
      <c r="AJ11">
        <v>3.3788681000000001E-2</v>
      </c>
      <c r="AK11">
        <v>1.3819384575</v>
      </c>
      <c r="AL11">
        <v>3.1659990000000002E-4</v>
      </c>
      <c r="AM11">
        <v>5.8031491900000003E-2</v>
      </c>
      <c r="AN11">
        <v>0.31069630380000002</v>
      </c>
      <c r="AO11">
        <v>0.38609755039999999</v>
      </c>
      <c r="AP11">
        <v>0.49220272900000001</v>
      </c>
      <c r="AQ11">
        <v>0.49220272900000001</v>
      </c>
      <c r="AR11">
        <v>20.831889445400002</v>
      </c>
      <c r="AS11" t="s">
        <v>264</v>
      </c>
      <c r="AT11" t="s">
        <v>265</v>
      </c>
      <c r="AU11">
        <v>3</v>
      </c>
      <c r="AV11">
        <v>2.9</v>
      </c>
      <c r="AY11" s="17">
        <v>1</v>
      </c>
    </row>
    <row r="12" spans="1:51">
      <c r="A12" t="s">
        <v>691</v>
      </c>
      <c r="B12" t="s">
        <v>692</v>
      </c>
      <c r="C12" t="s">
        <v>694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682</v>
      </c>
      <c r="L12" t="s">
        <v>683</v>
      </c>
      <c r="M12" t="s">
        <v>684</v>
      </c>
      <c r="N12" t="s">
        <v>685</v>
      </c>
      <c r="O12" t="s">
        <v>686</v>
      </c>
      <c r="P12">
        <v>0</v>
      </c>
      <c r="Q12">
        <v>0</v>
      </c>
      <c r="R12">
        <v>2.0980800000000001E-5</v>
      </c>
      <c r="S12">
        <v>12.2104997635</v>
      </c>
      <c r="T12">
        <v>8.7121706009000004</v>
      </c>
      <c r="U12">
        <v>-3.0892381668</v>
      </c>
      <c r="V12">
        <v>5.5454835891999998</v>
      </c>
      <c r="W12">
        <v>-6.5705833435000001</v>
      </c>
      <c r="X12">
        <v>-3.3541483879</v>
      </c>
      <c r="Y12">
        <v>-4.3524031639</v>
      </c>
      <c r="Z12">
        <v>3.1502389908000001</v>
      </c>
      <c r="AA12">
        <v>-1.4008823633</v>
      </c>
      <c r="AB12">
        <v>4.0440082600000003E-2</v>
      </c>
      <c r="AC12">
        <v>-2.0452542304999999</v>
      </c>
      <c r="AD12">
        <v>1.9229404926</v>
      </c>
      <c r="AE12">
        <v>1.2937068899999999E-2</v>
      </c>
      <c r="AF12">
        <v>1.1809911728</v>
      </c>
      <c r="AG12">
        <v>-0.86671096089999999</v>
      </c>
      <c r="AH12">
        <v>-0.48978391290000001</v>
      </c>
      <c r="AI12">
        <v>-0.91231429580000001</v>
      </c>
      <c r="AJ12">
        <v>0.96324849130000001</v>
      </c>
      <c r="AK12">
        <v>0.49141618609999999</v>
      </c>
      <c r="AL12">
        <v>3.4052099999999999E-4</v>
      </c>
      <c r="AM12">
        <v>6.1822324999999997E-2</v>
      </c>
      <c r="AN12">
        <v>0.26059404019999999</v>
      </c>
      <c r="AO12">
        <v>0.2112287283</v>
      </c>
      <c r="AP12">
        <v>0.2865904272</v>
      </c>
      <c r="AQ12">
        <v>0.2865904272</v>
      </c>
      <c r="AR12">
        <v>14.9999407017</v>
      </c>
      <c r="AS12" t="s">
        <v>264</v>
      </c>
      <c r="AT12" t="s">
        <v>265</v>
      </c>
      <c r="AU12">
        <v>3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5.4836000000000003E-6</v>
      </c>
      <c r="S13">
        <v>16.2950153351</v>
      </c>
      <c r="T13">
        <v>5.8173303603999997</v>
      </c>
      <c r="U13">
        <v>3.0794939994999999</v>
      </c>
      <c r="V13">
        <v>10.867938995399999</v>
      </c>
      <c r="W13">
        <v>-9.7937746047999994</v>
      </c>
      <c r="X13">
        <v>-5.9240546226999999</v>
      </c>
      <c r="Y13">
        <v>-2.8561666012</v>
      </c>
      <c r="Z13">
        <v>2.3101985455</v>
      </c>
      <c r="AA13">
        <v>-1.8769668341000001</v>
      </c>
      <c r="AB13">
        <v>6.7414283800000002E-2</v>
      </c>
      <c r="AC13">
        <v>-2.5354082583999999</v>
      </c>
      <c r="AD13">
        <v>2.1674175261999999</v>
      </c>
      <c r="AE13">
        <v>1.4727816582</v>
      </c>
      <c r="AF13">
        <v>0.58975398540000001</v>
      </c>
      <c r="AG13">
        <v>-0.9614121914</v>
      </c>
      <c r="AH13">
        <v>0.22228896619999999</v>
      </c>
      <c r="AI13">
        <v>-0.80057233569999997</v>
      </c>
      <c r="AJ13">
        <v>0.32511127000000001</v>
      </c>
      <c r="AK13">
        <v>0.95423090460000004</v>
      </c>
      <c r="AL13">
        <v>2.9361369999999999E-4</v>
      </c>
      <c r="AM13">
        <v>5.7277210100000003E-2</v>
      </c>
      <c r="AN13">
        <v>0.3499819636</v>
      </c>
      <c r="AO13">
        <v>0.20712469519999999</v>
      </c>
      <c r="AP13">
        <v>0.39323854450000001</v>
      </c>
      <c r="AQ13">
        <v>0.39323854450000001</v>
      </c>
      <c r="AR13">
        <v>17.302278962399999</v>
      </c>
      <c r="AS13" t="s">
        <v>264</v>
      </c>
      <c r="AT13" t="s">
        <v>265</v>
      </c>
      <c r="AU13">
        <v>3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207</v>
      </c>
      <c r="AF1" t="s">
        <v>208</v>
      </c>
      <c r="AG1" s="17" t="s">
        <v>209</v>
      </c>
    </row>
    <row r="2" spans="1:33">
      <c r="A2" t="s">
        <v>260</v>
      </c>
      <c r="B2" t="s">
        <v>261</v>
      </c>
      <c r="C2" t="s">
        <v>279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-9.3841642229000009</v>
      </c>
      <c r="S2">
        <v>-64</v>
      </c>
      <c r="T2">
        <v>85.372501711500007</v>
      </c>
      <c r="U2">
        <v>118.925079619</v>
      </c>
      <c r="V2">
        <v>3.6177825930999998</v>
      </c>
      <c r="W2">
        <v>3.7408457999999999E-3</v>
      </c>
      <c r="X2">
        <v>-8.2115500000000003E-5</v>
      </c>
      <c r="Y2">
        <v>3.4265478983</v>
      </c>
      <c r="Z2">
        <v>84.368765134499995</v>
      </c>
      <c r="AA2">
        <v>69.845775874200001</v>
      </c>
      <c r="AB2">
        <v>334.1437376051</v>
      </c>
      <c r="AC2">
        <v>356.15606501960002</v>
      </c>
      <c r="AD2">
        <v>1</v>
      </c>
      <c r="AG2" s="17">
        <v>1</v>
      </c>
    </row>
    <row r="3" spans="1:33">
      <c r="A3" t="s">
        <v>569</v>
      </c>
      <c r="B3" t="s">
        <v>570</v>
      </c>
      <c r="C3" t="s">
        <v>578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-7.0381231672000002</v>
      </c>
      <c r="S3">
        <v>-48</v>
      </c>
      <c r="T3">
        <v>88.338091951400003</v>
      </c>
      <c r="U3">
        <v>113.65808644259999</v>
      </c>
      <c r="V3">
        <v>3.6253625622999999</v>
      </c>
      <c r="W3">
        <v>3.3959203999999999E-3</v>
      </c>
      <c r="X3">
        <v>-7.8982999999999999E-5</v>
      </c>
      <c r="Y3">
        <v>3.4266215808</v>
      </c>
      <c r="Z3">
        <v>87.334763425700004</v>
      </c>
      <c r="AA3">
        <v>71.147456202499995</v>
      </c>
      <c r="AB3">
        <v>325.8562606502</v>
      </c>
      <c r="AC3">
        <v>347.86879809620001</v>
      </c>
      <c r="AD3">
        <v>1</v>
      </c>
      <c r="AG3" s="17">
        <v>1</v>
      </c>
    </row>
    <row r="4" spans="1:33">
      <c r="A4" t="s">
        <v>572</v>
      </c>
      <c r="B4" t="s">
        <v>573</v>
      </c>
      <c r="C4" t="s">
        <v>579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-9.3841642229000009</v>
      </c>
      <c r="S4">
        <v>-64</v>
      </c>
      <c r="T4">
        <v>82.602580636599996</v>
      </c>
      <c r="U4">
        <v>115.1531666823</v>
      </c>
      <c r="V4">
        <v>3.5009071305999999</v>
      </c>
      <c r="W4">
        <v>2.8051501000000002E-3</v>
      </c>
      <c r="X4">
        <v>-6.7126300000000001E-5</v>
      </c>
      <c r="Y4">
        <v>3.3004222682000002</v>
      </c>
      <c r="Z4">
        <v>82.6023111529</v>
      </c>
      <c r="AA4">
        <v>68.193062471999994</v>
      </c>
      <c r="AB4">
        <v>336.92160821739998</v>
      </c>
      <c r="AC4">
        <v>357.5117558952</v>
      </c>
      <c r="AD4">
        <v>1</v>
      </c>
      <c r="AG4" s="17">
        <v>1</v>
      </c>
    </row>
    <row r="5" spans="1:33">
      <c r="A5" t="s">
        <v>575</v>
      </c>
      <c r="B5" t="s">
        <v>576</v>
      </c>
      <c r="C5" t="s">
        <v>580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-10.557184750699999</v>
      </c>
      <c r="S5">
        <v>-72</v>
      </c>
      <c r="T5">
        <v>78.290162775900001</v>
      </c>
      <c r="U5">
        <v>115.284517846</v>
      </c>
      <c r="V5">
        <v>3.5423136980000001</v>
      </c>
      <c r="W5">
        <v>2.8536121000000002E-3</v>
      </c>
      <c r="X5">
        <v>-7.1779000000000005E-5</v>
      </c>
      <c r="Y5">
        <v>3.3497553835999998</v>
      </c>
      <c r="Z5">
        <v>77.588569624900003</v>
      </c>
      <c r="AA5">
        <v>64.6976299918</v>
      </c>
      <c r="AB5">
        <v>331.5257470537</v>
      </c>
      <c r="AC5">
        <v>353.14132091290003</v>
      </c>
      <c r="AD5">
        <v>1</v>
      </c>
      <c r="AG5" s="17">
        <v>1</v>
      </c>
    </row>
    <row r="6" spans="1:33">
      <c r="A6" t="s">
        <v>601</v>
      </c>
      <c r="B6" t="s">
        <v>602</v>
      </c>
      <c r="C6" t="s">
        <v>604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-7.0381231672000002</v>
      </c>
      <c r="S6">
        <v>-48</v>
      </c>
      <c r="T6">
        <v>83.671731683900006</v>
      </c>
      <c r="U6">
        <v>107.8421708815</v>
      </c>
      <c r="V6">
        <v>3.4565025917000001</v>
      </c>
      <c r="W6">
        <v>2.7290028000000002E-3</v>
      </c>
      <c r="X6">
        <v>-6.2157100000000002E-5</v>
      </c>
      <c r="Y6">
        <v>3.2625394631</v>
      </c>
      <c r="Z6">
        <v>83.470686273499993</v>
      </c>
      <c r="AA6">
        <v>68.348896008699995</v>
      </c>
      <c r="AB6">
        <v>332.88341369450001</v>
      </c>
      <c r="AC6">
        <v>353.9585852061</v>
      </c>
      <c r="AD6">
        <v>1</v>
      </c>
      <c r="AG6" s="17">
        <v>1</v>
      </c>
    </row>
    <row r="7" spans="1:33">
      <c r="A7" t="s">
        <v>605</v>
      </c>
      <c r="B7" t="s">
        <v>606</v>
      </c>
      <c r="C7" t="s">
        <v>613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-8.2111436950000005</v>
      </c>
      <c r="S7">
        <v>-56</v>
      </c>
      <c r="T7">
        <v>90.310058581000007</v>
      </c>
      <c r="U7">
        <v>119.66577443529999</v>
      </c>
      <c r="V7">
        <v>3.5987230169000002</v>
      </c>
      <c r="W7">
        <v>2.3323346999999999E-3</v>
      </c>
      <c r="X7">
        <v>-6.6224700000000003E-5</v>
      </c>
      <c r="Y7">
        <v>3.3561682871</v>
      </c>
      <c r="Z7">
        <v>90.209385502999993</v>
      </c>
      <c r="AA7">
        <v>74.802366272399993</v>
      </c>
      <c r="AB7">
        <v>344.55696065080002</v>
      </c>
      <c r="AC7">
        <v>366.03327475250001</v>
      </c>
      <c r="AD7">
        <v>1</v>
      </c>
      <c r="AG7" s="17">
        <v>1</v>
      </c>
    </row>
    <row r="8" spans="1:33">
      <c r="A8" t="s">
        <v>631</v>
      </c>
      <c r="B8" t="s">
        <v>632</v>
      </c>
      <c r="C8" t="s">
        <v>633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-9.3841642229000009</v>
      </c>
      <c r="S8">
        <v>-64</v>
      </c>
      <c r="T8">
        <v>86.769732095999998</v>
      </c>
      <c r="U8">
        <v>119.82121185939999</v>
      </c>
      <c r="V8">
        <v>3.5552547494</v>
      </c>
      <c r="W8">
        <v>2.8729328999999998E-3</v>
      </c>
      <c r="X8">
        <v>-7.0931000000000002E-5</v>
      </c>
      <c r="Y8">
        <v>3.3531619775000001</v>
      </c>
      <c r="Z8">
        <v>86.0666971104</v>
      </c>
      <c r="AA8">
        <v>69.606185025599999</v>
      </c>
      <c r="AB8">
        <v>334.40026017939999</v>
      </c>
      <c r="AC8">
        <v>356.2600880119</v>
      </c>
      <c r="AD8">
        <v>1</v>
      </c>
      <c r="AG8" s="17">
        <v>1</v>
      </c>
    </row>
    <row r="9" spans="1:33">
      <c r="A9" t="s">
        <v>646</v>
      </c>
      <c r="B9" t="s">
        <v>647</v>
      </c>
      <c r="C9" t="s">
        <v>649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-11.7302052786</v>
      </c>
      <c r="S9">
        <v>-80</v>
      </c>
      <c r="T9">
        <v>83.081106141299998</v>
      </c>
      <c r="U9">
        <v>124.2661491655</v>
      </c>
      <c r="V9">
        <v>3.5574894917000002</v>
      </c>
      <c r="W9">
        <v>3.0766862E-3</v>
      </c>
      <c r="X9">
        <v>-7.5396700000000003E-5</v>
      </c>
      <c r="Y9">
        <v>3.3752507894999999</v>
      </c>
      <c r="Z9">
        <v>81.767142720099997</v>
      </c>
      <c r="AA9">
        <v>61.4437170287</v>
      </c>
      <c r="AB9">
        <v>330.28607160349998</v>
      </c>
      <c r="AC9">
        <v>352.82463255049998</v>
      </c>
      <c r="AD9">
        <v>1</v>
      </c>
      <c r="AG9" s="17">
        <v>1</v>
      </c>
    </row>
    <row r="10" spans="1:33">
      <c r="A10" t="s">
        <v>658</v>
      </c>
      <c r="B10" t="s">
        <v>659</v>
      </c>
      <c r="C10" t="s">
        <v>661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-7.0381231672000002</v>
      </c>
      <c r="S10">
        <v>-48</v>
      </c>
      <c r="T10">
        <v>86.116814684299996</v>
      </c>
      <c r="U10">
        <v>110.6709149313</v>
      </c>
      <c r="V10">
        <v>3.516783427</v>
      </c>
      <c r="W10">
        <v>3.4408205E-3</v>
      </c>
      <c r="X10">
        <v>-7.7482299999999995E-5</v>
      </c>
      <c r="Y10">
        <v>3.3442181896999998</v>
      </c>
      <c r="Z10">
        <v>85.313491793500006</v>
      </c>
      <c r="AA10">
        <v>69.045870402099993</v>
      </c>
      <c r="AB10">
        <v>311.49500003830002</v>
      </c>
      <c r="AC10">
        <v>333.4146353031</v>
      </c>
      <c r="AD10">
        <v>1</v>
      </c>
      <c r="AG10" s="17">
        <v>1</v>
      </c>
    </row>
    <row r="11" spans="1:33">
      <c r="A11" t="s">
        <v>673</v>
      </c>
      <c r="B11" t="s">
        <v>674</v>
      </c>
      <c r="C11" t="s">
        <v>675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-9.3841642229000009</v>
      </c>
      <c r="S11">
        <v>-64</v>
      </c>
      <c r="T11">
        <v>88.813907161700001</v>
      </c>
      <c r="U11">
        <v>122.03612743390001</v>
      </c>
      <c r="V11">
        <v>3.5709095547</v>
      </c>
      <c r="W11">
        <v>2.6122483999999999E-3</v>
      </c>
      <c r="X11">
        <v>-6.98701E-5</v>
      </c>
      <c r="Y11">
        <v>3.3580486765000002</v>
      </c>
      <c r="Z11">
        <v>88.512172368500003</v>
      </c>
      <c r="AA11">
        <v>70.119501869800004</v>
      </c>
      <c r="AB11">
        <v>334.9274134497</v>
      </c>
      <c r="AC11">
        <v>356.10076268559999</v>
      </c>
      <c r="AD11">
        <v>1</v>
      </c>
      <c r="AG11" s="17">
        <v>1</v>
      </c>
    </row>
    <row r="12" spans="1:33">
      <c r="A12" t="s">
        <v>691</v>
      </c>
      <c r="B12" t="s">
        <v>692</v>
      </c>
      <c r="C12" t="s">
        <v>693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682</v>
      </c>
      <c r="L12" t="s">
        <v>683</v>
      </c>
      <c r="M12" t="s">
        <v>684</v>
      </c>
      <c r="N12" t="s">
        <v>685</v>
      </c>
      <c r="O12" t="s">
        <v>686</v>
      </c>
      <c r="P12">
        <v>0</v>
      </c>
      <c r="Q12">
        <v>0</v>
      </c>
      <c r="R12">
        <v>-7.0381231672000002</v>
      </c>
      <c r="S12">
        <v>-48</v>
      </c>
      <c r="T12">
        <v>85.952867580499998</v>
      </c>
      <c r="U12">
        <v>111.5610472373</v>
      </c>
      <c r="V12">
        <v>3.6636419831999998</v>
      </c>
      <c r="W12">
        <v>3.0094477E-3</v>
      </c>
      <c r="X12">
        <v>-8.0056100000000001E-5</v>
      </c>
      <c r="Y12">
        <v>3.4520601169999998</v>
      </c>
      <c r="Z12">
        <v>85.651855230600006</v>
      </c>
      <c r="AA12">
        <v>71.360532504299997</v>
      </c>
      <c r="AB12">
        <v>320.7870256237</v>
      </c>
      <c r="AC12">
        <v>342.79653724809998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-7.0381231672000002</v>
      </c>
      <c r="S13">
        <v>-48</v>
      </c>
      <c r="T13">
        <v>91.4999571699</v>
      </c>
      <c r="U13">
        <v>116.6984715942</v>
      </c>
      <c r="V13">
        <v>3.6009583294</v>
      </c>
      <c r="W13">
        <v>2.4355658000000001E-3</v>
      </c>
      <c r="X13">
        <v>-7.1213900000000006E-5</v>
      </c>
      <c r="Y13">
        <v>3.3654662326999998</v>
      </c>
      <c r="Z13">
        <v>88.695874641200007</v>
      </c>
      <c r="AA13">
        <v>71.034142858300001</v>
      </c>
      <c r="AB13">
        <v>326.85512404159999</v>
      </c>
      <c r="AC13">
        <v>348.33735626279997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291</v>
      </c>
      <c r="AD1" t="s">
        <v>292</v>
      </c>
      <c r="AE1" t="s">
        <v>293</v>
      </c>
      <c r="AF1" t="s">
        <v>294</v>
      </c>
      <c r="AG1" t="s">
        <v>295</v>
      </c>
      <c r="AH1" t="s">
        <v>296</v>
      </c>
      <c r="AI1" t="s">
        <v>297</v>
      </c>
      <c r="AJ1" t="s">
        <v>298</v>
      </c>
      <c r="AK1" t="s">
        <v>299</v>
      </c>
      <c r="AL1" t="s">
        <v>300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314</v>
      </c>
      <c r="BA1" t="s">
        <v>315</v>
      </c>
      <c r="BB1" t="s">
        <v>316</v>
      </c>
      <c r="BC1" t="s">
        <v>317</v>
      </c>
      <c r="BD1" t="s">
        <v>318</v>
      </c>
      <c r="BE1" t="s">
        <v>319</v>
      </c>
      <c r="BF1" t="s">
        <v>320</v>
      </c>
      <c r="BG1" t="s">
        <v>321</v>
      </c>
      <c r="BH1" t="s">
        <v>322</v>
      </c>
      <c r="BI1" t="s">
        <v>323</v>
      </c>
      <c r="BJ1" t="s">
        <v>324</v>
      </c>
      <c r="BK1" t="s">
        <v>325</v>
      </c>
      <c r="BL1" t="s">
        <v>326</v>
      </c>
      <c r="BM1" t="s">
        <v>327</v>
      </c>
      <c r="BN1" t="s">
        <v>328</v>
      </c>
      <c r="BO1" t="s">
        <v>329</v>
      </c>
      <c r="BP1" t="s">
        <v>330</v>
      </c>
      <c r="BQ1" t="s">
        <v>331</v>
      </c>
      <c r="BR1" t="s">
        <v>332</v>
      </c>
      <c r="BS1" t="s">
        <v>333</v>
      </c>
      <c r="BT1" t="s">
        <v>334</v>
      </c>
      <c r="BU1" t="s">
        <v>335</v>
      </c>
      <c r="BV1" t="s">
        <v>336</v>
      </c>
      <c r="BW1" t="s">
        <v>337</v>
      </c>
      <c r="BX1" t="s">
        <v>338</v>
      </c>
      <c r="BY1" t="s">
        <v>339</v>
      </c>
      <c r="BZ1" t="s">
        <v>340</v>
      </c>
      <c r="CA1" t="s">
        <v>341</v>
      </c>
      <c r="CB1" t="s">
        <v>342</v>
      </c>
      <c r="CC1" t="s">
        <v>343</v>
      </c>
      <c r="CD1" t="s">
        <v>344</v>
      </c>
      <c r="CE1" t="s">
        <v>345</v>
      </c>
      <c r="CF1" t="s">
        <v>346</v>
      </c>
      <c r="CG1" t="s">
        <v>347</v>
      </c>
      <c r="CH1" t="s">
        <v>348</v>
      </c>
      <c r="CI1" t="s">
        <v>349</v>
      </c>
      <c r="CJ1" t="s">
        <v>350</v>
      </c>
      <c r="CK1" t="s">
        <v>351</v>
      </c>
      <c r="CL1" t="s">
        <v>352</v>
      </c>
      <c r="CM1" t="s">
        <v>353</v>
      </c>
      <c r="CN1" t="s">
        <v>354</v>
      </c>
      <c r="CO1" t="s">
        <v>355</v>
      </c>
      <c r="CP1" t="s">
        <v>356</v>
      </c>
      <c r="CQ1" t="s">
        <v>357</v>
      </c>
      <c r="CR1" t="s">
        <v>358</v>
      </c>
      <c r="CS1" t="s">
        <v>359</v>
      </c>
      <c r="CT1" t="s">
        <v>360</v>
      </c>
      <c r="CU1" t="s">
        <v>361</v>
      </c>
      <c r="CV1" t="s">
        <v>362</v>
      </c>
      <c r="CW1" t="s">
        <v>363</v>
      </c>
      <c r="CX1" t="s">
        <v>364</v>
      </c>
      <c r="CY1" t="s">
        <v>365</v>
      </c>
      <c r="CZ1" t="s">
        <v>366</v>
      </c>
      <c r="DA1" t="s">
        <v>367</v>
      </c>
      <c r="DB1" t="s">
        <v>368</v>
      </c>
      <c r="DC1" t="s">
        <v>369</v>
      </c>
      <c r="DD1" t="s">
        <v>370</v>
      </c>
      <c r="DE1" t="s">
        <v>371</v>
      </c>
      <c r="DF1" t="s">
        <v>372</v>
      </c>
      <c r="DG1" t="s">
        <v>373</v>
      </c>
      <c r="DH1" t="s">
        <v>374</v>
      </c>
      <c r="DI1" t="s">
        <v>375</v>
      </c>
      <c r="DJ1" t="s">
        <v>376</v>
      </c>
      <c r="DK1" t="s">
        <v>377</v>
      </c>
      <c r="DL1" t="s">
        <v>378</v>
      </c>
      <c r="DM1" t="s">
        <v>379</v>
      </c>
      <c r="DN1" t="s">
        <v>380</v>
      </c>
      <c r="DO1" t="s">
        <v>381</v>
      </c>
      <c r="DP1" t="s">
        <v>382</v>
      </c>
      <c r="DQ1" t="s">
        <v>383</v>
      </c>
      <c r="DR1" t="s">
        <v>384</v>
      </c>
      <c r="DS1" t="s">
        <v>385</v>
      </c>
      <c r="DT1" t="s">
        <v>386</v>
      </c>
      <c r="DU1" t="s">
        <v>387</v>
      </c>
      <c r="DV1" t="s">
        <v>388</v>
      </c>
      <c r="DW1" t="s">
        <v>389</v>
      </c>
      <c r="DX1" t="s">
        <v>390</v>
      </c>
      <c r="DY1" t="s">
        <v>391</v>
      </c>
      <c r="DZ1" t="s">
        <v>392</v>
      </c>
      <c r="EA1" t="s">
        <v>393</v>
      </c>
      <c r="EB1" t="s">
        <v>394</v>
      </c>
      <c r="EC1" t="s">
        <v>395</v>
      </c>
      <c r="ED1" t="s">
        <v>396</v>
      </c>
      <c r="EE1" t="s">
        <v>397</v>
      </c>
      <c r="EF1" t="s">
        <v>398</v>
      </c>
      <c r="EG1" t="s">
        <v>399</v>
      </c>
      <c r="EH1" t="s">
        <v>400</v>
      </c>
      <c r="EI1" t="s">
        <v>401</v>
      </c>
      <c r="EJ1" t="s">
        <v>402</v>
      </c>
      <c r="EK1" t="s">
        <v>403</v>
      </c>
      <c r="EL1" t="s">
        <v>404</v>
      </c>
      <c r="EM1" t="s">
        <v>405</v>
      </c>
      <c r="EN1" t="s">
        <v>406</v>
      </c>
      <c r="EO1" t="s">
        <v>407</v>
      </c>
      <c r="EP1" t="s">
        <v>408</v>
      </c>
      <c r="EQ1" t="s">
        <v>409</v>
      </c>
      <c r="ER1" t="s">
        <v>410</v>
      </c>
      <c r="ES1" t="s">
        <v>411</v>
      </c>
      <c r="ET1" t="s">
        <v>412</v>
      </c>
      <c r="EU1" t="s">
        <v>413</v>
      </c>
      <c r="EV1" t="s">
        <v>414</v>
      </c>
      <c r="EW1" t="s">
        <v>415</v>
      </c>
      <c r="EX1" t="s">
        <v>416</v>
      </c>
      <c r="EY1" t="s">
        <v>417</v>
      </c>
      <c r="EZ1" t="s">
        <v>418</v>
      </c>
      <c r="FA1" t="s">
        <v>419</v>
      </c>
      <c r="FB1" t="s">
        <v>420</v>
      </c>
      <c r="FC1" t="s">
        <v>421</v>
      </c>
      <c r="FD1" t="s">
        <v>422</v>
      </c>
      <c r="FE1" t="s">
        <v>423</v>
      </c>
      <c r="FF1" t="s">
        <v>424</v>
      </c>
      <c r="FG1" t="s">
        <v>425</v>
      </c>
      <c r="FH1" t="s">
        <v>426</v>
      </c>
      <c r="FI1" t="s">
        <v>427</v>
      </c>
      <c r="FJ1" t="s">
        <v>428</v>
      </c>
      <c r="FK1" t="s">
        <v>429</v>
      </c>
      <c r="FL1" t="s">
        <v>430</v>
      </c>
      <c r="FM1" t="s">
        <v>431</v>
      </c>
      <c r="FN1" t="s">
        <v>432</v>
      </c>
      <c r="FO1" t="s">
        <v>433</v>
      </c>
      <c r="FP1" t="s">
        <v>434</v>
      </c>
      <c r="FQ1" t="s">
        <v>435</v>
      </c>
      <c r="FR1" t="s">
        <v>436</v>
      </c>
      <c r="FS1" t="s">
        <v>437</v>
      </c>
      <c r="FT1" t="s">
        <v>438</v>
      </c>
      <c r="FU1" t="s">
        <v>439</v>
      </c>
      <c r="FV1" t="s">
        <v>440</v>
      </c>
      <c r="FW1" t="s">
        <v>441</v>
      </c>
      <c r="FX1" t="s">
        <v>442</v>
      </c>
      <c r="FY1" t="s">
        <v>443</v>
      </c>
      <c r="FZ1" t="s">
        <v>444</v>
      </c>
      <c r="GA1" t="s">
        <v>445</v>
      </c>
      <c r="GB1" t="s">
        <v>446</v>
      </c>
      <c r="GC1" t="s">
        <v>447</v>
      </c>
      <c r="GD1" t="s">
        <v>448</v>
      </c>
      <c r="GE1" t="s">
        <v>449</v>
      </c>
      <c r="GF1" t="s">
        <v>450</v>
      </c>
      <c r="GG1" t="s">
        <v>451</v>
      </c>
      <c r="GH1" t="s">
        <v>452</v>
      </c>
      <c r="GI1" t="s">
        <v>453</v>
      </c>
      <c r="GJ1" t="s">
        <v>454</v>
      </c>
      <c r="GK1" t="s">
        <v>455</v>
      </c>
      <c r="GL1" t="s">
        <v>456</v>
      </c>
      <c r="GM1" t="s">
        <v>457</v>
      </c>
      <c r="GN1" t="s">
        <v>458</v>
      </c>
      <c r="GO1" t="s">
        <v>459</v>
      </c>
      <c r="GP1" t="s">
        <v>460</v>
      </c>
      <c r="GQ1" t="s">
        <v>461</v>
      </c>
      <c r="GR1" t="s">
        <v>462</v>
      </c>
      <c r="GS1" t="s">
        <v>463</v>
      </c>
      <c r="GT1" t="s">
        <v>464</v>
      </c>
      <c r="GU1" t="s">
        <v>465</v>
      </c>
      <c r="GV1" t="s">
        <v>466</v>
      </c>
      <c r="GW1" t="s">
        <v>467</v>
      </c>
      <c r="GX1" t="s">
        <v>468</v>
      </c>
      <c r="GY1" t="s">
        <v>469</v>
      </c>
      <c r="GZ1" t="s">
        <v>470</v>
      </c>
      <c r="HA1" t="s">
        <v>471</v>
      </c>
      <c r="HB1" t="s">
        <v>472</v>
      </c>
      <c r="HC1" t="s">
        <v>473</v>
      </c>
      <c r="HD1" t="s">
        <v>474</v>
      </c>
      <c r="HE1" t="s">
        <v>475</v>
      </c>
      <c r="HF1" t="s">
        <v>476</v>
      </c>
      <c r="HG1" t="s">
        <v>477</v>
      </c>
      <c r="HH1" t="s">
        <v>478</v>
      </c>
      <c r="HI1" t="s">
        <v>479</v>
      </c>
      <c r="HJ1" t="s">
        <v>480</v>
      </c>
      <c r="HK1" t="s">
        <v>481</v>
      </c>
      <c r="HL1" t="s">
        <v>482</v>
      </c>
      <c r="HM1" t="s">
        <v>483</v>
      </c>
      <c r="HN1" t="s">
        <v>484</v>
      </c>
      <c r="HO1" t="s">
        <v>485</v>
      </c>
      <c r="HP1" t="s">
        <v>486</v>
      </c>
      <c r="HQ1" t="s">
        <v>487</v>
      </c>
      <c r="HR1" t="s">
        <v>488</v>
      </c>
      <c r="HS1" t="s">
        <v>489</v>
      </c>
      <c r="HT1" t="s">
        <v>490</v>
      </c>
      <c r="HU1" t="s">
        <v>491</v>
      </c>
      <c r="HV1" t="s">
        <v>492</v>
      </c>
      <c r="HW1" t="s">
        <v>493</v>
      </c>
      <c r="HX1" t="s">
        <v>494</v>
      </c>
      <c r="HY1" t="s">
        <v>495</v>
      </c>
      <c r="HZ1" t="s">
        <v>496</v>
      </c>
      <c r="IA1" t="s">
        <v>497</v>
      </c>
      <c r="IB1" t="s">
        <v>498</v>
      </c>
      <c r="IC1" t="s">
        <v>499</v>
      </c>
      <c r="ID1" t="s">
        <v>500</v>
      </c>
      <c r="IE1" t="s">
        <v>501</v>
      </c>
      <c r="IF1" t="s">
        <v>502</v>
      </c>
      <c r="IG1" t="s">
        <v>503</v>
      </c>
      <c r="IH1" t="s">
        <v>504</v>
      </c>
      <c r="II1" t="s">
        <v>505</v>
      </c>
      <c r="IJ1" t="s">
        <v>506</v>
      </c>
      <c r="IK1" t="s">
        <v>507</v>
      </c>
      <c r="IL1" t="s">
        <v>508</v>
      </c>
      <c r="IM1" t="s">
        <v>509</v>
      </c>
      <c r="IN1" t="s">
        <v>510</v>
      </c>
      <c r="IO1" t="s">
        <v>511</v>
      </c>
      <c r="IP1" t="s">
        <v>512</v>
      </c>
      <c r="IQ1" t="s">
        <v>513</v>
      </c>
      <c r="IR1" t="s">
        <v>514</v>
      </c>
      <c r="IS1" t="s">
        <v>515</v>
      </c>
      <c r="IT1" t="s">
        <v>516</v>
      </c>
      <c r="IU1" t="s">
        <v>517</v>
      </c>
      <c r="IV1" t="s">
        <v>518</v>
      </c>
      <c r="IW1" t="s">
        <v>519</v>
      </c>
      <c r="IX1" t="s">
        <v>520</v>
      </c>
      <c r="IY1" t="s">
        <v>521</v>
      </c>
      <c r="IZ1" t="s">
        <v>522</v>
      </c>
      <c r="JA1" t="s">
        <v>523</v>
      </c>
      <c r="JB1" t="s">
        <v>524</v>
      </c>
      <c r="JC1" t="s">
        <v>525</v>
      </c>
      <c r="JD1" t="s">
        <v>526</v>
      </c>
      <c r="JE1" t="s">
        <v>527</v>
      </c>
      <c r="JF1" t="s">
        <v>528</v>
      </c>
      <c r="JG1" t="s">
        <v>529</v>
      </c>
      <c r="JH1" t="s">
        <v>530</v>
      </c>
      <c r="JI1" t="s">
        <v>531</v>
      </c>
      <c r="JJ1" t="s">
        <v>532</v>
      </c>
      <c r="JK1" t="s">
        <v>533</v>
      </c>
      <c r="JL1" t="s">
        <v>273</v>
      </c>
      <c r="JM1" t="s">
        <v>534</v>
      </c>
      <c r="JN1" t="s">
        <v>535</v>
      </c>
      <c r="JO1" t="s">
        <v>536</v>
      </c>
      <c r="JP1" t="s">
        <v>537</v>
      </c>
      <c r="JQ1" t="s">
        <v>538</v>
      </c>
      <c r="JR1" s="17" t="s">
        <v>539</v>
      </c>
      <c r="JS1" s="17" t="s">
        <v>207</v>
      </c>
      <c r="JT1" s="17" t="s">
        <v>208</v>
      </c>
      <c r="JU1" s="17" t="s">
        <v>209</v>
      </c>
    </row>
    <row r="2" spans="1:281">
      <c r="A2" t="s">
        <v>540</v>
      </c>
      <c r="B2" t="s">
        <v>541</v>
      </c>
      <c r="C2" t="s">
        <v>542</v>
      </c>
      <c r="D2" t="s">
        <v>213</v>
      </c>
      <c r="E2">
        <v>3</v>
      </c>
      <c r="F2" t="s">
        <v>214</v>
      </c>
      <c r="G2" t="s">
        <v>215</v>
      </c>
      <c r="H2" t="s">
        <v>543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0</v>
      </c>
      <c r="S2">
        <v>0.59999999940000004</v>
      </c>
      <c r="T2">
        <v>0.50000000010000001</v>
      </c>
      <c r="U2">
        <v>0.59999999940000004</v>
      </c>
      <c r="V2">
        <v>0.59999999940000004</v>
      </c>
      <c r="W2">
        <v>0.59999999940000004</v>
      </c>
      <c r="X2">
        <v>0.69999999869999996</v>
      </c>
      <c r="Y2">
        <v>0.69999999869999996</v>
      </c>
      <c r="Z2">
        <v>1.0000000002</v>
      </c>
      <c r="AA2">
        <v>0.79999999980000003</v>
      </c>
      <c r="AB2">
        <v>0.79999999980000003</v>
      </c>
      <c r="AC2">
        <v>0.79999999980000003</v>
      </c>
      <c r="AD2">
        <v>0.79999999980000003</v>
      </c>
      <c r="AE2">
        <v>0.89999999909999995</v>
      </c>
      <c r="AF2">
        <v>0.89999999909999995</v>
      </c>
      <c r="AG2">
        <v>1.0000000002</v>
      </c>
      <c r="AH2">
        <v>1.0000000002</v>
      </c>
      <c r="AI2">
        <v>4.3999999998000003</v>
      </c>
      <c r="AJ2">
        <v>8.4999999999</v>
      </c>
      <c r="AK2">
        <v>15.299999999100001</v>
      </c>
      <c r="AL2">
        <v>22.600000000200001</v>
      </c>
      <c r="AM2">
        <v>29.599999999800001</v>
      </c>
      <c r="AN2">
        <v>36.399999999000002</v>
      </c>
      <c r="AO2">
        <v>43.999999999899998</v>
      </c>
      <c r="AP2">
        <v>51.7</v>
      </c>
      <c r="AQ2">
        <v>59.499999999400004</v>
      </c>
      <c r="AR2">
        <v>67.6000000003</v>
      </c>
      <c r="AS2">
        <v>75.899999999800002</v>
      </c>
      <c r="AT2">
        <v>83.499999998800007</v>
      </c>
      <c r="AU2">
        <v>91.199999998899997</v>
      </c>
      <c r="AV2">
        <v>99.599999999600001</v>
      </c>
      <c r="AW2">
        <v>108.2999999999</v>
      </c>
      <c r="AX2">
        <v>116.8999999991</v>
      </c>
      <c r="AY2">
        <v>125.5999999994</v>
      </c>
      <c r="AZ2">
        <v>134.2000000004</v>
      </c>
      <c r="BA2">
        <v>141.9999999998</v>
      </c>
      <c r="BB2">
        <v>150.19999999999999</v>
      </c>
      <c r="BC2">
        <v>159.4000000005</v>
      </c>
      <c r="BD2">
        <v>168.099999999</v>
      </c>
      <c r="BE2">
        <v>176.79999999930001</v>
      </c>
      <c r="BF2">
        <v>185.4000000003</v>
      </c>
      <c r="BG2">
        <v>193.1000000004</v>
      </c>
      <c r="BH2">
        <v>201.49999999920001</v>
      </c>
      <c r="BI2">
        <v>210.29999999879999</v>
      </c>
      <c r="BJ2">
        <v>218.69999999940001</v>
      </c>
      <c r="BK2">
        <v>227.10000000010001</v>
      </c>
      <c r="BL2">
        <v>235.69999999929999</v>
      </c>
      <c r="BM2">
        <v>243.59999999979999</v>
      </c>
      <c r="BN2">
        <v>251.59999999959999</v>
      </c>
      <c r="BO2">
        <v>259.59999999939998</v>
      </c>
      <c r="BP2">
        <v>267.59999999920001</v>
      </c>
      <c r="BQ2">
        <v>275.89999999870003</v>
      </c>
      <c r="BR2">
        <v>283.7</v>
      </c>
      <c r="BS2">
        <v>291.60000000050002</v>
      </c>
      <c r="BT2">
        <v>298.69999999940001</v>
      </c>
      <c r="BU2">
        <v>306.39999999949998</v>
      </c>
      <c r="BV2">
        <v>313.39999999909998</v>
      </c>
      <c r="BW2">
        <v>320.79999999950002</v>
      </c>
      <c r="BX2">
        <v>328.0999999988</v>
      </c>
      <c r="BY2">
        <v>335.60000000029999</v>
      </c>
      <c r="BZ2">
        <v>342.49999999879998</v>
      </c>
      <c r="CA2">
        <v>349.19999999869998</v>
      </c>
      <c r="CB2">
        <v>356.20000000020002</v>
      </c>
      <c r="CC2">
        <v>362.69999999970003</v>
      </c>
      <c r="CD2">
        <v>369.09999999989998</v>
      </c>
      <c r="CE2">
        <v>375.50000000009999</v>
      </c>
      <c r="CF2">
        <v>381.99999999959999</v>
      </c>
      <c r="CG2">
        <v>388.4999999991</v>
      </c>
      <c r="CH2">
        <v>394.59999999960002</v>
      </c>
      <c r="CI2">
        <v>400.40000000039998</v>
      </c>
      <c r="CJ2">
        <v>406.4999999991</v>
      </c>
      <c r="CK2">
        <v>412.39999999930001</v>
      </c>
      <c r="CL2">
        <v>417.99999999969998</v>
      </c>
      <c r="CM2">
        <v>423.39999999970001</v>
      </c>
      <c r="CN2">
        <v>429.20000000049998</v>
      </c>
      <c r="CO2">
        <v>434.90000000020001</v>
      </c>
      <c r="CP2">
        <v>440.30000000019999</v>
      </c>
      <c r="CQ2">
        <v>445.59999999910002</v>
      </c>
      <c r="CR2">
        <v>450.39999999970001</v>
      </c>
      <c r="CS2">
        <v>453.79999999929998</v>
      </c>
      <c r="CT2">
        <v>456.00000000009999</v>
      </c>
      <c r="CU2">
        <v>456.00000000009999</v>
      </c>
      <c r="CV2">
        <v>456.09999999939998</v>
      </c>
      <c r="CW2">
        <v>456.09999999939998</v>
      </c>
      <c r="CX2">
        <v>456.09999999939998</v>
      </c>
      <c r="CY2">
        <v>456.29999999979998</v>
      </c>
      <c r="CZ2">
        <v>456.19999999869998</v>
      </c>
      <c r="DA2">
        <v>456.19999999869998</v>
      </c>
      <c r="DB2">
        <v>456.00000000009999</v>
      </c>
      <c r="DC2">
        <v>456.19999999869998</v>
      </c>
      <c r="DD2">
        <v>456.19999999869998</v>
      </c>
      <c r="DE2">
        <v>456.09999999939998</v>
      </c>
      <c r="DF2">
        <v>456.29999999979998</v>
      </c>
      <c r="DG2">
        <v>456.29999999979998</v>
      </c>
      <c r="DH2">
        <v>0.89999999909999995</v>
      </c>
      <c r="DI2">
        <v>1.5999999996000001</v>
      </c>
      <c r="DJ2">
        <v>1.5999999996000001</v>
      </c>
      <c r="DK2">
        <v>1.6999999989000001</v>
      </c>
      <c r="DL2">
        <v>1.5999999996000001</v>
      </c>
      <c r="DM2">
        <v>1.5000000003</v>
      </c>
      <c r="DN2">
        <v>1.5999999996000001</v>
      </c>
      <c r="DO2">
        <v>1.5999999996000001</v>
      </c>
      <c r="DP2">
        <v>1.8999999993000001</v>
      </c>
      <c r="DQ2">
        <v>1.5999999996000001</v>
      </c>
      <c r="DR2">
        <v>1.8999999993000001</v>
      </c>
      <c r="DS2">
        <v>1.8</v>
      </c>
      <c r="DT2">
        <v>1.8</v>
      </c>
      <c r="DU2">
        <v>1.8999999993000001</v>
      </c>
      <c r="DV2">
        <v>1.8999999993000001</v>
      </c>
      <c r="DW2">
        <v>2.0999999997000001</v>
      </c>
      <c r="DX2">
        <v>3.6</v>
      </c>
      <c r="DY2">
        <v>7.8999999987000002</v>
      </c>
      <c r="DZ2">
        <v>13.9999999992</v>
      </c>
      <c r="EA2">
        <v>20.9999999988</v>
      </c>
      <c r="EB2">
        <v>28.299999999899999</v>
      </c>
      <c r="EC2">
        <v>34.899999998699997</v>
      </c>
      <c r="ED2">
        <v>42.199999999900001</v>
      </c>
      <c r="EE2">
        <v>50.4000000001</v>
      </c>
      <c r="EF2">
        <v>57.999999999099998</v>
      </c>
      <c r="EG2">
        <v>65.899999999599999</v>
      </c>
      <c r="EH2">
        <v>74.099999999800005</v>
      </c>
      <c r="EI2">
        <v>82.000000000300005</v>
      </c>
      <c r="EJ2">
        <v>89.599999999299996</v>
      </c>
      <c r="EK2">
        <v>97.799999999600004</v>
      </c>
      <c r="EL2">
        <v>106.2999999995</v>
      </c>
      <c r="EM2">
        <v>114.9999999998</v>
      </c>
      <c r="EN2">
        <v>123.599999999</v>
      </c>
      <c r="EO2">
        <v>132.40000000040001</v>
      </c>
      <c r="EP2">
        <v>140.09999999870001</v>
      </c>
      <c r="EQ2">
        <v>148.90000000009999</v>
      </c>
      <c r="ER2">
        <v>157.4999999993</v>
      </c>
      <c r="ES2">
        <v>166.29999999899999</v>
      </c>
      <c r="ET2">
        <v>175.29999999899999</v>
      </c>
      <c r="EU2">
        <v>184.1000000004</v>
      </c>
      <c r="EV2">
        <v>191.69999999940001</v>
      </c>
      <c r="EW2">
        <v>200.7999999987</v>
      </c>
      <c r="EX2">
        <v>209.19999999929999</v>
      </c>
      <c r="EY2">
        <v>217.8999999996</v>
      </c>
      <c r="EZ2">
        <v>226.69999999929999</v>
      </c>
      <c r="FA2">
        <v>235.09999999990001</v>
      </c>
      <c r="FB2">
        <v>242.89999999930001</v>
      </c>
      <c r="FC2">
        <v>251.59999999959999</v>
      </c>
      <c r="FD2">
        <v>259.0999999993</v>
      </c>
      <c r="FE2">
        <v>267.59999999920001</v>
      </c>
      <c r="FF2">
        <v>275.99999999980002</v>
      </c>
      <c r="FG2">
        <v>283.90000000039998</v>
      </c>
      <c r="FH2">
        <v>292.0999999988</v>
      </c>
      <c r="FI2">
        <v>299.1000000002</v>
      </c>
      <c r="FJ2">
        <v>307.19999999930002</v>
      </c>
      <c r="FK2">
        <v>314.5999999997</v>
      </c>
      <c r="FL2">
        <v>322.00000000009999</v>
      </c>
      <c r="FM2">
        <v>329.29999999939997</v>
      </c>
      <c r="FN2">
        <v>337.1999999999</v>
      </c>
      <c r="FO2">
        <v>344.10000000029999</v>
      </c>
      <c r="FP2">
        <v>350.89999999949998</v>
      </c>
      <c r="FQ2">
        <v>358.00000000019998</v>
      </c>
      <c r="FR2">
        <v>364.2</v>
      </c>
      <c r="FS2">
        <v>371.19999999959998</v>
      </c>
      <c r="FT2">
        <v>377.59999999979999</v>
      </c>
      <c r="FU2">
        <v>384.2000000004</v>
      </c>
      <c r="FV2">
        <v>390.5999999988</v>
      </c>
      <c r="FW2">
        <v>396.99999999900001</v>
      </c>
      <c r="FX2">
        <v>402.69999999869998</v>
      </c>
      <c r="FY2">
        <v>408.90000000039998</v>
      </c>
      <c r="FZ2">
        <v>414.60000000010001</v>
      </c>
      <c r="GA2">
        <v>420.20000000049998</v>
      </c>
      <c r="GB2">
        <v>425.60000000050002</v>
      </c>
      <c r="GC2">
        <v>431.09999999979999</v>
      </c>
      <c r="GD2">
        <v>436.59999999910002</v>
      </c>
      <c r="GE2">
        <v>441.7999999987</v>
      </c>
      <c r="GF2">
        <v>446.5999999993</v>
      </c>
      <c r="GG2">
        <v>450.7999999987</v>
      </c>
      <c r="GH2">
        <v>453.99999999969998</v>
      </c>
      <c r="GI2">
        <v>455.89999999899999</v>
      </c>
      <c r="GJ2">
        <v>455.89999999899999</v>
      </c>
      <c r="GK2">
        <v>455.89999999899999</v>
      </c>
      <c r="GL2">
        <v>455.79999999969999</v>
      </c>
      <c r="GM2">
        <v>456.00000000009999</v>
      </c>
      <c r="GN2">
        <v>456.09999999939998</v>
      </c>
      <c r="GO2">
        <v>456.00000000009999</v>
      </c>
      <c r="GP2">
        <v>456.00000000009999</v>
      </c>
      <c r="GQ2">
        <v>456.00000000009999</v>
      </c>
      <c r="GR2">
        <v>456.09999999939998</v>
      </c>
      <c r="GS2">
        <v>456.09999999939998</v>
      </c>
      <c r="GT2">
        <v>456.09999999939998</v>
      </c>
      <c r="GU2">
        <v>456.09999999939998</v>
      </c>
      <c r="GV2">
        <v>456.29999999979998</v>
      </c>
      <c r="GW2">
        <v>456.19999999869998</v>
      </c>
      <c r="GX2">
        <v>1</v>
      </c>
      <c r="GY2">
        <v>119.3999999996</v>
      </c>
      <c r="GZ2">
        <v>116.8999999991</v>
      </c>
      <c r="HA2">
        <v>116.8999999991</v>
      </c>
      <c r="HB2">
        <v>123.599999999</v>
      </c>
      <c r="HC2">
        <v>118.6656695147</v>
      </c>
      <c r="HD2">
        <v>-6.6999999999000002</v>
      </c>
      <c r="HE2">
        <v>456.20001095639998</v>
      </c>
      <c r="HF2">
        <v>300.85056980190001</v>
      </c>
      <c r="HG2">
        <v>103.13894367739999</v>
      </c>
      <c r="HH2">
        <v>456.29999999979998</v>
      </c>
      <c r="HI2">
        <v>456.29999999979998</v>
      </c>
      <c r="HJ2">
        <v>456.29999999979998</v>
      </c>
      <c r="HK2">
        <v>456.29999999979998</v>
      </c>
      <c r="HL2">
        <v>110.26392961880001</v>
      </c>
      <c r="HM2">
        <v>3.4265478983</v>
      </c>
      <c r="HN2">
        <v>3.3319187499999998</v>
      </c>
      <c r="HO2">
        <v>3.3855805011000002</v>
      </c>
      <c r="HP2">
        <v>3.1604601955999998</v>
      </c>
      <c r="HQ2">
        <v>3.6177825930999998</v>
      </c>
      <c r="HR2">
        <v>2.2400484967000001</v>
      </c>
      <c r="HS2">
        <v>15.526725837400001</v>
      </c>
      <c r="HT2">
        <v>-30.4985337243</v>
      </c>
      <c r="HU2">
        <v>-208</v>
      </c>
      <c r="HV2">
        <v>419.51623931659998</v>
      </c>
      <c r="HW2">
        <v>91.495601172999997</v>
      </c>
      <c r="HX2">
        <v>624</v>
      </c>
      <c r="HY2">
        <v>15.526725837400001</v>
      </c>
      <c r="HZ2">
        <v>-30.4985337243</v>
      </c>
      <c r="IA2">
        <v>-208</v>
      </c>
      <c r="IB2">
        <v>419.51623931659998</v>
      </c>
      <c r="IC2">
        <v>91.495601172999997</v>
      </c>
      <c r="ID2">
        <v>624</v>
      </c>
      <c r="IE2">
        <v>36.783760683200001</v>
      </c>
      <c r="IF2">
        <v>1.003736577</v>
      </c>
      <c r="IG2">
        <v>-39.8826979472</v>
      </c>
      <c r="IH2">
        <v>-272</v>
      </c>
      <c r="II2">
        <v>441.52856673119999</v>
      </c>
      <c r="IJ2">
        <v>100.87976539589999</v>
      </c>
      <c r="IK2">
        <v>688</v>
      </c>
      <c r="IL2">
        <v>403.9895134793</v>
      </c>
      <c r="IM2">
        <v>121.9941348974</v>
      </c>
      <c r="IN2">
        <v>426.16261231649997</v>
      </c>
      <c r="IO2">
        <v>131.37829912020001</v>
      </c>
      <c r="IP2">
        <v>6.9999999996</v>
      </c>
      <c r="IQ2">
        <v>5.6999999997000002</v>
      </c>
      <c r="IR2">
        <v>9.2000000003999993</v>
      </c>
      <c r="IS2">
        <v>6.3096025830000002</v>
      </c>
      <c r="IT2">
        <v>6.3096025830000002</v>
      </c>
      <c r="IU2">
        <v>5.4999999992999999</v>
      </c>
      <c r="IV2">
        <v>-32.844574780099997</v>
      </c>
      <c r="IW2">
        <v>9.1000000010999997</v>
      </c>
      <c r="IX2">
        <v>60.997067448700001</v>
      </c>
      <c r="IY2">
        <v>7.3999999986000002</v>
      </c>
      <c r="IZ2">
        <v>98.533724340199996</v>
      </c>
      <c r="JA2">
        <v>-35.459727688199997</v>
      </c>
      <c r="JB2">
        <v>0.33383830530000003</v>
      </c>
      <c r="JC2">
        <v>-3.7388340000000001E-4</v>
      </c>
      <c r="JD2">
        <v>7.1180000000000001E-7</v>
      </c>
      <c r="JE2">
        <v>0.29183890890000003</v>
      </c>
      <c r="JF2">
        <v>0.16239851280000001</v>
      </c>
      <c r="JG2">
        <v>8.6320833799999996E-2</v>
      </c>
      <c r="JH2">
        <v>118.925079619</v>
      </c>
      <c r="JI2">
        <v>3.6177825930999998</v>
      </c>
      <c r="JJ2">
        <v>3.7408457999999999E-3</v>
      </c>
      <c r="JK2">
        <v>-8.2115500000000003E-5</v>
      </c>
      <c r="JL2">
        <v>3.4265478983</v>
      </c>
      <c r="JM2">
        <v>1.1600745718000001</v>
      </c>
      <c r="JN2">
        <v>0.55656078980000001</v>
      </c>
      <c r="JO2">
        <v>2.9837499998000001</v>
      </c>
      <c r="JP2">
        <v>2.4296249999000001</v>
      </c>
      <c r="JQ2">
        <v>3.9215000002</v>
      </c>
      <c r="JR2" s="17" t="s">
        <v>544</v>
      </c>
      <c r="JU2" s="17">
        <v>1</v>
      </c>
    </row>
    <row r="3" spans="1:281">
      <c r="A3" t="s">
        <v>581</v>
      </c>
      <c r="B3" t="s">
        <v>582</v>
      </c>
      <c r="C3" t="s">
        <v>583</v>
      </c>
      <c r="D3" t="s">
        <v>213</v>
      </c>
      <c r="E3">
        <v>3</v>
      </c>
      <c r="F3" t="s">
        <v>214</v>
      </c>
      <c r="G3" t="s">
        <v>215</v>
      </c>
      <c r="H3" t="s">
        <v>543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0</v>
      </c>
      <c r="S3">
        <v>0.40000000079999998</v>
      </c>
      <c r="T3">
        <v>0.20000000039999999</v>
      </c>
      <c r="U3">
        <v>0.50000000010000001</v>
      </c>
      <c r="V3">
        <v>0.50000000010000001</v>
      </c>
      <c r="W3">
        <v>0.40000000079999998</v>
      </c>
      <c r="X3">
        <v>0.60000000119999997</v>
      </c>
      <c r="Y3">
        <v>0.60000000119999997</v>
      </c>
      <c r="Z3">
        <v>0.50000000010000001</v>
      </c>
      <c r="AA3">
        <v>0.60000000119999997</v>
      </c>
      <c r="AB3">
        <v>0.7000000005</v>
      </c>
      <c r="AC3">
        <v>0.79999999980000003</v>
      </c>
      <c r="AD3">
        <v>0.79999999980000003</v>
      </c>
      <c r="AE3">
        <v>0.79999999980000003</v>
      </c>
      <c r="AF3">
        <v>0.90000000089999999</v>
      </c>
      <c r="AG3">
        <v>0.79999999980000003</v>
      </c>
      <c r="AH3">
        <v>1.0000000002</v>
      </c>
      <c r="AI3">
        <v>1.0999999995</v>
      </c>
      <c r="AJ3">
        <v>3.6</v>
      </c>
      <c r="AK3">
        <v>10.0000000002</v>
      </c>
      <c r="AL3">
        <v>16.9000000005</v>
      </c>
      <c r="AM3">
        <v>24.300000000899999</v>
      </c>
      <c r="AN3">
        <v>32.000000001099998</v>
      </c>
      <c r="AO3">
        <v>39.000000000699998</v>
      </c>
      <c r="AP3">
        <v>46.5000000004</v>
      </c>
      <c r="AQ3">
        <v>54.000000000100002</v>
      </c>
      <c r="AR3">
        <v>61.499999999800004</v>
      </c>
      <c r="AS3">
        <v>69.800000001100003</v>
      </c>
      <c r="AT3">
        <v>77.999999999500005</v>
      </c>
      <c r="AU3">
        <v>86.100000000400001</v>
      </c>
      <c r="AV3">
        <v>94.1000000003</v>
      </c>
      <c r="AW3">
        <v>101.8999999997</v>
      </c>
      <c r="AX3">
        <v>111.1000000001</v>
      </c>
      <c r="AY3">
        <v>120.1000000001</v>
      </c>
      <c r="AZ3">
        <v>128.89999999969999</v>
      </c>
      <c r="BA3">
        <v>137.6</v>
      </c>
      <c r="BB3">
        <v>145.80000000019999</v>
      </c>
      <c r="BC3">
        <v>154.00000000049999</v>
      </c>
      <c r="BD3">
        <v>162.7000000008</v>
      </c>
      <c r="BE3">
        <v>171.00000000029999</v>
      </c>
      <c r="BF3">
        <v>179.900000001</v>
      </c>
      <c r="BG3">
        <v>188.5999999995</v>
      </c>
      <c r="BH3">
        <v>196.6000000011</v>
      </c>
      <c r="BI3">
        <v>204.90000000059999</v>
      </c>
      <c r="BJ3">
        <v>213.2999999994</v>
      </c>
      <c r="BK3">
        <v>221.30000000109999</v>
      </c>
      <c r="BL3">
        <v>229.99999999959999</v>
      </c>
      <c r="BM3">
        <v>238.30000000090001</v>
      </c>
      <c r="BN3">
        <v>246.19999999960001</v>
      </c>
      <c r="BO3">
        <v>253.89999999969999</v>
      </c>
      <c r="BP3">
        <v>261.70000000089999</v>
      </c>
      <c r="BQ3">
        <v>270.0999999997</v>
      </c>
      <c r="BR3">
        <v>277.50000000009999</v>
      </c>
      <c r="BS3">
        <v>285.79999999969999</v>
      </c>
      <c r="BT3">
        <v>293.40000000049997</v>
      </c>
      <c r="BU3">
        <v>300.69999999980001</v>
      </c>
      <c r="BV3">
        <v>307.60000000010001</v>
      </c>
      <c r="BW3">
        <v>315.09999999979999</v>
      </c>
      <c r="BX3">
        <v>322.29999999979998</v>
      </c>
      <c r="BY3">
        <v>329.29999999939997</v>
      </c>
      <c r="BZ3">
        <v>336.60000000050002</v>
      </c>
      <c r="CA3">
        <v>343.8999999998</v>
      </c>
      <c r="CB3">
        <v>350.59999999979999</v>
      </c>
      <c r="CC3">
        <v>356.9000000007</v>
      </c>
      <c r="CD3">
        <v>363.00000000120002</v>
      </c>
      <c r="CE3">
        <v>369.80000000040002</v>
      </c>
      <c r="CF3">
        <v>376.40000000100002</v>
      </c>
      <c r="CG3">
        <v>382.40000000039998</v>
      </c>
      <c r="CH3">
        <v>388.80000000059999</v>
      </c>
      <c r="CI3">
        <v>395.2000000008</v>
      </c>
      <c r="CJ3">
        <v>401.6000000011</v>
      </c>
      <c r="CK3">
        <v>406.9</v>
      </c>
      <c r="CL3">
        <v>412.3</v>
      </c>
      <c r="CM3">
        <v>417.49999999959999</v>
      </c>
      <c r="CN3">
        <v>423.80000000050001</v>
      </c>
      <c r="CO3">
        <v>429.10000000119999</v>
      </c>
      <c r="CP3">
        <v>434.19999999970003</v>
      </c>
      <c r="CQ3">
        <v>439.9000000012</v>
      </c>
      <c r="CR3">
        <v>444.80000000109999</v>
      </c>
      <c r="CS3">
        <v>448.5999999997</v>
      </c>
      <c r="CT3">
        <v>450.30000000040002</v>
      </c>
      <c r="CU3">
        <v>450.30000000040002</v>
      </c>
      <c r="CV3">
        <v>450.39999999970001</v>
      </c>
      <c r="CW3">
        <v>450.60000000010001</v>
      </c>
      <c r="CX3">
        <v>450.39999999970001</v>
      </c>
      <c r="CY3">
        <v>450.50000000080001</v>
      </c>
      <c r="CZ3">
        <v>450.50000000080001</v>
      </c>
      <c r="DA3">
        <v>450.50000000080001</v>
      </c>
      <c r="DB3">
        <v>450.69999999940001</v>
      </c>
      <c r="DC3">
        <v>450.39999999970001</v>
      </c>
      <c r="DD3">
        <v>450.50000000080001</v>
      </c>
      <c r="DE3">
        <v>450.50000000080001</v>
      </c>
      <c r="DF3">
        <v>450.50000000080001</v>
      </c>
      <c r="DG3">
        <v>450.50000000080001</v>
      </c>
      <c r="DH3">
        <v>0.60000000119999997</v>
      </c>
      <c r="DI3">
        <v>1.400000001</v>
      </c>
      <c r="DJ3">
        <v>1.400000001</v>
      </c>
      <c r="DK3">
        <v>1.5999999996000001</v>
      </c>
      <c r="DL3">
        <v>1.5000000003</v>
      </c>
      <c r="DM3">
        <v>1.5999999996000001</v>
      </c>
      <c r="DN3">
        <v>1.5999999996000001</v>
      </c>
      <c r="DO3">
        <v>1.8</v>
      </c>
      <c r="DP3">
        <v>1.8</v>
      </c>
      <c r="DQ3">
        <v>1.8</v>
      </c>
      <c r="DR3">
        <v>1.7000000007</v>
      </c>
      <c r="DS3">
        <v>1.8</v>
      </c>
      <c r="DT3">
        <v>1.9000000011</v>
      </c>
      <c r="DU3">
        <v>1.7000000007</v>
      </c>
      <c r="DV3">
        <v>1.8</v>
      </c>
      <c r="DW3">
        <v>1.8</v>
      </c>
      <c r="DX3">
        <v>2.0000000004</v>
      </c>
      <c r="DY3">
        <v>2.3000000000999998</v>
      </c>
      <c r="DZ3">
        <v>8.6000000009999997</v>
      </c>
      <c r="EA3">
        <v>15.9000000003</v>
      </c>
      <c r="EB3">
        <v>23.4</v>
      </c>
      <c r="EC3">
        <v>30.800000000499999</v>
      </c>
      <c r="ED3">
        <v>38.000000000500002</v>
      </c>
      <c r="EE3">
        <v>45.299999999800001</v>
      </c>
      <c r="EF3">
        <v>52.900000000600002</v>
      </c>
      <c r="EG3">
        <v>60.400000000299997</v>
      </c>
      <c r="EH3">
        <v>68.400000000099993</v>
      </c>
      <c r="EI3">
        <v>76.699999999599996</v>
      </c>
      <c r="EJ3">
        <v>84.899999999800002</v>
      </c>
      <c r="EK3">
        <v>92.800000000400004</v>
      </c>
      <c r="EL3">
        <v>100.8000000002</v>
      </c>
      <c r="EM3">
        <v>109.0999999997</v>
      </c>
      <c r="EN3">
        <v>118.0999999997</v>
      </c>
      <c r="EO3">
        <v>127.50000000049999</v>
      </c>
      <c r="EP3">
        <v>136.3000000001</v>
      </c>
      <c r="EQ3">
        <v>144.400000001</v>
      </c>
      <c r="ER3">
        <v>152.79999999980001</v>
      </c>
      <c r="ES3">
        <v>161.40000000090001</v>
      </c>
      <c r="ET3">
        <v>169.90000000079999</v>
      </c>
      <c r="EU3">
        <v>179.00000000009999</v>
      </c>
      <c r="EV3">
        <v>187.79999999969999</v>
      </c>
      <c r="EW3">
        <v>196.10000000100001</v>
      </c>
      <c r="EX3">
        <v>204.6000000009</v>
      </c>
      <c r="EY3">
        <v>212.8000000012</v>
      </c>
      <c r="EZ3">
        <v>220.99999999950001</v>
      </c>
      <c r="FA3">
        <v>229.800000001</v>
      </c>
      <c r="FB3">
        <v>238.49999999950001</v>
      </c>
      <c r="FC3">
        <v>246.50000000110001</v>
      </c>
      <c r="FD3">
        <v>254.30000000050001</v>
      </c>
      <c r="FE3">
        <v>262.50000000070003</v>
      </c>
      <c r="FF3">
        <v>270.70000000089999</v>
      </c>
      <c r="FG3">
        <v>278.59999999960002</v>
      </c>
      <c r="FH3">
        <v>286.79999999990002</v>
      </c>
      <c r="FI3">
        <v>294.6000000011</v>
      </c>
      <c r="FJ3">
        <v>301.80000000109999</v>
      </c>
      <c r="FK3">
        <v>309.10000000039997</v>
      </c>
      <c r="FL3">
        <v>316.50000000080001</v>
      </c>
      <c r="FM3">
        <v>324.20000000089999</v>
      </c>
      <c r="FN3">
        <v>331.70000000060003</v>
      </c>
      <c r="FO3">
        <v>338.90000000060002</v>
      </c>
      <c r="FP3">
        <v>346.2</v>
      </c>
      <c r="FQ3">
        <v>352.80000000059999</v>
      </c>
      <c r="FR3">
        <v>359.0999999997</v>
      </c>
      <c r="FS3">
        <v>366</v>
      </c>
      <c r="FT3">
        <v>372.60000000060001</v>
      </c>
      <c r="FU3">
        <v>378.89999999970001</v>
      </c>
      <c r="FV3">
        <v>385.29999999990002</v>
      </c>
      <c r="FW3">
        <v>391.90000000049997</v>
      </c>
      <c r="FX3">
        <v>398.10000000029999</v>
      </c>
      <c r="FY3">
        <v>404.00000000049999</v>
      </c>
      <c r="FZ3">
        <v>409.20000000009998</v>
      </c>
      <c r="GA3">
        <v>414.8999999998</v>
      </c>
      <c r="GB3">
        <v>420.79999999990002</v>
      </c>
      <c r="GC3">
        <v>426.10000000060001</v>
      </c>
      <c r="GD3">
        <v>431.30000000019999</v>
      </c>
      <c r="GE3">
        <v>436.49999999980002</v>
      </c>
      <c r="GF3">
        <v>441.39999999970001</v>
      </c>
      <c r="GG3">
        <v>445.70000000020002</v>
      </c>
      <c r="GH3">
        <v>449.20000000089999</v>
      </c>
      <c r="GI3">
        <v>450.20000000110002</v>
      </c>
      <c r="GJ3">
        <v>450.39999999970001</v>
      </c>
      <c r="GK3">
        <v>450.30000000040002</v>
      </c>
      <c r="GL3">
        <v>450.39999999970001</v>
      </c>
      <c r="GM3">
        <v>450.50000000080001</v>
      </c>
      <c r="GN3">
        <v>450.30000000040002</v>
      </c>
      <c r="GO3">
        <v>450.50000000080001</v>
      </c>
      <c r="GP3">
        <v>450.50000000080001</v>
      </c>
      <c r="GQ3">
        <v>450.50000000080001</v>
      </c>
      <c r="GR3">
        <v>450.60000000010001</v>
      </c>
      <c r="GS3">
        <v>450.39999999970001</v>
      </c>
      <c r="GT3">
        <v>450.39999999970001</v>
      </c>
      <c r="GU3">
        <v>450.39999999970001</v>
      </c>
      <c r="GV3">
        <v>450.39999999970001</v>
      </c>
      <c r="GW3">
        <v>450.50000000080001</v>
      </c>
      <c r="GX3">
        <v>1</v>
      </c>
      <c r="GY3">
        <v>113.60000000060001</v>
      </c>
      <c r="GZ3">
        <v>111.1000000001</v>
      </c>
      <c r="HA3">
        <v>111.1000000001</v>
      </c>
      <c r="HB3">
        <v>118.0999999997</v>
      </c>
      <c r="HC3">
        <v>112.88009541770001</v>
      </c>
      <c r="HD3">
        <v>-6.9999999996</v>
      </c>
      <c r="HE3">
        <v>450.50000000080001</v>
      </c>
      <c r="HF3">
        <v>301.3142571839</v>
      </c>
      <c r="HG3">
        <v>95.689459668799998</v>
      </c>
      <c r="HH3">
        <v>450.69999999940001</v>
      </c>
      <c r="HI3">
        <v>450.60000000010001</v>
      </c>
      <c r="HJ3">
        <v>450.69999999940001</v>
      </c>
      <c r="HK3">
        <v>450.60000000010001</v>
      </c>
      <c r="HL3">
        <v>110.26392961880001</v>
      </c>
      <c r="HM3">
        <v>3.4266215808</v>
      </c>
      <c r="HN3">
        <v>3.3260774109</v>
      </c>
      <c r="HO3">
        <v>3.3984257822999999</v>
      </c>
      <c r="HP3">
        <v>3.2463582305999998</v>
      </c>
      <c r="HQ3">
        <v>3.6253625622999999</v>
      </c>
      <c r="HR3">
        <v>2.2631793942999998</v>
      </c>
      <c r="HS3">
        <v>17.1906357489</v>
      </c>
      <c r="HT3">
        <v>-28.152492668600001</v>
      </c>
      <c r="HU3">
        <v>-192</v>
      </c>
      <c r="HV3">
        <v>414.19435260159997</v>
      </c>
      <c r="HW3">
        <v>91.495601172999997</v>
      </c>
      <c r="HX3">
        <v>624</v>
      </c>
      <c r="HY3">
        <v>17.1906357489</v>
      </c>
      <c r="HZ3">
        <v>-28.152492668600001</v>
      </c>
      <c r="IA3">
        <v>-192</v>
      </c>
      <c r="IB3">
        <v>414.19435260159997</v>
      </c>
      <c r="IC3">
        <v>91.495601172999997</v>
      </c>
      <c r="ID3">
        <v>624</v>
      </c>
      <c r="IE3">
        <v>36.405647398500001</v>
      </c>
      <c r="IF3">
        <v>1.0033285257</v>
      </c>
      <c r="IG3">
        <v>-37.536656891500002</v>
      </c>
      <c r="IH3">
        <v>-256</v>
      </c>
      <c r="II3">
        <v>436.20689004759998</v>
      </c>
      <c r="IJ3">
        <v>100.87976539589999</v>
      </c>
      <c r="IK3">
        <v>688</v>
      </c>
      <c r="IL3">
        <v>397.00371685269999</v>
      </c>
      <c r="IM3">
        <v>119.6480938416</v>
      </c>
      <c r="IN3">
        <v>421.88175968100001</v>
      </c>
      <c r="IO3">
        <v>129.03225806450001</v>
      </c>
      <c r="IP3">
        <v>7.2999999992999998</v>
      </c>
      <c r="IQ3">
        <v>5.9000000001000004</v>
      </c>
      <c r="IR3">
        <v>9.4000000008000004</v>
      </c>
      <c r="IS3">
        <v>6.3697768436000004</v>
      </c>
      <c r="IT3">
        <v>6.3697768436000004</v>
      </c>
      <c r="IU3">
        <v>5.9000000001000004</v>
      </c>
      <c r="IV3">
        <v>-30.4985337243</v>
      </c>
      <c r="IW3">
        <v>9.6000000011999997</v>
      </c>
      <c r="IX3">
        <v>63.3431085044</v>
      </c>
      <c r="IY3">
        <v>7.4999999997</v>
      </c>
      <c r="IZ3">
        <v>98.533724340199996</v>
      </c>
      <c r="JA3">
        <v>-33.570322506499998</v>
      </c>
      <c r="JB3">
        <v>0.32764628489999997</v>
      </c>
      <c r="JC3">
        <v>-3.5113329999999999E-4</v>
      </c>
      <c r="JD3">
        <v>6.9490000000000001E-7</v>
      </c>
      <c r="JE3">
        <v>0.29183263349999999</v>
      </c>
      <c r="JF3">
        <v>0.28012644720000002</v>
      </c>
      <c r="JG3">
        <v>0.1176460054</v>
      </c>
      <c r="JH3">
        <v>113.65808644259999</v>
      </c>
      <c r="JI3">
        <v>3.6253625622999999</v>
      </c>
      <c r="JJ3">
        <v>3.3959203999999999E-3</v>
      </c>
      <c r="JK3">
        <v>-7.8982999999999999E-5</v>
      </c>
      <c r="JL3">
        <v>3.4266215808</v>
      </c>
      <c r="JM3">
        <v>1.586982431</v>
      </c>
      <c r="JN3">
        <v>0.6346941196</v>
      </c>
      <c r="JO3">
        <v>3.1116249997000001</v>
      </c>
      <c r="JP3">
        <v>2.514875</v>
      </c>
      <c r="JQ3">
        <v>4.0067500004000003</v>
      </c>
      <c r="JR3" s="17" t="s">
        <v>544</v>
      </c>
      <c r="JU3" s="17">
        <v>1</v>
      </c>
    </row>
    <row r="4" spans="1:281">
      <c r="A4" t="s">
        <v>584</v>
      </c>
      <c r="B4" t="s">
        <v>585</v>
      </c>
      <c r="C4" t="s">
        <v>586</v>
      </c>
      <c r="D4" t="s">
        <v>213</v>
      </c>
      <c r="E4">
        <v>3</v>
      </c>
      <c r="F4" t="s">
        <v>214</v>
      </c>
      <c r="G4" t="s">
        <v>215</v>
      </c>
      <c r="H4" t="s">
        <v>543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2.2000000007999998</v>
      </c>
      <c r="S4">
        <v>0.3000000015</v>
      </c>
      <c r="T4">
        <v>0.1000000011</v>
      </c>
      <c r="U4">
        <v>0.1000000011</v>
      </c>
      <c r="V4">
        <v>0.20000000039999999</v>
      </c>
      <c r="W4">
        <v>0.20000000039999999</v>
      </c>
      <c r="X4">
        <v>0.1000000011</v>
      </c>
      <c r="Y4">
        <v>0.20000000039999999</v>
      </c>
      <c r="Z4">
        <v>0.1000000011</v>
      </c>
      <c r="AA4">
        <v>0.1000000011</v>
      </c>
      <c r="AB4">
        <v>0.20000000039999999</v>
      </c>
      <c r="AC4">
        <v>0.1000000011</v>
      </c>
      <c r="AD4">
        <v>0.1000000011</v>
      </c>
      <c r="AE4">
        <v>0</v>
      </c>
      <c r="AF4">
        <v>0</v>
      </c>
      <c r="AG4">
        <v>0</v>
      </c>
      <c r="AH4">
        <v>0.1000000011</v>
      </c>
      <c r="AI4">
        <v>2.4000000012</v>
      </c>
      <c r="AJ4">
        <v>7.4999999997</v>
      </c>
      <c r="AK4">
        <v>14.200000001399999</v>
      </c>
      <c r="AL4">
        <v>21.200000000999999</v>
      </c>
      <c r="AM4">
        <v>27.900000000999999</v>
      </c>
      <c r="AN4">
        <v>35.200000000300001</v>
      </c>
      <c r="AO4">
        <v>42.500000001399997</v>
      </c>
      <c r="AP4">
        <v>49.800000000700003</v>
      </c>
      <c r="AQ4">
        <v>57.400000001499997</v>
      </c>
      <c r="AR4">
        <v>65.099999999800005</v>
      </c>
      <c r="AS4">
        <v>72.100000001200002</v>
      </c>
      <c r="AT4">
        <v>79.900000000600002</v>
      </c>
      <c r="AU4">
        <v>88.499999999799996</v>
      </c>
      <c r="AV4">
        <v>96.400000000399999</v>
      </c>
      <c r="AW4">
        <v>104.50000000129999</v>
      </c>
      <c r="AX4">
        <v>112.90000000009999</v>
      </c>
      <c r="AY4">
        <v>120.80000000059999</v>
      </c>
      <c r="AZ4">
        <v>129.3999999998</v>
      </c>
      <c r="BA4">
        <v>138.30000000050001</v>
      </c>
      <c r="BB4">
        <v>146.5000000007</v>
      </c>
      <c r="BC4">
        <v>154.50000000060001</v>
      </c>
      <c r="BD4">
        <v>162.8000000001</v>
      </c>
      <c r="BE4">
        <v>170.900000001</v>
      </c>
      <c r="BF4">
        <v>178.5</v>
      </c>
      <c r="BG4">
        <v>186.70000000019999</v>
      </c>
      <c r="BH4">
        <v>195.99999999990001</v>
      </c>
      <c r="BI4">
        <v>203.99999999970001</v>
      </c>
      <c r="BJ4">
        <v>211.80000000090001</v>
      </c>
      <c r="BK4">
        <v>220.10000000049999</v>
      </c>
      <c r="BL4">
        <v>226.90000000149999</v>
      </c>
      <c r="BM4">
        <v>235.00000000060001</v>
      </c>
      <c r="BN4">
        <v>243.80000000019999</v>
      </c>
      <c r="BO4">
        <v>251.50000000029999</v>
      </c>
      <c r="BP4">
        <v>258.9000000007</v>
      </c>
      <c r="BQ4">
        <v>266.99999999980002</v>
      </c>
      <c r="BR4">
        <v>274.9000000003</v>
      </c>
      <c r="BS4">
        <v>281.1000000002</v>
      </c>
      <c r="BT4">
        <v>288.90000000139997</v>
      </c>
      <c r="BU4">
        <v>296.9000000012</v>
      </c>
      <c r="BV4">
        <v>304.00000000009999</v>
      </c>
      <c r="BW4">
        <v>310.90000000039998</v>
      </c>
      <c r="BX4">
        <v>318.00000000109998</v>
      </c>
      <c r="BY4">
        <v>325.39999999970001</v>
      </c>
      <c r="BZ4">
        <v>331.20000000049998</v>
      </c>
      <c r="CA4">
        <v>337.90000000039998</v>
      </c>
      <c r="CB4">
        <v>344.90000000010002</v>
      </c>
      <c r="CC4">
        <v>352.20000000120001</v>
      </c>
      <c r="CD4">
        <v>358.60000000140002</v>
      </c>
      <c r="CE4">
        <v>364.90000000049997</v>
      </c>
      <c r="CF4">
        <v>371.4</v>
      </c>
      <c r="CG4">
        <v>377.70000000089999</v>
      </c>
      <c r="CH4">
        <v>382.80000000119998</v>
      </c>
      <c r="CI4">
        <v>388.7000000013</v>
      </c>
      <c r="CJ4">
        <v>394.8</v>
      </c>
      <c r="CK4">
        <v>400.99999999980002</v>
      </c>
      <c r="CL4">
        <v>407.30000000080003</v>
      </c>
      <c r="CM4">
        <v>412.7000000008</v>
      </c>
      <c r="CN4">
        <v>418.30000000119998</v>
      </c>
      <c r="CO4">
        <v>424.0000000009</v>
      </c>
      <c r="CP4">
        <v>429.60000000129997</v>
      </c>
      <c r="CQ4">
        <v>433.80000000069998</v>
      </c>
      <c r="CR4">
        <v>439.3</v>
      </c>
      <c r="CS4">
        <v>444.4000000003</v>
      </c>
      <c r="CT4">
        <v>449.59999999989998</v>
      </c>
      <c r="CU4">
        <v>454.49999999980002</v>
      </c>
      <c r="CV4">
        <v>458.80000000029997</v>
      </c>
      <c r="CW4">
        <v>463.49999999980002</v>
      </c>
      <c r="CX4">
        <v>463.60000000100001</v>
      </c>
      <c r="CY4">
        <v>463.80000000140001</v>
      </c>
      <c r="CZ4">
        <v>463.80000000140001</v>
      </c>
      <c r="DA4">
        <v>463.80000000140001</v>
      </c>
      <c r="DB4">
        <v>463.90000000060002</v>
      </c>
      <c r="DC4">
        <v>463.90000000060002</v>
      </c>
      <c r="DD4">
        <v>463.99999999990001</v>
      </c>
      <c r="DE4">
        <v>463.80000000140001</v>
      </c>
      <c r="DF4">
        <v>463.90000000060002</v>
      </c>
      <c r="DG4">
        <v>463.90000000060002</v>
      </c>
      <c r="DH4">
        <v>2.5999999998000001</v>
      </c>
      <c r="DI4">
        <v>0.90000000089999999</v>
      </c>
      <c r="DJ4">
        <v>0.7000000005</v>
      </c>
      <c r="DK4">
        <v>0.79999999980000003</v>
      </c>
      <c r="DL4">
        <v>0.7000000005</v>
      </c>
      <c r="DM4">
        <v>0.7000000005</v>
      </c>
      <c r="DN4">
        <v>0.60000000119999997</v>
      </c>
      <c r="DO4">
        <v>0.60000000119999997</v>
      </c>
      <c r="DP4">
        <v>0.50000000010000001</v>
      </c>
      <c r="DQ4">
        <v>0.50000000010000001</v>
      </c>
      <c r="DR4">
        <v>0.7000000005</v>
      </c>
      <c r="DS4">
        <v>0.40000000079999998</v>
      </c>
      <c r="DT4">
        <v>0.60000000119999997</v>
      </c>
      <c r="DU4">
        <v>0.40000000079999998</v>
      </c>
      <c r="DV4">
        <v>0.3000000015</v>
      </c>
      <c r="DW4">
        <v>0.50000000010000001</v>
      </c>
      <c r="DX4">
        <v>1.6000000014</v>
      </c>
      <c r="DY4">
        <v>6.0000000012000001</v>
      </c>
      <c r="DZ4">
        <v>12.800000000400001</v>
      </c>
      <c r="EA4">
        <v>19.9000000011</v>
      </c>
      <c r="EB4">
        <v>27</v>
      </c>
      <c r="EC4">
        <v>34.300000001199997</v>
      </c>
      <c r="ED4">
        <v>41.4000000001</v>
      </c>
      <c r="EE4">
        <v>48.899999999800002</v>
      </c>
      <c r="EF4">
        <v>56.300000000200001</v>
      </c>
      <c r="EG4">
        <v>62.800000001500003</v>
      </c>
      <c r="EH4">
        <v>70.499999999799996</v>
      </c>
      <c r="EI4">
        <v>79.300000001200004</v>
      </c>
      <c r="EJ4">
        <v>87.300000001100003</v>
      </c>
      <c r="EK4">
        <v>95.000000001199993</v>
      </c>
      <c r="EL4">
        <v>102.8999999999</v>
      </c>
      <c r="EM4">
        <v>111.0000000008</v>
      </c>
      <c r="EN4">
        <v>119.20000000100001</v>
      </c>
      <c r="EO4">
        <v>128.4000000014</v>
      </c>
      <c r="EP4">
        <v>136.70000000089999</v>
      </c>
      <c r="EQ4">
        <v>145.0999999997</v>
      </c>
      <c r="ER4">
        <v>153.10000000139999</v>
      </c>
      <c r="ES4">
        <v>161.29999999980001</v>
      </c>
      <c r="ET4">
        <v>169.20000000030001</v>
      </c>
      <c r="EU4">
        <v>177.3000000012</v>
      </c>
      <c r="EV4">
        <v>186.3000000012</v>
      </c>
      <c r="EW4">
        <v>194.7</v>
      </c>
      <c r="EX4">
        <v>202.80000000090001</v>
      </c>
      <c r="EY4">
        <v>211.1000000004</v>
      </c>
      <c r="EZ4">
        <v>219.20000000140001</v>
      </c>
      <c r="FA4">
        <v>226.3000000003</v>
      </c>
      <c r="FB4">
        <v>235.5000000007</v>
      </c>
      <c r="FC4">
        <v>243.3000000001</v>
      </c>
      <c r="FD4">
        <v>251.2999999999</v>
      </c>
      <c r="FE4">
        <v>259</v>
      </c>
      <c r="FF4">
        <v>266.90000000049997</v>
      </c>
      <c r="FG4">
        <v>274.19999999980001</v>
      </c>
      <c r="FH4">
        <v>281.3999999998</v>
      </c>
      <c r="FI4">
        <v>289.80000000050001</v>
      </c>
      <c r="FJ4">
        <v>297.50000000059998</v>
      </c>
      <c r="FK4">
        <v>304.90000000100002</v>
      </c>
      <c r="FL4">
        <v>311.80000000130002</v>
      </c>
      <c r="FM4">
        <v>319.10000000060001</v>
      </c>
      <c r="FN4">
        <v>325.8999999998</v>
      </c>
      <c r="FO4">
        <v>332.50000000040001</v>
      </c>
      <c r="FP4">
        <v>339.7000000004</v>
      </c>
      <c r="FQ4">
        <v>346.90000000049997</v>
      </c>
      <c r="FR4">
        <v>353.60000000039997</v>
      </c>
      <c r="FS4">
        <v>360.40000000139997</v>
      </c>
      <c r="FT4">
        <v>366.50000000009999</v>
      </c>
      <c r="FU4">
        <v>372.30000000090001</v>
      </c>
      <c r="FV4">
        <v>378.80000000040002</v>
      </c>
      <c r="FW4">
        <v>384.79999999979998</v>
      </c>
      <c r="FX4">
        <v>391.0000000014</v>
      </c>
      <c r="FY4">
        <v>397.6000000002</v>
      </c>
      <c r="FZ4">
        <v>403.50000000030002</v>
      </c>
      <c r="GA4">
        <v>409.40000000049997</v>
      </c>
      <c r="GB4">
        <v>414.70000000120001</v>
      </c>
      <c r="GC4">
        <v>420.29999999979998</v>
      </c>
      <c r="GD4">
        <v>425.10000000039997</v>
      </c>
      <c r="GE4">
        <v>430.3</v>
      </c>
      <c r="GF4">
        <v>435.60000000069999</v>
      </c>
      <c r="GG4">
        <v>440.50000000059998</v>
      </c>
      <c r="GH4">
        <v>446.4000000007</v>
      </c>
      <c r="GI4">
        <v>451.1000000002</v>
      </c>
      <c r="GJ4">
        <v>454.70000000020002</v>
      </c>
      <c r="GK4">
        <v>458.59999999989998</v>
      </c>
      <c r="GL4">
        <v>462.80000000119998</v>
      </c>
      <c r="GM4">
        <v>463.60000000100001</v>
      </c>
      <c r="GN4">
        <v>463.49999999980002</v>
      </c>
      <c r="GO4">
        <v>463.60000000100001</v>
      </c>
      <c r="GP4">
        <v>463.70000000020002</v>
      </c>
      <c r="GQ4">
        <v>463.49999999980002</v>
      </c>
      <c r="GR4">
        <v>463.60000000100001</v>
      </c>
      <c r="GS4">
        <v>463.80000000140001</v>
      </c>
      <c r="GT4">
        <v>463.60000000100001</v>
      </c>
      <c r="GU4">
        <v>463.70000000020002</v>
      </c>
      <c r="GV4">
        <v>463.80000000140001</v>
      </c>
      <c r="GW4">
        <v>463.70000000020002</v>
      </c>
      <c r="GX4">
        <v>1</v>
      </c>
      <c r="GY4">
        <v>112.9999999994</v>
      </c>
      <c r="GZ4">
        <v>112.90000000009999</v>
      </c>
      <c r="HA4">
        <v>112.90000000009999</v>
      </c>
      <c r="HB4">
        <v>119.20000000100001</v>
      </c>
      <c r="HC4">
        <v>114.4761884233</v>
      </c>
      <c r="HD4">
        <v>-6.3000000008999999</v>
      </c>
      <c r="HE4">
        <v>463.7000215589</v>
      </c>
      <c r="HF4">
        <v>305.04800043069997</v>
      </c>
      <c r="HG4">
        <v>100.0666702587</v>
      </c>
      <c r="HH4">
        <v>463.99999999990001</v>
      </c>
      <c r="HI4">
        <v>463.80000000140001</v>
      </c>
      <c r="HJ4">
        <v>463.99999999990001</v>
      </c>
      <c r="HK4">
        <v>463.80000000140001</v>
      </c>
      <c r="HL4">
        <v>119.6480938416</v>
      </c>
      <c r="HM4">
        <v>3.3004222682000002</v>
      </c>
      <c r="HN4">
        <v>3.2415943451999998</v>
      </c>
      <c r="HO4">
        <v>3.2992197611999998</v>
      </c>
      <c r="HP4">
        <v>3.1424863738000002</v>
      </c>
      <c r="HQ4">
        <v>3.5009071305999999</v>
      </c>
      <c r="HR4">
        <v>2.1773759679000002</v>
      </c>
      <c r="HS4">
        <v>14.4095181646</v>
      </c>
      <c r="HT4">
        <v>-30.4985337243</v>
      </c>
      <c r="HU4">
        <v>-208</v>
      </c>
      <c r="HV4">
        <v>419.52418885399999</v>
      </c>
      <c r="HW4">
        <v>96.187683284499997</v>
      </c>
      <c r="HX4">
        <v>656</v>
      </c>
      <c r="HY4">
        <v>14.4095181646</v>
      </c>
      <c r="HZ4">
        <v>-30.4985337243</v>
      </c>
      <c r="IA4">
        <v>-208</v>
      </c>
      <c r="IB4">
        <v>419.52418885399999</v>
      </c>
      <c r="IC4">
        <v>96.187683284499997</v>
      </c>
      <c r="ID4">
        <v>656</v>
      </c>
      <c r="IE4">
        <v>44.275811147299997</v>
      </c>
      <c r="IF4">
        <v>2.6948370000000002E-4</v>
      </c>
      <c r="IG4">
        <v>-39.8826979472</v>
      </c>
      <c r="IH4">
        <v>-272</v>
      </c>
      <c r="II4">
        <v>440.11433653180001</v>
      </c>
      <c r="IJ4">
        <v>105.57184750730001</v>
      </c>
      <c r="IK4">
        <v>720</v>
      </c>
      <c r="IL4">
        <v>405.11467068939999</v>
      </c>
      <c r="IM4">
        <v>126.6862170088</v>
      </c>
      <c r="IN4">
        <v>427.3689447008</v>
      </c>
      <c r="IO4">
        <v>136.0703812317</v>
      </c>
      <c r="IP4">
        <v>7.1000000006999997</v>
      </c>
      <c r="IQ4">
        <v>5.9000000001000004</v>
      </c>
      <c r="IR4">
        <v>9.2999999997000007</v>
      </c>
      <c r="IS4">
        <v>6.8132165752000002</v>
      </c>
      <c r="IT4">
        <v>6.8132165752000002</v>
      </c>
      <c r="IU4">
        <v>5.3000000006999999</v>
      </c>
      <c r="IV4">
        <v>-32.844574780099997</v>
      </c>
      <c r="IW4">
        <v>9</v>
      </c>
      <c r="IX4">
        <v>68.035190615800005</v>
      </c>
      <c r="IY4">
        <v>7.1000000006999997</v>
      </c>
      <c r="IZ4">
        <v>107.91788856300001</v>
      </c>
      <c r="JA4">
        <v>-35.056285660599997</v>
      </c>
      <c r="JB4">
        <v>0.33656523700000002</v>
      </c>
      <c r="JC4">
        <v>-3.4633100000000002E-4</v>
      </c>
      <c r="JD4">
        <v>6.9029999999999998E-7</v>
      </c>
      <c r="JE4">
        <v>0.30299153220000002</v>
      </c>
      <c r="JF4">
        <v>0.2521877199</v>
      </c>
      <c r="JG4">
        <v>0.1070419938</v>
      </c>
      <c r="JH4">
        <v>115.1531666823</v>
      </c>
      <c r="JI4">
        <v>3.5009071305999999</v>
      </c>
      <c r="JJ4">
        <v>2.8051501000000002E-3</v>
      </c>
      <c r="JK4">
        <v>-6.7126300000000001E-5</v>
      </c>
      <c r="JL4">
        <v>3.3004222682000002</v>
      </c>
      <c r="JM4">
        <v>1.5153698353</v>
      </c>
      <c r="JN4">
        <v>0.69851293430000005</v>
      </c>
      <c r="JO4">
        <v>3.0263750002999998</v>
      </c>
      <c r="JP4">
        <v>2.514875</v>
      </c>
      <c r="JQ4">
        <v>3.9641249999000001</v>
      </c>
      <c r="JR4" s="17" t="s">
        <v>544</v>
      </c>
      <c r="JU4" s="17">
        <v>1</v>
      </c>
    </row>
    <row r="5" spans="1:281">
      <c r="A5" t="s">
        <v>587</v>
      </c>
      <c r="B5" t="s">
        <v>588</v>
      </c>
      <c r="C5" t="s">
        <v>589</v>
      </c>
      <c r="D5" t="s">
        <v>213</v>
      </c>
      <c r="E5">
        <v>3</v>
      </c>
      <c r="F5" t="s">
        <v>214</v>
      </c>
      <c r="G5" t="s">
        <v>215</v>
      </c>
      <c r="H5" t="s">
        <v>543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4.1000000000999997</v>
      </c>
      <c r="S5">
        <v>1.2000000006</v>
      </c>
      <c r="T5">
        <v>1.0999999995</v>
      </c>
      <c r="U5">
        <v>1.0999999995</v>
      </c>
      <c r="V5">
        <v>1.0000000002</v>
      </c>
      <c r="W5">
        <v>1.0000000002</v>
      </c>
      <c r="X5">
        <v>1.0000000002</v>
      </c>
      <c r="Y5">
        <v>1.0000000002</v>
      </c>
      <c r="Z5">
        <v>0.90000000089999999</v>
      </c>
      <c r="AA5">
        <v>1.0999999995</v>
      </c>
      <c r="AB5">
        <v>1.0000000002</v>
      </c>
      <c r="AC5">
        <v>0.90000000089999999</v>
      </c>
      <c r="AD5">
        <v>0.79999999980000003</v>
      </c>
      <c r="AE5">
        <v>0.79999999980000003</v>
      </c>
      <c r="AF5">
        <v>0.79999999980000003</v>
      </c>
      <c r="AG5">
        <v>0.7000000005</v>
      </c>
      <c r="AH5">
        <v>0</v>
      </c>
      <c r="AI5">
        <v>1.2999999999</v>
      </c>
      <c r="AJ5">
        <v>6.4999999995</v>
      </c>
      <c r="AK5">
        <v>13.3999999998</v>
      </c>
      <c r="AL5">
        <v>20.300000000099999</v>
      </c>
      <c r="AM5">
        <v>27.200000000399999</v>
      </c>
      <c r="AN5">
        <v>34.299999999299999</v>
      </c>
      <c r="AO5">
        <v>41.4000000001</v>
      </c>
      <c r="AP5">
        <v>49.300000000600001</v>
      </c>
      <c r="AQ5">
        <v>56.700000000999999</v>
      </c>
      <c r="AR5">
        <v>64.500000000399993</v>
      </c>
      <c r="AS5">
        <v>72.200000000499998</v>
      </c>
      <c r="AT5">
        <v>80.099999999199994</v>
      </c>
      <c r="AU5">
        <v>87.7</v>
      </c>
      <c r="AV5">
        <v>95.800000001000001</v>
      </c>
      <c r="AW5">
        <v>103.90000000009999</v>
      </c>
      <c r="AX5">
        <v>112.90000000009999</v>
      </c>
      <c r="AY5">
        <v>122.3000000009</v>
      </c>
      <c r="AZ5">
        <v>130.4999999993</v>
      </c>
      <c r="BA5">
        <v>138.80000000059999</v>
      </c>
      <c r="BB5">
        <v>146.89999999969999</v>
      </c>
      <c r="BC5">
        <v>155.30000000039999</v>
      </c>
      <c r="BD5">
        <v>163.59999999990001</v>
      </c>
      <c r="BE5">
        <v>172.00000000049999</v>
      </c>
      <c r="BF5">
        <v>180.09999999959999</v>
      </c>
      <c r="BG5">
        <v>188.5999999995</v>
      </c>
      <c r="BH5">
        <v>196.5</v>
      </c>
      <c r="BI5">
        <v>204.79999999949999</v>
      </c>
      <c r="BJ5">
        <v>212.7</v>
      </c>
      <c r="BK5">
        <v>221.10000000069999</v>
      </c>
      <c r="BL5">
        <v>229.30000000090001</v>
      </c>
      <c r="BM5">
        <v>237.00000000099999</v>
      </c>
      <c r="BN5">
        <v>244.89999999969999</v>
      </c>
      <c r="BO5">
        <v>252.50000000049999</v>
      </c>
      <c r="BP5">
        <v>260.50000000030002</v>
      </c>
      <c r="BQ5">
        <v>268.40000000079999</v>
      </c>
      <c r="BR5">
        <v>275.60000000079998</v>
      </c>
      <c r="BS5">
        <v>283.49999999950001</v>
      </c>
      <c r="BT5">
        <v>290.80000000069998</v>
      </c>
      <c r="BU5">
        <v>298.30000000040002</v>
      </c>
      <c r="BV5">
        <v>305.3</v>
      </c>
      <c r="BW5">
        <v>312.5999999993</v>
      </c>
      <c r="BX5">
        <v>319.99999999969998</v>
      </c>
      <c r="BY5">
        <v>326.60000000029999</v>
      </c>
      <c r="BZ5">
        <v>333.50000000059998</v>
      </c>
      <c r="CA5">
        <v>340.40000000100002</v>
      </c>
      <c r="CB5">
        <v>346.99999999980002</v>
      </c>
      <c r="CC5">
        <v>353.49999999929997</v>
      </c>
      <c r="CD5">
        <v>359.89999999949998</v>
      </c>
      <c r="CE5">
        <v>366.2000000004</v>
      </c>
      <c r="CF5">
        <v>372.99999999959999</v>
      </c>
      <c r="CG5">
        <v>378.69999999930002</v>
      </c>
      <c r="CH5">
        <v>384.79999999979998</v>
      </c>
      <c r="CI5">
        <v>390.7999999992</v>
      </c>
      <c r="CJ5">
        <v>396.80000000040002</v>
      </c>
      <c r="CK5">
        <v>402.50000000009999</v>
      </c>
      <c r="CL5">
        <v>407.99999999940002</v>
      </c>
      <c r="CM5">
        <v>413.70000000099998</v>
      </c>
      <c r="CN5">
        <v>419.5</v>
      </c>
      <c r="CO5">
        <v>425.30000000080003</v>
      </c>
      <c r="CP5">
        <v>430.3</v>
      </c>
      <c r="CQ5">
        <v>435.2999999992</v>
      </c>
      <c r="CR5">
        <v>440.80000000029997</v>
      </c>
      <c r="CS5">
        <v>446.09999999920001</v>
      </c>
      <c r="CT5">
        <v>451.0000000009</v>
      </c>
      <c r="CU5">
        <v>455.5999999993</v>
      </c>
      <c r="CV5">
        <v>458.80000000029997</v>
      </c>
      <c r="CW5">
        <v>461.60000000050002</v>
      </c>
      <c r="CX5">
        <v>461.40000000010002</v>
      </c>
      <c r="CY5">
        <v>461.30000000080003</v>
      </c>
      <c r="CZ5">
        <v>461.19999999970003</v>
      </c>
      <c r="DA5">
        <v>460.99999999929997</v>
      </c>
      <c r="DB5">
        <v>460.9</v>
      </c>
      <c r="DC5">
        <v>460.9</v>
      </c>
      <c r="DD5">
        <v>460.69999999959998</v>
      </c>
      <c r="DE5">
        <v>460.80000000069998</v>
      </c>
      <c r="DF5">
        <v>460.80000000069998</v>
      </c>
      <c r="DG5">
        <v>460.99999999929997</v>
      </c>
      <c r="DH5">
        <v>4.8999999999000003</v>
      </c>
      <c r="DI5">
        <v>2.2000000007999998</v>
      </c>
      <c r="DJ5">
        <v>2.0999999997000001</v>
      </c>
      <c r="DK5">
        <v>2.0999999997000001</v>
      </c>
      <c r="DL5">
        <v>2.2000000007999998</v>
      </c>
      <c r="DM5">
        <v>2.2000000007999998</v>
      </c>
      <c r="DN5">
        <v>2.0999999997000001</v>
      </c>
      <c r="DO5">
        <v>2.0999999997000001</v>
      </c>
      <c r="DP5">
        <v>2.0999999997000001</v>
      </c>
      <c r="DQ5">
        <v>2.0000000004</v>
      </c>
      <c r="DR5">
        <v>1.8999999993000001</v>
      </c>
      <c r="DS5">
        <v>1.8999999993000001</v>
      </c>
      <c r="DT5">
        <v>1.8999999993000001</v>
      </c>
      <c r="DU5">
        <v>1.5000000003</v>
      </c>
      <c r="DV5">
        <v>1.7000000007</v>
      </c>
      <c r="DW5">
        <v>1.3999999992000001</v>
      </c>
      <c r="DX5">
        <v>1.2999999999</v>
      </c>
      <c r="DY5">
        <v>4.8000000005999999</v>
      </c>
      <c r="DZ5">
        <v>11.800000000200001</v>
      </c>
      <c r="EA5">
        <v>18.9000000009</v>
      </c>
      <c r="EB5">
        <v>26.100000001000002</v>
      </c>
      <c r="EC5">
        <v>33.199999999900001</v>
      </c>
      <c r="ED5">
        <v>40.399999999899997</v>
      </c>
      <c r="EE5">
        <v>48.000000000699998</v>
      </c>
      <c r="EF5">
        <v>55.3999999993</v>
      </c>
      <c r="EG5">
        <v>63.099999999399998</v>
      </c>
      <c r="EH5">
        <v>70.900000000600002</v>
      </c>
      <c r="EI5">
        <v>78.600000000700007</v>
      </c>
      <c r="EJ5">
        <v>86.499999999400004</v>
      </c>
      <c r="EK5">
        <v>94.199999999499994</v>
      </c>
      <c r="EL5">
        <v>102.3999999998</v>
      </c>
      <c r="EM5">
        <v>110.3999999996</v>
      </c>
      <c r="EN5">
        <v>119.8000000004</v>
      </c>
      <c r="EO5">
        <v>129.00000000079999</v>
      </c>
      <c r="EP5">
        <v>137.3000000003</v>
      </c>
      <c r="EQ5">
        <v>145.2000000008</v>
      </c>
      <c r="ER5">
        <v>153.50000000029999</v>
      </c>
      <c r="ES5">
        <v>162.50000000040001</v>
      </c>
      <c r="ET5">
        <v>170.5000000002</v>
      </c>
      <c r="EU5">
        <v>179.20000000050001</v>
      </c>
      <c r="EV5">
        <v>187.7000000004</v>
      </c>
      <c r="EW5">
        <v>194.99999999970001</v>
      </c>
      <c r="EX5">
        <v>203.4000000003</v>
      </c>
      <c r="EY5">
        <v>211.60000000049999</v>
      </c>
      <c r="EZ5">
        <v>219.69999999960001</v>
      </c>
      <c r="FA5">
        <v>227.89999999989999</v>
      </c>
      <c r="FB5">
        <v>236.3999999998</v>
      </c>
      <c r="FC5">
        <v>244.3999999996</v>
      </c>
      <c r="FD5">
        <v>252.00000000040001</v>
      </c>
      <c r="FE5">
        <v>260.09999999950003</v>
      </c>
      <c r="FF5">
        <v>268.29999999969999</v>
      </c>
      <c r="FG5">
        <v>275.99999999980002</v>
      </c>
      <c r="FH5">
        <v>283.49999999950001</v>
      </c>
      <c r="FI5">
        <v>290.99999999929997</v>
      </c>
      <c r="FJ5">
        <v>298.50000000080001</v>
      </c>
      <c r="FK5">
        <v>305.50000000040001</v>
      </c>
      <c r="FL5">
        <v>313.20000000049998</v>
      </c>
      <c r="FM5">
        <v>320.79999999950002</v>
      </c>
      <c r="FN5">
        <v>327.69999999980001</v>
      </c>
      <c r="FO5">
        <v>334.60000000010001</v>
      </c>
      <c r="FP5">
        <v>341.50000000049999</v>
      </c>
      <c r="FQ5">
        <v>348.40000000079999</v>
      </c>
      <c r="FR5">
        <v>354.49999999950001</v>
      </c>
      <c r="FS5">
        <v>361.30000000050001</v>
      </c>
      <c r="FT5">
        <v>368.3000000001</v>
      </c>
      <c r="FU5">
        <v>374.59999999920001</v>
      </c>
      <c r="FV5">
        <v>380.69999999970003</v>
      </c>
      <c r="FW5">
        <v>386.70000000089999</v>
      </c>
      <c r="FX5">
        <v>393</v>
      </c>
      <c r="FY5">
        <v>398.90000000010002</v>
      </c>
      <c r="FZ5">
        <v>404.50000000059998</v>
      </c>
      <c r="GA5">
        <v>410.79999999969999</v>
      </c>
      <c r="GB5">
        <v>415.9</v>
      </c>
      <c r="GC5">
        <v>421.89999999939999</v>
      </c>
      <c r="GD5">
        <v>427.99999999990001</v>
      </c>
      <c r="GE5">
        <v>431.89999999960003</v>
      </c>
      <c r="GF5">
        <v>437.2999999996</v>
      </c>
      <c r="GG5">
        <v>443.19999999970003</v>
      </c>
      <c r="GH5">
        <v>446.2999999996</v>
      </c>
      <c r="GI5">
        <v>451.99999999929997</v>
      </c>
      <c r="GJ5">
        <v>456.40000000089998</v>
      </c>
      <c r="GK5">
        <v>457.8000000001</v>
      </c>
      <c r="GL5">
        <v>460.19999999949999</v>
      </c>
      <c r="GM5">
        <v>461.10000000039997</v>
      </c>
      <c r="GN5">
        <v>461.19999999970003</v>
      </c>
      <c r="GO5">
        <v>460.99999999929997</v>
      </c>
      <c r="GP5">
        <v>461.10000000039997</v>
      </c>
      <c r="GQ5">
        <v>460.99999999929997</v>
      </c>
      <c r="GR5">
        <v>460.99999999929997</v>
      </c>
      <c r="GS5">
        <v>460.9</v>
      </c>
      <c r="GT5">
        <v>460.99999999929997</v>
      </c>
      <c r="GU5">
        <v>460.9</v>
      </c>
      <c r="GV5">
        <v>460.9</v>
      </c>
      <c r="GW5">
        <v>460.69999999959998</v>
      </c>
      <c r="GX5">
        <v>1</v>
      </c>
      <c r="GY5">
        <v>111.69999999949999</v>
      </c>
      <c r="GZ5">
        <v>112.90000000009999</v>
      </c>
      <c r="HA5">
        <v>112.90000000009999</v>
      </c>
      <c r="HB5">
        <v>119.8000000004</v>
      </c>
      <c r="HC5">
        <v>114.6401430586</v>
      </c>
      <c r="HD5">
        <v>-6.9000000003000004</v>
      </c>
      <c r="HE5">
        <v>460.7003251324</v>
      </c>
      <c r="HF5">
        <v>295.17576677099999</v>
      </c>
      <c r="HG5">
        <v>101.0476102745</v>
      </c>
      <c r="HH5">
        <v>461.60000000050002</v>
      </c>
      <c r="HI5">
        <v>461.20002167529998</v>
      </c>
      <c r="HJ5">
        <v>461.60000000050002</v>
      </c>
      <c r="HK5">
        <v>461.19999999970003</v>
      </c>
      <c r="HL5">
        <v>119.6480938416</v>
      </c>
      <c r="HM5">
        <v>3.3497553835999998</v>
      </c>
      <c r="HN5">
        <v>3.2599814464999999</v>
      </c>
      <c r="HO5">
        <v>3.3089159914000001</v>
      </c>
      <c r="HP5">
        <v>3.1679537893999998</v>
      </c>
      <c r="HQ5">
        <v>3.5423136980000001</v>
      </c>
      <c r="HR5">
        <v>2.2618181842</v>
      </c>
      <c r="HS5">
        <v>13.592532784099999</v>
      </c>
      <c r="HT5">
        <v>-30.4985337243</v>
      </c>
      <c r="HU5">
        <v>-208</v>
      </c>
      <c r="HV5">
        <v>409.81590982950001</v>
      </c>
      <c r="HW5">
        <v>91.495601172999997</v>
      </c>
      <c r="HX5">
        <v>624</v>
      </c>
      <c r="HY5">
        <v>13.592532784099999</v>
      </c>
      <c r="HZ5">
        <v>-30.4985337243</v>
      </c>
      <c r="IA5">
        <v>-208</v>
      </c>
      <c r="IB5">
        <v>409.81590982950001</v>
      </c>
      <c r="IC5">
        <v>91.495601172999997</v>
      </c>
      <c r="ID5">
        <v>624</v>
      </c>
      <c r="IE5">
        <v>51.384111845699998</v>
      </c>
      <c r="IF5">
        <v>0.70159315099999997</v>
      </c>
      <c r="IG5">
        <v>-39.8826979472</v>
      </c>
      <c r="IH5">
        <v>-272</v>
      </c>
      <c r="II5">
        <v>431.43148368879997</v>
      </c>
      <c r="IJ5">
        <v>100.87976539589999</v>
      </c>
      <c r="IK5">
        <v>688</v>
      </c>
      <c r="IL5">
        <v>396.2233770455</v>
      </c>
      <c r="IM5">
        <v>121.9941348974</v>
      </c>
      <c r="IN5">
        <v>419.80280697910001</v>
      </c>
      <c r="IO5">
        <v>131.37829912020001</v>
      </c>
      <c r="IP5">
        <v>7.1000000006999997</v>
      </c>
      <c r="IQ5">
        <v>6.1000000004999997</v>
      </c>
      <c r="IR5">
        <v>9.4000000008000004</v>
      </c>
      <c r="IS5">
        <v>5.9927353486000001</v>
      </c>
      <c r="IT5">
        <v>5.9927353486000001</v>
      </c>
      <c r="IU5">
        <v>5.5000000011000001</v>
      </c>
      <c r="IV5">
        <v>-30.4985337243</v>
      </c>
      <c r="IW5">
        <v>8.4000000006000004</v>
      </c>
      <c r="IX5">
        <v>75.073313783000003</v>
      </c>
      <c r="IY5">
        <v>8.4999999999</v>
      </c>
      <c r="IZ5">
        <v>98.533724340199996</v>
      </c>
      <c r="JA5">
        <v>-34.638463856800001</v>
      </c>
      <c r="JB5">
        <v>0.33152264749999999</v>
      </c>
      <c r="JC5">
        <v>-3.3810939999999999E-4</v>
      </c>
      <c r="JD5">
        <v>6.8479999999999999E-7</v>
      </c>
      <c r="JE5">
        <v>0.29852926120000001</v>
      </c>
      <c r="JF5">
        <v>0.30555394920000001</v>
      </c>
      <c r="JG5">
        <v>0.13595158930000001</v>
      </c>
      <c r="JH5">
        <v>115.284517846</v>
      </c>
      <c r="JI5">
        <v>3.5423136980000001</v>
      </c>
      <c r="JJ5">
        <v>2.8536121000000002E-3</v>
      </c>
      <c r="JK5">
        <v>-7.1779000000000005E-5</v>
      </c>
      <c r="JL5">
        <v>3.3497553835999998</v>
      </c>
      <c r="JM5">
        <v>1.6528067984999999</v>
      </c>
      <c r="JN5">
        <v>0.71638003279999996</v>
      </c>
      <c r="JO5">
        <v>3.0263750002999998</v>
      </c>
      <c r="JP5">
        <v>2.6001250001999998</v>
      </c>
      <c r="JQ5">
        <v>4.0067500004000003</v>
      </c>
      <c r="JR5" s="17" t="s">
        <v>544</v>
      </c>
      <c r="JU5" s="17">
        <v>1</v>
      </c>
    </row>
    <row r="6" spans="1:281">
      <c r="A6" t="s">
        <v>598</v>
      </c>
      <c r="B6" t="s">
        <v>599</v>
      </c>
      <c r="C6" t="s">
        <v>600</v>
      </c>
      <c r="D6" t="s">
        <v>213</v>
      </c>
      <c r="E6">
        <v>3</v>
      </c>
      <c r="F6" t="s">
        <v>214</v>
      </c>
      <c r="G6" t="s">
        <v>215</v>
      </c>
      <c r="H6" t="s">
        <v>543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0.7000000005</v>
      </c>
      <c r="S6">
        <v>0.1000000011</v>
      </c>
      <c r="T6">
        <v>0.1000000011</v>
      </c>
      <c r="U6">
        <v>0.20000000039999999</v>
      </c>
      <c r="V6">
        <v>0.1000000011</v>
      </c>
      <c r="W6">
        <v>0</v>
      </c>
      <c r="X6">
        <v>0</v>
      </c>
      <c r="Y6">
        <v>0.1000000011</v>
      </c>
      <c r="Z6">
        <v>0.1000000011</v>
      </c>
      <c r="AA6">
        <v>0</v>
      </c>
      <c r="AB6">
        <v>0.1000000011</v>
      </c>
      <c r="AC6">
        <v>0</v>
      </c>
      <c r="AD6">
        <v>0.1000000011</v>
      </c>
      <c r="AE6">
        <v>0.20000000039999999</v>
      </c>
      <c r="AF6">
        <v>0</v>
      </c>
      <c r="AG6">
        <v>0.1000000011</v>
      </c>
      <c r="AH6">
        <v>0.20000000039999999</v>
      </c>
      <c r="AI6">
        <v>0.1000000011</v>
      </c>
      <c r="AJ6">
        <v>2.8000000001999998</v>
      </c>
      <c r="AK6">
        <v>8.4999999999</v>
      </c>
      <c r="AL6">
        <v>15.1000000005</v>
      </c>
      <c r="AM6">
        <v>22.1000000001</v>
      </c>
      <c r="AN6">
        <v>29.4000000013</v>
      </c>
      <c r="AO6">
        <v>36.600000001300003</v>
      </c>
      <c r="AP6">
        <v>43.600000000900003</v>
      </c>
      <c r="AQ6">
        <v>50.600000000500003</v>
      </c>
      <c r="AR6">
        <v>58.300000000600001</v>
      </c>
      <c r="AS6">
        <v>66.200000001099994</v>
      </c>
      <c r="AT6">
        <v>74.000000000499995</v>
      </c>
      <c r="AU6">
        <v>81.900000000999995</v>
      </c>
      <c r="AV6">
        <v>89.5</v>
      </c>
      <c r="AW6">
        <v>97.200000000200006</v>
      </c>
      <c r="AX6">
        <v>105.2</v>
      </c>
      <c r="AY6">
        <v>114.0000000014</v>
      </c>
      <c r="AZ6">
        <v>122.50000000129999</v>
      </c>
      <c r="BA6">
        <v>130.90000000009999</v>
      </c>
      <c r="BB6">
        <v>138.80000000059999</v>
      </c>
      <c r="BC6">
        <v>146.80000000039999</v>
      </c>
      <c r="BD6">
        <v>154.59999999979999</v>
      </c>
      <c r="BE6">
        <v>162.50000000040001</v>
      </c>
      <c r="BF6">
        <v>171.10000000139999</v>
      </c>
      <c r="BG6">
        <v>179.20000000050001</v>
      </c>
      <c r="BH6">
        <v>187.7000000004</v>
      </c>
      <c r="BI6">
        <v>195.70000000019999</v>
      </c>
      <c r="BJ6">
        <v>203.1999999999</v>
      </c>
      <c r="BK6">
        <v>210.80000000070001</v>
      </c>
      <c r="BL6">
        <v>219.00000000099999</v>
      </c>
      <c r="BM6">
        <v>227.30000000050001</v>
      </c>
      <c r="BN6">
        <v>235.00000000060001</v>
      </c>
      <c r="BO6">
        <v>243.00000000040001</v>
      </c>
      <c r="BP6">
        <v>250.60000000119999</v>
      </c>
      <c r="BQ6">
        <v>257.99999999980002</v>
      </c>
      <c r="BR6">
        <v>265.00000000120002</v>
      </c>
      <c r="BS6">
        <v>272.89999999989999</v>
      </c>
      <c r="BT6">
        <v>280.30000000040002</v>
      </c>
      <c r="BU6">
        <v>288.00000000049999</v>
      </c>
      <c r="BV6">
        <v>295.29999999979998</v>
      </c>
      <c r="BW6">
        <v>302.20000000009998</v>
      </c>
      <c r="BX6">
        <v>309.60000000050002</v>
      </c>
      <c r="BY6">
        <v>315.80000000029997</v>
      </c>
      <c r="BZ6">
        <v>322.70000000060003</v>
      </c>
      <c r="CA6">
        <v>330.10000000100001</v>
      </c>
      <c r="CB6">
        <v>336.60000000050002</v>
      </c>
      <c r="CC6">
        <v>343.7000000013</v>
      </c>
      <c r="CD6">
        <v>350.10000000150001</v>
      </c>
      <c r="CE6">
        <v>356.30000000130002</v>
      </c>
      <c r="CF6">
        <v>362.70000000149997</v>
      </c>
      <c r="CG6">
        <v>368.70000000089999</v>
      </c>
      <c r="CH6">
        <v>374.30000000130002</v>
      </c>
      <c r="CI6">
        <v>380.69999999970003</v>
      </c>
      <c r="CJ6">
        <v>387.00000000059998</v>
      </c>
      <c r="CK6">
        <v>392.70000000030001</v>
      </c>
      <c r="CL6">
        <v>399.00000000130001</v>
      </c>
      <c r="CM6">
        <v>404.40000000129999</v>
      </c>
      <c r="CN6">
        <v>409.80000000130002</v>
      </c>
      <c r="CO6">
        <v>415.39999999989999</v>
      </c>
      <c r="CP6">
        <v>420.50000000019998</v>
      </c>
      <c r="CQ6">
        <v>425.60000000050002</v>
      </c>
      <c r="CR6">
        <v>431.09999999979999</v>
      </c>
      <c r="CS6">
        <v>436.70000000020002</v>
      </c>
      <c r="CT6">
        <v>441.50000000080001</v>
      </c>
      <c r="CU6">
        <v>447.00000000009999</v>
      </c>
      <c r="CV6">
        <v>452.30000000080003</v>
      </c>
      <c r="CW6">
        <v>455.90000000079999</v>
      </c>
      <c r="CX6">
        <v>459.00000000070003</v>
      </c>
      <c r="CY6">
        <v>459.1</v>
      </c>
      <c r="CZ6">
        <v>458.90000000139997</v>
      </c>
      <c r="DA6">
        <v>459.1</v>
      </c>
      <c r="DB6">
        <v>459.1</v>
      </c>
      <c r="DC6">
        <v>459.20000000110002</v>
      </c>
      <c r="DD6">
        <v>459.1</v>
      </c>
      <c r="DE6">
        <v>459.20000000110002</v>
      </c>
      <c r="DF6">
        <v>459.20000000110002</v>
      </c>
      <c r="DG6">
        <v>459.00000000070003</v>
      </c>
      <c r="DH6">
        <v>1.6000000014</v>
      </c>
      <c r="DI6">
        <v>1.0000000002</v>
      </c>
      <c r="DJ6">
        <v>1.0000000002</v>
      </c>
      <c r="DK6">
        <v>0.90000000089999999</v>
      </c>
      <c r="DL6">
        <v>1.2000000006</v>
      </c>
      <c r="DM6">
        <v>1.1000000013</v>
      </c>
      <c r="DN6">
        <v>1.0000000002</v>
      </c>
      <c r="DO6">
        <v>1.2000000006</v>
      </c>
      <c r="DP6">
        <v>1.1000000013</v>
      </c>
      <c r="DQ6">
        <v>1.1000000013</v>
      </c>
      <c r="DR6">
        <v>1.1000000013</v>
      </c>
      <c r="DS6">
        <v>1.1000000013</v>
      </c>
      <c r="DT6">
        <v>1.1000000013</v>
      </c>
      <c r="DU6">
        <v>1.0000000002</v>
      </c>
      <c r="DV6">
        <v>1.1000000013</v>
      </c>
      <c r="DW6">
        <v>0.90000000089999999</v>
      </c>
      <c r="DX6">
        <v>1.0000000002</v>
      </c>
      <c r="DY6">
        <v>1.9000000011</v>
      </c>
      <c r="DZ6">
        <v>6.6000000005999997</v>
      </c>
      <c r="EA6">
        <v>13.6000000002</v>
      </c>
      <c r="EB6">
        <v>20.800000000200001</v>
      </c>
      <c r="EC6">
        <v>28.200000000700001</v>
      </c>
      <c r="ED6">
        <v>34.999999999899998</v>
      </c>
      <c r="EE6">
        <v>42.400000000299997</v>
      </c>
      <c r="EF6">
        <v>49.200000001299998</v>
      </c>
      <c r="EG6">
        <v>56.500000000599996</v>
      </c>
      <c r="EH6">
        <v>64.500000000399993</v>
      </c>
      <c r="EI6">
        <v>72.200000000499998</v>
      </c>
      <c r="EJ6">
        <v>80.400000000700004</v>
      </c>
      <c r="EK6">
        <v>87.900000000399999</v>
      </c>
      <c r="EL6">
        <v>95.500000001299995</v>
      </c>
      <c r="EM6">
        <v>103.1000000003</v>
      </c>
      <c r="EN6">
        <v>111.8999999999</v>
      </c>
      <c r="EO6">
        <v>120.3999999998</v>
      </c>
      <c r="EP6">
        <v>129.00000000079999</v>
      </c>
      <c r="EQ6">
        <v>137.4000000014</v>
      </c>
      <c r="ER6">
        <v>144.90000000110001</v>
      </c>
      <c r="ES6">
        <v>153.0000000002</v>
      </c>
      <c r="ET6">
        <v>160.7000000004</v>
      </c>
      <c r="EU6">
        <v>169.30000000140001</v>
      </c>
      <c r="EV6">
        <v>177.4999999998</v>
      </c>
      <c r="EW6">
        <v>186.3000000012</v>
      </c>
      <c r="EX6">
        <v>194.1999999999</v>
      </c>
      <c r="EY6">
        <v>202.1000000004</v>
      </c>
      <c r="EZ6">
        <v>209.60000000010001</v>
      </c>
      <c r="FA6">
        <v>217.80000000039999</v>
      </c>
      <c r="FB6">
        <v>226.20000000100001</v>
      </c>
      <c r="FC6">
        <v>234.4000000012</v>
      </c>
      <c r="FD6">
        <v>242.400000001</v>
      </c>
      <c r="FE6">
        <v>249.9000000007</v>
      </c>
      <c r="FF6">
        <v>257.80000000119998</v>
      </c>
      <c r="FG6">
        <v>265.10000000050002</v>
      </c>
      <c r="FH6">
        <v>272.89999999989999</v>
      </c>
      <c r="FI6">
        <v>280.50000000080001</v>
      </c>
      <c r="FJ6">
        <v>288.40000000129999</v>
      </c>
      <c r="FK6">
        <v>296.00000000030002</v>
      </c>
      <c r="FL6">
        <v>302.80000000130002</v>
      </c>
      <c r="FM6">
        <v>309.90000000020001</v>
      </c>
      <c r="FN6">
        <v>316.60000000010001</v>
      </c>
      <c r="FO6">
        <v>323.8000000001</v>
      </c>
      <c r="FP6">
        <v>330.79999999969999</v>
      </c>
      <c r="FQ6">
        <v>337.7</v>
      </c>
      <c r="FR6">
        <v>345.10000000050002</v>
      </c>
      <c r="FS6">
        <v>351.30000000029997</v>
      </c>
      <c r="FT6">
        <v>357.50000000009999</v>
      </c>
      <c r="FU6">
        <v>363.9000000003</v>
      </c>
      <c r="FV6">
        <v>369.90000000150002</v>
      </c>
      <c r="FW6">
        <v>376.29999999990002</v>
      </c>
      <c r="FX6">
        <v>382.40000000039998</v>
      </c>
      <c r="FY6">
        <v>388.6000000002</v>
      </c>
      <c r="FZ6">
        <v>394.90000000110001</v>
      </c>
      <c r="GA6">
        <v>400.90000000049997</v>
      </c>
      <c r="GB6">
        <v>406.60000000029999</v>
      </c>
      <c r="GC6">
        <v>411.60000000129997</v>
      </c>
      <c r="GD6">
        <v>417.300000001</v>
      </c>
      <c r="GE6">
        <v>422.30000000019999</v>
      </c>
      <c r="GF6">
        <v>427.40000000049997</v>
      </c>
      <c r="GG6">
        <v>432.80000000050001</v>
      </c>
      <c r="GH6">
        <v>438.00000000009999</v>
      </c>
      <c r="GI6">
        <v>442.80000000069998</v>
      </c>
      <c r="GJ6">
        <v>447.90000000100002</v>
      </c>
      <c r="GK6">
        <v>452.40000000010002</v>
      </c>
      <c r="GL6">
        <v>455.79999999969999</v>
      </c>
      <c r="GM6">
        <v>458.50000000059998</v>
      </c>
      <c r="GN6">
        <v>458.90000000139997</v>
      </c>
      <c r="GO6">
        <v>458.90000000139997</v>
      </c>
      <c r="GP6">
        <v>458.90000000139997</v>
      </c>
      <c r="GQ6">
        <v>458.90000000139997</v>
      </c>
      <c r="GR6">
        <v>459.1</v>
      </c>
      <c r="GS6">
        <v>459.00000000070003</v>
      </c>
      <c r="GT6">
        <v>459.00000000070003</v>
      </c>
      <c r="GU6">
        <v>459.1</v>
      </c>
      <c r="GV6">
        <v>459.00000000070003</v>
      </c>
      <c r="GW6">
        <v>459.20000000110002</v>
      </c>
      <c r="GX6">
        <v>1</v>
      </c>
      <c r="GY6">
        <v>106.70000000029999</v>
      </c>
      <c r="GZ6">
        <v>105.2</v>
      </c>
      <c r="HA6">
        <v>105.2</v>
      </c>
      <c r="HB6">
        <v>111.8999999999</v>
      </c>
      <c r="HC6">
        <v>106.78398126970001</v>
      </c>
      <c r="HD6">
        <v>-6.6999999999000002</v>
      </c>
      <c r="HE6">
        <v>459.1999782218</v>
      </c>
      <c r="HF6">
        <v>309.77116410870002</v>
      </c>
      <c r="HG6">
        <v>91.461145594499996</v>
      </c>
      <c r="HH6">
        <v>459.20000000110002</v>
      </c>
      <c r="HI6">
        <v>459.1999782218</v>
      </c>
      <c r="HJ6">
        <v>459.20000000110002</v>
      </c>
      <c r="HK6">
        <v>459.20000000110002</v>
      </c>
      <c r="HL6">
        <v>119.6480938416</v>
      </c>
      <c r="HM6">
        <v>3.2625394631</v>
      </c>
      <c r="HN6">
        <v>3.1787922527000001</v>
      </c>
      <c r="HO6">
        <v>3.2645381490999998</v>
      </c>
      <c r="HP6">
        <v>3.1550558389000001</v>
      </c>
      <c r="HQ6">
        <v>3.4565025917000001</v>
      </c>
      <c r="HR6">
        <v>2.1838691759</v>
      </c>
      <c r="HS6">
        <v>15.3228356751</v>
      </c>
      <c r="HT6">
        <v>-28.152492668600001</v>
      </c>
      <c r="HU6">
        <v>-192</v>
      </c>
      <c r="HV6">
        <v>416.55514537829998</v>
      </c>
      <c r="HW6">
        <v>98.533724340199996</v>
      </c>
      <c r="HX6">
        <v>672</v>
      </c>
      <c r="HY6">
        <v>15.3228356751</v>
      </c>
      <c r="HZ6">
        <v>-28.152492668600001</v>
      </c>
      <c r="IA6">
        <v>-192</v>
      </c>
      <c r="IB6">
        <v>416.55514537829998</v>
      </c>
      <c r="IC6">
        <v>98.533724340199996</v>
      </c>
      <c r="ID6">
        <v>672</v>
      </c>
      <c r="IE6">
        <v>42.644832843400003</v>
      </c>
      <c r="IF6">
        <v>0.20104541040000001</v>
      </c>
      <c r="IG6">
        <v>-37.536656891500002</v>
      </c>
      <c r="IH6">
        <v>-256</v>
      </c>
      <c r="II6">
        <v>437.63031689000002</v>
      </c>
      <c r="IJ6">
        <v>107.91788856300001</v>
      </c>
      <c r="IK6">
        <v>736</v>
      </c>
      <c r="IL6">
        <v>401.23230970319997</v>
      </c>
      <c r="IM6">
        <v>126.6862170088</v>
      </c>
      <c r="IN6">
        <v>424.0321245783</v>
      </c>
      <c r="IO6">
        <v>136.0703812317</v>
      </c>
      <c r="IP6">
        <v>6.9999999996</v>
      </c>
      <c r="IQ6">
        <v>5.6999999997000002</v>
      </c>
      <c r="IR6">
        <v>8.8000000014000008</v>
      </c>
      <c r="IS6">
        <v>6.5624589543000003</v>
      </c>
      <c r="IT6">
        <v>6.5624589543000003</v>
      </c>
      <c r="IU6">
        <v>5.1000000002999997</v>
      </c>
      <c r="IV6">
        <v>-30.4985337243</v>
      </c>
      <c r="IW6">
        <v>8.4999999999</v>
      </c>
      <c r="IX6">
        <v>70.381231671600005</v>
      </c>
      <c r="IY6">
        <v>7.2</v>
      </c>
      <c r="IZ6">
        <v>105.57184750730001</v>
      </c>
      <c r="JA6">
        <v>-33.090976424499999</v>
      </c>
      <c r="JB6">
        <v>0.3360356035</v>
      </c>
      <c r="JC6">
        <v>-3.2937770000000002E-4</v>
      </c>
      <c r="JD6">
        <v>6.7349999999999999E-7</v>
      </c>
      <c r="JE6">
        <v>0.30650970239999997</v>
      </c>
      <c r="JF6">
        <v>0.26466988339999997</v>
      </c>
      <c r="JG6">
        <v>0.1092148815</v>
      </c>
      <c r="JH6">
        <v>107.8421708815</v>
      </c>
      <c r="JI6">
        <v>3.4565025917000001</v>
      </c>
      <c r="JJ6">
        <v>2.7290028000000002E-3</v>
      </c>
      <c r="JK6">
        <v>-6.2157100000000002E-5</v>
      </c>
      <c r="JL6">
        <v>3.2625394631</v>
      </c>
      <c r="JM6">
        <v>1.2619860759999999</v>
      </c>
      <c r="JN6">
        <v>0.60849504129999998</v>
      </c>
      <c r="JO6">
        <v>2.9837499998000001</v>
      </c>
      <c r="JP6">
        <v>2.4296249999000001</v>
      </c>
      <c r="JQ6">
        <v>3.7510000005999999</v>
      </c>
      <c r="JR6" s="17" t="s">
        <v>544</v>
      </c>
      <c r="JU6" s="17">
        <v>1</v>
      </c>
    </row>
    <row r="7" spans="1:281">
      <c r="A7" t="s">
        <v>614</v>
      </c>
      <c r="B7" t="s">
        <v>615</v>
      </c>
      <c r="C7" t="s">
        <v>616</v>
      </c>
      <c r="D7" t="s">
        <v>213</v>
      </c>
      <c r="E7">
        <v>3</v>
      </c>
      <c r="F7" t="s">
        <v>214</v>
      </c>
      <c r="G7" t="s">
        <v>215</v>
      </c>
      <c r="H7" t="s">
        <v>543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0.3000000015</v>
      </c>
      <c r="S7">
        <v>0.1000000011</v>
      </c>
      <c r="T7">
        <v>0.1000000011</v>
      </c>
      <c r="U7">
        <v>0.1000000011</v>
      </c>
      <c r="V7">
        <v>0.1000000011</v>
      </c>
      <c r="W7">
        <v>0.1000000011</v>
      </c>
      <c r="X7">
        <v>0.1000000011</v>
      </c>
      <c r="Y7">
        <v>0.1000000011</v>
      </c>
      <c r="Z7">
        <v>0.20000000039999999</v>
      </c>
      <c r="AA7">
        <v>0.1000000011</v>
      </c>
      <c r="AB7">
        <v>0.20000000039999999</v>
      </c>
      <c r="AC7">
        <v>0.1000000011</v>
      </c>
      <c r="AD7">
        <v>0</v>
      </c>
      <c r="AE7">
        <v>0</v>
      </c>
      <c r="AF7">
        <v>0.1000000011</v>
      </c>
      <c r="AG7">
        <v>0.1000000011</v>
      </c>
      <c r="AH7">
        <v>0.50000000010000001</v>
      </c>
      <c r="AI7">
        <v>4.0000000008000001</v>
      </c>
      <c r="AJ7">
        <v>8.6000000009999997</v>
      </c>
      <c r="AK7">
        <v>15.300000000900001</v>
      </c>
      <c r="AL7">
        <v>22.4000000017</v>
      </c>
      <c r="AM7">
        <v>29.5000000006</v>
      </c>
      <c r="AN7">
        <v>37.6000000015</v>
      </c>
      <c r="AO7">
        <v>45.200000000499998</v>
      </c>
      <c r="AP7">
        <v>52.600000000900003</v>
      </c>
      <c r="AQ7">
        <v>59.900000000200002</v>
      </c>
      <c r="AR7">
        <v>67.800000000699995</v>
      </c>
      <c r="AS7">
        <v>75.400000001500004</v>
      </c>
      <c r="AT7">
        <v>83.599999999900007</v>
      </c>
      <c r="AU7">
        <v>91.9000000013</v>
      </c>
      <c r="AV7">
        <v>100.3000000001</v>
      </c>
      <c r="AW7">
        <v>108.2000000006</v>
      </c>
      <c r="AX7">
        <v>117.0000000002</v>
      </c>
      <c r="AY7">
        <v>126.1000000013</v>
      </c>
      <c r="AZ7">
        <v>134.60000000119999</v>
      </c>
      <c r="BA7">
        <v>143.3000000015</v>
      </c>
      <c r="BB7">
        <v>152</v>
      </c>
      <c r="BC7">
        <v>160.30000000140001</v>
      </c>
      <c r="BD7">
        <v>168.3000000012</v>
      </c>
      <c r="BE7">
        <v>176.80000000109999</v>
      </c>
      <c r="BF7">
        <v>185.2000000017</v>
      </c>
      <c r="BG7">
        <v>193.50000000119999</v>
      </c>
      <c r="BH7">
        <v>202.60000000049999</v>
      </c>
      <c r="BI7">
        <v>210.80000000070001</v>
      </c>
      <c r="BJ7">
        <v>218.7000000013</v>
      </c>
      <c r="BK7">
        <v>227.10000000010001</v>
      </c>
      <c r="BL7">
        <v>235.10000000170001</v>
      </c>
      <c r="BM7">
        <v>243.2000000008</v>
      </c>
      <c r="BN7">
        <v>251.50000000029999</v>
      </c>
      <c r="BO7">
        <v>259.80000000159998</v>
      </c>
      <c r="BP7">
        <v>267.40000000060002</v>
      </c>
      <c r="BQ7">
        <v>275.10000000069999</v>
      </c>
      <c r="BR7">
        <v>282.90000000020001</v>
      </c>
      <c r="BS7">
        <v>290.50000000099999</v>
      </c>
      <c r="BT7">
        <v>298.20000000110002</v>
      </c>
      <c r="BU7">
        <v>305.9000000012</v>
      </c>
      <c r="BV7">
        <v>313.30000000159998</v>
      </c>
      <c r="BW7">
        <v>320.50000000159997</v>
      </c>
      <c r="BX7">
        <v>327.40000000010002</v>
      </c>
      <c r="BY7">
        <v>334.80000000050001</v>
      </c>
      <c r="BZ7">
        <v>341.60000000159999</v>
      </c>
      <c r="CA7">
        <v>348.50000000009999</v>
      </c>
      <c r="CB7">
        <v>355.60000000079998</v>
      </c>
      <c r="CC7">
        <v>362.50000000109998</v>
      </c>
      <c r="CD7">
        <v>369.00000000059998</v>
      </c>
      <c r="CE7">
        <v>375.3000000015</v>
      </c>
      <c r="CF7">
        <v>381.7000000017</v>
      </c>
      <c r="CG7">
        <v>388.00000000080001</v>
      </c>
      <c r="CH7">
        <v>394.20000000060003</v>
      </c>
      <c r="CI7">
        <v>400.40000000039998</v>
      </c>
      <c r="CJ7">
        <v>406.50000000099999</v>
      </c>
      <c r="CK7">
        <v>412.50000000040001</v>
      </c>
      <c r="CL7">
        <v>418.40000000049997</v>
      </c>
      <c r="CM7">
        <v>423.80000000050001</v>
      </c>
      <c r="CN7">
        <v>429.60000000129997</v>
      </c>
      <c r="CO7">
        <v>435.00000000130001</v>
      </c>
      <c r="CP7">
        <v>440.70000000099998</v>
      </c>
      <c r="CQ7">
        <v>446.00000000170002</v>
      </c>
      <c r="CR7">
        <v>451.30000000059999</v>
      </c>
      <c r="CS7">
        <v>456.79999999990002</v>
      </c>
      <c r="CT7">
        <v>462.0000000014</v>
      </c>
      <c r="CU7">
        <v>467.20000000099998</v>
      </c>
      <c r="CV7">
        <v>467.70000000110002</v>
      </c>
      <c r="CW7">
        <v>468.00000000080001</v>
      </c>
      <c r="CX7">
        <v>468.00000000080001</v>
      </c>
      <c r="CY7">
        <v>468.00000000080001</v>
      </c>
      <c r="CZ7">
        <v>468.00000000080001</v>
      </c>
      <c r="DA7">
        <v>468.00000000080001</v>
      </c>
      <c r="DB7">
        <v>468.00000000080001</v>
      </c>
      <c r="DC7">
        <v>468.00000000080001</v>
      </c>
      <c r="DD7">
        <v>468.1</v>
      </c>
      <c r="DE7">
        <v>467.90000000150002</v>
      </c>
      <c r="DF7">
        <v>468.00000000080001</v>
      </c>
      <c r="DG7">
        <v>467.90000000150002</v>
      </c>
      <c r="DH7">
        <v>1.2000000006</v>
      </c>
      <c r="DI7">
        <v>1.0000000002</v>
      </c>
      <c r="DJ7">
        <v>1.1000000013</v>
      </c>
      <c r="DK7">
        <v>1.1000000013</v>
      </c>
      <c r="DL7">
        <v>0.90000000089999999</v>
      </c>
      <c r="DM7">
        <v>1.1000000013</v>
      </c>
      <c r="DN7">
        <v>1.1000000013</v>
      </c>
      <c r="DO7">
        <v>1.2000000006</v>
      </c>
      <c r="DP7">
        <v>1.2000000006</v>
      </c>
      <c r="DQ7">
        <v>1.2000000006</v>
      </c>
      <c r="DR7">
        <v>1.0000000002</v>
      </c>
      <c r="DS7">
        <v>1.0000000002</v>
      </c>
      <c r="DT7">
        <v>1.0000000002</v>
      </c>
      <c r="DU7">
        <v>1.0000000002</v>
      </c>
      <c r="DV7">
        <v>1.0000000002</v>
      </c>
      <c r="DW7">
        <v>0.80000000159999995</v>
      </c>
      <c r="DX7">
        <v>3.1000000016999998</v>
      </c>
      <c r="DY7">
        <v>6.7000000017000003</v>
      </c>
      <c r="DZ7">
        <v>13.700000001299999</v>
      </c>
      <c r="EA7">
        <v>20.700000000900001</v>
      </c>
      <c r="EB7">
        <v>28.100000001400002</v>
      </c>
      <c r="EC7">
        <v>35.700000000400003</v>
      </c>
      <c r="ED7">
        <v>43.300000001199997</v>
      </c>
      <c r="EE7">
        <v>50.800000000899999</v>
      </c>
      <c r="EF7">
        <v>58.300000000600001</v>
      </c>
      <c r="EG7">
        <v>65.900000001400002</v>
      </c>
      <c r="EH7">
        <v>73.600000001500007</v>
      </c>
      <c r="EI7">
        <v>81.700000000599999</v>
      </c>
      <c r="EJ7">
        <v>90.200000000599999</v>
      </c>
      <c r="EK7">
        <v>98.500000000100002</v>
      </c>
      <c r="EL7">
        <v>106.5000000017</v>
      </c>
      <c r="EM7">
        <v>114.3000000011</v>
      </c>
      <c r="EN7">
        <v>123.5000000015</v>
      </c>
      <c r="EO7">
        <v>132.7000000001</v>
      </c>
      <c r="EP7">
        <v>141.40000000040001</v>
      </c>
      <c r="EQ7">
        <v>150.3000000012</v>
      </c>
      <c r="ER7">
        <v>158.60000000069999</v>
      </c>
      <c r="ES7">
        <v>166.50000000119999</v>
      </c>
      <c r="ET7">
        <v>175.2000000015</v>
      </c>
      <c r="EU7">
        <v>183.40000000169999</v>
      </c>
      <c r="EV7">
        <v>191.90000000160001</v>
      </c>
      <c r="EW7">
        <v>200.90000000160001</v>
      </c>
      <c r="EX7">
        <v>209.20000000109999</v>
      </c>
      <c r="EY7">
        <v>217.4000000014</v>
      </c>
      <c r="EZ7">
        <v>225.60000000159999</v>
      </c>
      <c r="FA7">
        <v>233.50000000029999</v>
      </c>
      <c r="FB7">
        <v>241.80000000160001</v>
      </c>
      <c r="FC7">
        <v>250.2000000004</v>
      </c>
      <c r="FD7">
        <v>258.40000000060002</v>
      </c>
      <c r="FE7">
        <v>266.2</v>
      </c>
      <c r="FF7">
        <v>274.30000000090001</v>
      </c>
      <c r="FG7">
        <v>282.10000000039997</v>
      </c>
      <c r="FH7">
        <v>289.70000000120001</v>
      </c>
      <c r="FI7">
        <v>297.40000000129999</v>
      </c>
      <c r="FJ7">
        <v>305.20000000070002</v>
      </c>
      <c r="FK7">
        <v>312.90000000079999</v>
      </c>
      <c r="FL7">
        <v>320.10000000079998</v>
      </c>
      <c r="FM7">
        <v>327.20000000149997</v>
      </c>
      <c r="FN7">
        <v>334.60000000010001</v>
      </c>
      <c r="FO7">
        <v>341.60000000159999</v>
      </c>
      <c r="FP7">
        <v>348.50000000009999</v>
      </c>
      <c r="FQ7">
        <v>355.40000000039998</v>
      </c>
      <c r="FR7">
        <v>362.50000000109998</v>
      </c>
      <c r="FS7">
        <v>369.20000000099998</v>
      </c>
      <c r="FT7">
        <v>375.40000000079999</v>
      </c>
      <c r="FU7">
        <v>381.800000001</v>
      </c>
      <c r="FV7">
        <v>388.5000000009</v>
      </c>
      <c r="FW7">
        <v>394.50000000030002</v>
      </c>
      <c r="FX7">
        <v>400.60000000079998</v>
      </c>
      <c r="FY7">
        <v>406.9</v>
      </c>
      <c r="FZ7">
        <v>412.8000000001</v>
      </c>
      <c r="GA7">
        <v>418.80000000130002</v>
      </c>
      <c r="GB7">
        <v>424.50000000099999</v>
      </c>
      <c r="GC7">
        <v>430.00000000030002</v>
      </c>
      <c r="GD7">
        <v>435.300000001</v>
      </c>
      <c r="GE7">
        <v>440.90000000139997</v>
      </c>
      <c r="GF7">
        <v>446.10000000100001</v>
      </c>
      <c r="GG7">
        <v>451.40000000169999</v>
      </c>
      <c r="GH7">
        <v>456.50000000019998</v>
      </c>
      <c r="GI7">
        <v>461.40000000010002</v>
      </c>
      <c r="GJ7">
        <v>466.2000000008</v>
      </c>
      <c r="GK7">
        <v>467.70000000110002</v>
      </c>
      <c r="GL7">
        <v>467.59999999989998</v>
      </c>
      <c r="GM7">
        <v>467.70000000110002</v>
      </c>
      <c r="GN7">
        <v>467.80000000040002</v>
      </c>
      <c r="GO7">
        <v>467.70000000110002</v>
      </c>
      <c r="GP7">
        <v>467.90000000150002</v>
      </c>
      <c r="GQ7">
        <v>467.70000000110002</v>
      </c>
      <c r="GR7">
        <v>467.90000000150002</v>
      </c>
      <c r="GS7">
        <v>468.00000000080001</v>
      </c>
      <c r="GT7">
        <v>467.80000000040002</v>
      </c>
      <c r="GU7">
        <v>468.00000000080001</v>
      </c>
      <c r="GV7">
        <v>467.90000000150002</v>
      </c>
      <c r="GW7">
        <v>467.90000000150002</v>
      </c>
      <c r="GX7">
        <v>1</v>
      </c>
      <c r="GY7">
        <v>119.1999999992</v>
      </c>
      <c r="GZ7">
        <v>117.0000000002</v>
      </c>
      <c r="HA7">
        <v>117.0000000002</v>
      </c>
      <c r="HB7">
        <v>123.5000000015</v>
      </c>
      <c r="HC7">
        <v>118.67013888939999</v>
      </c>
      <c r="HD7">
        <v>-6.5000000013000001</v>
      </c>
      <c r="HE7">
        <v>467.90000000150002</v>
      </c>
      <c r="HF7">
        <v>316.19688034239999</v>
      </c>
      <c r="HG7">
        <v>103.16244658079999</v>
      </c>
      <c r="HH7">
        <v>468.1</v>
      </c>
      <c r="HI7">
        <v>468.00000000080001</v>
      </c>
      <c r="HJ7">
        <v>468.1</v>
      </c>
      <c r="HK7">
        <v>468.00000000080001</v>
      </c>
      <c r="HL7">
        <v>114.9560117302</v>
      </c>
      <c r="HM7">
        <v>3.3561682871</v>
      </c>
      <c r="HN7">
        <v>3.2770358600999998</v>
      </c>
      <c r="HO7">
        <v>3.3292677578999998</v>
      </c>
      <c r="HP7">
        <v>3.2716587189999999</v>
      </c>
      <c r="HQ7">
        <v>3.5987230169000002</v>
      </c>
      <c r="HR7">
        <v>2.1294452750000001</v>
      </c>
      <c r="HS7">
        <v>15.507692308599999</v>
      </c>
      <c r="HT7">
        <v>-30.4985337243</v>
      </c>
      <c r="HU7">
        <v>-208</v>
      </c>
      <c r="HV7">
        <v>434.86701923179999</v>
      </c>
      <c r="HW7">
        <v>98.533724340199996</v>
      </c>
      <c r="HX7">
        <v>672</v>
      </c>
      <c r="HY7">
        <v>15.507692308599999</v>
      </c>
      <c r="HZ7">
        <v>-30.4985337243</v>
      </c>
      <c r="IA7">
        <v>-208</v>
      </c>
      <c r="IB7">
        <v>434.86701923179999</v>
      </c>
      <c r="IC7">
        <v>98.533724340199996</v>
      </c>
      <c r="ID7">
        <v>672</v>
      </c>
      <c r="IE7">
        <v>33.132980769</v>
      </c>
      <c r="IF7">
        <v>0.100673078</v>
      </c>
      <c r="IG7">
        <v>-39.8826979472</v>
      </c>
      <c r="IH7">
        <v>-272</v>
      </c>
      <c r="II7">
        <v>456.34333333360001</v>
      </c>
      <c r="IJ7">
        <v>107.91788856300001</v>
      </c>
      <c r="IK7">
        <v>736</v>
      </c>
      <c r="IL7">
        <v>419.3593269232</v>
      </c>
      <c r="IM7">
        <v>129.03225806450001</v>
      </c>
      <c r="IN7">
        <v>441.78528846170002</v>
      </c>
      <c r="IO7">
        <v>138.4164222874</v>
      </c>
      <c r="IP7">
        <v>7.1000000006999997</v>
      </c>
      <c r="IQ7">
        <v>5.6000000003999997</v>
      </c>
      <c r="IR7">
        <v>9.2000000003999993</v>
      </c>
      <c r="IS7">
        <v>7.1396317005999999</v>
      </c>
      <c r="IT7">
        <v>7.1396317005999999</v>
      </c>
      <c r="IU7">
        <v>5.4</v>
      </c>
      <c r="IV7">
        <v>-30.4985337243</v>
      </c>
      <c r="IW7">
        <v>7.4000000004000004</v>
      </c>
      <c r="IX7">
        <v>21.114369501500001</v>
      </c>
      <c r="IY7">
        <v>5.4</v>
      </c>
      <c r="IZ7">
        <v>105.57184750730001</v>
      </c>
      <c r="JA7">
        <v>-35.361435974800003</v>
      </c>
      <c r="JB7">
        <v>0.32763006950000001</v>
      </c>
      <c r="JC7">
        <v>-3.34011E-4</v>
      </c>
      <c r="JD7">
        <v>6.6150000000000004E-7</v>
      </c>
      <c r="JE7">
        <v>0.29795883709999998</v>
      </c>
      <c r="JF7">
        <v>0.25582590379999998</v>
      </c>
      <c r="JG7">
        <v>0.1079272699</v>
      </c>
      <c r="JH7">
        <v>119.66577443529999</v>
      </c>
      <c r="JI7">
        <v>3.5987230169000002</v>
      </c>
      <c r="JJ7">
        <v>2.3323346999999999E-3</v>
      </c>
      <c r="JK7">
        <v>-6.6224700000000003E-5</v>
      </c>
      <c r="JL7">
        <v>3.3561682871</v>
      </c>
      <c r="JM7">
        <v>1.5866611462</v>
      </c>
      <c r="JN7">
        <v>0.73984479660000002</v>
      </c>
      <c r="JO7">
        <v>3.0263750002999998</v>
      </c>
      <c r="JP7">
        <v>2.3870000002</v>
      </c>
      <c r="JQ7">
        <v>3.9215000002</v>
      </c>
      <c r="JR7" s="17" t="s">
        <v>544</v>
      </c>
      <c r="JU7" s="17">
        <v>1</v>
      </c>
    </row>
    <row r="8" spans="1:281">
      <c r="A8" t="s">
        <v>628</v>
      </c>
      <c r="B8" t="s">
        <v>629</v>
      </c>
      <c r="C8" t="s">
        <v>630</v>
      </c>
      <c r="D8" t="s">
        <v>213</v>
      </c>
      <c r="E8">
        <v>3</v>
      </c>
      <c r="F8" t="s">
        <v>214</v>
      </c>
      <c r="G8" t="s">
        <v>215</v>
      </c>
      <c r="H8" t="s">
        <v>543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2.0999999997000001</v>
      </c>
      <c r="S8">
        <v>0.60000000119999997</v>
      </c>
      <c r="T8">
        <v>0.79999999980000003</v>
      </c>
      <c r="U8">
        <v>0.7000000005</v>
      </c>
      <c r="V8">
        <v>0.50000000010000001</v>
      </c>
      <c r="W8">
        <v>0.50000000010000001</v>
      </c>
      <c r="X8">
        <v>0.50000000010000001</v>
      </c>
      <c r="Y8">
        <v>0.20000000039999999</v>
      </c>
      <c r="Z8">
        <v>0.40000000079999998</v>
      </c>
      <c r="AA8">
        <v>0.20000000039999999</v>
      </c>
      <c r="AB8">
        <v>0.29999999970000002</v>
      </c>
      <c r="AC8">
        <v>0</v>
      </c>
      <c r="AD8">
        <v>0.40000000079999998</v>
      </c>
      <c r="AE8">
        <v>0.79999999980000003</v>
      </c>
      <c r="AF8">
        <v>0.60000000119999997</v>
      </c>
      <c r="AG8">
        <v>0.7000000005</v>
      </c>
      <c r="AH8">
        <v>0.7000000005</v>
      </c>
      <c r="AI8">
        <v>3.3999999995999999</v>
      </c>
      <c r="AJ8">
        <v>9.9000000009000004</v>
      </c>
      <c r="AK8">
        <v>16.9000000005</v>
      </c>
      <c r="AL8">
        <v>24.300000000899999</v>
      </c>
      <c r="AM8">
        <v>31.200000001300001</v>
      </c>
      <c r="AN8">
        <v>38.300000000200001</v>
      </c>
      <c r="AO8">
        <v>45.500000000199996</v>
      </c>
      <c r="AP8">
        <v>53.6000000011</v>
      </c>
      <c r="AQ8">
        <v>61.100000000800001</v>
      </c>
      <c r="AR8">
        <v>69.100000000600005</v>
      </c>
      <c r="AS8">
        <v>77.600000000500003</v>
      </c>
      <c r="AT8">
        <v>85.000000000900002</v>
      </c>
      <c r="AU8">
        <v>92.500000000699998</v>
      </c>
      <c r="AV8">
        <v>100.7000000009</v>
      </c>
      <c r="AW8">
        <v>109.3000000001</v>
      </c>
      <c r="AX8">
        <v>117.7000000007</v>
      </c>
      <c r="AY8">
        <v>126.50000000030001</v>
      </c>
      <c r="AZ8">
        <v>135.0000000002</v>
      </c>
      <c r="BA8">
        <v>142.7999999996</v>
      </c>
      <c r="BB8">
        <v>150.80000000129999</v>
      </c>
      <c r="BC8">
        <v>159.4000000005</v>
      </c>
      <c r="BD8">
        <v>167.90000000040001</v>
      </c>
      <c r="BE8">
        <v>176.60000000069999</v>
      </c>
      <c r="BF8">
        <v>185.300000001</v>
      </c>
      <c r="BG8">
        <v>192.9</v>
      </c>
      <c r="BH8">
        <v>201.1000000002</v>
      </c>
      <c r="BI8">
        <v>209.20000000109999</v>
      </c>
      <c r="BJ8">
        <v>217.80000000039999</v>
      </c>
      <c r="BK8">
        <v>226.09999999990001</v>
      </c>
      <c r="BL8">
        <v>234.50000000049999</v>
      </c>
      <c r="BM8">
        <v>242.70000000069999</v>
      </c>
      <c r="BN8">
        <v>249.60000000100001</v>
      </c>
      <c r="BO8">
        <v>257.70000000009998</v>
      </c>
      <c r="BP8">
        <v>265.19999999980001</v>
      </c>
      <c r="BQ8">
        <v>273.60000000039997</v>
      </c>
      <c r="BR8">
        <v>281.30000000059999</v>
      </c>
      <c r="BS8">
        <v>289.20000000110002</v>
      </c>
      <c r="BT8">
        <v>296.8000000001</v>
      </c>
      <c r="BU8">
        <v>303.5</v>
      </c>
      <c r="BV8">
        <v>310.7</v>
      </c>
      <c r="BW8">
        <v>318.19999999970003</v>
      </c>
      <c r="BX8">
        <v>325.39999999970001</v>
      </c>
      <c r="BY8">
        <v>332.50000000040001</v>
      </c>
      <c r="BZ8">
        <v>339.5</v>
      </c>
      <c r="CA8">
        <v>346.80000000119998</v>
      </c>
      <c r="CB8">
        <v>353.10000000029999</v>
      </c>
      <c r="CC8">
        <v>359.0999999997</v>
      </c>
      <c r="CD8">
        <v>365.60000000100001</v>
      </c>
      <c r="CE8">
        <v>372.40000000020001</v>
      </c>
      <c r="CF8">
        <v>378.89999999970001</v>
      </c>
      <c r="CG8">
        <v>385.20000000060003</v>
      </c>
      <c r="CH8">
        <v>391.60000000079998</v>
      </c>
      <c r="CI8">
        <v>397.89999999989999</v>
      </c>
      <c r="CJ8">
        <v>403.7000000008</v>
      </c>
      <c r="CK8">
        <v>409.30000000119998</v>
      </c>
      <c r="CL8">
        <v>414.80000000050001</v>
      </c>
      <c r="CM8">
        <v>420.20000000049998</v>
      </c>
      <c r="CN8">
        <v>426.300000001</v>
      </c>
      <c r="CO8">
        <v>431.80000000029997</v>
      </c>
      <c r="CP8">
        <v>437.20000000030001</v>
      </c>
      <c r="CQ8">
        <v>442.69999999959998</v>
      </c>
      <c r="CR8">
        <v>447.90000000100002</v>
      </c>
      <c r="CS8">
        <v>452.50000000120002</v>
      </c>
      <c r="CT8">
        <v>452.90000000020001</v>
      </c>
      <c r="CU8">
        <v>452.80000000090001</v>
      </c>
      <c r="CV8">
        <v>452.90000000020001</v>
      </c>
      <c r="CW8">
        <v>452.99999999950001</v>
      </c>
      <c r="CX8">
        <v>453.10000000060001</v>
      </c>
      <c r="CY8">
        <v>453.1999999999</v>
      </c>
      <c r="CZ8">
        <v>453.10000000060001</v>
      </c>
      <c r="DA8">
        <v>452.90000000020001</v>
      </c>
      <c r="DB8">
        <v>453.1999999999</v>
      </c>
      <c r="DC8">
        <v>452.80000000090001</v>
      </c>
      <c r="DD8">
        <v>452.90000000020001</v>
      </c>
      <c r="DE8">
        <v>452.99999999950001</v>
      </c>
      <c r="DF8">
        <v>453.10000000060001</v>
      </c>
      <c r="DG8">
        <v>453.10000000060001</v>
      </c>
      <c r="DH8">
        <v>3.0999999999000001</v>
      </c>
      <c r="DI8">
        <v>2.4000000012</v>
      </c>
      <c r="DJ8">
        <v>2.3000000000999998</v>
      </c>
      <c r="DK8">
        <v>2.3000000000999998</v>
      </c>
      <c r="DL8">
        <v>2.2000000007999998</v>
      </c>
      <c r="DM8">
        <v>2.2000000007999998</v>
      </c>
      <c r="DN8">
        <v>2.0000000004</v>
      </c>
      <c r="DO8">
        <v>2.0000000004</v>
      </c>
      <c r="DP8">
        <v>2.0000000004</v>
      </c>
      <c r="DQ8">
        <v>1.9000000011</v>
      </c>
      <c r="DR8">
        <v>1.8</v>
      </c>
      <c r="DS8">
        <v>1.8</v>
      </c>
      <c r="DT8">
        <v>1.9000000011</v>
      </c>
      <c r="DU8">
        <v>1.9000000011</v>
      </c>
      <c r="DV8">
        <v>1.8</v>
      </c>
      <c r="DW8">
        <v>1.8</v>
      </c>
      <c r="DX8">
        <v>2.5999999998000001</v>
      </c>
      <c r="DY8">
        <v>7.9999999998</v>
      </c>
      <c r="DZ8">
        <v>15.300000000900001</v>
      </c>
      <c r="EA8">
        <v>22.8999999999</v>
      </c>
      <c r="EB8">
        <v>29.8999999995</v>
      </c>
      <c r="EC8">
        <v>36.500000000199996</v>
      </c>
      <c r="ED8">
        <v>44.200000000300001</v>
      </c>
      <c r="EE8">
        <v>51.7</v>
      </c>
      <c r="EF8">
        <v>59.600000000500003</v>
      </c>
      <c r="EG8">
        <v>67.699999999599996</v>
      </c>
      <c r="EH8">
        <v>75.800000000500006</v>
      </c>
      <c r="EI8">
        <v>83.399999999499997</v>
      </c>
      <c r="EJ8">
        <v>90.799999999899995</v>
      </c>
      <c r="EK8">
        <v>98.700000000499998</v>
      </c>
      <c r="EL8">
        <v>107.2000000004</v>
      </c>
      <c r="EM8">
        <v>115.4999999999</v>
      </c>
      <c r="EN8">
        <v>124.1000000009</v>
      </c>
      <c r="EO8">
        <v>133.1000000009</v>
      </c>
      <c r="EP8">
        <v>140.49999999950001</v>
      </c>
      <c r="EQ8">
        <v>148.8000000008</v>
      </c>
      <c r="ER8">
        <v>156.9</v>
      </c>
      <c r="ES8">
        <v>165.80000000070001</v>
      </c>
      <c r="ET8">
        <v>174.69999999960001</v>
      </c>
      <c r="EU8">
        <v>183.50000000099999</v>
      </c>
      <c r="EV8">
        <v>191.39999999969999</v>
      </c>
      <c r="EW8">
        <v>199.39999999950001</v>
      </c>
      <c r="EX8">
        <v>207.7000000008</v>
      </c>
      <c r="EY8">
        <v>216.3</v>
      </c>
      <c r="EZ8">
        <v>224.50000000029999</v>
      </c>
      <c r="FA8">
        <v>233.2999999999</v>
      </c>
      <c r="FB8">
        <v>241.60000000119999</v>
      </c>
      <c r="FC8">
        <v>248.9000000005</v>
      </c>
      <c r="FD8">
        <v>256.9000000003</v>
      </c>
      <c r="FE8">
        <v>265.10000000050002</v>
      </c>
      <c r="FF8">
        <v>273.10000000029999</v>
      </c>
      <c r="FG8">
        <v>281.1000000002</v>
      </c>
      <c r="FH8">
        <v>289.00000000070003</v>
      </c>
      <c r="FI8">
        <v>296.3</v>
      </c>
      <c r="FJ8">
        <v>303.2999999996</v>
      </c>
      <c r="FK8">
        <v>310.90000000039998</v>
      </c>
      <c r="FL8">
        <v>318.19999999970003</v>
      </c>
      <c r="FM8">
        <v>325.80000000050001</v>
      </c>
      <c r="FN8">
        <v>333.00000000049999</v>
      </c>
      <c r="FO8">
        <v>340.50000000019998</v>
      </c>
      <c r="FP8">
        <v>347.40000000060002</v>
      </c>
      <c r="FQ8">
        <v>353.80000000080003</v>
      </c>
      <c r="FR8">
        <v>360.30000000029997</v>
      </c>
      <c r="FS8">
        <v>366.70000000049998</v>
      </c>
      <c r="FT8">
        <v>373.60000000079998</v>
      </c>
      <c r="FU8">
        <v>380.10000000029999</v>
      </c>
      <c r="FV8">
        <v>386.59999999979999</v>
      </c>
      <c r="FW8">
        <v>392.9000000007</v>
      </c>
      <c r="FX8">
        <v>399.10000000050002</v>
      </c>
      <c r="FY8">
        <v>404.89999999949998</v>
      </c>
      <c r="FZ8">
        <v>410.10000000100001</v>
      </c>
      <c r="GA8">
        <v>415.9</v>
      </c>
      <c r="GB8">
        <v>421.7000000008</v>
      </c>
      <c r="GC8">
        <v>427.20000000009998</v>
      </c>
      <c r="GD8">
        <v>432.80000000050001</v>
      </c>
      <c r="GE8">
        <v>438.10000000119999</v>
      </c>
      <c r="GF8">
        <v>443.19999999970003</v>
      </c>
      <c r="GG8">
        <v>448.00000000030002</v>
      </c>
      <c r="GH8">
        <v>452.30000000080003</v>
      </c>
      <c r="GI8">
        <v>452.90000000020001</v>
      </c>
      <c r="GJ8">
        <v>452.99999999950001</v>
      </c>
      <c r="GK8">
        <v>452.99999999950001</v>
      </c>
      <c r="GL8">
        <v>452.80000000090001</v>
      </c>
      <c r="GM8">
        <v>452.90000000020001</v>
      </c>
      <c r="GN8">
        <v>452.80000000090001</v>
      </c>
      <c r="GO8">
        <v>452.69999999980001</v>
      </c>
      <c r="GP8">
        <v>452.80000000090001</v>
      </c>
      <c r="GQ8">
        <v>452.80000000090001</v>
      </c>
      <c r="GR8">
        <v>452.90000000020001</v>
      </c>
      <c r="GS8">
        <v>452.90000000020001</v>
      </c>
      <c r="GT8">
        <v>452.99999999950001</v>
      </c>
      <c r="GU8">
        <v>452.99999999950001</v>
      </c>
      <c r="GV8">
        <v>452.99999999950001</v>
      </c>
      <c r="GW8">
        <v>452.99999999950001</v>
      </c>
      <c r="GX8">
        <v>1</v>
      </c>
      <c r="GY8">
        <v>118.00000000039999</v>
      </c>
      <c r="GZ8">
        <v>117.7000000007</v>
      </c>
      <c r="HA8">
        <v>117.7000000007</v>
      </c>
      <c r="HB8">
        <v>124.1000000009</v>
      </c>
      <c r="HC8">
        <v>119.407890962</v>
      </c>
      <c r="HD8">
        <v>-6.4000000002000004</v>
      </c>
      <c r="HE8">
        <v>452.99999999950001</v>
      </c>
      <c r="HF8">
        <v>301.76210131329998</v>
      </c>
      <c r="HG8">
        <v>102.2443438917</v>
      </c>
      <c r="HH8">
        <v>453.1999999999</v>
      </c>
      <c r="HI8">
        <v>452.99999999950001</v>
      </c>
      <c r="HJ8">
        <v>453.1999999999</v>
      </c>
      <c r="HK8">
        <v>452.99999999950001</v>
      </c>
      <c r="HL8">
        <v>107.91788856300001</v>
      </c>
      <c r="HM8">
        <v>3.3531619775000001</v>
      </c>
      <c r="HN8">
        <v>3.2696710996</v>
      </c>
      <c r="HO8">
        <v>3.3136631944000001</v>
      </c>
      <c r="HP8">
        <v>3.1820826299</v>
      </c>
      <c r="HQ8">
        <v>3.5552547494</v>
      </c>
      <c r="HR8">
        <v>2.2205472036999998</v>
      </c>
      <c r="HS8">
        <v>17.1635470704</v>
      </c>
      <c r="HT8">
        <v>-30.4985337243</v>
      </c>
      <c r="HU8">
        <v>-208</v>
      </c>
      <c r="HV8">
        <v>421.16999227539998</v>
      </c>
      <c r="HW8">
        <v>93.841642228699996</v>
      </c>
      <c r="HX8">
        <v>640</v>
      </c>
      <c r="HY8">
        <v>17.1635470704</v>
      </c>
      <c r="HZ8">
        <v>-30.4985337243</v>
      </c>
      <c r="IA8">
        <v>-208</v>
      </c>
      <c r="IB8">
        <v>421.16999227539998</v>
      </c>
      <c r="IC8">
        <v>93.841642228699996</v>
      </c>
      <c r="ID8">
        <v>640</v>
      </c>
      <c r="IE8">
        <v>31.830007724200001</v>
      </c>
      <c r="IF8">
        <v>0.7030349856</v>
      </c>
      <c r="IG8">
        <v>-39.8826979472</v>
      </c>
      <c r="IH8">
        <v>-272</v>
      </c>
      <c r="II8">
        <v>443.02982010789998</v>
      </c>
      <c r="IJ8">
        <v>103.22580645159999</v>
      </c>
      <c r="IK8">
        <v>704</v>
      </c>
      <c r="IL8">
        <v>404.00644520499998</v>
      </c>
      <c r="IM8">
        <v>124.3401759531</v>
      </c>
      <c r="IN8">
        <v>429.00496634019999</v>
      </c>
      <c r="IO8">
        <v>133.724340176</v>
      </c>
      <c r="IP8">
        <v>7.3000000010999999</v>
      </c>
      <c r="IQ8">
        <v>5.6000000003999997</v>
      </c>
      <c r="IR8">
        <v>9</v>
      </c>
      <c r="IS8">
        <v>6.4168046033000001</v>
      </c>
      <c r="IT8">
        <v>6.4168046033000001</v>
      </c>
      <c r="IU8">
        <v>5.4</v>
      </c>
      <c r="IV8">
        <v>-32.844574780099997</v>
      </c>
      <c r="IW8">
        <v>7.9999999998</v>
      </c>
      <c r="IX8">
        <v>63.3431085044</v>
      </c>
      <c r="IY8">
        <v>6.3000000008999999</v>
      </c>
      <c r="IZ8">
        <v>100.87976539589999</v>
      </c>
      <c r="JA8">
        <v>-36.032937193000002</v>
      </c>
      <c r="JB8">
        <v>0.33392122619999998</v>
      </c>
      <c r="JC8">
        <v>-3.4804390000000001E-4</v>
      </c>
      <c r="JD8">
        <v>6.7999999999999995E-7</v>
      </c>
      <c r="JE8">
        <v>0.29822597499999998</v>
      </c>
      <c r="JF8">
        <v>0.202159853</v>
      </c>
      <c r="JG8">
        <v>0.10748198170000001</v>
      </c>
      <c r="JH8">
        <v>119.82121185939999</v>
      </c>
      <c r="JI8">
        <v>3.5552547494</v>
      </c>
      <c r="JJ8">
        <v>2.8729328999999998E-3</v>
      </c>
      <c r="JK8">
        <v>-7.0931000000000002E-5</v>
      </c>
      <c r="JL8">
        <v>3.3531619775000001</v>
      </c>
      <c r="JM8">
        <v>1.1576430176000001</v>
      </c>
      <c r="JN8">
        <v>0.55505015049999995</v>
      </c>
      <c r="JO8">
        <v>3.1116250005000001</v>
      </c>
      <c r="JP8">
        <v>2.3870000002</v>
      </c>
      <c r="JQ8">
        <v>3.8362500000000002</v>
      </c>
      <c r="JR8" s="17" t="s">
        <v>544</v>
      </c>
      <c r="JU8" s="17">
        <v>1</v>
      </c>
    </row>
    <row r="9" spans="1:281">
      <c r="A9" t="s">
        <v>643</v>
      </c>
      <c r="B9" t="s">
        <v>644</v>
      </c>
      <c r="C9" t="s">
        <v>645</v>
      </c>
      <c r="D9" t="s">
        <v>213</v>
      </c>
      <c r="E9">
        <v>3</v>
      </c>
      <c r="F9" t="s">
        <v>214</v>
      </c>
      <c r="G9" t="s">
        <v>215</v>
      </c>
      <c r="H9" t="s">
        <v>543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1.9999999986000001</v>
      </c>
      <c r="S9">
        <v>0.19999999860000001</v>
      </c>
      <c r="T9">
        <v>0.19999999860000001</v>
      </c>
      <c r="U9">
        <v>9.9999999300000003E-2</v>
      </c>
      <c r="V9">
        <v>9.9999999300000003E-2</v>
      </c>
      <c r="W9">
        <v>0.19999999860000001</v>
      </c>
      <c r="X9">
        <v>9.9999999300000003E-2</v>
      </c>
      <c r="Y9">
        <v>9.9999999300000003E-2</v>
      </c>
      <c r="Z9">
        <v>0</v>
      </c>
      <c r="AA9">
        <v>0</v>
      </c>
      <c r="AB9">
        <v>9.9999999300000003E-2</v>
      </c>
      <c r="AC9">
        <v>0.19999999860000001</v>
      </c>
      <c r="AD9">
        <v>9.9999999300000003E-2</v>
      </c>
      <c r="AE9">
        <v>9.9999999300000003E-2</v>
      </c>
      <c r="AF9">
        <v>9.9999999300000003E-2</v>
      </c>
      <c r="AG9">
        <v>1.2999999999</v>
      </c>
      <c r="AH9">
        <v>4.1000000000999997</v>
      </c>
      <c r="AI9">
        <v>8.0999999990999996</v>
      </c>
      <c r="AJ9">
        <v>14.699999999699999</v>
      </c>
      <c r="AK9">
        <v>21.299999998499999</v>
      </c>
      <c r="AL9">
        <v>27.8999999991</v>
      </c>
      <c r="AM9">
        <v>35.299999999599997</v>
      </c>
      <c r="AN9">
        <v>43.099999998999998</v>
      </c>
      <c r="AO9">
        <v>50.499999999400004</v>
      </c>
      <c r="AP9">
        <v>58.399999999899997</v>
      </c>
      <c r="AQ9">
        <v>65.699999999200003</v>
      </c>
      <c r="AR9">
        <v>73.3</v>
      </c>
      <c r="AS9">
        <v>81.399999999100004</v>
      </c>
      <c r="AT9">
        <v>88.700000000200006</v>
      </c>
      <c r="AU9">
        <v>97.499999999899998</v>
      </c>
      <c r="AV9">
        <v>105.7000000001</v>
      </c>
      <c r="AW9">
        <v>113.9000000003</v>
      </c>
      <c r="AX9">
        <v>122.2999999991</v>
      </c>
      <c r="AY9">
        <v>130.29999999890001</v>
      </c>
      <c r="AZ9">
        <v>138.4999999991</v>
      </c>
      <c r="BA9">
        <v>146.79999999859999</v>
      </c>
      <c r="BB9">
        <v>155.09999999990001</v>
      </c>
      <c r="BC9">
        <v>163.8000000003</v>
      </c>
      <c r="BD9">
        <v>172.39999999950001</v>
      </c>
      <c r="BE9">
        <v>180.5999999997</v>
      </c>
      <c r="BF9">
        <v>188.6999999988</v>
      </c>
      <c r="BG9">
        <v>196.79999999969999</v>
      </c>
      <c r="BH9">
        <v>205.5999999993</v>
      </c>
      <c r="BI9">
        <v>213.89999999880001</v>
      </c>
      <c r="BJ9">
        <v>222.20000000019999</v>
      </c>
      <c r="BK9">
        <v>229.99999999959999</v>
      </c>
      <c r="BL9">
        <v>237.99999999939999</v>
      </c>
      <c r="BM9">
        <v>245.6000000002</v>
      </c>
      <c r="BN9">
        <v>253.2999999985</v>
      </c>
      <c r="BO9">
        <v>261.99999999879998</v>
      </c>
      <c r="BP9">
        <v>269.8</v>
      </c>
      <c r="BQ9">
        <v>277.59999999939998</v>
      </c>
      <c r="BR9">
        <v>284.70000000020002</v>
      </c>
      <c r="BS9">
        <v>292.2999999992</v>
      </c>
      <c r="BT9">
        <v>299.49999999919999</v>
      </c>
      <c r="BU9">
        <v>307.29999999860001</v>
      </c>
      <c r="BV9">
        <v>314.699999999</v>
      </c>
      <c r="BW9">
        <v>322.09999999939998</v>
      </c>
      <c r="BX9">
        <v>329.29999999939997</v>
      </c>
      <c r="BY9">
        <v>335.69999999959998</v>
      </c>
      <c r="BZ9">
        <v>342.59999999989998</v>
      </c>
      <c r="CA9">
        <v>349.29999999990002</v>
      </c>
      <c r="CB9">
        <v>355.49999999969998</v>
      </c>
      <c r="CC9">
        <v>362.99999999940002</v>
      </c>
      <c r="CD9">
        <v>369.30000000029997</v>
      </c>
      <c r="CE9">
        <v>375.69999999869998</v>
      </c>
      <c r="CF9">
        <v>382.09999999889999</v>
      </c>
      <c r="CG9">
        <v>387.79999999860001</v>
      </c>
      <c r="CH9">
        <v>393.59999999939998</v>
      </c>
      <c r="CI9">
        <v>399.89999999849999</v>
      </c>
      <c r="CJ9">
        <v>405.19999999919997</v>
      </c>
      <c r="CK9">
        <v>411.29999999979998</v>
      </c>
      <c r="CL9">
        <v>417.4000000003</v>
      </c>
      <c r="CM9">
        <v>422.99999999890002</v>
      </c>
      <c r="CN9">
        <v>428.79999999969999</v>
      </c>
      <c r="CO9">
        <v>434.29999999900002</v>
      </c>
      <c r="CP9">
        <v>438.99999999850002</v>
      </c>
      <c r="CQ9">
        <v>444.2999999992</v>
      </c>
      <c r="CR9">
        <v>449.49999999879998</v>
      </c>
      <c r="CS9">
        <v>454.49999999980002</v>
      </c>
      <c r="CT9">
        <v>456.69999999880002</v>
      </c>
      <c r="CU9">
        <v>456.59999999950003</v>
      </c>
      <c r="CV9">
        <v>456.59999999950003</v>
      </c>
      <c r="CW9">
        <v>456.50000000019998</v>
      </c>
      <c r="CX9">
        <v>456.59999999950003</v>
      </c>
      <c r="CY9">
        <v>456.50000000019998</v>
      </c>
      <c r="CZ9">
        <v>456.39999999909998</v>
      </c>
      <c r="DA9">
        <v>456.29999999979998</v>
      </c>
      <c r="DB9">
        <v>456.29999999979998</v>
      </c>
      <c r="DC9">
        <v>456.19999999869998</v>
      </c>
      <c r="DD9">
        <v>456.09999999939998</v>
      </c>
      <c r="DE9">
        <v>456.19999999869998</v>
      </c>
      <c r="DF9">
        <v>456.00000000009999</v>
      </c>
      <c r="DG9">
        <v>456.29999999979998</v>
      </c>
      <c r="DH9">
        <v>2.9999999987999999</v>
      </c>
      <c r="DI9">
        <v>1.1999999988000001</v>
      </c>
      <c r="DJ9">
        <v>1.0999999995</v>
      </c>
      <c r="DK9">
        <v>1.0999999995</v>
      </c>
      <c r="DL9">
        <v>1.1999999988000001</v>
      </c>
      <c r="DM9">
        <v>1.0999999995</v>
      </c>
      <c r="DN9">
        <v>0.89999999909999995</v>
      </c>
      <c r="DO9">
        <v>1.0000000002</v>
      </c>
      <c r="DP9">
        <v>1.0000000002</v>
      </c>
      <c r="DQ9">
        <v>1.0999999995</v>
      </c>
      <c r="DR9">
        <v>1.1999999988000001</v>
      </c>
      <c r="DS9">
        <v>1.0000000002</v>
      </c>
      <c r="DT9">
        <v>1.0000000002</v>
      </c>
      <c r="DU9">
        <v>1.0999999995</v>
      </c>
      <c r="DV9">
        <v>1.0000000002</v>
      </c>
      <c r="DW9">
        <v>3.7999999986000002</v>
      </c>
      <c r="DX9">
        <v>6.9999999996</v>
      </c>
      <c r="DY9">
        <v>13.799999998800001</v>
      </c>
      <c r="DZ9">
        <v>20.499999998700002</v>
      </c>
      <c r="EA9">
        <v>27.599999999400001</v>
      </c>
      <c r="EB9">
        <v>34.899999998699997</v>
      </c>
      <c r="EC9">
        <v>42.400000000299997</v>
      </c>
      <c r="ED9">
        <v>49.699999999600003</v>
      </c>
      <c r="EE9">
        <v>57.499999999000003</v>
      </c>
      <c r="EF9">
        <v>64.899999999399995</v>
      </c>
      <c r="EG9">
        <v>72.699999998799996</v>
      </c>
      <c r="EH9">
        <v>80.099999999199994</v>
      </c>
      <c r="EI9">
        <v>87.599999998900003</v>
      </c>
      <c r="EJ9">
        <v>96.399999998499993</v>
      </c>
      <c r="EK9">
        <v>104.2999999991</v>
      </c>
      <c r="EL9">
        <v>112.90000000009999</v>
      </c>
      <c r="EM9">
        <v>120.7999999988</v>
      </c>
      <c r="EN9">
        <v>128.89999999969999</v>
      </c>
      <c r="EO9">
        <v>137.09999999990001</v>
      </c>
      <c r="EP9">
        <v>145.49999999869999</v>
      </c>
      <c r="EQ9">
        <v>154.3000000001</v>
      </c>
      <c r="ER9">
        <v>162.5999999997</v>
      </c>
      <c r="ES9">
        <v>171.09999999959999</v>
      </c>
      <c r="ET9">
        <v>179.7999999999</v>
      </c>
      <c r="EU9">
        <v>187.5999999993</v>
      </c>
      <c r="EV9">
        <v>195.59999999909999</v>
      </c>
      <c r="EW9">
        <v>204.70000000019999</v>
      </c>
      <c r="EX9">
        <v>212.99999999970001</v>
      </c>
      <c r="EY9">
        <v>221.49999999970001</v>
      </c>
      <c r="EZ9">
        <v>229.40000000020001</v>
      </c>
      <c r="FA9">
        <v>237.5999999986</v>
      </c>
      <c r="FB9">
        <v>245.4999999991</v>
      </c>
      <c r="FC9">
        <v>253.99999999900001</v>
      </c>
      <c r="FD9">
        <v>261.99999999879998</v>
      </c>
      <c r="FE9">
        <v>270.3000000001</v>
      </c>
      <c r="FF9">
        <v>278.19999999880002</v>
      </c>
      <c r="FG9">
        <v>285.5</v>
      </c>
      <c r="FH9">
        <v>292.99999999969998</v>
      </c>
      <c r="FI9">
        <v>300.49999999940002</v>
      </c>
      <c r="FJ9">
        <v>308.60000000029999</v>
      </c>
      <c r="FK9">
        <v>315.99999999890002</v>
      </c>
      <c r="FL9">
        <v>323.5999999997</v>
      </c>
      <c r="FM9">
        <v>330.69999999859999</v>
      </c>
      <c r="FN9">
        <v>337.49999999959999</v>
      </c>
      <c r="FO9">
        <v>344.59999999849998</v>
      </c>
      <c r="FP9">
        <v>351.19999999919997</v>
      </c>
      <c r="FQ9">
        <v>357.89999999909998</v>
      </c>
      <c r="FR9">
        <v>365.29999999950002</v>
      </c>
      <c r="FS9">
        <v>371.99999999940002</v>
      </c>
      <c r="FT9">
        <v>378.39999999960003</v>
      </c>
      <c r="FU9">
        <v>384.19999999859999</v>
      </c>
      <c r="FV9">
        <v>390.5999999988</v>
      </c>
      <c r="FW9">
        <v>396.69999999930002</v>
      </c>
      <c r="FX9">
        <v>402.39999999899999</v>
      </c>
      <c r="FY9">
        <v>408.29999999910001</v>
      </c>
      <c r="FZ9">
        <v>414.29999999850003</v>
      </c>
      <c r="GA9">
        <v>420.50000000019998</v>
      </c>
      <c r="GB9">
        <v>425.99999999950001</v>
      </c>
      <c r="GC9">
        <v>431.49999999879998</v>
      </c>
      <c r="GD9">
        <v>436.29999999939997</v>
      </c>
      <c r="GE9">
        <v>441.49999999900001</v>
      </c>
      <c r="GF9">
        <v>446.09999999920001</v>
      </c>
      <c r="GG9">
        <v>450.9999999991</v>
      </c>
      <c r="GH9">
        <v>454.99999999990001</v>
      </c>
      <c r="GI9">
        <v>456.29999999979998</v>
      </c>
      <c r="GJ9">
        <v>456.39999999909998</v>
      </c>
      <c r="GK9">
        <v>456.39999999909998</v>
      </c>
      <c r="GL9">
        <v>456.29999999979998</v>
      </c>
      <c r="GM9">
        <v>456.29999999979998</v>
      </c>
      <c r="GN9">
        <v>456.19999999869998</v>
      </c>
      <c r="GO9">
        <v>456.19999999869998</v>
      </c>
      <c r="GP9">
        <v>456.19999999869998</v>
      </c>
      <c r="GQ9">
        <v>456.09999999939998</v>
      </c>
      <c r="GR9">
        <v>456.19999999869998</v>
      </c>
      <c r="GS9">
        <v>456.19999999869998</v>
      </c>
      <c r="GT9">
        <v>456.19999999869998</v>
      </c>
      <c r="GU9">
        <v>456.29999999979998</v>
      </c>
      <c r="GV9">
        <v>456.19999999869998</v>
      </c>
      <c r="GW9">
        <v>456.00000000009999</v>
      </c>
      <c r="GX9">
        <v>1</v>
      </c>
      <c r="GY9">
        <v>122.800000001</v>
      </c>
      <c r="GZ9">
        <v>122.2999999991</v>
      </c>
      <c r="HA9">
        <v>122.2999999991</v>
      </c>
      <c r="HB9">
        <v>128.89999999969999</v>
      </c>
      <c r="HC9">
        <v>124.11570474129999</v>
      </c>
      <c r="HD9">
        <v>-6.6000000005999997</v>
      </c>
      <c r="HE9">
        <v>456.00026284099999</v>
      </c>
      <c r="HF9">
        <v>289.25147300340001</v>
      </c>
      <c r="HG9">
        <v>102.4783156288</v>
      </c>
      <c r="HH9">
        <v>456.69999999880002</v>
      </c>
      <c r="HI9">
        <v>456.40002190249999</v>
      </c>
      <c r="HJ9">
        <v>456.69999999880002</v>
      </c>
      <c r="HK9">
        <v>456.39999999909998</v>
      </c>
      <c r="HL9">
        <v>110.26392961880001</v>
      </c>
      <c r="HM9">
        <v>3.3752507894999999</v>
      </c>
      <c r="HN9">
        <v>3.2803897799000001</v>
      </c>
      <c r="HO9">
        <v>3.3310567952999999</v>
      </c>
      <c r="HP9">
        <v>3.1594275490000001</v>
      </c>
      <c r="HQ9">
        <v>3.5574894917000002</v>
      </c>
      <c r="HR9">
        <v>2.3083815199000002</v>
      </c>
      <c r="HS9">
        <v>21.637389112600001</v>
      </c>
      <c r="HT9">
        <v>-30.4985337243</v>
      </c>
      <c r="HU9">
        <v>-208</v>
      </c>
      <c r="HV9">
        <v>413.36717774480002</v>
      </c>
      <c r="HW9">
        <v>89.149560117299998</v>
      </c>
      <c r="HX9">
        <v>608</v>
      </c>
      <c r="HY9">
        <v>21.637389112600001</v>
      </c>
      <c r="HZ9">
        <v>-30.4985337243</v>
      </c>
      <c r="IA9">
        <v>-208</v>
      </c>
      <c r="IB9">
        <v>413.36717774480002</v>
      </c>
      <c r="IC9">
        <v>89.149560117299998</v>
      </c>
      <c r="ID9">
        <v>608</v>
      </c>
      <c r="IE9">
        <v>43.0328441578</v>
      </c>
      <c r="IF9">
        <v>1.3139634212</v>
      </c>
      <c r="IG9">
        <v>-39.8826979472</v>
      </c>
      <c r="IH9">
        <v>-272</v>
      </c>
      <c r="II9">
        <v>435.90573869180002</v>
      </c>
      <c r="IJ9">
        <v>98.533724340199996</v>
      </c>
      <c r="IK9">
        <v>672</v>
      </c>
      <c r="IL9">
        <v>391.72978863219998</v>
      </c>
      <c r="IM9">
        <v>119.6480938416</v>
      </c>
      <c r="IN9">
        <v>417.1068229114</v>
      </c>
      <c r="IO9">
        <v>129.03225806450001</v>
      </c>
      <c r="IP9">
        <v>6.7999999991999998</v>
      </c>
      <c r="IQ9">
        <v>5.8000000007999999</v>
      </c>
      <c r="IR9">
        <v>9.1000000010999997</v>
      </c>
      <c r="IS9">
        <v>5.1669881996000004</v>
      </c>
      <c r="IT9">
        <v>5.1669881996000004</v>
      </c>
      <c r="IU9">
        <v>5.7999999989999997</v>
      </c>
      <c r="IV9">
        <v>-32.844574780099997</v>
      </c>
      <c r="IW9">
        <v>9.7999999998000007</v>
      </c>
      <c r="IX9">
        <v>70.381231671600005</v>
      </c>
      <c r="IY9">
        <v>8.4999999999</v>
      </c>
      <c r="IZ9">
        <v>96.187683284499997</v>
      </c>
      <c r="JA9">
        <v>-37.542005809700001</v>
      </c>
      <c r="JB9">
        <v>0.33701482370000002</v>
      </c>
      <c r="JC9">
        <v>-3.584371E-4</v>
      </c>
      <c r="JD9">
        <v>6.8660000000000002E-7</v>
      </c>
      <c r="JE9">
        <v>0.2962742807</v>
      </c>
      <c r="JF9">
        <v>0.22080193319999999</v>
      </c>
      <c r="JG9">
        <v>8.5729390799999999E-2</v>
      </c>
      <c r="JH9">
        <v>124.2661491655</v>
      </c>
      <c r="JI9">
        <v>3.5574894917000002</v>
      </c>
      <c r="JJ9">
        <v>3.0766862E-3</v>
      </c>
      <c r="JK9">
        <v>-7.5396700000000003E-5</v>
      </c>
      <c r="JL9">
        <v>3.3752507894999999</v>
      </c>
      <c r="JM9">
        <v>0.95441830360000002</v>
      </c>
      <c r="JN9">
        <v>0.4060472758</v>
      </c>
      <c r="JO9">
        <v>2.8984999996999998</v>
      </c>
      <c r="JP9">
        <v>2.4722500002999999</v>
      </c>
      <c r="JQ9">
        <v>3.8788750004999999</v>
      </c>
      <c r="JR9" s="17" t="s">
        <v>544</v>
      </c>
      <c r="JU9" s="17">
        <v>1</v>
      </c>
    </row>
    <row r="10" spans="1:281">
      <c r="A10" t="s">
        <v>662</v>
      </c>
      <c r="B10" t="s">
        <v>663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543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</v>
      </c>
      <c r="S10">
        <v>0.19999999860000001</v>
      </c>
      <c r="T10">
        <v>0.49999999830000003</v>
      </c>
      <c r="U10">
        <v>0.49999999830000003</v>
      </c>
      <c r="V10">
        <v>0.19999999860000001</v>
      </c>
      <c r="W10">
        <v>0.19999999860000001</v>
      </c>
      <c r="X10">
        <v>0.29999999970000002</v>
      </c>
      <c r="Y10">
        <v>0.39999999899999999</v>
      </c>
      <c r="Z10">
        <v>0.59999999940000004</v>
      </c>
      <c r="AA10">
        <v>0.69999999869999996</v>
      </c>
      <c r="AB10">
        <v>0.49999999830000003</v>
      </c>
      <c r="AC10">
        <v>0.69999999869999996</v>
      </c>
      <c r="AD10">
        <v>0.79999999980000003</v>
      </c>
      <c r="AE10">
        <v>0.79999999980000003</v>
      </c>
      <c r="AF10">
        <v>0.49999999830000003</v>
      </c>
      <c r="AG10">
        <v>0.59999999940000004</v>
      </c>
      <c r="AH10">
        <v>0.79999999980000003</v>
      </c>
      <c r="AI10">
        <v>0.79999999980000003</v>
      </c>
      <c r="AJ10">
        <v>3.8999999996999999</v>
      </c>
      <c r="AK10">
        <v>10.0999999995</v>
      </c>
      <c r="AL10">
        <v>16.799999999400001</v>
      </c>
      <c r="AM10">
        <v>23.699999999700001</v>
      </c>
      <c r="AN10">
        <v>30.799999998600001</v>
      </c>
      <c r="AO10">
        <v>38.099999999799998</v>
      </c>
      <c r="AP10">
        <v>45.5999999995</v>
      </c>
      <c r="AQ10">
        <v>52.799999999500002</v>
      </c>
      <c r="AR10">
        <v>60.999999999700002</v>
      </c>
      <c r="AS10">
        <v>68.699999999799999</v>
      </c>
      <c r="AT10">
        <v>76.4999999992</v>
      </c>
      <c r="AU10">
        <v>84.199999999300005</v>
      </c>
      <c r="AV10">
        <v>91.899999999399995</v>
      </c>
      <c r="AW10">
        <v>100.1999999989</v>
      </c>
      <c r="AX10">
        <v>108.39999999920001</v>
      </c>
      <c r="AY10">
        <v>116.69999999869999</v>
      </c>
      <c r="AZ10">
        <v>125</v>
      </c>
      <c r="BA10">
        <v>133.19999999839999</v>
      </c>
      <c r="BB10">
        <v>141.39999999860001</v>
      </c>
      <c r="BC10">
        <v>149.89999999849999</v>
      </c>
      <c r="BD10">
        <v>158.09999999870001</v>
      </c>
      <c r="BE10">
        <v>166.69999999980001</v>
      </c>
      <c r="BF10">
        <v>174.79999999890001</v>
      </c>
      <c r="BG10">
        <v>182.8999999998</v>
      </c>
      <c r="BH10">
        <v>191.59999999830001</v>
      </c>
      <c r="BI10">
        <v>199.09999999979999</v>
      </c>
      <c r="BJ10">
        <v>207.09999999959999</v>
      </c>
      <c r="BK10">
        <v>215.4999999984</v>
      </c>
      <c r="BL10">
        <v>223.59999999940001</v>
      </c>
      <c r="BM10">
        <v>231.39999999880001</v>
      </c>
      <c r="BN10">
        <v>239.2</v>
      </c>
      <c r="BO10">
        <v>247.09999999870001</v>
      </c>
      <c r="BP10">
        <v>254.89999999989999</v>
      </c>
      <c r="BQ10">
        <v>262.39999999960003</v>
      </c>
      <c r="BR10">
        <v>269.9999999986</v>
      </c>
      <c r="BS10">
        <v>277.29999999969999</v>
      </c>
      <c r="BT10">
        <v>284.59999999899998</v>
      </c>
      <c r="BU10">
        <v>292.1999999999</v>
      </c>
      <c r="BV10">
        <v>299.29999999879999</v>
      </c>
      <c r="BW10">
        <v>306.39999999949998</v>
      </c>
      <c r="BX10">
        <v>313.29999999979998</v>
      </c>
      <c r="BY10">
        <v>320.29999999939997</v>
      </c>
      <c r="BZ10">
        <v>327.19999999970003</v>
      </c>
      <c r="CA10">
        <v>333.59999999989998</v>
      </c>
      <c r="CB10">
        <v>340.19999999869998</v>
      </c>
      <c r="CC10">
        <v>346.99999999980002</v>
      </c>
      <c r="CD10">
        <v>353.09999999839999</v>
      </c>
      <c r="CE10">
        <v>359.199999999</v>
      </c>
      <c r="CF10">
        <v>365.39999999880001</v>
      </c>
      <c r="CG10">
        <v>371.59999999860003</v>
      </c>
      <c r="CH10">
        <v>377.69999999909999</v>
      </c>
      <c r="CI10">
        <v>383.19999999840002</v>
      </c>
      <c r="CJ10">
        <v>388.79999999879999</v>
      </c>
      <c r="CK10">
        <v>394.49999999850002</v>
      </c>
      <c r="CL10">
        <v>400.29999999929998</v>
      </c>
      <c r="CM10">
        <v>405.49999999890002</v>
      </c>
      <c r="CN10">
        <v>410.6999999985</v>
      </c>
      <c r="CO10">
        <v>416.39999999819997</v>
      </c>
      <c r="CP10">
        <v>421.699999999</v>
      </c>
      <c r="CQ10">
        <v>426.99999999969998</v>
      </c>
      <c r="CR10">
        <v>432.1</v>
      </c>
      <c r="CS10">
        <v>436.89999999880001</v>
      </c>
      <c r="CT10">
        <v>441.1</v>
      </c>
      <c r="CU10">
        <v>444.49999999959999</v>
      </c>
      <c r="CV10">
        <v>446.5999999993</v>
      </c>
      <c r="CW10">
        <v>446.69999999859999</v>
      </c>
      <c r="CX10">
        <v>446.5999999993</v>
      </c>
      <c r="CY10">
        <v>446.69999999859999</v>
      </c>
      <c r="CZ10">
        <v>446.79999999969999</v>
      </c>
      <c r="DA10">
        <v>446.79999999969999</v>
      </c>
      <c r="DB10">
        <v>446.89999999899999</v>
      </c>
      <c r="DC10">
        <v>446.79999999969999</v>
      </c>
      <c r="DD10">
        <v>446.79999999969999</v>
      </c>
      <c r="DE10">
        <v>446.89999999899999</v>
      </c>
      <c r="DF10">
        <v>446.99999999829998</v>
      </c>
      <c r="DG10">
        <v>446.89999999899999</v>
      </c>
      <c r="DH10">
        <v>0.89999999909999995</v>
      </c>
      <c r="DI10">
        <v>1.2999999999</v>
      </c>
      <c r="DJ10">
        <v>1.4999999985000001</v>
      </c>
      <c r="DK10">
        <v>1.3999999992000001</v>
      </c>
      <c r="DL10">
        <v>1.4999999985000001</v>
      </c>
      <c r="DM10">
        <v>1.3999999992000001</v>
      </c>
      <c r="DN10">
        <v>1.5999999996000001</v>
      </c>
      <c r="DO10">
        <v>1.6999999989000001</v>
      </c>
      <c r="DP10">
        <v>1.5999999996000001</v>
      </c>
      <c r="DQ10">
        <v>1.6999999989000001</v>
      </c>
      <c r="DR10">
        <v>1.8</v>
      </c>
      <c r="DS10">
        <v>1.8</v>
      </c>
      <c r="DT10">
        <v>1.8</v>
      </c>
      <c r="DU10">
        <v>1.9999999986000001</v>
      </c>
      <c r="DV10">
        <v>1.8</v>
      </c>
      <c r="DW10">
        <v>1.8999999993000001</v>
      </c>
      <c r="DX10">
        <v>1.8999999993000001</v>
      </c>
      <c r="DY10">
        <v>2.9999999987999999</v>
      </c>
      <c r="DZ10">
        <v>8.7999999996000007</v>
      </c>
      <c r="EA10">
        <v>15.8999999985</v>
      </c>
      <c r="EB10">
        <v>22.8999999999</v>
      </c>
      <c r="EC10">
        <v>30.199999999199999</v>
      </c>
      <c r="ED10">
        <v>37.199999998800003</v>
      </c>
      <c r="EE10">
        <v>44.799999999699999</v>
      </c>
      <c r="EF10">
        <v>51.999999999700002</v>
      </c>
      <c r="EG10">
        <v>59.899999998399998</v>
      </c>
      <c r="EH10">
        <v>67.4999999992</v>
      </c>
      <c r="EI10">
        <v>75.299999998600001</v>
      </c>
      <c r="EJ10">
        <v>83.199999999100001</v>
      </c>
      <c r="EK10">
        <v>90.699999998799996</v>
      </c>
      <c r="EL10">
        <v>98.899999999000002</v>
      </c>
      <c r="EM10">
        <v>107</v>
      </c>
      <c r="EN10">
        <v>115.6999999985</v>
      </c>
      <c r="EO10">
        <v>123.6999999983</v>
      </c>
      <c r="EP10">
        <v>132.29999999930001</v>
      </c>
      <c r="EQ10">
        <v>140.49999999950001</v>
      </c>
      <c r="ER10">
        <v>148.79999999899999</v>
      </c>
      <c r="ES10">
        <v>157.19999999960001</v>
      </c>
      <c r="ET10">
        <v>165.39999999989999</v>
      </c>
      <c r="EU10">
        <v>173.8999999998</v>
      </c>
      <c r="EV10">
        <v>182.19999999929999</v>
      </c>
      <c r="EW10">
        <v>190.6999999992</v>
      </c>
      <c r="EX10">
        <v>198.89999999939999</v>
      </c>
      <c r="EY10">
        <v>206.99999999849999</v>
      </c>
      <c r="EZ10">
        <v>215.19999999870001</v>
      </c>
      <c r="FA10">
        <v>223.59999999940001</v>
      </c>
      <c r="FB10">
        <v>231.6999999985</v>
      </c>
      <c r="FC10">
        <v>239.599999999</v>
      </c>
      <c r="FD10">
        <v>247.49999999950001</v>
      </c>
      <c r="FE10">
        <v>255.4999999993</v>
      </c>
      <c r="FF10">
        <v>263.19999999940001</v>
      </c>
      <c r="FG10">
        <v>271.29999999850003</v>
      </c>
      <c r="FH10">
        <v>278.59999999960002</v>
      </c>
      <c r="FI10">
        <v>286.29999999979998</v>
      </c>
      <c r="FJ10">
        <v>293.79999999950002</v>
      </c>
      <c r="FK10">
        <v>300.99999999950001</v>
      </c>
      <c r="FL10">
        <v>308.29999999879999</v>
      </c>
      <c r="FM10">
        <v>315.59999999989998</v>
      </c>
      <c r="FN10">
        <v>322.79999999990002</v>
      </c>
      <c r="FO10">
        <v>329.69999999840002</v>
      </c>
      <c r="FP10">
        <v>336.49999999940002</v>
      </c>
      <c r="FQ10">
        <v>343.39999999970001</v>
      </c>
      <c r="FR10">
        <v>349.99999999850002</v>
      </c>
      <c r="FS10">
        <v>356.39999999880001</v>
      </c>
      <c r="FT10">
        <v>362.89999999830002</v>
      </c>
      <c r="FU10">
        <v>369.19999999919997</v>
      </c>
      <c r="FV10">
        <v>375.59999999939998</v>
      </c>
      <c r="FW10">
        <v>381.29999999910001</v>
      </c>
      <c r="FX10">
        <v>387.09999999989998</v>
      </c>
      <c r="FY10">
        <v>392.7999999996</v>
      </c>
      <c r="FZ10">
        <v>398.79999999900002</v>
      </c>
      <c r="GA10">
        <v>404.59999999979999</v>
      </c>
      <c r="GB10">
        <v>409.79999999939997</v>
      </c>
      <c r="GC10">
        <v>415.09999999830001</v>
      </c>
      <c r="GD10">
        <v>420.19999999869998</v>
      </c>
      <c r="GE10">
        <v>425.39999999830002</v>
      </c>
      <c r="GF10">
        <v>430.19999999890001</v>
      </c>
      <c r="GG10">
        <v>434.89999999840001</v>
      </c>
      <c r="GH10">
        <v>439.5999999997</v>
      </c>
      <c r="GI10">
        <v>442.99999999929997</v>
      </c>
      <c r="GJ10">
        <v>445.79999999950002</v>
      </c>
      <c r="GK10">
        <v>446.5999999993</v>
      </c>
      <c r="GL10">
        <v>446.3999999989</v>
      </c>
      <c r="GM10">
        <v>446.79999999969999</v>
      </c>
      <c r="GN10">
        <v>446.79999999969999</v>
      </c>
      <c r="GO10">
        <v>446.79999999969999</v>
      </c>
      <c r="GP10">
        <v>446.69999999859999</v>
      </c>
      <c r="GQ10">
        <v>446.89999999899999</v>
      </c>
      <c r="GR10">
        <v>446.89999999899999</v>
      </c>
      <c r="GS10">
        <v>446.69999999859999</v>
      </c>
      <c r="GT10">
        <v>446.5999999993</v>
      </c>
      <c r="GU10">
        <v>446.79999999969999</v>
      </c>
      <c r="GV10">
        <v>446.69999999859999</v>
      </c>
      <c r="GW10">
        <v>446.89999999899999</v>
      </c>
      <c r="GX10">
        <v>1</v>
      </c>
      <c r="GY10">
        <v>111.2000000012</v>
      </c>
      <c r="GZ10">
        <v>108.39999999920001</v>
      </c>
      <c r="HA10">
        <v>108.39999999920001</v>
      </c>
      <c r="HB10">
        <v>115.6999999985</v>
      </c>
      <c r="HC10">
        <v>110.2303087929</v>
      </c>
      <c r="HD10">
        <v>-7.2999999992999998</v>
      </c>
      <c r="HE10">
        <v>446.89999999899999</v>
      </c>
      <c r="HF10">
        <v>287.38150592980003</v>
      </c>
      <c r="HG10">
        <v>93.1593645106</v>
      </c>
      <c r="HH10">
        <v>446.99999999829998</v>
      </c>
      <c r="HI10">
        <v>446.89999999899999</v>
      </c>
      <c r="HJ10">
        <v>446.99999999829998</v>
      </c>
      <c r="HK10">
        <v>446.89999999899999</v>
      </c>
      <c r="HL10">
        <v>114.9560117302</v>
      </c>
      <c r="HM10">
        <v>3.3442181896999998</v>
      </c>
      <c r="HN10">
        <v>3.2250788259999998</v>
      </c>
      <c r="HO10">
        <v>3.3033719959000001</v>
      </c>
      <c r="HP10">
        <v>3.1388193503999999</v>
      </c>
      <c r="HQ10">
        <v>3.516783427</v>
      </c>
      <c r="HR10">
        <v>2.2828739299</v>
      </c>
      <c r="HS10">
        <v>17.070944282300001</v>
      </c>
      <c r="HT10">
        <v>-28.152492668600001</v>
      </c>
      <c r="HU10">
        <v>-192</v>
      </c>
      <c r="HV10">
        <v>397.6118147226</v>
      </c>
      <c r="HW10">
        <v>89.149560117299998</v>
      </c>
      <c r="HX10">
        <v>608</v>
      </c>
      <c r="HY10">
        <v>17.070944282300001</v>
      </c>
      <c r="HZ10">
        <v>-28.152492668600001</v>
      </c>
      <c r="IA10">
        <v>-192</v>
      </c>
      <c r="IB10">
        <v>397.6118147226</v>
      </c>
      <c r="IC10">
        <v>89.149560117299998</v>
      </c>
      <c r="ID10">
        <v>608</v>
      </c>
      <c r="IE10">
        <v>49.2881852764</v>
      </c>
      <c r="IF10">
        <v>0.80332289079999997</v>
      </c>
      <c r="IG10">
        <v>-37.536656891500002</v>
      </c>
      <c r="IH10">
        <v>-256</v>
      </c>
      <c r="II10">
        <v>419.53144998750003</v>
      </c>
      <c r="IJ10">
        <v>98.533724340199996</v>
      </c>
      <c r="IK10">
        <v>672</v>
      </c>
      <c r="IL10">
        <v>380.5408704404</v>
      </c>
      <c r="IM10">
        <v>117.3020527859</v>
      </c>
      <c r="IN10">
        <v>404.94074737049999</v>
      </c>
      <c r="IO10">
        <v>126.6862170088</v>
      </c>
      <c r="IP10">
        <v>7.0999999989000004</v>
      </c>
      <c r="IQ10">
        <v>5.6999999997000002</v>
      </c>
      <c r="IR10">
        <v>8.6999999984999992</v>
      </c>
      <c r="IS10">
        <v>5.6033079682000002</v>
      </c>
      <c r="IT10">
        <v>5.6033079682000002</v>
      </c>
      <c r="IU10">
        <v>5.7999999989999997</v>
      </c>
      <c r="IV10">
        <v>-30.4985337243</v>
      </c>
      <c r="IW10">
        <v>10.200000000599999</v>
      </c>
      <c r="IX10">
        <v>79.765395894400001</v>
      </c>
      <c r="IY10">
        <v>9.5000000001</v>
      </c>
      <c r="IZ10">
        <v>98.533724340199996</v>
      </c>
      <c r="JA10">
        <v>-33.683924083900003</v>
      </c>
      <c r="JB10">
        <v>0.33662540029999999</v>
      </c>
      <c r="JC10">
        <v>-3.6247299999999998E-4</v>
      </c>
      <c r="JD10">
        <v>7.3490000000000005E-7</v>
      </c>
      <c r="JE10">
        <v>0.29902355149999998</v>
      </c>
      <c r="JF10">
        <v>0.14585439059999999</v>
      </c>
      <c r="JG10">
        <v>6.4816496400000007E-2</v>
      </c>
      <c r="JH10">
        <v>110.6709149313</v>
      </c>
      <c r="JI10">
        <v>3.516783427</v>
      </c>
      <c r="JJ10">
        <v>3.4408205E-3</v>
      </c>
      <c r="JK10">
        <v>-7.7482299999999995E-5</v>
      </c>
      <c r="JL10">
        <v>3.3442181896999998</v>
      </c>
      <c r="JM10">
        <v>0.97322837510000004</v>
      </c>
      <c r="JN10">
        <v>0.41400281</v>
      </c>
      <c r="JO10">
        <v>3.0263749995000002</v>
      </c>
      <c r="JP10">
        <v>2.4296249999000001</v>
      </c>
      <c r="JQ10">
        <v>3.7083749994000001</v>
      </c>
      <c r="JR10" s="17" t="s">
        <v>544</v>
      </c>
      <c r="JU10" s="17">
        <v>1</v>
      </c>
    </row>
    <row r="11" spans="1:281">
      <c r="A11" t="s">
        <v>676</v>
      </c>
      <c r="B11" t="s">
        <v>677</v>
      </c>
      <c r="C11" t="s">
        <v>678</v>
      </c>
      <c r="D11" t="s">
        <v>213</v>
      </c>
      <c r="E11">
        <v>3</v>
      </c>
      <c r="F11" t="s">
        <v>214</v>
      </c>
      <c r="G11" t="s">
        <v>215</v>
      </c>
      <c r="H11" t="s">
        <v>543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0.79999999980000003</v>
      </c>
      <c r="S11">
        <v>0.50000000010000001</v>
      </c>
      <c r="T11">
        <v>0.50000000010000001</v>
      </c>
      <c r="U11">
        <v>0.29999999970000002</v>
      </c>
      <c r="V11">
        <v>0.50000000010000001</v>
      </c>
      <c r="W11">
        <v>0.40000000079999998</v>
      </c>
      <c r="X11">
        <v>0.29999999970000002</v>
      </c>
      <c r="Y11">
        <v>0.50000000010000001</v>
      </c>
      <c r="Z11">
        <v>0.20000000039999999</v>
      </c>
      <c r="AA11">
        <v>0.20000000039999999</v>
      </c>
      <c r="AB11">
        <v>0</v>
      </c>
      <c r="AC11">
        <v>0</v>
      </c>
      <c r="AD11">
        <v>0</v>
      </c>
      <c r="AE11">
        <v>0.20000000039999999</v>
      </c>
      <c r="AF11">
        <v>0.50000000010000001</v>
      </c>
      <c r="AG11">
        <v>0.29999999970000002</v>
      </c>
      <c r="AH11">
        <v>1.8</v>
      </c>
      <c r="AI11">
        <v>5.3000000006999999</v>
      </c>
      <c r="AJ11">
        <v>11.5999999998</v>
      </c>
      <c r="AK11">
        <v>18.400000000799999</v>
      </c>
      <c r="AL11">
        <v>25.9999999998</v>
      </c>
      <c r="AM11">
        <v>33.300000001000001</v>
      </c>
      <c r="AN11">
        <v>40.500000000999997</v>
      </c>
      <c r="AO11">
        <v>47.899999999599999</v>
      </c>
      <c r="AP11">
        <v>55.200000000700001</v>
      </c>
      <c r="AQ11">
        <v>62.400000000699997</v>
      </c>
      <c r="AR11">
        <v>70.299999999400001</v>
      </c>
      <c r="AS11">
        <v>78.600000000700007</v>
      </c>
      <c r="AT11">
        <v>86.600000000500003</v>
      </c>
      <c r="AU11">
        <v>94.4</v>
      </c>
      <c r="AV11">
        <v>102.6000000002</v>
      </c>
      <c r="AW11">
        <v>110.6</v>
      </c>
      <c r="AX11">
        <v>119.3000000003</v>
      </c>
      <c r="AY11">
        <v>128.6</v>
      </c>
      <c r="AZ11">
        <v>137.5000000007</v>
      </c>
      <c r="BA11">
        <v>145.80000000019999</v>
      </c>
      <c r="BB11">
        <v>153.89999999930001</v>
      </c>
      <c r="BC11">
        <v>162.00000000029999</v>
      </c>
      <c r="BD11">
        <v>170.20000000050001</v>
      </c>
      <c r="BE11">
        <v>178.6000000011</v>
      </c>
      <c r="BF11">
        <v>187.4000000007</v>
      </c>
      <c r="BG11">
        <v>195.79999999949999</v>
      </c>
      <c r="BH11">
        <v>203.90000000040001</v>
      </c>
      <c r="BI11">
        <v>211.69999999980001</v>
      </c>
      <c r="BJ11">
        <v>219.90000000009999</v>
      </c>
      <c r="BK11">
        <v>227.89999999989999</v>
      </c>
      <c r="BL11">
        <v>236.30000000050001</v>
      </c>
      <c r="BM11">
        <v>244.70000000109999</v>
      </c>
      <c r="BN11">
        <v>252.50000000049999</v>
      </c>
      <c r="BO11">
        <v>260.29999999990002</v>
      </c>
      <c r="BP11">
        <v>267.9000000007</v>
      </c>
      <c r="BQ11">
        <v>275.60000000079998</v>
      </c>
      <c r="BR11">
        <v>283.10000000060001</v>
      </c>
      <c r="BS11">
        <v>291.10000000039997</v>
      </c>
      <c r="BT11">
        <v>298.8999999998</v>
      </c>
      <c r="BU11">
        <v>306.39999999949998</v>
      </c>
      <c r="BV11">
        <v>313.29999999979998</v>
      </c>
      <c r="BW11">
        <v>320.49999999980002</v>
      </c>
      <c r="BX11">
        <v>327.60000000050002</v>
      </c>
      <c r="BY11">
        <v>334.30000000040002</v>
      </c>
      <c r="BZ11">
        <v>341.8000000001</v>
      </c>
      <c r="CA11">
        <v>348.70000000049998</v>
      </c>
      <c r="CB11">
        <v>355.60000000079998</v>
      </c>
      <c r="CC11">
        <v>362.19999999959998</v>
      </c>
      <c r="CD11">
        <v>368.0999999997</v>
      </c>
      <c r="CE11">
        <v>374.40000000060002</v>
      </c>
      <c r="CF11">
        <v>380.80000000080003</v>
      </c>
      <c r="CG11">
        <v>386.70000000089999</v>
      </c>
      <c r="CH11">
        <v>393.2000000004</v>
      </c>
      <c r="CI11">
        <v>399.60000000060001</v>
      </c>
      <c r="CJ11">
        <v>405.6</v>
      </c>
      <c r="CK11">
        <v>411.20000000049998</v>
      </c>
      <c r="CL11">
        <v>416.90000000020001</v>
      </c>
      <c r="CM11">
        <v>422.39999999949998</v>
      </c>
      <c r="CN11">
        <v>427.79999999950002</v>
      </c>
      <c r="CO11">
        <v>433.39999999989999</v>
      </c>
      <c r="CP11">
        <v>438.40000000089998</v>
      </c>
      <c r="CQ11">
        <v>443.90000000020001</v>
      </c>
      <c r="CR11">
        <v>449.59999999989998</v>
      </c>
      <c r="CS11">
        <v>454.90000000060002</v>
      </c>
      <c r="CT11">
        <v>459.80000000050001</v>
      </c>
      <c r="CU11">
        <v>460.99999999929997</v>
      </c>
      <c r="CV11">
        <v>460.99999999929997</v>
      </c>
      <c r="CW11">
        <v>461.10000000039997</v>
      </c>
      <c r="CX11">
        <v>460.99999999929997</v>
      </c>
      <c r="CY11">
        <v>461.10000000039997</v>
      </c>
      <c r="CZ11">
        <v>461.19999999970003</v>
      </c>
      <c r="DA11">
        <v>461.10000000039997</v>
      </c>
      <c r="DB11">
        <v>461.19999999970003</v>
      </c>
      <c r="DC11">
        <v>461.10000000039997</v>
      </c>
      <c r="DD11">
        <v>461.19999999970003</v>
      </c>
      <c r="DE11">
        <v>461.10000000039997</v>
      </c>
      <c r="DF11">
        <v>461.19999999970003</v>
      </c>
      <c r="DG11">
        <v>460.99999999929997</v>
      </c>
      <c r="DH11">
        <v>1.5000000003</v>
      </c>
      <c r="DI11">
        <v>1.5000000003</v>
      </c>
      <c r="DJ11">
        <v>1.5999999996000001</v>
      </c>
      <c r="DK11">
        <v>1.5000000003</v>
      </c>
      <c r="DL11">
        <v>1.2999999999</v>
      </c>
      <c r="DM11">
        <v>1.2999999999</v>
      </c>
      <c r="DN11">
        <v>1.2000000006</v>
      </c>
      <c r="DO11">
        <v>1.2000000006</v>
      </c>
      <c r="DP11">
        <v>1.0999999995</v>
      </c>
      <c r="DQ11">
        <v>1.2000000006</v>
      </c>
      <c r="DR11">
        <v>1.0000000002</v>
      </c>
      <c r="DS11">
        <v>1.0000000002</v>
      </c>
      <c r="DT11">
        <v>1.0000000002</v>
      </c>
      <c r="DU11">
        <v>1.0000000002</v>
      </c>
      <c r="DV11">
        <v>0.90000000089999999</v>
      </c>
      <c r="DW11">
        <v>1.2999999999</v>
      </c>
      <c r="DX11">
        <v>4.6999999995000001</v>
      </c>
      <c r="DY11">
        <v>10.299999999900001</v>
      </c>
      <c r="DZ11">
        <v>17.1000000009</v>
      </c>
      <c r="EA11">
        <v>24.699999999900001</v>
      </c>
      <c r="EB11">
        <v>32.100000000400001</v>
      </c>
      <c r="EC11">
        <v>39.1</v>
      </c>
      <c r="ED11">
        <v>46.400000001099997</v>
      </c>
      <c r="EE11">
        <v>53.700000000400003</v>
      </c>
      <c r="EF11">
        <v>61.299999999400001</v>
      </c>
      <c r="EG11">
        <v>68.699999999799999</v>
      </c>
      <c r="EH11">
        <v>76.900000000000006</v>
      </c>
      <c r="EI11">
        <v>85.100000000199998</v>
      </c>
      <c r="EJ11">
        <v>93.1</v>
      </c>
      <c r="EK11">
        <v>101.0000000006</v>
      </c>
      <c r="EL11">
        <v>108.8</v>
      </c>
      <c r="EM11">
        <v>116.79999999979999</v>
      </c>
      <c r="EN11">
        <v>126.0000000002</v>
      </c>
      <c r="EO11">
        <v>135.70000000069999</v>
      </c>
      <c r="EP11">
        <v>144.2000000006</v>
      </c>
      <c r="EQ11">
        <v>152.50000000009999</v>
      </c>
      <c r="ER11">
        <v>160.10000000100001</v>
      </c>
      <c r="ES11">
        <v>168.70000000019999</v>
      </c>
      <c r="ET11">
        <v>176.90000000040001</v>
      </c>
      <c r="EU11">
        <v>186.10000000080001</v>
      </c>
      <c r="EV11">
        <v>194.4000000003</v>
      </c>
      <c r="EW11">
        <v>202.69999999980001</v>
      </c>
      <c r="EX11">
        <v>210.9</v>
      </c>
      <c r="EY11">
        <v>219.19999999949999</v>
      </c>
      <c r="EZ11">
        <v>227.00000000079999</v>
      </c>
      <c r="FA11">
        <v>235.70000000109999</v>
      </c>
      <c r="FB11">
        <v>243.89999999950001</v>
      </c>
      <c r="FC11">
        <v>252.3000000001</v>
      </c>
      <c r="FD11">
        <v>260.00000000019998</v>
      </c>
      <c r="FE11">
        <v>267.60000000100001</v>
      </c>
      <c r="FF11">
        <v>275.60000000079998</v>
      </c>
      <c r="FG11">
        <v>283.1999999999</v>
      </c>
      <c r="FH11">
        <v>291.49999999940002</v>
      </c>
      <c r="FI11">
        <v>299.1000000002</v>
      </c>
      <c r="FJ11">
        <v>306.39999999949998</v>
      </c>
      <c r="FK11">
        <v>313.90000000100002</v>
      </c>
      <c r="FL11">
        <v>320.90000000060002</v>
      </c>
      <c r="FM11">
        <v>328.300000001</v>
      </c>
      <c r="FN11">
        <v>335.1000000002</v>
      </c>
      <c r="FO11">
        <v>342.50000000070003</v>
      </c>
      <c r="FP11">
        <v>349.70000000070002</v>
      </c>
      <c r="FQ11">
        <v>356.70000000030001</v>
      </c>
      <c r="FR11">
        <v>363.19999999980001</v>
      </c>
      <c r="FS11">
        <v>369.6</v>
      </c>
      <c r="FT11">
        <v>376.00000000019998</v>
      </c>
      <c r="FU11">
        <v>382.40000000039998</v>
      </c>
      <c r="FV11">
        <v>388.30000000050001</v>
      </c>
      <c r="FW11">
        <v>395.00000000040001</v>
      </c>
      <c r="FX11">
        <v>401.10000000100001</v>
      </c>
      <c r="FY11">
        <v>407.10000000039997</v>
      </c>
      <c r="FZ11">
        <v>413.20000000089999</v>
      </c>
      <c r="GA11">
        <v>418.70000000020002</v>
      </c>
      <c r="GB11">
        <v>424.39999999989999</v>
      </c>
      <c r="GC11">
        <v>429.50000000019998</v>
      </c>
      <c r="GD11">
        <v>434.99999999950001</v>
      </c>
      <c r="GE11">
        <v>440.00000000049999</v>
      </c>
      <c r="GF11">
        <v>445.20000000009998</v>
      </c>
      <c r="GG11">
        <v>450.60000000010001</v>
      </c>
      <c r="GH11">
        <v>455.20000000030001</v>
      </c>
      <c r="GI11">
        <v>459.60000000010001</v>
      </c>
      <c r="GJ11">
        <v>460.69999999959998</v>
      </c>
      <c r="GK11">
        <v>460.60000000029999</v>
      </c>
      <c r="GL11">
        <v>460.69999999959998</v>
      </c>
      <c r="GM11">
        <v>460.69999999959998</v>
      </c>
      <c r="GN11">
        <v>460.60000000029999</v>
      </c>
      <c r="GO11">
        <v>460.80000000069998</v>
      </c>
      <c r="GP11">
        <v>460.69999999959998</v>
      </c>
      <c r="GQ11">
        <v>460.80000000069998</v>
      </c>
      <c r="GR11">
        <v>460.9</v>
      </c>
      <c r="GS11">
        <v>460.9</v>
      </c>
      <c r="GT11">
        <v>460.9</v>
      </c>
      <c r="GU11">
        <v>461.10000000039997</v>
      </c>
      <c r="GV11">
        <v>461.10000000039997</v>
      </c>
      <c r="GW11">
        <v>461.10000000039997</v>
      </c>
      <c r="GX11">
        <v>1</v>
      </c>
      <c r="GY11">
        <v>120.8999999999</v>
      </c>
      <c r="GZ11">
        <v>119.3000000003</v>
      </c>
      <c r="HA11">
        <v>119.3000000003</v>
      </c>
      <c r="HB11">
        <v>126.0000000002</v>
      </c>
      <c r="HC11">
        <v>121.08196899079999</v>
      </c>
      <c r="HD11">
        <v>-6.6999999999000002</v>
      </c>
      <c r="HE11">
        <v>461.09997831549998</v>
      </c>
      <c r="HF11">
        <v>302.65935162059998</v>
      </c>
      <c r="HG11">
        <v>102.3875636989</v>
      </c>
      <c r="HH11">
        <v>461.19999999970003</v>
      </c>
      <c r="HI11">
        <v>461.10000000039997</v>
      </c>
      <c r="HJ11">
        <v>461.19999999970003</v>
      </c>
      <c r="HK11">
        <v>461.10000000039997</v>
      </c>
      <c r="HL11">
        <v>112.6099706745</v>
      </c>
      <c r="HM11">
        <v>3.3580486765000002</v>
      </c>
      <c r="HN11">
        <v>3.2568975645</v>
      </c>
      <c r="HO11">
        <v>3.3320320754999999</v>
      </c>
      <c r="HP11">
        <v>3.2165988173</v>
      </c>
      <c r="HQ11">
        <v>3.5709095547</v>
      </c>
      <c r="HR11">
        <v>2.2153033298999998</v>
      </c>
      <c r="HS11">
        <v>18.694405291900001</v>
      </c>
      <c r="HT11">
        <v>-30.4985337243</v>
      </c>
      <c r="HU11">
        <v>-208</v>
      </c>
      <c r="HV11">
        <v>423.7413206114</v>
      </c>
      <c r="HW11">
        <v>93.841642228699996</v>
      </c>
      <c r="HX11">
        <v>640</v>
      </c>
      <c r="HY11">
        <v>18.694405291900001</v>
      </c>
      <c r="HZ11">
        <v>-30.4985337243</v>
      </c>
      <c r="IA11">
        <v>-208</v>
      </c>
      <c r="IB11">
        <v>423.7413206114</v>
      </c>
      <c r="IC11">
        <v>93.841642228699996</v>
      </c>
      <c r="ID11">
        <v>640</v>
      </c>
      <c r="IE11">
        <v>37.358679389000002</v>
      </c>
      <c r="IF11">
        <v>0.30173479310000001</v>
      </c>
      <c r="IG11">
        <v>-39.8826979472</v>
      </c>
      <c r="IH11">
        <v>-272</v>
      </c>
      <c r="II11">
        <v>444.91466984729999</v>
      </c>
      <c r="IJ11">
        <v>103.22580645159999</v>
      </c>
      <c r="IK11">
        <v>704</v>
      </c>
      <c r="IL11">
        <v>405.04691531949999</v>
      </c>
      <c r="IM11">
        <v>124.3401759531</v>
      </c>
      <c r="IN11">
        <v>429.15093787149999</v>
      </c>
      <c r="IO11">
        <v>133.724340176</v>
      </c>
      <c r="IP11">
        <v>6.8000000009999999</v>
      </c>
      <c r="IQ11">
        <v>5.6999999997000002</v>
      </c>
      <c r="IR11">
        <v>9.7000000004999993</v>
      </c>
      <c r="IS11">
        <v>6.8285728754999999</v>
      </c>
      <c r="IT11">
        <v>6.8285728754999999</v>
      </c>
      <c r="IU11">
        <v>5.5000000011000001</v>
      </c>
      <c r="IV11">
        <v>-32.844574780099997</v>
      </c>
      <c r="IW11">
        <v>8.3999999988000003</v>
      </c>
      <c r="IX11">
        <v>46.920821114399999</v>
      </c>
      <c r="IY11">
        <v>6.7999999991999998</v>
      </c>
      <c r="IZ11">
        <v>103.22580645159999</v>
      </c>
      <c r="JA11">
        <v>-36.498930080999997</v>
      </c>
      <c r="JB11">
        <v>0.33233046760000001</v>
      </c>
      <c r="JC11">
        <v>-3.4416660000000001E-4</v>
      </c>
      <c r="JD11">
        <v>6.737E-7</v>
      </c>
      <c r="JE11">
        <v>0.2977919906</v>
      </c>
      <c r="JF11">
        <v>0.31325536459999997</v>
      </c>
      <c r="JG11">
        <v>0.12666585289999999</v>
      </c>
      <c r="JH11">
        <v>122.03612743390001</v>
      </c>
      <c r="JI11">
        <v>3.5709095547</v>
      </c>
      <c r="JJ11">
        <v>2.6122483999999999E-3</v>
      </c>
      <c r="JK11">
        <v>-6.98701E-5</v>
      </c>
      <c r="JL11">
        <v>3.3580486765000002</v>
      </c>
      <c r="JM11">
        <v>1.5452501600999999</v>
      </c>
      <c r="JN11">
        <v>0.71841285799999999</v>
      </c>
      <c r="JO11">
        <v>2.8985000003999999</v>
      </c>
      <c r="JP11">
        <v>2.4296249999000001</v>
      </c>
      <c r="JQ11">
        <v>4.1346250001999998</v>
      </c>
      <c r="JR11" s="17" t="s">
        <v>544</v>
      </c>
      <c r="JU11" s="17">
        <v>1</v>
      </c>
    </row>
    <row r="12" spans="1:281">
      <c r="A12" t="s">
        <v>688</v>
      </c>
      <c r="B12" t="s">
        <v>689</v>
      </c>
      <c r="C12" t="s">
        <v>690</v>
      </c>
      <c r="D12" t="s">
        <v>213</v>
      </c>
      <c r="E12">
        <v>3</v>
      </c>
      <c r="F12" t="s">
        <v>214</v>
      </c>
      <c r="G12" t="s">
        <v>215</v>
      </c>
      <c r="H12" t="s">
        <v>543</v>
      </c>
      <c r="I12" t="s">
        <v>217</v>
      </c>
      <c r="K12" t="s">
        <v>682</v>
      </c>
      <c r="L12" t="s">
        <v>683</v>
      </c>
      <c r="M12" t="s">
        <v>684</v>
      </c>
      <c r="N12" t="s">
        <v>685</v>
      </c>
      <c r="O12" t="s">
        <v>686</v>
      </c>
      <c r="P12">
        <v>0</v>
      </c>
      <c r="Q12">
        <v>0</v>
      </c>
      <c r="R12">
        <v>0.50000000010000001</v>
      </c>
      <c r="S12">
        <v>0.1000000011</v>
      </c>
      <c r="T12">
        <v>0.20000000039999999</v>
      </c>
      <c r="U12">
        <v>0.1000000011</v>
      </c>
      <c r="V12">
        <v>0.1000000011</v>
      </c>
      <c r="W12">
        <v>0.20000000039999999</v>
      </c>
      <c r="X12">
        <v>0.3000000015</v>
      </c>
      <c r="Y12">
        <v>0.3000000015</v>
      </c>
      <c r="Z12">
        <v>0</v>
      </c>
      <c r="AA12">
        <v>0.40000000079999998</v>
      </c>
      <c r="AB12">
        <v>0.20000000039999999</v>
      </c>
      <c r="AC12">
        <v>0.1000000011</v>
      </c>
      <c r="AD12">
        <v>0.50000000010000001</v>
      </c>
      <c r="AE12">
        <v>0.40000000079999998</v>
      </c>
      <c r="AF12">
        <v>0.20000000039999999</v>
      </c>
      <c r="AG12">
        <v>0.3000000015</v>
      </c>
      <c r="AH12">
        <v>0.3000000015</v>
      </c>
      <c r="AI12">
        <v>0.3000000015</v>
      </c>
      <c r="AJ12">
        <v>1.7000000007</v>
      </c>
      <c r="AK12">
        <v>7.5000000015000001</v>
      </c>
      <c r="AL12">
        <v>14.4</v>
      </c>
      <c r="AM12">
        <v>21.0000000006</v>
      </c>
      <c r="AN12">
        <v>28.8</v>
      </c>
      <c r="AO12">
        <v>36.500000000199996</v>
      </c>
      <c r="AP12">
        <v>43.300000001199997</v>
      </c>
      <c r="AQ12">
        <v>50.300000000799997</v>
      </c>
      <c r="AR12">
        <v>58.9</v>
      </c>
      <c r="AS12">
        <v>67.000000000900002</v>
      </c>
      <c r="AT12">
        <v>75.000000000699998</v>
      </c>
      <c r="AU12">
        <v>83.4000000013</v>
      </c>
      <c r="AV12">
        <v>91.9000000013</v>
      </c>
      <c r="AW12">
        <v>100.00000000039999</v>
      </c>
      <c r="AX12">
        <v>109.2000000008</v>
      </c>
      <c r="AY12">
        <v>118.9000000013</v>
      </c>
      <c r="AZ12">
        <v>127.00000000039999</v>
      </c>
      <c r="BA12">
        <v>136.10000000150001</v>
      </c>
      <c r="BB12">
        <v>144.70000000069999</v>
      </c>
      <c r="BC12">
        <v>153.20000000069999</v>
      </c>
      <c r="BD12">
        <v>161.5000000002</v>
      </c>
      <c r="BE12">
        <v>170.00000000009999</v>
      </c>
      <c r="BF12">
        <v>177.99999999990001</v>
      </c>
      <c r="BG12">
        <v>187.20000000030001</v>
      </c>
      <c r="BH12">
        <v>195.99999999990001</v>
      </c>
      <c r="BI12">
        <v>204.4000000005</v>
      </c>
      <c r="BJ12">
        <v>212.4000000003</v>
      </c>
      <c r="BK12">
        <v>220.50000000130001</v>
      </c>
      <c r="BL12">
        <v>228.4</v>
      </c>
      <c r="BM12">
        <v>236.80000000059999</v>
      </c>
      <c r="BN12">
        <v>245.10000000010001</v>
      </c>
      <c r="BO12">
        <v>253.4000000014</v>
      </c>
      <c r="BP12">
        <v>261.10000000150001</v>
      </c>
      <c r="BQ12">
        <v>268.60000000119999</v>
      </c>
      <c r="BR12">
        <v>276.20000000020002</v>
      </c>
      <c r="BS12">
        <v>283.80000000109999</v>
      </c>
      <c r="BT12">
        <v>291.90000000020001</v>
      </c>
      <c r="BU12">
        <v>299.50000000099999</v>
      </c>
      <c r="BV12">
        <v>306.70000000099998</v>
      </c>
      <c r="BW12">
        <v>313.90000000100002</v>
      </c>
      <c r="BX12">
        <v>320.80000000130002</v>
      </c>
      <c r="BY12">
        <v>327.80000000090001</v>
      </c>
      <c r="BZ12">
        <v>334.80000000050001</v>
      </c>
      <c r="CA12">
        <v>341.60000000159999</v>
      </c>
      <c r="CB12">
        <v>348.50000000009999</v>
      </c>
      <c r="CC12">
        <v>355.30000000109999</v>
      </c>
      <c r="CD12">
        <v>361.7000000013</v>
      </c>
      <c r="CE12">
        <v>368.00000000040001</v>
      </c>
      <c r="CF12">
        <v>374.30000000130002</v>
      </c>
      <c r="CG12">
        <v>380.50000000109998</v>
      </c>
      <c r="CH12">
        <v>386.2000000008</v>
      </c>
      <c r="CI12">
        <v>391.99999999980002</v>
      </c>
      <c r="CJ12">
        <v>398.4</v>
      </c>
      <c r="CK12">
        <v>404.50000000059998</v>
      </c>
      <c r="CL12">
        <v>410.4000000007</v>
      </c>
      <c r="CM12">
        <v>415.39999999989999</v>
      </c>
      <c r="CN12">
        <v>420.90000000100002</v>
      </c>
      <c r="CO12">
        <v>426.1999999999</v>
      </c>
      <c r="CP12">
        <v>431.50000000059998</v>
      </c>
      <c r="CQ12">
        <v>436.60000000090002</v>
      </c>
      <c r="CR12">
        <v>441.70000000120001</v>
      </c>
      <c r="CS12">
        <v>447.00000000009999</v>
      </c>
      <c r="CT12">
        <v>448.9000000012</v>
      </c>
      <c r="CU12">
        <v>448.9000000012</v>
      </c>
      <c r="CV12">
        <v>449.20000000089999</v>
      </c>
      <c r="CW12">
        <v>449.20000000089999</v>
      </c>
      <c r="CX12">
        <v>449.30000000019999</v>
      </c>
      <c r="CY12">
        <v>449.20000000089999</v>
      </c>
      <c r="CZ12">
        <v>449.20000000089999</v>
      </c>
      <c r="DA12">
        <v>449.20000000089999</v>
      </c>
      <c r="DB12">
        <v>449.09999999979999</v>
      </c>
      <c r="DC12">
        <v>449.09999999979999</v>
      </c>
      <c r="DD12">
        <v>449.09999999979999</v>
      </c>
      <c r="DE12">
        <v>449.00000000049999</v>
      </c>
      <c r="DF12">
        <v>449.20000000089999</v>
      </c>
      <c r="DG12">
        <v>449.50000000059998</v>
      </c>
      <c r="DH12">
        <v>1.0000000002</v>
      </c>
      <c r="DI12">
        <v>1.0000000002</v>
      </c>
      <c r="DJ12">
        <v>1.2000000006</v>
      </c>
      <c r="DK12">
        <v>1.2999999999</v>
      </c>
      <c r="DL12">
        <v>1.1000000013</v>
      </c>
      <c r="DM12">
        <v>1.0000000002</v>
      </c>
      <c r="DN12">
        <v>1.0000000002</v>
      </c>
      <c r="DO12">
        <v>1.0000000002</v>
      </c>
      <c r="DP12">
        <v>1.2000000006</v>
      </c>
      <c r="DQ12">
        <v>1.2000000006</v>
      </c>
      <c r="DR12">
        <v>1.1000000013</v>
      </c>
      <c r="DS12">
        <v>0.90000000089999999</v>
      </c>
      <c r="DT12">
        <v>0.90000000089999999</v>
      </c>
      <c r="DU12">
        <v>0.79999999980000003</v>
      </c>
      <c r="DV12">
        <v>0.90000000089999999</v>
      </c>
      <c r="DW12">
        <v>1.0000000002</v>
      </c>
      <c r="DX12">
        <v>1.0000000002</v>
      </c>
      <c r="DY12">
        <v>0.90000000089999999</v>
      </c>
      <c r="DZ12">
        <v>5.2000000014000003</v>
      </c>
      <c r="EA12">
        <v>12.4000000014</v>
      </c>
      <c r="EB12">
        <v>19.500000000299998</v>
      </c>
      <c r="EC12">
        <v>27</v>
      </c>
      <c r="ED12">
        <v>34.100000000800001</v>
      </c>
      <c r="EE12">
        <v>41.800000000899999</v>
      </c>
      <c r="EF12">
        <v>49.6000000003</v>
      </c>
      <c r="EG12">
        <v>57.300000000399997</v>
      </c>
      <c r="EH12">
        <v>65.300000000200001</v>
      </c>
      <c r="EI12">
        <v>73.100000001400005</v>
      </c>
      <c r="EJ12">
        <v>81.600000001300003</v>
      </c>
      <c r="EK12">
        <v>89.300000001499996</v>
      </c>
      <c r="EL12">
        <v>98.200000000399996</v>
      </c>
      <c r="EM12">
        <v>106.30000000130001</v>
      </c>
      <c r="EN12">
        <v>115.80000000139999</v>
      </c>
      <c r="EO12">
        <v>125</v>
      </c>
      <c r="EP12">
        <v>133.9000000007</v>
      </c>
      <c r="EQ12">
        <v>142.9000000007</v>
      </c>
      <c r="ER12">
        <v>151.40000000059999</v>
      </c>
      <c r="ES12">
        <v>159.70000000019999</v>
      </c>
      <c r="ET12">
        <v>168.2000000001</v>
      </c>
      <c r="EU12">
        <v>176.90000000040001</v>
      </c>
      <c r="EV12">
        <v>185.7</v>
      </c>
      <c r="EW12">
        <v>194.300000001</v>
      </c>
      <c r="EX12">
        <v>203.1999999999</v>
      </c>
      <c r="EY12">
        <v>211.50000000130001</v>
      </c>
      <c r="EZ12">
        <v>219.8000000008</v>
      </c>
      <c r="FA12">
        <v>227.89999999989999</v>
      </c>
      <c r="FB12">
        <v>236.00000000079999</v>
      </c>
      <c r="FC12">
        <v>245.00000000079999</v>
      </c>
      <c r="FD12">
        <v>253.20000000100001</v>
      </c>
      <c r="FE12">
        <v>261.4000000012</v>
      </c>
      <c r="FF12">
        <v>269.29999999990002</v>
      </c>
      <c r="FG12">
        <v>277.10000000119999</v>
      </c>
      <c r="FH12">
        <v>284.60000000090002</v>
      </c>
      <c r="FI12">
        <v>292.7</v>
      </c>
      <c r="FJ12">
        <v>300.69999999980001</v>
      </c>
      <c r="FK12">
        <v>308.2000000013</v>
      </c>
      <c r="FL12">
        <v>315.50000000059998</v>
      </c>
      <c r="FM12">
        <v>322.60000000129997</v>
      </c>
      <c r="FN12">
        <v>329.90000000060002</v>
      </c>
      <c r="FO12">
        <v>336.69999999980001</v>
      </c>
      <c r="FP12">
        <v>344.10000000029999</v>
      </c>
      <c r="FQ12">
        <v>351.50000000070003</v>
      </c>
      <c r="FR12">
        <v>358.00000000019998</v>
      </c>
      <c r="FS12">
        <v>364.50000000149998</v>
      </c>
      <c r="FT12">
        <v>371.00000000099999</v>
      </c>
      <c r="FU12">
        <v>377.4000000012</v>
      </c>
      <c r="FV12">
        <v>383.60000000100001</v>
      </c>
      <c r="FW12">
        <v>389.4</v>
      </c>
      <c r="FX12">
        <v>395.59999999979999</v>
      </c>
      <c r="FY12">
        <v>402</v>
      </c>
      <c r="FZ12">
        <v>407.70000000160002</v>
      </c>
      <c r="GA12">
        <v>413.50000000059998</v>
      </c>
      <c r="GB12">
        <v>418.99999999990001</v>
      </c>
      <c r="GC12">
        <v>424.0000000009</v>
      </c>
      <c r="GD12">
        <v>429.20000000049998</v>
      </c>
      <c r="GE12">
        <v>434.20000000149997</v>
      </c>
      <c r="GF12">
        <v>439.00000000030002</v>
      </c>
      <c r="GG12">
        <v>443.69999999980001</v>
      </c>
      <c r="GH12">
        <v>448.20000000070002</v>
      </c>
      <c r="GI12">
        <v>449.09999999979999</v>
      </c>
      <c r="GJ12">
        <v>449.00000000049999</v>
      </c>
      <c r="GK12">
        <v>449.09999999979999</v>
      </c>
      <c r="GL12">
        <v>449.00000000049999</v>
      </c>
      <c r="GM12">
        <v>449.30000000019999</v>
      </c>
      <c r="GN12">
        <v>449.09999999979999</v>
      </c>
      <c r="GO12">
        <v>449.20000000089999</v>
      </c>
      <c r="GP12">
        <v>449.30000000019999</v>
      </c>
      <c r="GQ12">
        <v>449.09999999979999</v>
      </c>
      <c r="GR12">
        <v>449.09999999979999</v>
      </c>
      <c r="GS12">
        <v>449.20000000089999</v>
      </c>
      <c r="GT12">
        <v>449.20000000089999</v>
      </c>
      <c r="GU12">
        <v>449.20000000089999</v>
      </c>
      <c r="GV12">
        <v>449.30000000019999</v>
      </c>
      <c r="GW12">
        <v>449.40000000129999</v>
      </c>
      <c r="GX12">
        <v>1</v>
      </c>
      <c r="GY12">
        <v>111.30000000050001</v>
      </c>
      <c r="GZ12">
        <v>109.2000000008</v>
      </c>
      <c r="HA12">
        <v>109.2000000008</v>
      </c>
      <c r="HB12">
        <v>115.80000000139999</v>
      </c>
      <c r="HC12">
        <v>110.8520191354</v>
      </c>
      <c r="HD12">
        <v>-6.6000000005999997</v>
      </c>
      <c r="HE12">
        <v>449.40000000129999</v>
      </c>
      <c r="HF12">
        <v>295.88787406879999</v>
      </c>
      <c r="HG12">
        <v>96.259684059199998</v>
      </c>
      <c r="HH12">
        <v>449.50000000059998</v>
      </c>
      <c r="HI12">
        <v>449.40000000129999</v>
      </c>
      <c r="HJ12">
        <v>449.50000000059998</v>
      </c>
      <c r="HK12">
        <v>449.40000000129999</v>
      </c>
      <c r="HL12">
        <v>110.26392961880001</v>
      </c>
      <c r="HM12">
        <v>3.4520601169999998</v>
      </c>
      <c r="HN12">
        <v>3.3431457461999998</v>
      </c>
      <c r="HO12">
        <v>3.4290292736999999</v>
      </c>
      <c r="HP12">
        <v>3.3038465919000002</v>
      </c>
      <c r="HQ12">
        <v>3.6636419831999998</v>
      </c>
      <c r="HR12">
        <v>2.2914515743999999</v>
      </c>
      <c r="HS12">
        <v>14.592335076199999</v>
      </c>
      <c r="HT12">
        <v>-28.152492668600001</v>
      </c>
      <c r="HU12">
        <v>-192</v>
      </c>
      <c r="HV12">
        <v>406.73989320419997</v>
      </c>
      <c r="HW12">
        <v>89.149560117299998</v>
      </c>
      <c r="HX12">
        <v>608</v>
      </c>
      <c r="HY12">
        <v>14.592335076199999</v>
      </c>
      <c r="HZ12">
        <v>-28.152492668600001</v>
      </c>
      <c r="IA12">
        <v>-192</v>
      </c>
      <c r="IB12">
        <v>406.73989320419997</v>
      </c>
      <c r="IC12">
        <v>89.149560117299998</v>
      </c>
      <c r="ID12">
        <v>608</v>
      </c>
      <c r="IE12">
        <v>42.660106797099999</v>
      </c>
      <c r="IF12">
        <v>0.30101234989999998</v>
      </c>
      <c r="IG12">
        <v>-37.536656891500002</v>
      </c>
      <c r="IH12">
        <v>-256</v>
      </c>
      <c r="II12">
        <v>428.74940482860001</v>
      </c>
      <c r="IJ12">
        <v>98.533724340199996</v>
      </c>
      <c r="IK12">
        <v>672</v>
      </c>
      <c r="IL12">
        <v>392.14755812800001</v>
      </c>
      <c r="IM12">
        <v>117.3020527859</v>
      </c>
      <c r="IN12">
        <v>416.6082100337</v>
      </c>
      <c r="IO12">
        <v>126.6862170088</v>
      </c>
      <c r="IP12">
        <v>7.2</v>
      </c>
      <c r="IQ12">
        <v>5.7999999989999997</v>
      </c>
      <c r="IR12">
        <v>9.7000000004999993</v>
      </c>
      <c r="IS12">
        <v>6.6153065581000003</v>
      </c>
      <c r="IT12">
        <v>6.6153065581000003</v>
      </c>
      <c r="IU12">
        <v>5.1000000002999997</v>
      </c>
      <c r="IV12">
        <v>-28.152492668600001</v>
      </c>
      <c r="IW12">
        <v>10.0000000002</v>
      </c>
      <c r="IX12">
        <v>86.803519061599999</v>
      </c>
      <c r="IY12">
        <v>8.6000000009999997</v>
      </c>
      <c r="IZ12">
        <v>96.187683284499997</v>
      </c>
      <c r="JA12">
        <v>-32.379295700999997</v>
      </c>
      <c r="JB12">
        <v>0.320086119</v>
      </c>
      <c r="JC12">
        <v>-3.3251819999999998E-4</v>
      </c>
      <c r="JD12">
        <v>6.8859999999999996E-7</v>
      </c>
      <c r="JE12">
        <v>0.28968209299999997</v>
      </c>
      <c r="JF12">
        <v>0.37533545429999998</v>
      </c>
      <c r="JG12">
        <v>0.15510071080000001</v>
      </c>
      <c r="JH12">
        <v>111.5610472373</v>
      </c>
      <c r="JI12">
        <v>3.6636419831999998</v>
      </c>
      <c r="JJ12">
        <v>3.0094477E-3</v>
      </c>
      <c r="JK12">
        <v>-8.0056100000000001E-5</v>
      </c>
      <c r="JL12">
        <v>3.4520601169999998</v>
      </c>
      <c r="JM12">
        <v>2.0005040637999998</v>
      </c>
      <c r="JN12">
        <v>0.78423729529999997</v>
      </c>
      <c r="JO12">
        <v>3.069</v>
      </c>
      <c r="JP12">
        <v>2.4722499995999998</v>
      </c>
      <c r="JQ12">
        <v>4.1346250001999998</v>
      </c>
      <c r="JR12" s="17" t="s">
        <v>544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213</v>
      </c>
      <c r="E13">
        <v>3</v>
      </c>
      <c r="F13" t="s">
        <v>214</v>
      </c>
      <c r="G13" t="s">
        <v>215</v>
      </c>
      <c r="H13" t="s">
        <v>543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1.0000000002</v>
      </c>
      <c r="T13">
        <v>0.79999999980000003</v>
      </c>
      <c r="U13">
        <v>1.1000000013</v>
      </c>
      <c r="V13">
        <v>1.2000000006</v>
      </c>
      <c r="W13">
        <v>1.400000001</v>
      </c>
      <c r="X13">
        <v>1.400000001</v>
      </c>
      <c r="Y13">
        <v>1.400000001</v>
      </c>
      <c r="Z13">
        <v>1.7000000007</v>
      </c>
      <c r="AA13">
        <v>1.7000000007</v>
      </c>
      <c r="AB13">
        <v>1.7000000007</v>
      </c>
      <c r="AC13">
        <v>1.9000000011</v>
      </c>
      <c r="AD13">
        <v>2.0999999997000001</v>
      </c>
      <c r="AE13">
        <v>2.3000000000999998</v>
      </c>
      <c r="AF13">
        <v>2.4000000012</v>
      </c>
      <c r="AG13">
        <v>2.5000000005</v>
      </c>
      <c r="AH13">
        <v>2.8000000001999998</v>
      </c>
      <c r="AI13">
        <v>2.9000000013</v>
      </c>
      <c r="AJ13">
        <v>6.6999999999000002</v>
      </c>
      <c r="AK13">
        <v>13.6000000002</v>
      </c>
      <c r="AL13">
        <v>20.200000000799999</v>
      </c>
      <c r="AM13">
        <v>27.299999999699999</v>
      </c>
      <c r="AN13">
        <v>34.900000000600002</v>
      </c>
      <c r="AO13">
        <v>41.900000000200002</v>
      </c>
      <c r="AP13">
        <v>49.500000000999997</v>
      </c>
      <c r="AQ13">
        <v>57.200000001100001</v>
      </c>
      <c r="AR13">
        <v>65.200000000900005</v>
      </c>
      <c r="AS13">
        <v>72.799999999899995</v>
      </c>
      <c r="AT13">
        <v>80.799999999700006</v>
      </c>
      <c r="AU13">
        <v>89.200000000299994</v>
      </c>
      <c r="AV13">
        <v>96.9000000005</v>
      </c>
      <c r="AW13">
        <v>105.10000000070001</v>
      </c>
      <c r="AX13">
        <v>114.5000000015</v>
      </c>
      <c r="AY13">
        <v>123.60000000079999</v>
      </c>
      <c r="AZ13">
        <v>131.800000001</v>
      </c>
      <c r="BA13">
        <v>140.60000000060001</v>
      </c>
      <c r="BB13">
        <v>148.50000000110001</v>
      </c>
      <c r="BC13">
        <v>157.1000000004</v>
      </c>
      <c r="BD13">
        <v>165.80000000070001</v>
      </c>
      <c r="BE13">
        <v>174.39999999989999</v>
      </c>
      <c r="BF13">
        <v>182.30000000039999</v>
      </c>
      <c r="BG13">
        <v>190.8000000003</v>
      </c>
      <c r="BH13">
        <v>199.20000000089999</v>
      </c>
      <c r="BI13">
        <v>207.40000000110001</v>
      </c>
      <c r="BJ13">
        <v>215.60000000139999</v>
      </c>
      <c r="BK13">
        <v>224.0000000002</v>
      </c>
      <c r="BL13">
        <v>232.1000000011</v>
      </c>
      <c r="BM13">
        <v>239.7000000001</v>
      </c>
      <c r="BN13">
        <v>247.6999999999</v>
      </c>
      <c r="BO13">
        <v>255.8000000008</v>
      </c>
      <c r="BP13">
        <v>263.3999999998</v>
      </c>
      <c r="BQ13">
        <v>271.50000000070003</v>
      </c>
      <c r="BR13">
        <v>279.3000000001</v>
      </c>
      <c r="BS13">
        <v>286.40000000089998</v>
      </c>
      <c r="BT13">
        <v>293.99999999990001</v>
      </c>
      <c r="BU13">
        <v>301.1999999999</v>
      </c>
      <c r="BV13">
        <v>308.50000000099999</v>
      </c>
      <c r="BW13">
        <v>315.80000000029997</v>
      </c>
      <c r="BX13">
        <v>323.10000000140002</v>
      </c>
      <c r="BY13">
        <v>330.30000000140001</v>
      </c>
      <c r="BZ13">
        <v>337.10000000060001</v>
      </c>
      <c r="CA13">
        <v>343.7000000013</v>
      </c>
      <c r="CB13">
        <v>350.4000000012</v>
      </c>
      <c r="CC13">
        <v>356.80000000140001</v>
      </c>
      <c r="CD13">
        <v>363.19999999980001</v>
      </c>
      <c r="CE13">
        <v>369.6</v>
      </c>
      <c r="CF13">
        <v>376.10000000129997</v>
      </c>
      <c r="CG13">
        <v>382.40000000039998</v>
      </c>
      <c r="CH13">
        <v>388.7000000013</v>
      </c>
      <c r="CI13">
        <v>394.29999999990002</v>
      </c>
      <c r="CJ13">
        <v>400.30000000119998</v>
      </c>
      <c r="CK13">
        <v>405.89999999970001</v>
      </c>
      <c r="CL13">
        <v>411.70000000060003</v>
      </c>
      <c r="CM13">
        <v>417.10000000060001</v>
      </c>
      <c r="CN13">
        <v>422.50000000059998</v>
      </c>
      <c r="CO13">
        <v>428.30000000140001</v>
      </c>
      <c r="CP13">
        <v>433.70000000139999</v>
      </c>
      <c r="CQ13">
        <v>438.90000000100002</v>
      </c>
      <c r="CR13">
        <v>443.80000000090001</v>
      </c>
      <c r="CS13">
        <v>448.8000000001</v>
      </c>
      <c r="CT13">
        <v>453.00000000130001</v>
      </c>
      <c r="CU13">
        <v>455.4000000007</v>
      </c>
      <c r="CV13">
        <v>455.5</v>
      </c>
      <c r="CW13">
        <v>455.4000000007</v>
      </c>
      <c r="CX13">
        <v>455.5</v>
      </c>
      <c r="CY13">
        <v>455.5</v>
      </c>
      <c r="CZ13">
        <v>455.6000000011</v>
      </c>
      <c r="DA13">
        <v>455.5</v>
      </c>
      <c r="DB13">
        <v>455.5</v>
      </c>
      <c r="DC13">
        <v>455.5</v>
      </c>
      <c r="DD13">
        <v>455.5</v>
      </c>
      <c r="DE13">
        <v>455.5</v>
      </c>
      <c r="DF13">
        <v>455.4000000007</v>
      </c>
      <c r="DG13">
        <v>455.7000000004</v>
      </c>
      <c r="DH13">
        <v>0.60000000119999997</v>
      </c>
      <c r="DI13">
        <v>1.9000000011</v>
      </c>
      <c r="DJ13">
        <v>1.9000000011</v>
      </c>
      <c r="DK13">
        <v>2.0999999997000001</v>
      </c>
      <c r="DL13">
        <v>2.0999999997000001</v>
      </c>
      <c r="DM13">
        <v>2.4000000012</v>
      </c>
      <c r="DN13">
        <v>2.2000000007999998</v>
      </c>
      <c r="DO13">
        <v>2.3000000000999998</v>
      </c>
      <c r="DP13">
        <v>2.5000000005</v>
      </c>
      <c r="DQ13">
        <v>2.5999999998000001</v>
      </c>
      <c r="DR13">
        <v>2.7000000008999998</v>
      </c>
      <c r="DS13">
        <v>2.8000000001999998</v>
      </c>
      <c r="DT13">
        <v>3.0000000006</v>
      </c>
      <c r="DU13">
        <v>3.2000000009999998</v>
      </c>
      <c r="DV13">
        <v>3.0999999999000001</v>
      </c>
      <c r="DW13">
        <v>3.5000000007000001</v>
      </c>
      <c r="DX13">
        <v>3.4000000014</v>
      </c>
      <c r="DY13">
        <v>4.5000000009000001</v>
      </c>
      <c r="DZ13">
        <v>11.5000000005</v>
      </c>
      <c r="EA13">
        <v>18.500000000099998</v>
      </c>
      <c r="EB13">
        <v>25.499999999700002</v>
      </c>
      <c r="EC13">
        <v>33.000000001300002</v>
      </c>
      <c r="ED13">
        <v>40.300000000600001</v>
      </c>
      <c r="EE13">
        <v>47.700000000999999</v>
      </c>
      <c r="EF13">
        <v>55.3</v>
      </c>
      <c r="EG13">
        <v>63.200000000499998</v>
      </c>
      <c r="EH13">
        <v>71.200000000299994</v>
      </c>
      <c r="EI13">
        <v>78.7</v>
      </c>
      <c r="EJ13">
        <v>87.199999999900001</v>
      </c>
      <c r="EK13">
        <v>94.900000000099993</v>
      </c>
      <c r="EL13">
        <v>103.1000000003</v>
      </c>
      <c r="EM13">
        <v>111.5000000009</v>
      </c>
      <c r="EN13">
        <v>120.80000000059999</v>
      </c>
      <c r="EO13">
        <v>130.10000000030001</v>
      </c>
      <c r="EP13">
        <v>138.6000000002</v>
      </c>
      <c r="EQ13">
        <v>146.70000000109999</v>
      </c>
      <c r="ER13">
        <v>155.20000000109999</v>
      </c>
      <c r="ES13">
        <v>163.8000000003</v>
      </c>
      <c r="ET13">
        <v>172.59999999990001</v>
      </c>
      <c r="EU13">
        <v>180.8000000001</v>
      </c>
      <c r="EV13">
        <v>189.3</v>
      </c>
      <c r="EW13">
        <v>197.40000000090001</v>
      </c>
      <c r="EX13">
        <v>205.90000000079999</v>
      </c>
      <c r="EY13">
        <v>214.5</v>
      </c>
      <c r="EZ13">
        <v>222.70000000030001</v>
      </c>
      <c r="FA13">
        <v>231.20000000019999</v>
      </c>
      <c r="FB13">
        <v>238.9000000003</v>
      </c>
      <c r="FC13">
        <v>247.30000000090001</v>
      </c>
      <c r="FD13">
        <v>255.10000000030001</v>
      </c>
      <c r="FE13">
        <v>263.20000000120001</v>
      </c>
      <c r="FF13">
        <v>271.40000000139997</v>
      </c>
      <c r="FG13">
        <v>279.40000000129999</v>
      </c>
      <c r="FH13">
        <v>286.70000000060003</v>
      </c>
      <c r="FI13">
        <v>294.30000000140001</v>
      </c>
      <c r="FJ13">
        <v>301.5000000014</v>
      </c>
      <c r="FK13">
        <v>309.10000000039997</v>
      </c>
      <c r="FL13">
        <v>316.50000000080001</v>
      </c>
      <c r="FM13">
        <v>324.20000000089999</v>
      </c>
      <c r="FN13">
        <v>331.40000000089998</v>
      </c>
      <c r="FO13">
        <v>338.30000000130002</v>
      </c>
      <c r="FP13">
        <v>344.90000000010002</v>
      </c>
      <c r="FQ13">
        <v>351.90000000150002</v>
      </c>
      <c r="FR13">
        <v>358.50000000030002</v>
      </c>
      <c r="FS13">
        <v>365.30000000130002</v>
      </c>
      <c r="FT13">
        <v>371.60000000039997</v>
      </c>
      <c r="FU13">
        <v>378.30000000029997</v>
      </c>
      <c r="FV13">
        <v>384.50000000009999</v>
      </c>
      <c r="FW13">
        <v>390.30000000090001</v>
      </c>
      <c r="FX13">
        <v>396.09999999989998</v>
      </c>
      <c r="FY13">
        <v>402.29999999969999</v>
      </c>
      <c r="FZ13">
        <v>407.40000000010002</v>
      </c>
      <c r="GA13">
        <v>413.70000000099998</v>
      </c>
      <c r="GB13">
        <v>418.99999999990001</v>
      </c>
      <c r="GC13">
        <v>424.39999999989999</v>
      </c>
      <c r="GD13">
        <v>430.3</v>
      </c>
      <c r="GE13">
        <v>435.300000001</v>
      </c>
      <c r="GF13">
        <v>440.09999999979999</v>
      </c>
      <c r="GG13">
        <v>445.10000000079998</v>
      </c>
      <c r="GH13">
        <v>449.30000000019999</v>
      </c>
      <c r="GI13">
        <v>453.1999999999</v>
      </c>
      <c r="GJ13">
        <v>455.10000000100001</v>
      </c>
      <c r="GK13">
        <v>455.20000000030001</v>
      </c>
      <c r="GL13">
        <v>455.30000000140001</v>
      </c>
      <c r="GM13">
        <v>455.20000000030001</v>
      </c>
      <c r="GN13">
        <v>455.30000000140001</v>
      </c>
      <c r="GO13">
        <v>455.20000000030001</v>
      </c>
      <c r="GP13">
        <v>455.20000000030001</v>
      </c>
      <c r="GQ13">
        <v>455.30000000140001</v>
      </c>
      <c r="GR13">
        <v>455.30000000140001</v>
      </c>
      <c r="GS13">
        <v>455.30000000140001</v>
      </c>
      <c r="GT13">
        <v>455.30000000140001</v>
      </c>
      <c r="GU13">
        <v>455.4000000007</v>
      </c>
      <c r="GV13">
        <v>455.30000000140001</v>
      </c>
      <c r="GW13">
        <v>455.5</v>
      </c>
      <c r="GX13">
        <v>1</v>
      </c>
      <c r="GY13">
        <v>117.2999999999</v>
      </c>
      <c r="GZ13">
        <v>114.5000000015</v>
      </c>
      <c r="HA13">
        <v>114.5000000015</v>
      </c>
      <c r="HB13">
        <v>120.80000000059999</v>
      </c>
      <c r="HC13">
        <v>116.1268546984</v>
      </c>
      <c r="HD13">
        <v>-6.2999999990999997</v>
      </c>
      <c r="HE13">
        <v>455.5</v>
      </c>
      <c r="HF13">
        <v>302.22822651310003</v>
      </c>
      <c r="HG13">
        <v>95.661040386799996</v>
      </c>
      <c r="HH13">
        <v>455.7000000004</v>
      </c>
      <c r="HI13">
        <v>455.5</v>
      </c>
      <c r="HJ13">
        <v>455.7000000004</v>
      </c>
      <c r="HK13">
        <v>455.5</v>
      </c>
      <c r="HL13">
        <v>112.6099706745</v>
      </c>
      <c r="HM13">
        <v>3.3654662326999998</v>
      </c>
      <c r="HN13">
        <v>3.2889748952</v>
      </c>
      <c r="HO13">
        <v>3.3447117803999999</v>
      </c>
      <c r="HP13">
        <v>3.2944993790999999</v>
      </c>
      <c r="HQ13">
        <v>3.6009583294</v>
      </c>
      <c r="HR13">
        <v>2.1766905155999998</v>
      </c>
      <c r="HS13">
        <v>20.465814311599999</v>
      </c>
      <c r="HT13">
        <v>-28.152492668600001</v>
      </c>
      <c r="HU13">
        <v>-192</v>
      </c>
      <c r="HV13">
        <v>418.35508121150002</v>
      </c>
      <c r="HW13">
        <v>93.841642228699996</v>
      </c>
      <c r="HX13">
        <v>640</v>
      </c>
      <c r="HY13">
        <v>20.465814311599999</v>
      </c>
      <c r="HZ13">
        <v>-28.152492668600001</v>
      </c>
      <c r="IA13">
        <v>-192</v>
      </c>
      <c r="IB13">
        <v>418.35508121150002</v>
      </c>
      <c r="IC13">
        <v>93.841642228699996</v>
      </c>
      <c r="ID13">
        <v>640</v>
      </c>
      <c r="IE13">
        <v>37.1449187885</v>
      </c>
      <c r="IF13">
        <v>2.8040825287</v>
      </c>
      <c r="IG13">
        <v>-37.536656891500002</v>
      </c>
      <c r="IH13">
        <v>-256</v>
      </c>
      <c r="II13">
        <v>439.8373134327</v>
      </c>
      <c r="IJ13">
        <v>103.22580645159999</v>
      </c>
      <c r="IK13">
        <v>704</v>
      </c>
      <c r="IL13">
        <v>397.88926689990001</v>
      </c>
      <c r="IM13">
        <v>121.9941348974</v>
      </c>
      <c r="IN13">
        <v>423.00421422310001</v>
      </c>
      <c r="IO13">
        <v>131.37829912020001</v>
      </c>
      <c r="IP13">
        <v>6.9999999996</v>
      </c>
      <c r="IQ13">
        <v>5.9000000001000004</v>
      </c>
      <c r="IR13">
        <v>9.4000000008000004</v>
      </c>
      <c r="IS13">
        <v>6.6922323243999999</v>
      </c>
      <c r="IT13">
        <v>6.6922323243999999</v>
      </c>
      <c r="IU13">
        <v>4.8999999999000003</v>
      </c>
      <c r="IV13">
        <v>-30.4985337243</v>
      </c>
      <c r="IW13">
        <v>8.7000000002999993</v>
      </c>
      <c r="IX13">
        <v>77.419354838700002</v>
      </c>
      <c r="IY13">
        <v>7.7999999993999998</v>
      </c>
      <c r="IZ13">
        <v>98.533724340199996</v>
      </c>
      <c r="JA13">
        <v>-34.526728530900002</v>
      </c>
      <c r="JB13">
        <v>0.328056295</v>
      </c>
      <c r="JC13">
        <v>-3.446465E-4</v>
      </c>
      <c r="JD13">
        <v>7.0029999999999999E-7</v>
      </c>
      <c r="JE13">
        <v>0.297135651</v>
      </c>
      <c r="JF13">
        <v>0.27205299869999999</v>
      </c>
      <c r="JG13">
        <v>0.1282678991</v>
      </c>
      <c r="JH13">
        <v>116.6984715942</v>
      </c>
      <c r="JI13">
        <v>3.6009583294</v>
      </c>
      <c r="JJ13">
        <v>2.4355658000000001E-3</v>
      </c>
      <c r="JK13">
        <v>-7.1213900000000006E-5</v>
      </c>
      <c r="JL13">
        <v>3.3654662326999998</v>
      </c>
      <c r="JM13">
        <v>1.6434656824</v>
      </c>
      <c r="JN13">
        <v>0.68065192789999995</v>
      </c>
      <c r="JO13">
        <v>2.9837499998000001</v>
      </c>
      <c r="JP13">
        <v>2.514875</v>
      </c>
      <c r="JQ13">
        <v>4.0067500004000003</v>
      </c>
      <c r="JR13" s="17" t="s">
        <v>544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75.845775874200001</v>
      </c>
      <c r="D16" s="9">
        <f>AVERAGE(C18:C20)</f>
        <v>73.079862824166668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77.147456202499995</v>
      </c>
      <c r="D17" s="9">
        <f>AVERAGE(C21:C23)</f>
        <v>74.617422775566666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74.193062471999994</v>
      </c>
      <c r="D18" s="11">
        <f>AVERAGE(C24:C26)</f>
        <v>76.17530159206666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70.6976299918</v>
      </c>
      <c r="D19" s="6">
        <f>AVERAGE('Summary(3pcs)'!E35:E36)</f>
        <v>144.49689353758788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74.348896008699995</v>
      </c>
      <c r="D20" s="9">
        <f>AVERAGE('Summary(3pcs)'!E37:E39)</f>
        <v>148.27381739840456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80.802366272399993</v>
      </c>
      <c r="D21" s="9">
        <f>AVERAGE('Summary(3pcs)'!E40:E42)</f>
        <v>150.91132522117124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75.606185025599999</v>
      </c>
      <c r="D22" s="11">
        <f>AVERAGE('Summary(3pcs)'!E43:E45)</f>
        <v>136.90004078050455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67.443717028700007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75.045870402099993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76.119501869800004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77.360532504299997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7.5707744668999997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4.5035648304000002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-4.9375132206999996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-1.4752065080000001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2.9835373828999998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-1.2975327716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5.0778153086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-6.5612225600000004E-2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1.41540489215</v>
      </c>
      <c r="C39" s="5">
        <f>'Summary(3pcs)'!M35</f>
        <v>7.5707744668999997</v>
      </c>
      <c r="D39" s="11">
        <f t="shared" si="0"/>
        <v>-3.6337877980000002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4.5035648304000002</v>
      </c>
      <c r="D40" s="6">
        <f t="shared" si="0"/>
        <v>-5.9020505412000004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-4.9375132206999996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-1.4752065080000001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1.6745519235749999</v>
      </c>
      <c r="C43" s="8">
        <f>'Summary(3pcs)'!M40</f>
        <v>2.9835373828999998</v>
      </c>
      <c r="D43" s="6">
        <f t="shared" ref="D43:D54" si="2">C55</f>
        <v>-7.1820381563000009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-1.2975327716</v>
      </c>
      <c r="D44" s="9">
        <f t="shared" si="2"/>
        <v>-11.2872845644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5.0778153086</v>
      </c>
      <c r="D45" s="11">
        <f t="shared" si="2"/>
        <v>-1.0504410789999996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-6.5612225600000004E-2</v>
      </c>
      <c r="D46" s="6">
        <f t="shared" si="2"/>
        <v>-5.2022319900999996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-3.6337877980000002</v>
      </c>
      <c r="D47" s="9">
        <f t="shared" si="2"/>
        <v>-0.16249674639999956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-5.9020505412000004</v>
      </c>
      <c r="D48" s="11">
        <f t="shared" si="2"/>
        <v>-10.147022422699999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0.91945094409999983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-9.1805075879999993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-3.6512422958000004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-4.3925969600000005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-6.1804989474499994</v>
      </c>
      <c r="C55" s="5">
        <f>'Summary(3pcs)'!N35</f>
        <v>-7.1820381563000009</v>
      </c>
      <c r="D55" s="6">
        <f>AVERAGE(D31:D33)</f>
        <v>2.3789420255333336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-11.2872845644</v>
      </c>
      <c r="D56" s="9">
        <f>AVERAGE(D34:D36)</f>
        <v>7.0266034433333235E-2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-1.0504410789999996</v>
      </c>
      <c r="D57" s="9">
        <f>AVERAGE(D37:D39)</f>
        <v>0.45947176166666664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-5.2022319900999996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-4.6426439532499995</v>
      </c>
      <c r="C59" s="8">
        <f>'Summary(3pcs)'!N40</f>
        <v>-0.16249674639999956</v>
      </c>
      <c r="D59" s="9">
        <f>AVERAGE(D43:D45)</f>
        <v>-6.506587933233333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-10.147022422699999</v>
      </c>
      <c r="D60" s="9">
        <f>AVERAGE(D46:D48)</f>
        <v>-5.1705837197333331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0.91945094409999983</v>
      </c>
      <c r="D61" s="9">
        <f>AVERAGE(D49:D51)</f>
        <v>-3.9707663132333337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-9.1805075879999993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-3.6512422958000004</v>
      </c>
      <c r="D63" s="6">
        <f>AVERAGE(C71:C73)</f>
        <v>12.2273432414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-4.3925969600000005</v>
      </c>
      <c r="D64" s="9">
        <f>AVERAGE(C74:C76)</f>
        <v>10.271862347933334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20.319673538233332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11.121958096833334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-0.9317995707333333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2.4073127110666666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6.553872108466666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7.0270957946666668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12.9242229462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8.9299411773999999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14.827865600599999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3.9180030823000003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10.0839414597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16.8136425018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24.5640449524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21.563737869299999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14.831237793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10.860359191900001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9.2104997634999997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13.2950153351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2.6669754982000002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2.0542883872999997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-7.5166625976999999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-0.86550998689999981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1.4399127959999998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6.6475353240999997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5.4497938155999996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13.054309844999999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1.1575126647999996</v>
      </c>
    </row>
    <row r="96" spans="1:7">
      <c r="A96" s="1" t="s">
        <v>87</v>
      </c>
      <c r="C96" s="5">
        <f>'Summary(3pcs)'!W44</f>
        <v>12.551786422699999</v>
      </c>
    </row>
    <row r="97" spans="1:3">
      <c r="A97" s="1" t="s">
        <v>87</v>
      </c>
      <c r="C97" s="8">
        <f>'Summary(3pcs)'!W45</f>
        <v>5.7121706009000004</v>
      </c>
    </row>
    <row r="98" spans="1:3" ht="17.25" thickBot="1">
      <c r="A98" s="1" t="s">
        <v>87</v>
      </c>
      <c r="C98" s="10">
        <f>'Summary(3pcs)'!W46</f>
        <v>2.8173303603999997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