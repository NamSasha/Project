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<sst xmlns="http://schemas.openxmlformats.org/spreadsheetml/2006/main" count="1419" uniqueCount="671">
  <si>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</si>
  <si>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</si>
  <si>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</si>
  <si>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</si>
  <si>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</si>
  <si>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</si>
  <si>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</si>
  <si>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</si>
  <si>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</si>
  <si>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</si>
  <si>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</si>
  <si>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</si>
  <si>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</si>
  <si>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</si>
  <si>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</si>
  <si>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</si>
  <si>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</si>
  <si>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</si>
  <si>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</si>
  <si>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</si>
  <si>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</si>
  <si>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</si>
  <si>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</si>
  <si>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</si>
  <si>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</si>
  <si>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</si>
  <si>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</si>
  <si>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</si>
  <si>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</si>
  <si>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</si>
  <si>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</si>
  <si>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</si>
  <si>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</si>
  <si>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</si>
  <si>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</si>
  <si>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</si>
  <si>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</si>
  <si>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</si>
  <si>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</si>
  <si>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</si>
  <si>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</si>
  <si>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</si>
  <si>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</si>
  <si>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</si>
  <si>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</si>
  <si>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</si>
  <si>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</si>
  <si>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</si>
  <si>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</si>
  <si>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</si>
  <si>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</si>
  <si>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</si>
  <si>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</si>
  <si>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</si>
  <si>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</si>
  <si>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</si>
  <si>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</si>
  <si>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</si>
  <si>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</si>
  <si>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</si>
  <si>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</si>
  <si>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</si>
  <si>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</si>
  <si>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</si>
  <si>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</si>
  <si>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</si>
  <si>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</si>
  <si>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</si>
  <si>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</si>
  <si>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</si>
  <si>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</si>
  <si>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</si>
  <si>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</si>
  <si>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</si>
  <si>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</si>
  <si>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</si>
  <si>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</si>
  <si>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</si>
  <si>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</si>
  <si>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</si>
  <si>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</si>
  <si>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</si>
  <si>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</si>
  <si>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</si>
  <si>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</si>
  <si>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</si>
  <si>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</si>
  <si>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</si>
  <si>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</si>
  <si>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</si>
  <si>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</si>
  <si>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</si>
  <si>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</si>
  <si>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</si>
  <si>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</si>
  <si>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</si>
  <si>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</si>
  <si>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</si>
  <si>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</si>
  <si>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</si>
  <si>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</si>
  <si>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</si>
  <si>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</si>
  <si>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</si>
  <si>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</si>
  <si>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</si>
  <si>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</si>
  <si>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</si>
  <si>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</si>
  <si>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</si>
  <si>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</si>
  <si>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</si>
  <si>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</si>
  <si>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</si>
  <si>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</si>
  <si>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</si>
  <si>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</si>
  <si>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</si>
  <si>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</si>
  <si>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</si>
  <si>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</si>
  <si>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</si>
  <si>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</si>
  <si>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</si>
  <si>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</si>
  <si>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</si>
  <si>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</si>
  <si>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</si>
  <si>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</si>
  <si>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</si>
  <si>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</si>
  <si>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</si>
  <si>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</si>
  <si>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</si>
  <si>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</si>
  <si>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</si>
  <si>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</si>
  <si>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</si>
  <si>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</si>
  <si>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</si>
  <si>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</si>
  <si>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</si>
  <si>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</si>
  <si>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</si>
  <si>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</si>
  <si>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</si>
  <si>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</si>
  <si>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</si>
  <si>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</si>
  <si>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</si>
  <si>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</si>
  <si>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</si>
  <si>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</si>
  <si>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</si>
  <si>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</si>
  <si>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</si>
  <si>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</si>
  <si>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</si>
  <si>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</si>
  <si>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</si>
  <si>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</si>
  <si>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</si>
  <si>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</si>
  <si>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</si>
  <si>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</si>
  <si>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</si>
  <si>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</si>
  <si>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</si>
  <si>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</si>
  <si>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</si>
  <si>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</si>
  <si>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</si>
  <si>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</si>
  <si>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D:\EVMS\TP\LOG\VSY841XN9NFX_2022092311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</si>
  <si>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</si>
  <si>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</si>
  <si>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</si>
  <si>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</si>
  <si>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</si>
  <si>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</si>
  <si>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</si>
  <si>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</si>
  <si>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</si>
  <si>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</si>
  <si>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</si>
  <si>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</si>
  <si>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</si>
  <si>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</si>
  <si>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</si>
  <si>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</si>
  <si>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</si>
  <si>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</si>
  <si>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</si>
  <si>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</si>
  <si>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</si>
  <si>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</si>
  <si>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</si>
  <si>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</si>
  <si>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</si>
  <si>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</si>
  <si>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</si>
  <si>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</si>
  <si>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</si>
  <si>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</si>
  <si>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</si>
  <si>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</si>
  <si>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</si>
  <si>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</si>
  <si>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</si>
  <si>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</si>
  <si>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T220923113136653VCMLEBC050</t>
  </si>
  <si>
    <t>'2022-09-23 11:31:45:955</t>
  </si>
  <si>
    <t>VCMLEBC050A</t>
  </si>
  <si>
    <t>DB_C1001</t>
  </si>
  <si>
    <t>210615ADOE</t>
  </si>
  <si>
    <t>R13A_OC_MFG_C10_21091603_b1779c9</t>
  </si>
  <si>
    <t>VSY841XN9NFX</t>
  </si>
  <si>
    <t>22cb77180595</t>
  </si>
  <si>
    <t>0x52801362f2ce7001</t>
  </si>
  <si>
    <t>MF8C3558A40LB3B6B942018109</t>
  </si>
  <si>
    <t>MF7C3517BHZ713A7A650</t>
  </si>
  <si>
    <t>DNA22301054830B12A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</si>
  <si>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</si>
  <si>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</si>
  <si>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</si>
  <si>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</si>
  <si>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</si>
  <si>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</si>
  <si>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T220923113303545VCMLEBC050</t>
  </si>
  <si>
    <t>'2022-09-23 11:33:12:368</t>
  </si>
  <si>
    <t>22cb77180712</t>
  </si>
  <si>
    <t>0x52801362f2d30b06</t>
  </si>
  <si>
    <t>MF8C3558A3R6B3B6B837105134</t>
  </si>
  <si>
    <t>MF7C3517BK5S13A7A653</t>
  </si>
  <si>
    <t>DNA22264010800L06A</t>
  </si>
  <si>
    <t>T220923113410747VCMLEBC050</t>
  </si>
  <si>
    <t>'2022-09-23 11:34:19:728</t>
  </si>
  <si>
    <t>22cb77190702</t>
  </si>
  <si>
    <t>0x52801362f2cdb606</t>
  </si>
  <si>
    <t>MF8C3558A3R7B3B6B840013117</t>
  </si>
  <si>
    <t>MF7C3517BJSB13A7A657</t>
  </si>
  <si>
    <t>DNA22302011420K02A</t>
  </si>
  <si>
    <t>T220923113518105VCMLEBC050</t>
  </si>
  <si>
    <t>'2022-09-23 11:35:26:885</t>
  </si>
  <si>
    <t>22cb77180823</t>
  </si>
  <si>
    <t>0x52801362f2cdbe07</t>
  </si>
  <si>
    <t>MF8C3558A3ZRB3B6B142013127</t>
  </si>
  <si>
    <t>MF7C3517BJ5413A7A637</t>
  </si>
  <si>
    <t>DNA22292021720K02A</t>
  </si>
  <si>
    <t>T220923113626265VCMLEBC050</t>
  </si>
  <si>
    <t>'2022-09-23 11:36:35:128</t>
  </si>
  <si>
    <t>22cb77180653</t>
  </si>
  <si>
    <t>0x52801362f2d1fb01</t>
  </si>
  <si>
    <t>MF8C3558A3R1B3B6A841007132</t>
  </si>
  <si>
    <t>MF7C3517BK6N13A7A631</t>
  </si>
  <si>
    <t>DNA22264010800L05A</t>
  </si>
  <si>
    <t>T220923113808498VCMLEBC050</t>
  </si>
  <si>
    <t>'2022-09-23 11:38:17:336</t>
  </si>
  <si>
    <t>22cb77180631</t>
  </si>
  <si>
    <t>0x52801162f55a0a06</t>
  </si>
  <si>
    <t>MF8C3558A3TJB3B6C542004154</t>
  </si>
  <si>
    <t>MF7C3537B69Y27A7A645</t>
  </si>
  <si>
    <t>DNA22253045030I01A</t>
  </si>
  <si>
    <t>T220923113945467VCMLEBC050</t>
  </si>
  <si>
    <t>'2022-09-23 11:39:54:241</t>
  </si>
  <si>
    <t>22cb77190280</t>
  </si>
  <si>
    <t>0x52801162f4a8c101</t>
  </si>
  <si>
    <t>MF8C3558A3U7B3B6A842005120</t>
  </si>
  <si>
    <t>MF7C3517BKH413A7A653</t>
  </si>
  <si>
    <t>DNA22292022490A07A</t>
  </si>
  <si>
    <t>T220923114051718VCMLEBC050</t>
  </si>
  <si>
    <t>'2022-09-23 11:41:00:576</t>
  </si>
  <si>
    <t>22cb77190366</t>
  </si>
  <si>
    <t>0x52801562ebccb601</t>
  </si>
  <si>
    <t>MF8C3558A3UAB3B6B641009119</t>
  </si>
  <si>
    <t>MF7C3517BKH813A7A649</t>
  </si>
  <si>
    <t>DNA22292022490B03A</t>
  </si>
  <si>
    <t>T220923110511963VCMLEBC050</t>
  </si>
  <si>
    <t>'2022-09-23 11:05:20:804</t>
  </si>
  <si>
    <t>22cb77180800</t>
  </si>
  <si>
    <t>0x52801362f2cbcd06</t>
  </si>
  <si>
    <t>MF8C3558A3U8B3B6B339104126</t>
  </si>
  <si>
    <t>MF7C3517BKHB13A7A655</t>
  </si>
  <si>
    <t>DNA22292025280M13A</t>
  </si>
  <si>
    <t>T220923110618403VCMLEBC050</t>
  </si>
  <si>
    <t>'2022-09-23 11:06:27:336</t>
  </si>
  <si>
    <t>22cb77180797</t>
  </si>
  <si>
    <t>0x52801362f2cdaf05</t>
  </si>
  <si>
    <t>MF8C3558A38CB3B6B736001107</t>
  </si>
  <si>
    <t>MF7C3517BK6T13A7A639</t>
  </si>
  <si>
    <t>DNA22264010800K10A</t>
  </si>
  <si>
    <t>T220923110724168VCMLEBC050</t>
  </si>
  <si>
    <t>'2022-09-23 11:07:33:002</t>
  </si>
  <si>
    <t>22cb77180895</t>
  </si>
  <si>
    <t>0x52801362f2d30b08</t>
  </si>
  <si>
    <t>MF8C3558A3ZMB3B6B942011134</t>
  </si>
  <si>
    <t>MF7C3517BJ5W13A7A649</t>
  </si>
  <si>
    <t>DNA22292021720M12A</t>
  </si>
  <si>
    <t>T220923110829046VCMLEBC050</t>
  </si>
  <si>
    <t>'2022-09-23 11:08:37:862</t>
  </si>
  <si>
    <t>22cb77190551</t>
  </si>
  <si>
    <t>0x52801362f2d30306</t>
  </si>
  <si>
    <t>MF8C3558A3G9B3B6B642020120</t>
  </si>
  <si>
    <t>MF7C3537B6CR27A7A643</t>
  </si>
  <si>
    <t>DNA22251024760D07A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</si>
  <si>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</si>
  <si>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</si>
  <si>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</si>
  <si>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</si>
  <si>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</si>
  <si>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</si>
  <si>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</si>
  <si>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</si>
  <si>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</si>
  <si>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</si>
  <si>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</si>
  <si>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</si>
  <si>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</si>
  <si>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</si>
  <si>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</si>
  <si>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</si>
  <si>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</si>
  <si>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</si>
  <si>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</si>
  <si>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</si>
  <si>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</si>
  <si>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</si>
  <si>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</si>
  <si>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</si>
  <si>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</si>
  <si>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</si>
  <si>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</si>
  <si>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</si>
  <si>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</si>
  <si>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</si>
  <si>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</si>
  <si>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T220923113203338VCMLEBC050</t>
  </si>
  <si>
    <t>'2022-09-23 11:32:31:907</t>
  </si>
  <si>
    <t>R13A_IPQC_MFG_SFR_InfDn_C10_21090805_b1779c9</t>
  </si>
  <si>
    <t>D6x_Wide</t>
  </si>
  <si>
    <t>Normal</t>
  </si>
  <si>
    <t>T220923113329895VCMLEBC050</t>
  </si>
  <si>
    <t>'2022-09-23 11:33:58:099</t>
  </si>
  <si>
    <t>T220923113437225VCMLEBC050</t>
  </si>
  <si>
    <t>'2022-09-23 11:35:05:406</t>
  </si>
  <si>
    <t>T220923113544364VCMLEBC050</t>
  </si>
  <si>
    <t>'2022-09-23 11:36:12:175</t>
  </si>
  <si>
    <t>T220923113652560VCMLEBC050</t>
  </si>
  <si>
    <t>'2022-09-23 11:37:21:309</t>
  </si>
  <si>
    <t>T220923113834807VCMLEBC050</t>
  </si>
  <si>
    <t>'2022-09-23 11:39:03:729</t>
  </si>
  <si>
    <t>T220923114011696VCMLEBC050</t>
  </si>
  <si>
    <t>'2022-09-23 11:40:40:640</t>
  </si>
  <si>
    <t>T220923114118049VCMLEBC050</t>
  </si>
  <si>
    <t>'2022-09-23 11:41:46:265</t>
  </si>
  <si>
    <t>T220923110538243VCMLEBC050</t>
  </si>
  <si>
    <t>'2022-09-23 11:06:07:394</t>
  </si>
  <si>
    <t>T220923110644857VCMLEBC050</t>
  </si>
  <si>
    <t>'2022-09-23 11:07:13:158</t>
  </si>
  <si>
    <t>T220923110750445VCMLEBC050</t>
  </si>
  <si>
    <t>'2022-09-23 11:08:18:616</t>
  </si>
  <si>
    <t>T220923110855334VCMLEBC050</t>
  </si>
  <si>
    <t>'2022-09-23 11:09:23:451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</si>
  <si>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</si>
  <si>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</si>
  <si>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</si>
  <si>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</si>
  <si>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</si>
  <si>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</si>
  <si>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</si>
  <si>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</si>
  <si>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</si>
  <si>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</si>
  <si>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</si>
  <si>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</si>
  <si>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</si>
  <si>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11:32:21:880</t>
  </si>
  <si>
    <t>'2022-09-23 11:33:48:076</t>
  </si>
  <si>
    <t>'2022-09-23 11:34:55:380</t>
  </si>
  <si>
    <t>'2022-09-23 11:36:02:139</t>
  </si>
  <si>
    <t>'2022-09-23 11:37:11:282</t>
  </si>
  <si>
    <t>'2022-09-23 11:38:53:704</t>
  </si>
  <si>
    <t>'2022-09-23 11:40:30:610</t>
  </si>
  <si>
    <t>'2022-09-23 11:41:36:237</t>
  </si>
  <si>
    <t>'2022-09-23 11:05:57:364</t>
  </si>
  <si>
    <t>'2022-09-23 11:07:03:130</t>
  </si>
  <si>
    <t>'2022-09-23 11:08:08:585</t>
  </si>
  <si>
    <t>'2022-09-23 11:09:13:422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</si>
  <si>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</si>
  <si>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</si>
  <si>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</si>
  <si>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</si>
  <si>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</si>
  <si>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</si>
  <si>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</si>
  <si>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</si>
  <si>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</si>
  <si>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</si>
  <si>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</si>
  <si>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</si>
  <si>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</si>
  <si>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</si>
  <si>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</si>
  <si>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</si>
  <si>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</si>
  <si>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</si>
  <si>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</si>
  <si>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</si>
  <si>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</si>
  <si>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</si>
  <si>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</si>
  <si>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</si>
  <si>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</si>
  <si>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</si>
  <si>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</si>
  <si>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</si>
  <si>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</si>
  <si>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</si>
  <si>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</si>
  <si>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</si>
  <si>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</si>
  <si>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</si>
  <si>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</si>
  <si>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</si>
  <si>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</si>
  <si>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</si>
  <si>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</si>
  <si>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</si>
  <si>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</si>
  <si>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</si>
  <si>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</si>
  <si>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</si>
  <si>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</si>
  <si>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</si>
  <si>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</si>
  <si>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</si>
  <si>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</si>
  <si>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</si>
  <si>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</si>
  <si>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</si>
  <si>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</si>
  <si>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</si>
  <si>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</si>
  <si>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</si>
  <si>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</si>
  <si>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</si>
  <si>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</si>
  <si>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</si>
  <si>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</si>
  <si>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</si>
  <si>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</si>
  <si>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</si>
  <si>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</si>
  <si>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</si>
  <si>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</si>
  <si>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</si>
  <si>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</si>
  <si>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</si>
  <si>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</si>
  <si>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</si>
  <si>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</si>
  <si>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</si>
  <si>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</si>
  <si>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</si>
  <si>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</si>
  <si>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</si>
  <si>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</si>
  <si>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</si>
  <si>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</si>
  <si>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</si>
  <si>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</si>
  <si>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</si>
  <si>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</si>
  <si>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</si>
  <si>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</si>
  <si>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</si>
  <si>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</si>
  <si>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</si>
  <si>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</si>
  <si>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</si>
  <si>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</si>
  <si>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</si>
  <si>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</si>
  <si>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</si>
  <si>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</si>
  <si>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</si>
  <si>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</si>
  <si>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</si>
  <si>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</si>
  <si>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</si>
  <si>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</si>
  <si>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</si>
  <si>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</si>
  <si>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</si>
  <si>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</si>
  <si>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</si>
  <si>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</si>
  <si>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</si>
  <si>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</si>
  <si>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</si>
  <si>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</si>
  <si>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</si>
  <si>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</si>
  <si>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</si>
  <si>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</si>
  <si>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</si>
  <si>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</si>
  <si>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</si>
  <si>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</si>
  <si>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</si>
  <si>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</si>
  <si>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</si>
  <si>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</si>
  <si>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</si>
  <si>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</si>
  <si>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</si>
  <si>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</si>
  <si>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</si>
  <si>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</si>
  <si>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</si>
  <si>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</si>
  <si>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</si>
  <si>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</si>
  <si>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</si>
  <si>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</si>
  <si>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</si>
  <si>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</si>
  <si>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</si>
  <si>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</si>
  <si>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</si>
  <si>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</si>
  <si>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</si>
  <si>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</si>
  <si>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</si>
  <si>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</si>
  <si>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</si>
  <si>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</si>
  <si>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</si>
  <si>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</si>
  <si>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</si>
  <si>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</si>
  <si>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</si>
  <si>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</si>
  <si>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</si>
  <si>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</si>
  <si>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</si>
  <si>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</si>
  <si>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</si>
  <si>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</si>
  <si>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</si>
  <si>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</si>
  <si>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</si>
  <si>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</si>
  <si>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</si>
  <si>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</si>
  <si>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</si>
  <si>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</si>
  <si>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</si>
  <si>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</si>
  <si>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</si>
  <si>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</si>
  <si>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</si>
  <si>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</si>
  <si>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</si>
  <si>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</si>
  <si>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</si>
  <si>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</si>
  <si>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</si>
  <si>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</si>
  <si>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</si>
  <si>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</si>
  <si>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</si>
  <si>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</si>
  <si>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</si>
  <si>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</si>
  <si>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</si>
  <si>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</si>
  <si>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</si>
  <si>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</si>
  <si>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</si>
  <si>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</si>
  <si>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</si>
  <si>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</si>
  <si>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</si>
  <si>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</si>
  <si>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</si>
  <si>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</si>
  <si>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</si>
  <si>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</si>
  <si>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</si>
  <si>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</si>
  <si>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</si>
  <si>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</si>
  <si>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</si>
  <si>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</si>
  <si>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</si>
  <si>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</si>
  <si>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</si>
  <si>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</si>
  <si>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</si>
  <si>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</si>
  <si>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</si>
  <si>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</si>
  <si>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</si>
  <si>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</si>
  <si>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</si>
  <si>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</si>
  <si>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</si>
  <si>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</si>
  <si>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</si>
  <si>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</si>
  <si>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</si>
  <si>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</si>
  <si>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</si>
  <si>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</si>
  <si>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</si>
  <si>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</si>
  <si>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</si>
  <si>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</si>
  <si>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</si>
  <si>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</si>
  <si>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</si>
  <si>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</si>
  <si>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</si>
  <si>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</si>
  <si>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</si>
  <si>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</si>
  <si>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</si>
  <si>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</si>
  <si>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</si>
  <si>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</si>
  <si>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</si>
  <si>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</si>
  <si>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</si>
  <si>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</si>
  <si>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</si>
  <si>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</si>
  <si>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</si>
  <si>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</si>
  <si>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</si>
  <si>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</si>
  <si>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</si>
  <si>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</si>
  <si>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</si>
  <si>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</si>
  <si>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T220923113148561VCMLEBC050</t>
  </si>
  <si>
    <t>'2022-09-23 11:32:01:099</t>
  </si>
  <si>
    <t>R13A_IPQC_MFG_Laser_C10_21090805_b1779c9</t>
  </si>
  <si>
    <t>v9p4</t>
  </si>
  <si>
    <t>T220923113315065VCMLEBC050</t>
  </si>
  <si>
    <t>'2022-09-23 11:33:27:593</t>
  </si>
  <si>
    <t>T220923113422380VCMLEBC050</t>
  </si>
  <si>
    <t>'2022-09-23 11:34:34:919</t>
  </si>
  <si>
    <t>T220923113529511VCMLEBC050</t>
  </si>
  <si>
    <t>'2022-09-23 11:35:42:049</t>
  </si>
  <si>
    <t>T220923113637734VCMLEBC050</t>
  </si>
  <si>
    <t>'2022-09-23 11:36:50:274</t>
  </si>
  <si>
    <t>T220923113819960VCMLEBC050</t>
  </si>
  <si>
    <t>'2022-09-23 11:38:32:491</t>
  </si>
  <si>
    <t>T220923113956862VCMLEBC050</t>
  </si>
  <si>
    <t>'2022-09-23 11:40:09:404</t>
  </si>
  <si>
    <t>T220923114103215VCMLEBC050</t>
  </si>
  <si>
    <t>'2022-09-23 11:41:15:749</t>
  </si>
  <si>
    <t>T220923110523417VCMLEBC050</t>
  </si>
  <si>
    <t>'2022-09-23 11:05:35:947</t>
  </si>
  <si>
    <t>T220923110630032VCMLEBC050</t>
  </si>
  <si>
    <t>'2022-09-23 11:06:42:572</t>
  </si>
  <si>
    <t>T220923110735617VCMLEBC050</t>
  </si>
  <si>
    <t>'2022-09-23 11:07:48:145</t>
  </si>
  <si>
    <t>T220923110840503VCMLEBC050</t>
  </si>
  <si>
    <t>'2022-09-23 11:08:53:031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</si>
</sst>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-3.3816022514999999</c:v>
                </c:pt>
                <c:pt idx="1">
                  <c:v>-6.5867403394000004</c:v>
                </c:pt>
                <c:pt idx="2">
                  <c:v>0.83133960740000001</c:v>
                </c:pt>
                <c:pt idx="3">
                  <c:v>5.2831690873000001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-0.36341467479999956</c:v>
                </c:pt>
                <c:pt idx="1">
                  <c:v>1.5862151667000002</c:v>
                </c:pt>
                <c:pt idx="2">
                  <c:v>3.1756353376000002</c:v>
                </c:pt>
                <c:pt idx="3">
                  <c:v>-3.8740629695999997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-3.0456676611666667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1.4661452765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91872"/>
        <c:axId val="60193408"/>
      </c:scatterChart>
      <c:valAx>
        <c:axId val="601918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193408"/>
        <c:crosses val="autoZero"/>
        <c:crossBetween val="midCat"/>
        <c:majorUnit val="10"/>
      </c:valAx>
      <c:valAx>
        <c:axId val="601934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191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7.3780840440000004</c:v>
                </c:pt>
                <c:pt idx="1">
                  <c:v>1.7616770138</c:v>
                </c:pt>
                <c:pt idx="2">
                  <c:v>3.0755461489</c:v>
                </c:pt>
                <c:pt idx="3">
                  <c:v>-4.1849587428000001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-1.8901252148000003</c:v>
                </c:pt>
                <c:pt idx="1">
                  <c:v>-7.0528488009999997</c:v>
                </c:pt>
                <c:pt idx="2">
                  <c:v>6.5521597953999997</c:v>
                </c:pt>
                <c:pt idx="3">
                  <c:v>8.3965592847000003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4.8076433817000002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-4.2723456618000002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04000"/>
        <c:axId val="60313984"/>
      </c:scatterChart>
      <c:valAx>
        <c:axId val="603040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13984"/>
        <c:crosses val="autoZero"/>
        <c:crossBetween val="midCat"/>
        <c:majorUnit val="10"/>
      </c:valAx>
      <c:valAx>
        <c:axId val="603139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0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0.84767097030000005</c:v>
                </c:pt>
                <c:pt idx="1">
                  <c:v>-1.4200151646000001</c:v>
                </c:pt>
                <c:pt idx="2">
                  <c:v>7.9107876900000003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6.5712021106999998</c:v>
                </c:pt>
                <c:pt idx="1">
                  <c:v>9.8148231583000012</c:v>
                </c:pt>
                <c:pt idx="2">
                  <c:v>5.7729070531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-8.724720786666669E-2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7.1733070635999994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46752"/>
        <c:axId val="60348288"/>
      </c:scatterChart>
      <c:valAx>
        <c:axId val="6034675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48288"/>
        <c:crosses val="autoZero"/>
        <c:crossBetween val="midCat"/>
        <c:majorUnit val="10"/>
      </c:valAx>
      <c:valAx>
        <c:axId val="6034828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34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-1.8158873222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5.7824342323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1.5582950677333336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7.1233881478999992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80480"/>
        <c:axId val="61382016"/>
      </c:scatterChart>
      <c:valAx>
        <c:axId val="6138048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382016"/>
        <c:crosses val="autoZero"/>
        <c:crossBetween val="midCat"/>
        <c:majorUnit val="10"/>
      </c:valAx>
      <c:valAx>
        <c:axId val="6138201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138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89.234201857299993</c:v>
                </c:pt>
                <c:pt idx="1">
                  <c:v>92.1346342131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88.51503896269999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16576"/>
        <c:axId val="61418112"/>
      </c:scatterChart>
      <c:valAx>
        <c:axId val="6141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418112"/>
        <c:crosses val="autoZero"/>
        <c:crossBetween val="midCat"/>
      </c:valAx>
      <c:valAx>
        <c:axId val="6141811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416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84.176280817700004</c:v>
                </c:pt>
                <c:pt idx="1">
                  <c:v>94.908385764599998</c:v>
                </c:pt>
                <c:pt idx="2">
                  <c:v>98.410268629800001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95.269721834833334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63552"/>
        <c:axId val="61465344"/>
      </c:scatterChart>
      <c:valAx>
        <c:axId val="6146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465344"/>
        <c:crosses val="autoZero"/>
        <c:crossBetween val="midCat"/>
      </c:valAx>
      <c:valAx>
        <c:axId val="6146534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146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92.490511110100002</c:v>
                </c:pt>
                <c:pt idx="1">
                  <c:v>95.786165442799998</c:v>
                </c:pt>
                <c:pt idx="2">
                  <c:v>86.988628566900005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95.847932846800006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85248"/>
        <c:axId val="75286784"/>
      </c:scatterChart>
      <c:valAx>
        <c:axId val="75285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5286784"/>
        <c:crosses val="autoZero"/>
        <c:crossBetween val="midCat"/>
      </c:valAx>
      <c:valAx>
        <c:axId val="7528678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5285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104.7690045307</c:v>
                </c:pt>
                <c:pt idx="1">
                  <c:v>85.389878358499999</c:v>
                </c:pt>
                <c:pt idx="2">
                  <c:v>86.152978912699993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86.596097016966652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8512"/>
        <c:axId val="129650048"/>
      </c:scatterChart>
      <c:valAx>
        <c:axId val="12964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650048"/>
        <c:crosses val="autoZero"/>
        <c:crossBetween val="midCat"/>
      </c:valAx>
      <c:valAx>
        <c:axId val="12965004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648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-6.6332759857000001</c:v>
                </c:pt>
                <c:pt idx="1">
                  <c:v>-1.4608731270000002</c:v>
                </c:pt>
                <c:pt idx="2">
                  <c:v>0.22458648679999982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4.5524091721</c:v>
                </c:pt>
                <c:pt idx="1">
                  <c:v>6.0069408417000005</c:v>
                </c:pt>
                <c:pt idx="2">
                  <c:v>1.4882097243999999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-2.6231875419666668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4.0158532460666665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07008"/>
        <c:axId val="129716992"/>
      </c:scatterChart>
      <c:valAx>
        <c:axId val="1297070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716992"/>
        <c:crosses val="autoZero"/>
        <c:crossBetween val="midCat"/>
        <c:majorUnit val="10"/>
      </c:valAx>
      <c:valAx>
        <c:axId val="1297169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70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-5.4493052959000003</c:v>
                </c:pt>
                <c:pt idx="1">
                  <c:v>-11.5345692635</c:v>
                </c:pt>
                <c:pt idx="2">
                  <c:v>-1.7361006737000002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-0.70865988730000007</c:v>
                </c:pt>
                <c:pt idx="1">
                  <c:v>-0.43349170679999993</c:v>
                </c:pt>
                <c:pt idx="2">
                  <c:v>0.57086133959999996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-6.2399917443666668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-0.19043008483333335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56160"/>
        <c:axId val="129770240"/>
      </c:scatterChart>
      <c:valAx>
        <c:axId val="12975616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770240"/>
        <c:crosses val="autoZero"/>
        <c:crossBetween val="midCat"/>
        <c:majorUnit val="10"/>
      </c:valAx>
      <c:valAx>
        <c:axId val="1297702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756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0.45300006869999976</c:v>
                </c:pt>
                <c:pt idx="1">
                  <c:v>-4.4463291167999994</c:v>
                </c:pt>
                <c:pt idx="2">
                  <c:v>-6.6167061329000001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-0.84752202030000001</c:v>
                </c:pt>
                <c:pt idx="1">
                  <c:v>2.2373199500000052E-2</c:v>
                </c:pt>
                <c:pt idx="2">
                  <c:v>-6.6964566708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-3.536678393666667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-2.5072018305333335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03008"/>
        <c:axId val="129804544"/>
      </c:scatterChart>
      <c:valAx>
        <c:axId val="1298030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804544"/>
        <c:crosses val="autoZero"/>
        <c:crossBetween val="midCat"/>
        <c:majorUnit val="10"/>
      </c:valAx>
      <c:valAx>
        <c:axId val="1298045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803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1.6215648650999999</c:v>
                </c:pt>
                <c:pt idx="1">
                  <c:v>-0.12095117570000014</c:v>
                </c:pt>
                <c:pt idx="2">
                  <c:v>2.4238119124999997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-2.8112586736999998</c:v>
                </c:pt>
                <c:pt idx="1">
                  <c:v>4.2507362365999999</c:v>
                </c:pt>
                <c:pt idx="2">
                  <c:v>1.5038585662999999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1.3081418672999998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0.98111204306666666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857792"/>
        <c:axId val="129859584"/>
      </c:scatterChart>
      <c:valAx>
        <c:axId val="12985779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859584"/>
        <c:crosses val="autoZero"/>
        <c:crossBetween val="midCat"/>
        <c:majorUnit val="10"/>
      </c:valAx>
      <c:valAx>
        <c:axId val="1298595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29857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D:\EVMS\TP\LOG\VSY841XN9NFX_2022092311_D50_ON_OC.csv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D:\EVMS\TP\LOG\VSY841XN9NFX_2022092311_FPDC_INFD_normal.csv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D:\EVMS\TP\LOG\VSY841XN9NFX_2022092311_INFDMargin_IPQC.csv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D:\EVMS\TP\LOG\VSY841XN9NFX_2022092311_VCM_MEASURE.csv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22cb77180595</v>
      </c>
      <c r="C34" s="44">
        <f>IPQC!S2+VLOOKUP($R$31,$AD$38:$AK$42,6,FALSE)+VLOOKUP('File location'!$B$1,'Tester offset'!$A$2:$D$4,2,FALSE)</f>
        <v>89.234201857299993</v>
      </c>
      <c r="D34" s="44">
        <f>IPQC!Z2+VLOOKUP($R$31,$AD$38:$AK$42,6,FALSE)</f>
        <v>72.081189022000004</v>
      </c>
      <c r="E34" s="44">
        <f>VCM!HU2-'Summary(3pcs)'!C34-'Summary(3pcs)'!$D$32</f>
        <v>148.26701058563793</v>
      </c>
      <c r="F34" s="90">
        <f>AVERAGEIF($A$34:$A$45,1,$C$34:$C$45)</f>
        <v>88.51503896269999</v>
      </c>
      <c r="G34" s="91">
        <f>AVERAGEIF($A$34:$A$45,1,$D$34:$D$45)</f>
        <v>70.547270383533331</v>
      </c>
      <c r="H34" s="91">
        <f>AVERAGEIF($A$34:$A$45,1,$E$34:$E$45)</f>
        <v>151.09533980963792</v>
      </c>
      <c r="I34" s="91">
        <f>85-F34</f>
        <v>-3.5150389626999896</v>
      </c>
      <c r="J34"/>
      <c r="K34" s="79">
        <f>T34</f>
        <v>1</v>
      </c>
      <c r="L34" s="80" t="str">
        <f>OC!J2</f>
        <v>22cb77180595</v>
      </c>
      <c r="M34" s="44">
        <f>OC!S2+VLOOKUP($R$31,$AD$38:$AK$42,4,FALSE)</f>
        <v>-3.3816022514999999</v>
      </c>
      <c r="N34" s="44">
        <f>OC!T2+VLOOKUP($R$31,$AD$38:$AK$42,5,FALSE)</f>
        <v>-0.36341467479999956</v>
      </c>
      <c r="O34" s="92">
        <f>AVERAGEIF($K$34:$K$45,1,$M$34:$M$45)</f>
        <v>-3.0456676611666667</v>
      </c>
      <c r="P34" s="92">
        <f>AVERAGEIF($K$34:$K$45,1,$N$34:$N$45)</f>
        <v>1.4661452765</v>
      </c>
      <c r="Q34" s="90">
        <f>P34*0.001</f>
        <v>1.4661452765000001E-3</v>
      </c>
      <c r="R34" s="90">
        <f>O34*0.001</f>
        <v>-3.0456676611666667E-3</v>
      </c>
      <c r="T34" s="79">
        <v>1</v>
      </c>
      <c r="U34" s="80" t="str">
        <f>FPDC!J2</f>
        <v>22cb77180595</v>
      </c>
      <c r="V34" s="75">
        <f>FPDC!R2+VLOOKUP($R$31,$AD$38:$AK$42,2,FALSE)+VLOOKUP($R$31,$AD$38:$AK$42,7,FALSE)+VLOOKUP('File location'!$B$1,'Tester offset'!$A$2:$D$4,3,FALSE)</f>
        <v>1.6215648650999999</v>
      </c>
      <c r="W34" s="76">
        <f>FPDC!S2+VLOOKUP($R$31,$AD$38:$AK$42,3,FALSE)+VLOOKUP($R$31,$AD$38:$AK$42,8,FALSE)+VLOOKUP('File location'!$B$1,'Tester offset'!$A$2:$D$4,4,FALSE)</f>
        <v>-2.8112586736999998</v>
      </c>
      <c r="X34" s="92">
        <f>AVERAGEIF($T$34:$T$45,1,$V$34:$V$45)</f>
        <v>1.3081418672999998</v>
      </c>
      <c r="Y34" s="92">
        <f>AVERAGEIF($T$34:$T$45,1,$W$34:$W$45)</f>
        <v>0.98111204306666666</v>
      </c>
      <c r="Z34" s="90">
        <f>(X34*-0.01)/4</f>
        <v>-3.2703546682499997E-3</v>
      </c>
      <c r="AA34" s="90">
        <f>(Y34*-0.01)/4</f>
        <v>-2.4527801076666667E-3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22cb77180712</v>
      </c>
      <c r="C35" s="44">
        <f>IPQC!S3+VLOOKUP($R$31,$AD$38:$AK$42,6,FALSE)+VLOOKUP('File location'!$B$1,'Tester offset'!$A$2:$D$4,2,FALSE)</f>
        <v>92.1346342131</v>
      </c>
      <c r="D35" s="44">
        <f>IPQC!Z3+VLOOKUP($R$31,$AD$38:$AK$42,6,FALSE)</f>
        <v>71.315516240199997</v>
      </c>
      <c r="E35" s="44">
        <f>VCM!HU3-'Summary(3pcs)'!C35-'Summary(3pcs)'!$D$32</f>
        <v>152.83640573303791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22cb77180712</v>
      </c>
      <c r="M35" s="44">
        <f>OC!S3+VLOOKUP($R$31,$AD$38:$AK$42,4,FALSE)</f>
        <v>-6.5867403394000004</v>
      </c>
      <c r="N35" s="44">
        <f>OC!T3+VLOOKUP($R$31,$AD$38:$AK$42,5,FALSE)</f>
        <v>1.5862151667000002</v>
      </c>
      <c r="O35" s="92"/>
      <c r="P35" s="92"/>
      <c r="Q35" s="90"/>
      <c r="R35" s="90"/>
      <c r="T35" s="79">
        <v>1</v>
      </c>
      <c r="U35" s="80" t="str">
        <f>FPDC!J3</f>
        <v>22cb77180712</v>
      </c>
      <c r="V35" s="75">
        <f>FPDC!R3+VLOOKUP($R$31,$AD$38:$AK$42,2,FALSE)+VLOOKUP($R$31,$AD$38:$AK$42,7,FALSE)+VLOOKUP('File location'!$B$1,'Tester offset'!$A$2:$D$4,3,FALSE)</f>
        <v>-0.12095117570000014</v>
      </c>
      <c r="W35" s="76">
        <f>FPDC!S3+VLOOKUP($R$31,$AD$38:$AK$42,3,FALSE)+VLOOKUP($R$31,$AD$38:$AK$42,8,FALSE)+VLOOKUP('File location'!$B$1,'Tester offset'!$A$2:$D$4,4,FALSE)</f>
        <v>4.2507362365999999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22cb77190702</v>
      </c>
      <c r="C36" s="44">
        <f>IPQC!S4+VLOOKUP($R$31,$AD$38:$AK$42,6,FALSE)+VLOOKUP('File location'!$B$1,'Tester offset'!$A$2:$D$4,2,FALSE)</f>
        <v>84.176280817700004</v>
      </c>
      <c r="D36" s="44">
        <f>IPQC!Z4+VLOOKUP($R$31,$AD$38:$AK$42,6,FALSE)</f>
        <v>68.245105888399991</v>
      </c>
      <c r="E36" s="44">
        <f>VCM!HU4-'Summary(3pcs)'!C36-'Summary(3pcs)'!$D$32</f>
        <v>152.18260311023789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22cb77190702</v>
      </c>
      <c r="M36" s="44">
        <f>OC!S4+VLOOKUP($R$31,$AD$38:$AK$42,4,FALSE)</f>
        <v>0.83133960740000001</v>
      </c>
      <c r="N36" s="44">
        <f>OC!T4+VLOOKUP($R$31,$AD$38:$AK$42,5,FALSE)</f>
        <v>3.1756353376000002</v>
      </c>
      <c r="O36" s="92"/>
      <c r="P36" s="92"/>
      <c r="Q36" s="90"/>
      <c r="R36" s="90"/>
      <c r="T36" s="79">
        <v>1</v>
      </c>
      <c r="U36" s="80" t="str">
        <f>FPDC!J4</f>
        <v>22cb77190702</v>
      </c>
      <c r="V36" s="75">
        <f>FPDC!R4+VLOOKUP($R$31,$AD$38:$AK$42,2,FALSE)+VLOOKUP($R$31,$AD$38:$AK$42,7,FALSE)+VLOOKUP('File location'!$B$1,'Tester offset'!$A$2:$D$4,3,FALSE)</f>
        <v>2.4238119124999997</v>
      </c>
      <c r="W36" s="76">
        <f>FPDC!S4+VLOOKUP($R$31,$AD$38:$AK$42,3,FALSE)+VLOOKUP($R$31,$AD$38:$AK$42,8,FALSE)+VLOOKUP('File location'!$B$1,'Tester offset'!$A$2:$D$4,4,FALSE)</f>
        <v>1.5038585662999999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 t="str">
        <f>IPQC!J5</f>
        <v>22cb77180823</v>
      </c>
      <c r="C37" s="44">
        <f>IPQC!S5+VLOOKUP($R$31,$AD$38:$AK$42,6,FALSE)+VLOOKUP('File location'!$B$1,'Tester offset'!$A$2:$D$4,2,FALSE)</f>
        <v>94.908385764599998</v>
      </c>
      <c r="D37" s="44">
        <f>IPQC!Z5+VLOOKUP($R$31,$AD$38:$AK$42,6,FALSE)</f>
        <v>75.605208742299993</v>
      </c>
      <c r="E37" s="44">
        <f>VCM!HU5-'Summary(3pcs)'!C37-'Summary(3pcs)'!$D$32</f>
        <v>148.16508355633795</v>
      </c>
      <c r="F37" s="90">
        <f>AVERAGEIF($A$34:$A$45,2,$C$34:$C$45)</f>
        <v>95.269721834833334</v>
      </c>
      <c r="G37" s="91">
        <f>AVERAGEIF($A$34:$A$45,2,$D$34:$D$45)</f>
        <v>73.607797976766662</v>
      </c>
      <c r="H37" s="91">
        <f>AVERAGEIF($A$34:$A$45,2,$E$34:$E$45)</f>
        <v>143.06198238517126</v>
      </c>
      <c r="I37" s="91">
        <f>85-F37</f>
        <v>-10.269721834833334</v>
      </c>
      <c r="J37"/>
      <c r="K37" s="79">
        <f t="shared" si="1"/>
        <v>2</v>
      </c>
      <c r="L37" s="80" t="str">
        <f>OC!J5</f>
        <v>22cb77180823</v>
      </c>
      <c r="M37" s="44">
        <f>OC!S5+VLOOKUP($R$31,$AD$38:$AK$42,4,FALSE)</f>
        <v>5.2831690873000001</v>
      </c>
      <c r="N37" s="44">
        <f>OC!T5+VLOOKUP($R$31,$AD$38:$AK$42,5,FALSE)</f>
        <v>-3.8740629695999997</v>
      </c>
      <c r="O37" s="92">
        <f>AVERAGEIF($K$34:$K$45,2,$M$34:$M$45)</f>
        <v>4.8076433817000002</v>
      </c>
      <c r="P37" s="92">
        <f>AVERAGEIF($K$34:$K$45,2,$N$34:$N$45)</f>
        <v>-4.2723456618000002</v>
      </c>
      <c r="Q37" s="90">
        <f>P37*0.001</f>
        <v>-4.2723456618000005E-3</v>
      </c>
      <c r="R37" s="90">
        <f>O37*0.001</f>
        <v>4.8076433817000001E-3</v>
      </c>
      <c r="T37" s="79">
        <v>2</v>
      </c>
      <c r="U37" s="80" t="str">
        <f>FPDC!J5</f>
        <v>22cb77180823</v>
      </c>
      <c r="V37" s="75">
        <f>FPDC!R5+VLOOKUP($R$31,$AD$38:$AK$42,2,FALSE)+VLOOKUP($R$31,$AD$38:$AK$42,7,FALSE)+VLOOKUP('File location'!$B$1,'Tester offset'!$A$2:$D$4,3,FALSE)</f>
        <v>-6.6332759857000001</v>
      </c>
      <c r="W37" s="76">
        <f>FPDC!S5+VLOOKUP($R$31,$AD$38:$AK$42,3,FALSE)+VLOOKUP($R$31,$AD$38:$AK$42,8,FALSE)+VLOOKUP('File location'!$B$1,'Tester offset'!$A$2:$D$4,4,FALSE)</f>
        <v>4.5524091721</v>
      </c>
      <c r="X37" s="92">
        <f>AVERAGEIF($T$34:$T$45,2,$V$34:$V$45)</f>
        <v>-2.6231875419666668</v>
      </c>
      <c r="Y37" s="92">
        <f>AVERAGEIF($T$34:$T$45,2,$W$34:$W$45)</f>
        <v>4.0158532460666665</v>
      </c>
      <c r="Z37" s="90">
        <f>(X37*-0.01)/4</f>
        <v>6.5579688549166669E-3</v>
      </c>
      <c r="AA37" s="90">
        <f>(Y37*-0.01)/4</f>
        <v>-1.0039633115166667E-2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 t="str">
        <f>IPQC!J6</f>
        <v>22cb77180653</v>
      </c>
      <c r="C38" s="44">
        <f>IPQC!S6+VLOOKUP($R$31,$AD$38:$AK$42,6,FALSE)+VLOOKUP('File location'!$B$1,'Tester offset'!$A$2:$D$4,2,FALSE)</f>
        <v>98.410268629800001</v>
      </c>
      <c r="D38" s="44">
        <f>IPQC!Z6+VLOOKUP($R$31,$AD$38:$AK$42,6,FALSE)</f>
        <v>79.426891638000001</v>
      </c>
      <c r="E38" s="44">
        <f>VCM!HU6-'Summary(3pcs)'!C38-'Summary(3pcs)'!$D$32</f>
        <v>137.30705800033792</v>
      </c>
      <c r="F38" s="90"/>
      <c r="G38" s="91"/>
      <c r="H38" s="91"/>
      <c r="I38" s="91"/>
      <c r="J38"/>
      <c r="K38" s="79">
        <f t="shared" si="1"/>
        <v>2</v>
      </c>
      <c r="L38" s="80" t="str">
        <f>OC!J6</f>
        <v>22cb77180653</v>
      </c>
      <c r="M38" s="44">
        <f>OC!S6+VLOOKUP($R$31,$AD$38:$AK$42,4,FALSE)</f>
        <v>7.3780840440000004</v>
      </c>
      <c r="N38" s="44">
        <f>OC!T6+VLOOKUP($R$31,$AD$38:$AK$42,5,FALSE)</f>
        <v>-1.8901252148000003</v>
      </c>
      <c r="O38" s="92"/>
      <c r="P38" s="92"/>
      <c r="Q38" s="90"/>
      <c r="R38" s="90"/>
      <c r="T38" s="79">
        <v>2</v>
      </c>
      <c r="U38" s="80" t="str">
        <f>FPDC!J6</f>
        <v>22cb77180653</v>
      </c>
      <c r="V38" s="75">
        <f>FPDC!R6+VLOOKUP($R$31,$AD$38:$AK$42,2,FALSE)+VLOOKUP($R$31,$AD$38:$AK$42,7,FALSE)+VLOOKUP('File location'!$B$1,'Tester offset'!$A$2:$D$4,3,FALSE)</f>
        <v>-1.4608731270000002</v>
      </c>
      <c r="W38" s="76">
        <f>FPDC!S6+VLOOKUP($R$31,$AD$38:$AK$42,3,FALSE)+VLOOKUP($R$31,$AD$38:$AK$42,8,FALSE)+VLOOKUP('File location'!$B$1,'Tester offset'!$A$2:$D$4,4,FALSE)</f>
        <v>6.0069408417000005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 t="str">
        <f>IPQC!J7</f>
        <v>22cb77180631</v>
      </c>
      <c r="C39" s="44">
        <f>IPQC!S7+VLOOKUP($R$31,$AD$38:$AK$42,6,FALSE)+VLOOKUP('File location'!$B$1,'Tester offset'!$A$2:$D$4,2,FALSE)</f>
        <v>92.490511110100002</v>
      </c>
      <c r="D39" s="44">
        <f>IPQC!Z7+VLOOKUP($R$31,$AD$38:$AK$42,6,FALSE)</f>
        <v>65.791293550000006</v>
      </c>
      <c r="E39" s="44">
        <f>VCM!HU7-'Summary(3pcs)'!C39-'Summary(3pcs)'!$D$32</f>
        <v>143.71380559883789</v>
      </c>
      <c r="F39" s="90"/>
      <c r="G39" s="91"/>
      <c r="H39" s="91"/>
      <c r="I39" s="91"/>
      <c r="J39"/>
      <c r="K39" s="79">
        <f t="shared" si="1"/>
        <v>2</v>
      </c>
      <c r="L39" s="80" t="str">
        <f>OC!J7</f>
        <v>22cb77180631</v>
      </c>
      <c r="M39" s="44">
        <f>OC!S7+VLOOKUP($R$31,$AD$38:$AK$42,4,FALSE)</f>
        <v>1.7616770138</v>
      </c>
      <c r="N39" s="44">
        <f>OC!T7+VLOOKUP($R$31,$AD$38:$AK$42,5,FALSE)</f>
        <v>-7.0528488009999997</v>
      </c>
      <c r="O39" s="92"/>
      <c r="P39" s="92"/>
      <c r="Q39" s="90"/>
      <c r="R39" s="90"/>
      <c r="T39" s="79">
        <v>2</v>
      </c>
      <c r="U39" s="80" t="str">
        <f>FPDC!J7</f>
        <v>22cb77180631</v>
      </c>
      <c r="V39" s="75">
        <f>FPDC!R7+VLOOKUP($R$31,$AD$38:$AK$42,2,FALSE)+VLOOKUP($R$31,$AD$38:$AK$42,7,FALSE)+VLOOKUP('File location'!$B$1,'Tester offset'!$A$2:$D$4,3,FALSE)</f>
        <v>0.22458648679999982</v>
      </c>
      <c r="W39" s="76">
        <f>FPDC!S7+VLOOKUP($R$31,$AD$38:$AK$42,3,FALSE)+VLOOKUP($R$31,$AD$38:$AK$42,8,FALSE)+VLOOKUP('File location'!$B$1,'Tester offset'!$A$2:$D$4,4,FALSE)</f>
        <v>1.4882097243999999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 t="str">
        <f>IPQC!J8</f>
        <v>22cb77190280</v>
      </c>
      <c r="C40" s="44">
        <f>IPQC!S8+VLOOKUP($R$31,$AD$38:$AK$42,6,FALSE)+VLOOKUP('File location'!$B$1,'Tester offset'!$A$2:$D$4,2,FALSE)</f>
        <v>95.786165442799998</v>
      </c>
      <c r="D40" s="44">
        <f>IPQC!Z8+VLOOKUP($R$31,$AD$38:$AK$42,6,FALSE)</f>
        <v>78.919086668800006</v>
      </c>
      <c r="E40" s="44">
        <f>VCM!HU8-'Summary(3pcs)'!C40-'Summary(3pcs)'!$D$32</f>
        <v>135.20618848663793</v>
      </c>
      <c r="F40" s="90">
        <f>AVERAGEIF($A$34:$A$45,3,$C$34:$C$45)</f>
        <v>95.847932846800006</v>
      </c>
      <c r="G40" s="91">
        <f>AVERAGEIF($A$34:$A$45,3,$D$34:$D$45)</f>
        <v>75.862666020533325</v>
      </c>
      <c r="H40" s="91">
        <f>AVERAGEIF($A$34:$A$45,3,$E$34:$E$45)</f>
        <v>137.29547654197125</v>
      </c>
      <c r="I40" s="91">
        <f>85-F40</f>
        <v>-10.847932846800006</v>
      </c>
      <c r="J40"/>
      <c r="K40" s="79">
        <f t="shared" si="1"/>
        <v>3</v>
      </c>
      <c r="L40" s="80" t="str">
        <f>OC!J8</f>
        <v>22cb77190280</v>
      </c>
      <c r="M40" s="44">
        <f>OC!S8+VLOOKUP($R$31,$AD$38:$AK$42,4,FALSE)</f>
        <v>3.0755461489</v>
      </c>
      <c r="N40" s="44">
        <f>OC!T8+VLOOKUP($R$31,$AD$38:$AK$42,5,FALSE)</f>
        <v>6.5521597953999997</v>
      </c>
      <c r="O40" s="92">
        <f>AVERAGEIF($K$34:$K$45,3,$M$34:$M$45)</f>
        <v>-8.724720786666669E-2</v>
      </c>
      <c r="P40" s="92">
        <f>AVERAGEIF($K$34:$K$45,3,$N$34:$N$45)</f>
        <v>7.1733070635999994</v>
      </c>
      <c r="Q40" s="90">
        <f>P40*0.001</f>
        <v>7.1733070635999997E-3</v>
      </c>
      <c r="R40" s="90">
        <f>O40*0.001</f>
        <v>-8.7247207866666696E-5</v>
      </c>
      <c r="T40" s="79">
        <v>3</v>
      </c>
      <c r="U40" s="80" t="str">
        <f>FPDC!J8</f>
        <v>22cb77190280</v>
      </c>
      <c r="V40" s="75">
        <f>FPDC!R8+VLOOKUP($R$31,$AD$38:$AK$42,2,FALSE)+VLOOKUP($R$31,$AD$38:$AK$42,7,FALSE)+VLOOKUP('File location'!$B$1,'Tester offset'!$A$2:$D$4,3,FALSE)</f>
        <v>-5.4493052959000003</v>
      </c>
      <c r="W40" s="76">
        <f>FPDC!S8+VLOOKUP($R$31,$AD$38:$AK$42,3,FALSE)+VLOOKUP($R$31,$AD$38:$AK$42,8,FALSE)+VLOOKUP('File location'!$B$1,'Tester offset'!$A$2:$D$4,4,FALSE)</f>
        <v>-0.70865988730000007</v>
      </c>
      <c r="X40" s="92">
        <f>AVERAGEIF($T$34:$T$45,3,$V$34:$V$45)</f>
        <v>-6.2399917443666668</v>
      </c>
      <c r="Y40" s="92">
        <f>AVERAGEIF($T$34:$T$45,3,$W$34:$W$45)</f>
        <v>-0.19043008483333335</v>
      </c>
      <c r="Z40" s="90">
        <f>(X40*-0.01)/4</f>
        <v>1.5599979360916668E-2</v>
      </c>
      <c r="AA40" s="90">
        <f>(Y40*-0.01)/4</f>
        <v>4.7607521208333338E-4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 t="str">
        <f>IPQC!J9</f>
        <v>22cb77190366</v>
      </c>
      <c r="C41" s="44">
        <f>IPQC!S9+VLOOKUP($R$31,$AD$38:$AK$42,6,FALSE)+VLOOKUP('File location'!$B$1,'Tester offset'!$A$2:$D$4,2,FALSE)</f>
        <v>86.988628566900005</v>
      </c>
      <c r="D41" s="44">
        <f>IPQC!Z9+VLOOKUP($R$31,$AD$38:$AK$42,6,FALSE)</f>
        <v>65.220852734499999</v>
      </c>
      <c r="E41" s="44">
        <f>VCM!HU9-'Summary(3pcs)'!C41-'Summary(3pcs)'!$D$32</f>
        <v>140.14469316393792</v>
      </c>
      <c r="F41" s="90"/>
      <c r="G41" s="91"/>
      <c r="H41" s="91"/>
      <c r="I41" s="91"/>
      <c r="J41"/>
      <c r="K41" s="79">
        <f t="shared" si="1"/>
        <v>3</v>
      </c>
      <c r="L41" s="80" t="str">
        <f>OC!J9</f>
        <v>22cb77190366</v>
      </c>
      <c r="M41" s="44">
        <f>OC!S9+VLOOKUP($R$31,$AD$38:$AK$42,4,FALSE)</f>
        <v>-4.1849587428000001</v>
      </c>
      <c r="N41" s="44">
        <f>OC!T9+VLOOKUP($R$31,$AD$38:$AK$42,5,FALSE)</f>
        <v>8.3965592847000003</v>
      </c>
      <c r="O41" s="92"/>
      <c r="P41" s="92"/>
      <c r="Q41" s="90"/>
      <c r="R41" s="90"/>
      <c r="T41" s="79">
        <v>3</v>
      </c>
      <c r="U41" s="80" t="str">
        <f>FPDC!J9</f>
        <v>22cb77190366</v>
      </c>
      <c r="V41" s="75">
        <f>FPDC!R9+VLOOKUP($R$31,$AD$38:$AK$42,2,FALSE)+VLOOKUP($R$31,$AD$38:$AK$42,7,FALSE)+VLOOKUP('File location'!$B$1,'Tester offset'!$A$2:$D$4,3,FALSE)</f>
        <v>-11.5345692635</v>
      </c>
      <c r="W41" s="76">
        <f>FPDC!S9+VLOOKUP($R$31,$AD$38:$AK$42,3,FALSE)+VLOOKUP($R$31,$AD$38:$AK$42,8,FALSE)+VLOOKUP('File location'!$B$1,'Tester offset'!$A$2:$D$4,4,FALSE)</f>
        <v>-0.43349170679999993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 t="str">
        <f>IPQC!J10</f>
        <v>22cb77180800</v>
      </c>
      <c r="C42" s="44">
        <f>IPQC!S10+VLOOKUP($R$31,$AD$38:$AK$42,6,FALSE)+VLOOKUP('File location'!$B$1,'Tester offset'!$A$2:$D$4,2,FALSE)</f>
        <v>104.7690045307</v>
      </c>
      <c r="D42" s="44">
        <f>IPQC!Z10+VLOOKUP($R$31,$AD$38:$AK$42,6,FALSE)</f>
        <v>83.448058658299999</v>
      </c>
      <c r="E42" s="44">
        <f>VCM!HU10-'Summary(3pcs)'!C42-'Summary(3pcs)'!$D$32</f>
        <v>136.53554797533792</v>
      </c>
      <c r="F42" s="90"/>
      <c r="G42" s="91"/>
      <c r="H42" s="91"/>
      <c r="I42" s="91"/>
      <c r="J42"/>
      <c r="K42" s="79">
        <f t="shared" si="1"/>
        <v>3</v>
      </c>
      <c r="L42" s="80" t="str">
        <f>OC!J10</f>
        <v>22cb77180800</v>
      </c>
      <c r="M42" s="44">
        <f>OC!S10+VLOOKUP($R$31,$AD$38:$AK$42,4,FALSE)</f>
        <v>0.84767097030000005</v>
      </c>
      <c r="N42" s="44">
        <f>OC!T10+VLOOKUP($R$31,$AD$38:$AK$42,5,FALSE)</f>
        <v>6.5712021106999998</v>
      </c>
      <c r="O42" s="92"/>
      <c r="P42" s="92"/>
      <c r="Q42" s="90"/>
      <c r="R42" s="90"/>
      <c r="T42" s="79">
        <v>3</v>
      </c>
      <c r="U42" s="80" t="str">
        <f>FPDC!J10</f>
        <v>22cb77180800</v>
      </c>
      <c r="V42" s="75">
        <f>FPDC!R10+VLOOKUP($R$31,$AD$38:$AK$42,2,FALSE)+VLOOKUP($R$31,$AD$38:$AK$42,7,FALSE)+VLOOKUP('File location'!$B$1,'Tester offset'!$A$2:$D$4,3,FALSE)</f>
        <v>-1.7361006737000002</v>
      </c>
      <c r="W42" s="76">
        <f>FPDC!S10+VLOOKUP($R$31,$AD$38:$AK$42,3,FALSE)+VLOOKUP($R$31,$AD$38:$AK$42,8,FALSE)+VLOOKUP('File location'!$B$1,'Tester offset'!$A$2:$D$4,4,FALSE)</f>
        <v>0.57086133959999996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 t="str">
        <f>IPQC!J11</f>
        <v>22cb77180797</v>
      </c>
      <c r="C43" s="44">
        <f>IPQC!S11+VLOOKUP($R$31,$AD$38:$AK$42,6,FALSE)+VLOOKUP('File location'!$B$1,'Tester offset'!$A$2:$D$4,2,FALSE)</f>
        <v>85.389878358499999</v>
      </c>
      <c r="D43" s="44">
        <f>IPQC!Z11+VLOOKUP($R$31,$AD$38:$AK$42,6,FALSE)</f>
        <v>69.163036707499998</v>
      </c>
      <c r="E43" s="44">
        <f>VCM!HU11-'Summary(3pcs)'!C43-'Summary(3pcs)'!$D$32</f>
        <v>165.7773120115379</v>
      </c>
      <c r="F43" s="90">
        <f>AVERAGEIF($A$34:$A$45,4,$C$34:$C$45)</f>
        <v>86.596097016966652</v>
      </c>
      <c r="G43" s="91">
        <f>AVERAGEIF($A$34:$A$45,4,$D$34:$D$45)</f>
        <v>70.0649857481</v>
      </c>
      <c r="H43" s="91">
        <f>AVERAGEIF($A$34:$A$45,4,$E$34:$E$45)</f>
        <v>161.34509883423792</v>
      </c>
      <c r="I43" s="91">
        <f>85-F43</f>
        <v>-1.5960970169666524</v>
      </c>
      <c r="J43"/>
      <c r="K43" s="79">
        <f t="shared" si="1"/>
        <v>4</v>
      </c>
      <c r="L43" s="80" t="str">
        <f>OC!J11</f>
        <v>22cb77180797</v>
      </c>
      <c r="M43" s="44">
        <f>OC!S11+VLOOKUP($R$31,$AD$38:$AK$42,4,FALSE)</f>
        <v>-1.4200151646000001</v>
      </c>
      <c r="N43" s="44">
        <f>OC!T11+VLOOKUP($R$31,$AD$38:$AK$42,5,FALSE)</f>
        <v>9.8148231583000012</v>
      </c>
      <c r="O43" s="92">
        <f>AVERAGEIF($K$34:$K$45,4,$M$34:$M$45)</f>
        <v>1.5582950677333336</v>
      </c>
      <c r="P43" s="92">
        <f>AVERAGEIF($K$34:$K$45,4,$N$34:$N$45)</f>
        <v>7.1233881478999992</v>
      </c>
      <c r="Q43" s="90">
        <f>P43*0.001</f>
        <v>7.1233881478999991E-3</v>
      </c>
      <c r="R43" s="90">
        <f>O43*0.001</f>
        <v>1.5582950677333336E-3</v>
      </c>
      <c r="T43" s="79">
        <v>4</v>
      </c>
      <c r="U43" s="80" t="str">
        <f>FPDC!J11</f>
        <v>22cb77180797</v>
      </c>
      <c r="V43" s="75">
        <f>FPDC!R11+VLOOKUP($R$31,$AD$38:$AK$42,2,FALSE)+VLOOKUP($R$31,$AD$38:$AK$42,7,FALSE)+VLOOKUP('File location'!$B$1,'Tester offset'!$A$2:$D$4,3,FALSE)</f>
        <v>0.45300006869999976</v>
      </c>
      <c r="W43" s="76">
        <f>FPDC!S11+VLOOKUP($R$31,$AD$38:$AK$42,3,FALSE)+VLOOKUP($R$31,$AD$38:$AK$42,8,FALSE)+VLOOKUP('File location'!$B$1,'Tester offset'!$A$2:$D$4,4,FALSE)</f>
        <v>-0.84752202030000001</v>
      </c>
      <c r="X43" s="92">
        <f>AVERAGEIF($T$34:$T$45,4,$V$34:$V$45)</f>
        <v>-3.536678393666667</v>
      </c>
      <c r="Y43" s="92">
        <f>AVERAGEIF($T$34:$T$45,4,$W$34:$W$45)</f>
        <v>-2.5072018305333335</v>
      </c>
      <c r="Z43" s="90">
        <f>(X43*-0.01)/4</f>
        <v>8.8416959841666684E-3</v>
      </c>
      <c r="AA43" s="90">
        <f>(Y43*-0.01)/4</f>
        <v>6.2680045763333341E-3</v>
      </c>
    </row>
    <row r="44" spans="1:37" s="32" customFormat="1" ht="17.100000000000001" customHeight="1">
      <c r="A44" s="79">
        <f t="shared" si="0"/>
        <v>4</v>
      </c>
      <c r="B44" s="80" t="str">
        <f>IPQC!J12</f>
        <v>22cb77180895</v>
      </c>
      <c r="C44" s="44">
        <f>IPQC!S12+VLOOKUP($R$31,$AD$38:$AK$42,6,FALSE)+VLOOKUP('File location'!$B$1,'Tester offset'!$A$2:$D$4,2,FALSE)</f>
        <v>86.152978912699993</v>
      </c>
      <c r="D44" s="44">
        <f>IPQC!Z12+VLOOKUP($R$31,$AD$38:$AK$42,6,FALSE)</f>
        <v>69.032817534700001</v>
      </c>
      <c r="E44" s="44">
        <f>VCM!HU12-'Summary(3pcs)'!C44-'Summary(3pcs)'!$D$32</f>
        <v>166.46551619553793</v>
      </c>
      <c r="F44" s="90"/>
      <c r="G44" s="91"/>
      <c r="H44" s="91"/>
      <c r="I44" s="91"/>
      <c r="J44"/>
      <c r="K44" s="79">
        <f t="shared" si="1"/>
        <v>4</v>
      </c>
      <c r="L44" s="80" t="str">
        <f>OC!J12</f>
        <v>22cb77180895</v>
      </c>
      <c r="M44" s="44">
        <f>OC!S12+VLOOKUP($R$31,$AD$38:$AK$42,4,FALSE)</f>
        <v>7.9107876900000003</v>
      </c>
      <c r="N44" s="44">
        <f>OC!T12+VLOOKUP($R$31,$AD$38:$AK$42,5,FALSE)</f>
        <v>5.7729070531</v>
      </c>
      <c r="O44" s="92"/>
      <c r="P44" s="92"/>
      <c r="Q44" s="90"/>
      <c r="R44" s="90"/>
      <c r="T44" s="79">
        <v>4</v>
      </c>
      <c r="U44" s="80" t="str">
        <f>FPDC!J12</f>
        <v>22cb77180895</v>
      </c>
      <c r="V44" s="75">
        <f>FPDC!R12+VLOOKUP($R$31,$AD$38:$AK$42,2,FALSE)+VLOOKUP($R$31,$AD$38:$AK$42,7,FALSE)+VLOOKUP('File location'!$B$1,'Tester offset'!$A$2:$D$4,3,FALSE)</f>
        <v>-4.4463291167999994</v>
      </c>
      <c r="W44" s="76">
        <f>FPDC!S12+VLOOKUP($R$31,$AD$38:$AK$42,3,FALSE)+VLOOKUP($R$31,$AD$38:$AK$42,8,FALSE)+VLOOKUP('File location'!$B$1,'Tester offset'!$A$2:$D$4,4,FALSE)</f>
        <v>2.2373199500000052E-2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 t="str">
        <f>IPQC!J13</f>
        <v>22cb77190551</v>
      </c>
      <c r="C45" s="44">
        <f>IPQC!S13+VLOOKUP($R$31,$AD$38:$AK$42,6,FALSE)+VLOOKUP('File location'!$B$1,'Tester offset'!$A$2:$D$4,2,FALSE)</f>
        <v>88.245433779699994</v>
      </c>
      <c r="D45" s="44">
        <f>IPQC!Z13+VLOOKUP($R$31,$AD$38:$AK$42,6,FALSE)</f>
        <v>71.9991030021</v>
      </c>
      <c r="E45" s="44">
        <f>VCM!HU13-'Summary(3pcs)'!C45-'Summary(3pcs)'!$D$32</f>
        <v>151.79246829563795</v>
      </c>
      <c r="F45" s="90"/>
      <c r="G45" s="91"/>
      <c r="H45" s="91"/>
      <c r="I45" s="91"/>
      <c r="J45"/>
      <c r="K45" s="79">
        <f t="shared" si="1"/>
        <v>4</v>
      </c>
      <c r="L45" s="80" t="str">
        <f>OC!J13</f>
        <v>22cb77190551</v>
      </c>
      <c r="M45" s="44">
        <f>OC!S13+VLOOKUP($R$31,$AD$38:$AK$42,4,FALSE)</f>
        <v>-1.8158873222</v>
      </c>
      <c r="N45" s="44">
        <f>OC!T13+VLOOKUP($R$31,$AD$38:$AK$42,5,FALSE)</f>
        <v>5.7824342323</v>
      </c>
      <c r="O45" s="92"/>
      <c r="P45" s="92"/>
      <c r="Q45" s="90"/>
      <c r="R45" s="90"/>
      <c r="T45" s="79">
        <v>4</v>
      </c>
      <c r="U45" s="80" t="str">
        <f>FPDC!J13</f>
        <v>22cb77190551</v>
      </c>
      <c r="V45" s="75">
        <f>FPDC!R13+VLOOKUP($R$31,$AD$38:$AK$42,2,FALSE)+VLOOKUP($R$31,$AD$38:$AK$42,7,FALSE)+VLOOKUP('File location'!$B$1,'Tester offset'!$A$2:$D$4,3,FALSE)</f>
        <v>-6.6167061329000001</v>
      </c>
      <c r="W45" s="76">
        <f>FPDC!S13+VLOOKUP($R$31,$AD$38:$AK$42,3,FALSE)+VLOOKUP($R$31,$AD$38:$AK$42,8,FALSE)+VLOOKUP('File location'!$B$1,'Tester offset'!$A$2:$D$4,4,FALSE)</f>
        <v>-6.6964566708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89.234201857299993</v>
      </c>
      <c r="L54" s="49">
        <f t="shared" ref="L54:L65" si="4">D34</f>
        <v>72.081189022000004</v>
      </c>
      <c r="M54" s="49">
        <f t="shared" ref="M54:M65" si="5">E34</f>
        <v>148.26701058563793</v>
      </c>
      <c r="N54" s="49">
        <f t="shared" ref="N54:O65" si="6">M34</f>
        <v>-3.3816022514999999</v>
      </c>
      <c r="O54" s="49">
        <f t="shared" si="6"/>
        <v>-0.36341467479999956</v>
      </c>
      <c r="P54" s="49">
        <f t="shared" ref="P54:P65" si="7">V34</f>
        <v>1.6215648650999999</v>
      </c>
      <c r="Q54" s="50">
        <f t="shared" ref="Q54:Q65" si="8">W34</f>
        <v>-2.8112586736999998</v>
      </c>
    </row>
    <row r="55" spans="6:27" ht="19.5">
      <c r="I55" s="47">
        <f t="shared" si="2"/>
        <v>1</v>
      </c>
      <c r="J55" s="46"/>
      <c r="K55" s="51">
        <f t="shared" si="3"/>
        <v>92.1346342131</v>
      </c>
      <c r="L55" s="52">
        <f t="shared" si="4"/>
        <v>71.315516240199997</v>
      </c>
      <c r="M55" s="52">
        <f t="shared" si="5"/>
        <v>152.83640573303791</v>
      </c>
      <c r="N55" s="52">
        <f t="shared" si="6"/>
        <v>-6.5867403394000004</v>
      </c>
      <c r="O55" s="52">
        <f t="shared" si="6"/>
        <v>1.5862151667000002</v>
      </c>
      <c r="P55" s="52">
        <f t="shared" si="7"/>
        <v>-0.12095117570000014</v>
      </c>
      <c r="Q55" s="53">
        <f t="shared" si="8"/>
        <v>4.2507362365999999</v>
      </c>
    </row>
    <row r="56" spans="6:27" ht="19.5">
      <c r="I56" s="47">
        <f t="shared" si="2"/>
        <v>1</v>
      </c>
      <c r="J56" s="46"/>
      <c r="K56" s="54">
        <f t="shared" si="3"/>
        <v>84.176280817700004</v>
      </c>
      <c r="L56" s="55">
        <f t="shared" si="4"/>
        <v>68.245105888399991</v>
      </c>
      <c r="M56" s="55">
        <f t="shared" si="5"/>
        <v>152.18260311023789</v>
      </c>
      <c r="N56" s="55">
        <f t="shared" si="6"/>
        <v>0.83133960740000001</v>
      </c>
      <c r="O56" s="55">
        <f t="shared" si="6"/>
        <v>3.1756353376000002</v>
      </c>
      <c r="P56" s="55">
        <f t="shared" si="7"/>
        <v>2.4238119124999997</v>
      </c>
      <c r="Q56" s="56">
        <f t="shared" si="8"/>
        <v>1.5038585662999999</v>
      </c>
    </row>
    <row r="57" spans="6:27" ht="19.5">
      <c r="I57" s="47">
        <f t="shared" si="2"/>
        <v>2</v>
      </c>
      <c r="J57" s="46"/>
      <c r="K57" s="57">
        <f t="shared" si="3"/>
        <v>94.908385764599998</v>
      </c>
      <c r="L57" s="58">
        <f t="shared" si="4"/>
        <v>75.605208742299993</v>
      </c>
      <c r="M57" s="58">
        <f t="shared" si="5"/>
        <v>148.16508355633795</v>
      </c>
      <c r="N57" s="58">
        <f t="shared" si="6"/>
        <v>5.2831690873000001</v>
      </c>
      <c r="O57" s="58">
        <f t="shared" si="6"/>
        <v>-3.8740629695999997</v>
      </c>
      <c r="P57" s="58">
        <f t="shared" si="7"/>
        <v>-6.6332759857000001</v>
      </c>
      <c r="Q57" s="59">
        <f t="shared" si="8"/>
        <v>4.5524091721</v>
      </c>
    </row>
    <row r="58" spans="6:27" ht="19.5">
      <c r="I58" s="47">
        <f t="shared" si="2"/>
        <v>2</v>
      </c>
      <c r="J58" s="46"/>
      <c r="K58" s="57">
        <f t="shared" si="3"/>
        <v>98.410268629800001</v>
      </c>
      <c r="L58" s="58">
        <f t="shared" si="4"/>
        <v>79.426891638000001</v>
      </c>
      <c r="M58" s="58">
        <f t="shared" si="5"/>
        <v>137.30705800033792</v>
      </c>
      <c r="N58" s="58">
        <f t="shared" si="6"/>
        <v>7.3780840440000004</v>
      </c>
      <c r="O58" s="58">
        <f t="shared" si="6"/>
        <v>-1.8901252148000003</v>
      </c>
      <c r="P58" s="58">
        <f t="shared" si="7"/>
        <v>-1.4608731270000002</v>
      </c>
      <c r="Q58" s="59">
        <f t="shared" si="8"/>
        <v>6.0069408417000005</v>
      </c>
    </row>
    <row r="59" spans="6:27" ht="19.5">
      <c r="I59" s="47">
        <f t="shared" si="2"/>
        <v>2</v>
      </c>
      <c r="J59" s="46"/>
      <c r="K59" s="57">
        <f t="shared" si="3"/>
        <v>92.490511110100002</v>
      </c>
      <c r="L59" s="58">
        <f t="shared" si="4"/>
        <v>65.791293550000006</v>
      </c>
      <c r="M59" s="58">
        <f t="shared" si="5"/>
        <v>143.71380559883789</v>
      </c>
      <c r="N59" s="58">
        <f t="shared" si="6"/>
        <v>1.7616770138</v>
      </c>
      <c r="O59" s="58">
        <f t="shared" si="6"/>
        <v>-7.0528488009999997</v>
      </c>
      <c r="P59" s="58">
        <f t="shared" si="7"/>
        <v>0.22458648679999982</v>
      </c>
      <c r="Q59" s="59">
        <f t="shared" si="8"/>
        <v>1.4882097243999999</v>
      </c>
    </row>
    <row r="60" spans="6:27" ht="19.5">
      <c r="I60" s="47">
        <f t="shared" si="2"/>
        <v>3</v>
      </c>
      <c r="J60" s="46"/>
      <c r="K60" s="60">
        <f t="shared" si="3"/>
        <v>95.786165442799998</v>
      </c>
      <c r="L60" s="61">
        <f t="shared" si="4"/>
        <v>78.919086668800006</v>
      </c>
      <c r="M60" s="61">
        <f t="shared" si="5"/>
        <v>135.20618848663793</v>
      </c>
      <c r="N60" s="61">
        <f t="shared" si="6"/>
        <v>3.0755461489</v>
      </c>
      <c r="O60" s="61">
        <f t="shared" si="6"/>
        <v>6.5521597953999997</v>
      </c>
      <c r="P60" s="61">
        <f t="shared" si="7"/>
        <v>-5.4493052959000003</v>
      </c>
      <c r="Q60" s="62">
        <f t="shared" si="8"/>
        <v>-0.70865988730000007</v>
      </c>
    </row>
    <row r="61" spans="6:27" ht="19.5">
      <c r="I61" s="47">
        <f t="shared" si="2"/>
        <v>3</v>
      </c>
      <c r="J61" s="46"/>
      <c r="K61" s="63">
        <f t="shared" si="3"/>
        <v>86.988628566900005</v>
      </c>
      <c r="L61" s="64">
        <f t="shared" si="4"/>
        <v>65.220852734499999</v>
      </c>
      <c r="M61" s="64">
        <f t="shared" si="5"/>
        <v>140.14469316393792</v>
      </c>
      <c r="N61" s="64">
        <f t="shared" si="6"/>
        <v>-4.1849587428000001</v>
      </c>
      <c r="O61" s="64">
        <f t="shared" si="6"/>
        <v>8.3965592847000003</v>
      </c>
      <c r="P61" s="64">
        <f t="shared" si="7"/>
        <v>-11.5345692635</v>
      </c>
      <c r="Q61" s="65">
        <f t="shared" si="8"/>
        <v>-0.43349170679999993</v>
      </c>
    </row>
    <row r="62" spans="6:27" ht="19.5">
      <c r="I62" s="47">
        <f t="shared" si="2"/>
        <v>3</v>
      </c>
      <c r="J62" s="46"/>
      <c r="K62" s="66">
        <f t="shared" si="3"/>
        <v>104.7690045307</v>
      </c>
      <c r="L62" s="67">
        <f t="shared" si="4"/>
        <v>83.448058658299999</v>
      </c>
      <c r="M62" s="67">
        <f t="shared" si="5"/>
        <v>136.53554797533792</v>
      </c>
      <c r="N62" s="67">
        <f t="shared" si="6"/>
        <v>0.84767097030000005</v>
      </c>
      <c r="O62" s="67">
        <f t="shared" si="6"/>
        <v>6.5712021106999998</v>
      </c>
      <c r="P62" s="67">
        <f t="shared" si="7"/>
        <v>-1.7361006737000002</v>
      </c>
      <c r="Q62" s="68">
        <f t="shared" si="8"/>
        <v>0.57086133959999996</v>
      </c>
    </row>
    <row r="63" spans="6:27" ht="19.5">
      <c r="I63" s="47">
        <f t="shared" si="2"/>
        <v>4</v>
      </c>
      <c r="J63" s="46"/>
      <c r="K63" s="57">
        <f t="shared" si="3"/>
        <v>85.389878358499999</v>
      </c>
      <c r="L63" s="58">
        <f t="shared" si="4"/>
        <v>69.163036707499998</v>
      </c>
      <c r="M63" s="58">
        <f t="shared" si="5"/>
        <v>165.7773120115379</v>
      </c>
      <c r="N63" s="58">
        <f t="shared" si="6"/>
        <v>-1.4200151646000001</v>
      </c>
      <c r="O63" s="58">
        <f t="shared" si="6"/>
        <v>9.8148231583000012</v>
      </c>
      <c r="P63" s="58">
        <f t="shared" si="7"/>
        <v>0.45300006869999976</v>
      </c>
      <c r="Q63" s="59">
        <f t="shared" si="8"/>
        <v>-0.84752202030000001</v>
      </c>
    </row>
    <row r="64" spans="6:27" ht="19.5">
      <c r="I64" s="47">
        <f t="shared" si="2"/>
        <v>4</v>
      </c>
      <c r="J64" s="46"/>
      <c r="K64" s="57">
        <f t="shared" si="3"/>
        <v>86.152978912699993</v>
      </c>
      <c r="L64" s="58">
        <f t="shared" si="4"/>
        <v>69.032817534700001</v>
      </c>
      <c r="M64" s="58">
        <f t="shared" si="5"/>
        <v>166.46551619553793</v>
      </c>
      <c r="N64" s="58">
        <f t="shared" si="6"/>
        <v>7.9107876900000003</v>
      </c>
      <c r="O64" s="58">
        <f t="shared" si="6"/>
        <v>5.7729070531</v>
      </c>
      <c r="P64" s="58">
        <f t="shared" si="7"/>
        <v>-4.4463291167999994</v>
      </c>
      <c r="Q64" s="59">
        <f t="shared" si="8"/>
        <v>2.2373199500000052E-2</v>
      </c>
    </row>
    <row r="65" spans="9:17" ht="20.25" thickBot="1">
      <c r="I65" s="47">
        <f t="shared" si="2"/>
        <v>4</v>
      </c>
      <c r="J65" s="46"/>
      <c r="K65" s="69">
        <f t="shared" si="3"/>
        <v>88.245433779699994</v>
      </c>
      <c r="L65" s="70">
        <f t="shared" si="4"/>
        <v>71.9991030021</v>
      </c>
      <c r="M65" s="70">
        <f t="shared" si="5"/>
        <v>151.79246829563795</v>
      </c>
      <c r="N65" s="70">
        <f t="shared" si="6"/>
        <v>-1.8158873222</v>
      </c>
      <c r="O65" s="70">
        <f t="shared" si="6"/>
        <v>5.7824342323</v>
      </c>
      <c r="P65" s="70">
        <f t="shared" si="7"/>
        <v>-6.6167061329000001</v>
      </c>
      <c r="Q65" s="71">
        <f t="shared" si="8"/>
        <v>-6.6964566708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2109.1183977484998</v>
      </c>
      <c r="R2">
        <v>1516.8634146748</v>
      </c>
      <c r="S2">
        <v>-3.3816022514999999</v>
      </c>
      <c r="T2">
        <v>-4.3634146747999996</v>
      </c>
      <c r="U2">
        <v>5.5203823610000002</v>
      </c>
      <c r="V2">
        <v>735.35640000000001</v>
      </c>
      <c r="W2">
        <v>392.66750000000002</v>
      </c>
      <c r="X2">
        <v>395.08460000000002</v>
      </c>
      <c r="Y2">
        <v>394.7894</v>
      </c>
      <c r="Z2">
        <v>392.80779999999999</v>
      </c>
      <c r="AA2">
        <v>564.59686250000004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2105.9132596606</v>
      </c>
      <c r="R3">
        <v>1514.9137848333</v>
      </c>
      <c r="S3">
        <v>-6.5867403394000004</v>
      </c>
      <c r="T3">
        <v>-2.4137848332999998</v>
      </c>
      <c r="U3">
        <v>7.0150912696000001</v>
      </c>
      <c r="V3">
        <v>739.70849999999996</v>
      </c>
      <c r="W3">
        <v>393.28660000000002</v>
      </c>
      <c r="X3">
        <v>398.64499999999998</v>
      </c>
      <c r="Y3">
        <v>396.79640000000001</v>
      </c>
      <c r="Z3">
        <v>393.59539999999998</v>
      </c>
      <c r="AA3">
        <v>567.64467500000001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235</v>
      </c>
      <c r="B4" t="s">
        <v>236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2113.3313396074</v>
      </c>
      <c r="R4">
        <v>1513.3243646624001</v>
      </c>
      <c r="S4">
        <v>0.83133960740000001</v>
      </c>
      <c r="T4">
        <v>-0.82436466239999995</v>
      </c>
      <c r="U4">
        <v>1.1707701052999999</v>
      </c>
      <c r="V4">
        <v>730.99080000000004</v>
      </c>
      <c r="W4">
        <v>392.23090000000002</v>
      </c>
      <c r="X4">
        <v>396.14870000000002</v>
      </c>
      <c r="Y4">
        <v>392.90109999999999</v>
      </c>
      <c r="Z4">
        <v>393.00630000000001</v>
      </c>
      <c r="AA4">
        <v>562.28127500000005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  <row r="5" spans="1:36">
      <c r="A5" t="s">
        <v>242</v>
      </c>
      <c r="B5" t="s">
        <v>243</v>
      </c>
      <c r="C5" t="s">
        <v>212</v>
      </c>
      <c r="D5">
        <v>3</v>
      </c>
      <c r="E5" t="s">
        <v>213</v>
      </c>
      <c r="F5" t="s">
        <v>214</v>
      </c>
      <c r="G5" t="s">
        <v>215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2117.7831690872999</v>
      </c>
      <c r="R5">
        <v>1520.3740629695999</v>
      </c>
      <c r="S5">
        <v>5.2831690873000001</v>
      </c>
      <c r="T5">
        <v>-7.8740629695999997</v>
      </c>
      <c r="U5">
        <v>9.4822330309999998</v>
      </c>
      <c r="V5">
        <v>738.73469999999998</v>
      </c>
      <c r="W5">
        <v>390.97649999999999</v>
      </c>
      <c r="X5">
        <v>400.78289999999998</v>
      </c>
      <c r="Y5">
        <v>392.93560000000002</v>
      </c>
      <c r="Z5">
        <v>397.0686</v>
      </c>
      <c r="AA5">
        <v>567.08780000000002</v>
      </c>
      <c r="AB5" t="s">
        <v>222</v>
      </c>
      <c r="AC5" t="s">
        <v>223</v>
      </c>
      <c r="AD5" t="s">
        <v>224</v>
      </c>
      <c r="AE5" t="s">
        <v>225</v>
      </c>
      <c r="AF5" t="s">
        <v>226</v>
      </c>
      <c r="AG5">
        <v>7</v>
      </c>
      <c r="AH5" t="s">
        <v>227</v>
      </c>
      <c r="AJ5">
        <v>1</v>
      </c>
    </row>
    <row r="6" spans="1:36">
      <c r="A6" t="s">
        <v>249</v>
      </c>
      <c r="B6" t="s">
        <v>250</v>
      </c>
      <c r="C6" t="s">
        <v>212</v>
      </c>
      <c r="D6">
        <v>3</v>
      </c>
      <c r="E6" t="s">
        <v>213</v>
      </c>
      <c r="F6" t="s">
        <v>214</v>
      </c>
      <c r="G6" t="s">
        <v>215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2119.8780840439999</v>
      </c>
      <c r="R6">
        <v>1518.3901252148</v>
      </c>
      <c r="S6">
        <v>7.3780840440000004</v>
      </c>
      <c r="T6">
        <v>-5.8901252148000003</v>
      </c>
      <c r="U6">
        <v>9.4408526737000003</v>
      </c>
      <c r="V6">
        <v>748.351</v>
      </c>
      <c r="W6">
        <v>396.66699999999997</v>
      </c>
      <c r="X6">
        <v>401.81720000000001</v>
      </c>
      <c r="Y6">
        <v>398.0308</v>
      </c>
      <c r="Z6">
        <v>400.6823</v>
      </c>
      <c r="AA6">
        <v>573.82516250000003</v>
      </c>
      <c r="AB6" t="s">
        <v>222</v>
      </c>
      <c r="AC6" t="s">
        <v>223</v>
      </c>
      <c r="AD6" t="s">
        <v>224</v>
      </c>
      <c r="AE6" t="s">
        <v>225</v>
      </c>
      <c r="AF6" t="s">
        <v>226</v>
      </c>
      <c r="AG6">
        <v>7</v>
      </c>
      <c r="AH6" t="s">
        <v>227</v>
      </c>
      <c r="AJ6">
        <v>1</v>
      </c>
    </row>
    <row r="7" spans="1:36">
      <c r="A7" t="s">
        <v>256</v>
      </c>
      <c r="B7" t="s">
        <v>257</v>
      </c>
      <c r="C7" t="s">
        <v>212</v>
      </c>
      <c r="D7">
        <v>3</v>
      </c>
      <c r="E7" t="s">
        <v>213</v>
      </c>
      <c r="F7" t="s">
        <v>214</v>
      </c>
      <c r="G7" t="s">
        <v>215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2114.2616770138002</v>
      </c>
      <c r="R7">
        <v>1523.552848801</v>
      </c>
      <c r="S7">
        <v>1.7616770138</v>
      </c>
      <c r="T7">
        <v>-11.052848801</v>
      </c>
      <c r="U7">
        <v>11.1923622403</v>
      </c>
      <c r="V7">
        <v>724.51620000000003</v>
      </c>
      <c r="W7">
        <v>387.59129999999999</v>
      </c>
      <c r="X7">
        <v>392.50229999999999</v>
      </c>
      <c r="Y7">
        <v>388.56569999999999</v>
      </c>
      <c r="Z7">
        <v>388.68340000000001</v>
      </c>
      <c r="AA7">
        <v>556.92593750000003</v>
      </c>
      <c r="AB7" t="s">
        <v>222</v>
      </c>
      <c r="AC7" t="s">
        <v>223</v>
      </c>
      <c r="AD7" t="s">
        <v>224</v>
      </c>
      <c r="AE7" t="s">
        <v>225</v>
      </c>
      <c r="AF7" t="s">
        <v>226</v>
      </c>
      <c r="AG7">
        <v>7</v>
      </c>
      <c r="AH7" t="s">
        <v>227</v>
      </c>
      <c r="AJ7">
        <v>1</v>
      </c>
    </row>
    <row r="8" spans="1:36">
      <c r="A8" t="s">
        <v>263</v>
      </c>
      <c r="B8" t="s">
        <v>264</v>
      </c>
      <c r="C8" t="s">
        <v>212</v>
      </c>
      <c r="D8">
        <v>3</v>
      </c>
      <c r="E8" t="s">
        <v>213</v>
      </c>
      <c r="F8" t="s">
        <v>214</v>
      </c>
      <c r="G8" t="s">
        <v>215</v>
      </c>
      <c r="H8" t="s">
        <v>216</v>
      </c>
      <c r="J8" t="s">
        <v>265</v>
      </c>
      <c r="K8" t="s">
        <v>266</v>
      </c>
      <c r="L8" t="s">
        <v>267</v>
      </c>
      <c r="M8" t="s">
        <v>268</v>
      </c>
      <c r="N8" t="s">
        <v>269</v>
      </c>
      <c r="O8">
        <v>0</v>
      </c>
      <c r="P8">
        <v>0</v>
      </c>
      <c r="Q8">
        <v>2115.5755461488998</v>
      </c>
      <c r="R8">
        <v>1509.9478402046</v>
      </c>
      <c r="S8">
        <v>3.0755461489</v>
      </c>
      <c r="T8">
        <v>2.5521597954000002</v>
      </c>
      <c r="U8">
        <v>3.9965614888999998</v>
      </c>
      <c r="V8">
        <v>743.79129999999998</v>
      </c>
      <c r="W8">
        <v>400.14510000000001</v>
      </c>
      <c r="X8">
        <v>396.86739999999998</v>
      </c>
      <c r="Y8">
        <v>394.24419999999998</v>
      </c>
      <c r="Z8">
        <v>401.67380000000003</v>
      </c>
      <c r="AA8">
        <v>571.01196249999998</v>
      </c>
      <c r="AB8" t="s">
        <v>222</v>
      </c>
      <c r="AC8" t="s">
        <v>223</v>
      </c>
      <c r="AD8" t="s">
        <v>224</v>
      </c>
      <c r="AE8" t="s">
        <v>225</v>
      </c>
      <c r="AF8" t="s">
        <v>226</v>
      </c>
      <c r="AG8">
        <v>7</v>
      </c>
      <c r="AH8" t="s">
        <v>227</v>
      </c>
      <c r="AJ8">
        <v>1</v>
      </c>
    </row>
    <row r="9" spans="1:36">
      <c r="A9" t="s">
        <v>270</v>
      </c>
      <c r="B9" t="s">
        <v>271</v>
      </c>
      <c r="C9" t="s">
        <v>212</v>
      </c>
      <c r="D9">
        <v>3</v>
      </c>
      <c r="E9" t="s">
        <v>213</v>
      </c>
      <c r="F9" t="s">
        <v>214</v>
      </c>
      <c r="G9" t="s">
        <v>215</v>
      </c>
      <c r="H9" t="s">
        <v>216</v>
      </c>
      <c r="J9" t="s">
        <v>272</v>
      </c>
      <c r="K9" t="s">
        <v>273</v>
      </c>
      <c r="L9" t="s">
        <v>274</v>
      </c>
      <c r="M9" t="s">
        <v>275</v>
      </c>
      <c r="N9" t="s">
        <v>276</v>
      </c>
      <c r="O9">
        <v>0</v>
      </c>
      <c r="P9">
        <v>0</v>
      </c>
      <c r="Q9">
        <v>2108.3150412571999</v>
      </c>
      <c r="R9">
        <v>1508.1034407152999</v>
      </c>
      <c r="S9">
        <v>-4.1849587428000001</v>
      </c>
      <c r="T9">
        <v>4.3965592847000003</v>
      </c>
      <c r="U9">
        <v>6.0698940042</v>
      </c>
      <c r="V9">
        <v>735.94039999999995</v>
      </c>
      <c r="W9">
        <v>395.18979999999999</v>
      </c>
      <c r="X9">
        <v>392.67340000000002</v>
      </c>
      <c r="Y9">
        <v>394.98320000000001</v>
      </c>
      <c r="Z9">
        <v>394.72629999999998</v>
      </c>
      <c r="AA9">
        <v>565.16678750000005</v>
      </c>
      <c r="AB9" t="s">
        <v>222</v>
      </c>
      <c r="AC9" t="s">
        <v>223</v>
      </c>
      <c r="AD9" t="s">
        <v>224</v>
      </c>
      <c r="AE9" t="s">
        <v>225</v>
      </c>
      <c r="AF9" t="s">
        <v>226</v>
      </c>
      <c r="AG9">
        <v>7</v>
      </c>
      <c r="AH9" t="s">
        <v>227</v>
      </c>
      <c r="AJ9">
        <v>1</v>
      </c>
    </row>
    <row r="10" spans="1:36">
      <c r="A10" t="s">
        <v>277</v>
      </c>
      <c r="B10" t="s">
        <v>278</v>
      </c>
      <c r="C10" t="s">
        <v>212</v>
      </c>
      <c r="D10">
        <v>3</v>
      </c>
      <c r="E10" t="s">
        <v>213</v>
      </c>
      <c r="F10" t="s">
        <v>214</v>
      </c>
      <c r="G10" t="s">
        <v>215</v>
      </c>
      <c r="H10" t="s">
        <v>216</v>
      </c>
      <c r="J10" t="s">
        <v>279</v>
      </c>
      <c r="K10" t="s">
        <v>280</v>
      </c>
      <c r="L10" t="s">
        <v>281</v>
      </c>
      <c r="M10" t="s">
        <v>282</v>
      </c>
      <c r="N10" t="s">
        <v>283</v>
      </c>
      <c r="O10">
        <v>0</v>
      </c>
      <c r="P10">
        <v>0</v>
      </c>
      <c r="Q10">
        <v>2113.3476709703</v>
      </c>
      <c r="R10">
        <v>1509.9287978893001</v>
      </c>
      <c r="S10">
        <v>0.84767097030000005</v>
      </c>
      <c r="T10">
        <v>2.5712021106999998</v>
      </c>
      <c r="U10">
        <v>2.7073282711000002</v>
      </c>
      <c r="V10">
        <v>735.41129999999998</v>
      </c>
      <c r="W10">
        <v>393.79219999999998</v>
      </c>
      <c r="X10">
        <v>396.04559999999998</v>
      </c>
      <c r="Y10">
        <v>394.88290000000001</v>
      </c>
      <c r="Z10">
        <v>394.68720000000002</v>
      </c>
      <c r="AA10">
        <v>565.13163750000001</v>
      </c>
      <c r="AB10" t="s">
        <v>222</v>
      </c>
      <c r="AC10" t="s">
        <v>223</v>
      </c>
      <c r="AD10" t="s">
        <v>224</v>
      </c>
      <c r="AE10" t="s">
        <v>225</v>
      </c>
      <c r="AF10" t="s">
        <v>226</v>
      </c>
      <c r="AG10">
        <v>7</v>
      </c>
      <c r="AH10" t="s">
        <v>227</v>
      </c>
      <c r="AJ10">
        <v>1</v>
      </c>
    </row>
    <row r="11" spans="1:36">
      <c r="A11" t="s">
        <v>284</v>
      </c>
      <c r="B11" t="s">
        <v>285</v>
      </c>
      <c r="C11" t="s">
        <v>212</v>
      </c>
      <c r="D11">
        <v>3</v>
      </c>
      <c r="E11" t="s">
        <v>213</v>
      </c>
      <c r="F11" t="s">
        <v>214</v>
      </c>
      <c r="G11" t="s">
        <v>215</v>
      </c>
      <c r="H11" t="s">
        <v>216</v>
      </c>
      <c r="J11" t="s">
        <v>286</v>
      </c>
      <c r="K11" t="s">
        <v>287</v>
      </c>
      <c r="L11" t="s">
        <v>288</v>
      </c>
      <c r="M11" t="s">
        <v>289</v>
      </c>
      <c r="N11" t="s">
        <v>290</v>
      </c>
      <c r="O11">
        <v>0</v>
      </c>
      <c r="P11">
        <v>0</v>
      </c>
      <c r="Q11">
        <v>2111.0799848354</v>
      </c>
      <c r="R11">
        <v>1506.6851768417</v>
      </c>
      <c r="S11">
        <v>-1.4200151646000001</v>
      </c>
      <c r="T11">
        <v>5.8148231583000003</v>
      </c>
      <c r="U11">
        <v>5.9857005796999996</v>
      </c>
      <c r="V11">
        <v>732.58079999999995</v>
      </c>
      <c r="W11">
        <v>393.75689999999997</v>
      </c>
      <c r="X11">
        <v>394.02859999999998</v>
      </c>
      <c r="Y11">
        <v>392.67340000000002</v>
      </c>
      <c r="Z11">
        <v>393.34710000000001</v>
      </c>
      <c r="AA11">
        <v>563.01615000000004</v>
      </c>
      <c r="AB11" t="s">
        <v>222</v>
      </c>
      <c r="AC11" t="s">
        <v>223</v>
      </c>
      <c r="AD11" t="s">
        <v>224</v>
      </c>
      <c r="AE11" t="s">
        <v>225</v>
      </c>
      <c r="AF11" t="s">
        <v>226</v>
      </c>
      <c r="AG11">
        <v>7</v>
      </c>
      <c r="AH11" t="s">
        <v>227</v>
      </c>
      <c r="AJ11">
        <v>1</v>
      </c>
    </row>
    <row r="12" spans="1:36">
      <c r="A12" t="s">
        <v>291</v>
      </c>
      <c r="B12" t="s">
        <v>292</v>
      </c>
      <c r="C12" t="s">
        <v>212</v>
      </c>
      <c r="D12">
        <v>3</v>
      </c>
      <c r="E12" t="s">
        <v>213</v>
      </c>
      <c r="F12" t="s">
        <v>214</v>
      </c>
      <c r="G12" t="s">
        <v>215</v>
      </c>
      <c r="H12" t="s">
        <v>216</v>
      </c>
      <c r="J12" t="s">
        <v>293</v>
      </c>
      <c r="K12" t="s">
        <v>294</v>
      </c>
      <c r="L12" t="s">
        <v>295</v>
      </c>
      <c r="M12" t="s">
        <v>296</v>
      </c>
      <c r="N12" t="s">
        <v>297</v>
      </c>
      <c r="O12">
        <v>0</v>
      </c>
      <c r="P12">
        <v>0</v>
      </c>
      <c r="Q12">
        <v>2120.4107876899998</v>
      </c>
      <c r="R12">
        <v>1510.7270929469</v>
      </c>
      <c r="S12">
        <v>7.9107876900000003</v>
      </c>
      <c r="T12">
        <v>1.7729070531</v>
      </c>
      <c r="U12">
        <v>8.1070192607999996</v>
      </c>
      <c r="V12">
        <v>727.12980000000005</v>
      </c>
      <c r="W12">
        <v>389.5138</v>
      </c>
      <c r="X12">
        <v>389.8048</v>
      </c>
      <c r="Y12">
        <v>388.315</v>
      </c>
      <c r="Z12">
        <v>390.44560000000001</v>
      </c>
      <c r="AA12">
        <v>558.32479999999998</v>
      </c>
      <c r="AB12" t="s">
        <v>222</v>
      </c>
      <c r="AC12" t="s">
        <v>223</v>
      </c>
      <c r="AD12" t="s">
        <v>224</v>
      </c>
      <c r="AE12" t="s">
        <v>225</v>
      </c>
      <c r="AF12" t="s">
        <v>226</v>
      </c>
      <c r="AG12">
        <v>7</v>
      </c>
      <c r="AH12" t="s">
        <v>227</v>
      </c>
      <c r="AJ12">
        <v>1</v>
      </c>
    </row>
    <row r="13" spans="1:36">
      <c r="A13" t="s">
        <v>298</v>
      </c>
      <c r="B13" t="s">
        <v>299</v>
      </c>
      <c r="C13" t="s">
        <v>212</v>
      </c>
      <c r="D13">
        <v>3</v>
      </c>
      <c r="E13" t="s">
        <v>213</v>
      </c>
      <c r="F13" t="s">
        <v>214</v>
      </c>
      <c r="G13" t="s">
        <v>215</v>
      </c>
      <c r="H13" t="s">
        <v>216</v>
      </c>
      <c r="J13" t="s">
        <v>300</v>
      </c>
      <c r="K13" t="s">
        <v>301</v>
      </c>
      <c r="L13" t="s">
        <v>302</v>
      </c>
      <c r="M13" t="s">
        <v>303</v>
      </c>
      <c r="N13" t="s">
        <v>304</v>
      </c>
      <c r="O13">
        <v>0</v>
      </c>
      <c r="P13">
        <v>0</v>
      </c>
      <c r="Q13">
        <v>2110.6841126777999</v>
      </c>
      <c r="R13">
        <v>1510.7175657677001</v>
      </c>
      <c r="S13">
        <v>-1.8158873222</v>
      </c>
      <c r="T13">
        <v>1.7824342323</v>
      </c>
      <c r="U13">
        <v>2.5445075279</v>
      </c>
      <c r="V13">
        <v>741.16070000000002</v>
      </c>
      <c r="W13">
        <v>399.89800000000002</v>
      </c>
      <c r="X13">
        <v>398.7552</v>
      </c>
      <c r="Y13">
        <v>398.7912</v>
      </c>
      <c r="Z13">
        <v>396.5992</v>
      </c>
      <c r="AA13">
        <v>569.83579999999995</v>
      </c>
      <c r="AB13" t="s">
        <v>222</v>
      </c>
      <c r="AC13" t="s">
        <v>223</v>
      </c>
      <c r="AD13" t="s">
        <v>224</v>
      </c>
      <c r="AE13" t="s">
        <v>225</v>
      </c>
      <c r="AF13" t="s">
        <v>226</v>
      </c>
      <c r="AG13">
        <v>7</v>
      </c>
      <c r="AH13" t="s">
        <v>227</v>
      </c>
      <c r="AJ13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305</v>
      </c>
      <c r="R1" t="s">
        <v>306</v>
      </c>
      <c r="S1" t="s">
        <v>307</v>
      </c>
      <c r="T1" t="s">
        <v>308</v>
      </c>
      <c r="U1" t="s">
        <v>309</v>
      </c>
      <c r="V1" t="s">
        <v>310</v>
      </c>
      <c r="W1" t="s">
        <v>311</v>
      </c>
      <c r="X1" t="s">
        <v>312</v>
      </c>
      <c r="Y1" t="s">
        <v>313</v>
      </c>
      <c r="Z1" t="s">
        <v>314</v>
      </c>
      <c r="AA1" t="s">
        <v>315</v>
      </c>
      <c r="AB1" t="s">
        <v>316</v>
      </c>
      <c r="AC1" t="s">
        <v>317</v>
      </c>
      <c r="AD1" t="s">
        <v>318</v>
      </c>
      <c r="AE1" t="s">
        <v>319</v>
      </c>
      <c r="AF1" t="s">
        <v>320</v>
      </c>
      <c r="AG1" t="s">
        <v>321</v>
      </c>
      <c r="AH1" t="s">
        <v>322</v>
      </c>
      <c r="AI1" t="s">
        <v>323</v>
      </c>
      <c r="AJ1" t="s">
        <v>324</v>
      </c>
      <c r="AK1" t="s">
        <v>325</v>
      </c>
      <c r="AL1" t="s">
        <v>326</v>
      </c>
      <c r="AM1" t="s">
        <v>327</v>
      </c>
      <c r="AN1" t="s">
        <v>328</v>
      </c>
      <c r="AO1" t="s">
        <v>329</v>
      </c>
      <c r="AP1" t="s">
        <v>330</v>
      </c>
      <c r="AQ1" t="s">
        <v>331</v>
      </c>
      <c r="AR1" t="s">
        <v>332</v>
      </c>
      <c r="AS1" t="s">
        <v>333</v>
      </c>
      <c r="AT1" t="s">
        <v>334</v>
      </c>
      <c r="AU1" t="s">
        <v>335</v>
      </c>
      <c r="AV1" t="s">
        <v>207</v>
      </c>
      <c r="AW1" t="s">
        <v>208</v>
      </c>
      <c r="AX1" t="s">
        <v>209</v>
      </c>
    </row>
    <row r="2" spans="1:50">
      <c r="A2" t="s">
        <v>336</v>
      </c>
      <c r="B2" t="s">
        <v>337</v>
      </c>
      <c r="C2" t="s">
        <v>212</v>
      </c>
      <c r="D2">
        <v>3</v>
      </c>
      <c r="E2" t="s">
        <v>213</v>
      </c>
      <c r="F2" t="s">
        <v>214</v>
      </c>
      <c r="G2" t="s">
        <v>338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4.7683699999999999E-5</v>
      </c>
      <c r="R2">
        <v>8.6215648650999999</v>
      </c>
      <c r="S2">
        <v>0.18874132630000001</v>
      </c>
      <c r="T2">
        <v>6.0445842743</v>
      </c>
      <c r="U2">
        <v>6.5694599152000004</v>
      </c>
      <c r="V2">
        <v>-8.3251943587999993</v>
      </c>
      <c r="W2">
        <v>-1.2565599679999999</v>
      </c>
      <c r="X2">
        <v>-0.79577231410000004</v>
      </c>
      <c r="Y2">
        <v>5.1274538000000001E-2</v>
      </c>
      <c r="Z2">
        <v>-5.2499592300000002E-2</v>
      </c>
      <c r="AA2">
        <v>-0.42088902</v>
      </c>
      <c r="AB2">
        <v>-2.1581437588000001</v>
      </c>
      <c r="AC2">
        <v>1.5214836597000001</v>
      </c>
      <c r="AD2">
        <v>-0.31196376679999999</v>
      </c>
      <c r="AE2">
        <v>0.84196317200000004</v>
      </c>
      <c r="AF2">
        <v>-0.45648968220000002</v>
      </c>
      <c r="AG2">
        <v>-1.1874327659999999</v>
      </c>
      <c r="AH2">
        <v>-1.2507272959</v>
      </c>
      <c r="AI2">
        <v>8.5688114199999998E-2</v>
      </c>
      <c r="AJ2">
        <v>0.63129574060000004</v>
      </c>
      <c r="AK2">
        <v>2.243065E-4</v>
      </c>
      <c r="AL2">
        <v>4.9541410100000002E-2</v>
      </c>
      <c r="AM2">
        <v>0.20399558540000001</v>
      </c>
      <c r="AN2">
        <v>0.1203059107</v>
      </c>
      <c r="AO2">
        <v>0.21696205439999999</v>
      </c>
      <c r="AP2">
        <v>0.21696205439999999</v>
      </c>
      <c r="AQ2">
        <v>8.6236305586000004</v>
      </c>
      <c r="AR2" t="s">
        <v>339</v>
      </c>
      <c r="AS2" t="s">
        <v>340</v>
      </c>
      <c r="AT2">
        <v>3</v>
      </c>
      <c r="AU2">
        <v>2.9</v>
      </c>
      <c r="AX2">
        <v>1</v>
      </c>
    </row>
    <row r="3" spans="1:50">
      <c r="A3" t="s">
        <v>341</v>
      </c>
      <c r="B3" t="s">
        <v>342</v>
      </c>
      <c r="C3" t="s">
        <v>212</v>
      </c>
      <c r="D3">
        <v>3</v>
      </c>
      <c r="E3" t="s">
        <v>213</v>
      </c>
      <c r="F3" t="s">
        <v>214</v>
      </c>
      <c r="G3" t="s">
        <v>338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-1.6570099999999999E-5</v>
      </c>
      <c r="R3">
        <v>6.8790488242999999</v>
      </c>
      <c r="S3">
        <v>7.2507362365999999</v>
      </c>
      <c r="T3">
        <v>8.0931196212999996</v>
      </c>
      <c r="U3">
        <v>5.7881689072000002</v>
      </c>
      <c r="V3">
        <v>-7.7410516739000004</v>
      </c>
      <c r="W3">
        <v>-0.20844662189999999</v>
      </c>
      <c r="X3">
        <v>-3.6876144409</v>
      </c>
      <c r="Y3">
        <v>-0.96998459100000001</v>
      </c>
      <c r="Z3">
        <v>0.23052668570000001</v>
      </c>
      <c r="AA3">
        <v>-1.5382043123</v>
      </c>
      <c r="AB3">
        <v>-2.4174969196</v>
      </c>
      <c r="AC3">
        <v>1.8850896358</v>
      </c>
      <c r="AD3">
        <v>-0.60395073889999995</v>
      </c>
      <c r="AE3">
        <v>1.6277959346999999</v>
      </c>
      <c r="AF3">
        <v>-0.62087446449999995</v>
      </c>
      <c r="AG3">
        <v>-1.8715208769</v>
      </c>
      <c r="AH3">
        <v>-0.2048778534</v>
      </c>
      <c r="AI3">
        <v>-0.30947744849999997</v>
      </c>
      <c r="AJ3">
        <v>0.76336073879999999</v>
      </c>
      <c r="AK3">
        <v>1.978316E-4</v>
      </c>
      <c r="AL3">
        <v>4.5840658200000002E-2</v>
      </c>
      <c r="AM3">
        <v>0.18237826230000001</v>
      </c>
      <c r="AN3">
        <v>0.19723923500000001</v>
      </c>
      <c r="AO3">
        <v>0.28064477440000002</v>
      </c>
      <c r="AP3">
        <v>0.28064477440000002</v>
      </c>
      <c r="AQ3">
        <v>9.9947230427000004</v>
      </c>
      <c r="AR3" t="s">
        <v>339</v>
      </c>
      <c r="AS3" t="s">
        <v>340</v>
      </c>
      <c r="AT3">
        <v>3</v>
      </c>
      <c r="AU3">
        <v>2.9</v>
      </c>
      <c r="AX3">
        <v>1</v>
      </c>
    </row>
    <row r="4" spans="1:50">
      <c r="A4" t="s">
        <v>343</v>
      </c>
      <c r="B4" t="s">
        <v>344</v>
      </c>
      <c r="C4" t="s">
        <v>212</v>
      </c>
      <c r="D4">
        <v>3</v>
      </c>
      <c r="E4" t="s">
        <v>213</v>
      </c>
      <c r="F4" t="s">
        <v>214</v>
      </c>
      <c r="G4" t="s">
        <v>338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1.4304999999999999E-6</v>
      </c>
      <c r="R4">
        <v>9.4238119124999997</v>
      </c>
      <c r="S4">
        <v>4.5038585662999999</v>
      </c>
      <c r="T4">
        <v>6.9960985184000002</v>
      </c>
      <c r="U4">
        <v>8.5237712860000006</v>
      </c>
      <c r="V4">
        <v>-6.9260663985999997</v>
      </c>
      <c r="W4">
        <v>-1.0153329372</v>
      </c>
      <c r="X4">
        <v>-0.52844095229999999</v>
      </c>
      <c r="Y4">
        <v>-0.34124317770000001</v>
      </c>
      <c r="Z4">
        <v>-0.76717358830000004</v>
      </c>
      <c r="AA4">
        <v>0.2015520334</v>
      </c>
      <c r="AB4">
        <v>-2.8896608353</v>
      </c>
      <c r="AC4">
        <v>2.2472243309</v>
      </c>
      <c r="AD4">
        <v>-0.56710672380000005</v>
      </c>
      <c r="AE4">
        <v>0.35195976499999998</v>
      </c>
      <c r="AF4">
        <v>-0.50946396589999998</v>
      </c>
      <c r="AG4">
        <v>-0.39854478840000002</v>
      </c>
      <c r="AH4">
        <v>-0.28903120760000001</v>
      </c>
      <c r="AI4">
        <v>2.9612660400000001E-2</v>
      </c>
      <c r="AJ4">
        <v>0.45421779159999998</v>
      </c>
      <c r="AK4">
        <v>2.015338E-4</v>
      </c>
      <c r="AL4">
        <v>4.5999087399999999E-2</v>
      </c>
      <c r="AM4">
        <v>0.2186399996</v>
      </c>
      <c r="AN4">
        <v>0.15035882589999999</v>
      </c>
      <c r="AO4">
        <v>0.29164016250000002</v>
      </c>
      <c r="AP4">
        <v>0.29164016250000002</v>
      </c>
      <c r="AQ4">
        <v>10.444758156500001</v>
      </c>
      <c r="AR4" t="s">
        <v>339</v>
      </c>
      <c r="AS4" t="s">
        <v>340</v>
      </c>
      <c r="AT4">
        <v>3</v>
      </c>
      <c r="AU4">
        <v>2.9</v>
      </c>
      <c r="AX4">
        <v>1</v>
      </c>
    </row>
    <row r="5" spans="1:50">
      <c r="A5" t="s">
        <v>345</v>
      </c>
      <c r="B5" t="s">
        <v>346</v>
      </c>
      <c r="C5" t="s">
        <v>212</v>
      </c>
      <c r="D5">
        <v>3</v>
      </c>
      <c r="E5" t="s">
        <v>213</v>
      </c>
      <c r="F5" t="s">
        <v>214</v>
      </c>
      <c r="G5" t="s">
        <v>338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-9.8943999999999997E-6</v>
      </c>
      <c r="R5">
        <v>0.36672401430000001</v>
      </c>
      <c r="S5">
        <v>7.5524091721</v>
      </c>
      <c r="T5">
        <v>5.9804210662999999</v>
      </c>
      <c r="U5">
        <v>7.9012050628999999</v>
      </c>
      <c r="V5">
        <v>-3.9239208697999999</v>
      </c>
      <c r="W5">
        <v>0.2454180121</v>
      </c>
      <c r="X5">
        <v>-3.9072513599999997E-2</v>
      </c>
      <c r="Y5">
        <v>0.26189893479999998</v>
      </c>
      <c r="Z5">
        <v>1.3664698601</v>
      </c>
      <c r="AA5">
        <v>0.7244933844</v>
      </c>
      <c r="AB5">
        <v>-2.4209182262</v>
      </c>
      <c r="AC5">
        <v>1.4938172102</v>
      </c>
      <c r="AD5">
        <v>0.2420413196</v>
      </c>
      <c r="AE5">
        <v>-0.79275858399999999</v>
      </c>
      <c r="AF5">
        <v>-0.56526851649999998</v>
      </c>
      <c r="AG5">
        <v>-0.3921025991</v>
      </c>
      <c r="AH5">
        <v>-0.69225931169999999</v>
      </c>
      <c r="AI5">
        <v>-0.64221179490000002</v>
      </c>
      <c r="AJ5">
        <v>0.58684951070000002</v>
      </c>
      <c r="AK5">
        <v>1.214059E-4</v>
      </c>
      <c r="AL5">
        <v>3.598544E-2</v>
      </c>
      <c r="AM5">
        <v>7.4270933900000002E-2</v>
      </c>
      <c r="AN5">
        <v>0.16112354400000001</v>
      </c>
      <c r="AO5">
        <v>0.235557884</v>
      </c>
      <c r="AP5">
        <v>0.235557884</v>
      </c>
      <c r="AQ5">
        <v>7.5613074799</v>
      </c>
      <c r="AR5" t="s">
        <v>339</v>
      </c>
      <c r="AS5" t="s">
        <v>340</v>
      </c>
      <c r="AT5">
        <v>3</v>
      </c>
      <c r="AU5">
        <v>2.9</v>
      </c>
      <c r="AX5">
        <v>1</v>
      </c>
    </row>
    <row r="6" spans="1:50">
      <c r="A6" t="s">
        <v>347</v>
      </c>
      <c r="B6" t="s">
        <v>348</v>
      </c>
      <c r="C6" t="s">
        <v>212</v>
      </c>
      <c r="D6">
        <v>3</v>
      </c>
      <c r="E6" t="s">
        <v>213</v>
      </c>
      <c r="F6" t="s">
        <v>214</v>
      </c>
      <c r="G6" t="s">
        <v>338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-2.5391599999999999E-5</v>
      </c>
      <c r="R6">
        <v>5.5391268729999998</v>
      </c>
      <c r="S6">
        <v>9.0069408417000005</v>
      </c>
      <c r="T6">
        <v>1.9491689205</v>
      </c>
      <c r="U6">
        <v>4.4161882401000003</v>
      </c>
      <c r="V6">
        <v>-5.8392601012999998</v>
      </c>
      <c r="W6">
        <v>-0.1494486183</v>
      </c>
      <c r="X6">
        <v>-3.1529836654999999</v>
      </c>
      <c r="Y6">
        <v>0.43302553890000001</v>
      </c>
      <c r="Z6">
        <v>0.32932731510000002</v>
      </c>
      <c r="AA6">
        <v>-1.0991978645</v>
      </c>
      <c r="AB6">
        <v>-1.0417776108000001</v>
      </c>
      <c r="AC6">
        <v>2.0699448586</v>
      </c>
      <c r="AD6">
        <v>0.1260074377</v>
      </c>
      <c r="AE6">
        <v>0.34820604319999998</v>
      </c>
      <c r="AF6">
        <v>-0.74150174859999995</v>
      </c>
      <c r="AG6">
        <v>-4.9462482299999999E-2</v>
      </c>
      <c r="AH6">
        <v>-0.61047881839999996</v>
      </c>
      <c r="AI6">
        <v>-0.4220170379</v>
      </c>
      <c r="AJ6">
        <v>0.87606769799999995</v>
      </c>
      <c r="AK6">
        <v>1.2592629999999999E-4</v>
      </c>
      <c r="AL6">
        <v>3.73172425E-2</v>
      </c>
      <c r="AM6">
        <v>0.13502873479999999</v>
      </c>
      <c r="AN6">
        <v>0.2096828073</v>
      </c>
      <c r="AO6">
        <v>0.22577893730000001</v>
      </c>
      <c r="AP6">
        <v>0.22577893730000001</v>
      </c>
      <c r="AQ6">
        <v>10.5738786564</v>
      </c>
      <c r="AR6" t="s">
        <v>339</v>
      </c>
      <c r="AS6" t="s">
        <v>340</v>
      </c>
      <c r="AT6">
        <v>3</v>
      </c>
      <c r="AU6">
        <v>2.9</v>
      </c>
      <c r="AX6">
        <v>1</v>
      </c>
    </row>
    <row r="7" spans="1:50">
      <c r="A7" t="s">
        <v>349</v>
      </c>
      <c r="B7" t="s">
        <v>350</v>
      </c>
      <c r="C7" t="s">
        <v>212</v>
      </c>
      <c r="D7">
        <v>3</v>
      </c>
      <c r="E7" t="s">
        <v>213</v>
      </c>
      <c r="F7" t="s">
        <v>214</v>
      </c>
      <c r="G7" t="s">
        <v>338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5.2452000000000002E-6</v>
      </c>
      <c r="R7">
        <v>7.2245864867999998</v>
      </c>
      <c r="S7">
        <v>4.4882097243999999</v>
      </c>
      <c r="T7">
        <v>3.4845521449999999</v>
      </c>
      <c r="U7">
        <v>5.9602727890000002</v>
      </c>
      <c r="V7">
        <v>-4.6835708617999998</v>
      </c>
      <c r="W7">
        <v>-0.46058896179999997</v>
      </c>
      <c r="X7">
        <v>-1.0801992415999999</v>
      </c>
      <c r="Y7">
        <v>0.63644564150000005</v>
      </c>
      <c r="Z7">
        <v>-0.67482745649999998</v>
      </c>
      <c r="AA7">
        <v>0.13963818550000001</v>
      </c>
      <c r="AB7">
        <v>-1.9389711618000001</v>
      </c>
      <c r="AC7">
        <v>1.335881114</v>
      </c>
      <c r="AD7">
        <v>-0.26652684809999999</v>
      </c>
      <c r="AE7">
        <v>4.2565047699999997E-2</v>
      </c>
      <c r="AF7">
        <v>-0.1534807235</v>
      </c>
      <c r="AG7">
        <v>-0.20103898640000001</v>
      </c>
      <c r="AH7">
        <v>-0.3484922647</v>
      </c>
      <c r="AI7">
        <v>0.31191277499999998</v>
      </c>
      <c r="AJ7">
        <v>1.2701654434</v>
      </c>
      <c r="AK7">
        <v>1.891258E-4</v>
      </c>
      <c r="AL7">
        <v>4.5588582799999999E-2</v>
      </c>
      <c r="AM7">
        <v>0.1608292758</v>
      </c>
      <c r="AN7">
        <v>0.1192555502</v>
      </c>
      <c r="AO7">
        <v>0.21980300550000001</v>
      </c>
      <c r="AP7">
        <v>0.21980300550000001</v>
      </c>
      <c r="AQ7">
        <v>8.5052146614000002</v>
      </c>
      <c r="AR7" t="s">
        <v>339</v>
      </c>
      <c r="AS7" t="s">
        <v>340</v>
      </c>
      <c r="AT7">
        <v>3</v>
      </c>
      <c r="AU7">
        <v>2.9</v>
      </c>
      <c r="AX7">
        <v>1</v>
      </c>
    </row>
    <row r="8" spans="1:50">
      <c r="A8" t="s">
        <v>351</v>
      </c>
      <c r="B8" t="s">
        <v>352</v>
      </c>
      <c r="C8" t="s">
        <v>212</v>
      </c>
      <c r="D8">
        <v>3</v>
      </c>
      <c r="E8" t="s">
        <v>213</v>
      </c>
      <c r="F8" t="s">
        <v>214</v>
      </c>
      <c r="G8" t="s">
        <v>338</v>
      </c>
      <c r="H8" t="s">
        <v>216</v>
      </c>
      <c r="J8" t="s">
        <v>265</v>
      </c>
      <c r="K8" t="s">
        <v>266</v>
      </c>
      <c r="L8" t="s">
        <v>267</v>
      </c>
      <c r="M8" t="s">
        <v>268</v>
      </c>
      <c r="N8" t="s">
        <v>269</v>
      </c>
      <c r="O8">
        <v>0</v>
      </c>
      <c r="P8">
        <v>0</v>
      </c>
      <c r="Q8">
        <v>-3.0993999999999999E-6</v>
      </c>
      <c r="R8">
        <v>1.5506947041000001</v>
      </c>
      <c r="S8">
        <v>2.2913401126999999</v>
      </c>
      <c r="T8">
        <v>7.1315193175999996</v>
      </c>
      <c r="U8">
        <v>6.9162454604999999</v>
      </c>
      <c r="V8">
        <v>-10.7510585785</v>
      </c>
      <c r="W8">
        <v>2.2027313709</v>
      </c>
      <c r="X8">
        <v>-0.502723217</v>
      </c>
      <c r="Y8">
        <v>-0.8901144862</v>
      </c>
      <c r="Z8">
        <v>1.1906579733</v>
      </c>
      <c r="AA8">
        <v>0.12451004979999999</v>
      </c>
      <c r="AB8">
        <v>-2.5795295237999998</v>
      </c>
      <c r="AC8">
        <v>3.3837060927999998</v>
      </c>
      <c r="AD8">
        <v>-1.4627525805999999</v>
      </c>
      <c r="AE8">
        <v>0.4730895758</v>
      </c>
      <c r="AF8">
        <v>-0.71147018669999995</v>
      </c>
      <c r="AG8">
        <v>-0.94676780699999996</v>
      </c>
      <c r="AH8">
        <v>-9.4738066199999998E-2</v>
      </c>
      <c r="AI8">
        <v>-0.2230899334</v>
      </c>
      <c r="AJ8">
        <v>-0.61282694339999999</v>
      </c>
      <c r="AK8">
        <v>1.7303030000000001E-4</v>
      </c>
      <c r="AL8">
        <v>4.3673656900000003E-2</v>
      </c>
      <c r="AM8">
        <v>0.161059916</v>
      </c>
      <c r="AN8">
        <v>0.1889744699</v>
      </c>
      <c r="AO8">
        <v>0.1889744699</v>
      </c>
      <c r="AP8">
        <v>0.1889744699</v>
      </c>
      <c r="AQ8">
        <v>2.7667478339999998</v>
      </c>
      <c r="AR8" t="s">
        <v>339</v>
      </c>
      <c r="AS8" t="s">
        <v>340</v>
      </c>
      <c r="AT8">
        <v>3</v>
      </c>
      <c r="AU8">
        <v>2.9</v>
      </c>
      <c r="AX8">
        <v>1</v>
      </c>
    </row>
    <row r="9" spans="1:50">
      <c r="A9" t="s">
        <v>353</v>
      </c>
      <c r="B9" t="s">
        <v>354</v>
      </c>
      <c r="C9" t="s">
        <v>212</v>
      </c>
      <c r="D9">
        <v>3</v>
      </c>
      <c r="E9" t="s">
        <v>213</v>
      </c>
      <c r="F9" t="s">
        <v>214</v>
      </c>
      <c r="G9" t="s">
        <v>338</v>
      </c>
      <c r="H9" t="s">
        <v>216</v>
      </c>
      <c r="J9" t="s">
        <v>272</v>
      </c>
      <c r="K9" t="s">
        <v>273</v>
      </c>
      <c r="L9" t="s">
        <v>274</v>
      </c>
      <c r="M9" t="s">
        <v>275</v>
      </c>
      <c r="N9" t="s">
        <v>276</v>
      </c>
      <c r="O9">
        <v>0</v>
      </c>
      <c r="P9">
        <v>0</v>
      </c>
      <c r="Q9">
        <v>3.9339099999999997E-5</v>
      </c>
      <c r="R9">
        <v>-4.5345692634999999</v>
      </c>
      <c r="S9">
        <v>2.5665082932000001</v>
      </c>
      <c r="T9">
        <v>0.41677272319999997</v>
      </c>
      <c r="U9">
        <v>0.97415429350000005</v>
      </c>
      <c r="V9">
        <v>-2.3270232677</v>
      </c>
      <c r="W9">
        <v>-0.37166491149999997</v>
      </c>
      <c r="X9">
        <v>2.3915667533999998</v>
      </c>
      <c r="Y9">
        <v>1.6248089075000001</v>
      </c>
      <c r="Z9">
        <v>0.59704184530000004</v>
      </c>
      <c r="AA9">
        <v>1.7198902369</v>
      </c>
      <c r="AB9">
        <v>-0.41718327999999999</v>
      </c>
      <c r="AC9">
        <v>1.0617866516000001</v>
      </c>
      <c r="AD9">
        <v>0.42284500600000002</v>
      </c>
      <c r="AE9">
        <v>-0.76931035520000002</v>
      </c>
      <c r="AF9">
        <v>-1.0469909905999999</v>
      </c>
      <c r="AG9">
        <v>-1.4816992282999999</v>
      </c>
      <c r="AH9">
        <v>0.32042032479999999</v>
      </c>
      <c r="AI9">
        <v>9.1269254699999997E-2</v>
      </c>
      <c r="AJ9">
        <v>-0.3109611571</v>
      </c>
      <c r="AK9">
        <v>1.650972E-4</v>
      </c>
      <c r="AL9">
        <v>4.2113333900000001E-2</v>
      </c>
      <c r="AM9">
        <v>8.9245125699999997E-2</v>
      </c>
      <c r="AN9">
        <v>6.7029975399999997E-2</v>
      </c>
      <c r="AO9">
        <v>8.9245125699999997E-2</v>
      </c>
      <c r="AP9">
        <v>9.3878135099999996E-2</v>
      </c>
      <c r="AQ9">
        <v>5.2104974066</v>
      </c>
      <c r="AR9" t="s">
        <v>339</v>
      </c>
      <c r="AS9" t="s">
        <v>340</v>
      </c>
      <c r="AT9">
        <v>3</v>
      </c>
      <c r="AU9">
        <v>2.9</v>
      </c>
      <c r="AX9">
        <v>1</v>
      </c>
    </row>
    <row r="10" spans="1:50">
      <c r="A10" t="s">
        <v>355</v>
      </c>
      <c r="B10" t="s">
        <v>356</v>
      </c>
      <c r="C10" t="s">
        <v>212</v>
      </c>
      <c r="D10">
        <v>3</v>
      </c>
      <c r="E10" t="s">
        <v>213</v>
      </c>
      <c r="F10" t="s">
        <v>214</v>
      </c>
      <c r="G10" t="s">
        <v>338</v>
      </c>
      <c r="H10" t="s">
        <v>216</v>
      </c>
      <c r="J10" t="s">
        <v>279</v>
      </c>
      <c r="K10" t="s">
        <v>280</v>
      </c>
      <c r="L10" t="s">
        <v>281</v>
      </c>
      <c r="M10" t="s">
        <v>282</v>
      </c>
      <c r="N10" t="s">
        <v>283</v>
      </c>
      <c r="O10">
        <v>0</v>
      </c>
      <c r="P10">
        <v>0</v>
      </c>
      <c r="Q10">
        <v>-7.8677999999999994E-6</v>
      </c>
      <c r="R10">
        <v>5.2638993262999998</v>
      </c>
      <c r="S10">
        <v>3.5708613396</v>
      </c>
      <c r="T10">
        <v>2.1661648750000002</v>
      </c>
      <c r="U10">
        <v>6.0642070769999998</v>
      </c>
      <c r="V10">
        <v>-3.6850013733</v>
      </c>
      <c r="W10">
        <v>-0.7110384703</v>
      </c>
      <c r="X10">
        <v>-1.6070003509999999</v>
      </c>
      <c r="Y10">
        <v>-3.4615367700000003E-2</v>
      </c>
      <c r="Z10">
        <v>0.44336783889999998</v>
      </c>
      <c r="AA10">
        <v>-1.1632339953999999</v>
      </c>
      <c r="AB10">
        <v>-1.3999574184000001</v>
      </c>
      <c r="AC10">
        <v>1.5453015565999999</v>
      </c>
      <c r="AD10">
        <v>0.23486146329999999</v>
      </c>
      <c r="AE10">
        <v>4.58992124E-2</v>
      </c>
      <c r="AF10">
        <v>-0.1917788684</v>
      </c>
      <c r="AG10">
        <v>0.42812067269999998</v>
      </c>
      <c r="AH10">
        <v>0.21094983819999999</v>
      </c>
      <c r="AI10">
        <v>-0.180126071</v>
      </c>
      <c r="AJ10">
        <v>0.2688769996</v>
      </c>
      <c r="AK10">
        <v>1.3771979999999999E-4</v>
      </c>
      <c r="AL10">
        <v>3.7493288499999999E-2</v>
      </c>
      <c r="AM10">
        <v>0.11536473780000001</v>
      </c>
      <c r="AN10">
        <v>0.1101815328</v>
      </c>
      <c r="AO10">
        <v>0.2027575076</v>
      </c>
      <c r="AP10">
        <v>0.2027575076</v>
      </c>
      <c r="AQ10">
        <v>6.3607929398999996</v>
      </c>
      <c r="AR10" t="s">
        <v>339</v>
      </c>
      <c r="AS10" t="s">
        <v>340</v>
      </c>
      <c r="AT10">
        <v>3</v>
      </c>
      <c r="AU10">
        <v>2.9</v>
      </c>
      <c r="AX10">
        <v>1</v>
      </c>
    </row>
    <row r="11" spans="1:50">
      <c r="A11" t="s">
        <v>357</v>
      </c>
      <c r="B11" t="s">
        <v>358</v>
      </c>
      <c r="C11" t="s">
        <v>212</v>
      </c>
      <c r="D11">
        <v>3</v>
      </c>
      <c r="E11" t="s">
        <v>213</v>
      </c>
      <c r="F11" t="s">
        <v>214</v>
      </c>
      <c r="G11" t="s">
        <v>338</v>
      </c>
      <c r="H11" t="s">
        <v>216</v>
      </c>
      <c r="J11" t="s">
        <v>286</v>
      </c>
      <c r="K11" t="s">
        <v>287</v>
      </c>
      <c r="L11" t="s">
        <v>288</v>
      </c>
      <c r="M11" t="s">
        <v>289</v>
      </c>
      <c r="N11" t="s">
        <v>290</v>
      </c>
      <c r="O11">
        <v>0</v>
      </c>
      <c r="P11">
        <v>0</v>
      </c>
      <c r="Q11">
        <v>4.2796100000000002E-5</v>
      </c>
      <c r="R11">
        <v>7.4530000686999998</v>
      </c>
      <c r="S11">
        <v>2.1524779797</v>
      </c>
      <c r="T11">
        <v>6.7178230285999998</v>
      </c>
      <c r="U11">
        <v>7.8086423873999999</v>
      </c>
      <c r="V11">
        <v>-3.6935355663</v>
      </c>
      <c r="W11">
        <v>-1.7951302527999999</v>
      </c>
      <c r="X11">
        <v>1.5239365101</v>
      </c>
      <c r="Y11">
        <v>-0.5733755827</v>
      </c>
      <c r="Z11">
        <v>0.1983066201</v>
      </c>
      <c r="AA11">
        <v>1.1325589417999999</v>
      </c>
      <c r="AB11">
        <v>-2.7586901188000001</v>
      </c>
      <c r="AC11">
        <v>1.0763410330000001</v>
      </c>
      <c r="AD11">
        <v>0.38423973319999999</v>
      </c>
      <c r="AE11">
        <v>-0.70803630350000002</v>
      </c>
      <c r="AF11">
        <v>-0.42643126850000002</v>
      </c>
      <c r="AG11">
        <v>-0.54540228840000005</v>
      </c>
      <c r="AH11">
        <v>-0.80072295670000004</v>
      </c>
      <c r="AI11">
        <v>0.27801692490000002</v>
      </c>
      <c r="AJ11">
        <v>0.55875682829999995</v>
      </c>
      <c r="AK11">
        <v>1.3434950000000001E-4</v>
      </c>
      <c r="AL11">
        <v>3.6857917900000002E-2</v>
      </c>
      <c r="AM11">
        <v>0.13244174419999999</v>
      </c>
      <c r="AN11">
        <v>8.0839030399999998E-2</v>
      </c>
      <c r="AO11">
        <v>0.22261926530000001</v>
      </c>
      <c r="AP11">
        <v>0.22261926530000001</v>
      </c>
      <c r="AQ11">
        <v>7.7576008841000004</v>
      </c>
      <c r="AR11" t="s">
        <v>339</v>
      </c>
      <c r="AS11" t="s">
        <v>340</v>
      </c>
      <c r="AT11">
        <v>3</v>
      </c>
      <c r="AU11">
        <v>2.9</v>
      </c>
      <c r="AX11">
        <v>1</v>
      </c>
    </row>
    <row r="12" spans="1:50">
      <c r="A12" t="s">
        <v>359</v>
      </c>
      <c r="B12" t="s">
        <v>360</v>
      </c>
      <c r="C12" t="s">
        <v>212</v>
      </c>
      <c r="D12">
        <v>3</v>
      </c>
      <c r="E12" t="s">
        <v>213</v>
      </c>
      <c r="F12" t="s">
        <v>214</v>
      </c>
      <c r="G12" t="s">
        <v>338</v>
      </c>
      <c r="H12" t="s">
        <v>216</v>
      </c>
      <c r="J12" t="s">
        <v>293</v>
      </c>
      <c r="K12" t="s">
        <v>294</v>
      </c>
      <c r="L12" t="s">
        <v>295</v>
      </c>
      <c r="M12" t="s">
        <v>296</v>
      </c>
      <c r="N12" t="s">
        <v>297</v>
      </c>
      <c r="O12">
        <v>0</v>
      </c>
      <c r="P12">
        <v>0</v>
      </c>
      <c r="Q12">
        <v>-2.11596E-5</v>
      </c>
      <c r="R12">
        <v>2.5536708832000001</v>
      </c>
      <c r="S12">
        <v>3.0223731995000001</v>
      </c>
      <c r="T12">
        <v>3.8318977356000001</v>
      </c>
      <c r="U12">
        <v>4.1861581801999996</v>
      </c>
      <c r="V12">
        <v>-2.9854187964999999</v>
      </c>
      <c r="W12">
        <v>-1.1471486092000001</v>
      </c>
      <c r="X12">
        <v>-0.52082353830000006</v>
      </c>
      <c r="Y12">
        <v>0.56604886050000003</v>
      </c>
      <c r="Z12">
        <v>0.45378205179999997</v>
      </c>
      <c r="AA12">
        <v>1.0906975269000001</v>
      </c>
      <c r="AB12">
        <v>-1.6882565022</v>
      </c>
      <c r="AC12">
        <v>0.6199717522</v>
      </c>
      <c r="AD12">
        <v>0.45681267980000001</v>
      </c>
      <c r="AE12">
        <v>-3.4686386600000001E-2</v>
      </c>
      <c r="AF12">
        <v>-0.72956174610000002</v>
      </c>
      <c r="AG12">
        <v>-1.1856245995000001</v>
      </c>
      <c r="AH12">
        <v>-0.21666550640000001</v>
      </c>
      <c r="AI12">
        <v>-0.14565861229999999</v>
      </c>
      <c r="AJ12">
        <v>0.26293182370000001</v>
      </c>
      <c r="AK12">
        <v>1.546904E-4</v>
      </c>
      <c r="AL12">
        <v>3.9620272800000002E-2</v>
      </c>
      <c r="AM12">
        <v>6.0981072499999997E-2</v>
      </c>
      <c r="AN12">
        <v>7.9051971400000004E-2</v>
      </c>
      <c r="AO12">
        <v>0.148248136</v>
      </c>
      <c r="AP12">
        <v>0.148248136</v>
      </c>
      <c r="AQ12">
        <v>3.9567631640999998</v>
      </c>
      <c r="AR12" t="s">
        <v>339</v>
      </c>
      <c r="AS12" t="s">
        <v>340</v>
      </c>
      <c r="AT12">
        <v>3</v>
      </c>
      <c r="AU12">
        <v>2.9</v>
      </c>
      <c r="AX12">
        <v>1</v>
      </c>
    </row>
    <row r="13" spans="1:50">
      <c r="A13" t="s">
        <v>361</v>
      </c>
      <c r="B13" t="s">
        <v>362</v>
      </c>
      <c r="C13" t="s">
        <v>212</v>
      </c>
      <c r="D13">
        <v>3</v>
      </c>
      <c r="E13" t="s">
        <v>213</v>
      </c>
      <c r="F13" t="s">
        <v>214</v>
      </c>
      <c r="G13" t="s">
        <v>338</v>
      </c>
      <c r="H13" t="s">
        <v>216</v>
      </c>
      <c r="J13" t="s">
        <v>300</v>
      </c>
      <c r="K13" t="s">
        <v>301</v>
      </c>
      <c r="L13" t="s">
        <v>302</v>
      </c>
      <c r="M13" t="s">
        <v>303</v>
      </c>
      <c r="N13" t="s">
        <v>304</v>
      </c>
      <c r="O13">
        <v>0</v>
      </c>
      <c r="P13">
        <v>0</v>
      </c>
      <c r="Q13">
        <v>-7.391E-6</v>
      </c>
      <c r="R13">
        <v>0.38329386710000002</v>
      </c>
      <c r="S13">
        <v>-3.6964566708</v>
      </c>
      <c r="T13">
        <v>5.7064228057999999</v>
      </c>
      <c r="U13">
        <v>6.3132543563999999</v>
      </c>
      <c r="V13">
        <v>-4.4610500336000003</v>
      </c>
      <c r="W13">
        <v>0.86217761039999996</v>
      </c>
      <c r="X13">
        <v>-0.66411626339999996</v>
      </c>
      <c r="Y13">
        <v>0.33416959639999999</v>
      </c>
      <c r="Z13">
        <v>0.56064522269999995</v>
      </c>
      <c r="AA13">
        <v>-0.43126845359999999</v>
      </c>
      <c r="AB13">
        <v>-2.3641402721000002</v>
      </c>
      <c r="AC13">
        <v>1.6445186138000001</v>
      </c>
      <c r="AD13">
        <v>-0.21312230830000001</v>
      </c>
      <c r="AE13">
        <v>0.67371666429999999</v>
      </c>
      <c r="AF13">
        <v>-1.0018033981000001</v>
      </c>
      <c r="AG13">
        <v>-1.0223566293999999</v>
      </c>
      <c r="AH13">
        <v>7.11996555E-2</v>
      </c>
      <c r="AI13">
        <v>-0.22698211669999999</v>
      </c>
      <c r="AJ13">
        <v>0.32586815949999998</v>
      </c>
      <c r="AK13">
        <v>1.7751369999999999E-4</v>
      </c>
      <c r="AL13">
        <v>4.5056853399999999E-2</v>
      </c>
      <c r="AM13">
        <v>6.9314181799999999E-2</v>
      </c>
      <c r="AN13">
        <v>0.12164370720000001</v>
      </c>
      <c r="AO13">
        <v>0.15952417250000001</v>
      </c>
      <c r="AP13">
        <v>0.15952417250000001</v>
      </c>
      <c r="AQ13">
        <v>3.7162758384000001</v>
      </c>
      <c r="AR13" t="s">
        <v>339</v>
      </c>
      <c r="AS13" t="s">
        <v>340</v>
      </c>
      <c r="AT13">
        <v>3</v>
      </c>
      <c r="AU13">
        <v>2.9</v>
      </c>
      <c r="AX13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363</v>
      </c>
      <c r="R1" t="s">
        <v>364</v>
      </c>
      <c r="S1" t="s">
        <v>365</v>
      </c>
      <c r="T1" t="s">
        <v>366</v>
      </c>
      <c r="U1" t="s">
        <v>367</v>
      </c>
      <c r="V1" t="s">
        <v>368</v>
      </c>
      <c r="W1" t="s">
        <v>369</v>
      </c>
      <c r="X1" t="s">
        <v>370</v>
      </c>
      <c r="Y1" t="s">
        <v>371</v>
      </c>
      <c r="Z1" t="s">
        <v>372</v>
      </c>
      <c r="AA1" t="s">
        <v>373</v>
      </c>
      <c r="AB1" t="s">
        <v>374</v>
      </c>
      <c r="AC1" t="s">
        <v>375</v>
      </c>
      <c r="AD1" t="s">
        <v>207</v>
      </c>
      <c r="AE1" t="s">
        <v>208</v>
      </c>
      <c r="AF1" t="s">
        <v>209</v>
      </c>
    </row>
    <row r="2" spans="1:32">
      <c r="A2" t="s">
        <v>336</v>
      </c>
      <c r="B2" t="s">
        <v>376</v>
      </c>
      <c r="C2" t="s">
        <v>212</v>
      </c>
      <c r="D2">
        <v>3</v>
      </c>
      <c r="E2" t="s">
        <v>213</v>
      </c>
      <c r="F2" t="s">
        <v>214</v>
      </c>
      <c r="G2" t="s">
        <v>338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-8.2111436950000005</v>
      </c>
      <c r="R2">
        <v>-56</v>
      </c>
      <c r="S2">
        <v>83.234201857299993</v>
      </c>
      <c r="T2">
        <v>112.31789645560001</v>
      </c>
      <c r="U2">
        <v>3.5727275808000001</v>
      </c>
      <c r="V2">
        <v>3.1493044E-3</v>
      </c>
      <c r="W2">
        <v>-7.2522399999999995E-5</v>
      </c>
      <c r="X2">
        <v>3.3768536479</v>
      </c>
      <c r="Y2">
        <v>83.132646495800003</v>
      </c>
      <c r="Z2">
        <v>66.081189022000004</v>
      </c>
      <c r="AA2">
        <v>333.77011617570002</v>
      </c>
      <c r="AB2">
        <v>356.19591561120001</v>
      </c>
      <c r="AC2">
        <v>1</v>
      </c>
      <c r="AF2">
        <v>1</v>
      </c>
    </row>
    <row r="3" spans="1:32">
      <c r="A3" t="s">
        <v>341</v>
      </c>
      <c r="B3" t="s">
        <v>377</v>
      </c>
      <c r="C3" t="s">
        <v>212</v>
      </c>
      <c r="D3">
        <v>3</v>
      </c>
      <c r="E3" t="s">
        <v>213</v>
      </c>
      <c r="F3" t="s">
        <v>214</v>
      </c>
      <c r="G3" t="s">
        <v>338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-8.2111436950000005</v>
      </c>
      <c r="R3">
        <v>-56</v>
      </c>
      <c r="S3">
        <v>86.1346342131</v>
      </c>
      <c r="T3">
        <v>114.6034236987</v>
      </c>
      <c r="U3">
        <v>3.4934310197</v>
      </c>
      <c r="V3">
        <v>2.6784917000000001E-3</v>
      </c>
      <c r="W3">
        <v>-6.4454000000000003E-5</v>
      </c>
      <c r="X3">
        <v>3.2816476560000001</v>
      </c>
      <c r="Y3">
        <v>84.196232888899999</v>
      </c>
      <c r="Z3">
        <v>65.315516240199997</v>
      </c>
      <c r="AA3">
        <v>338.33951132300001</v>
      </c>
      <c r="AB3">
        <v>360.14415299749999</v>
      </c>
      <c r="AC3">
        <v>1</v>
      </c>
      <c r="AF3">
        <v>1</v>
      </c>
    </row>
    <row r="4" spans="1:32">
      <c r="A4" t="s">
        <v>343</v>
      </c>
      <c r="B4" t="s">
        <v>378</v>
      </c>
      <c r="C4" t="s">
        <v>212</v>
      </c>
      <c r="D4">
        <v>3</v>
      </c>
      <c r="E4" t="s">
        <v>213</v>
      </c>
      <c r="F4" t="s">
        <v>214</v>
      </c>
      <c r="G4" t="s">
        <v>338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-9.3841642229000009</v>
      </c>
      <c r="R4">
        <v>-64</v>
      </c>
      <c r="S4">
        <v>78.176280817700004</v>
      </c>
      <c r="T4">
        <v>111.4057036621</v>
      </c>
      <c r="U4">
        <v>3.5736653933999998</v>
      </c>
      <c r="V4">
        <v>2.8322300999999999E-3</v>
      </c>
      <c r="W4">
        <v>-6.9006700000000005E-5</v>
      </c>
      <c r="X4">
        <v>3.3764870931000002</v>
      </c>
      <c r="Y4">
        <v>77.9683642416</v>
      </c>
      <c r="Z4">
        <v>62.245105888399998</v>
      </c>
      <c r="AA4">
        <v>337.68570870029998</v>
      </c>
      <c r="AB4">
        <v>359.0424241394</v>
      </c>
      <c r="AC4">
        <v>1</v>
      </c>
      <c r="AF4">
        <v>1</v>
      </c>
    </row>
    <row r="5" spans="1:32">
      <c r="A5" t="s">
        <v>345</v>
      </c>
      <c r="B5" t="s">
        <v>379</v>
      </c>
      <c r="C5" t="s">
        <v>212</v>
      </c>
      <c r="D5">
        <v>3</v>
      </c>
      <c r="E5" t="s">
        <v>213</v>
      </c>
      <c r="F5" t="s">
        <v>214</v>
      </c>
      <c r="G5" t="s">
        <v>338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-7.0381231672000002</v>
      </c>
      <c r="R5">
        <v>-48</v>
      </c>
      <c r="S5">
        <v>88.908385764599998</v>
      </c>
      <c r="T5">
        <v>113.3664252066</v>
      </c>
      <c r="U5">
        <v>3.4982996079999999</v>
      </c>
      <c r="V5">
        <v>2.8303550000000001E-3</v>
      </c>
      <c r="W5">
        <v>-6.6608199999999997E-5</v>
      </c>
      <c r="X5">
        <v>3.2838257676999998</v>
      </c>
      <c r="Y5">
        <v>88.785374121700002</v>
      </c>
      <c r="Z5">
        <v>69.605208742299993</v>
      </c>
      <c r="AA5">
        <v>333.66818914639998</v>
      </c>
      <c r="AB5">
        <v>355.53144668060003</v>
      </c>
      <c r="AC5">
        <v>1</v>
      </c>
      <c r="AF5">
        <v>1</v>
      </c>
    </row>
    <row r="6" spans="1:32">
      <c r="A6" t="s">
        <v>347</v>
      </c>
      <c r="B6" t="s">
        <v>380</v>
      </c>
      <c r="C6" t="s">
        <v>212</v>
      </c>
      <c r="D6">
        <v>3</v>
      </c>
      <c r="E6" t="s">
        <v>213</v>
      </c>
      <c r="F6" t="s">
        <v>214</v>
      </c>
      <c r="G6" t="s">
        <v>338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-5.8651026392999999</v>
      </c>
      <c r="R6">
        <v>-40</v>
      </c>
      <c r="S6">
        <v>92.410268629800001</v>
      </c>
      <c r="T6">
        <v>112.87908362</v>
      </c>
      <c r="U6">
        <v>3.5121718237000001</v>
      </c>
      <c r="V6">
        <v>3.3812617999999998E-3</v>
      </c>
      <c r="W6">
        <v>-6.9984299999999993E-5</v>
      </c>
      <c r="X6">
        <v>3.3456301024999999</v>
      </c>
      <c r="Y6">
        <v>92.086256405699999</v>
      </c>
      <c r="Z6">
        <v>73.426891638000001</v>
      </c>
      <c r="AA6">
        <v>322.81016359040001</v>
      </c>
      <c r="AB6">
        <v>345.19995839540002</v>
      </c>
      <c r="AC6">
        <v>1</v>
      </c>
      <c r="AF6">
        <v>1</v>
      </c>
    </row>
    <row r="7" spans="1:32">
      <c r="A7" t="s">
        <v>349</v>
      </c>
      <c r="B7" t="s">
        <v>381</v>
      </c>
      <c r="C7" t="s">
        <v>212</v>
      </c>
      <c r="D7">
        <v>3</v>
      </c>
      <c r="E7" t="s">
        <v>213</v>
      </c>
      <c r="F7" t="s">
        <v>214</v>
      </c>
      <c r="G7" t="s">
        <v>338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-11.7302052786</v>
      </c>
      <c r="R7">
        <v>-80</v>
      </c>
      <c r="S7">
        <v>86.490511110100002</v>
      </c>
      <c r="T7">
        <v>126.8145725187</v>
      </c>
      <c r="U7">
        <v>3.4781457726</v>
      </c>
      <c r="V7">
        <v>2.6473105000000001E-3</v>
      </c>
      <c r="W7">
        <v>-6.8794999999999994E-5</v>
      </c>
      <c r="X7">
        <v>3.2882444974</v>
      </c>
      <c r="Y7">
        <v>80.131284855100006</v>
      </c>
      <c r="Z7">
        <v>59.791293549999999</v>
      </c>
      <c r="AA7">
        <v>329.21691118889999</v>
      </c>
      <c r="AB7">
        <v>350.77593096679999</v>
      </c>
      <c r="AC7">
        <v>1</v>
      </c>
      <c r="AF7">
        <v>1</v>
      </c>
    </row>
    <row r="8" spans="1:32">
      <c r="A8" t="s">
        <v>351</v>
      </c>
      <c r="B8" t="s">
        <v>382</v>
      </c>
      <c r="C8" t="s">
        <v>212</v>
      </c>
      <c r="D8">
        <v>3</v>
      </c>
      <c r="E8" t="s">
        <v>213</v>
      </c>
      <c r="F8" t="s">
        <v>214</v>
      </c>
      <c r="G8" t="s">
        <v>338</v>
      </c>
      <c r="H8" t="s">
        <v>216</v>
      </c>
      <c r="J8" t="s">
        <v>265</v>
      </c>
      <c r="K8" t="s">
        <v>266</v>
      </c>
      <c r="L8" t="s">
        <v>267</v>
      </c>
      <c r="M8" t="s">
        <v>268</v>
      </c>
      <c r="N8" t="s">
        <v>269</v>
      </c>
      <c r="O8">
        <v>0</v>
      </c>
      <c r="P8">
        <v>0</v>
      </c>
      <c r="Q8">
        <v>-5.8651026392999999</v>
      </c>
      <c r="R8">
        <v>-40</v>
      </c>
      <c r="S8">
        <v>89.786165442799998</v>
      </c>
      <c r="T8">
        <v>110.2704757619</v>
      </c>
      <c r="U8">
        <v>3.5140948434000001</v>
      </c>
      <c r="V8">
        <v>3.2486870000000001E-3</v>
      </c>
      <c r="W8">
        <v>-7.1688700000000004E-5</v>
      </c>
      <c r="X8">
        <v>3.3293790337</v>
      </c>
      <c r="Y8">
        <v>89.372161065599997</v>
      </c>
      <c r="Z8">
        <v>72.919086668800006</v>
      </c>
      <c r="AA8">
        <v>320.70929407670002</v>
      </c>
      <c r="AB8">
        <v>343.29291552059999</v>
      </c>
      <c r="AC8">
        <v>1</v>
      </c>
      <c r="AF8">
        <v>1</v>
      </c>
    </row>
    <row r="9" spans="1:32">
      <c r="A9" t="s">
        <v>353</v>
      </c>
      <c r="B9" t="s">
        <v>383</v>
      </c>
      <c r="C9" t="s">
        <v>212</v>
      </c>
      <c r="D9">
        <v>3</v>
      </c>
      <c r="E9" t="s">
        <v>213</v>
      </c>
      <c r="F9" t="s">
        <v>214</v>
      </c>
      <c r="G9" t="s">
        <v>338</v>
      </c>
      <c r="H9" t="s">
        <v>216</v>
      </c>
      <c r="J9" t="s">
        <v>272</v>
      </c>
      <c r="K9" t="s">
        <v>273</v>
      </c>
      <c r="L9" t="s">
        <v>274</v>
      </c>
      <c r="M9" t="s">
        <v>275</v>
      </c>
      <c r="N9" t="s">
        <v>276</v>
      </c>
      <c r="O9">
        <v>0</v>
      </c>
      <c r="P9">
        <v>0</v>
      </c>
      <c r="Q9">
        <v>-8.2111436950000005</v>
      </c>
      <c r="R9">
        <v>-56</v>
      </c>
      <c r="S9">
        <v>80.988628566900005</v>
      </c>
      <c r="T9">
        <v>110.0869434936</v>
      </c>
      <c r="U9">
        <v>3.5717567563000001</v>
      </c>
      <c r="V9">
        <v>2.8189916000000001E-3</v>
      </c>
      <c r="W9">
        <v>-7.1942100000000004E-5</v>
      </c>
      <c r="X9">
        <v>3.3697616019000001</v>
      </c>
      <c r="Y9">
        <v>80.543970072199997</v>
      </c>
      <c r="Z9">
        <v>59.220852734499999</v>
      </c>
      <c r="AA9">
        <v>325.64779875400001</v>
      </c>
      <c r="AB9">
        <v>347.58343798269999</v>
      </c>
      <c r="AC9">
        <v>1</v>
      </c>
      <c r="AF9">
        <v>1</v>
      </c>
    </row>
    <row r="10" spans="1:32">
      <c r="A10" t="s">
        <v>355</v>
      </c>
      <c r="B10" t="s">
        <v>384</v>
      </c>
      <c r="C10" t="s">
        <v>212</v>
      </c>
      <c r="D10">
        <v>3</v>
      </c>
      <c r="E10" t="s">
        <v>213</v>
      </c>
      <c r="F10" t="s">
        <v>214</v>
      </c>
      <c r="G10" t="s">
        <v>338</v>
      </c>
      <c r="H10" t="s">
        <v>216</v>
      </c>
      <c r="J10" t="s">
        <v>279</v>
      </c>
      <c r="K10" t="s">
        <v>280</v>
      </c>
      <c r="L10" t="s">
        <v>281</v>
      </c>
      <c r="M10" t="s">
        <v>282</v>
      </c>
      <c r="N10" t="s">
        <v>283</v>
      </c>
      <c r="O10">
        <v>0</v>
      </c>
      <c r="P10">
        <v>0</v>
      </c>
      <c r="Q10">
        <v>-4.6920821114000004</v>
      </c>
      <c r="R10">
        <v>-32</v>
      </c>
      <c r="S10">
        <v>98.769004530700002</v>
      </c>
      <c r="T10">
        <v>115.2384813555</v>
      </c>
      <c r="U10">
        <v>3.529360558</v>
      </c>
      <c r="V10">
        <v>3.7725254999999998E-3</v>
      </c>
      <c r="W10">
        <v>-7.2780600000000006E-5</v>
      </c>
      <c r="X10">
        <v>3.3729917349999998</v>
      </c>
      <c r="Y10">
        <v>97.916547648399998</v>
      </c>
      <c r="Z10">
        <v>77.448058658299999</v>
      </c>
      <c r="AA10">
        <v>322.03865356540001</v>
      </c>
      <c r="AB10">
        <v>345.14026979430002</v>
      </c>
      <c r="AC10">
        <v>1</v>
      </c>
      <c r="AF10">
        <v>1</v>
      </c>
    </row>
    <row r="11" spans="1:32">
      <c r="A11" t="s">
        <v>357</v>
      </c>
      <c r="B11" t="s">
        <v>385</v>
      </c>
      <c r="C11" t="s">
        <v>212</v>
      </c>
      <c r="D11">
        <v>3</v>
      </c>
      <c r="E11" t="s">
        <v>213</v>
      </c>
      <c r="F11" t="s">
        <v>214</v>
      </c>
      <c r="G11" t="s">
        <v>338</v>
      </c>
      <c r="H11" t="s">
        <v>216</v>
      </c>
      <c r="J11" t="s">
        <v>286</v>
      </c>
      <c r="K11" t="s">
        <v>287</v>
      </c>
      <c r="L11" t="s">
        <v>288</v>
      </c>
      <c r="M11" t="s">
        <v>289</v>
      </c>
      <c r="N11" t="s">
        <v>290</v>
      </c>
      <c r="O11">
        <v>0</v>
      </c>
      <c r="P11">
        <v>0</v>
      </c>
      <c r="Q11">
        <v>-9.3841642229000009</v>
      </c>
      <c r="R11">
        <v>-64</v>
      </c>
      <c r="S11">
        <v>79.389878358499999</v>
      </c>
      <c r="T11">
        <v>113.1103072427</v>
      </c>
      <c r="U11">
        <v>3.6249536682999999</v>
      </c>
      <c r="V11">
        <v>2.7126303999999999E-3</v>
      </c>
      <c r="W11">
        <v>-7.0003600000000002E-5</v>
      </c>
      <c r="X11">
        <v>3.3811067191999999</v>
      </c>
      <c r="Y11">
        <v>77.6790012803</v>
      </c>
      <c r="Z11">
        <v>63.163036707499998</v>
      </c>
      <c r="AA11">
        <v>351.28041760159999</v>
      </c>
      <c r="AB11">
        <v>373.23052561589998</v>
      </c>
      <c r="AC11">
        <v>1</v>
      </c>
      <c r="AF11">
        <v>1</v>
      </c>
    </row>
    <row r="12" spans="1:32">
      <c r="A12" t="s">
        <v>359</v>
      </c>
      <c r="B12" t="s">
        <v>386</v>
      </c>
      <c r="C12" t="s">
        <v>212</v>
      </c>
      <c r="D12">
        <v>3</v>
      </c>
      <c r="E12" t="s">
        <v>213</v>
      </c>
      <c r="F12" t="s">
        <v>214</v>
      </c>
      <c r="G12" t="s">
        <v>338</v>
      </c>
      <c r="H12" t="s">
        <v>216</v>
      </c>
      <c r="J12" t="s">
        <v>293</v>
      </c>
      <c r="K12" t="s">
        <v>294</v>
      </c>
      <c r="L12" t="s">
        <v>295</v>
      </c>
      <c r="M12" t="s">
        <v>296</v>
      </c>
      <c r="N12" t="s">
        <v>297</v>
      </c>
      <c r="O12">
        <v>0</v>
      </c>
      <c r="P12">
        <v>0</v>
      </c>
      <c r="Q12">
        <v>-9.3841642229000009</v>
      </c>
      <c r="R12">
        <v>-64</v>
      </c>
      <c r="S12">
        <v>80.152978912699993</v>
      </c>
      <c r="T12">
        <v>113.6413830397</v>
      </c>
      <c r="U12">
        <v>3.6006346508</v>
      </c>
      <c r="V12">
        <v>2.7791513000000002E-3</v>
      </c>
      <c r="W12">
        <v>-6.7526699999999998E-5</v>
      </c>
      <c r="X12">
        <v>3.3768526017</v>
      </c>
      <c r="Y12">
        <v>80.136394025599998</v>
      </c>
      <c r="Z12">
        <v>63.032817534700001</v>
      </c>
      <c r="AA12">
        <v>351.96862178560002</v>
      </c>
      <c r="AB12">
        <v>374.33864686449999</v>
      </c>
      <c r="AC12">
        <v>1</v>
      </c>
      <c r="AF12">
        <v>1</v>
      </c>
    </row>
    <row r="13" spans="1:32">
      <c r="A13" t="s">
        <v>361</v>
      </c>
      <c r="B13" t="s">
        <v>387</v>
      </c>
      <c r="C13" t="s">
        <v>212</v>
      </c>
      <c r="D13">
        <v>3</v>
      </c>
      <c r="E13" t="s">
        <v>213</v>
      </c>
      <c r="F13" t="s">
        <v>214</v>
      </c>
      <c r="G13" t="s">
        <v>338</v>
      </c>
      <c r="H13" t="s">
        <v>216</v>
      </c>
      <c r="J13" t="s">
        <v>300</v>
      </c>
      <c r="K13" t="s">
        <v>301</v>
      </c>
      <c r="L13" t="s">
        <v>302</v>
      </c>
      <c r="M13" t="s">
        <v>303</v>
      </c>
      <c r="N13" t="s">
        <v>304</v>
      </c>
      <c r="O13">
        <v>0</v>
      </c>
      <c r="P13">
        <v>0</v>
      </c>
      <c r="Q13">
        <v>-8.2111436950000005</v>
      </c>
      <c r="R13">
        <v>-56</v>
      </c>
      <c r="S13">
        <v>82.245433779699994</v>
      </c>
      <c r="T13">
        <v>111.0701655892</v>
      </c>
      <c r="U13">
        <v>3.5409309693000002</v>
      </c>
      <c r="V13">
        <v>3.1413748E-3</v>
      </c>
      <c r="W13">
        <v>-6.9652000000000003E-5</v>
      </c>
      <c r="X13">
        <v>3.3453052110999999</v>
      </c>
      <c r="Y13">
        <v>82.1406145033</v>
      </c>
      <c r="Z13">
        <v>65.9991030021</v>
      </c>
      <c r="AA13">
        <v>337.29557388569998</v>
      </c>
      <c r="AB13">
        <v>359.41345997550002</v>
      </c>
      <c r="AC13">
        <v>1</v>
      </c>
      <c r="AF13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388</v>
      </c>
      <c r="R1" t="s">
        <v>389</v>
      </c>
      <c r="S1" t="s">
        <v>390</v>
      </c>
      <c r="T1" t="s">
        <v>391</v>
      </c>
      <c r="U1" t="s">
        <v>392</v>
      </c>
      <c r="V1" t="s">
        <v>393</v>
      </c>
      <c r="W1" t="s">
        <v>394</v>
      </c>
      <c r="X1" t="s">
        <v>395</v>
      </c>
      <c r="Y1" t="s">
        <v>396</v>
      </c>
      <c r="Z1" t="s">
        <v>397</v>
      </c>
      <c r="AA1" t="s">
        <v>398</v>
      </c>
      <c r="AB1" t="s">
        <v>399</v>
      </c>
      <c r="AC1" t="s">
        <v>400</v>
      </c>
      <c r="AD1" t="s">
        <v>401</v>
      </c>
      <c r="AE1" t="s">
        <v>402</v>
      </c>
      <c r="AF1" t="s">
        <v>403</v>
      </c>
      <c r="AG1" t="s">
        <v>404</v>
      </c>
      <c r="AH1" t="s">
        <v>405</v>
      </c>
      <c r="AI1" t="s">
        <v>406</v>
      </c>
      <c r="AJ1" t="s">
        <v>407</v>
      </c>
      <c r="AK1" t="s">
        <v>408</v>
      </c>
      <c r="AL1" t="s">
        <v>409</v>
      </c>
      <c r="AM1" t="s">
        <v>410</v>
      </c>
      <c r="AN1" t="s">
        <v>411</v>
      </c>
      <c r="AO1" t="s">
        <v>412</v>
      </c>
      <c r="AP1" t="s">
        <v>413</v>
      </c>
      <c r="AQ1" t="s">
        <v>414</v>
      </c>
      <c r="AR1" t="s">
        <v>415</v>
      </c>
      <c r="AS1" t="s">
        <v>416</v>
      </c>
      <c r="AT1" t="s">
        <v>417</v>
      </c>
      <c r="AU1" t="s">
        <v>418</v>
      </c>
      <c r="AV1" t="s">
        <v>419</v>
      </c>
      <c r="AW1" t="s">
        <v>420</v>
      </c>
      <c r="AX1" t="s">
        <v>421</v>
      </c>
      <c r="AY1" t="s">
        <v>422</v>
      </c>
      <c r="AZ1" t="s">
        <v>423</v>
      </c>
      <c r="BA1" t="s">
        <v>424</v>
      </c>
      <c r="BB1" t="s">
        <v>425</v>
      </c>
      <c r="BC1" t="s">
        <v>426</v>
      </c>
      <c r="BD1" t="s">
        <v>427</v>
      </c>
      <c r="BE1" t="s">
        <v>428</v>
      </c>
      <c r="BF1" t="s">
        <v>429</v>
      </c>
      <c r="BG1" t="s">
        <v>430</v>
      </c>
      <c r="BH1" t="s">
        <v>431</v>
      </c>
      <c r="BI1" t="s">
        <v>432</v>
      </c>
      <c r="BJ1" t="s">
        <v>433</v>
      </c>
      <c r="BK1" t="s">
        <v>434</v>
      </c>
      <c r="BL1" t="s">
        <v>435</v>
      </c>
      <c r="BM1" t="s">
        <v>436</v>
      </c>
      <c r="BN1" t="s">
        <v>437</v>
      </c>
      <c r="BO1" t="s">
        <v>438</v>
      </c>
      <c r="BP1" t="s">
        <v>439</v>
      </c>
      <c r="BQ1" t="s">
        <v>440</v>
      </c>
      <c r="BR1" t="s">
        <v>441</v>
      </c>
      <c r="BS1" t="s">
        <v>442</v>
      </c>
      <c r="BT1" t="s">
        <v>443</v>
      </c>
      <c r="BU1" t="s">
        <v>444</v>
      </c>
      <c r="BV1" t="s">
        <v>445</v>
      </c>
      <c r="BW1" t="s">
        <v>446</v>
      </c>
      <c r="BX1" t="s">
        <v>447</v>
      </c>
      <c r="BY1" t="s">
        <v>448</v>
      </c>
      <c r="BZ1" t="s">
        <v>449</v>
      </c>
      <c r="CA1" t="s">
        <v>450</v>
      </c>
      <c r="CB1" t="s">
        <v>451</v>
      </c>
      <c r="CC1" t="s">
        <v>452</v>
      </c>
      <c r="CD1" t="s">
        <v>453</v>
      </c>
      <c r="CE1" t="s">
        <v>454</v>
      </c>
      <c r="CF1" t="s">
        <v>455</v>
      </c>
      <c r="CG1" t="s">
        <v>456</v>
      </c>
      <c r="CH1" t="s">
        <v>457</v>
      </c>
      <c r="CI1" t="s">
        <v>458</v>
      </c>
      <c r="CJ1" t="s">
        <v>459</v>
      </c>
      <c r="CK1" t="s">
        <v>460</v>
      </c>
      <c r="CL1" t="s">
        <v>461</v>
      </c>
      <c r="CM1" t="s">
        <v>462</v>
      </c>
      <c r="CN1" t="s">
        <v>463</v>
      </c>
      <c r="CO1" t="s">
        <v>464</v>
      </c>
      <c r="CP1" t="s">
        <v>465</v>
      </c>
      <c r="CQ1" t="s">
        <v>466</v>
      </c>
      <c r="CR1" t="s">
        <v>467</v>
      </c>
      <c r="CS1" t="s">
        <v>468</v>
      </c>
      <c r="CT1" t="s">
        <v>469</v>
      </c>
      <c r="CU1" t="s">
        <v>470</v>
      </c>
      <c r="CV1" t="s">
        <v>471</v>
      </c>
      <c r="CW1" t="s">
        <v>472</v>
      </c>
      <c r="CX1" t="s">
        <v>473</v>
      </c>
      <c r="CY1" t="s">
        <v>474</v>
      </c>
      <c r="CZ1" t="s">
        <v>475</v>
      </c>
      <c r="DA1" t="s">
        <v>476</v>
      </c>
      <c r="DB1" t="s">
        <v>477</v>
      </c>
      <c r="DC1" t="s">
        <v>478</v>
      </c>
      <c r="DD1" t="s">
        <v>479</v>
      </c>
      <c r="DE1" t="s">
        <v>480</v>
      </c>
      <c r="DF1" t="s">
        <v>481</v>
      </c>
      <c r="DG1" t="s">
        <v>482</v>
      </c>
      <c r="DH1" t="s">
        <v>483</v>
      </c>
      <c r="DI1" t="s">
        <v>484</v>
      </c>
      <c r="DJ1" t="s">
        <v>485</v>
      </c>
      <c r="DK1" t="s">
        <v>486</v>
      </c>
      <c r="DL1" t="s">
        <v>487</v>
      </c>
      <c r="DM1" t="s">
        <v>488</v>
      </c>
      <c r="DN1" t="s">
        <v>489</v>
      </c>
      <c r="DO1" t="s">
        <v>490</v>
      </c>
      <c r="DP1" t="s">
        <v>491</v>
      </c>
      <c r="DQ1" t="s">
        <v>492</v>
      </c>
      <c r="DR1" t="s">
        <v>493</v>
      </c>
      <c r="DS1" t="s">
        <v>494</v>
      </c>
      <c r="DT1" t="s">
        <v>495</v>
      </c>
      <c r="DU1" t="s">
        <v>496</v>
      </c>
      <c r="DV1" t="s">
        <v>497</v>
      </c>
      <c r="DW1" t="s">
        <v>498</v>
      </c>
      <c r="DX1" t="s">
        <v>499</v>
      </c>
      <c r="DY1" t="s">
        <v>500</v>
      </c>
      <c r="DZ1" t="s">
        <v>501</v>
      </c>
      <c r="EA1" t="s">
        <v>502</v>
      </c>
      <c r="EB1" t="s">
        <v>503</v>
      </c>
      <c r="EC1" t="s">
        <v>504</v>
      </c>
      <c r="ED1" t="s">
        <v>505</v>
      </c>
      <c r="EE1" t="s">
        <v>506</v>
      </c>
      <c r="EF1" t="s">
        <v>507</v>
      </c>
      <c r="EG1" t="s">
        <v>508</v>
      </c>
      <c r="EH1" t="s">
        <v>509</v>
      </c>
      <c r="EI1" t="s">
        <v>510</v>
      </c>
      <c r="EJ1" t="s">
        <v>511</v>
      </c>
      <c r="EK1" t="s">
        <v>512</v>
      </c>
      <c r="EL1" t="s">
        <v>513</v>
      </c>
      <c r="EM1" t="s">
        <v>514</v>
      </c>
      <c r="EN1" t="s">
        <v>515</v>
      </c>
      <c r="EO1" t="s">
        <v>516</v>
      </c>
      <c r="EP1" t="s">
        <v>517</v>
      </c>
      <c r="EQ1" t="s">
        <v>518</v>
      </c>
      <c r="ER1" t="s">
        <v>519</v>
      </c>
      <c r="ES1" t="s">
        <v>520</v>
      </c>
      <c r="ET1" t="s">
        <v>521</v>
      </c>
      <c r="EU1" t="s">
        <v>522</v>
      </c>
      <c r="EV1" t="s">
        <v>523</v>
      </c>
      <c r="EW1" t="s">
        <v>524</v>
      </c>
      <c r="EX1" t="s">
        <v>525</v>
      </c>
      <c r="EY1" t="s">
        <v>526</v>
      </c>
      <c r="EZ1" t="s">
        <v>527</v>
      </c>
      <c r="FA1" t="s">
        <v>528</v>
      </c>
      <c r="FB1" t="s">
        <v>529</v>
      </c>
      <c r="FC1" t="s">
        <v>530</v>
      </c>
      <c r="FD1" t="s">
        <v>531</v>
      </c>
      <c r="FE1" t="s">
        <v>532</v>
      </c>
      <c r="FF1" t="s">
        <v>533</v>
      </c>
      <c r="FG1" t="s">
        <v>534</v>
      </c>
      <c r="FH1" t="s">
        <v>535</v>
      </c>
      <c r="FI1" t="s">
        <v>536</v>
      </c>
      <c r="FJ1" t="s">
        <v>537</v>
      </c>
      <c r="FK1" t="s">
        <v>538</v>
      </c>
      <c r="FL1" t="s">
        <v>539</v>
      </c>
      <c r="FM1" t="s">
        <v>540</v>
      </c>
      <c r="FN1" t="s">
        <v>541</v>
      </c>
      <c r="FO1" t="s">
        <v>542</v>
      </c>
      <c r="FP1" t="s">
        <v>543</v>
      </c>
      <c r="FQ1" t="s">
        <v>544</v>
      </c>
      <c r="FR1" t="s">
        <v>545</v>
      </c>
      <c r="FS1" t="s">
        <v>546</v>
      </c>
      <c r="FT1" t="s">
        <v>547</v>
      </c>
      <c r="FU1" t="s">
        <v>548</v>
      </c>
      <c r="FV1" t="s">
        <v>549</v>
      </c>
      <c r="FW1" t="s">
        <v>550</v>
      </c>
      <c r="FX1" t="s">
        <v>551</v>
      </c>
      <c r="FY1" t="s">
        <v>552</v>
      </c>
      <c r="FZ1" t="s">
        <v>553</v>
      </c>
      <c r="GA1" t="s">
        <v>554</v>
      </c>
      <c r="GB1" t="s">
        <v>555</v>
      </c>
      <c r="GC1" t="s">
        <v>556</v>
      </c>
      <c r="GD1" t="s">
        <v>557</v>
      </c>
      <c r="GE1" t="s">
        <v>558</v>
      </c>
      <c r="GF1" t="s">
        <v>559</v>
      </c>
      <c r="GG1" t="s">
        <v>560</v>
      </c>
      <c r="GH1" t="s">
        <v>561</v>
      </c>
      <c r="GI1" t="s">
        <v>562</v>
      </c>
      <c r="GJ1" t="s">
        <v>563</v>
      </c>
      <c r="GK1" t="s">
        <v>564</v>
      </c>
      <c r="GL1" t="s">
        <v>565</v>
      </c>
      <c r="GM1" t="s">
        <v>566</v>
      </c>
      <c r="GN1" t="s">
        <v>567</v>
      </c>
      <c r="GO1" t="s">
        <v>568</v>
      </c>
      <c r="GP1" t="s">
        <v>569</v>
      </c>
      <c r="GQ1" t="s">
        <v>570</v>
      </c>
      <c r="GR1" t="s">
        <v>571</v>
      </c>
      <c r="GS1" t="s">
        <v>572</v>
      </c>
      <c r="GT1" t="s">
        <v>573</v>
      </c>
      <c r="GU1" t="s">
        <v>574</v>
      </c>
      <c r="GV1" t="s">
        <v>575</v>
      </c>
      <c r="GW1" t="s">
        <v>576</v>
      </c>
      <c r="GX1" t="s">
        <v>577</v>
      </c>
      <c r="GY1" t="s">
        <v>578</v>
      </c>
      <c r="GZ1" t="s">
        <v>579</v>
      </c>
      <c r="HA1" t="s">
        <v>580</v>
      </c>
      <c r="HB1" t="s">
        <v>581</v>
      </c>
      <c r="HC1" t="s">
        <v>582</v>
      </c>
      <c r="HD1" t="s">
        <v>583</v>
      </c>
      <c r="HE1" t="s">
        <v>584</v>
      </c>
      <c r="HF1" t="s">
        <v>585</v>
      </c>
      <c r="HG1" t="s">
        <v>586</v>
      </c>
      <c r="HH1" t="s">
        <v>587</v>
      </c>
      <c r="HI1" t="s">
        <v>588</v>
      </c>
      <c r="HJ1" t="s">
        <v>589</v>
      </c>
      <c r="HK1" t="s">
        <v>590</v>
      </c>
      <c r="HL1" t="s">
        <v>591</v>
      </c>
      <c r="HM1" t="s">
        <v>592</v>
      </c>
      <c r="HN1" t="s">
        <v>593</v>
      </c>
      <c r="HO1" t="s">
        <v>594</v>
      </c>
      <c r="HP1" t="s">
        <v>595</v>
      </c>
      <c r="HQ1" t="s">
        <v>596</v>
      </c>
      <c r="HR1" t="s">
        <v>597</v>
      </c>
      <c r="HS1" t="s">
        <v>598</v>
      </c>
      <c r="HT1" t="s">
        <v>599</v>
      </c>
      <c r="HU1" t="s">
        <v>600</v>
      </c>
      <c r="HV1" t="s">
        <v>601</v>
      </c>
      <c r="HW1" t="s">
        <v>602</v>
      </c>
      <c r="HX1" t="s">
        <v>603</v>
      </c>
      <c r="HY1" t="s">
        <v>604</v>
      </c>
      <c r="HZ1" t="s">
        <v>605</v>
      </c>
      <c r="IA1" t="s">
        <v>606</v>
      </c>
      <c r="IB1" t="s">
        <v>607</v>
      </c>
      <c r="IC1" t="s">
        <v>608</v>
      </c>
      <c r="ID1" t="s">
        <v>609</v>
      </c>
      <c r="IE1" t="s">
        <v>610</v>
      </c>
      <c r="IF1" t="s">
        <v>611</v>
      </c>
      <c r="IG1" t="s">
        <v>612</v>
      </c>
      <c r="IH1" t="s">
        <v>613</v>
      </c>
      <c r="II1" t="s">
        <v>614</v>
      </c>
      <c r="IJ1" t="s">
        <v>615</v>
      </c>
      <c r="IK1" t="s">
        <v>616</v>
      </c>
      <c r="IL1" t="s">
        <v>617</v>
      </c>
      <c r="IM1" t="s">
        <v>618</v>
      </c>
      <c r="IN1" t="s">
        <v>619</v>
      </c>
      <c r="IO1" t="s">
        <v>620</v>
      </c>
      <c r="IP1" t="s">
        <v>621</v>
      </c>
      <c r="IQ1" t="s">
        <v>622</v>
      </c>
      <c r="IR1" t="s">
        <v>623</v>
      </c>
      <c r="IS1" t="s">
        <v>624</v>
      </c>
      <c r="IT1" t="s">
        <v>625</v>
      </c>
      <c r="IU1" t="s">
        <v>626</v>
      </c>
      <c r="IV1" t="s">
        <v>627</v>
      </c>
      <c r="IW1" t="s">
        <v>628</v>
      </c>
      <c r="IX1" t="s">
        <v>629</v>
      </c>
      <c r="IY1" t="s">
        <v>630</v>
      </c>
      <c r="IZ1" t="s">
        <v>631</v>
      </c>
      <c r="JA1" t="s">
        <v>632</v>
      </c>
      <c r="JB1" t="s">
        <v>633</v>
      </c>
      <c r="JC1" t="s">
        <v>634</v>
      </c>
      <c r="JD1" t="s">
        <v>635</v>
      </c>
      <c r="JE1" t="s">
        <v>636</v>
      </c>
      <c r="JF1" t="s">
        <v>637</v>
      </c>
      <c r="JG1" t="s">
        <v>638</v>
      </c>
      <c r="JH1" t="s">
        <v>639</v>
      </c>
      <c r="JI1" t="s">
        <v>640</v>
      </c>
      <c r="JJ1" t="s">
        <v>641</v>
      </c>
      <c r="JK1" t="s">
        <v>370</v>
      </c>
      <c r="JL1" t="s">
        <v>642</v>
      </c>
      <c r="JM1" t="s">
        <v>643</v>
      </c>
      <c r="JN1" t="s">
        <v>644</v>
      </c>
      <c r="JO1" t="s">
        <v>207</v>
      </c>
      <c r="JP1" t="s">
        <v>208</v>
      </c>
      <c r="JQ1" t="s">
        <v>209</v>
      </c>
    </row>
    <row r="2" spans="1:277">
      <c r="A2" t="s">
        <v>645</v>
      </c>
      <c r="B2" t="s">
        <v>646</v>
      </c>
      <c r="C2" t="s">
        <v>212</v>
      </c>
      <c r="D2">
        <v>3</v>
      </c>
      <c r="E2" t="s">
        <v>213</v>
      </c>
      <c r="F2" t="s">
        <v>214</v>
      </c>
      <c r="G2" t="s">
        <v>647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3.8000000003999999</v>
      </c>
      <c r="R2">
        <v>1.2999999999</v>
      </c>
      <c r="S2">
        <v>1.2000000006</v>
      </c>
      <c r="T2">
        <v>1.2000000006</v>
      </c>
      <c r="U2">
        <v>1.0000000002</v>
      </c>
      <c r="V2">
        <v>1.0000000002</v>
      </c>
      <c r="W2">
        <v>0.90000000089999999</v>
      </c>
      <c r="X2">
        <v>0.79999999980000003</v>
      </c>
      <c r="Y2">
        <v>0.7000000005</v>
      </c>
      <c r="Z2">
        <v>0.59999999940000004</v>
      </c>
      <c r="AA2">
        <v>0.50000000010000001</v>
      </c>
      <c r="AB2">
        <v>0.50000000010000001</v>
      </c>
      <c r="AC2">
        <v>0.40000000079999998</v>
      </c>
      <c r="AD2">
        <v>0.29999999970000002</v>
      </c>
      <c r="AE2">
        <v>0.20000000039999999</v>
      </c>
      <c r="AF2">
        <v>0.20000000039999999</v>
      </c>
      <c r="AG2">
        <v>9.9999999300000003E-2</v>
      </c>
      <c r="AH2">
        <v>0</v>
      </c>
      <c r="AI2">
        <v>2.3999999993999999</v>
      </c>
      <c r="AJ2">
        <v>8.7999999996000007</v>
      </c>
      <c r="AK2">
        <v>16.600000000800001</v>
      </c>
      <c r="AL2">
        <v>23.9000000001</v>
      </c>
      <c r="AM2">
        <v>31.000000000899998</v>
      </c>
      <c r="AN2">
        <v>38.300000000200001</v>
      </c>
      <c r="AO2">
        <v>45.4000000009</v>
      </c>
      <c r="AP2">
        <v>52.600000000900003</v>
      </c>
      <c r="AQ2">
        <v>60.199999999900001</v>
      </c>
      <c r="AR2">
        <v>68.199999999699997</v>
      </c>
      <c r="AS2">
        <v>76.000000000900002</v>
      </c>
      <c r="AT2">
        <v>83.699999999200003</v>
      </c>
      <c r="AU2">
        <v>91.3</v>
      </c>
      <c r="AV2">
        <v>99.0999999995</v>
      </c>
      <c r="AW2">
        <v>107.40000000080001</v>
      </c>
      <c r="AX2">
        <v>116.5999999994</v>
      </c>
      <c r="AY2">
        <v>125.5999999994</v>
      </c>
      <c r="AZ2">
        <v>133.7999999996</v>
      </c>
      <c r="BA2">
        <v>141.7999999994</v>
      </c>
      <c r="BB2">
        <v>149.6999999999</v>
      </c>
      <c r="BC2">
        <v>157.80000000090001</v>
      </c>
      <c r="BD2">
        <v>166.1999999997</v>
      </c>
      <c r="BE2">
        <v>174.69999999960001</v>
      </c>
      <c r="BF2">
        <v>183.19999999949999</v>
      </c>
      <c r="BG2">
        <v>191.1</v>
      </c>
      <c r="BH2">
        <v>199.09999999979999</v>
      </c>
      <c r="BI2">
        <v>207.00000000029999</v>
      </c>
      <c r="BJ2">
        <v>215.29999999980001</v>
      </c>
      <c r="BK2">
        <v>223.70000000050001</v>
      </c>
      <c r="BL2">
        <v>231.9000000007</v>
      </c>
      <c r="BM2">
        <v>239.60000000080001</v>
      </c>
      <c r="BN2">
        <v>247.10000000049999</v>
      </c>
      <c r="BO2">
        <v>254.99999999920001</v>
      </c>
      <c r="BP2">
        <v>262.60000000000002</v>
      </c>
      <c r="BQ2">
        <v>270.3000000001</v>
      </c>
      <c r="BR2">
        <v>278.29999999990002</v>
      </c>
      <c r="BS2">
        <v>286.00000000009999</v>
      </c>
      <c r="BT2">
        <v>293.29999999939997</v>
      </c>
      <c r="BU2">
        <v>300.30000000080003</v>
      </c>
      <c r="BV2">
        <v>307.39999999970001</v>
      </c>
      <c r="BW2">
        <v>314.50000000040001</v>
      </c>
      <c r="BX2">
        <v>321.7000000004</v>
      </c>
      <c r="BY2">
        <v>329.10000000079998</v>
      </c>
      <c r="BZ2">
        <v>335.99999999929997</v>
      </c>
      <c r="CA2">
        <v>342.19999999909999</v>
      </c>
      <c r="CB2">
        <v>348.90000000089998</v>
      </c>
      <c r="CC2">
        <v>355.90000000049997</v>
      </c>
      <c r="CD2">
        <v>362.30000000069998</v>
      </c>
      <c r="CE2">
        <v>368.70000000089999</v>
      </c>
      <c r="CF2">
        <v>375.29999999969999</v>
      </c>
      <c r="CG2">
        <v>381.9000000003</v>
      </c>
      <c r="CH2">
        <v>387.80000000040002</v>
      </c>
      <c r="CI2">
        <v>393.40000000079999</v>
      </c>
      <c r="CJ2">
        <v>399.40000000020001</v>
      </c>
      <c r="CK2">
        <v>405.80000000050001</v>
      </c>
      <c r="CL2">
        <v>411.79999999990002</v>
      </c>
      <c r="CM2">
        <v>417.49999999959999</v>
      </c>
      <c r="CN2">
        <v>423.39999999970001</v>
      </c>
      <c r="CO2">
        <v>429.50000000019998</v>
      </c>
      <c r="CP2">
        <v>435.1999999999</v>
      </c>
      <c r="CQ2">
        <v>440.30000000019999</v>
      </c>
      <c r="CR2">
        <v>445.60000000090002</v>
      </c>
      <c r="CS2">
        <v>450.1</v>
      </c>
      <c r="CT2">
        <v>454.79999999950002</v>
      </c>
      <c r="CU2">
        <v>458.39999999949998</v>
      </c>
      <c r="CV2">
        <v>459.39999999970001</v>
      </c>
      <c r="CW2">
        <v>459.39999999970001</v>
      </c>
      <c r="CX2">
        <v>459.39999999970001</v>
      </c>
      <c r="CY2">
        <v>459.50000000080001</v>
      </c>
      <c r="CZ2">
        <v>459.50000000080001</v>
      </c>
      <c r="DA2">
        <v>459.60000000010001</v>
      </c>
      <c r="DB2">
        <v>459.60000000010001</v>
      </c>
      <c r="DC2">
        <v>459.69999999940001</v>
      </c>
      <c r="DD2">
        <v>459.69999999940001</v>
      </c>
      <c r="DE2">
        <v>459.60000000010001</v>
      </c>
      <c r="DF2">
        <v>459.69999999940001</v>
      </c>
      <c r="DG2">
        <v>3.6999999993000001</v>
      </c>
      <c r="DH2">
        <v>1.3999999992000001</v>
      </c>
      <c r="DI2">
        <v>1.3999999992000001</v>
      </c>
      <c r="DJ2">
        <v>1.2000000006</v>
      </c>
      <c r="DK2">
        <v>1.2000000006</v>
      </c>
      <c r="DL2">
        <v>1.0000000002</v>
      </c>
      <c r="DM2">
        <v>0.90000000089999999</v>
      </c>
      <c r="DN2">
        <v>0.79999999980000003</v>
      </c>
      <c r="DO2">
        <v>0.7000000005</v>
      </c>
      <c r="DP2">
        <v>0.59999999940000004</v>
      </c>
      <c r="DQ2">
        <v>0.59999999940000004</v>
      </c>
      <c r="DR2">
        <v>0.50000000010000001</v>
      </c>
      <c r="DS2">
        <v>0.40000000079999998</v>
      </c>
      <c r="DT2">
        <v>0.40000000079999998</v>
      </c>
      <c r="DU2">
        <v>0.29999999970000002</v>
      </c>
      <c r="DV2">
        <v>0.20000000039999999</v>
      </c>
      <c r="DW2">
        <v>1.2000000006</v>
      </c>
      <c r="DX2">
        <v>5.9999999994</v>
      </c>
      <c r="DY2">
        <v>13.300000000500001</v>
      </c>
      <c r="DZ2">
        <v>20.800000000200001</v>
      </c>
      <c r="EA2">
        <v>28.0000000002</v>
      </c>
      <c r="EB2">
        <v>34.700000000199999</v>
      </c>
      <c r="EC2">
        <v>41.999999999499998</v>
      </c>
      <c r="ED2">
        <v>49.6000000003</v>
      </c>
      <c r="EE2">
        <v>57.199999999299997</v>
      </c>
      <c r="EF2">
        <v>65.099999999800005</v>
      </c>
      <c r="EG2">
        <v>73.200000000700001</v>
      </c>
      <c r="EH2">
        <v>81.200000000499998</v>
      </c>
      <c r="EI2">
        <v>88.999999999899998</v>
      </c>
      <c r="EJ2">
        <v>96.600000000799994</v>
      </c>
      <c r="EK2">
        <v>104.49999999950001</v>
      </c>
      <c r="EL2">
        <v>113.1999999998</v>
      </c>
      <c r="EM2">
        <v>122.6999999999</v>
      </c>
      <c r="EN2">
        <v>131.40000000020001</v>
      </c>
      <c r="EO2">
        <v>139.4999999993</v>
      </c>
      <c r="EP2">
        <v>147.5000000009</v>
      </c>
      <c r="EQ2">
        <v>155.50000000079999</v>
      </c>
      <c r="ER2">
        <v>163.8999999996</v>
      </c>
      <c r="ES2">
        <v>172.8000000003</v>
      </c>
      <c r="ET2">
        <v>181.30000000019999</v>
      </c>
      <c r="EU2">
        <v>189.50000000040001</v>
      </c>
      <c r="EV2">
        <v>197.5999999995</v>
      </c>
      <c r="EW2">
        <v>205.79999999969999</v>
      </c>
      <c r="EX2">
        <v>213.79999999949999</v>
      </c>
      <c r="EY2">
        <v>222.20000000019999</v>
      </c>
      <c r="EZ2">
        <v>230.9000000005</v>
      </c>
      <c r="FA2">
        <v>238.99999999959999</v>
      </c>
      <c r="FB2">
        <v>246.6999999997</v>
      </c>
      <c r="FC2">
        <v>254.5000000009</v>
      </c>
      <c r="FD2">
        <v>262.30000000029997</v>
      </c>
      <c r="FE2">
        <v>270.0999999997</v>
      </c>
      <c r="FF2">
        <v>278.20000000070002</v>
      </c>
      <c r="FG2">
        <v>285.90000000079999</v>
      </c>
      <c r="FH2">
        <v>293.29999999939997</v>
      </c>
      <c r="FI2">
        <v>300.69999999980001</v>
      </c>
      <c r="FJ2">
        <v>308.0000000009</v>
      </c>
      <c r="FK2">
        <v>315.09999999979999</v>
      </c>
      <c r="FL2">
        <v>322.40000000089998</v>
      </c>
      <c r="FM2">
        <v>329.90000000060002</v>
      </c>
      <c r="FN2">
        <v>336.60000000050002</v>
      </c>
      <c r="FO2">
        <v>342.80000000040002</v>
      </c>
      <c r="FP2">
        <v>349.8</v>
      </c>
      <c r="FQ2">
        <v>356.9000000007</v>
      </c>
      <c r="FR2">
        <v>363.49999999950001</v>
      </c>
      <c r="FS2">
        <v>369.89999999970001</v>
      </c>
      <c r="FT2">
        <v>376.50000000030002</v>
      </c>
      <c r="FU2">
        <v>382.90000000049997</v>
      </c>
      <c r="FV2">
        <v>388.69999999949999</v>
      </c>
      <c r="FW2">
        <v>394.29999999990002</v>
      </c>
      <c r="FX2">
        <v>400.10000000069999</v>
      </c>
      <c r="FY2">
        <v>406.3999999998</v>
      </c>
      <c r="FZ2">
        <v>412.7000000008</v>
      </c>
      <c r="GA2">
        <v>418.29999999939997</v>
      </c>
      <c r="GB2">
        <v>424.0000000009</v>
      </c>
      <c r="GC2">
        <v>429.79999999990002</v>
      </c>
      <c r="GD2">
        <v>434.99999999950001</v>
      </c>
      <c r="GE2">
        <v>440.00000000049999</v>
      </c>
      <c r="GF2">
        <v>444.90000000039998</v>
      </c>
      <c r="GG2">
        <v>449.30000000019999</v>
      </c>
      <c r="GH2">
        <v>453.49999999959999</v>
      </c>
      <c r="GI2">
        <v>457.20000000070002</v>
      </c>
      <c r="GJ2">
        <v>459.1</v>
      </c>
      <c r="GK2">
        <v>459.19999999930002</v>
      </c>
      <c r="GL2">
        <v>459.30000000040002</v>
      </c>
      <c r="GM2">
        <v>459.19999999930002</v>
      </c>
      <c r="GN2">
        <v>459.39999999970001</v>
      </c>
      <c r="GO2">
        <v>459.39999999970001</v>
      </c>
      <c r="GP2">
        <v>459.60000000010001</v>
      </c>
      <c r="GQ2">
        <v>459.60000000010001</v>
      </c>
      <c r="GR2">
        <v>459.69999999940001</v>
      </c>
      <c r="GS2">
        <v>459.69999999940001</v>
      </c>
      <c r="GT2">
        <v>459.69999999940001</v>
      </c>
      <c r="GU2">
        <v>459.69999999940001</v>
      </c>
      <c r="GV2">
        <v>459.69999999940001</v>
      </c>
      <c r="GW2">
        <v>1</v>
      </c>
      <c r="GX2">
        <v>110.999999999</v>
      </c>
      <c r="GY2">
        <v>107.40000000080001</v>
      </c>
      <c r="GZ2">
        <v>107.40000000080001</v>
      </c>
      <c r="HA2">
        <v>122.6999999999</v>
      </c>
      <c r="HB2">
        <v>111.22916032249999</v>
      </c>
      <c r="HC2">
        <v>-15.299999999100001</v>
      </c>
      <c r="HD2">
        <v>459.69999999940001</v>
      </c>
      <c r="HE2">
        <v>305.77515771050003</v>
      </c>
      <c r="HF2">
        <v>94.076147487200004</v>
      </c>
      <c r="HG2">
        <v>459.69999999940001</v>
      </c>
      <c r="HH2">
        <v>459.69999999940001</v>
      </c>
      <c r="HI2">
        <v>459.69999999940001</v>
      </c>
      <c r="HJ2">
        <v>459.69999999940001</v>
      </c>
      <c r="HK2">
        <v>114.9560117302</v>
      </c>
      <c r="HL2">
        <v>3.3768536479</v>
      </c>
      <c r="HM2">
        <v>3.2406726974</v>
      </c>
      <c r="HN2">
        <v>3.3082849056999999</v>
      </c>
      <c r="HO2">
        <v>3.2229703679999999</v>
      </c>
      <c r="HP2">
        <v>3.5727275808000001</v>
      </c>
      <c r="HQ2">
        <v>2.2478474479999999</v>
      </c>
      <c r="HR2">
        <v>17.1530128353</v>
      </c>
      <c r="HS2">
        <v>-28.152492668600001</v>
      </c>
      <c r="HT2">
        <v>-192</v>
      </c>
      <c r="HU2">
        <v>417.004318033</v>
      </c>
      <c r="HV2">
        <v>93.841642228699996</v>
      </c>
      <c r="HW2">
        <v>640</v>
      </c>
      <c r="HX2">
        <v>17.1530128353</v>
      </c>
      <c r="HY2">
        <v>-28.152492668600001</v>
      </c>
      <c r="HZ2">
        <v>-192</v>
      </c>
      <c r="IA2">
        <v>417.004318033</v>
      </c>
      <c r="IB2">
        <v>93.841642228699996</v>
      </c>
      <c r="IC2">
        <v>640</v>
      </c>
      <c r="ID2">
        <v>42.695681966400002</v>
      </c>
      <c r="IE2">
        <v>0.1015553615</v>
      </c>
      <c r="IF2">
        <v>-37.536656891500002</v>
      </c>
      <c r="IG2">
        <v>-256</v>
      </c>
      <c r="IH2">
        <v>439.4301174684</v>
      </c>
      <c r="II2">
        <v>103.22580645159999</v>
      </c>
      <c r="IJ2">
        <v>704</v>
      </c>
      <c r="IK2">
        <v>399.85130519770001</v>
      </c>
      <c r="IL2">
        <v>121.9941348974</v>
      </c>
      <c r="IM2">
        <v>426.2492930176</v>
      </c>
      <c r="IN2">
        <v>131.37829912020001</v>
      </c>
      <c r="IO2">
        <v>7.8000000011999999</v>
      </c>
      <c r="IP2">
        <v>5.7999999989999997</v>
      </c>
      <c r="IQ2">
        <v>9.5000000001</v>
      </c>
      <c r="IR2">
        <v>6.4199039389000001</v>
      </c>
      <c r="IS2">
        <v>6.4199039389000001</v>
      </c>
      <c r="IT2">
        <v>12.0000000006</v>
      </c>
      <c r="IU2">
        <v>-30.4985337243</v>
      </c>
      <c r="IV2">
        <v>15.6000000006</v>
      </c>
      <c r="IW2">
        <v>30.4985337243</v>
      </c>
      <c r="IX2">
        <v>10.5000000003</v>
      </c>
      <c r="IY2">
        <v>103.22580645159999</v>
      </c>
      <c r="IZ2">
        <v>-33.553375043199999</v>
      </c>
      <c r="JA2">
        <v>0.32987919090000001</v>
      </c>
      <c r="JB2">
        <v>-3.4120830000000001E-4</v>
      </c>
      <c r="JC2">
        <v>6.7919999999999999E-7</v>
      </c>
      <c r="JD2">
        <v>0.29613365110000001</v>
      </c>
      <c r="JE2">
        <v>0.28869986489999999</v>
      </c>
      <c r="JF2">
        <v>0.1138397112</v>
      </c>
      <c r="JG2">
        <v>112.31789645560001</v>
      </c>
      <c r="JH2">
        <v>3.5727275808000001</v>
      </c>
      <c r="JI2">
        <v>3.1493044E-3</v>
      </c>
      <c r="JJ2">
        <v>-7.2522399999999995E-5</v>
      </c>
      <c r="JK2">
        <v>3.3768536479</v>
      </c>
      <c r="JL2">
        <v>1.6142492754</v>
      </c>
      <c r="JM2">
        <v>0.6990847993</v>
      </c>
      <c r="JN2" t="s">
        <v>648</v>
      </c>
      <c r="JQ2">
        <v>1</v>
      </c>
    </row>
    <row r="3" spans="1:277">
      <c r="A3" t="s">
        <v>649</v>
      </c>
      <c r="B3" t="s">
        <v>650</v>
      </c>
      <c r="C3" t="s">
        <v>212</v>
      </c>
      <c r="D3">
        <v>3</v>
      </c>
      <c r="E3" t="s">
        <v>213</v>
      </c>
      <c r="F3" t="s">
        <v>214</v>
      </c>
      <c r="G3" t="s">
        <v>647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0</v>
      </c>
      <c r="R3">
        <v>0.20000000039999999</v>
      </c>
      <c r="S3">
        <v>0.3000000015</v>
      </c>
      <c r="T3">
        <v>0.20000000039999999</v>
      </c>
      <c r="U3">
        <v>0.3000000015</v>
      </c>
      <c r="V3">
        <v>0.3000000015</v>
      </c>
      <c r="W3">
        <v>0.3000000015</v>
      </c>
      <c r="X3">
        <v>0.3000000015</v>
      </c>
      <c r="Y3">
        <v>0.40000000079999998</v>
      </c>
      <c r="Z3">
        <v>0.40000000079999998</v>
      </c>
      <c r="AA3">
        <v>0.40000000079999998</v>
      </c>
      <c r="AB3">
        <v>0.50000000010000001</v>
      </c>
      <c r="AC3">
        <v>0.50000000010000001</v>
      </c>
      <c r="AD3">
        <v>0.50000000010000001</v>
      </c>
      <c r="AE3">
        <v>0.60000000119999997</v>
      </c>
      <c r="AF3">
        <v>0.7000000005</v>
      </c>
      <c r="AG3">
        <v>1.9000000011</v>
      </c>
      <c r="AH3">
        <v>4.0000000008000001</v>
      </c>
      <c r="AI3">
        <v>7.3000000010999999</v>
      </c>
      <c r="AJ3">
        <v>13.0000000008</v>
      </c>
      <c r="AK3">
        <v>20.1000000015</v>
      </c>
      <c r="AL3">
        <v>27.300000001600001</v>
      </c>
      <c r="AM3">
        <v>34.4000000005</v>
      </c>
      <c r="AN3">
        <v>41.4000000001</v>
      </c>
      <c r="AO3">
        <v>48.800000000499999</v>
      </c>
      <c r="AP3">
        <v>56.000000000500002</v>
      </c>
      <c r="AQ3">
        <v>63.500000000199996</v>
      </c>
      <c r="AR3">
        <v>71.300000001399994</v>
      </c>
      <c r="AS3">
        <v>79.5000000016</v>
      </c>
      <c r="AT3">
        <v>87.000000001399997</v>
      </c>
      <c r="AU3">
        <v>94.600000000400001</v>
      </c>
      <c r="AV3">
        <v>102.40000000160001</v>
      </c>
      <c r="AW3">
        <v>110.3000000003</v>
      </c>
      <c r="AX3">
        <v>118.4000000012</v>
      </c>
      <c r="AY3">
        <v>126.9000000011</v>
      </c>
      <c r="AZ3">
        <v>135.2000000006</v>
      </c>
      <c r="BA3">
        <v>143</v>
      </c>
      <c r="BB3">
        <v>150.9000000005</v>
      </c>
      <c r="BC3">
        <v>158.90000000040001</v>
      </c>
      <c r="BD3">
        <v>167.00000000130001</v>
      </c>
      <c r="BE3">
        <v>175.2000000015</v>
      </c>
      <c r="BF3">
        <v>183.60000000030001</v>
      </c>
      <c r="BG3">
        <v>191.60000000010001</v>
      </c>
      <c r="BH3">
        <v>199.50000000060001</v>
      </c>
      <c r="BI3">
        <v>207.40000000110001</v>
      </c>
      <c r="BJ3">
        <v>215.3000000017</v>
      </c>
      <c r="BK3">
        <v>223.40000000079999</v>
      </c>
      <c r="BL3">
        <v>231.70000000030001</v>
      </c>
      <c r="BM3">
        <v>239.60000000080001</v>
      </c>
      <c r="BN3">
        <v>247.10000000049999</v>
      </c>
      <c r="BO3">
        <v>254.80000000059999</v>
      </c>
      <c r="BP3">
        <v>262.30000000029997</v>
      </c>
      <c r="BQ3">
        <v>269.90000000110001</v>
      </c>
      <c r="BR3">
        <v>277.60000000129997</v>
      </c>
      <c r="BS3">
        <v>285.4000000007</v>
      </c>
      <c r="BT3">
        <v>292.60000000069999</v>
      </c>
      <c r="BU3">
        <v>299.70000000139999</v>
      </c>
      <c r="BV3">
        <v>306.80000000029997</v>
      </c>
      <c r="BW3">
        <v>314.00000000030002</v>
      </c>
      <c r="BX3">
        <v>321.10000000100001</v>
      </c>
      <c r="BY3">
        <v>328.10000000060001</v>
      </c>
      <c r="BZ3">
        <v>335.20000000139999</v>
      </c>
      <c r="CA3">
        <v>342.00000000059998</v>
      </c>
      <c r="CB3">
        <v>348.50000000009999</v>
      </c>
      <c r="CC3">
        <v>354.800000001</v>
      </c>
      <c r="CD3">
        <v>361.10000000010001</v>
      </c>
      <c r="CE3">
        <v>367.50000000030002</v>
      </c>
      <c r="CF3">
        <v>373.80000000119998</v>
      </c>
      <c r="CG3">
        <v>380.20000000139999</v>
      </c>
      <c r="CH3">
        <v>386.50000000049999</v>
      </c>
      <c r="CI3">
        <v>392.50000000170002</v>
      </c>
      <c r="CJ3">
        <v>398.20000000149997</v>
      </c>
      <c r="CK3">
        <v>404.00000000049999</v>
      </c>
      <c r="CL3">
        <v>409.60000000090002</v>
      </c>
      <c r="CM3">
        <v>415.30000000059999</v>
      </c>
      <c r="CN3">
        <v>420.90000000100002</v>
      </c>
      <c r="CO3">
        <v>426.4000000003</v>
      </c>
      <c r="CP3">
        <v>432.1</v>
      </c>
      <c r="CQ3">
        <v>437.7000000004</v>
      </c>
      <c r="CR3">
        <v>443.10000000039997</v>
      </c>
      <c r="CS3">
        <v>447.90000000100002</v>
      </c>
      <c r="CT3">
        <v>452.00000000109998</v>
      </c>
      <c r="CU3">
        <v>453.5000000014</v>
      </c>
      <c r="CV3">
        <v>453.60000000069999</v>
      </c>
      <c r="CW3">
        <v>453.60000000069999</v>
      </c>
      <c r="CX3">
        <v>453.60000000069999</v>
      </c>
      <c r="CY3">
        <v>453.5000000014</v>
      </c>
      <c r="CZ3">
        <v>453.5000000014</v>
      </c>
      <c r="DA3">
        <v>453.5000000014</v>
      </c>
      <c r="DB3">
        <v>453.5000000014</v>
      </c>
      <c r="DC3">
        <v>453.5000000014</v>
      </c>
      <c r="DD3">
        <v>453.5000000014</v>
      </c>
      <c r="DE3">
        <v>453.5000000014</v>
      </c>
      <c r="DF3">
        <v>453.5000000014</v>
      </c>
      <c r="DG3">
        <v>0.80000000159999995</v>
      </c>
      <c r="DH3">
        <v>1.2000000006</v>
      </c>
      <c r="DI3">
        <v>1.3000000017</v>
      </c>
      <c r="DJ3">
        <v>1.3000000017</v>
      </c>
      <c r="DK3">
        <v>1.400000001</v>
      </c>
      <c r="DL3">
        <v>1.400000001</v>
      </c>
      <c r="DM3">
        <v>1.400000001</v>
      </c>
      <c r="DN3">
        <v>1.5000000003</v>
      </c>
      <c r="DO3">
        <v>1.5000000003</v>
      </c>
      <c r="DP3">
        <v>1.400000001</v>
      </c>
      <c r="DQ3">
        <v>1.6000000014</v>
      </c>
      <c r="DR3">
        <v>1.6000000014</v>
      </c>
      <c r="DS3">
        <v>1.6000000014</v>
      </c>
      <c r="DT3">
        <v>1.7000000007</v>
      </c>
      <c r="DU3">
        <v>1.8</v>
      </c>
      <c r="DV3">
        <v>3.4000000014</v>
      </c>
      <c r="DW3">
        <v>6.2000000016000003</v>
      </c>
      <c r="DX3">
        <v>10.700000000699999</v>
      </c>
      <c r="DY3">
        <v>17.600000001000002</v>
      </c>
      <c r="DZ3">
        <v>25.2</v>
      </c>
      <c r="EA3">
        <v>32.5000000012</v>
      </c>
      <c r="EB3">
        <v>39.300000000399997</v>
      </c>
      <c r="EC3">
        <v>46.6000000015</v>
      </c>
      <c r="ED3">
        <v>54.000000000100002</v>
      </c>
      <c r="EE3">
        <v>61.4000000005</v>
      </c>
      <c r="EF3">
        <v>68.800000000899999</v>
      </c>
      <c r="EG3">
        <v>76.800000000699995</v>
      </c>
      <c r="EH3">
        <v>84.700000001199996</v>
      </c>
      <c r="EI3">
        <v>92.200000001000006</v>
      </c>
      <c r="EJ3">
        <v>99.900000001099997</v>
      </c>
      <c r="EK3">
        <v>107.7000000005</v>
      </c>
      <c r="EL3">
        <v>115.80000000139999</v>
      </c>
      <c r="EM3">
        <v>124.0000000016</v>
      </c>
      <c r="EN3">
        <v>132.50000000150001</v>
      </c>
      <c r="EO3">
        <v>140.7000000017</v>
      </c>
      <c r="EP3">
        <v>148.6000000004</v>
      </c>
      <c r="EQ3">
        <v>156.50000000099999</v>
      </c>
      <c r="ER3">
        <v>164.60000000010001</v>
      </c>
      <c r="ES3">
        <v>172.70000000100001</v>
      </c>
      <c r="ET3">
        <v>181.20000000089999</v>
      </c>
      <c r="EU3">
        <v>189.40000000110001</v>
      </c>
      <c r="EV3">
        <v>197.20000000050001</v>
      </c>
      <c r="EW3">
        <v>205.20000000030001</v>
      </c>
      <c r="EX3">
        <v>213.10000000080001</v>
      </c>
      <c r="EY3">
        <v>221.10000000069999</v>
      </c>
      <c r="EZ3">
        <v>229.30000000090001</v>
      </c>
      <c r="FA3">
        <v>237.50000000110001</v>
      </c>
      <c r="FB3">
        <v>245.20000000120001</v>
      </c>
      <c r="FC3">
        <v>252.80000000019999</v>
      </c>
      <c r="FD3">
        <v>260.50000000030002</v>
      </c>
      <c r="FE3">
        <v>268.1000000011</v>
      </c>
      <c r="FF3">
        <v>275.70000000009998</v>
      </c>
      <c r="FG3">
        <v>283.60000000069999</v>
      </c>
      <c r="FH3">
        <v>291.10000000039997</v>
      </c>
      <c r="FI3">
        <v>298.20000000110002</v>
      </c>
      <c r="FJ3">
        <v>305.3</v>
      </c>
      <c r="FK3">
        <v>312.30000000140001</v>
      </c>
      <c r="FL3">
        <v>319.4000000003</v>
      </c>
      <c r="FM3">
        <v>326.40000000169999</v>
      </c>
      <c r="FN3">
        <v>333.60000000180003</v>
      </c>
      <c r="FO3">
        <v>340.50000000019998</v>
      </c>
      <c r="FP3">
        <v>347.00000000159997</v>
      </c>
      <c r="FQ3">
        <v>353.50000000109998</v>
      </c>
      <c r="FR3">
        <v>359.80000000019999</v>
      </c>
      <c r="FS3">
        <v>366.2000000004</v>
      </c>
      <c r="FT3">
        <v>372.50000000130001</v>
      </c>
      <c r="FU3">
        <v>378.80000000040002</v>
      </c>
      <c r="FV3">
        <v>385.20000000060003</v>
      </c>
      <c r="FW3">
        <v>391.30000000109999</v>
      </c>
      <c r="FX3">
        <v>397.00000000080001</v>
      </c>
      <c r="FY3">
        <v>402.70000000060003</v>
      </c>
      <c r="FZ3">
        <v>408.4000000003</v>
      </c>
      <c r="GA3">
        <v>414.20000000110002</v>
      </c>
      <c r="GB3">
        <v>419.7000000004</v>
      </c>
      <c r="GC3">
        <v>425.20000000149997</v>
      </c>
      <c r="GD3">
        <v>430.60000000150001</v>
      </c>
      <c r="GE3">
        <v>436.20000000009998</v>
      </c>
      <c r="GF3">
        <v>441.50000000080001</v>
      </c>
      <c r="GG3">
        <v>446.5</v>
      </c>
      <c r="GH3">
        <v>450.70000000120001</v>
      </c>
      <c r="GI3">
        <v>452.90000000020001</v>
      </c>
      <c r="GJ3">
        <v>453.300000001</v>
      </c>
      <c r="GK3">
        <v>453.4000000003</v>
      </c>
      <c r="GL3">
        <v>453.4000000003</v>
      </c>
      <c r="GM3">
        <v>453.4000000003</v>
      </c>
      <c r="GN3">
        <v>453.4000000003</v>
      </c>
      <c r="GO3">
        <v>453.4000000003</v>
      </c>
      <c r="GP3">
        <v>453.4000000003</v>
      </c>
      <c r="GQ3">
        <v>453.4000000003</v>
      </c>
      <c r="GR3">
        <v>453.4000000003</v>
      </c>
      <c r="GS3">
        <v>453.5000000014</v>
      </c>
      <c r="GT3">
        <v>453.5000000014</v>
      </c>
      <c r="GU3">
        <v>453.5000000014</v>
      </c>
      <c r="GV3">
        <v>453.5000000014</v>
      </c>
      <c r="GW3">
        <v>1</v>
      </c>
      <c r="GX3">
        <v>116.29999999970001</v>
      </c>
      <c r="GY3">
        <v>110.3000000003</v>
      </c>
      <c r="GZ3">
        <v>110.3000000003</v>
      </c>
      <c r="HA3">
        <v>124.0000000016</v>
      </c>
      <c r="HB3">
        <v>113.83904079449999</v>
      </c>
      <c r="HC3">
        <v>-13.700000001299999</v>
      </c>
      <c r="HD3">
        <v>453.5000000014</v>
      </c>
      <c r="HE3">
        <v>310.63510474169999</v>
      </c>
      <c r="HF3">
        <v>93.019922821600005</v>
      </c>
      <c r="HG3">
        <v>453.60000000069999</v>
      </c>
      <c r="HH3">
        <v>453.5000000014</v>
      </c>
      <c r="HI3">
        <v>453.60000000069999</v>
      </c>
      <c r="HJ3">
        <v>453.5000000014</v>
      </c>
      <c r="HK3">
        <v>112.6099706745</v>
      </c>
      <c r="HL3">
        <v>3.2816476560000001</v>
      </c>
      <c r="HM3">
        <v>3.1956964756000001</v>
      </c>
      <c r="HN3">
        <v>3.2066571898</v>
      </c>
      <c r="HO3">
        <v>3.1893669599000001</v>
      </c>
      <c r="HP3">
        <v>3.4934310197</v>
      </c>
      <c r="HQ3">
        <v>2.1439421895000002</v>
      </c>
      <c r="HR3">
        <v>20.819117972899999</v>
      </c>
      <c r="HS3">
        <v>-28.152492668600001</v>
      </c>
      <c r="HT3">
        <v>-192</v>
      </c>
      <c r="HU3">
        <v>424.47414553620001</v>
      </c>
      <c r="HV3">
        <v>98.533724340199996</v>
      </c>
      <c r="HW3">
        <v>672</v>
      </c>
      <c r="HX3">
        <v>20.819117972899999</v>
      </c>
      <c r="HY3">
        <v>-28.152492668600001</v>
      </c>
      <c r="HZ3">
        <v>-192</v>
      </c>
      <c r="IA3">
        <v>424.47414553620001</v>
      </c>
      <c r="IB3">
        <v>98.533724340199996</v>
      </c>
      <c r="IC3">
        <v>672</v>
      </c>
      <c r="ID3">
        <v>29.0258544653</v>
      </c>
      <c r="IE3">
        <v>1.9384013242</v>
      </c>
      <c r="IF3">
        <v>-37.536656891500002</v>
      </c>
      <c r="IG3">
        <v>-256</v>
      </c>
      <c r="IH3">
        <v>446.2787872106</v>
      </c>
      <c r="II3">
        <v>107.91788856300001</v>
      </c>
      <c r="IJ3">
        <v>736</v>
      </c>
      <c r="IK3">
        <v>403.6550275633</v>
      </c>
      <c r="IL3">
        <v>126.6862170088</v>
      </c>
      <c r="IM3">
        <v>428.13749724259998</v>
      </c>
      <c r="IN3">
        <v>136.0703812317</v>
      </c>
      <c r="IO3">
        <v>7.1000000006999997</v>
      </c>
      <c r="IP3">
        <v>5.6999999997000002</v>
      </c>
      <c r="IQ3">
        <v>8.4999999999</v>
      </c>
      <c r="IR3">
        <v>6.7424675679000003</v>
      </c>
      <c r="IS3">
        <v>6.7424675679000003</v>
      </c>
      <c r="IT3">
        <v>12.199999999199999</v>
      </c>
      <c r="IU3">
        <v>-30.4985337243</v>
      </c>
      <c r="IV3">
        <v>14.199999999599999</v>
      </c>
      <c r="IW3">
        <v>16.422287390000001</v>
      </c>
      <c r="IX3">
        <v>9.7999999998000007</v>
      </c>
      <c r="IY3">
        <v>103.22580645159999</v>
      </c>
      <c r="IZ3">
        <v>-35.023393415699999</v>
      </c>
      <c r="JA3">
        <v>0.33816166380000001</v>
      </c>
      <c r="JB3">
        <v>-3.498714E-4</v>
      </c>
      <c r="JC3">
        <v>6.9250000000000004E-7</v>
      </c>
      <c r="JD3">
        <v>0.30472497500000001</v>
      </c>
      <c r="JE3">
        <v>0.1532817578</v>
      </c>
      <c r="JF3">
        <v>6.0808689300000003E-2</v>
      </c>
      <c r="JG3">
        <v>114.6034236987</v>
      </c>
      <c r="JH3">
        <v>3.4934310197</v>
      </c>
      <c r="JI3">
        <v>2.6784917000000001E-3</v>
      </c>
      <c r="JJ3">
        <v>-6.4454000000000003E-5</v>
      </c>
      <c r="JK3">
        <v>3.2816476560000001</v>
      </c>
      <c r="JL3">
        <v>1.304941328</v>
      </c>
      <c r="JM3">
        <v>0.51508956260000005</v>
      </c>
      <c r="JN3" t="s">
        <v>648</v>
      </c>
      <c r="JQ3">
        <v>1</v>
      </c>
    </row>
    <row r="4" spans="1:277">
      <c r="A4" t="s">
        <v>651</v>
      </c>
      <c r="B4" t="s">
        <v>652</v>
      </c>
      <c r="C4" t="s">
        <v>212</v>
      </c>
      <c r="D4">
        <v>3</v>
      </c>
      <c r="E4" t="s">
        <v>213</v>
      </c>
      <c r="F4" t="s">
        <v>214</v>
      </c>
      <c r="G4" t="s">
        <v>647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0.40000000079999998</v>
      </c>
      <c r="R4">
        <v>0</v>
      </c>
      <c r="S4">
        <v>0</v>
      </c>
      <c r="T4">
        <v>0</v>
      </c>
      <c r="U4">
        <v>0</v>
      </c>
      <c r="V4">
        <v>0</v>
      </c>
      <c r="W4">
        <v>9.9999999300000003E-2</v>
      </c>
      <c r="X4">
        <v>9.9999999300000003E-2</v>
      </c>
      <c r="Y4">
        <v>0</v>
      </c>
      <c r="Z4">
        <v>9.9999999300000003E-2</v>
      </c>
      <c r="AA4">
        <v>9.9999999300000003E-2</v>
      </c>
      <c r="AB4">
        <v>0.20000000039999999</v>
      </c>
      <c r="AC4">
        <v>0.20000000039999999</v>
      </c>
      <c r="AD4">
        <v>0.20000000039999999</v>
      </c>
      <c r="AE4">
        <v>0.20000000039999999</v>
      </c>
      <c r="AF4">
        <v>0.20000000039999999</v>
      </c>
      <c r="AG4">
        <v>0.20000000039999999</v>
      </c>
      <c r="AH4">
        <v>1.0999999995</v>
      </c>
      <c r="AI4">
        <v>3.8000000003999999</v>
      </c>
      <c r="AJ4">
        <v>9</v>
      </c>
      <c r="AK4">
        <v>15.4000000002</v>
      </c>
      <c r="AL4">
        <v>21.8999999997</v>
      </c>
      <c r="AM4">
        <v>29.300000000099999</v>
      </c>
      <c r="AN4">
        <v>36.700000000599999</v>
      </c>
      <c r="AO4">
        <v>44.5</v>
      </c>
      <c r="AP4">
        <v>52.200000000099998</v>
      </c>
      <c r="AQ4">
        <v>59.800000000899999</v>
      </c>
      <c r="AR4">
        <v>67.199999999499994</v>
      </c>
      <c r="AS4">
        <v>74.599999999900007</v>
      </c>
      <c r="AT4">
        <v>82.599999999700003</v>
      </c>
      <c r="AU4">
        <v>90.799999999899995</v>
      </c>
      <c r="AV4">
        <v>99.299999999899995</v>
      </c>
      <c r="AW4">
        <v>107.5999999994</v>
      </c>
      <c r="AX4">
        <v>116.2000000004</v>
      </c>
      <c r="AY4">
        <v>124.1000000009</v>
      </c>
      <c r="AZ4">
        <v>132.29999999930001</v>
      </c>
      <c r="BA4">
        <v>140.60000000060001</v>
      </c>
      <c r="BB4">
        <v>149.30000000090001</v>
      </c>
      <c r="BC4">
        <v>157.6999999997</v>
      </c>
      <c r="BD4">
        <v>165.80000000070001</v>
      </c>
      <c r="BE4">
        <v>173.60000000010001</v>
      </c>
      <c r="BF4">
        <v>181.70000000100001</v>
      </c>
      <c r="BG4">
        <v>190.09999999979999</v>
      </c>
      <c r="BH4">
        <v>198.5999999997</v>
      </c>
      <c r="BI4">
        <v>206.7000000006</v>
      </c>
      <c r="BJ4">
        <v>214.79999999969999</v>
      </c>
      <c r="BK4">
        <v>222.60000000100001</v>
      </c>
      <c r="BL4">
        <v>230.40000000040001</v>
      </c>
      <c r="BM4">
        <v>238.49999999950001</v>
      </c>
      <c r="BN4">
        <v>246.6000000004</v>
      </c>
      <c r="BO4">
        <v>254.80000000059999</v>
      </c>
      <c r="BP4">
        <v>262.60000000000002</v>
      </c>
      <c r="BQ4">
        <v>270.0999999997</v>
      </c>
      <c r="BR4">
        <v>277.29999999969999</v>
      </c>
      <c r="BS4">
        <v>284.79999999939997</v>
      </c>
      <c r="BT4">
        <v>292.49999999959999</v>
      </c>
      <c r="BU4">
        <v>300.00000000109998</v>
      </c>
      <c r="BV4">
        <v>307.69999999940001</v>
      </c>
      <c r="BW4">
        <v>315.00000000049999</v>
      </c>
      <c r="BX4">
        <v>322.00000000009999</v>
      </c>
      <c r="BY4">
        <v>328.49999999959999</v>
      </c>
      <c r="BZ4">
        <v>335.1000000002</v>
      </c>
      <c r="CA4">
        <v>342.09999999979999</v>
      </c>
      <c r="CB4">
        <v>348.70000000049998</v>
      </c>
      <c r="CC4">
        <v>355.79999999939997</v>
      </c>
      <c r="CD4">
        <v>362.60000000039997</v>
      </c>
      <c r="CE4">
        <v>368.80000000019999</v>
      </c>
      <c r="CF4">
        <v>374.70000000030001</v>
      </c>
      <c r="CG4">
        <v>380.4</v>
      </c>
      <c r="CH4">
        <v>386.50000000049999</v>
      </c>
      <c r="CI4">
        <v>392.70000000030001</v>
      </c>
      <c r="CJ4">
        <v>398.80000000080003</v>
      </c>
      <c r="CK4">
        <v>405.00000000070003</v>
      </c>
      <c r="CL4">
        <v>411.09999999939998</v>
      </c>
      <c r="CM4">
        <v>416.69999999980001</v>
      </c>
      <c r="CN4">
        <v>422.30000000019999</v>
      </c>
      <c r="CO4">
        <v>427.29999999939997</v>
      </c>
      <c r="CP4">
        <v>432.39999999970001</v>
      </c>
      <c r="CQ4">
        <v>437.79999999969999</v>
      </c>
      <c r="CR4">
        <v>443.30000000080003</v>
      </c>
      <c r="CS4">
        <v>448.09999999960002</v>
      </c>
      <c r="CT4">
        <v>451.69999999959998</v>
      </c>
      <c r="CU4">
        <v>455.10000000100001</v>
      </c>
      <c r="CV4">
        <v>457.50000000040001</v>
      </c>
      <c r="CW4">
        <v>457.89999999939999</v>
      </c>
      <c r="CX4">
        <v>457.89999999939999</v>
      </c>
      <c r="CY4">
        <v>457.89999999939999</v>
      </c>
      <c r="CZ4">
        <v>457.89999999939999</v>
      </c>
      <c r="DA4">
        <v>457.89999999939999</v>
      </c>
      <c r="DB4">
        <v>457.89999999939999</v>
      </c>
      <c r="DC4">
        <v>457.89999999939999</v>
      </c>
      <c r="DD4">
        <v>457.89999999939999</v>
      </c>
      <c r="DE4">
        <v>457.89999999939999</v>
      </c>
      <c r="DF4">
        <v>457.89999999939999</v>
      </c>
      <c r="DG4">
        <v>1.2999999999</v>
      </c>
      <c r="DH4">
        <v>1.2999999999</v>
      </c>
      <c r="DI4">
        <v>1.2999999999</v>
      </c>
      <c r="DJ4">
        <v>1.2999999999</v>
      </c>
      <c r="DK4">
        <v>1.2999999999</v>
      </c>
      <c r="DL4">
        <v>1.2999999999</v>
      </c>
      <c r="DM4">
        <v>1.2999999999</v>
      </c>
      <c r="DN4">
        <v>1.2999999999</v>
      </c>
      <c r="DO4">
        <v>1.2000000006</v>
      </c>
      <c r="DP4">
        <v>1.2999999999</v>
      </c>
      <c r="DQ4">
        <v>1.2999999999</v>
      </c>
      <c r="DR4">
        <v>1.2999999999</v>
      </c>
      <c r="DS4">
        <v>1.2999999999</v>
      </c>
      <c r="DT4">
        <v>1.2999999999</v>
      </c>
      <c r="DU4">
        <v>1.2999999999</v>
      </c>
      <c r="DV4">
        <v>1.400000001</v>
      </c>
      <c r="DW4">
        <v>2.7000000008999998</v>
      </c>
      <c r="DX4">
        <v>6.9999999996</v>
      </c>
      <c r="DY4">
        <v>12.8999999997</v>
      </c>
      <c r="DZ4">
        <v>19.700000000700001</v>
      </c>
      <c r="EA4">
        <v>26.900000000799999</v>
      </c>
      <c r="EB4">
        <v>34.4000000005</v>
      </c>
      <c r="EC4">
        <v>42.300000001000001</v>
      </c>
      <c r="ED4">
        <v>50.4000000001</v>
      </c>
      <c r="EE4">
        <v>57.300000000399997</v>
      </c>
      <c r="EF4">
        <v>64.399999999299993</v>
      </c>
      <c r="EG4">
        <v>72.000000000100002</v>
      </c>
      <c r="EH4">
        <v>79.999999999899998</v>
      </c>
      <c r="EI4">
        <v>88.100000000799994</v>
      </c>
      <c r="EJ4">
        <v>96.700000000100005</v>
      </c>
      <c r="EK4">
        <v>104.99999999960001</v>
      </c>
      <c r="EL4">
        <v>112.50000000110001</v>
      </c>
      <c r="EM4">
        <v>120.8999999999</v>
      </c>
      <c r="EN4">
        <v>129.3999999998</v>
      </c>
      <c r="EO4">
        <v>137.80000000039999</v>
      </c>
      <c r="EP4">
        <v>146.6</v>
      </c>
      <c r="EQ4">
        <v>155.30000000039999</v>
      </c>
      <c r="ER4">
        <v>162.89999999939999</v>
      </c>
      <c r="ES4">
        <v>170.900000001</v>
      </c>
      <c r="ET4">
        <v>179.09999999940001</v>
      </c>
      <c r="EU4">
        <v>187.5999999993</v>
      </c>
      <c r="EV4">
        <v>196.4000000007</v>
      </c>
      <c r="EW4">
        <v>205.10000000100001</v>
      </c>
      <c r="EX4">
        <v>212.60000000069999</v>
      </c>
      <c r="EY4">
        <v>220.30000000090001</v>
      </c>
      <c r="EZ4">
        <v>228.30000000070001</v>
      </c>
      <c r="FA4">
        <v>236.6000000002</v>
      </c>
      <c r="FB4">
        <v>244.80000000039999</v>
      </c>
      <c r="FC4">
        <v>253.20000000100001</v>
      </c>
      <c r="FD4">
        <v>261.00000000040001</v>
      </c>
      <c r="FE4">
        <v>268.29999999969999</v>
      </c>
      <c r="FF4">
        <v>275.99999999980002</v>
      </c>
      <c r="FG4">
        <v>283.60000000069999</v>
      </c>
      <c r="FH4">
        <v>291.40000000010002</v>
      </c>
      <c r="FI4">
        <v>299.39999999989999</v>
      </c>
      <c r="FJ4">
        <v>307.19999999930002</v>
      </c>
      <c r="FK4">
        <v>314.00000000030002</v>
      </c>
      <c r="FL4">
        <v>320.79999999950002</v>
      </c>
      <c r="FM4">
        <v>327.69999999980001</v>
      </c>
      <c r="FN4">
        <v>334.80000000050001</v>
      </c>
      <c r="FO4">
        <v>341.8000000001</v>
      </c>
      <c r="FP4">
        <v>349.09999999950003</v>
      </c>
      <c r="FQ4">
        <v>356.29999999950002</v>
      </c>
      <c r="FR4">
        <v>362.60000000039997</v>
      </c>
      <c r="FS4">
        <v>368.39999999939999</v>
      </c>
      <c r="FT4">
        <v>374.60000000100001</v>
      </c>
      <c r="FU4">
        <v>380.80000000080003</v>
      </c>
      <c r="FV4">
        <v>387.00000000059998</v>
      </c>
      <c r="FW4">
        <v>393.2000000004</v>
      </c>
      <c r="FX4">
        <v>399.60000000060001</v>
      </c>
      <c r="FY4">
        <v>406.0000000009</v>
      </c>
      <c r="FZ4">
        <v>411.79999999990002</v>
      </c>
      <c r="GA4">
        <v>417.10000000060001</v>
      </c>
      <c r="GB4">
        <v>422.20000000089999</v>
      </c>
      <c r="GC4">
        <v>427.40000000049997</v>
      </c>
      <c r="GD4">
        <v>432.50000000080001</v>
      </c>
      <c r="GE4">
        <v>437.79999999969999</v>
      </c>
      <c r="GF4">
        <v>442.99999999929997</v>
      </c>
      <c r="GG4">
        <v>447.50000000019998</v>
      </c>
      <c r="GH4">
        <v>451.30000000059999</v>
      </c>
      <c r="GI4">
        <v>454.40000000049997</v>
      </c>
      <c r="GJ4">
        <v>456.59999999950003</v>
      </c>
      <c r="GK4">
        <v>457.5999999997</v>
      </c>
      <c r="GL4">
        <v>457.7000000008</v>
      </c>
      <c r="GM4">
        <v>457.7000000008</v>
      </c>
      <c r="GN4">
        <v>457.7000000008</v>
      </c>
      <c r="GO4">
        <v>457.8000000001</v>
      </c>
      <c r="GP4">
        <v>457.8000000001</v>
      </c>
      <c r="GQ4">
        <v>457.8000000001</v>
      </c>
      <c r="GR4">
        <v>457.7000000008</v>
      </c>
      <c r="GS4">
        <v>457.8000000001</v>
      </c>
      <c r="GT4">
        <v>457.8000000001</v>
      </c>
      <c r="GU4">
        <v>457.89999999939999</v>
      </c>
      <c r="GV4">
        <v>457.8000000001</v>
      </c>
      <c r="GW4">
        <v>1</v>
      </c>
      <c r="GX4">
        <v>112.6999999997</v>
      </c>
      <c r="GY4">
        <v>107.5999999994</v>
      </c>
      <c r="GZ4">
        <v>107.5999999994</v>
      </c>
      <c r="HA4">
        <v>120.8999999999</v>
      </c>
      <c r="HB4">
        <v>110.91846472979999</v>
      </c>
      <c r="HC4">
        <v>-13.300000000500001</v>
      </c>
      <c r="HD4">
        <v>457.80001091949998</v>
      </c>
      <c r="HE4">
        <v>304.94352478820002</v>
      </c>
      <c r="HF4">
        <v>94.987289800499994</v>
      </c>
      <c r="HG4">
        <v>457.89999999939999</v>
      </c>
      <c r="HH4">
        <v>457.89999999939999</v>
      </c>
      <c r="HI4">
        <v>457.89999999939999</v>
      </c>
      <c r="HJ4">
        <v>457.89999999939999</v>
      </c>
      <c r="HK4">
        <v>117.3020527859</v>
      </c>
      <c r="HL4">
        <v>3.3764870931000002</v>
      </c>
      <c r="HM4">
        <v>3.2821213609000002</v>
      </c>
      <c r="HN4">
        <v>3.3243835407</v>
      </c>
      <c r="HO4">
        <v>3.2501201707999998</v>
      </c>
      <c r="HP4">
        <v>3.5736653933999998</v>
      </c>
      <c r="HQ4">
        <v>2.2821548789000001</v>
      </c>
      <c r="HR4">
        <v>15.931174929299999</v>
      </c>
      <c r="HS4">
        <v>-28.152492668600001</v>
      </c>
      <c r="HT4">
        <v>-192</v>
      </c>
      <c r="HU4">
        <v>415.86198951799997</v>
      </c>
      <c r="HV4">
        <v>93.841642228699996</v>
      </c>
      <c r="HW4">
        <v>640</v>
      </c>
      <c r="HX4">
        <v>15.931174929299999</v>
      </c>
      <c r="HY4">
        <v>-28.152492668600001</v>
      </c>
      <c r="HZ4">
        <v>-192</v>
      </c>
      <c r="IA4">
        <v>415.86198951799997</v>
      </c>
      <c r="IB4">
        <v>93.841642228699996</v>
      </c>
      <c r="IC4">
        <v>640</v>
      </c>
      <c r="ID4">
        <v>42.038010481500002</v>
      </c>
      <c r="IE4">
        <v>0.2079165761</v>
      </c>
      <c r="IF4">
        <v>-37.536656891500002</v>
      </c>
      <c r="IG4">
        <v>-256</v>
      </c>
      <c r="IH4">
        <v>437.21870495709999</v>
      </c>
      <c r="II4">
        <v>103.22580645159999</v>
      </c>
      <c r="IJ4">
        <v>704</v>
      </c>
      <c r="IK4">
        <v>399.9308145887</v>
      </c>
      <c r="IL4">
        <v>121.9941348974</v>
      </c>
      <c r="IM4">
        <v>422.59633107669998</v>
      </c>
      <c r="IN4">
        <v>131.37829912020001</v>
      </c>
      <c r="IO4">
        <v>6.8000000009999999</v>
      </c>
      <c r="IP4">
        <v>5.7999999989999997</v>
      </c>
      <c r="IQ4">
        <v>8.8000000014000008</v>
      </c>
      <c r="IR4">
        <v>6.2677642097000001</v>
      </c>
      <c r="IS4">
        <v>6.2677642097000001</v>
      </c>
      <c r="IT4">
        <v>11.5000000005</v>
      </c>
      <c r="IU4">
        <v>-28.152492668600001</v>
      </c>
      <c r="IV4">
        <v>15.0000000012</v>
      </c>
      <c r="IW4">
        <v>23.460410557199999</v>
      </c>
      <c r="IX4">
        <v>11.1000000015</v>
      </c>
      <c r="IY4">
        <v>96.187683284499997</v>
      </c>
      <c r="IZ4">
        <v>-33.078244161900002</v>
      </c>
      <c r="JA4">
        <v>0.32564933709999999</v>
      </c>
      <c r="JB4">
        <v>-3.1813860000000002E-4</v>
      </c>
      <c r="JC4">
        <v>6.4590000000000003E-7</v>
      </c>
      <c r="JD4">
        <v>0.29616579970000001</v>
      </c>
      <c r="JE4">
        <v>0.23997944339999999</v>
      </c>
      <c r="JF4">
        <v>9.4232173200000005E-2</v>
      </c>
      <c r="JG4">
        <v>111.4057036621</v>
      </c>
      <c r="JH4">
        <v>3.5736653933999998</v>
      </c>
      <c r="JI4">
        <v>2.8322300999999999E-3</v>
      </c>
      <c r="JJ4">
        <v>-6.9006700000000005E-5</v>
      </c>
      <c r="JK4">
        <v>3.3764870931000002</v>
      </c>
      <c r="JL4">
        <v>1.3486184394</v>
      </c>
      <c r="JM4">
        <v>0.54848462190000002</v>
      </c>
      <c r="JN4" t="s">
        <v>648</v>
      </c>
      <c r="JQ4">
        <v>1</v>
      </c>
    </row>
    <row r="5" spans="1:277">
      <c r="A5" t="s">
        <v>653</v>
      </c>
      <c r="B5" t="s">
        <v>654</v>
      </c>
      <c r="C5" t="s">
        <v>212</v>
      </c>
      <c r="D5">
        <v>3</v>
      </c>
      <c r="E5" t="s">
        <v>213</v>
      </c>
      <c r="F5" t="s">
        <v>214</v>
      </c>
      <c r="G5" t="s">
        <v>647</v>
      </c>
      <c r="H5" t="s">
        <v>216</v>
      </c>
      <c r="J5" t="s">
        <v>244</v>
      </c>
      <c r="K5" t="s">
        <v>245</v>
      </c>
      <c r="L5" t="s">
        <v>246</v>
      </c>
      <c r="M5" t="s">
        <v>247</v>
      </c>
      <c r="N5" t="s">
        <v>248</v>
      </c>
      <c r="O5">
        <v>0</v>
      </c>
      <c r="P5">
        <v>0</v>
      </c>
      <c r="Q5">
        <v>1.0000000002</v>
      </c>
      <c r="R5">
        <v>0.20000000039999999</v>
      </c>
      <c r="S5">
        <v>0.20000000039999999</v>
      </c>
      <c r="T5">
        <v>0.20000000039999999</v>
      </c>
      <c r="U5">
        <v>0.20000000039999999</v>
      </c>
      <c r="V5">
        <v>0.1000000011</v>
      </c>
      <c r="W5">
        <v>0.20000000039999999</v>
      </c>
      <c r="X5">
        <v>0</v>
      </c>
      <c r="Y5">
        <v>0.1000000011</v>
      </c>
      <c r="Z5">
        <v>0</v>
      </c>
      <c r="AA5">
        <v>0.1000000011</v>
      </c>
      <c r="AB5">
        <v>0.1000000011</v>
      </c>
      <c r="AC5">
        <v>0</v>
      </c>
      <c r="AD5">
        <v>0</v>
      </c>
      <c r="AE5">
        <v>0</v>
      </c>
      <c r="AF5">
        <v>0.1000000011</v>
      </c>
      <c r="AG5">
        <v>0.1000000011</v>
      </c>
      <c r="AH5">
        <v>2.3000000000999998</v>
      </c>
      <c r="AI5">
        <v>6.6000000005999997</v>
      </c>
      <c r="AJ5">
        <v>12.0000000006</v>
      </c>
      <c r="AK5">
        <v>18.600000001200002</v>
      </c>
      <c r="AL5">
        <v>25.9000000005</v>
      </c>
      <c r="AM5">
        <v>33.6000000007</v>
      </c>
      <c r="AN5">
        <v>40.699999999600003</v>
      </c>
      <c r="AO5">
        <v>47.800000000300003</v>
      </c>
      <c r="AP5">
        <v>54.900000001000002</v>
      </c>
      <c r="AQ5">
        <v>62.100000000999998</v>
      </c>
      <c r="AR5">
        <v>69.499999999600007</v>
      </c>
      <c r="AS5">
        <v>77.800000000899999</v>
      </c>
      <c r="AT5">
        <v>86.000000001100005</v>
      </c>
      <c r="AU5">
        <v>93.699999999400006</v>
      </c>
      <c r="AV5">
        <v>101.3000000003</v>
      </c>
      <c r="AW5">
        <v>109.0999999997</v>
      </c>
      <c r="AX5">
        <v>117.2999999999</v>
      </c>
      <c r="AY5">
        <v>125.5000000001</v>
      </c>
      <c r="AZ5">
        <v>134</v>
      </c>
      <c r="BA5">
        <v>142.40000000059999</v>
      </c>
      <c r="BB5">
        <v>150.10000000069999</v>
      </c>
      <c r="BC5">
        <v>157.99999999939999</v>
      </c>
      <c r="BD5">
        <v>165.80000000070001</v>
      </c>
      <c r="BE5">
        <v>173.8999999998</v>
      </c>
      <c r="BF5">
        <v>182.39999999969999</v>
      </c>
      <c r="BG5">
        <v>190.8999999996</v>
      </c>
      <c r="BH5">
        <v>198.9000000012</v>
      </c>
      <c r="BI5">
        <v>206.5999999995</v>
      </c>
      <c r="BJ5">
        <v>214.40000000079999</v>
      </c>
      <c r="BK5">
        <v>222.2999999994</v>
      </c>
      <c r="BL5">
        <v>230.2</v>
      </c>
      <c r="BM5">
        <v>238.49999999950001</v>
      </c>
      <c r="BN5">
        <v>246.4</v>
      </c>
      <c r="BO5">
        <v>254.00000000079999</v>
      </c>
      <c r="BP5">
        <v>261.50000000049999</v>
      </c>
      <c r="BQ5">
        <v>268.70000000049998</v>
      </c>
      <c r="BR5">
        <v>276.10000000100001</v>
      </c>
      <c r="BS5">
        <v>283.90000000039998</v>
      </c>
      <c r="BT5">
        <v>291.80000000090001</v>
      </c>
      <c r="BU5">
        <v>298.8999999998</v>
      </c>
      <c r="BV5">
        <v>305.9000000012</v>
      </c>
      <c r="BW5">
        <v>312.79999999969999</v>
      </c>
      <c r="BX5">
        <v>319.4000000003</v>
      </c>
      <c r="BY5">
        <v>326.1000000002</v>
      </c>
      <c r="BZ5">
        <v>333.09999999979999</v>
      </c>
      <c r="CA5">
        <v>340.10000000129997</v>
      </c>
      <c r="CB5">
        <v>347.10000000090002</v>
      </c>
      <c r="CC5">
        <v>353.50000000109998</v>
      </c>
      <c r="CD5">
        <v>359.70000000089999</v>
      </c>
      <c r="CE5">
        <v>365.9000000007</v>
      </c>
      <c r="CF5">
        <v>371.80000000080003</v>
      </c>
      <c r="CG5">
        <v>377.80000000019999</v>
      </c>
      <c r="CH5">
        <v>383.9000000007</v>
      </c>
      <c r="CI5">
        <v>390.30000000090001</v>
      </c>
      <c r="CJ5">
        <v>396.50000000070003</v>
      </c>
      <c r="CK5">
        <v>402.2000000004</v>
      </c>
      <c r="CL5">
        <v>407.80000000090001</v>
      </c>
      <c r="CM5">
        <v>413.20000000089999</v>
      </c>
      <c r="CN5">
        <v>418.60000000090002</v>
      </c>
      <c r="CO5">
        <v>423.60000000010001</v>
      </c>
      <c r="CP5">
        <v>428.90000000079999</v>
      </c>
      <c r="CQ5">
        <v>434.30000000080003</v>
      </c>
      <c r="CR5">
        <v>440.00000000049999</v>
      </c>
      <c r="CS5">
        <v>445.40000000049997</v>
      </c>
      <c r="CT5">
        <v>450.1</v>
      </c>
      <c r="CU5">
        <v>454.20000000009998</v>
      </c>
      <c r="CV5">
        <v>457.8000000001</v>
      </c>
      <c r="CW5">
        <v>459.50000000080001</v>
      </c>
      <c r="CX5">
        <v>459.60000000010001</v>
      </c>
      <c r="CY5">
        <v>459.60000000010001</v>
      </c>
      <c r="CZ5">
        <v>459.60000000010001</v>
      </c>
      <c r="DA5">
        <v>459.60000000010001</v>
      </c>
      <c r="DB5">
        <v>459.60000000010001</v>
      </c>
      <c r="DC5">
        <v>459.50000000080001</v>
      </c>
      <c r="DD5">
        <v>459.60000000010001</v>
      </c>
      <c r="DE5">
        <v>459.50000000080001</v>
      </c>
      <c r="DF5">
        <v>459.50000000080001</v>
      </c>
      <c r="DG5">
        <v>1.400000001</v>
      </c>
      <c r="DH5">
        <v>1.0999999995</v>
      </c>
      <c r="DI5">
        <v>1.0000000002</v>
      </c>
      <c r="DJ5">
        <v>1.0000000002</v>
      </c>
      <c r="DK5">
        <v>1.0999999995</v>
      </c>
      <c r="DL5">
        <v>1.0999999995</v>
      </c>
      <c r="DM5">
        <v>1.0999999995</v>
      </c>
      <c r="DN5">
        <v>1.0999999995</v>
      </c>
      <c r="DO5">
        <v>1.0999999995</v>
      </c>
      <c r="DP5">
        <v>1.0000000002</v>
      </c>
      <c r="DQ5">
        <v>0.90000000089999999</v>
      </c>
      <c r="DR5">
        <v>0.90000000089999999</v>
      </c>
      <c r="DS5">
        <v>0.90000000089999999</v>
      </c>
      <c r="DT5">
        <v>0.90000000089999999</v>
      </c>
      <c r="DU5">
        <v>0.90000000089999999</v>
      </c>
      <c r="DV5">
        <v>1.5999999996000001</v>
      </c>
      <c r="DW5">
        <v>4.6000000001999997</v>
      </c>
      <c r="DX5">
        <v>9.6000000011999997</v>
      </c>
      <c r="DY5">
        <v>16.400000000399999</v>
      </c>
      <c r="DZ5">
        <v>23.9000000001</v>
      </c>
      <c r="EA5">
        <v>31.500000001</v>
      </c>
      <c r="EB5">
        <v>38.5999999999</v>
      </c>
      <c r="EC5">
        <v>45.700000000599999</v>
      </c>
      <c r="ED5">
        <v>52.799999999500002</v>
      </c>
      <c r="EE5">
        <v>59.800000000899999</v>
      </c>
      <c r="EF5">
        <v>67.199999999499994</v>
      </c>
      <c r="EG5">
        <v>75.300000000400004</v>
      </c>
      <c r="EH5">
        <v>83.599999999900007</v>
      </c>
      <c r="EI5">
        <v>91.3</v>
      </c>
      <c r="EJ5">
        <v>98.900000000899993</v>
      </c>
      <c r="EK5">
        <v>106.4000000006</v>
      </c>
      <c r="EL5">
        <v>114.10000000070001</v>
      </c>
      <c r="EM5">
        <v>122.800000001</v>
      </c>
      <c r="EN5">
        <v>131.60000000060001</v>
      </c>
      <c r="EO5">
        <v>139.8000000008</v>
      </c>
      <c r="EP5">
        <v>147.69999999949999</v>
      </c>
      <c r="EQ5">
        <v>155.50000000079999</v>
      </c>
      <c r="ER5">
        <v>163.30000000019999</v>
      </c>
      <c r="ES5">
        <v>171.40000000110001</v>
      </c>
      <c r="ET5">
        <v>180.00000000029999</v>
      </c>
      <c r="EU5">
        <v>188.5999999995</v>
      </c>
      <c r="EV5">
        <v>196.6000000011</v>
      </c>
      <c r="EW5">
        <v>204.6000000009</v>
      </c>
      <c r="EX5">
        <v>211.99999999950001</v>
      </c>
      <c r="EY5">
        <v>219.8000000008</v>
      </c>
      <c r="EZ5">
        <v>228.30000000070001</v>
      </c>
      <c r="FA5">
        <v>236.80000000059999</v>
      </c>
      <c r="FB5">
        <v>244.70000000109999</v>
      </c>
      <c r="FC5">
        <v>252.4000000012</v>
      </c>
      <c r="FD5">
        <v>259.90000000089998</v>
      </c>
      <c r="FE5">
        <v>267.20000000020002</v>
      </c>
      <c r="FF5">
        <v>274.80000000109999</v>
      </c>
      <c r="FG5">
        <v>282.80000000090001</v>
      </c>
      <c r="FH5">
        <v>290.60000000029999</v>
      </c>
      <c r="FI5">
        <v>298.00000000070003</v>
      </c>
      <c r="FJ5">
        <v>305.09999999960002</v>
      </c>
      <c r="FK5">
        <v>311.99999999990001</v>
      </c>
      <c r="FL5">
        <v>318.50000000120002</v>
      </c>
      <c r="FM5">
        <v>325.60000000010001</v>
      </c>
      <c r="FN5">
        <v>332.8000000001</v>
      </c>
      <c r="FO5">
        <v>339.90000000089998</v>
      </c>
      <c r="FP5">
        <v>346.60000000079998</v>
      </c>
      <c r="FQ5">
        <v>353.10000000029999</v>
      </c>
      <c r="FR5">
        <v>359.59999999979999</v>
      </c>
      <c r="FS5">
        <v>365.49999999990001</v>
      </c>
      <c r="FT5">
        <v>371.60000000039997</v>
      </c>
      <c r="FU5">
        <v>378.00000000059998</v>
      </c>
      <c r="FV5">
        <v>384.60000000119999</v>
      </c>
      <c r="FW5">
        <v>390.9000000003</v>
      </c>
      <c r="FX5">
        <v>396.80000000040002</v>
      </c>
      <c r="FY5">
        <v>402.50000000009999</v>
      </c>
      <c r="FZ5">
        <v>408.10000000060001</v>
      </c>
      <c r="GA5">
        <v>413.30000000019999</v>
      </c>
      <c r="GB5">
        <v>418.20000000009998</v>
      </c>
      <c r="GC5">
        <v>423.50000000080001</v>
      </c>
      <c r="GD5">
        <v>429.00000000009999</v>
      </c>
      <c r="GE5">
        <v>434.50000000120002</v>
      </c>
      <c r="GF5">
        <v>440.00000000049999</v>
      </c>
      <c r="GG5">
        <v>444.90000000039998</v>
      </c>
      <c r="GH5">
        <v>449.30000000019999</v>
      </c>
      <c r="GI5">
        <v>452.90000000020001</v>
      </c>
      <c r="GJ5">
        <v>456.59999999950003</v>
      </c>
      <c r="GK5">
        <v>458.80000000029997</v>
      </c>
      <c r="GL5">
        <v>459.20000000110002</v>
      </c>
      <c r="GM5">
        <v>459.1</v>
      </c>
      <c r="GN5">
        <v>459.20000000110002</v>
      </c>
      <c r="GO5">
        <v>459.20000000110002</v>
      </c>
      <c r="GP5">
        <v>459.39999999970001</v>
      </c>
      <c r="GQ5">
        <v>459.30000000040002</v>
      </c>
      <c r="GR5">
        <v>459.39999999970001</v>
      </c>
      <c r="GS5">
        <v>459.39999999970001</v>
      </c>
      <c r="GT5">
        <v>459.50000000080001</v>
      </c>
      <c r="GU5">
        <v>459.50000000080001</v>
      </c>
      <c r="GV5">
        <v>459.50000000080001</v>
      </c>
      <c r="GW5">
        <v>1</v>
      </c>
      <c r="GX5">
        <v>113.99999999960001</v>
      </c>
      <c r="GY5">
        <v>109.0999999997</v>
      </c>
      <c r="GZ5">
        <v>109.0999999997</v>
      </c>
      <c r="HA5">
        <v>122.800000001</v>
      </c>
      <c r="HB5">
        <v>112.5566750082</v>
      </c>
      <c r="HC5">
        <v>-13.700000001299999</v>
      </c>
      <c r="HD5">
        <v>459.50000000080001</v>
      </c>
      <c r="HE5">
        <v>310.01989990290002</v>
      </c>
      <c r="HF5">
        <v>93.253497985899998</v>
      </c>
      <c r="HG5">
        <v>459.60000000010001</v>
      </c>
      <c r="HH5">
        <v>459.50000000080001</v>
      </c>
      <c r="HI5">
        <v>459.60000000010001</v>
      </c>
      <c r="HJ5">
        <v>459.50000000080001</v>
      </c>
      <c r="HK5">
        <v>117.3020527859</v>
      </c>
      <c r="HL5">
        <v>3.2838257676999998</v>
      </c>
      <c r="HM5">
        <v>3.1745678798000001</v>
      </c>
      <c r="HN5">
        <v>3.2129402256000001</v>
      </c>
      <c r="HO5">
        <v>3.1805629081000002</v>
      </c>
      <c r="HP5">
        <v>3.4982996079999999</v>
      </c>
      <c r="HQ5">
        <v>2.115993832</v>
      </c>
      <c r="HR5">
        <v>19.303177022300002</v>
      </c>
      <c r="HS5">
        <v>-28.152492668600001</v>
      </c>
      <c r="HT5">
        <v>-192</v>
      </c>
      <c r="HU5">
        <v>422.57657491100002</v>
      </c>
      <c r="HV5">
        <v>98.533724340199996</v>
      </c>
      <c r="HW5">
        <v>672</v>
      </c>
      <c r="HX5">
        <v>19.303177022300002</v>
      </c>
      <c r="HY5">
        <v>-28.152492668600001</v>
      </c>
      <c r="HZ5">
        <v>-192</v>
      </c>
      <c r="IA5">
        <v>422.57657491100002</v>
      </c>
      <c r="IB5">
        <v>98.533724340199996</v>
      </c>
      <c r="IC5">
        <v>672</v>
      </c>
      <c r="ID5">
        <v>36.923425089799998</v>
      </c>
      <c r="IE5">
        <v>0.1230116429</v>
      </c>
      <c r="IF5">
        <v>-37.536656891500002</v>
      </c>
      <c r="IG5">
        <v>-256</v>
      </c>
      <c r="IH5">
        <v>444.43983244520001</v>
      </c>
      <c r="II5">
        <v>107.91788856300001</v>
      </c>
      <c r="IJ5">
        <v>736</v>
      </c>
      <c r="IK5">
        <v>403.27339788879999</v>
      </c>
      <c r="IL5">
        <v>126.6862170088</v>
      </c>
      <c r="IM5">
        <v>426.93133500210001</v>
      </c>
      <c r="IN5">
        <v>136.0703812317</v>
      </c>
      <c r="IO5">
        <v>6.7999999991999998</v>
      </c>
      <c r="IP5">
        <v>5.6999999997000002</v>
      </c>
      <c r="IQ5">
        <v>8.7999999996000007</v>
      </c>
      <c r="IR5">
        <v>6.9716301505000002</v>
      </c>
      <c r="IS5">
        <v>6.9716301505000002</v>
      </c>
      <c r="IT5">
        <v>11.8999999995</v>
      </c>
      <c r="IU5">
        <v>-30.4985337243</v>
      </c>
      <c r="IV5">
        <v>14.699999999699999</v>
      </c>
      <c r="IW5">
        <v>18.7683284457</v>
      </c>
      <c r="IX5">
        <v>11.0999999997</v>
      </c>
      <c r="IY5">
        <v>105.57184750730001</v>
      </c>
      <c r="IZ5">
        <v>-34.650605803600001</v>
      </c>
      <c r="JA5">
        <v>0.33892805320000002</v>
      </c>
      <c r="JB5">
        <v>-3.6007509999999999E-4</v>
      </c>
      <c r="JC5">
        <v>7.1429999999999998E-7</v>
      </c>
      <c r="JD5">
        <v>0.30452285559999998</v>
      </c>
      <c r="JE5">
        <v>0.36122810059999999</v>
      </c>
      <c r="JF5">
        <v>0.11165892669999999</v>
      </c>
      <c r="JG5">
        <v>113.3664252066</v>
      </c>
      <c r="JH5">
        <v>3.4982996079999999</v>
      </c>
      <c r="JI5">
        <v>2.8303550000000001E-3</v>
      </c>
      <c r="JJ5">
        <v>-6.6608199999999997E-5</v>
      </c>
      <c r="JK5">
        <v>3.2838257676999998</v>
      </c>
      <c r="JL5">
        <v>1.0901171388999999</v>
      </c>
      <c r="JM5">
        <v>0.53550964919999999</v>
      </c>
      <c r="JN5" t="s">
        <v>648</v>
      </c>
      <c r="JQ5">
        <v>1</v>
      </c>
    </row>
    <row r="6" spans="1:277">
      <c r="A6" t="s">
        <v>655</v>
      </c>
      <c r="B6" t="s">
        <v>656</v>
      </c>
      <c r="C6" t="s">
        <v>212</v>
      </c>
      <c r="D6">
        <v>3</v>
      </c>
      <c r="E6" t="s">
        <v>213</v>
      </c>
      <c r="F6" t="s">
        <v>214</v>
      </c>
      <c r="G6" t="s">
        <v>647</v>
      </c>
      <c r="H6" t="s">
        <v>216</v>
      </c>
      <c r="J6" t="s">
        <v>251</v>
      </c>
      <c r="K6" t="s">
        <v>252</v>
      </c>
      <c r="L6" t="s">
        <v>253</v>
      </c>
      <c r="M6" t="s">
        <v>254</v>
      </c>
      <c r="N6" t="s">
        <v>255</v>
      </c>
      <c r="O6">
        <v>0</v>
      </c>
      <c r="P6">
        <v>0</v>
      </c>
      <c r="Q6">
        <v>0.50000000010000001</v>
      </c>
      <c r="R6">
        <v>0.29999999970000002</v>
      </c>
      <c r="S6">
        <v>0.29999999970000002</v>
      </c>
      <c r="T6">
        <v>0.29999999970000002</v>
      </c>
      <c r="U6">
        <v>0.29999999970000002</v>
      </c>
      <c r="V6">
        <v>0.29999999970000002</v>
      </c>
      <c r="W6">
        <v>0.20000000039999999</v>
      </c>
      <c r="X6">
        <v>0.20000000039999999</v>
      </c>
      <c r="Y6">
        <v>0.20000000039999999</v>
      </c>
      <c r="Z6">
        <v>0.20000000039999999</v>
      </c>
      <c r="AA6">
        <v>0.20000000039999999</v>
      </c>
      <c r="AB6">
        <v>0.20000000039999999</v>
      </c>
      <c r="AC6">
        <v>0.20000000039999999</v>
      </c>
      <c r="AD6">
        <v>0.29999999970000002</v>
      </c>
      <c r="AE6">
        <v>0.20000000039999999</v>
      </c>
      <c r="AF6">
        <v>0.29999999970000002</v>
      </c>
      <c r="AG6">
        <v>0.29999999970000002</v>
      </c>
      <c r="AH6">
        <v>2.5000000005</v>
      </c>
      <c r="AI6">
        <v>6.9000000003000004</v>
      </c>
      <c r="AJ6">
        <v>12.200000000999999</v>
      </c>
      <c r="AK6">
        <v>18.299999999699999</v>
      </c>
      <c r="AL6">
        <v>25.300000001200001</v>
      </c>
      <c r="AM6">
        <v>32.600000000500003</v>
      </c>
      <c r="AN6">
        <v>40.300000000600001</v>
      </c>
      <c r="AO6">
        <v>47.500000000599996</v>
      </c>
      <c r="AP6">
        <v>54.299999999800001</v>
      </c>
      <c r="AQ6">
        <v>61.300000001199997</v>
      </c>
      <c r="AR6">
        <v>69.100000000600005</v>
      </c>
      <c r="AS6">
        <v>77.100000000400001</v>
      </c>
      <c r="AT6">
        <v>85.000000000900002</v>
      </c>
      <c r="AU6">
        <v>93.300000000500006</v>
      </c>
      <c r="AV6">
        <v>101.0000000006</v>
      </c>
      <c r="AW6">
        <v>108.7000000007</v>
      </c>
      <c r="AX6">
        <v>116.7000000005</v>
      </c>
      <c r="AY6">
        <v>125.2000000004</v>
      </c>
      <c r="AZ6">
        <v>133.60000000100001</v>
      </c>
      <c r="BA6">
        <v>141.9000000005</v>
      </c>
      <c r="BB6">
        <v>150.3000000012</v>
      </c>
      <c r="BC6">
        <v>157.6999999997</v>
      </c>
      <c r="BD6">
        <v>165.69999999960001</v>
      </c>
      <c r="BE6">
        <v>174.0000000009</v>
      </c>
      <c r="BF6">
        <v>182.30000000039999</v>
      </c>
      <c r="BG6">
        <v>190.8000000003</v>
      </c>
      <c r="BH6">
        <v>198.7000000008</v>
      </c>
      <c r="BI6">
        <v>206.20000000050001</v>
      </c>
      <c r="BJ6">
        <v>214.2999999996</v>
      </c>
      <c r="BK6">
        <v>222.70000000030001</v>
      </c>
      <c r="BL6">
        <v>230.9000000005</v>
      </c>
      <c r="BM6">
        <v>238.6999999999</v>
      </c>
      <c r="BN6">
        <v>246.6999999997</v>
      </c>
      <c r="BO6">
        <v>254.00000000079999</v>
      </c>
      <c r="BP6">
        <v>261.59999999979999</v>
      </c>
      <c r="BQ6">
        <v>269.59999999960002</v>
      </c>
      <c r="BR6">
        <v>277.50000000009999</v>
      </c>
      <c r="BS6">
        <v>285.10000000100001</v>
      </c>
      <c r="BT6">
        <v>292.60000000069999</v>
      </c>
      <c r="BU6">
        <v>300.00000000109998</v>
      </c>
      <c r="BV6">
        <v>306.59999999989998</v>
      </c>
      <c r="BW6">
        <v>313.90000000100002</v>
      </c>
      <c r="BX6">
        <v>321.2999999996</v>
      </c>
      <c r="BY6">
        <v>328.7</v>
      </c>
      <c r="BZ6">
        <v>335.39999999989999</v>
      </c>
      <c r="CA6">
        <v>342.20000000099998</v>
      </c>
      <c r="CB6">
        <v>349.00000000019998</v>
      </c>
      <c r="CC6">
        <v>355.40000000039998</v>
      </c>
      <c r="CD6">
        <v>361.30000000050001</v>
      </c>
      <c r="CE6">
        <v>368.00000000040001</v>
      </c>
      <c r="CF6">
        <v>374.7999999996</v>
      </c>
      <c r="CG6">
        <v>381.30000000090001</v>
      </c>
      <c r="CH6">
        <v>387.20000000099998</v>
      </c>
      <c r="CI6">
        <v>393.1000000011</v>
      </c>
      <c r="CJ6">
        <v>399.10000000050002</v>
      </c>
      <c r="CK6">
        <v>405.00000000070003</v>
      </c>
      <c r="CL6">
        <v>410.20000000030001</v>
      </c>
      <c r="CM6">
        <v>415.80000000069998</v>
      </c>
      <c r="CN6">
        <v>421.5999999997</v>
      </c>
      <c r="CO6">
        <v>427.49999999980002</v>
      </c>
      <c r="CP6">
        <v>433.1000000002</v>
      </c>
      <c r="CQ6">
        <v>438.29999999979998</v>
      </c>
      <c r="CR6">
        <v>443.50000000120002</v>
      </c>
      <c r="CS6">
        <v>448.20000000070002</v>
      </c>
      <c r="CT6">
        <v>452.50000000120002</v>
      </c>
      <c r="CU6">
        <v>456.40000000089998</v>
      </c>
      <c r="CV6">
        <v>458.00000000049999</v>
      </c>
      <c r="CW6">
        <v>458.00000000049999</v>
      </c>
      <c r="CX6">
        <v>458.00000000049999</v>
      </c>
      <c r="CY6">
        <v>458.00000000049999</v>
      </c>
      <c r="CZ6">
        <v>458.09999999979999</v>
      </c>
      <c r="DA6">
        <v>458.09999999979999</v>
      </c>
      <c r="DB6">
        <v>458.00000000049999</v>
      </c>
      <c r="DC6">
        <v>458.09999999979999</v>
      </c>
      <c r="DD6">
        <v>458.09999999979999</v>
      </c>
      <c r="DE6">
        <v>458.09999999979999</v>
      </c>
      <c r="DF6">
        <v>458.09999999979999</v>
      </c>
      <c r="DG6">
        <v>0.20000000039999999</v>
      </c>
      <c r="DH6">
        <v>0.1000000011</v>
      </c>
      <c r="DI6">
        <v>0.1000000011</v>
      </c>
      <c r="DJ6">
        <v>0.20000000039999999</v>
      </c>
      <c r="DK6">
        <v>0.20000000039999999</v>
      </c>
      <c r="DL6">
        <v>0.20000000039999999</v>
      </c>
      <c r="DM6">
        <v>0.1000000011</v>
      </c>
      <c r="DN6">
        <v>0.20000000039999999</v>
      </c>
      <c r="DO6">
        <v>0.1000000011</v>
      </c>
      <c r="DP6">
        <v>0.20000000039999999</v>
      </c>
      <c r="DQ6">
        <v>0.1000000011</v>
      </c>
      <c r="DR6">
        <v>0.1000000011</v>
      </c>
      <c r="DS6">
        <v>0.1000000011</v>
      </c>
      <c r="DT6">
        <v>0.1000000011</v>
      </c>
      <c r="DU6">
        <v>0</v>
      </c>
      <c r="DV6">
        <v>0.90000000089999999</v>
      </c>
      <c r="DW6">
        <v>4.7000000013000003</v>
      </c>
      <c r="DX6">
        <v>10.200000000599999</v>
      </c>
      <c r="DY6">
        <v>16.2</v>
      </c>
      <c r="DZ6">
        <v>23.300000000699999</v>
      </c>
      <c r="EA6">
        <v>31.000000000899998</v>
      </c>
      <c r="EB6">
        <v>38.899999999599999</v>
      </c>
      <c r="EC6">
        <v>45.700000000599999</v>
      </c>
      <c r="ED6">
        <v>52.300000001199997</v>
      </c>
      <c r="EE6">
        <v>59.4000000001</v>
      </c>
      <c r="EF6">
        <v>67.000000000900002</v>
      </c>
      <c r="EG6">
        <v>74.899999999599999</v>
      </c>
      <c r="EH6">
        <v>83.200000000900005</v>
      </c>
      <c r="EI6">
        <v>91.599999999700003</v>
      </c>
      <c r="EJ6">
        <v>98.500000000100002</v>
      </c>
      <c r="EK6">
        <v>105.7000000001</v>
      </c>
      <c r="EL6">
        <v>113.99999999960001</v>
      </c>
      <c r="EM6">
        <v>122.50000000129999</v>
      </c>
      <c r="EN6">
        <v>131.10000000049999</v>
      </c>
      <c r="EO6">
        <v>139.90000000009999</v>
      </c>
      <c r="EP6">
        <v>148.19999999960001</v>
      </c>
      <c r="EQ6">
        <v>155.09999999990001</v>
      </c>
      <c r="ER6">
        <v>163.30000000019999</v>
      </c>
      <c r="ES6">
        <v>171.7000000008</v>
      </c>
      <c r="ET6">
        <v>180.00000000029999</v>
      </c>
      <c r="EU6">
        <v>188.900000001</v>
      </c>
      <c r="EV6">
        <v>197.7000000006</v>
      </c>
      <c r="EW6">
        <v>204.80000000129999</v>
      </c>
      <c r="EX6">
        <v>212.4000000003</v>
      </c>
      <c r="EY6">
        <v>220.6999999999</v>
      </c>
      <c r="EZ6">
        <v>228.90000000009999</v>
      </c>
      <c r="FA6">
        <v>237.00000000099999</v>
      </c>
      <c r="FB6">
        <v>245.00000000079999</v>
      </c>
      <c r="FC6">
        <v>252.50000000049999</v>
      </c>
      <c r="FD6">
        <v>260.10000000129997</v>
      </c>
      <c r="FE6">
        <v>268.1000000011</v>
      </c>
      <c r="FF6">
        <v>275.99999999980002</v>
      </c>
      <c r="FG6">
        <v>283.60000000069999</v>
      </c>
      <c r="FH6">
        <v>291.19999999970003</v>
      </c>
      <c r="FI6">
        <v>298.80000000050001</v>
      </c>
      <c r="FJ6">
        <v>305.8000000001</v>
      </c>
      <c r="FK6">
        <v>312.90000000079999</v>
      </c>
      <c r="FL6">
        <v>320.49999999980002</v>
      </c>
      <c r="FM6">
        <v>327.80000000090001</v>
      </c>
      <c r="FN6">
        <v>334.70000000120001</v>
      </c>
      <c r="FO6">
        <v>341.5999999997</v>
      </c>
      <c r="FP6">
        <v>348.50000000009999</v>
      </c>
      <c r="FQ6">
        <v>355.10000000069999</v>
      </c>
      <c r="FR6">
        <v>361.20000000120001</v>
      </c>
      <c r="FS6">
        <v>367.8</v>
      </c>
      <c r="FT6">
        <v>374.70000000030001</v>
      </c>
      <c r="FU6">
        <v>381.30000000090001</v>
      </c>
      <c r="FV6">
        <v>387.30000000029997</v>
      </c>
      <c r="FW6">
        <v>393.2000000004</v>
      </c>
      <c r="FX6">
        <v>399.30000000090001</v>
      </c>
      <c r="FY6">
        <v>405.30000000040002</v>
      </c>
      <c r="FZ6">
        <v>410.7000000004</v>
      </c>
      <c r="GA6">
        <v>416.40000000010002</v>
      </c>
      <c r="GB6">
        <v>422.09999999979999</v>
      </c>
      <c r="GC6">
        <v>427.90000000060002</v>
      </c>
      <c r="GD6">
        <v>433.30000000059999</v>
      </c>
      <c r="GE6">
        <v>438.20000000049998</v>
      </c>
      <c r="GF6">
        <v>443.19999999970003</v>
      </c>
      <c r="GG6">
        <v>447.70000000060003</v>
      </c>
      <c r="GH6">
        <v>451.80000000069998</v>
      </c>
      <c r="GI6">
        <v>455.5</v>
      </c>
      <c r="GJ6">
        <v>457.5999999997</v>
      </c>
      <c r="GK6">
        <v>457.9000000012</v>
      </c>
      <c r="GL6">
        <v>457.8000000001</v>
      </c>
      <c r="GM6">
        <v>457.9000000012</v>
      </c>
      <c r="GN6">
        <v>457.9000000012</v>
      </c>
      <c r="GO6">
        <v>457.9000000012</v>
      </c>
      <c r="GP6">
        <v>457.9000000012</v>
      </c>
      <c r="GQ6">
        <v>458.00000000049999</v>
      </c>
      <c r="GR6">
        <v>458.00000000049999</v>
      </c>
      <c r="GS6">
        <v>458.09999999979999</v>
      </c>
      <c r="GT6">
        <v>458.00000000049999</v>
      </c>
      <c r="GU6">
        <v>458.09999999979999</v>
      </c>
      <c r="GV6">
        <v>458.09999999979999</v>
      </c>
      <c r="GW6">
        <v>1</v>
      </c>
      <c r="GX6">
        <v>114.2</v>
      </c>
      <c r="GY6">
        <v>108.7000000007</v>
      </c>
      <c r="GZ6">
        <v>108.7000000007</v>
      </c>
      <c r="HA6">
        <v>122.50000000129999</v>
      </c>
      <c r="HB6">
        <v>112.18238375990001</v>
      </c>
      <c r="HC6">
        <v>-13.800000000600001</v>
      </c>
      <c r="HD6">
        <v>458.09999999979999</v>
      </c>
      <c r="HE6">
        <v>303.03804846029999</v>
      </c>
      <c r="HF6">
        <v>93.199006768199993</v>
      </c>
      <c r="HG6">
        <v>458.09999999979999</v>
      </c>
      <c r="HH6">
        <v>458.09999999979999</v>
      </c>
      <c r="HI6">
        <v>458.09999999979999</v>
      </c>
      <c r="HJ6">
        <v>458.09999999979999</v>
      </c>
      <c r="HK6">
        <v>114.9560117302</v>
      </c>
      <c r="HL6">
        <v>3.3456301024999999</v>
      </c>
      <c r="HM6">
        <v>3.2199866071000001</v>
      </c>
      <c r="HN6">
        <v>3.2539205356999998</v>
      </c>
      <c r="HO6">
        <v>3.1553890361999999</v>
      </c>
      <c r="HP6">
        <v>3.5121718237000001</v>
      </c>
      <c r="HQ6">
        <v>2.2978793528999999</v>
      </c>
      <c r="HR6">
        <v>18.983376991699998</v>
      </c>
      <c r="HS6">
        <v>-28.152492668600001</v>
      </c>
      <c r="HT6">
        <v>-192</v>
      </c>
      <c r="HU6">
        <v>415.2204322202</v>
      </c>
      <c r="HV6">
        <v>93.841642228699996</v>
      </c>
      <c r="HW6">
        <v>640</v>
      </c>
      <c r="HX6">
        <v>18.983376991699998</v>
      </c>
      <c r="HY6">
        <v>-28.152492668600001</v>
      </c>
      <c r="HZ6">
        <v>-192</v>
      </c>
      <c r="IA6">
        <v>415.2204322202</v>
      </c>
      <c r="IB6">
        <v>93.841642228699996</v>
      </c>
      <c r="IC6">
        <v>640</v>
      </c>
      <c r="ID6">
        <v>42.879567779699997</v>
      </c>
      <c r="IE6">
        <v>0.32401222410000002</v>
      </c>
      <c r="IF6">
        <v>-37.536656891500002</v>
      </c>
      <c r="IG6">
        <v>-256</v>
      </c>
      <c r="IH6">
        <v>437.61022702510002</v>
      </c>
      <c r="II6">
        <v>103.22580645159999</v>
      </c>
      <c r="IJ6">
        <v>704</v>
      </c>
      <c r="IK6">
        <v>396.23705522850003</v>
      </c>
      <c r="IL6">
        <v>121.9941348974</v>
      </c>
      <c r="IM6">
        <v>419.80803318080001</v>
      </c>
      <c r="IN6">
        <v>131.37829912020001</v>
      </c>
      <c r="IO6">
        <v>6.0999999987000004</v>
      </c>
      <c r="IP6">
        <v>5.8000000007999999</v>
      </c>
      <c r="IQ6">
        <v>8.9000000007000004</v>
      </c>
      <c r="IR6">
        <v>5.5242249128000003</v>
      </c>
      <c r="IS6">
        <v>5.5242249128000003</v>
      </c>
      <c r="IT6">
        <v>11.0999999997</v>
      </c>
      <c r="IU6">
        <v>-30.4985337243</v>
      </c>
      <c r="IV6">
        <v>15.4000000002</v>
      </c>
      <c r="IW6">
        <v>21.114369501500001</v>
      </c>
      <c r="IX6">
        <v>10.700000000699999</v>
      </c>
      <c r="IY6">
        <v>103.22580645159999</v>
      </c>
      <c r="IZ6">
        <v>-34.369500613600003</v>
      </c>
      <c r="JA6">
        <v>0.33570624290000001</v>
      </c>
      <c r="JB6">
        <v>-3.4109640000000002E-4</v>
      </c>
      <c r="JC6">
        <v>6.6290000000000004E-7</v>
      </c>
      <c r="JD6">
        <v>0.29889735849999999</v>
      </c>
      <c r="JE6">
        <v>0.23511633730000001</v>
      </c>
      <c r="JF6">
        <v>9.1461535900000002E-2</v>
      </c>
      <c r="JG6">
        <v>112.87908362</v>
      </c>
      <c r="JH6">
        <v>3.5121718237000001</v>
      </c>
      <c r="JI6">
        <v>3.3812617999999998E-3</v>
      </c>
      <c r="JJ6">
        <v>-6.9984299999999993E-5</v>
      </c>
      <c r="JK6">
        <v>3.3456301024999999</v>
      </c>
      <c r="JL6">
        <v>0.98430316139999996</v>
      </c>
      <c r="JM6">
        <v>0.45748230600000001</v>
      </c>
      <c r="JN6" t="s">
        <v>648</v>
      </c>
      <c r="JQ6">
        <v>1</v>
      </c>
    </row>
    <row r="7" spans="1:277">
      <c r="A7" t="s">
        <v>657</v>
      </c>
      <c r="B7" t="s">
        <v>658</v>
      </c>
      <c r="C7" t="s">
        <v>212</v>
      </c>
      <c r="D7">
        <v>3</v>
      </c>
      <c r="E7" t="s">
        <v>213</v>
      </c>
      <c r="F7" t="s">
        <v>214</v>
      </c>
      <c r="G7" t="s">
        <v>647</v>
      </c>
      <c r="H7" t="s">
        <v>216</v>
      </c>
      <c r="J7" t="s">
        <v>258</v>
      </c>
      <c r="K7" t="s">
        <v>259</v>
      </c>
      <c r="L7" t="s">
        <v>260</v>
      </c>
      <c r="M7" t="s">
        <v>261</v>
      </c>
      <c r="N7" t="s">
        <v>262</v>
      </c>
      <c r="O7">
        <v>0</v>
      </c>
      <c r="P7">
        <v>0</v>
      </c>
      <c r="Q7">
        <v>0.49999999830000003</v>
      </c>
      <c r="R7">
        <v>9.9999999300000003E-2</v>
      </c>
      <c r="S7">
        <v>0.19999999860000001</v>
      </c>
      <c r="T7">
        <v>9.9999999300000003E-2</v>
      </c>
      <c r="U7">
        <v>9.9999999300000003E-2</v>
      </c>
      <c r="V7">
        <v>0</v>
      </c>
      <c r="W7">
        <v>9.9999999300000003E-2</v>
      </c>
      <c r="X7">
        <v>9.9999999300000003E-2</v>
      </c>
      <c r="Y7">
        <v>9.9999999300000003E-2</v>
      </c>
      <c r="Z7">
        <v>0.19999999860000001</v>
      </c>
      <c r="AA7">
        <v>9.9999999300000003E-2</v>
      </c>
      <c r="AB7">
        <v>9.9999999300000003E-2</v>
      </c>
      <c r="AC7">
        <v>9.9999999300000003E-2</v>
      </c>
      <c r="AD7">
        <v>0.29999999970000002</v>
      </c>
      <c r="AE7">
        <v>1.9999999986000001</v>
      </c>
      <c r="AF7">
        <v>6.1999999998000002</v>
      </c>
      <c r="AG7">
        <v>10.8</v>
      </c>
      <c r="AH7">
        <v>14.9999999994</v>
      </c>
      <c r="AI7">
        <v>19.799999998200001</v>
      </c>
      <c r="AJ7">
        <v>25.8999999987</v>
      </c>
      <c r="AK7">
        <v>32.499999999300002</v>
      </c>
      <c r="AL7">
        <v>39.299999998499999</v>
      </c>
      <c r="AM7">
        <v>46.199999998899997</v>
      </c>
      <c r="AN7">
        <v>53.099999999200001</v>
      </c>
      <c r="AO7">
        <v>60.299999999199997</v>
      </c>
      <c r="AP7">
        <v>68.099999998599998</v>
      </c>
      <c r="AQ7">
        <v>75.799999998700002</v>
      </c>
      <c r="AR7">
        <v>83.199999999100001</v>
      </c>
      <c r="AS7">
        <v>90.799999999899995</v>
      </c>
      <c r="AT7">
        <v>98.299999999700006</v>
      </c>
      <c r="AU7">
        <v>105.599999999</v>
      </c>
      <c r="AV7">
        <v>113.6999999999</v>
      </c>
      <c r="AW7">
        <v>122.5999999988</v>
      </c>
      <c r="AX7">
        <v>131.09999999870001</v>
      </c>
      <c r="AY7">
        <v>139.4</v>
      </c>
      <c r="AZ7">
        <v>147.2999999987</v>
      </c>
      <c r="BA7">
        <v>154.89999999950001</v>
      </c>
      <c r="BB7">
        <v>162.9999999986</v>
      </c>
      <c r="BC7">
        <v>171.4999999986</v>
      </c>
      <c r="BD7">
        <v>179.3999999991</v>
      </c>
      <c r="BE7">
        <v>187.2999999996</v>
      </c>
      <c r="BF7">
        <v>195.1999999983</v>
      </c>
      <c r="BG7">
        <v>202.89999999840001</v>
      </c>
      <c r="BH7">
        <v>210.49999999920001</v>
      </c>
      <c r="BI7">
        <v>218.7999999987</v>
      </c>
      <c r="BJ7">
        <v>227.09999999819999</v>
      </c>
      <c r="BK7">
        <v>234.79999999840001</v>
      </c>
      <c r="BL7">
        <v>242.49999999849999</v>
      </c>
      <c r="BM7">
        <v>250</v>
      </c>
      <c r="BN7">
        <v>257.39999999859998</v>
      </c>
      <c r="BO7">
        <v>265.09999999870001</v>
      </c>
      <c r="BP7">
        <v>273.19999999959998</v>
      </c>
      <c r="BQ7">
        <v>280.59999999820002</v>
      </c>
      <c r="BR7">
        <v>287.79999999820001</v>
      </c>
      <c r="BS7">
        <v>294.99999999829998</v>
      </c>
      <c r="BT7">
        <v>301.99999999969998</v>
      </c>
      <c r="BU7">
        <v>308.89999999999998</v>
      </c>
      <c r="BV7">
        <v>315.99999999890002</v>
      </c>
      <c r="BW7">
        <v>323.4999999986</v>
      </c>
      <c r="BX7">
        <v>330.3999999989</v>
      </c>
      <c r="BY7">
        <v>336.99999999950001</v>
      </c>
      <c r="BZ7">
        <v>343.59999999830001</v>
      </c>
      <c r="CA7">
        <v>350.0999999997</v>
      </c>
      <c r="CB7">
        <v>356.49999999990001</v>
      </c>
      <c r="CC7">
        <v>362.69999999970003</v>
      </c>
      <c r="CD7">
        <v>368.99999999879998</v>
      </c>
      <c r="CE7">
        <v>375.69999999869998</v>
      </c>
      <c r="CF7">
        <v>381.7999999992</v>
      </c>
      <c r="CG7">
        <v>387.6</v>
      </c>
      <c r="CH7">
        <v>393.49999999829998</v>
      </c>
      <c r="CI7">
        <v>399.19999999980001</v>
      </c>
      <c r="CJ7">
        <v>404.89999999949998</v>
      </c>
      <c r="CK7">
        <v>410.5</v>
      </c>
      <c r="CL7">
        <v>415.99999999929997</v>
      </c>
      <c r="CM7">
        <v>421.7999999983</v>
      </c>
      <c r="CN7">
        <v>427.29999999939997</v>
      </c>
      <c r="CO7">
        <v>432.59999999830001</v>
      </c>
      <c r="CP7">
        <v>437.79999999969999</v>
      </c>
      <c r="CQ7">
        <v>442.9</v>
      </c>
      <c r="CR7">
        <v>447.99999999850002</v>
      </c>
      <c r="CS7">
        <v>452.79999999910001</v>
      </c>
      <c r="CT7">
        <v>456.49999999840003</v>
      </c>
      <c r="CU7">
        <v>458.49999999879998</v>
      </c>
      <c r="CV7">
        <v>459.69999999940001</v>
      </c>
      <c r="CW7">
        <v>459.9999999991</v>
      </c>
      <c r="CX7">
        <v>459.9999999991</v>
      </c>
      <c r="CY7">
        <v>459.9999999991</v>
      </c>
      <c r="CZ7">
        <v>459.9999999991</v>
      </c>
      <c r="DA7">
        <v>460.09999999839999</v>
      </c>
      <c r="DB7">
        <v>460.09999999839999</v>
      </c>
      <c r="DC7">
        <v>460.09999999839999</v>
      </c>
      <c r="DD7">
        <v>460.09999999839999</v>
      </c>
      <c r="DE7">
        <v>460.09999999839999</v>
      </c>
      <c r="DF7">
        <v>460.09999999839999</v>
      </c>
      <c r="DG7">
        <v>1.4999999985000001</v>
      </c>
      <c r="DH7">
        <v>1.1999999988000001</v>
      </c>
      <c r="DI7">
        <v>1.1999999988000001</v>
      </c>
      <c r="DJ7">
        <v>1.1999999988000001</v>
      </c>
      <c r="DK7">
        <v>1.1999999988000001</v>
      </c>
      <c r="DL7">
        <v>1.1999999988000001</v>
      </c>
      <c r="DM7">
        <v>1.2999999999</v>
      </c>
      <c r="DN7">
        <v>1.1999999988000001</v>
      </c>
      <c r="DO7">
        <v>1.2999999999</v>
      </c>
      <c r="DP7">
        <v>1.2999999999</v>
      </c>
      <c r="DQ7">
        <v>1.3999999992000001</v>
      </c>
      <c r="DR7">
        <v>1.3999999992000001</v>
      </c>
      <c r="DS7">
        <v>1.5999999996000001</v>
      </c>
      <c r="DT7">
        <v>4.0999999983000004</v>
      </c>
      <c r="DU7">
        <v>9.0999999992999996</v>
      </c>
      <c r="DV7">
        <v>13.5999999984</v>
      </c>
      <c r="DW7">
        <v>18.299999999699999</v>
      </c>
      <c r="DX7">
        <v>24.0999999987</v>
      </c>
      <c r="DY7">
        <v>30.699999999300001</v>
      </c>
      <c r="DZ7">
        <v>37.499999998500002</v>
      </c>
      <c r="EA7">
        <v>44.199999998499997</v>
      </c>
      <c r="EB7">
        <v>50.899999998399998</v>
      </c>
      <c r="EC7">
        <v>58.699999999600003</v>
      </c>
      <c r="ED7">
        <v>66.499999998999996</v>
      </c>
      <c r="EE7">
        <v>73.999999998700005</v>
      </c>
      <c r="EF7">
        <v>81.299999999799994</v>
      </c>
      <c r="EG7">
        <v>88.699999998400003</v>
      </c>
      <c r="EH7">
        <v>95.999999999500005</v>
      </c>
      <c r="EI7">
        <v>103.29999999890001</v>
      </c>
      <c r="EJ7">
        <v>111.59999999839999</v>
      </c>
      <c r="EK7">
        <v>119.999999999</v>
      </c>
      <c r="EL7">
        <v>128.2999999985</v>
      </c>
      <c r="EM7">
        <v>136.79999999840001</v>
      </c>
      <c r="EN7">
        <v>145.0999999997</v>
      </c>
      <c r="EO7">
        <v>152.59999999940001</v>
      </c>
      <c r="EP7">
        <v>160.79999999969999</v>
      </c>
      <c r="EQ7">
        <v>169.1999999985</v>
      </c>
      <c r="ER7">
        <v>177.1999999983</v>
      </c>
      <c r="ES7">
        <v>185.1999999999</v>
      </c>
      <c r="ET7">
        <v>193.1999999997</v>
      </c>
      <c r="EU7">
        <v>200.7999999987</v>
      </c>
      <c r="EV7">
        <v>208.6999999992</v>
      </c>
      <c r="EW7">
        <v>217.19999999909999</v>
      </c>
      <c r="EX7">
        <v>225.19999999890001</v>
      </c>
      <c r="EY7">
        <v>232.9999999984</v>
      </c>
      <c r="EZ7">
        <v>240.7999999996</v>
      </c>
      <c r="FA7">
        <v>248.39999999860001</v>
      </c>
      <c r="FB7">
        <v>255.79999999899999</v>
      </c>
      <c r="FC7">
        <v>263.59999999839999</v>
      </c>
      <c r="FD7">
        <v>271.69999999930002</v>
      </c>
      <c r="FE7">
        <v>279.39999999939999</v>
      </c>
      <c r="FF7">
        <v>286.79999999990002</v>
      </c>
      <c r="FG7">
        <v>293.99999999990001</v>
      </c>
      <c r="FH7">
        <v>301.2999999992</v>
      </c>
      <c r="FI7">
        <v>308.09999999839999</v>
      </c>
      <c r="FJ7">
        <v>315.39999999949998</v>
      </c>
      <c r="FK7">
        <v>322.79999999990002</v>
      </c>
      <c r="FL7">
        <v>329.89999999880001</v>
      </c>
      <c r="FM7">
        <v>336.69999999980001</v>
      </c>
      <c r="FN7">
        <v>343.39999999970001</v>
      </c>
      <c r="FO7">
        <v>349.99999999850002</v>
      </c>
      <c r="FP7">
        <v>356.49999999990001</v>
      </c>
      <c r="FQ7">
        <v>362.99999999940002</v>
      </c>
      <c r="FR7">
        <v>369.49999999890002</v>
      </c>
      <c r="FS7">
        <v>375.89999999909998</v>
      </c>
      <c r="FT7">
        <v>382.09999999889999</v>
      </c>
      <c r="FU7">
        <v>388.09999999830001</v>
      </c>
      <c r="FV7">
        <v>393.99999999840003</v>
      </c>
      <c r="FW7">
        <v>399.7999999992</v>
      </c>
      <c r="FX7">
        <v>405.49999999890002</v>
      </c>
      <c r="FY7">
        <v>411.19999999859999</v>
      </c>
      <c r="FZ7">
        <v>416.99999999950001</v>
      </c>
      <c r="GA7">
        <v>422.29999999839998</v>
      </c>
      <c r="GB7">
        <v>427.69999999840002</v>
      </c>
      <c r="GC7">
        <v>432.8999999998</v>
      </c>
      <c r="GD7">
        <v>437.89999999899999</v>
      </c>
      <c r="GE7">
        <v>442.9</v>
      </c>
      <c r="GF7">
        <v>447.79999999990002</v>
      </c>
      <c r="GG7">
        <v>452.29999999900002</v>
      </c>
      <c r="GH7">
        <v>455.89999999899999</v>
      </c>
      <c r="GI7">
        <v>458.09999999979999</v>
      </c>
      <c r="GJ7">
        <v>459.29999999860001</v>
      </c>
      <c r="GK7">
        <v>459.8999999998</v>
      </c>
      <c r="GL7">
        <v>459.8999999998</v>
      </c>
      <c r="GM7">
        <v>459.8999999998</v>
      </c>
      <c r="GN7">
        <v>459.8999999998</v>
      </c>
      <c r="GO7">
        <v>459.9999999991</v>
      </c>
      <c r="GP7">
        <v>459.8999999998</v>
      </c>
      <c r="GQ7">
        <v>459.9999999991</v>
      </c>
      <c r="GR7">
        <v>459.9999999991</v>
      </c>
      <c r="GS7">
        <v>459.9999999991</v>
      </c>
      <c r="GT7">
        <v>459.9999999991</v>
      </c>
      <c r="GU7">
        <v>459.9999999991</v>
      </c>
      <c r="GV7">
        <v>460.09999999839999</v>
      </c>
      <c r="GW7">
        <v>1</v>
      </c>
      <c r="GX7">
        <v>128.3000000003</v>
      </c>
      <c r="GY7">
        <v>122.5999999988</v>
      </c>
      <c r="GZ7">
        <v>122.5999999988</v>
      </c>
      <c r="HA7">
        <v>136.79999999840001</v>
      </c>
      <c r="HB7">
        <v>126.602912409</v>
      </c>
      <c r="HC7">
        <v>-14.199999999599999</v>
      </c>
      <c r="HD7">
        <v>460.09999999839999</v>
      </c>
      <c r="HE7">
        <v>289.10450988999997</v>
      </c>
      <c r="HF7">
        <v>99.903694848900003</v>
      </c>
      <c r="HG7">
        <v>460.09999999839999</v>
      </c>
      <c r="HH7">
        <v>460.09999999839999</v>
      </c>
      <c r="HI7">
        <v>460.09999999839999</v>
      </c>
      <c r="HJ7">
        <v>460.09999999839999</v>
      </c>
      <c r="HK7">
        <v>114.9560117302</v>
      </c>
      <c r="HL7">
        <v>3.2882444974</v>
      </c>
      <c r="HM7">
        <v>3.1743317609999999</v>
      </c>
      <c r="HN7">
        <v>3.2125199765999999</v>
      </c>
      <c r="HO7">
        <v>3.1246962737000001</v>
      </c>
      <c r="HP7">
        <v>3.4781457726</v>
      </c>
      <c r="HQ7">
        <v>2.2348384438000002</v>
      </c>
      <c r="HR7">
        <v>26.699217560099999</v>
      </c>
      <c r="HS7">
        <v>-30.4985337243</v>
      </c>
      <c r="HT7">
        <v>-208</v>
      </c>
      <c r="HU7">
        <v>415.70742229899997</v>
      </c>
      <c r="HV7">
        <v>91.495601172999997</v>
      </c>
      <c r="HW7">
        <v>624</v>
      </c>
      <c r="HX7">
        <v>26.699217560099999</v>
      </c>
      <c r="HY7">
        <v>-30.4985337243</v>
      </c>
      <c r="HZ7">
        <v>-208</v>
      </c>
      <c r="IA7">
        <v>415.70742229899997</v>
      </c>
      <c r="IB7">
        <v>91.495601172999997</v>
      </c>
      <c r="IC7">
        <v>624</v>
      </c>
      <c r="ID7">
        <v>44.3925776994</v>
      </c>
      <c r="IE7">
        <v>6.3592262549000003</v>
      </c>
      <c r="IF7">
        <v>-39.8826979472</v>
      </c>
      <c r="IG7">
        <v>-272</v>
      </c>
      <c r="IH7">
        <v>437.26644207679999</v>
      </c>
      <c r="II7">
        <v>100.87976539589999</v>
      </c>
      <c r="IJ7">
        <v>688</v>
      </c>
      <c r="IK7">
        <v>389.00820473890002</v>
      </c>
      <c r="IL7">
        <v>121.9941348974</v>
      </c>
      <c r="IM7">
        <v>411.34066507189999</v>
      </c>
      <c r="IN7">
        <v>131.37829912020001</v>
      </c>
      <c r="IO7">
        <v>6.6000000005999997</v>
      </c>
      <c r="IP7">
        <v>5.5000000011000001</v>
      </c>
      <c r="IQ7">
        <v>8.8999999989000003</v>
      </c>
      <c r="IR7">
        <v>5.5668747310000004</v>
      </c>
      <c r="IS7">
        <v>5.5668747310000004</v>
      </c>
      <c r="IT7">
        <v>11.5999999998</v>
      </c>
      <c r="IU7">
        <v>-30.4985337243</v>
      </c>
      <c r="IV7">
        <v>14.699999999699999</v>
      </c>
      <c r="IW7">
        <v>25.806451612899998</v>
      </c>
      <c r="IX7">
        <v>11.1000000015</v>
      </c>
      <c r="IY7">
        <v>98.533724340199996</v>
      </c>
      <c r="IZ7">
        <v>-39.189642709799998</v>
      </c>
      <c r="JA7">
        <v>0.34547585250000001</v>
      </c>
      <c r="JB7">
        <v>-3.6881750000000002E-4</v>
      </c>
      <c r="JC7">
        <v>7.0670000000000005E-7</v>
      </c>
      <c r="JD7">
        <v>0.30411363899999999</v>
      </c>
      <c r="JE7">
        <v>0.28336610540000001</v>
      </c>
      <c r="JF7">
        <v>0.1138571748</v>
      </c>
      <c r="JG7">
        <v>126.8145725187</v>
      </c>
      <c r="JH7">
        <v>3.4781457726</v>
      </c>
      <c r="JI7">
        <v>2.6473105000000001E-3</v>
      </c>
      <c r="JJ7">
        <v>-6.8794999999999994E-5</v>
      </c>
      <c r="JK7">
        <v>3.2882444974</v>
      </c>
      <c r="JL7">
        <v>1.5489527448</v>
      </c>
      <c r="JM7">
        <v>0.59208456499999995</v>
      </c>
      <c r="JN7" t="s">
        <v>648</v>
      </c>
      <c r="JQ7">
        <v>1</v>
      </c>
    </row>
    <row r="8" spans="1:277">
      <c r="A8" t="s">
        <v>659</v>
      </c>
      <c r="B8" t="s">
        <v>660</v>
      </c>
      <c r="C8" t="s">
        <v>212</v>
      </c>
      <c r="D8">
        <v>3</v>
      </c>
      <c r="E8" t="s">
        <v>213</v>
      </c>
      <c r="F8" t="s">
        <v>214</v>
      </c>
      <c r="G8" t="s">
        <v>647</v>
      </c>
      <c r="H8" t="s">
        <v>216</v>
      </c>
      <c r="J8" t="s">
        <v>265</v>
      </c>
      <c r="K8" t="s">
        <v>266</v>
      </c>
      <c r="L8" t="s">
        <v>267</v>
      </c>
      <c r="M8" t="s">
        <v>268</v>
      </c>
      <c r="N8" t="s">
        <v>269</v>
      </c>
      <c r="O8">
        <v>0</v>
      </c>
      <c r="P8">
        <v>0</v>
      </c>
      <c r="Q8">
        <v>0</v>
      </c>
      <c r="R8">
        <v>0</v>
      </c>
      <c r="S8">
        <v>0</v>
      </c>
      <c r="T8">
        <v>9.9999999300000003E-2</v>
      </c>
      <c r="U8">
        <v>9.9999999300000003E-2</v>
      </c>
      <c r="V8">
        <v>9.9999999300000003E-2</v>
      </c>
      <c r="W8">
        <v>9.9999999300000003E-2</v>
      </c>
      <c r="X8">
        <v>9.9999999300000003E-2</v>
      </c>
      <c r="Y8">
        <v>9.9999999300000003E-2</v>
      </c>
      <c r="Z8">
        <v>9.9999999300000003E-2</v>
      </c>
      <c r="AA8">
        <v>9.9999999300000003E-2</v>
      </c>
      <c r="AB8">
        <v>0.20000000039999999</v>
      </c>
      <c r="AC8">
        <v>0.20000000039999999</v>
      </c>
      <c r="AD8">
        <v>0.20000000039999999</v>
      </c>
      <c r="AE8">
        <v>0.29999999970000002</v>
      </c>
      <c r="AF8">
        <v>0.40000000079999998</v>
      </c>
      <c r="AG8">
        <v>0.40000000079999998</v>
      </c>
      <c r="AH8">
        <v>1.8</v>
      </c>
      <c r="AI8">
        <v>5.1999999996000001</v>
      </c>
      <c r="AJ8">
        <v>10.200000000599999</v>
      </c>
      <c r="AK8">
        <v>16.299999999299999</v>
      </c>
      <c r="AL8">
        <v>22.800000000600001</v>
      </c>
      <c r="AM8">
        <v>29.800000000299999</v>
      </c>
      <c r="AN8">
        <v>37.000000000299998</v>
      </c>
      <c r="AO8">
        <v>44.5</v>
      </c>
      <c r="AP8">
        <v>51.799999999299999</v>
      </c>
      <c r="AQ8">
        <v>59.499999999400004</v>
      </c>
      <c r="AR8">
        <v>66.899999999800002</v>
      </c>
      <c r="AS8">
        <v>74.200000000900005</v>
      </c>
      <c r="AT8">
        <v>82.000000000300005</v>
      </c>
      <c r="AU8">
        <v>89.900000000899993</v>
      </c>
      <c r="AV8">
        <v>97.900000000700004</v>
      </c>
      <c r="AW8">
        <v>106.20000000020001</v>
      </c>
      <c r="AX8">
        <v>114.7999999994</v>
      </c>
      <c r="AY8">
        <v>122.800000001</v>
      </c>
      <c r="AZ8">
        <v>130.6999999997</v>
      </c>
      <c r="BA8">
        <v>138.89999999989999</v>
      </c>
      <c r="BB8">
        <v>147.19999999940001</v>
      </c>
      <c r="BC8">
        <v>155.3999999996</v>
      </c>
      <c r="BD8">
        <v>163.70000000100001</v>
      </c>
      <c r="BE8">
        <v>171.8000000001</v>
      </c>
      <c r="BF8">
        <v>179.5000000002</v>
      </c>
      <c r="BG8">
        <v>187.5</v>
      </c>
      <c r="BH8">
        <v>195.79999999949999</v>
      </c>
      <c r="BI8">
        <v>203.90000000040001</v>
      </c>
      <c r="BJ8">
        <v>211.99999999950001</v>
      </c>
      <c r="BK8">
        <v>220.1999999997</v>
      </c>
      <c r="BL8">
        <v>228.00000000099999</v>
      </c>
      <c r="BM8">
        <v>235.3999999996</v>
      </c>
      <c r="BN8">
        <v>243.2000000008</v>
      </c>
      <c r="BO8">
        <v>251.0999999995</v>
      </c>
      <c r="BP8">
        <v>259</v>
      </c>
      <c r="BQ8">
        <v>266.70000000009998</v>
      </c>
      <c r="BR8">
        <v>274.30000000090001</v>
      </c>
      <c r="BS8">
        <v>281.99999999919999</v>
      </c>
      <c r="BT8">
        <v>288.59999999989998</v>
      </c>
      <c r="BU8">
        <v>295.79999999990002</v>
      </c>
      <c r="BV8">
        <v>303.20000000030001</v>
      </c>
      <c r="BW8">
        <v>310.4000000003</v>
      </c>
      <c r="BX8">
        <v>317.49999999919999</v>
      </c>
      <c r="BY8">
        <v>324.89999999960003</v>
      </c>
      <c r="BZ8">
        <v>331.59999999950003</v>
      </c>
      <c r="CA8">
        <v>337.79999999929998</v>
      </c>
      <c r="CB8">
        <v>344.10000000029999</v>
      </c>
      <c r="CC8">
        <v>350.70000000089999</v>
      </c>
      <c r="CD8">
        <v>357.2000000004</v>
      </c>
      <c r="CE8">
        <v>363.49999999950001</v>
      </c>
      <c r="CF8">
        <v>370.3999999998</v>
      </c>
      <c r="CG8">
        <v>376.89999999930001</v>
      </c>
      <c r="CH8">
        <v>382.49999999969998</v>
      </c>
      <c r="CI8">
        <v>388.5000000009</v>
      </c>
      <c r="CJ8">
        <v>393.70000000049998</v>
      </c>
      <c r="CK8">
        <v>399.40000000020001</v>
      </c>
      <c r="CL8">
        <v>405.19999999919997</v>
      </c>
      <c r="CM8">
        <v>410.79999999969999</v>
      </c>
      <c r="CN8">
        <v>416.30000000080003</v>
      </c>
      <c r="CO8">
        <v>422.39999999949998</v>
      </c>
      <c r="CP8">
        <v>427.99999999990001</v>
      </c>
      <c r="CQ8">
        <v>433.0000000009</v>
      </c>
      <c r="CR8">
        <v>438.20000000049998</v>
      </c>
      <c r="CS8">
        <v>442.9</v>
      </c>
      <c r="CT8">
        <v>447.59999999950003</v>
      </c>
      <c r="CU8">
        <v>452.49999999940002</v>
      </c>
      <c r="CV8">
        <v>455.79999999969999</v>
      </c>
      <c r="CW8">
        <v>456.79999999990002</v>
      </c>
      <c r="CX8">
        <v>456.79999999990002</v>
      </c>
      <c r="CY8">
        <v>456.89999999920002</v>
      </c>
      <c r="CZ8">
        <v>456.89999999920002</v>
      </c>
      <c r="DA8">
        <v>456.89999999920002</v>
      </c>
      <c r="DB8">
        <v>456.89999999920002</v>
      </c>
      <c r="DC8">
        <v>456.89999999920002</v>
      </c>
      <c r="DD8">
        <v>457.00000000030002</v>
      </c>
      <c r="DE8">
        <v>457.00000000030002</v>
      </c>
      <c r="DF8">
        <v>457.00000000030002</v>
      </c>
      <c r="DG8">
        <v>0.90000000089999999</v>
      </c>
      <c r="DH8">
        <v>1.0999999995</v>
      </c>
      <c r="DI8">
        <v>1.0999999995</v>
      </c>
      <c r="DJ8">
        <v>1.0999999995</v>
      </c>
      <c r="DK8">
        <v>1.0999999995</v>
      </c>
      <c r="DL8">
        <v>1.0999999995</v>
      </c>
      <c r="DM8">
        <v>1.2000000006</v>
      </c>
      <c r="DN8">
        <v>1.2000000006</v>
      </c>
      <c r="DO8">
        <v>1.2000000006</v>
      </c>
      <c r="DP8">
        <v>1.2000000006</v>
      </c>
      <c r="DQ8">
        <v>1.2999999999</v>
      </c>
      <c r="DR8">
        <v>1.2000000006</v>
      </c>
      <c r="DS8">
        <v>1.2999999999</v>
      </c>
      <c r="DT8">
        <v>1.2999999999</v>
      </c>
      <c r="DU8">
        <v>1.400000001</v>
      </c>
      <c r="DV8">
        <v>1.400000001</v>
      </c>
      <c r="DW8">
        <v>3.6</v>
      </c>
      <c r="DX8">
        <v>8.2999999995000007</v>
      </c>
      <c r="DY8">
        <v>14.300000000700001</v>
      </c>
      <c r="DZ8">
        <v>21.0000000006</v>
      </c>
      <c r="EA8">
        <v>28.0000000002</v>
      </c>
      <c r="EB8">
        <v>35.200000000300001</v>
      </c>
      <c r="EC8">
        <v>42.7</v>
      </c>
      <c r="ED8">
        <v>50.100000000400001</v>
      </c>
      <c r="EE8">
        <v>57.600000000100003</v>
      </c>
      <c r="EF8">
        <v>65.099999999800005</v>
      </c>
      <c r="EG8">
        <v>72.400000000899993</v>
      </c>
      <c r="EH8">
        <v>79.999999999899998</v>
      </c>
      <c r="EI8">
        <v>87.900000000399999</v>
      </c>
      <c r="EJ8">
        <v>95.800000001000001</v>
      </c>
      <c r="EK8">
        <v>103.8000000008</v>
      </c>
      <c r="EL8">
        <v>112.1000000003</v>
      </c>
      <c r="EM8">
        <v>120.6000000002</v>
      </c>
      <c r="EN8">
        <v>128.80000000039999</v>
      </c>
      <c r="EO8">
        <v>137.00000000060001</v>
      </c>
      <c r="EP8">
        <v>145.3000000001</v>
      </c>
      <c r="EQ8">
        <v>153.39999999919999</v>
      </c>
      <c r="ER8">
        <v>161.7999999999</v>
      </c>
      <c r="ES8">
        <v>170.29999999980001</v>
      </c>
      <c r="ET8">
        <v>177.79999999949999</v>
      </c>
      <c r="EU8">
        <v>185.7</v>
      </c>
      <c r="EV8">
        <v>194.10000000060001</v>
      </c>
      <c r="EW8">
        <v>202.3000000008</v>
      </c>
      <c r="EX8">
        <v>210.39999999989999</v>
      </c>
      <c r="EY8">
        <v>218.39999999969999</v>
      </c>
      <c r="EZ8">
        <v>226.20000000100001</v>
      </c>
      <c r="FA8">
        <v>233.89999999930001</v>
      </c>
      <c r="FB8">
        <v>242.0999999995</v>
      </c>
      <c r="FC8">
        <v>250</v>
      </c>
      <c r="FD8">
        <v>257.99999999980002</v>
      </c>
      <c r="FE8">
        <v>266.2</v>
      </c>
      <c r="FF8">
        <v>274.19999999980001</v>
      </c>
      <c r="FG8">
        <v>280.80000000050001</v>
      </c>
      <c r="FH8">
        <v>287.89999999939999</v>
      </c>
      <c r="FI8">
        <v>295.40000000089998</v>
      </c>
      <c r="FJ8">
        <v>302.90000000060002</v>
      </c>
      <c r="FK8">
        <v>310.10000000060001</v>
      </c>
      <c r="FL8">
        <v>317.80000000069998</v>
      </c>
      <c r="FM8">
        <v>325.19999999930002</v>
      </c>
      <c r="FN8">
        <v>331.40000000089998</v>
      </c>
      <c r="FO8">
        <v>337.60000000069999</v>
      </c>
      <c r="FP8">
        <v>344.49999999919999</v>
      </c>
      <c r="FQ8">
        <v>351.30000000029997</v>
      </c>
      <c r="FR8">
        <v>357.79999999979998</v>
      </c>
      <c r="FS8">
        <v>364.2</v>
      </c>
      <c r="FT8">
        <v>371.19999999959998</v>
      </c>
      <c r="FU8">
        <v>377.70000000089999</v>
      </c>
      <c r="FV8">
        <v>383.10000000090002</v>
      </c>
      <c r="FW8">
        <v>388.6000000002</v>
      </c>
      <c r="FX8">
        <v>394.50000000030002</v>
      </c>
      <c r="FY8">
        <v>400.49999999969998</v>
      </c>
      <c r="FZ8">
        <v>406.3999999998</v>
      </c>
      <c r="GA8">
        <v>411.90000000100002</v>
      </c>
      <c r="GB8">
        <v>417.90000000039998</v>
      </c>
      <c r="GC8">
        <v>423.80000000050001</v>
      </c>
      <c r="GD8">
        <v>428.90000000079999</v>
      </c>
      <c r="GE8">
        <v>433.80000000069998</v>
      </c>
      <c r="GF8">
        <v>438.40000000089998</v>
      </c>
      <c r="GG8">
        <v>442.9</v>
      </c>
      <c r="GH8">
        <v>447.59999999950003</v>
      </c>
      <c r="GI8">
        <v>451.99999999929997</v>
      </c>
      <c r="GJ8">
        <v>455.2999999996</v>
      </c>
      <c r="GK8">
        <v>456.70000000060003</v>
      </c>
      <c r="GL8">
        <v>456.79999999990002</v>
      </c>
      <c r="GM8">
        <v>456.79999999990002</v>
      </c>
      <c r="GN8">
        <v>456.79999999990002</v>
      </c>
      <c r="GO8">
        <v>456.79999999990002</v>
      </c>
      <c r="GP8">
        <v>456.79999999990002</v>
      </c>
      <c r="GQ8">
        <v>456.79999999990002</v>
      </c>
      <c r="GR8">
        <v>456.79999999990002</v>
      </c>
      <c r="GS8">
        <v>456.89999999920002</v>
      </c>
      <c r="GT8">
        <v>456.89999999920002</v>
      </c>
      <c r="GU8">
        <v>456.89999999920002</v>
      </c>
      <c r="GV8">
        <v>457.00000000030002</v>
      </c>
      <c r="GW8">
        <v>1</v>
      </c>
      <c r="GX8">
        <v>112.8000000008</v>
      </c>
      <c r="GY8">
        <v>106.20000000020001</v>
      </c>
      <c r="GZ8">
        <v>106.20000000020001</v>
      </c>
      <c r="HA8">
        <v>120.6000000002</v>
      </c>
      <c r="HB8">
        <v>109.7732166304</v>
      </c>
      <c r="HC8">
        <v>-14.4</v>
      </c>
      <c r="HD8">
        <v>457.00000000030002</v>
      </c>
      <c r="HE8">
        <v>300.72224288910002</v>
      </c>
      <c r="HF8">
        <v>92.906137856399994</v>
      </c>
      <c r="HG8">
        <v>457.00000000030002</v>
      </c>
      <c r="HH8">
        <v>457.00000000030002</v>
      </c>
      <c r="HI8">
        <v>457.00000000030002</v>
      </c>
      <c r="HJ8">
        <v>457.00000000030002</v>
      </c>
      <c r="HK8">
        <v>117.3020527859</v>
      </c>
      <c r="HL8">
        <v>3.3293790337</v>
      </c>
      <c r="HM8">
        <v>3.2097266770999999</v>
      </c>
      <c r="HN8">
        <v>3.2509175335</v>
      </c>
      <c r="HO8">
        <v>3.1607241130000001</v>
      </c>
      <c r="HP8">
        <v>3.5140948434000001</v>
      </c>
      <c r="HQ8">
        <v>2.2298918124</v>
      </c>
      <c r="HR8">
        <v>16.867078773999999</v>
      </c>
      <c r="HS8">
        <v>-28.152492668600001</v>
      </c>
      <c r="HT8">
        <v>-192</v>
      </c>
      <c r="HU8">
        <v>410.4954595195</v>
      </c>
      <c r="HV8">
        <v>93.841642228699996</v>
      </c>
      <c r="HW8">
        <v>640</v>
      </c>
      <c r="HX8">
        <v>16.867078773999999</v>
      </c>
      <c r="HY8">
        <v>-28.152492668600001</v>
      </c>
      <c r="HZ8">
        <v>-192</v>
      </c>
      <c r="IA8">
        <v>410.4954595195</v>
      </c>
      <c r="IB8">
        <v>93.841642228699996</v>
      </c>
      <c r="IC8">
        <v>640</v>
      </c>
      <c r="ID8">
        <v>46.504540480800003</v>
      </c>
      <c r="IE8">
        <v>0.4140043772</v>
      </c>
      <c r="IF8">
        <v>-37.536656891500002</v>
      </c>
      <c r="IG8">
        <v>-256</v>
      </c>
      <c r="IH8">
        <v>433.07908096339997</v>
      </c>
      <c r="II8">
        <v>103.22580645159999</v>
      </c>
      <c r="IJ8">
        <v>704</v>
      </c>
      <c r="IK8">
        <v>393.62838074550001</v>
      </c>
      <c r="IL8">
        <v>121.9941348974</v>
      </c>
      <c r="IM8">
        <v>417.27653172940001</v>
      </c>
      <c r="IN8">
        <v>131.37829912020001</v>
      </c>
      <c r="IO8">
        <v>6.6999999999000002</v>
      </c>
      <c r="IP8">
        <v>6.0999999987000004</v>
      </c>
      <c r="IQ8">
        <v>8.5999999991999996</v>
      </c>
      <c r="IR8">
        <v>5.7914658586999996</v>
      </c>
      <c r="IS8">
        <v>5.7914658586999996</v>
      </c>
      <c r="IT8">
        <v>11.700000000899999</v>
      </c>
      <c r="IU8">
        <v>-28.152492668600001</v>
      </c>
      <c r="IV8">
        <v>15.199999999799999</v>
      </c>
      <c r="IW8">
        <v>44.5747800587</v>
      </c>
      <c r="IX8">
        <v>12.6</v>
      </c>
      <c r="IY8">
        <v>100.87976539589999</v>
      </c>
      <c r="IZ8">
        <v>-33.511725818199999</v>
      </c>
      <c r="JA8">
        <v>0.3354001667</v>
      </c>
      <c r="JB8">
        <v>-3.510001E-4</v>
      </c>
      <c r="JC8">
        <v>7.0419999999999997E-7</v>
      </c>
      <c r="JD8">
        <v>0.30035630969999999</v>
      </c>
      <c r="JE8">
        <v>0.27778909099999999</v>
      </c>
      <c r="JF8">
        <v>0.1003357822</v>
      </c>
      <c r="JG8">
        <v>110.2704757619</v>
      </c>
      <c r="JH8">
        <v>3.5140948434000001</v>
      </c>
      <c r="JI8">
        <v>3.2486870000000001E-3</v>
      </c>
      <c r="JJ8">
        <v>-7.1688700000000004E-5</v>
      </c>
      <c r="JK8">
        <v>3.3293790337</v>
      </c>
      <c r="JL8">
        <v>1.3527804879000001</v>
      </c>
      <c r="JM8">
        <v>0.53101468809999997</v>
      </c>
      <c r="JN8" t="s">
        <v>648</v>
      </c>
      <c r="JQ8">
        <v>1</v>
      </c>
    </row>
    <row r="9" spans="1:277">
      <c r="A9" t="s">
        <v>661</v>
      </c>
      <c r="B9" t="s">
        <v>662</v>
      </c>
      <c r="C9" t="s">
        <v>212</v>
      </c>
      <c r="D9">
        <v>3</v>
      </c>
      <c r="E9" t="s">
        <v>213</v>
      </c>
      <c r="F9" t="s">
        <v>214</v>
      </c>
      <c r="G9" t="s">
        <v>647</v>
      </c>
      <c r="H9" t="s">
        <v>216</v>
      </c>
      <c r="J9" t="s">
        <v>272</v>
      </c>
      <c r="K9" t="s">
        <v>273</v>
      </c>
      <c r="L9" t="s">
        <v>274</v>
      </c>
      <c r="M9" t="s">
        <v>275</v>
      </c>
      <c r="N9" t="s">
        <v>276</v>
      </c>
      <c r="O9">
        <v>0</v>
      </c>
      <c r="P9">
        <v>0</v>
      </c>
      <c r="Q9">
        <v>9.9999999300000003E-2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9.9999999300000003E-2</v>
      </c>
      <c r="Y9">
        <v>0</v>
      </c>
      <c r="Z9">
        <v>9.9999999300000003E-2</v>
      </c>
      <c r="AA9">
        <v>0</v>
      </c>
      <c r="AB9">
        <v>9.9999999300000003E-2</v>
      </c>
      <c r="AC9">
        <v>9.9999999300000003E-2</v>
      </c>
      <c r="AD9">
        <v>0.20000000039999999</v>
      </c>
      <c r="AE9">
        <v>9.9999999300000003E-2</v>
      </c>
      <c r="AF9">
        <v>0.20000000039999999</v>
      </c>
      <c r="AG9">
        <v>0.20000000039999999</v>
      </c>
      <c r="AH9">
        <v>0.40000000079999998</v>
      </c>
      <c r="AI9">
        <v>3.3000000002999998</v>
      </c>
      <c r="AJ9">
        <v>8.4999999999</v>
      </c>
      <c r="AK9">
        <v>14.300000000700001</v>
      </c>
      <c r="AL9">
        <v>21.0000000006</v>
      </c>
      <c r="AM9">
        <v>28.299999999899999</v>
      </c>
      <c r="AN9">
        <v>36.000000000100002</v>
      </c>
      <c r="AO9">
        <v>43.499999999800004</v>
      </c>
      <c r="AP9">
        <v>50.900000000200002</v>
      </c>
      <c r="AQ9">
        <v>58.699999999600003</v>
      </c>
      <c r="AR9">
        <v>65.800000000300003</v>
      </c>
      <c r="AS9">
        <v>73.500000000399993</v>
      </c>
      <c r="AT9">
        <v>81.500000000200004</v>
      </c>
      <c r="AU9">
        <v>89.400000000800006</v>
      </c>
      <c r="AV9">
        <v>97.599999999100007</v>
      </c>
      <c r="AW9">
        <v>106.2999999995</v>
      </c>
      <c r="AX9">
        <v>114.60000000079999</v>
      </c>
      <c r="AY9">
        <v>122.60000000060001</v>
      </c>
      <c r="AZ9">
        <v>130.90000000009999</v>
      </c>
      <c r="BA9">
        <v>139.10000000030001</v>
      </c>
      <c r="BB9">
        <v>147.3999999998</v>
      </c>
      <c r="BC9">
        <v>156.1000000002</v>
      </c>
      <c r="BD9">
        <v>164.39999999969999</v>
      </c>
      <c r="BE9">
        <v>172.00000000049999</v>
      </c>
      <c r="BF9">
        <v>180.20000000069999</v>
      </c>
      <c r="BG9">
        <v>188.5000000002</v>
      </c>
      <c r="BH9">
        <v>196.90000000079999</v>
      </c>
      <c r="BI9">
        <v>205.2999999996</v>
      </c>
      <c r="BJ9">
        <v>213.4999999998</v>
      </c>
      <c r="BK9">
        <v>221.10000000069999</v>
      </c>
      <c r="BL9">
        <v>228.90000000009999</v>
      </c>
      <c r="BM9">
        <v>236.99999999920001</v>
      </c>
      <c r="BN9">
        <v>244.80000000039999</v>
      </c>
      <c r="BO9">
        <v>252.89999999950001</v>
      </c>
      <c r="BP9">
        <v>261.00000000040001</v>
      </c>
      <c r="BQ9">
        <v>268.29999999969999</v>
      </c>
      <c r="BR9">
        <v>275.40000000039998</v>
      </c>
      <c r="BS9">
        <v>282.99999999940002</v>
      </c>
      <c r="BT9">
        <v>290.49999999919999</v>
      </c>
      <c r="BU9">
        <v>297.80000000029997</v>
      </c>
      <c r="BV9">
        <v>305.3</v>
      </c>
      <c r="BW9">
        <v>312.79999999969999</v>
      </c>
      <c r="BX9">
        <v>319.60000000069999</v>
      </c>
      <c r="BY9">
        <v>326.1000000002</v>
      </c>
      <c r="BZ9">
        <v>333.00000000049999</v>
      </c>
      <c r="CA9">
        <v>339.79999999969999</v>
      </c>
      <c r="CB9">
        <v>346.40000000039998</v>
      </c>
      <c r="CC9">
        <v>353.10000000029999</v>
      </c>
      <c r="CD9">
        <v>359.80000000019999</v>
      </c>
      <c r="CE9">
        <v>366.40000000079999</v>
      </c>
      <c r="CF9">
        <v>372.19999999980001</v>
      </c>
      <c r="CG9">
        <v>378.00000000059998</v>
      </c>
      <c r="CH9">
        <v>384.0999999993</v>
      </c>
      <c r="CI9">
        <v>390.10000000050002</v>
      </c>
      <c r="CJ9">
        <v>395.89999999949998</v>
      </c>
      <c r="CK9">
        <v>401.90000000079999</v>
      </c>
      <c r="CL9">
        <v>407.69999999970003</v>
      </c>
      <c r="CM9">
        <v>413.69999999919997</v>
      </c>
      <c r="CN9">
        <v>419.09999999920001</v>
      </c>
      <c r="CO9">
        <v>424.1000000002</v>
      </c>
      <c r="CP9">
        <v>429.20000000049998</v>
      </c>
      <c r="CQ9">
        <v>434.80000000090001</v>
      </c>
      <c r="CR9">
        <v>439.89999999939999</v>
      </c>
      <c r="CS9">
        <v>444.99999999969998</v>
      </c>
      <c r="CT9">
        <v>449.89999999960003</v>
      </c>
      <c r="CU9">
        <v>454.20000000009998</v>
      </c>
      <c r="CV9">
        <v>456.29999999979998</v>
      </c>
      <c r="CW9">
        <v>456.50000000019998</v>
      </c>
      <c r="CX9">
        <v>456.59999999950003</v>
      </c>
      <c r="CY9">
        <v>456.59999999950003</v>
      </c>
      <c r="CZ9">
        <v>456.70000000060003</v>
      </c>
      <c r="DA9">
        <v>456.70000000060003</v>
      </c>
      <c r="DB9">
        <v>456.79999999990002</v>
      </c>
      <c r="DC9">
        <v>456.79999999990002</v>
      </c>
      <c r="DD9">
        <v>456.79999999990002</v>
      </c>
      <c r="DE9">
        <v>456.79999999990002</v>
      </c>
      <c r="DF9">
        <v>456.79999999990002</v>
      </c>
      <c r="DG9">
        <v>1.0999999995</v>
      </c>
      <c r="DH9">
        <v>1.2000000006</v>
      </c>
      <c r="DI9">
        <v>1.2999999999</v>
      </c>
      <c r="DJ9">
        <v>1.2999999999</v>
      </c>
      <c r="DK9">
        <v>1.2999999999</v>
      </c>
      <c r="DL9">
        <v>1.3999999992000001</v>
      </c>
      <c r="DM9">
        <v>1.2999999999</v>
      </c>
      <c r="DN9">
        <v>1.2999999999</v>
      </c>
      <c r="DO9">
        <v>1.2999999999</v>
      </c>
      <c r="DP9">
        <v>1.3999999992000001</v>
      </c>
      <c r="DQ9">
        <v>1.2999999999</v>
      </c>
      <c r="DR9">
        <v>1.3999999992000001</v>
      </c>
      <c r="DS9">
        <v>1.2999999999</v>
      </c>
      <c r="DT9">
        <v>1.2999999999</v>
      </c>
      <c r="DU9">
        <v>1.2999999999</v>
      </c>
      <c r="DV9">
        <v>1.2999999999</v>
      </c>
      <c r="DW9">
        <v>2.3000000000999998</v>
      </c>
      <c r="DX9">
        <v>6.4000000002000004</v>
      </c>
      <c r="DY9">
        <v>12.3999999996</v>
      </c>
      <c r="DZ9">
        <v>19.0999999995</v>
      </c>
      <c r="EA9">
        <v>26.400000000599999</v>
      </c>
      <c r="EB9">
        <v>33.799999999199997</v>
      </c>
      <c r="EC9">
        <v>41.600000000500003</v>
      </c>
      <c r="ED9">
        <v>49.000000000900002</v>
      </c>
      <c r="EE9">
        <v>57.000000000699998</v>
      </c>
      <c r="EF9">
        <v>64.099999999600001</v>
      </c>
      <c r="EG9">
        <v>71.599999999299996</v>
      </c>
      <c r="EH9">
        <v>79.499999999799996</v>
      </c>
      <c r="EI9">
        <v>87.400000000299997</v>
      </c>
      <c r="EJ9">
        <v>95.300000000899999</v>
      </c>
      <c r="EK9">
        <v>103.6999999997</v>
      </c>
      <c r="EL9">
        <v>112.1000000003</v>
      </c>
      <c r="EM9">
        <v>120.19999999940001</v>
      </c>
      <c r="EN9">
        <v>128.6</v>
      </c>
      <c r="EO9">
        <v>136.89999999950001</v>
      </c>
      <c r="EP9">
        <v>145.2000000008</v>
      </c>
      <c r="EQ9">
        <v>153.59999999959999</v>
      </c>
      <c r="ER9">
        <v>162.20000000069999</v>
      </c>
      <c r="ES9">
        <v>169.90000000079999</v>
      </c>
      <c r="ET9">
        <v>178.20000000030001</v>
      </c>
      <c r="EU9">
        <v>186.4000000005</v>
      </c>
      <c r="EV9">
        <v>194.79999999930001</v>
      </c>
      <c r="EW9">
        <v>203.1999999999</v>
      </c>
      <c r="EX9">
        <v>211.69999999980001</v>
      </c>
      <c r="EY9">
        <v>219.30000000070001</v>
      </c>
      <c r="EZ9">
        <v>227.19999999940001</v>
      </c>
      <c r="FA9">
        <v>235.3000000003</v>
      </c>
      <c r="FB9">
        <v>243.39999999939999</v>
      </c>
      <c r="FC9">
        <v>251.39999999919999</v>
      </c>
      <c r="FD9">
        <v>259.70000000049998</v>
      </c>
      <c r="FE9">
        <v>267.29999999950002</v>
      </c>
      <c r="FF9">
        <v>274.49999999950001</v>
      </c>
      <c r="FG9">
        <v>281.99999999919999</v>
      </c>
      <c r="FH9">
        <v>289.60000000010001</v>
      </c>
      <c r="FI9">
        <v>297.09999999979999</v>
      </c>
      <c r="FJ9">
        <v>304.59999999950003</v>
      </c>
      <c r="FK9">
        <v>312.20000000030001</v>
      </c>
      <c r="FL9">
        <v>319.10000000060001</v>
      </c>
      <c r="FM9">
        <v>325.69999999940001</v>
      </c>
      <c r="FN9">
        <v>332.7000000008</v>
      </c>
      <c r="FO9">
        <v>339.40000000079999</v>
      </c>
      <c r="FP9">
        <v>346.2</v>
      </c>
      <c r="FQ9">
        <v>352.99999999919999</v>
      </c>
      <c r="FR9">
        <v>359.70000000089999</v>
      </c>
      <c r="FS9">
        <v>366.29999999969999</v>
      </c>
      <c r="FT9">
        <v>372.19999999980001</v>
      </c>
      <c r="FU9">
        <v>378.19999999919997</v>
      </c>
      <c r="FV9">
        <v>384.29999999969999</v>
      </c>
      <c r="FW9">
        <v>390.29999999910001</v>
      </c>
      <c r="FX9">
        <v>396.19999999919997</v>
      </c>
      <c r="FY9">
        <v>402.2000000004</v>
      </c>
      <c r="FZ9">
        <v>408.10000000060001</v>
      </c>
      <c r="GA9">
        <v>413.89999999960003</v>
      </c>
      <c r="GB9">
        <v>419.2999999996</v>
      </c>
      <c r="GC9">
        <v>424.19999999949999</v>
      </c>
      <c r="GD9">
        <v>429.29999999979998</v>
      </c>
      <c r="GE9">
        <v>434.49999999940002</v>
      </c>
      <c r="GF9">
        <v>439.50000000040001</v>
      </c>
      <c r="GG9">
        <v>444.4000000003</v>
      </c>
      <c r="GH9">
        <v>448.8000000001</v>
      </c>
      <c r="GI9">
        <v>452.90000000020001</v>
      </c>
      <c r="GJ9">
        <v>455.5999999993</v>
      </c>
      <c r="GK9">
        <v>456.50000000019998</v>
      </c>
      <c r="GL9">
        <v>456.59999999950003</v>
      </c>
      <c r="GM9">
        <v>456.70000000060003</v>
      </c>
      <c r="GN9">
        <v>456.70000000060003</v>
      </c>
      <c r="GO9">
        <v>456.70000000060003</v>
      </c>
      <c r="GP9">
        <v>456.70000000060003</v>
      </c>
      <c r="GQ9">
        <v>456.70000000060003</v>
      </c>
      <c r="GR9">
        <v>456.70000000060003</v>
      </c>
      <c r="GS9">
        <v>456.70000000060003</v>
      </c>
      <c r="GT9">
        <v>456.79999999990002</v>
      </c>
      <c r="GU9">
        <v>456.79999999990002</v>
      </c>
      <c r="GV9">
        <v>456.79999999990002</v>
      </c>
      <c r="GW9">
        <v>1</v>
      </c>
      <c r="GX9">
        <v>112.6000000004</v>
      </c>
      <c r="GY9">
        <v>106.2999999995</v>
      </c>
      <c r="GZ9">
        <v>106.2999999995</v>
      </c>
      <c r="HA9">
        <v>120.19999999940001</v>
      </c>
      <c r="HB9">
        <v>109.7460923812</v>
      </c>
      <c r="HC9">
        <v>-13.8999999999</v>
      </c>
      <c r="HD9">
        <v>456.79999999990002</v>
      </c>
      <c r="HE9">
        <v>296.89033493969998</v>
      </c>
      <c r="HF9">
        <v>87.978316548799995</v>
      </c>
      <c r="HG9">
        <v>456.79999999990002</v>
      </c>
      <c r="HH9">
        <v>456.79999999990002</v>
      </c>
      <c r="HI9">
        <v>456.79999999990002</v>
      </c>
      <c r="HJ9">
        <v>456.79999999990002</v>
      </c>
      <c r="HK9">
        <v>117.3020527859</v>
      </c>
      <c r="HL9">
        <v>3.3697616019000001</v>
      </c>
      <c r="HM9">
        <v>3.2675139375</v>
      </c>
      <c r="HN9">
        <v>3.2904076347000002</v>
      </c>
      <c r="HO9">
        <v>3.2825259566999998</v>
      </c>
      <c r="HP9">
        <v>3.5717567563000001</v>
      </c>
      <c r="HQ9">
        <v>2.2808296725999999</v>
      </c>
      <c r="HR9">
        <v>21.767775832400002</v>
      </c>
      <c r="HS9">
        <v>-25.806451612899998</v>
      </c>
      <c r="HT9">
        <v>-176</v>
      </c>
      <c r="HU9">
        <v>406.6364273209</v>
      </c>
      <c r="HV9">
        <v>91.495601172999997</v>
      </c>
      <c r="HW9">
        <v>624</v>
      </c>
      <c r="HX9">
        <v>21.767775832400002</v>
      </c>
      <c r="HY9">
        <v>-25.806451612899998</v>
      </c>
      <c r="HZ9">
        <v>-176</v>
      </c>
      <c r="IA9">
        <v>406.6364273209</v>
      </c>
      <c r="IB9">
        <v>91.495601172999997</v>
      </c>
      <c r="IC9">
        <v>624</v>
      </c>
      <c r="ID9">
        <v>50.163572678999998</v>
      </c>
      <c r="IE9">
        <v>0.44465849470000002</v>
      </c>
      <c r="IF9">
        <v>-35.190615835800003</v>
      </c>
      <c r="IG9">
        <v>-240</v>
      </c>
      <c r="IH9">
        <v>428.57206654959998</v>
      </c>
      <c r="II9">
        <v>100.87976539589999</v>
      </c>
      <c r="IJ9">
        <v>688</v>
      </c>
      <c r="IK9">
        <v>384.86865148850001</v>
      </c>
      <c r="IL9">
        <v>117.3020527859</v>
      </c>
      <c r="IM9">
        <v>409.38021015729998</v>
      </c>
      <c r="IN9">
        <v>126.6862170088</v>
      </c>
      <c r="IO9">
        <v>6.6999999999000002</v>
      </c>
      <c r="IP9">
        <v>5.9999999994</v>
      </c>
      <c r="IQ9">
        <v>8.7000000002999993</v>
      </c>
      <c r="IR9">
        <v>6.0868030945999996</v>
      </c>
      <c r="IS9">
        <v>6.0868030945999996</v>
      </c>
      <c r="IT9">
        <v>12.0999999999</v>
      </c>
      <c r="IU9">
        <v>-28.152492668600001</v>
      </c>
      <c r="IV9">
        <v>14.9000000001</v>
      </c>
      <c r="IW9">
        <v>39.8826979472</v>
      </c>
      <c r="IX9">
        <v>11.5999999998</v>
      </c>
      <c r="IY9">
        <v>96.187683284499997</v>
      </c>
      <c r="IZ9">
        <v>-32.793714207500003</v>
      </c>
      <c r="JA9">
        <v>0.32752510730000001</v>
      </c>
      <c r="JB9">
        <v>-3.3277749999999998E-4</v>
      </c>
      <c r="JC9">
        <v>6.8609999999999998E-7</v>
      </c>
      <c r="JD9">
        <v>0.29675689799999999</v>
      </c>
      <c r="JE9">
        <v>0.16679819930000001</v>
      </c>
      <c r="JF9">
        <v>7.2776526499999994E-2</v>
      </c>
      <c r="JG9">
        <v>110.0869434936</v>
      </c>
      <c r="JH9">
        <v>3.5717567563000001</v>
      </c>
      <c r="JI9">
        <v>2.8189916000000001E-3</v>
      </c>
      <c r="JJ9">
        <v>-7.1942100000000004E-5</v>
      </c>
      <c r="JK9">
        <v>3.3697616019000001</v>
      </c>
      <c r="JL9">
        <v>1.2544908199</v>
      </c>
      <c r="JM9">
        <v>0.48677662090000001</v>
      </c>
      <c r="JN9" t="s">
        <v>648</v>
      </c>
      <c r="JQ9">
        <v>1</v>
      </c>
    </row>
    <row r="10" spans="1:277">
      <c r="A10" t="s">
        <v>663</v>
      </c>
      <c r="B10" t="s">
        <v>664</v>
      </c>
      <c r="C10" t="s">
        <v>212</v>
      </c>
      <c r="D10">
        <v>3</v>
      </c>
      <c r="E10" t="s">
        <v>213</v>
      </c>
      <c r="F10" t="s">
        <v>214</v>
      </c>
      <c r="G10" t="s">
        <v>647</v>
      </c>
      <c r="H10" t="s">
        <v>216</v>
      </c>
      <c r="J10" t="s">
        <v>279</v>
      </c>
      <c r="K10" t="s">
        <v>280</v>
      </c>
      <c r="L10" t="s">
        <v>281</v>
      </c>
      <c r="M10" t="s">
        <v>282</v>
      </c>
      <c r="N10" t="s">
        <v>283</v>
      </c>
      <c r="O10">
        <v>0</v>
      </c>
      <c r="P10">
        <v>0</v>
      </c>
      <c r="Q10">
        <v>0</v>
      </c>
      <c r="R10">
        <v>0.50000000010000001</v>
      </c>
      <c r="S10">
        <v>0.50000000010000001</v>
      </c>
      <c r="T10">
        <v>0.50000000010000001</v>
      </c>
      <c r="U10">
        <v>0.59999999940000004</v>
      </c>
      <c r="V10">
        <v>0.59999999940000004</v>
      </c>
      <c r="W10">
        <v>0.59999999940000004</v>
      </c>
      <c r="X10">
        <v>0.59999999940000004</v>
      </c>
      <c r="Y10">
        <v>0.59999999940000004</v>
      </c>
      <c r="Z10">
        <v>0.69999999869999996</v>
      </c>
      <c r="AA10">
        <v>0.69999999869999996</v>
      </c>
      <c r="AB10">
        <v>0.69999999869999996</v>
      </c>
      <c r="AC10">
        <v>0.69999999869999996</v>
      </c>
      <c r="AD10">
        <v>0.79999999980000003</v>
      </c>
      <c r="AE10">
        <v>0.89999999909999995</v>
      </c>
      <c r="AF10">
        <v>0.79999999980000003</v>
      </c>
      <c r="AG10">
        <v>0.79999999980000003</v>
      </c>
      <c r="AH10">
        <v>3.7999999986000002</v>
      </c>
      <c r="AI10">
        <v>8.8999999989000003</v>
      </c>
      <c r="AJ10">
        <v>14.199999999599999</v>
      </c>
      <c r="AK10">
        <v>20.599999999800001</v>
      </c>
      <c r="AL10">
        <v>27.699999998700001</v>
      </c>
      <c r="AM10">
        <v>34.999999999899998</v>
      </c>
      <c r="AN10">
        <v>42.199999999900001</v>
      </c>
      <c r="AO10">
        <v>48.999999999099998</v>
      </c>
      <c r="AP10">
        <v>56.199999999100001</v>
      </c>
      <c r="AQ10">
        <v>63.899999999199999</v>
      </c>
      <c r="AR10">
        <v>71.299999999600004</v>
      </c>
      <c r="AS10">
        <v>79.200000000100005</v>
      </c>
      <c r="AT10">
        <v>87.499999999600007</v>
      </c>
      <c r="AU10">
        <v>95.199999999699997</v>
      </c>
      <c r="AV10">
        <v>102.69999999949999</v>
      </c>
      <c r="AW10">
        <v>110.6999999993</v>
      </c>
      <c r="AX10">
        <v>119.09999999990001</v>
      </c>
      <c r="AY10">
        <v>127.8000000002</v>
      </c>
      <c r="AZ10">
        <v>136.39999999939999</v>
      </c>
      <c r="BA10">
        <v>144.9999999986</v>
      </c>
      <c r="BB10">
        <v>152.59999999940001</v>
      </c>
      <c r="BC10">
        <v>160.2999999996</v>
      </c>
      <c r="BD10">
        <v>168.2000000001</v>
      </c>
      <c r="BE10">
        <v>176.49999999959999</v>
      </c>
      <c r="BF10">
        <v>184.99999999950001</v>
      </c>
      <c r="BG10">
        <v>193.49999999939999</v>
      </c>
      <c r="BH10">
        <v>201.49999999920001</v>
      </c>
      <c r="BI10">
        <v>209.19999999929999</v>
      </c>
      <c r="BJ10">
        <v>217.19999999909999</v>
      </c>
      <c r="BK10">
        <v>225.3000000001</v>
      </c>
      <c r="BL10">
        <v>233.50000000029999</v>
      </c>
      <c r="BM10">
        <v>241.8999999991</v>
      </c>
      <c r="BN10">
        <v>249.8999999989</v>
      </c>
      <c r="BO10">
        <v>257.39999999859998</v>
      </c>
      <c r="BP10">
        <v>264.90000000010002</v>
      </c>
      <c r="BQ10">
        <v>273.49999999929997</v>
      </c>
      <c r="BR10">
        <v>281.2999999987</v>
      </c>
      <c r="BS10">
        <v>288.30000000019999</v>
      </c>
      <c r="BT10">
        <v>296.00000000030002</v>
      </c>
      <c r="BU10">
        <v>303.3999999989</v>
      </c>
      <c r="BV10">
        <v>310.4000000003</v>
      </c>
      <c r="BW10">
        <v>318.19999999970003</v>
      </c>
      <c r="BX10">
        <v>325.8999999998</v>
      </c>
      <c r="BY10">
        <v>333.19999999909999</v>
      </c>
      <c r="BZ10">
        <v>339.69999999859999</v>
      </c>
      <c r="CA10">
        <v>346.2</v>
      </c>
      <c r="CB10">
        <v>352.79999999879999</v>
      </c>
      <c r="CC10">
        <v>359.3000000001</v>
      </c>
      <c r="CD10">
        <v>366.29999999969999</v>
      </c>
      <c r="CE10">
        <v>373.39999999859998</v>
      </c>
      <c r="CF10">
        <v>379.89999999989999</v>
      </c>
      <c r="CG10">
        <v>386.199999999</v>
      </c>
      <c r="CH10">
        <v>391.99999999980002</v>
      </c>
      <c r="CI10">
        <v>397.99999999919999</v>
      </c>
      <c r="CJ10">
        <v>403.89999999930001</v>
      </c>
      <c r="CK10">
        <v>409.79999999939997</v>
      </c>
      <c r="CL10">
        <v>415.60000000029999</v>
      </c>
      <c r="CM10">
        <v>421.99999999869999</v>
      </c>
      <c r="CN10">
        <v>428.09999999920001</v>
      </c>
      <c r="CO10">
        <v>433.99999999929997</v>
      </c>
      <c r="CP10">
        <v>439.5999999997</v>
      </c>
      <c r="CQ10">
        <v>444.99999999969998</v>
      </c>
      <c r="CR10">
        <v>449.59999999989998</v>
      </c>
      <c r="CS10">
        <v>453.59999999889999</v>
      </c>
      <c r="CT10">
        <v>457.99999999869999</v>
      </c>
      <c r="CU10">
        <v>460.49999999919999</v>
      </c>
      <c r="CV10">
        <v>460.69999999959998</v>
      </c>
      <c r="CW10">
        <v>460.69999999959998</v>
      </c>
      <c r="CX10">
        <v>460.69999999959998</v>
      </c>
      <c r="CY10">
        <v>460.79999999889998</v>
      </c>
      <c r="CZ10">
        <v>460.9</v>
      </c>
      <c r="DA10">
        <v>460.9</v>
      </c>
      <c r="DB10">
        <v>460.9</v>
      </c>
      <c r="DC10">
        <v>460.9</v>
      </c>
      <c r="DD10">
        <v>460.9</v>
      </c>
      <c r="DE10">
        <v>460.9</v>
      </c>
      <c r="DF10">
        <v>460.99999999929997</v>
      </c>
      <c r="DG10">
        <v>0.79999999980000003</v>
      </c>
      <c r="DH10">
        <v>1.5999999996000001</v>
      </c>
      <c r="DI10">
        <v>1.5000000003</v>
      </c>
      <c r="DJ10">
        <v>1.5999999996000001</v>
      </c>
      <c r="DK10">
        <v>1.5999999996000001</v>
      </c>
      <c r="DL10">
        <v>1.5999999996000001</v>
      </c>
      <c r="DM10">
        <v>1.5999999996000001</v>
      </c>
      <c r="DN10">
        <v>1.6999999989000001</v>
      </c>
      <c r="DO10">
        <v>1.6999999989000001</v>
      </c>
      <c r="DP10">
        <v>1.6999999989000001</v>
      </c>
      <c r="DQ10">
        <v>1.6999999989000001</v>
      </c>
      <c r="DR10">
        <v>1.6999999989000001</v>
      </c>
      <c r="DS10">
        <v>1.6999999989000001</v>
      </c>
      <c r="DT10">
        <v>1.6999999989000001</v>
      </c>
      <c r="DU10">
        <v>1.8</v>
      </c>
      <c r="DV10">
        <v>3.0999999999000001</v>
      </c>
      <c r="DW10">
        <v>6.9999999996</v>
      </c>
      <c r="DX10">
        <v>12.0999999999</v>
      </c>
      <c r="DY10">
        <v>18.399999998999998</v>
      </c>
      <c r="DZ10">
        <v>25.700000000100001</v>
      </c>
      <c r="EA10">
        <v>32.999999999400004</v>
      </c>
      <c r="EB10">
        <v>40.299999998799997</v>
      </c>
      <c r="EC10">
        <v>47.300000000200001</v>
      </c>
      <c r="ED10">
        <v>54.299999999800001</v>
      </c>
      <c r="EE10">
        <v>61.899999998799998</v>
      </c>
      <c r="EF10">
        <v>68.999999999500005</v>
      </c>
      <c r="EG10">
        <v>77.199999999699997</v>
      </c>
      <c r="EH10">
        <v>85.4999999992</v>
      </c>
      <c r="EI10">
        <v>93.3999999997</v>
      </c>
      <c r="EJ10">
        <v>100.8000000002</v>
      </c>
      <c r="EK10">
        <v>108.2999999999</v>
      </c>
      <c r="EL10">
        <v>116.399999999</v>
      </c>
      <c r="EM10">
        <v>125.29999999970001</v>
      </c>
      <c r="EN10">
        <v>134.39999999899999</v>
      </c>
      <c r="EO10">
        <v>143</v>
      </c>
      <c r="EP10">
        <v>150.7999999994</v>
      </c>
      <c r="EQ10">
        <v>158.4000000003</v>
      </c>
      <c r="ER10">
        <v>166.29999999899999</v>
      </c>
      <c r="ES10">
        <v>174.49999999920001</v>
      </c>
      <c r="ET10">
        <v>183.1000000002</v>
      </c>
      <c r="EU10">
        <v>191.69999999940001</v>
      </c>
      <c r="EV10">
        <v>199.6999999992</v>
      </c>
      <c r="EW10">
        <v>207.4999999986</v>
      </c>
      <c r="EX10">
        <v>215.5000000002</v>
      </c>
      <c r="EY10">
        <v>223.50000000009999</v>
      </c>
      <c r="EZ10">
        <v>231.7999999996</v>
      </c>
      <c r="FA10">
        <v>240.29999999949999</v>
      </c>
      <c r="FB10">
        <v>248.49999999970001</v>
      </c>
      <c r="FC10">
        <v>256.09999999870001</v>
      </c>
      <c r="FD10">
        <v>263.6000000002</v>
      </c>
      <c r="FE10">
        <v>271.99999999900001</v>
      </c>
      <c r="FF10">
        <v>279.99999999879998</v>
      </c>
      <c r="FG10">
        <v>287.19999999880002</v>
      </c>
      <c r="FH10">
        <v>295.09999999939998</v>
      </c>
      <c r="FI10">
        <v>302.59999999910002</v>
      </c>
      <c r="FJ10">
        <v>309.69999999980001</v>
      </c>
      <c r="FK10">
        <v>317.49999999919999</v>
      </c>
      <c r="FL10">
        <v>325.29999999860001</v>
      </c>
      <c r="FM10">
        <v>332.4999999986</v>
      </c>
      <c r="FN10">
        <v>338.99999999990001</v>
      </c>
      <c r="FO10">
        <v>345.6999999999</v>
      </c>
      <c r="FP10">
        <v>352.4999999991</v>
      </c>
      <c r="FQ10">
        <v>359.0999999997</v>
      </c>
      <c r="FR10">
        <v>366.0999999993</v>
      </c>
      <c r="FS10">
        <v>373.2</v>
      </c>
      <c r="FT10">
        <v>379.69999999949999</v>
      </c>
      <c r="FU10">
        <v>385.89999999930001</v>
      </c>
      <c r="FV10">
        <v>391.79999999939997</v>
      </c>
      <c r="FW10">
        <v>397.99999999919999</v>
      </c>
      <c r="FX10">
        <v>403.89999999930001</v>
      </c>
      <c r="FY10">
        <v>409.70000000020002</v>
      </c>
      <c r="FZ10">
        <v>415.69999999959998</v>
      </c>
      <c r="GA10">
        <v>421.99999999869999</v>
      </c>
      <c r="GB10">
        <v>427.79999999950002</v>
      </c>
      <c r="GC10">
        <v>433.69999999959998</v>
      </c>
      <c r="GD10">
        <v>439.09999999960002</v>
      </c>
      <c r="GE10">
        <v>444.4000000003</v>
      </c>
      <c r="GF10">
        <v>448.99999999869999</v>
      </c>
      <c r="GG10">
        <v>452.90000000020001</v>
      </c>
      <c r="GH10">
        <v>457.3</v>
      </c>
      <c r="GI10">
        <v>460.1000000002</v>
      </c>
      <c r="GJ10">
        <v>460.60000000029999</v>
      </c>
      <c r="GK10">
        <v>460.60000000029999</v>
      </c>
      <c r="GL10">
        <v>460.69999999959998</v>
      </c>
      <c r="GM10">
        <v>460.60000000029999</v>
      </c>
      <c r="GN10">
        <v>460.69999999959998</v>
      </c>
      <c r="GO10">
        <v>460.79999999889998</v>
      </c>
      <c r="GP10">
        <v>460.79999999889998</v>
      </c>
      <c r="GQ10">
        <v>460.9</v>
      </c>
      <c r="GR10">
        <v>460.9</v>
      </c>
      <c r="GS10">
        <v>460.99999999929997</v>
      </c>
      <c r="GT10">
        <v>460.9</v>
      </c>
      <c r="GU10">
        <v>460.99999999929997</v>
      </c>
      <c r="GV10">
        <v>460.9</v>
      </c>
      <c r="GW10">
        <v>1</v>
      </c>
      <c r="GX10">
        <v>116.79999999979999</v>
      </c>
      <c r="GY10">
        <v>110.6999999993</v>
      </c>
      <c r="GZ10">
        <v>110.6999999993</v>
      </c>
      <c r="HA10">
        <v>125.29999999970001</v>
      </c>
      <c r="HB10">
        <v>114.43749864350001</v>
      </c>
      <c r="HC10">
        <v>-14.6000000004</v>
      </c>
      <c r="HD10">
        <v>460.9</v>
      </c>
      <c r="HE10">
        <v>306.37015945270002</v>
      </c>
      <c r="HF10">
        <v>93.116552771000002</v>
      </c>
      <c r="HG10">
        <v>460.99999999929997</v>
      </c>
      <c r="HH10">
        <v>460.99999999929997</v>
      </c>
      <c r="HI10">
        <v>460.99999999929997</v>
      </c>
      <c r="HJ10">
        <v>460.99999999929997</v>
      </c>
      <c r="HK10">
        <v>112.6099706745</v>
      </c>
      <c r="HL10">
        <v>3.3729917349999998</v>
      </c>
      <c r="HM10">
        <v>3.2607694444000002</v>
      </c>
      <c r="HN10">
        <v>3.2803289683000001</v>
      </c>
      <c r="HO10">
        <v>3.1438990368000002</v>
      </c>
      <c r="HP10">
        <v>3.529360558</v>
      </c>
      <c r="HQ10">
        <v>2.3146279792</v>
      </c>
      <c r="HR10">
        <v>21.320945872500001</v>
      </c>
      <c r="HS10">
        <v>-28.152492668600001</v>
      </c>
      <c r="HT10">
        <v>-192</v>
      </c>
      <c r="HU10">
        <v>420.8076580961</v>
      </c>
      <c r="HV10">
        <v>93.841642228699996</v>
      </c>
      <c r="HW10">
        <v>640</v>
      </c>
      <c r="HX10">
        <v>21.320945872500001</v>
      </c>
      <c r="HY10">
        <v>-28.152492668600001</v>
      </c>
      <c r="HZ10">
        <v>-192</v>
      </c>
      <c r="IA10">
        <v>420.8076580961</v>
      </c>
      <c r="IB10">
        <v>93.841642228699996</v>
      </c>
      <c r="IC10">
        <v>640</v>
      </c>
      <c r="ID10">
        <v>40.192341903200003</v>
      </c>
      <c r="IE10">
        <v>0.85245688230000005</v>
      </c>
      <c r="IF10">
        <v>-37.536656891500002</v>
      </c>
      <c r="IG10">
        <v>-256</v>
      </c>
      <c r="IH10">
        <v>443.90927432500001</v>
      </c>
      <c r="II10">
        <v>103.22580645159999</v>
      </c>
      <c r="IJ10">
        <v>704</v>
      </c>
      <c r="IK10">
        <v>399.48671222370001</v>
      </c>
      <c r="IL10">
        <v>121.9941348974</v>
      </c>
      <c r="IM10">
        <v>423.678522617</v>
      </c>
      <c r="IN10">
        <v>131.37829912020001</v>
      </c>
      <c r="IO10">
        <v>6.4000000002000004</v>
      </c>
      <c r="IP10">
        <v>5.9000000001000004</v>
      </c>
      <c r="IQ10">
        <v>9.0999999992999996</v>
      </c>
      <c r="IR10">
        <v>5.4719421991999999</v>
      </c>
      <c r="IS10">
        <v>5.4719421991999999</v>
      </c>
      <c r="IT10">
        <v>11.5000000005</v>
      </c>
      <c r="IU10">
        <v>-30.4985337243</v>
      </c>
      <c r="IV10">
        <v>15.299999999100001</v>
      </c>
      <c r="IW10">
        <v>2.3460410557000002</v>
      </c>
      <c r="IX10">
        <v>11.0000000004</v>
      </c>
      <c r="IY10">
        <v>100.87976539589999</v>
      </c>
      <c r="IZ10">
        <v>-35.120511031699998</v>
      </c>
      <c r="JA10">
        <v>0.33777423220000002</v>
      </c>
      <c r="JB10">
        <v>-3.529168E-4</v>
      </c>
      <c r="JC10">
        <v>6.6199999999999997E-7</v>
      </c>
      <c r="JD10">
        <v>0.29647270990000002</v>
      </c>
      <c r="JE10">
        <v>0.29188563629999997</v>
      </c>
      <c r="JF10">
        <v>0.11048400260000001</v>
      </c>
      <c r="JG10">
        <v>115.2384813555</v>
      </c>
      <c r="JH10">
        <v>3.529360558</v>
      </c>
      <c r="JI10">
        <v>3.7725254999999998E-3</v>
      </c>
      <c r="JJ10">
        <v>-7.2780600000000006E-5</v>
      </c>
      <c r="JK10">
        <v>3.3729917349999998</v>
      </c>
      <c r="JL10">
        <v>1.2917470227000001</v>
      </c>
      <c r="JM10">
        <v>0.48258858580000003</v>
      </c>
      <c r="JN10" t="s">
        <v>648</v>
      </c>
      <c r="JQ10">
        <v>1</v>
      </c>
    </row>
    <row r="11" spans="1:277">
      <c r="A11" t="s">
        <v>665</v>
      </c>
      <c r="B11" t="s">
        <v>666</v>
      </c>
      <c r="C11" t="s">
        <v>212</v>
      </c>
      <c r="D11">
        <v>3</v>
      </c>
      <c r="E11" t="s">
        <v>213</v>
      </c>
      <c r="F11" t="s">
        <v>214</v>
      </c>
      <c r="G11" t="s">
        <v>647</v>
      </c>
      <c r="H11" t="s">
        <v>216</v>
      </c>
      <c r="J11" t="s">
        <v>286</v>
      </c>
      <c r="K11" t="s">
        <v>287</v>
      </c>
      <c r="L11" t="s">
        <v>288</v>
      </c>
      <c r="M11" t="s">
        <v>289</v>
      </c>
      <c r="N11" t="s">
        <v>290</v>
      </c>
      <c r="O11">
        <v>0</v>
      </c>
      <c r="P11">
        <v>0</v>
      </c>
      <c r="Q11">
        <v>0</v>
      </c>
      <c r="R11">
        <v>0.89999999909999995</v>
      </c>
      <c r="S11">
        <v>0.79999999980000003</v>
      </c>
      <c r="T11">
        <v>0.89999999909999995</v>
      </c>
      <c r="U11">
        <v>1.0000000002</v>
      </c>
      <c r="V11">
        <v>1.0999999995</v>
      </c>
      <c r="W11">
        <v>1.0999999995</v>
      </c>
      <c r="X11">
        <v>1.2000000006</v>
      </c>
      <c r="Y11">
        <v>1.2000000006</v>
      </c>
      <c r="Z11">
        <v>1.2999999999</v>
      </c>
      <c r="AA11">
        <v>1.2999999999</v>
      </c>
      <c r="AB11">
        <v>1.2999999999</v>
      </c>
      <c r="AC11">
        <v>1.3999999992000001</v>
      </c>
      <c r="AD11">
        <v>1.3999999992000001</v>
      </c>
      <c r="AE11">
        <v>1.5000000003</v>
      </c>
      <c r="AF11">
        <v>1.5999999996000001</v>
      </c>
      <c r="AG11">
        <v>1.6999999989000001</v>
      </c>
      <c r="AH11">
        <v>1.8</v>
      </c>
      <c r="AI11">
        <v>3.8999999996999999</v>
      </c>
      <c r="AJ11">
        <v>8.7999999996000007</v>
      </c>
      <c r="AK11">
        <v>15.6000000006</v>
      </c>
      <c r="AL11">
        <v>22.600000000200001</v>
      </c>
      <c r="AM11">
        <v>30.0999999999</v>
      </c>
      <c r="AN11">
        <v>37.699999998899997</v>
      </c>
      <c r="AO11">
        <v>45.000000000100002</v>
      </c>
      <c r="AP11">
        <v>52.299999999400001</v>
      </c>
      <c r="AQ11">
        <v>59.999999999499998</v>
      </c>
      <c r="AR11">
        <v>67.699999999599996</v>
      </c>
      <c r="AS11">
        <v>75.800000000500006</v>
      </c>
      <c r="AT11">
        <v>83.899999999599999</v>
      </c>
      <c r="AU11">
        <v>92.000000000599996</v>
      </c>
      <c r="AV11">
        <v>99.899999999299993</v>
      </c>
      <c r="AW11">
        <v>108.2000000006</v>
      </c>
      <c r="AX11">
        <v>117.2000000006</v>
      </c>
      <c r="AY11">
        <v>126.0000000002</v>
      </c>
      <c r="AZ11">
        <v>134.50000000009999</v>
      </c>
      <c r="BA11">
        <v>143.0999999993</v>
      </c>
      <c r="BB11">
        <v>151.29999999949999</v>
      </c>
      <c r="BC11">
        <v>159.29999999930001</v>
      </c>
      <c r="BD11">
        <v>167.2999999992</v>
      </c>
      <c r="BE11">
        <v>175.60000000049999</v>
      </c>
      <c r="BF11">
        <v>184.1000000004</v>
      </c>
      <c r="BG11">
        <v>193.1999999997</v>
      </c>
      <c r="BH11">
        <v>201.60000000030001</v>
      </c>
      <c r="BI11">
        <v>209.69999999940001</v>
      </c>
      <c r="BJ11">
        <v>217.39999999950001</v>
      </c>
      <c r="BK11">
        <v>225.3000000001</v>
      </c>
      <c r="BL11">
        <v>233.59999999959999</v>
      </c>
      <c r="BM11">
        <v>242.0000000002</v>
      </c>
      <c r="BN11">
        <v>250.29999999969999</v>
      </c>
      <c r="BO11">
        <v>258.09999999910002</v>
      </c>
      <c r="BP11">
        <v>265.9000000003</v>
      </c>
      <c r="BQ11">
        <v>272.99999999919999</v>
      </c>
      <c r="BR11">
        <v>280.49999999890002</v>
      </c>
      <c r="BS11">
        <v>288.19999999909999</v>
      </c>
      <c r="BT11">
        <v>296.39999999930001</v>
      </c>
      <c r="BU11">
        <v>303.89999999899999</v>
      </c>
      <c r="BV11">
        <v>311.09999999899998</v>
      </c>
      <c r="BW11">
        <v>318.29999999900002</v>
      </c>
      <c r="BX11">
        <v>324.99999999890002</v>
      </c>
      <c r="BY11">
        <v>331.59999999950003</v>
      </c>
      <c r="BZ11">
        <v>338.59999999910002</v>
      </c>
      <c r="CA11">
        <v>345.99999999950001</v>
      </c>
      <c r="CB11">
        <v>353.10000000029999</v>
      </c>
      <c r="CC11">
        <v>359.39999999939999</v>
      </c>
      <c r="CD11">
        <v>365.7999999996</v>
      </c>
      <c r="CE11">
        <v>371.69999999970003</v>
      </c>
      <c r="CF11">
        <v>377.59999999979999</v>
      </c>
      <c r="CG11">
        <v>384</v>
      </c>
      <c r="CH11">
        <v>390.19999999980001</v>
      </c>
      <c r="CI11">
        <v>396.99999999900001</v>
      </c>
      <c r="CJ11">
        <v>403.00000000019998</v>
      </c>
      <c r="CK11">
        <v>408.7999999992</v>
      </c>
      <c r="CL11">
        <v>414.49999999900001</v>
      </c>
      <c r="CM11">
        <v>420.00000000009999</v>
      </c>
      <c r="CN11">
        <v>425.19999999970003</v>
      </c>
      <c r="CO11">
        <v>430.39999999930001</v>
      </c>
      <c r="CP11">
        <v>435.90000000039998</v>
      </c>
      <c r="CQ11">
        <v>441.69999999940001</v>
      </c>
      <c r="CR11">
        <v>447.59999999950003</v>
      </c>
      <c r="CS11">
        <v>452.69999999980001</v>
      </c>
      <c r="CT11">
        <v>457.5999999997</v>
      </c>
      <c r="CU11">
        <v>461.49999999940002</v>
      </c>
      <c r="CV11">
        <v>462.59999999889999</v>
      </c>
      <c r="CW11">
        <v>462.7</v>
      </c>
      <c r="CX11">
        <v>462.79999999929998</v>
      </c>
      <c r="CY11">
        <v>462.79999999929998</v>
      </c>
      <c r="CZ11">
        <v>462.90000000039998</v>
      </c>
      <c r="DA11">
        <v>462.90000000039998</v>
      </c>
      <c r="DB11">
        <v>462.90000000039998</v>
      </c>
      <c r="DC11">
        <v>462.90000000039998</v>
      </c>
      <c r="DD11">
        <v>462.90000000039998</v>
      </c>
      <c r="DE11">
        <v>462.90000000039998</v>
      </c>
      <c r="DF11">
        <v>462.90000000039998</v>
      </c>
      <c r="DG11">
        <v>1.0000000002</v>
      </c>
      <c r="DH11">
        <v>2.3000000000999998</v>
      </c>
      <c r="DI11">
        <v>2.3999999993999999</v>
      </c>
      <c r="DJ11">
        <v>2.3999999993999999</v>
      </c>
      <c r="DK11">
        <v>2.3999999993999999</v>
      </c>
      <c r="DL11">
        <v>2.5000000005</v>
      </c>
      <c r="DM11">
        <v>2.3999999993999999</v>
      </c>
      <c r="DN11">
        <v>2.3999999993999999</v>
      </c>
      <c r="DO11">
        <v>2.5000000005</v>
      </c>
      <c r="DP11">
        <v>2.5000000005</v>
      </c>
      <c r="DQ11">
        <v>2.5999999998000001</v>
      </c>
      <c r="DR11">
        <v>2.5000000005</v>
      </c>
      <c r="DS11">
        <v>2.5999999998000001</v>
      </c>
      <c r="DT11">
        <v>2.6999999991000001</v>
      </c>
      <c r="DU11">
        <v>2.8000000001999998</v>
      </c>
      <c r="DV11">
        <v>2.8999999994999999</v>
      </c>
      <c r="DW11">
        <v>3.6</v>
      </c>
      <c r="DX11">
        <v>7.4000000004000004</v>
      </c>
      <c r="DY11">
        <v>14.1000000003</v>
      </c>
      <c r="DZ11">
        <v>21.300000000299999</v>
      </c>
      <c r="EA11">
        <v>28.699999998900001</v>
      </c>
      <c r="EB11">
        <v>36.200000000499998</v>
      </c>
      <c r="EC11">
        <v>43.700000000199999</v>
      </c>
      <c r="ED11">
        <v>50.900000000200002</v>
      </c>
      <c r="EE11">
        <v>58.4999999992</v>
      </c>
      <c r="EF11">
        <v>66.099999999999994</v>
      </c>
      <c r="EG11">
        <v>74.099999999800005</v>
      </c>
      <c r="EH11">
        <v>82.199999998899997</v>
      </c>
      <c r="EI11">
        <v>90.500000000200004</v>
      </c>
      <c r="EJ11">
        <v>98.200000000399996</v>
      </c>
      <c r="EK11">
        <v>106.20000000020001</v>
      </c>
      <c r="EL11">
        <v>114.7000000001</v>
      </c>
      <c r="EM11">
        <v>123.599999999</v>
      </c>
      <c r="EN11">
        <v>132.40000000040001</v>
      </c>
      <c r="EO11">
        <v>141.09999999889999</v>
      </c>
      <c r="EP11">
        <v>148.99999999939999</v>
      </c>
      <c r="EQ11">
        <v>157.19999999960001</v>
      </c>
      <c r="ER11">
        <v>165.60000000030001</v>
      </c>
      <c r="ES11">
        <v>173.8999999998</v>
      </c>
      <c r="ET11">
        <v>182.39999999969999</v>
      </c>
      <c r="EU11">
        <v>191.39999999969999</v>
      </c>
      <c r="EV11">
        <v>200.1</v>
      </c>
      <c r="EW11">
        <v>207.5999999997</v>
      </c>
      <c r="EX11">
        <v>215.5999999995</v>
      </c>
      <c r="EY11">
        <v>223.79999999980001</v>
      </c>
      <c r="EZ11">
        <v>232.0999999993</v>
      </c>
      <c r="FA11">
        <v>240.7999999996</v>
      </c>
      <c r="FB11">
        <v>249.20000000019999</v>
      </c>
      <c r="FC11">
        <v>256.9000000003</v>
      </c>
      <c r="FD11">
        <v>264.49999999929997</v>
      </c>
      <c r="FE11">
        <v>271.99999999900001</v>
      </c>
      <c r="FF11">
        <v>279.89999999949998</v>
      </c>
      <c r="FG11">
        <v>287.89999999939999</v>
      </c>
      <c r="FH11">
        <v>296.39999999930001</v>
      </c>
      <c r="FI11">
        <v>303.79999999969999</v>
      </c>
      <c r="FJ11">
        <v>311.09999999899998</v>
      </c>
      <c r="FK11">
        <v>317.89999999999998</v>
      </c>
      <c r="FL11">
        <v>324.80000000029997</v>
      </c>
      <c r="FM11">
        <v>332.00000000030002</v>
      </c>
      <c r="FN11">
        <v>339.5999999993</v>
      </c>
      <c r="FO11">
        <v>346.99999999980002</v>
      </c>
      <c r="FP11">
        <v>353.69999999970003</v>
      </c>
      <c r="FQ11">
        <v>360.39999999960003</v>
      </c>
      <c r="FR11">
        <v>366.89999999909998</v>
      </c>
      <c r="FS11">
        <v>372.49999999950001</v>
      </c>
      <c r="FT11">
        <v>378.80000000040002</v>
      </c>
      <c r="FU11">
        <v>385.20000000060003</v>
      </c>
      <c r="FV11">
        <v>391.99999999980002</v>
      </c>
      <c r="FW11">
        <v>398.49999999929997</v>
      </c>
      <c r="FX11">
        <v>404.39999999939999</v>
      </c>
      <c r="FY11">
        <v>410.09999999910002</v>
      </c>
      <c r="FZ11">
        <v>415.9</v>
      </c>
      <c r="GA11">
        <v>421.20000000070002</v>
      </c>
      <c r="GB11">
        <v>426.2999999992</v>
      </c>
      <c r="GC11">
        <v>431.59999999989998</v>
      </c>
      <c r="GD11">
        <v>436.99999999990001</v>
      </c>
      <c r="GE11">
        <v>442.69999999959998</v>
      </c>
      <c r="GF11">
        <v>448.19999999890001</v>
      </c>
      <c r="GG11">
        <v>452.99999999950001</v>
      </c>
      <c r="GH11">
        <v>457.50000000040001</v>
      </c>
      <c r="GI11">
        <v>461.19999999970003</v>
      </c>
      <c r="GJ11">
        <v>462.59999999889999</v>
      </c>
      <c r="GK11">
        <v>462.7</v>
      </c>
      <c r="GL11">
        <v>462.7</v>
      </c>
      <c r="GM11">
        <v>462.7</v>
      </c>
      <c r="GN11">
        <v>462.7</v>
      </c>
      <c r="GO11">
        <v>462.79999999929998</v>
      </c>
      <c r="GP11">
        <v>462.79999999929998</v>
      </c>
      <c r="GQ11">
        <v>462.90000000039998</v>
      </c>
      <c r="GR11">
        <v>462.79999999929998</v>
      </c>
      <c r="GS11">
        <v>462.79999999929998</v>
      </c>
      <c r="GT11">
        <v>462.79999999929998</v>
      </c>
      <c r="GU11">
        <v>462.79999999929998</v>
      </c>
      <c r="GV11">
        <v>462.79999999929998</v>
      </c>
      <c r="GW11">
        <v>1</v>
      </c>
      <c r="GX11">
        <v>114.9999999998</v>
      </c>
      <c r="GY11">
        <v>108.2000000006</v>
      </c>
      <c r="GZ11">
        <v>108.2000000006</v>
      </c>
      <c r="HA11">
        <v>123.599999999</v>
      </c>
      <c r="HB11">
        <v>112.05582199200001</v>
      </c>
      <c r="HC11">
        <v>-15.3999999984</v>
      </c>
      <c r="HD11">
        <v>462.80001080080001</v>
      </c>
      <c r="HE11">
        <v>318.6144739682</v>
      </c>
      <c r="HF11">
        <v>95.828980341000005</v>
      </c>
      <c r="HG11">
        <v>462.90000000039998</v>
      </c>
      <c r="HH11">
        <v>462.90000000039998</v>
      </c>
      <c r="HI11">
        <v>462.90000000039998</v>
      </c>
      <c r="HJ11">
        <v>462.90000000039998</v>
      </c>
      <c r="HK11">
        <v>114.9560117302</v>
      </c>
      <c r="HL11">
        <v>3.3811067191999999</v>
      </c>
      <c r="HM11">
        <v>3.2542920113</v>
      </c>
      <c r="HN11">
        <v>3.2998731151</v>
      </c>
      <c r="HO11">
        <v>3.3057722510000001</v>
      </c>
      <c r="HP11">
        <v>3.6249536682999999</v>
      </c>
      <c r="HQ11">
        <v>2.1205514701000001</v>
      </c>
      <c r="HR11">
        <v>16.226841651000001</v>
      </c>
      <c r="HS11">
        <v>-28.152492668600001</v>
      </c>
      <c r="HT11">
        <v>-192</v>
      </c>
      <c r="HU11">
        <v>430.67029596010002</v>
      </c>
      <c r="HV11">
        <v>98.533724340199996</v>
      </c>
      <c r="HW11">
        <v>672</v>
      </c>
      <c r="HX11">
        <v>16.226841651000001</v>
      </c>
      <c r="HY11">
        <v>-28.152492668600001</v>
      </c>
      <c r="HZ11">
        <v>-192</v>
      </c>
      <c r="IA11">
        <v>430.67029596010002</v>
      </c>
      <c r="IB11">
        <v>98.533724340199996</v>
      </c>
      <c r="IC11">
        <v>672</v>
      </c>
      <c r="ID11">
        <v>32.2297040403</v>
      </c>
      <c r="IE11">
        <v>1.7108770782</v>
      </c>
      <c r="IF11">
        <v>-37.536656891500002</v>
      </c>
      <c r="IG11">
        <v>-256</v>
      </c>
      <c r="IH11">
        <v>452.62040397440001</v>
      </c>
      <c r="II11">
        <v>107.91788856300001</v>
      </c>
      <c r="IJ11">
        <v>736</v>
      </c>
      <c r="IK11">
        <v>414.44345430909999</v>
      </c>
      <c r="IL11">
        <v>126.6862170088</v>
      </c>
      <c r="IM11">
        <v>437.90152300699998</v>
      </c>
      <c r="IN11">
        <v>136.0703812317</v>
      </c>
      <c r="IO11">
        <v>7.2</v>
      </c>
      <c r="IP11">
        <v>5.9000000001000004</v>
      </c>
      <c r="IQ11">
        <v>9.0999999992999996</v>
      </c>
      <c r="IR11">
        <v>7.2401192091000004</v>
      </c>
      <c r="IS11">
        <v>7.2401192091000004</v>
      </c>
      <c r="IT11">
        <v>13.0999999983</v>
      </c>
      <c r="IU11">
        <v>-28.152492668600001</v>
      </c>
      <c r="IV11">
        <v>15.9999999996</v>
      </c>
      <c r="IW11">
        <v>21.114369501500001</v>
      </c>
      <c r="IX11">
        <v>12.299999998500001</v>
      </c>
      <c r="IY11">
        <v>105.57184750730001</v>
      </c>
      <c r="IZ11">
        <v>-33.250396154500002</v>
      </c>
      <c r="JA11">
        <v>0.3257113317</v>
      </c>
      <c r="JB11">
        <v>-3.4166330000000002E-4</v>
      </c>
      <c r="JC11">
        <v>6.8289999999999995E-7</v>
      </c>
      <c r="JD11">
        <v>0.29576114660000002</v>
      </c>
      <c r="JE11">
        <v>0.3271459827</v>
      </c>
      <c r="JF11">
        <v>0.1228384424</v>
      </c>
      <c r="JG11">
        <v>113.1103072427</v>
      </c>
      <c r="JH11">
        <v>3.6249536682999999</v>
      </c>
      <c r="JI11">
        <v>2.7126303999999999E-3</v>
      </c>
      <c r="JJ11">
        <v>-7.0003600000000002E-5</v>
      </c>
      <c r="JK11">
        <v>3.3811067191999999</v>
      </c>
      <c r="JL11">
        <v>1.4561217954000001</v>
      </c>
      <c r="JM11">
        <v>0.66581681999999998</v>
      </c>
      <c r="JN11" t="s">
        <v>648</v>
      </c>
      <c r="JQ11">
        <v>1</v>
      </c>
    </row>
    <row r="12" spans="1:277">
      <c r="A12" t="s">
        <v>667</v>
      </c>
      <c r="B12" t="s">
        <v>668</v>
      </c>
      <c r="C12" t="s">
        <v>212</v>
      </c>
      <c r="D12">
        <v>3</v>
      </c>
      <c r="E12" t="s">
        <v>213</v>
      </c>
      <c r="F12" t="s">
        <v>214</v>
      </c>
      <c r="G12" t="s">
        <v>647</v>
      </c>
      <c r="H12" t="s">
        <v>216</v>
      </c>
      <c r="J12" t="s">
        <v>293</v>
      </c>
      <c r="K12" t="s">
        <v>294</v>
      </c>
      <c r="L12" t="s">
        <v>295</v>
      </c>
      <c r="M12" t="s">
        <v>296</v>
      </c>
      <c r="N12" t="s">
        <v>297</v>
      </c>
      <c r="O12">
        <v>0</v>
      </c>
      <c r="P12">
        <v>0</v>
      </c>
      <c r="Q12">
        <v>1.1999999988000001</v>
      </c>
      <c r="R12">
        <v>0.39999999899999999</v>
      </c>
      <c r="S12">
        <v>0.39999999899999999</v>
      </c>
      <c r="T12">
        <v>0.39999999899999999</v>
      </c>
      <c r="U12">
        <v>0.29999999970000002</v>
      </c>
      <c r="V12">
        <v>0.29999999970000002</v>
      </c>
      <c r="W12">
        <v>0.29999999970000002</v>
      </c>
      <c r="X12">
        <v>0.29999999970000002</v>
      </c>
      <c r="Y12">
        <v>0.20000000039999999</v>
      </c>
      <c r="Z12">
        <v>0.20000000039999999</v>
      </c>
      <c r="AA12">
        <v>0.20000000039999999</v>
      </c>
      <c r="AB12">
        <v>0.20000000039999999</v>
      </c>
      <c r="AC12">
        <v>9.9999999300000003E-2</v>
      </c>
      <c r="AD12">
        <v>9.9999999300000003E-2</v>
      </c>
      <c r="AE12">
        <v>9.9999999300000003E-2</v>
      </c>
      <c r="AF12">
        <v>9.9999999300000003E-2</v>
      </c>
      <c r="AG12">
        <v>0</v>
      </c>
      <c r="AH12">
        <v>1.8999999993000001</v>
      </c>
      <c r="AI12">
        <v>5.6999999997000002</v>
      </c>
      <c r="AJ12">
        <v>10.5000000003</v>
      </c>
      <c r="AK12">
        <v>16.499999999700002</v>
      </c>
      <c r="AL12">
        <v>23.799999999000001</v>
      </c>
      <c r="AM12">
        <v>30.8999999997</v>
      </c>
      <c r="AN12">
        <v>38.300000000200001</v>
      </c>
      <c r="AO12">
        <v>46.3999999993</v>
      </c>
      <c r="AP12">
        <v>53.899999999000002</v>
      </c>
      <c r="AQ12">
        <v>61.299999999400001</v>
      </c>
      <c r="AR12">
        <v>68.799999999099995</v>
      </c>
      <c r="AS12">
        <v>76.799999998900006</v>
      </c>
      <c r="AT12">
        <v>84.499999998999996</v>
      </c>
      <c r="AU12">
        <v>92.800000000400004</v>
      </c>
      <c r="AV12">
        <v>101.3999999996</v>
      </c>
      <c r="AW12">
        <v>109.5999999998</v>
      </c>
      <c r="AX12">
        <v>117.6999999989</v>
      </c>
      <c r="AY12">
        <v>126.1999999988</v>
      </c>
      <c r="AZ12">
        <v>134.29999999969999</v>
      </c>
      <c r="BA12">
        <v>142.70000000030001</v>
      </c>
      <c r="BB12">
        <v>151.49999999990001</v>
      </c>
      <c r="BC12">
        <v>159.7999999994</v>
      </c>
      <c r="BD12">
        <v>167.79999999930001</v>
      </c>
      <c r="BE12">
        <v>175.99999999950001</v>
      </c>
      <c r="BF12">
        <v>183.9999999993</v>
      </c>
      <c r="BG12">
        <v>192.60000000030001</v>
      </c>
      <c r="BH12">
        <v>201.60000000030001</v>
      </c>
      <c r="BI12">
        <v>209.69999999940001</v>
      </c>
      <c r="BJ12">
        <v>217.59999999990001</v>
      </c>
      <c r="BK12">
        <v>225.59999999979999</v>
      </c>
      <c r="BL12">
        <v>234.199999999</v>
      </c>
      <c r="BM12">
        <v>241.8999999991</v>
      </c>
      <c r="BN12">
        <v>250.50000000009999</v>
      </c>
      <c r="BO12">
        <v>258.49999999990001</v>
      </c>
      <c r="BP12">
        <v>266.2</v>
      </c>
      <c r="BQ12">
        <v>273.69999999970003</v>
      </c>
      <c r="BR12">
        <v>281.4999999991</v>
      </c>
      <c r="BS12">
        <v>288.89999999960003</v>
      </c>
      <c r="BT12">
        <v>296.5999999997</v>
      </c>
      <c r="BU12">
        <v>304.59999999950003</v>
      </c>
      <c r="BV12">
        <v>311.89999999880001</v>
      </c>
      <c r="BW12">
        <v>318.99999999950001</v>
      </c>
      <c r="BX12">
        <v>325.8999999998</v>
      </c>
      <c r="BY12">
        <v>333.19999999909999</v>
      </c>
      <c r="BZ12">
        <v>339.79999999969999</v>
      </c>
      <c r="CA12">
        <v>346.90000000049997</v>
      </c>
      <c r="CB12">
        <v>354.29999999910001</v>
      </c>
      <c r="CC12">
        <v>360.89999999970001</v>
      </c>
      <c r="CD12">
        <v>367.39999999920002</v>
      </c>
      <c r="CE12">
        <v>373.70000000009998</v>
      </c>
      <c r="CF12">
        <v>379.99999999919999</v>
      </c>
      <c r="CG12">
        <v>386.59999999979999</v>
      </c>
      <c r="CH12">
        <v>392.49999999990001</v>
      </c>
      <c r="CI12">
        <v>398.79999999900002</v>
      </c>
      <c r="CJ12">
        <v>405.39999999960003</v>
      </c>
      <c r="CK12">
        <v>411.29999999979998</v>
      </c>
      <c r="CL12">
        <v>417.1999999999</v>
      </c>
      <c r="CM12">
        <v>422.69999999919997</v>
      </c>
      <c r="CN12">
        <v>428.09999999920001</v>
      </c>
      <c r="CO12">
        <v>433.9</v>
      </c>
      <c r="CP12">
        <v>439.09999999960002</v>
      </c>
      <c r="CQ12">
        <v>444.1999999999</v>
      </c>
      <c r="CR12">
        <v>450.49999999900001</v>
      </c>
      <c r="CS12">
        <v>456.09999999939998</v>
      </c>
      <c r="CT12">
        <v>458.30000000019999</v>
      </c>
      <c r="CU12">
        <v>458.39999999949998</v>
      </c>
      <c r="CV12">
        <v>458.39999999949998</v>
      </c>
      <c r="CW12">
        <v>458.49999999879998</v>
      </c>
      <c r="CX12">
        <v>458.49999999879998</v>
      </c>
      <c r="CY12">
        <v>458.49999999879998</v>
      </c>
      <c r="CZ12">
        <v>458.49999999879998</v>
      </c>
      <c r="DA12">
        <v>458.49999999879998</v>
      </c>
      <c r="DB12">
        <v>458.49999999879998</v>
      </c>
      <c r="DC12">
        <v>458.49999999879998</v>
      </c>
      <c r="DD12">
        <v>458.49999999879998</v>
      </c>
      <c r="DE12">
        <v>458.49999999879998</v>
      </c>
      <c r="DF12">
        <v>458.59999999989998</v>
      </c>
      <c r="DG12">
        <v>1.8999999993000001</v>
      </c>
      <c r="DH12">
        <v>1.2999999999</v>
      </c>
      <c r="DI12">
        <v>1.2999999999</v>
      </c>
      <c r="DJ12">
        <v>1.1999999988000001</v>
      </c>
      <c r="DK12">
        <v>1.1999999988000001</v>
      </c>
      <c r="DL12">
        <v>1.1999999988000001</v>
      </c>
      <c r="DM12">
        <v>1.0999999995</v>
      </c>
      <c r="DN12">
        <v>1.0999999995</v>
      </c>
      <c r="DO12">
        <v>1.0000000002</v>
      </c>
      <c r="DP12">
        <v>1.0000000002</v>
      </c>
      <c r="DQ12">
        <v>0.89999999909999995</v>
      </c>
      <c r="DR12">
        <v>0.89999999909999995</v>
      </c>
      <c r="DS12">
        <v>0.89999999909999995</v>
      </c>
      <c r="DT12">
        <v>0.89999999909999995</v>
      </c>
      <c r="DU12">
        <v>0.79999999980000003</v>
      </c>
      <c r="DV12">
        <v>1.1999999988000001</v>
      </c>
      <c r="DW12">
        <v>3.8999999996999999</v>
      </c>
      <c r="DX12">
        <v>8.3999999988000003</v>
      </c>
      <c r="DY12">
        <v>14.1000000003</v>
      </c>
      <c r="DZ12">
        <v>21.300000000299999</v>
      </c>
      <c r="EA12">
        <v>29.000000000499998</v>
      </c>
      <c r="EB12">
        <v>36.699999998700001</v>
      </c>
      <c r="EC12">
        <v>44.299999999599997</v>
      </c>
      <c r="ED12">
        <v>51.7</v>
      </c>
      <c r="EE12">
        <v>59.199999999699997</v>
      </c>
      <c r="EF12">
        <v>66.600000000099996</v>
      </c>
      <c r="EG12">
        <v>74.399999999499997</v>
      </c>
      <c r="EH12">
        <v>82.099999999600001</v>
      </c>
      <c r="EI12">
        <v>90.299999999799994</v>
      </c>
      <c r="EJ12">
        <v>98.799999999799994</v>
      </c>
      <c r="EK12">
        <v>106.8999999989</v>
      </c>
      <c r="EL12">
        <v>114.9999999998</v>
      </c>
      <c r="EM12">
        <v>123.2999999993</v>
      </c>
      <c r="EN12">
        <v>131.49999999950001</v>
      </c>
      <c r="EO12">
        <v>140.09999999870001</v>
      </c>
      <c r="EP12">
        <v>148.99999999939999</v>
      </c>
      <c r="EQ12">
        <v>157.19999999960001</v>
      </c>
      <c r="ER12">
        <v>165.29999999879999</v>
      </c>
      <c r="ES12">
        <v>173.49999999900001</v>
      </c>
      <c r="ET12">
        <v>182.30000000039999</v>
      </c>
      <c r="EU12">
        <v>190.8000000003</v>
      </c>
      <c r="EV12">
        <v>199.09999999979999</v>
      </c>
      <c r="EW12">
        <v>207.39999999930001</v>
      </c>
      <c r="EX12">
        <v>215.5000000002</v>
      </c>
      <c r="EY12">
        <v>223.3999999989</v>
      </c>
      <c r="EZ12">
        <v>232</v>
      </c>
      <c r="FA12">
        <v>240.49999999990001</v>
      </c>
      <c r="FB12">
        <v>248.599999999</v>
      </c>
      <c r="FC12">
        <v>256.40000000020001</v>
      </c>
      <c r="FD12">
        <v>264.39999999999998</v>
      </c>
      <c r="FE12">
        <v>271.89999999970001</v>
      </c>
      <c r="FF12">
        <v>279.69999999909999</v>
      </c>
      <c r="FG12">
        <v>287.09999999960002</v>
      </c>
      <c r="FH12">
        <v>294.89999999899999</v>
      </c>
      <c r="FI12">
        <v>302.99999999990001</v>
      </c>
      <c r="FJ12">
        <v>310.4000000003</v>
      </c>
      <c r="FK12">
        <v>317.60000000029999</v>
      </c>
      <c r="FL12">
        <v>324.49999999879998</v>
      </c>
      <c r="FM12">
        <v>331.79999999990002</v>
      </c>
      <c r="FN12">
        <v>338.49999999980002</v>
      </c>
      <c r="FO12">
        <v>345.59999999870001</v>
      </c>
      <c r="FP12">
        <v>353.10000000029999</v>
      </c>
      <c r="FQ12">
        <v>359.80000000019999</v>
      </c>
      <c r="FR12">
        <v>366.39999999899999</v>
      </c>
      <c r="FS12">
        <v>372.6999999999</v>
      </c>
      <c r="FT12">
        <v>378.99999999900001</v>
      </c>
      <c r="FU12">
        <v>385.29999999990002</v>
      </c>
      <c r="FV12">
        <v>391.2</v>
      </c>
      <c r="FW12">
        <v>397.69999999949999</v>
      </c>
      <c r="FX12">
        <v>404.39999999939999</v>
      </c>
      <c r="FY12">
        <v>410.20000000030001</v>
      </c>
      <c r="FZ12">
        <v>416.19999999970003</v>
      </c>
      <c r="GA12">
        <v>421.8000000001</v>
      </c>
      <c r="GB12">
        <v>427.20000000009998</v>
      </c>
      <c r="GC12">
        <v>432.80000000050001</v>
      </c>
      <c r="GD12">
        <v>437.79999999969999</v>
      </c>
      <c r="GE12">
        <v>442.79999999889998</v>
      </c>
      <c r="GF12">
        <v>448.89999999939999</v>
      </c>
      <c r="GG12">
        <v>454.70000000020002</v>
      </c>
      <c r="GH12">
        <v>457.699999999</v>
      </c>
      <c r="GI12">
        <v>458.30000000019999</v>
      </c>
      <c r="GJ12">
        <v>458.30000000019999</v>
      </c>
      <c r="GK12">
        <v>458.30000000019999</v>
      </c>
      <c r="GL12">
        <v>458.39999999949998</v>
      </c>
      <c r="GM12">
        <v>458.30000000019999</v>
      </c>
      <c r="GN12">
        <v>458.39999999949998</v>
      </c>
      <c r="GO12">
        <v>458.39999999949998</v>
      </c>
      <c r="GP12">
        <v>458.39999999949998</v>
      </c>
      <c r="GQ12">
        <v>458.39999999949998</v>
      </c>
      <c r="GR12">
        <v>458.39999999949998</v>
      </c>
      <c r="GS12">
        <v>458.49999999879998</v>
      </c>
      <c r="GT12">
        <v>458.49999999879998</v>
      </c>
      <c r="GU12">
        <v>458.49999999879998</v>
      </c>
      <c r="GV12">
        <v>458.49999999879998</v>
      </c>
      <c r="GW12">
        <v>1</v>
      </c>
      <c r="GX12">
        <v>114.49999999969999</v>
      </c>
      <c r="GY12">
        <v>109.5999999998</v>
      </c>
      <c r="GZ12">
        <v>109.5999999998</v>
      </c>
      <c r="HA12">
        <v>123.2999999993</v>
      </c>
      <c r="HB12">
        <v>113.07915167340001</v>
      </c>
      <c r="HC12">
        <v>-13.699999999499999</v>
      </c>
      <c r="HD12">
        <v>458.49999999879998</v>
      </c>
      <c r="HE12">
        <v>319.04244902490001</v>
      </c>
      <c r="HF12">
        <v>95.9589902954</v>
      </c>
      <c r="HG12">
        <v>458.59999999989998</v>
      </c>
      <c r="HH12">
        <v>458.49999999879998</v>
      </c>
      <c r="HI12">
        <v>458.59999999989998</v>
      </c>
      <c r="HJ12">
        <v>458.49999999879998</v>
      </c>
      <c r="HK12">
        <v>110.26392961880001</v>
      </c>
      <c r="HL12">
        <v>3.3768526017</v>
      </c>
      <c r="HM12">
        <v>3.2683978853000002</v>
      </c>
      <c r="HN12">
        <v>3.2815510338</v>
      </c>
      <c r="HO12">
        <v>3.2835970786000002</v>
      </c>
      <c r="HP12">
        <v>3.6006346508</v>
      </c>
      <c r="HQ12">
        <v>2.1814855174000001</v>
      </c>
      <c r="HR12">
        <v>17.120161377999999</v>
      </c>
      <c r="HS12">
        <v>-28.152492668600001</v>
      </c>
      <c r="HT12">
        <v>-192</v>
      </c>
      <c r="HU12">
        <v>432.12160069830003</v>
      </c>
      <c r="HV12">
        <v>98.533724340199996</v>
      </c>
      <c r="HW12">
        <v>672</v>
      </c>
      <c r="HX12">
        <v>17.120161377999999</v>
      </c>
      <c r="HY12">
        <v>-28.152492668600001</v>
      </c>
      <c r="HZ12">
        <v>-192</v>
      </c>
      <c r="IA12">
        <v>432.12160069830003</v>
      </c>
      <c r="IB12">
        <v>98.533724340199996</v>
      </c>
      <c r="IC12">
        <v>672</v>
      </c>
      <c r="ID12">
        <v>26.378399300600002</v>
      </c>
      <c r="IE12">
        <v>1.6584887100000001E-2</v>
      </c>
      <c r="IF12">
        <v>-37.536656891500002</v>
      </c>
      <c r="IG12">
        <v>-256</v>
      </c>
      <c r="IH12">
        <v>454.49162577710001</v>
      </c>
      <c r="II12">
        <v>107.91788856300001</v>
      </c>
      <c r="IJ12">
        <v>736</v>
      </c>
      <c r="IK12">
        <v>415.00143932020001</v>
      </c>
      <c r="IL12">
        <v>126.6862170088</v>
      </c>
      <c r="IM12">
        <v>436.52658379600001</v>
      </c>
      <c r="IN12">
        <v>136.0703812317</v>
      </c>
      <c r="IO12">
        <v>7.2999999992999998</v>
      </c>
      <c r="IP12">
        <v>6.2999999990999997</v>
      </c>
      <c r="IQ12">
        <v>9</v>
      </c>
      <c r="IR12">
        <v>7.0404968907000001</v>
      </c>
      <c r="IS12">
        <v>7.0404968907000001</v>
      </c>
      <c r="IT12">
        <v>12.5000000007</v>
      </c>
      <c r="IU12">
        <v>-28.152492668600001</v>
      </c>
      <c r="IV12">
        <v>15.1000000005</v>
      </c>
      <c r="IW12">
        <v>21.114369501500001</v>
      </c>
      <c r="IX12">
        <v>10.5000000003</v>
      </c>
      <c r="IY12">
        <v>107.91788856300001</v>
      </c>
      <c r="IZ12">
        <v>-33.608281567100001</v>
      </c>
      <c r="JA12">
        <v>0.32646196830000002</v>
      </c>
      <c r="JB12">
        <v>-3.2984689999999999E-4</v>
      </c>
      <c r="JC12">
        <v>6.511E-7</v>
      </c>
      <c r="JD12">
        <v>0.29613374279999999</v>
      </c>
      <c r="JE12">
        <v>0.16233930690000001</v>
      </c>
      <c r="JF12">
        <v>7.2954592499999998E-2</v>
      </c>
      <c r="JG12">
        <v>113.6413830397</v>
      </c>
      <c r="JH12">
        <v>3.6006346508</v>
      </c>
      <c r="JI12">
        <v>2.7791513000000002E-3</v>
      </c>
      <c r="JJ12">
        <v>-6.7526699999999998E-5</v>
      </c>
      <c r="JK12">
        <v>3.3768526017</v>
      </c>
      <c r="JL12">
        <v>1.3134628977</v>
      </c>
      <c r="JM12">
        <v>0.62350666040000002</v>
      </c>
      <c r="JN12" t="s">
        <v>648</v>
      </c>
      <c r="JQ12">
        <v>1</v>
      </c>
    </row>
    <row r="13" spans="1:277">
      <c r="A13" t="s">
        <v>669</v>
      </c>
      <c r="B13" t="s">
        <v>670</v>
      </c>
      <c r="C13" t="s">
        <v>212</v>
      </c>
      <c r="D13">
        <v>3</v>
      </c>
      <c r="E13" t="s">
        <v>213</v>
      </c>
      <c r="F13" t="s">
        <v>214</v>
      </c>
      <c r="G13" t="s">
        <v>647</v>
      </c>
      <c r="H13" t="s">
        <v>216</v>
      </c>
      <c r="J13" t="s">
        <v>300</v>
      </c>
      <c r="K13" t="s">
        <v>301</v>
      </c>
      <c r="L13" t="s">
        <v>302</v>
      </c>
      <c r="M13" t="s">
        <v>303</v>
      </c>
      <c r="N13" t="s">
        <v>304</v>
      </c>
      <c r="O13">
        <v>0</v>
      </c>
      <c r="P13">
        <v>0</v>
      </c>
      <c r="Q13">
        <v>2.0999999997000001</v>
      </c>
      <c r="R13">
        <v>1.3999999992000001</v>
      </c>
      <c r="S13">
        <v>1.2999999999</v>
      </c>
      <c r="T13">
        <v>1.2999999999</v>
      </c>
      <c r="U13">
        <v>1.1999999988000001</v>
      </c>
      <c r="V13">
        <v>1.1999999988000001</v>
      </c>
      <c r="W13">
        <v>1.1999999988000001</v>
      </c>
      <c r="X13">
        <v>1.0999999995</v>
      </c>
      <c r="Y13">
        <v>0.99999999839999998</v>
      </c>
      <c r="Z13">
        <v>0.99999999839999998</v>
      </c>
      <c r="AA13">
        <v>0.99999999839999998</v>
      </c>
      <c r="AB13">
        <v>0.89999999909999995</v>
      </c>
      <c r="AC13">
        <v>0.59999999940000004</v>
      </c>
      <c r="AD13">
        <v>0.29999999970000002</v>
      </c>
      <c r="AE13">
        <v>9.9999999300000003E-2</v>
      </c>
      <c r="AF13">
        <v>0</v>
      </c>
      <c r="AG13">
        <v>9.9999999300000003E-2</v>
      </c>
      <c r="AH13">
        <v>0.49999999830000003</v>
      </c>
      <c r="AI13">
        <v>3.3999999995999999</v>
      </c>
      <c r="AJ13">
        <v>8.8999999989000003</v>
      </c>
      <c r="AK13">
        <v>15.699999999899999</v>
      </c>
      <c r="AL13">
        <v>22.599999998400001</v>
      </c>
      <c r="AM13">
        <v>29.8999999995</v>
      </c>
      <c r="AN13">
        <v>37.3999999993</v>
      </c>
      <c r="AO13">
        <v>45.099999999399998</v>
      </c>
      <c r="AP13">
        <v>52.499999999800004</v>
      </c>
      <c r="AQ13">
        <v>59.699999999799999</v>
      </c>
      <c r="AR13">
        <v>67.299999998800004</v>
      </c>
      <c r="AS13">
        <v>75.199999999300005</v>
      </c>
      <c r="AT13">
        <v>83.199999999100001</v>
      </c>
      <c r="AU13">
        <v>91.199999998899997</v>
      </c>
      <c r="AV13">
        <v>99.399999999200006</v>
      </c>
      <c r="AW13">
        <v>107.19999999860001</v>
      </c>
      <c r="AX13">
        <v>115.1999999984</v>
      </c>
      <c r="AY13">
        <v>123.39999999859999</v>
      </c>
      <c r="AZ13">
        <v>131.89999999849999</v>
      </c>
      <c r="BA13">
        <v>140.09999999870001</v>
      </c>
      <c r="BB13">
        <v>148.4</v>
      </c>
      <c r="BC13">
        <v>156.4999999991</v>
      </c>
      <c r="BD13">
        <v>164.39999999969999</v>
      </c>
      <c r="BE13">
        <v>172.49999999880001</v>
      </c>
      <c r="BF13">
        <v>181.19999999909999</v>
      </c>
      <c r="BG13">
        <v>189.5999999997</v>
      </c>
      <c r="BH13">
        <v>197.6999999988</v>
      </c>
      <c r="BI13">
        <v>205.69999999859999</v>
      </c>
      <c r="BJ13">
        <v>213.4999999998</v>
      </c>
      <c r="BK13">
        <v>221.49999999970001</v>
      </c>
      <c r="BL13">
        <v>229.99999999959999</v>
      </c>
      <c r="BM13">
        <v>238.09999999870001</v>
      </c>
      <c r="BN13">
        <v>245.79999999879999</v>
      </c>
      <c r="BO13">
        <v>253.79999999859999</v>
      </c>
      <c r="BP13">
        <v>261.2999999983</v>
      </c>
      <c r="BQ13">
        <v>268.89999999909998</v>
      </c>
      <c r="BR13">
        <v>276.49999999990001</v>
      </c>
      <c r="BS13">
        <v>284.49999999980002</v>
      </c>
      <c r="BT13">
        <v>292.0999999988</v>
      </c>
      <c r="BU13">
        <v>299.29999999879999</v>
      </c>
      <c r="BV13">
        <v>306.49999999879998</v>
      </c>
      <c r="BW13">
        <v>313.49999999840003</v>
      </c>
      <c r="BX13">
        <v>320.59999999910002</v>
      </c>
      <c r="BY13">
        <v>327.49999999940002</v>
      </c>
      <c r="BZ13">
        <v>334.8999999998</v>
      </c>
      <c r="CA13">
        <v>341.699999999</v>
      </c>
      <c r="CB13">
        <v>348.29999999969999</v>
      </c>
      <c r="CC13">
        <v>354.89999999849999</v>
      </c>
      <c r="CD13">
        <v>361.19999999940001</v>
      </c>
      <c r="CE13">
        <v>367.39999999920002</v>
      </c>
      <c r="CF13">
        <v>373.79999999939997</v>
      </c>
      <c r="CG13">
        <v>380.09999999849998</v>
      </c>
      <c r="CH13">
        <v>386.59999999979999</v>
      </c>
      <c r="CI13">
        <v>392.59999999920001</v>
      </c>
      <c r="CJ13">
        <v>398.4</v>
      </c>
      <c r="CK13">
        <v>404.2999999983</v>
      </c>
      <c r="CL13">
        <v>409.89999999870003</v>
      </c>
      <c r="CM13">
        <v>415.29999999879999</v>
      </c>
      <c r="CN13">
        <v>420.89999999920002</v>
      </c>
      <c r="CO13">
        <v>426.39999999849999</v>
      </c>
      <c r="CP13">
        <v>431.79999999850003</v>
      </c>
      <c r="CQ13">
        <v>437.5999999993</v>
      </c>
      <c r="CR13">
        <v>442.79999999889998</v>
      </c>
      <c r="CS13">
        <v>447.69999999880002</v>
      </c>
      <c r="CT13">
        <v>452.49999999940002</v>
      </c>
      <c r="CU13">
        <v>455.5</v>
      </c>
      <c r="CV13">
        <v>456.29999999979998</v>
      </c>
      <c r="CW13">
        <v>456.29999999979998</v>
      </c>
      <c r="CX13">
        <v>456.29999999979998</v>
      </c>
      <c r="CY13">
        <v>456.39999999909998</v>
      </c>
      <c r="CZ13">
        <v>456.39999999909998</v>
      </c>
      <c r="DA13">
        <v>456.29999999979998</v>
      </c>
      <c r="DB13">
        <v>456.29999999979998</v>
      </c>
      <c r="DC13">
        <v>456.29999999979998</v>
      </c>
      <c r="DD13">
        <v>456.39999999909998</v>
      </c>
      <c r="DE13">
        <v>456.29999999979998</v>
      </c>
      <c r="DF13">
        <v>456.39999999909998</v>
      </c>
      <c r="DG13">
        <v>3.1999999992000001</v>
      </c>
      <c r="DH13">
        <v>2.3999999993999999</v>
      </c>
      <c r="DI13">
        <v>2.2999999983000001</v>
      </c>
      <c r="DJ13">
        <v>2.2999999983000001</v>
      </c>
      <c r="DK13">
        <v>2.2999999983000001</v>
      </c>
      <c r="DL13">
        <v>2.1999999990000001</v>
      </c>
      <c r="DM13">
        <v>2.0999999997000001</v>
      </c>
      <c r="DN13">
        <v>2.0999999997000001</v>
      </c>
      <c r="DO13">
        <v>1.6999999989000001</v>
      </c>
      <c r="DP13">
        <v>1.2999999999</v>
      </c>
      <c r="DQ13">
        <v>1.1999999988000001</v>
      </c>
      <c r="DR13">
        <v>1.1999999988000001</v>
      </c>
      <c r="DS13">
        <v>1.0999999995</v>
      </c>
      <c r="DT13">
        <v>1.0999999995</v>
      </c>
      <c r="DU13">
        <v>0.99999999839999998</v>
      </c>
      <c r="DV13">
        <v>0.99999999839999998</v>
      </c>
      <c r="DW13">
        <v>2.0999999997000001</v>
      </c>
      <c r="DX13">
        <v>6.3999999984000002</v>
      </c>
      <c r="DY13">
        <v>12.999999999</v>
      </c>
      <c r="DZ13">
        <v>20.199999998999999</v>
      </c>
      <c r="EA13">
        <v>27.299999999699999</v>
      </c>
      <c r="EB13">
        <v>34.799999999400001</v>
      </c>
      <c r="EC13">
        <v>42.4999999996</v>
      </c>
      <c r="ED13">
        <v>49.999999999300002</v>
      </c>
      <c r="EE13">
        <v>57.299999998600001</v>
      </c>
      <c r="EF13">
        <v>64.699999998999999</v>
      </c>
      <c r="EG13">
        <v>72.5999999995</v>
      </c>
      <c r="EH13">
        <v>80.5</v>
      </c>
      <c r="EI13">
        <v>88.499999999799996</v>
      </c>
      <c r="EJ13">
        <v>96.599999998900003</v>
      </c>
      <c r="EK13">
        <v>104.49999999950001</v>
      </c>
      <c r="EL13">
        <v>112.29999999890001</v>
      </c>
      <c r="EM13">
        <v>120.4999999991</v>
      </c>
      <c r="EN13">
        <v>129.09999999830001</v>
      </c>
      <c r="EO13">
        <v>137.6</v>
      </c>
      <c r="EP13">
        <v>145.59999999979999</v>
      </c>
      <c r="EQ13">
        <v>153.80000000000001</v>
      </c>
      <c r="ER13">
        <v>161.7999999999</v>
      </c>
      <c r="ES13">
        <v>169.89999999899999</v>
      </c>
      <c r="ET13">
        <v>178.5</v>
      </c>
      <c r="EU13">
        <v>186.89999999880001</v>
      </c>
      <c r="EV13">
        <v>194.99999999970001</v>
      </c>
      <c r="EW13">
        <v>203.2999999992</v>
      </c>
      <c r="EX13">
        <v>211.1999999997</v>
      </c>
      <c r="EY13">
        <v>219.19999999949999</v>
      </c>
      <c r="EZ13">
        <v>227.4999999991</v>
      </c>
      <c r="FA13">
        <v>235.79999999859999</v>
      </c>
      <c r="FB13">
        <v>243.69999999909999</v>
      </c>
      <c r="FC13">
        <v>251.69999999890001</v>
      </c>
      <c r="FD13">
        <v>259.29999999969999</v>
      </c>
      <c r="FE13">
        <v>266.99999999980002</v>
      </c>
      <c r="FF13">
        <v>274.6999999999</v>
      </c>
      <c r="FG13">
        <v>282.69999999970003</v>
      </c>
      <c r="FH13">
        <v>290.49999999919999</v>
      </c>
      <c r="FI13">
        <v>297.79999999850003</v>
      </c>
      <c r="FJ13">
        <v>304.99999999850002</v>
      </c>
      <c r="FK13">
        <v>312.09999999920001</v>
      </c>
      <c r="FL13">
        <v>319.1999999999</v>
      </c>
      <c r="FM13">
        <v>326.29999999879999</v>
      </c>
      <c r="FN13">
        <v>333.69999999919997</v>
      </c>
      <c r="FO13">
        <v>340.79999999990002</v>
      </c>
      <c r="FP13">
        <v>347.49999999990001</v>
      </c>
      <c r="FQ13">
        <v>354.29999999910001</v>
      </c>
      <c r="FR13">
        <v>360.79999999860001</v>
      </c>
      <c r="FS13">
        <v>366.89999999909998</v>
      </c>
      <c r="FT13">
        <v>373.39999999859998</v>
      </c>
      <c r="FU13">
        <v>379.59999999839999</v>
      </c>
      <c r="FV13">
        <v>386.0999999997</v>
      </c>
      <c r="FW13">
        <v>392.29999999950002</v>
      </c>
      <c r="FX13">
        <v>397.99999999919999</v>
      </c>
      <c r="FY13">
        <v>404.0999999997</v>
      </c>
      <c r="FZ13">
        <v>409.79999999939997</v>
      </c>
      <c r="GA13">
        <v>415.19999999949999</v>
      </c>
      <c r="GB13">
        <v>420.49999999840003</v>
      </c>
      <c r="GC13">
        <v>425.99999999950001</v>
      </c>
      <c r="GD13">
        <v>431.29999999839998</v>
      </c>
      <c r="GE13">
        <v>436.69999999840002</v>
      </c>
      <c r="GF13">
        <v>442.09999999839999</v>
      </c>
      <c r="GG13">
        <v>446.5999999993</v>
      </c>
      <c r="GH13">
        <v>450.8999999998</v>
      </c>
      <c r="GI13">
        <v>454.59999999910002</v>
      </c>
      <c r="GJ13">
        <v>456.49999999840003</v>
      </c>
      <c r="GK13">
        <v>456.49999999840003</v>
      </c>
      <c r="GL13">
        <v>456.39999999909998</v>
      </c>
      <c r="GM13">
        <v>456.49999999840003</v>
      </c>
      <c r="GN13">
        <v>456.49999999840003</v>
      </c>
      <c r="GO13">
        <v>456.49999999840003</v>
      </c>
      <c r="GP13">
        <v>456.49999999840003</v>
      </c>
      <c r="GQ13">
        <v>456.49999999840003</v>
      </c>
      <c r="GR13">
        <v>456.59999999950003</v>
      </c>
      <c r="GS13">
        <v>456.69999999880002</v>
      </c>
      <c r="GT13">
        <v>456.59999999950003</v>
      </c>
      <c r="GU13">
        <v>456.69999999880002</v>
      </c>
      <c r="GV13">
        <v>456.39999999909998</v>
      </c>
      <c r="GW13">
        <v>1</v>
      </c>
      <c r="GX13">
        <v>110.8000000004</v>
      </c>
      <c r="GY13">
        <v>107.19999999860001</v>
      </c>
      <c r="GZ13">
        <v>107.19999999860001</v>
      </c>
      <c r="HA13">
        <v>120.4999999991</v>
      </c>
      <c r="HB13">
        <v>110.5169879505</v>
      </c>
      <c r="HC13">
        <v>-13.300000000500001</v>
      </c>
      <c r="HD13">
        <v>456.39999999909998</v>
      </c>
      <c r="HE13">
        <v>309.02401971490002</v>
      </c>
      <c r="HF13">
        <v>94.270657172900002</v>
      </c>
      <c r="HG13">
        <v>456.69999999880002</v>
      </c>
      <c r="HH13">
        <v>456.69999999880002</v>
      </c>
      <c r="HI13">
        <v>456.39999999909998</v>
      </c>
      <c r="HJ13">
        <v>456.69999999880002</v>
      </c>
      <c r="HK13">
        <v>114.9560117302</v>
      </c>
      <c r="HL13">
        <v>3.3453052110999999</v>
      </c>
      <c r="HM13">
        <v>3.2354924342000002</v>
      </c>
      <c r="HN13">
        <v>3.2692944443999998</v>
      </c>
      <c r="HO13">
        <v>3.1984452028999999</v>
      </c>
      <c r="HP13">
        <v>3.5409309693000002</v>
      </c>
      <c r="HQ13">
        <v>2.2119791411</v>
      </c>
      <c r="HR13">
        <v>16.246330777600001</v>
      </c>
      <c r="HS13">
        <v>-28.152492668600001</v>
      </c>
      <c r="HT13">
        <v>-192</v>
      </c>
      <c r="HU13">
        <v>419.5410076654</v>
      </c>
      <c r="HV13">
        <v>96.187683284499997</v>
      </c>
      <c r="HW13">
        <v>656</v>
      </c>
      <c r="HX13">
        <v>16.246330777600001</v>
      </c>
      <c r="HY13">
        <v>-28.152492668600001</v>
      </c>
      <c r="HZ13">
        <v>-192</v>
      </c>
      <c r="IA13">
        <v>419.5410076654</v>
      </c>
      <c r="IB13">
        <v>96.187683284499997</v>
      </c>
      <c r="IC13">
        <v>656</v>
      </c>
      <c r="ID13">
        <v>37.158992333400001</v>
      </c>
      <c r="IE13">
        <v>0.10481927639999999</v>
      </c>
      <c r="IF13">
        <v>-37.536656891500002</v>
      </c>
      <c r="IG13">
        <v>-256</v>
      </c>
      <c r="IH13">
        <v>441.65889375519998</v>
      </c>
      <c r="II13">
        <v>105.57184750730001</v>
      </c>
      <c r="IJ13">
        <v>720</v>
      </c>
      <c r="IK13">
        <v>403.29467688779999</v>
      </c>
      <c r="IL13">
        <v>124.3401759531</v>
      </c>
      <c r="IM13">
        <v>427.03498356950001</v>
      </c>
      <c r="IN13">
        <v>133.724340176</v>
      </c>
      <c r="IO13">
        <v>7.2</v>
      </c>
      <c r="IP13">
        <v>5.8000000007999999</v>
      </c>
      <c r="IQ13">
        <v>8.7000000002999993</v>
      </c>
      <c r="IR13">
        <v>6.5098234790999996</v>
      </c>
      <c r="IS13">
        <v>6.5098234790999996</v>
      </c>
      <c r="IT13">
        <v>11.300000000100001</v>
      </c>
      <c r="IU13">
        <v>-30.4985337243</v>
      </c>
      <c r="IV13">
        <v>14.4</v>
      </c>
      <c r="IW13">
        <v>18.7683284457</v>
      </c>
      <c r="IX13">
        <v>10.299999999900001</v>
      </c>
      <c r="IY13">
        <v>103.22580645159999</v>
      </c>
      <c r="IZ13">
        <v>-33.460806321299998</v>
      </c>
      <c r="JA13">
        <v>0.3322683904</v>
      </c>
      <c r="JB13">
        <v>-3.414383E-4</v>
      </c>
      <c r="JC13">
        <v>6.7810000000000002E-7</v>
      </c>
      <c r="JD13">
        <v>0.29892638700000002</v>
      </c>
      <c r="JE13">
        <v>0.27259264109999998</v>
      </c>
      <c r="JF13">
        <v>7.3249497999999996E-2</v>
      </c>
      <c r="JG13">
        <v>111.0701655892</v>
      </c>
      <c r="JH13">
        <v>3.5409309693000002</v>
      </c>
      <c r="JI13">
        <v>3.1413748E-3</v>
      </c>
      <c r="JJ13">
        <v>-6.9652000000000003E-5</v>
      </c>
      <c r="JK13">
        <v>3.3453052110999999</v>
      </c>
      <c r="JL13">
        <v>0.81834335000000002</v>
      </c>
      <c r="JM13">
        <v>0.42070120249999998</v>
      </c>
      <c r="JN13" t="s">
        <v>648</v>
      </c>
      <c r="JQ13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72.081189022000004</v>
      </c>
      <c r="D16" s="9">
        <f>AVERAGE(C18:C20)</f>
        <v>74.42573542289999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71.315516240199997</v>
      </c>
      <c r="D17" s="9">
        <f>AVERAGE(C21:C23)</f>
        <v>69.977077651100004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68.245105888399991</v>
      </c>
      <c r="D18" s="11">
        <f>AVERAGE(C24:C26)</f>
        <v>73.881304300166661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75.605208742299993</v>
      </c>
      <c r="D19" s="6">
        <f>AVERAGE('Summary(3pcs)'!E34:E35)</f>
        <v>150.55170815933792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79.426891638000001</v>
      </c>
      <c r="D20" s="9">
        <f>AVERAGE('Summary(3pcs)'!E36:E38)</f>
        <v>145.88491488897125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65.791293550000006</v>
      </c>
      <c r="D21" s="9">
        <f>AVERAGE('Summary(3pcs)'!E39:E41)</f>
        <v>139.68822908313791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78.919086668800006</v>
      </c>
      <c r="D22" s="11">
        <f>AVERAGE('Summary(3pcs)'!E42:E44)</f>
        <v>156.25945872747124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65.220852734499999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83.448058658299999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69.163036707499998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69.032817534700001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-3.3816022514999999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-6.5867403394000004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5.2831690873000001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7.3780840440000004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1.7616770138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-4.1849587428000001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0.84767097030000005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-1.4200151646000001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0.67322763509999994</v>
      </c>
      <c r="C39" s="5">
        <f>'Summary(3pcs)'!M34</f>
        <v>-3.3816022514999999</v>
      </c>
      <c r="D39" s="11">
        <f t="shared" si="0"/>
        <v>7.9107876900000003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-6.5867403394000004</v>
      </c>
      <c r="D40" s="6">
        <f t="shared" si="0"/>
        <v>-1.8158873222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5.2831690873000001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7.3780840440000004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-0.74890648082500011</v>
      </c>
      <c r="C43" s="8">
        <f>'Summary(3pcs)'!M39</f>
        <v>1.7616770138</v>
      </c>
      <c r="D43" s="6">
        <f t="shared" ref="D43:D54" si="2">C55</f>
        <v>-0.36341467479999956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-4.1849587428000001</v>
      </c>
      <c r="D44" s="9">
        <f t="shared" si="2"/>
        <v>1.5862151667000002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0.84767097030000005</v>
      </c>
      <c r="D45" s="11">
        <f t="shared" si="2"/>
        <v>-3.8740629695999997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-1.4200151646000001</v>
      </c>
      <c r="D46" s="6">
        <f t="shared" si="2"/>
        <v>-1.8901252148000003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7.9107876900000003</v>
      </c>
      <c r="D47" s="9">
        <f t="shared" si="2"/>
        <v>-7.0528488009999997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-1.8158873222</v>
      </c>
      <c r="D48" s="11">
        <f t="shared" si="2"/>
        <v>8.3965592847000003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6.5712021106999998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9.8148231583000012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5.7729070531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5.7824342323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-1.1353469231249997</v>
      </c>
      <c r="C55" s="5">
        <f>'Summary(3pcs)'!N34</f>
        <v>-0.36341467479999956</v>
      </c>
      <c r="D55" s="6">
        <f>AVERAGE(D31:D33)</f>
        <v>-1.5617245012000003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1.5862151667000002</v>
      </c>
      <c r="D56" s="9">
        <f>AVERAGE(D34:D36)</f>
        <v>1.651600771666667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-3.8740629695999997</v>
      </c>
      <c r="D57" s="9">
        <f>AVERAGE(D37:D39)</f>
        <v>2.4461478318999998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-1.8901252148000003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4.4324339381750004</v>
      </c>
      <c r="C59" s="8">
        <f>'Summary(3pcs)'!N39</f>
        <v>-7.0528488009999997</v>
      </c>
      <c r="D59" s="9">
        <f>AVERAGE(D43:D45)</f>
        <v>-0.883754159233333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8.3965592847000003</v>
      </c>
      <c r="D60" s="9">
        <f>AVERAGE(D46:D48)</f>
        <v>-0.18213824370000017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6.5712021106999998</v>
      </c>
      <c r="D61" s="9">
        <f>AVERAGE(D49:D51)</f>
        <v>7.3863107740333334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9.8148231583000012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5.7729070531</v>
      </c>
      <c r="D63" s="6">
        <f>AVERAGE(C71:C73)</f>
        <v>1.3081418672999998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5.7824342323</v>
      </c>
      <c r="D64" s="9">
        <f>AVERAGE(C74:C76)</f>
        <v>-2.6231875419666668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-6.2399917443666668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-3.536678393666667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0.98111204306666666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4.0158532460666665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-0.19043008483333335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-2.5072018305333335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1.6215648650999999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-0.12095117570000014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2.4238119124999997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-6.6332759857000001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-1.4608731270000002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0.22458648679999982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-5.4493052959000003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-11.5345692635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-1.7361006737000002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0.45300006869999976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-4.4463291167999994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-6.6167061329000001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-2.8112586736999998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4.2507362365999999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1.5038585662999999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4.5524091721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6.0069408417000005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1.4882097243999999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-0.70865988730000007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-0.43349170679999993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0.57086133959999996</v>
      </c>
    </row>
    <row r="96" spans="1:7">
      <c r="A96" s="1" t="s">
        <v>87</v>
      </c>
      <c r="C96" s="5">
        <f>'Summary(3pcs)'!W43</f>
        <v>-0.84752202030000001</v>
      </c>
    </row>
    <row r="97" spans="1:3">
      <c r="A97" s="1" t="s">
        <v>87</v>
      </c>
      <c r="C97" s="8">
        <f>'Summary(3pcs)'!W44</f>
        <v>2.2373199500000052E-2</v>
      </c>
    </row>
    <row r="98" spans="1:3" ht="17.25" thickBot="1">
      <c r="A98" s="1" t="s">
        <v>87</v>
      </c>
      <c r="C98" s="10">
        <f>'Summary(3pcs)'!W45</f>
        <v>-6.6964566708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2022-09-23T04:09:37Z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