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<sst xmlns="http://schemas.openxmlformats.org/spreadsheetml/2006/main" count="1419" uniqueCount="671">
  <si>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</si>
  <si>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</si>
  <si>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</si>
  <si>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</si>
  <si>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</si>
  <si>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</si>
  <si>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</si>
  <si>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</si>
  <si>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</si>
  <si>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</si>
  <si>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</si>
  <si>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</si>
  <si>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</si>
  <si>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</si>
  <si>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</si>
  <si>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</si>
  <si>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</si>
  <si>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</si>
  <si>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</si>
  <si>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</si>
  <si>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</si>
  <si>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</si>
  <si>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</si>
  <si>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</si>
  <si>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</si>
  <si>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</si>
  <si>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</si>
  <si>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</si>
  <si>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</si>
  <si>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</si>
  <si>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</si>
  <si>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</si>
  <si>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</si>
  <si>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</si>
  <si>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</si>
  <si>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</si>
  <si>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</si>
  <si>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</si>
  <si>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</si>
  <si>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</si>
  <si>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</si>
  <si>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</si>
  <si>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</si>
  <si>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</si>
  <si>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</si>
  <si>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</si>
  <si>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</si>
  <si>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</si>
  <si>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</si>
  <si>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</si>
  <si>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</si>
  <si>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</si>
  <si>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</si>
  <si>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</si>
  <si>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</si>
  <si>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</si>
  <si>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</si>
  <si>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</si>
  <si>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</si>
  <si>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</si>
  <si>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</si>
  <si>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</si>
  <si>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</si>
  <si>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</si>
  <si>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</si>
  <si>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</si>
  <si>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</si>
  <si>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</si>
  <si>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</si>
  <si>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</si>
  <si>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</si>
  <si>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</si>
  <si>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</si>
  <si>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</si>
  <si>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</si>
  <si>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</si>
  <si>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</si>
  <si>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</si>
  <si>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</si>
  <si>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</si>
  <si>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</si>
  <si>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</si>
  <si>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</si>
  <si>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</si>
  <si>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</si>
  <si>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</si>
  <si>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</si>
  <si>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</si>
  <si>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</si>
  <si>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</si>
  <si>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</si>
  <si>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</si>
  <si>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</si>
  <si>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</si>
  <si>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</si>
  <si>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</si>
  <si>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</si>
  <si>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</si>
  <si>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</si>
  <si>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</si>
  <si>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</si>
  <si>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</si>
  <si>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</si>
  <si>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</si>
  <si>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</si>
  <si>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</si>
  <si>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</si>
  <si>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</si>
  <si>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</si>
  <si>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</si>
  <si>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</si>
  <si>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</si>
  <si>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</si>
  <si>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</si>
  <si>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</si>
  <si>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</si>
  <si>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</si>
  <si>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</si>
  <si>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</si>
  <si>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</si>
  <si>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</si>
  <si>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</si>
  <si>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</si>
  <si>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</si>
  <si>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</si>
  <si>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</si>
  <si>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</si>
  <si>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</si>
  <si>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</si>
  <si>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</si>
  <si>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</si>
  <si>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</si>
  <si>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</si>
  <si>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</si>
  <si>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</si>
  <si>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</si>
  <si>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</si>
  <si>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</si>
  <si>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</si>
  <si>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</si>
  <si>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</si>
  <si>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</si>
  <si>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</si>
  <si>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</si>
  <si>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</si>
  <si>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</si>
  <si>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</si>
  <si>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</si>
  <si>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</si>
  <si>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</si>
  <si>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</si>
  <si>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</si>
  <si>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</si>
  <si>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</si>
  <si>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</si>
  <si>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</si>
  <si>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</si>
  <si>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</si>
  <si>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</si>
  <si>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</si>
  <si>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</si>
  <si>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</si>
  <si>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</si>
  <si>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</si>
  <si>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</si>
  <si>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</si>
  <si>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</si>
  <si>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</si>
  <si>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</si>
  <si>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</si>
  <si>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</si>
  <si>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</si>
  <si>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</si>
  <si>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</si>
  <si>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</si>
  <si>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</si>
  <si>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</si>
  <si>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</si>
  <si>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</si>
  <si>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</si>
  <si>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</si>
  <si>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</si>
  <si>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</si>
  <si>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</si>
  <si>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</si>
  <si>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</si>
  <si>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</si>
  <si>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</si>
  <si>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</si>
  <si>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</si>
  <si>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</si>
  <si>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</si>
  <si>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</si>
  <si>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</si>
  <si>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</si>
  <si>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</si>
  <si>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</si>
  <si>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</si>
  <si>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</si>
  <si>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</si>
  <si>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</si>
  <si>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</si>
  <si>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</si>
  <si>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</si>
  <si>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</si>
  <si>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</si>
  <si>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</si>
  <si>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</si>
  <si>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VCMLEBC060A</t>
  </si>
  <si>
    <t>DB_C1001</t>
  </si>
  <si>
    <t>210615ADOE</t>
  </si>
  <si>
    <t>R13A_OC_MFG_C10_21091603_b1779c9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</si>
  <si>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</si>
  <si>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</si>
  <si>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</si>
  <si>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</si>
  <si>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</si>
  <si>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</si>
  <si>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</si>
  <si>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</si>
  <si>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</si>
  <si>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</si>
  <si>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</si>
  <si>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</si>
  <si>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</si>
  <si>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</si>
  <si>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</si>
  <si>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</si>
  <si>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</si>
  <si>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</si>
  <si>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</si>
  <si>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</si>
  <si>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</si>
  <si>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</si>
  <si>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</si>
  <si>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</si>
  <si>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</si>
  <si>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</si>
  <si>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</si>
  <si>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</si>
  <si>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</si>
  <si>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</si>
  <si>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</si>
  <si>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</si>
  <si>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</si>
  <si>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</si>
  <si>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</si>
  <si>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</si>
  <si>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</si>
  <si>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R13A_IPQC_MFG_SFR_InfDn_C10_21090805_b1779c9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</si>
  <si>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</si>
  <si>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</si>
  <si>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</si>
  <si>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</si>
  <si>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</si>
  <si>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</si>
  <si>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</si>
  <si>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</si>
  <si>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</si>
  <si>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</si>
  <si>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</si>
  <si>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</si>
  <si>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</si>
  <si>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</si>
  <si>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</si>
  <si>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</si>
  <si>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</si>
  <si>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</si>
  <si>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</si>
  <si>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</si>
  <si>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</si>
  <si>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</si>
  <si>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</si>
  <si>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</si>
  <si>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</si>
  <si>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</si>
  <si>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</si>
  <si>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</si>
  <si>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</si>
  <si>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</si>
  <si>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</si>
  <si>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</si>
  <si>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</si>
  <si>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</si>
  <si>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</si>
  <si>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</si>
  <si>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</si>
  <si>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</si>
  <si>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</si>
  <si>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</si>
  <si>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</si>
  <si>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</si>
  <si>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</si>
  <si>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</si>
  <si>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</si>
  <si>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</si>
  <si>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</si>
  <si>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</si>
  <si>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</si>
  <si>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</si>
  <si>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</si>
  <si>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</si>
  <si>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</si>
  <si>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</si>
  <si>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</si>
  <si>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</si>
  <si>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</si>
  <si>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</si>
  <si>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</si>
  <si>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</si>
  <si>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</si>
  <si>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</si>
  <si>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</si>
  <si>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</si>
  <si>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</si>
  <si>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</si>
  <si>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</si>
  <si>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</si>
  <si>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</si>
  <si>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</si>
  <si>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</si>
  <si>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</si>
  <si>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</si>
  <si>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</si>
  <si>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</si>
  <si>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</si>
  <si>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</si>
  <si>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</si>
  <si>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</si>
  <si>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</si>
  <si>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</si>
  <si>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</si>
  <si>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</si>
  <si>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</si>
  <si>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</si>
  <si>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</si>
  <si>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</si>
  <si>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</si>
  <si>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</si>
  <si>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</si>
  <si>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</si>
  <si>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</si>
  <si>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</si>
  <si>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</si>
  <si>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</si>
  <si>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</si>
  <si>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</si>
  <si>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</si>
  <si>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</si>
  <si>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</si>
  <si>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</si>
  <si>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</si>
  <si>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</si>
  <si>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</si>
  <si>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</si>
  <si>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</si>
  <si>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</si>
  <si>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</si>
  <si>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</si>
  <si>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</si>
  <si>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</si>
  <si>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</si>
  <si>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</si>
  <si>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</si>
  <si>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</si>
  <si>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</si>
  <si>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</si>
  <si>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</si>
  <si>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</si>
  <si>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</si>
  <si>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</si>
  <si>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</si>
  <si>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</si>
  <si>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</si>
  <si>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</si>
  <si>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</si>
  <si>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</si>
  <si>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</si>
  <si>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</si>
  <si>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</si>
  <si>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</si>
  <si>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</si>
  <si>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</si>
  <si>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</si>
  <si>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</si>
  <si>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</si>
  <si>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</si>
  <si>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</si>
  <si>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</si>
  <si>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</si>
  <si>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</si>
  <si>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</si>
  <si>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</si>
  <si>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</si>
  <si>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</si>
  <si>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</si>
  <si>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</si>
  <si>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</si>
  <si>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</si>
  <si>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</si>
  <si>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</si>
  <si>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</si>
  <si>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</si>
  <si>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</si>
  <si>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</si>
  <si>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</si>
  <si>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</si>
  <si>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</si>
  <si>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</si>
  <si>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</si>
  <si>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</si>
  <si>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</si>
  <si>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</si>
  <si>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</si>
  <si>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</si>
  <si>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</si>
  <si>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</si>
  <si>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</si>
  <si>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</si>
  <si>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</si>
  <si>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</si>
  <si>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</si>
  <si>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</si>
  <si>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</si>
  <si>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</si>
  <si>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</si>
  <si>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</si>
  <si>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</si>
  <si>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</si>
  <si>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</si>
  <si>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</si>
  <si>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</si>
  <si>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</si>
  <si>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</si>
  <si>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</si>
  <si>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</si>
  <si>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</si>
  <si>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</si>
  <si>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</si>
  <si>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</si>
  <si>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</si>
  <si>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</si>
  <si>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</si>
  <si>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</si>
  <si>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</si>
  <si>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</si>
  <si>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</si>
  <si>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</si>
  <si>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</si>
  <si>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</si>
  <si>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</si>
  <si>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</si>
  <si>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</si>
  <si>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</si>
  <si>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</si>
  <si>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</si>
  <si>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</si>
  <si>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</si>
  <si>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</si>
  <si>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</si>
  <si>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</si>
  <si>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</si>
  <si>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</si>
  <si>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</si>
  <si>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</si>
  <si>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</si>
  <si>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</si>
  <si>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</si>
  <si>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</si>
  <si>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</si>
  <si>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</si>
  <si>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</si>
  <si>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</si>
  <si>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</si>
  <si>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</si>
  <si>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</si>
  <si>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</si>
  <si>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</si>
  <si>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</si>
  <si>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</si>
  <si>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</si>
  <si>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</si>
  <si>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</si>
  <si>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</si>
  <si>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</si>
  <si>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</si>
  <si>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</si>
  <si>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</si>
  <si>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</si>
  <si>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</si>
  <si>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</si>
  <si>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</si>
  <si>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</si>
  <si>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</si>
  <si>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</si>
  <si>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</si>
  <si>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</si>
  <si>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</si>
  <si>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</si>
  <si>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</si>
  <si>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</si>
  <si>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</si>
  <si>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</si>
  <si>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</si>
  <si>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</si>
  <si>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</si>
  <si>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</si>
  <si>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</si>
  <si>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</si>
  <si>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</si>
  <si>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</si>
  <si>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</si>
  <si>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</si>
  <si>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</si>
  <si>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</si>
  <si>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</si>
  <si>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</si>
  <si>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</si>
  <si>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</si>
  <si>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</si>
  <si>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</si>
  <si>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</si>
  <si>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R13A_IPQC_MFG_Laser_C10_21090805_b1779c9</t>
  </si>
  <si>
    <t>v9p4</t>
  </si>
  <si>
    <t>D:\EVMS\TP\LOG\ VSY832XN9NE9_2022092319</t>
    <phoneticPr fontId="8" type="noConversion"/>
  </si>
  <si>
    <t>T220923193100067VCMLEBC060</t>
  </si>
  <si>
    <t>'2022-09-23 19:31:09:036</t>
  </si>
  <si>
    <t xml:space="preserve"> VSY832XN9NE9</t>
  </si>
  <si>
    <t>22cf40010269</t>
  </si>
  <si>
    <t>0x52801162f13ddc03</t>
  </si>
  <si>
    <t>MF9C3619B3UU21B6B847101126</t>
  </si>
  <si>
    <t>MF3C3543AHR423A7A640</t>
  </si>
  <si>
    <t>DNA22244124500E14A</t>
  </si>
  <si>
    <t>T220923193204777VCMLEBC060</t>
  </si>
  <si>
    <t>'2022-09-23 19:32:13:581</t>
  </si>
  <si>
    <t>22cf40010509</t>
  </si>
  <si>
    <t>0x52801162f1411105</t>
  </si>
  <si>
    <t>MF9C3619B3LD21B6B953103115</t>
  </si>
  <si>
    <t>MF3C3543AHPN23A7A652</t>
  </si>
  <si>
    <t>DNA22274070440H13A</t>
  </si>
  <si>
    <t>T220923193310406VCMLEBC060</t>
  </si>
  <si>
    <t>'2022-09-23 19:33:19:211</t>
  </si>
  <si>
    <t>22cf40020012</t>
  </si>
  <si>
    <t>0x52801162e8ff4e07</t>
  </si>
  <si>
    <t>MF9C3619B3G421B6B947006122</t>
  </si>
  <si>
    <t>MF3C3543AHPY23A7A643</t>
  </si>
  <si>
    <t>DNA22244124460J11A</t>
  </si>
  <si>
    <t>T220923193418101VCMLEBC060</t>
  </si>
  <si>
    <t>'2022-09-23 19:34:26:943</t>
  </si>
  <si>
    <t>22cf40020674</t>
  </si>
  <si>
    <t>0x52801162f13ddc04</t>
  </si>
  <si>
    <t>MF9C3619B3V421B6B642101139</t>
  </si>
  <si>
    <t>MF3C3543AHPZ23A7A640</t>
  </si>
  <si>
    <t>DNA22245062400D03A</t>
  </si>
  <si>
    <t>T220923193523827VCMLEBC060</t>
  </si>
  <si>
    <t>'2022-09-23 19:35:32:645</t>
  </si>
  <si>
    <t>22cf40020642</t>
  </si>
  <si>
    <t>0x52801362f48e4302</t>
  </si>
  <si>
    <t>MF9C3619B3U021B6C051007000</t>
  </si>
  <si>
    <t>MF3C3543AHR323A7A629</t>
  </si>
  <si>
    <t>DNA22251014050G10A</t>
  </si>
  <si>
    <t>T220923193635786VCMLEBC060</t>
  </si>
  <si>
    <t>'2022-09-23 19:36:44:720</t>
  </si>
  <si>
    <t>22cf40010291</t>
  </si>
  <si>
    <t>0x52801162e9195307</t>
  </si>
  <si>
    <t>MF9C3619B3UY21B6C350007118</t>
  </si>
  <si>
    <t>MF3C3543AJE023A7A628</t>
  </si>
  <si>
    <t>DNA22244124890F02A</t>
  </si>
  <si>
    <t>T220923193126433VCMLEBC060</t>
  </si>
  <si>
    <t>'2022-09-23 19:31:55:509</t>
  </si>
  <si>
    <t>T220923193230991VCMLEBC060</t>
  </si>
  <si>
    <t>'2022-09-23 19:32:59:997</t>
  </si>
  <si>
    <t>T220923193336662VCMLEBC060</t>
  </si>
  <si>
    <t>'2022-09-23 19:34:05:731</t>
  </si>
  <si>
    <t>T220923193444342VCMLEBC060</t>
  </si>
  <si>
    <t>'2022-09-23 19:35:13:218</t>
  </si>
  <si>
    <t>T220923193550137VCMLEBC060</t>
  </si>
  <si>
    <t>'2022-09-23 19:36:18:513</t>
  </si>
  <si>
    <t>T220923193702214VCMLEBC060</t>
  </si>
  <si>
    <t>'2022-09-23 19:37:30:370</t>
  </si>
  <si>
    <t>'2022-09-23 19:31:45:481</t>
  </si>
  <si>
    <t>'2022-09-23 19:32:49:965</t>
  </si>
  <si>
    <t>'2022-09-23 19:33:55:700</t>
  </si>
  <si>
    <t>'2022-09-23 19:35:03:189</t>
  </si>
  <si>
    <t>'2022-09-23 19:36:08:483</t>
  </si>
  <si>
    <t>'2022-09-23 19:37:20:339</t>
  </si>
  <si>
    <t>T220923193111672VCMLEBC060</t>
  </si>
  <si>
    <t>'2022-09-23 19:31:24:205</t>
  </si>
  <si>
    <t>T220923193216230VCMLEBC060</t>
  </si>
  <si>
    <t>'2022-09-23 19:32:28:770</t>
  </si>
  <si>
    <t>T220923193321881VCMLEBC060</t>
  </si>
  <si>
    <t>'2022-09-23 19:33:34:413</t>
  </si>
  <si>
    <t>T220923193429579VCMLEBC060</t>
  </si>
  <si>
    <t>'2022-09-23 19:34:42:115</t>
  </si>
  <si>
    <t>T220923193535375VCMLEBC060</t>
  </si>
  <si>
    <t>'2022-09-23 19:35:47:909</t>
  </si>
  <si>
    <t>T220923193647452VCMLEBC060</t>
  </si>
  <si>
    <t>'2022-09-23 19:36:59:986</t>
  </si>
  <si>
    <t>MS</t>
  </si>
  <si>
    <t>T220923193739608VCMLEBC060</t>
  </si>
  <si>
    <t>'2022-09-23 19:37:48:557</t>
  </si>
  <si>
    <t>22cf40010687</t>
  </si>
  <si>
    <t>0x52801162e9183807</t>
  </si>
  <si>
    <t>MF9C3619B3M821B6C148021115</t>
  </si>
  <si>
    <t>MF3C3543AHPV23A7A639</t>
  </si>
  <si>
    <t>DNA22274075190F08A</t>
  </si>
  <si>
    <t>T220923193751889VCMLEBC060</t>
  </si>
  <si>
    <t>'2022-09-23 19:38:04:428</t>
  </si>
  <si>
    <t>T220923193846740VCMLEBC060</t>
  </si>
  <si>
    <t>'2022-09-23 19:38:55:628</t>
  </si>
  <si>
    <t>22cf40010273</t>
  </si>
  <si>
    <t>0x52801162e9194f02</t>
  </si>
  <si>
    <t>MF9C3619B3V621B6C049003116</t>
  </si>
  <si>
    <t>MF3C3543AHPP23A7A646</t>
  </si>
  <si>
    <t>DNA22274075270L09A</t>
  </si>
  <si>
    <t>T220923193806625VCMLEBC060</t>
  </si>
  <si>
    <t>'2022-09-23 19:38:35:889</t>
  </si>
  <si>
    <t>'2022-09-23 19:38:25:863</t>
  </si>
  <si>
    <t>T220923193858278VCMLEBC060</t>
  </si>
  <si>
    <t>'2022-09-23 19:39:10:810</t>
  </si>
  <si>
    <t>T220923193913040VCMLEBC060</t>
  </si>
  <si>
    <t>'2022-09-23 19:39:42:301</t>
  </si>
  <si>
    <t>'2022-09-23 19:39:32:267</t>
  </si>
  <si>
    <t>T220923193952187VCMLEBC060</t>
  </si>
  <si>
    <t>'2022-09-23 19:40:01:062</t>
  </si>
  <si>
    <t>22cf40010764</t>
  </si>
  <si>
    <t>0x52801162f140f603</t>
  </si>
  <si>
    <t>MF9C3619B3TZ21B6B757009117</t>
  </si>
  <si>
    <t>MF3C3543AJDZ23A7A646</t>
  </si>
  <si>
    <t>DNA22252074240G04A</t>
  </si>
  <si>
    <t>T220923194003743VCMLEBC060</t>
  </si>
  <si>
    <t>'2022-09-23 19:40:16:276</t>
  </si>
  <si>
    <t>T220923194018510VCMLEBC060</t>
  </si>
  <si>
    <t>'2022-09-23 19:40:37:578</t>
  </si>
  <si>
    <t>T220923194057918VCMLEBC060</t>
  </si>
  <si>
    <t>'2022-09-23 19:41:06:861</t>
  </si>
  <si>
    <t>22cf40010051</t>
  </si>
  <si>
    <t>0x52801162f1412107</t>
  </si>
  <si>
    <t>MF9C3619B3M221B6B856006127</t>
  </si>
  <si>
    <t>MF3C3543AJDH23A7A637</t>
  </si>
  <si>
    <t>DNA22244125390I08A</t>
  </si>
  <si>
    <t>'2022-09-23 19:40:47:604</t>
  </si>
  <si>
    <t>T220923194124272VCMLEBC060</t>
  </si>
  <si>
    <t>'2022-09-23 19:41:43:534</t>
  </si>
  <si>
    <t>T220923194109511VCMLEBC060</t>
  </si>
  <si>
    <t>'2022-09-23 19:41:22:044</t>
  </si>
  <si>
    <t>T220923194202305VCMLEBC060</t>
  </si>
  <si>
    <t>'2022-09-23 19:42:11:154</t>
  </si>
  <si>
    <t>22cf40020150</t>
  </si>
  <si>
    <t>0x52801362f48ebc05</t>
  </si>
  <si>
    <t>MF9C3619B3M921B6B853005121</t>
  </si>
  <si>
    <t>MF3C3543AHPT23A7A639</t>
  </si>
  <si>
    <t>DNA22274075190G03A</t>
  </si>
  <si>
    <t>T220923194310704VCMLEBC060</t>
  </si>
  <si>
    <t>'2022-09-23 19:43:19:611</t>
  </si>
  <si>
    <t>22cf40010183</t>
  </si>
  <si>
    <t>0x52801162f1488b03</t>
  </si>
  <si>
    <t>MF9C3619B3U321B6B850107121</t>
  </si>
  <si>
    <t>MF3C3543AJD923A7A632</t>
  </si>
  <si>
    <t>DNA22244125390I07A</t>
  </si>
  <si>
    <t>'2022-09-23 19:41:53:567</t>
  </si>
  <si>
    <t>T220923194228554VCMLEBC060</t>
  </si>
  <si>
    <t>'2022-09-23 19:42:57:863</t>
  </si>
  <si>
    <t>T220923194337021VCMLEBC060</t>
  </si>
  <si>
    <t>'2022-09-23 19:44:06:126</t>
  </si>
  <si>
    <t>'2022-09-23 19:42:47:838</t>
  </si>
  <si>
    <t>'2022-09-23 19:43:56:099</t>
  </si>
  <si>
    <t>T220923194213784VCMLEBC060</t>
  </si>
  <si>
    <t>'2022-09-23 19:42:26:315</t>
  </si>
  <si>
    <t>T220923194322261VCMLEBC060</t>
  </si>
  <si>
    <t>'2022-09-23 19:43:34:790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</si>
</sst>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9.5961779181000004</c:v>
                </c:pt>
                <c:pt idx="1">
                  <c:v>11.0769496085</c:v>
                </c:pt>
                <c:pt idx="2">
                  <c:v>2.7125892818000001</c:v>
                </c:pt>
                <c:pt idx="3">
                  <c:v>-6.7159134752999998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2.9744400594</c:v>
                </c:pt>
                <c:pt idx="1">
                  <c:v>0.7602900613000001</c:v>
                </c:pt>
                <c:pt idx="2">
                  <c:v>-11.0514994152</c:v>
                </c:pt>
                <c:pt idx="3">
                  <c:v>-0.86938313889999996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7.795238936133333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-2.4389230981666667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90528"/>
        <c:axId val="50392064"/>
      </c:scatterChart>
      <c:valAx>
        <c:axId val="503905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392064"/>
        <c:crosses val="autoZero"/>
        <c:crossBetween val="midCat"/>
        <c:majorUnit val="10"/>
      </c:valAx>
      <c:valAx>
        <c:axId val="5039206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39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-4.3110228454000001</c:v>
                </c:pt>
                <c:pt idx="1">
                  <c:v>-0.68472073330000005</c:v>
                </c:pt>
                <c:pt idx="2">
                  <c:v>-5.9705893308000002</c:v>
                </c:pt>
                <c:pt idx="3">
                  <c:v>4.5611369222000002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-2.9000857306999999</c:v>
                </c:pt>
                <c:pt idx="1">
                  <c:v>-4.1962129166000004</c:v>
                </c:pt>
                <c:pt idx="2">
                  <c:v>7.5577174315000004</c:v>
                </c:pt>
                <c:pt idx="3">
                  <c:v>15.9561974386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-3.9038856846666667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-2.6552272620666666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30336"/>
        <c:axId val="50840320"/>
      </c:scatterChart>
      <c:valAx>
        <c:axId val="5083033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840320"/>
        <c:crosses val="autoZero"/>
        <c:crossBetween val="midCat"/>
        <c:majorUnit val="10"/>
      </c:valAx>
      <c:valAx>
        <c:axId val="5084032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830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-1.1812808875</c:v>
                </c:pt>
                <c:pt idx="1">
                  <c:v>1.5905579673000001</c:v>
                </c:pt>
                <c:pt idx="2">
                  <c:v>-0.63637104069999995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9.0898201399999934E-2</c:v>
                </c:pt>
                <c:pt idx="1">
                  <c:v>1.8714134150000001</c:v>
                </c:pt>
                <c:pt idx="2">
                  <c:v>5.0187914140999998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-0.86357776536666664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7.8682710238333344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58688"/>
        <c:axId val="63060224"/>
      </c:scatterChart>
      <c:valAx>
        <c:axId val="6305868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3060224"/>
        <c:crosses val="autoZero"/>
        <c:crossBetween val="midCat"/>
        <c:majorUnit val="10"/>
      </c:valAx>
      <c:valAx>
        <c:axId val="6306022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3058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-3.4592100489000002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6.5893958346999995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-0.8350077074333333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4.4932002212666662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17568"/>
        <c:axId val="63123456"/>
      </c:scatterChart>
      <c:valAx>
        <c:axId val="6311756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3123456"/>
        <c:crosses val="autoZero"/>
        <c:crossBetween val="midCat"/>
        <c:majorUnit val="10"/>
      </c:valAx>
      <c:valAx>
        <c:axId val="6312345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3117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101.5457137791</c:v>
                </c:pt>
                <c:pt idx="1">
                  <c:v>103.96812676090001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101.35382442153333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61856"/>
        <c:axId val="63163392"/>
      </c:scatterChart>
      <c:valAx>
        <c:axId val="63161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163392"/>
        <c:crosses val="autoZero"/>
        <c:crossBetween val="midCat"/>
      </c:valAx>
      <c:valAx>
        <c:axId val="6316339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161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98.547632724600007</c:v>
                </c:pt>
                <c:pt idx="1">
                  <c:v>108.8466227176</c:v>
                </c:pt>
                <c:pt idx="2">
                  <c:v>91.726150488499997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99.334144520033348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276480"/>
        <c:axId val="102278272"/>
      </c:scatterChart>
      <c:valAx>
        <c:axId val="10227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2278272"/>
        <c:crosses val="autoZero"/>
        <c:crossBetween val="midCat"/>
      </c:valAx>
      <c:valAx>
        <c:axId val="10227827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2276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97.429660354000006</c:v>
                </c:pt>
                <c:pt idx="1">
                  <c:v>103.731294656</c:v>
                </c:pt>
                <c:pt idx="2">
                  <c:v>101.09775389630001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101.65024693380001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694464"/>
        <c:axId val="119696000"/>
      </c:scatterChart>
      <c:valAx>
        <c:axId val="119694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696000"/>
        <c:crosses val="autoZero"/>
        <c:crossBetween val="midCat"/>
      </c:valAx>
      <c:valAx>
        <c:axId val="11969600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694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100.12169224909999</c:v>
                </c:pt>
                <c:pt idx="1">
                  <c:v>98.827178711000002</c:v>
                </c:pt>
                <c:pt idx="2">
                  <c:v>97.624168368499994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98.093667515633342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726464"/>
        <c:axId val="119728000"/>
      </c:scatterChart>
      <c:valAx>
        <c:axId val="119726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728000"/>
        <c:crosses val="autoZero"/>
        <c:crossBetween val="midCat"/>
      </c:valAx>
      <c:valAx>
        <c:axId val="11972800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726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-18.735115051299999</c:v>
                </c:pt>
                <c:pt idx="1">
                  <c:v>-14.6941270828</c:v>
                </c:pt>
                <c:pt idx="2">
                  <c:v>-15.6762294769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-5.0969686508000001</c:v>
                </c:pt>
                <c:pt idx="1">
                  <c:v>-1.8694329262</c:v>
                </c:pt>
                <c:pt idx="2">
                  <c:v>-7.8241920471000004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-16.368490537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-4.9301978747000001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649664"/>
        <c:axId val="127651200"/>
      </c:scatterChart>
      <c:valAx>
        <c:axId val="12764966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7651200"/>
        <c:crosses val="autoZero"/>
        <c:crossBetween val="midCat"/>
        <c:majorUnit val="10"/>
      </c:valAx>
      <c:valAx>
        <c:axId val="12765120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7649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-10.419311523400001</c:v>
                </c:pt>
                <c:pt idx="1">
                  <c:v>-7.5667252540999996</c:v>
                </c:pt>
                <c:pt idx="2">
                  <c:v>-11.023078918500001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-5.2588591575999999</c:v>
                </c:pt>
                <c:pt idx="1">
                  <c:v>-1.9900245667000001</c:v>
                </c:pt>
                <c:pt idx="2">
                  <c:v>-3.1705543398999998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-9.6697052320000001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-3.4731460213999998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806848"/>
        <c:axId val="127825024"/>
      </c:scatterChart>
      <c:valAx>
        <c:axId val="12780684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7825024"/>
        <c:crosses val="autoZero"/>
        <c:crossBetween val="midCat"/>
        <c:majorUnit val="10"/>
      </c:valAx>
      <c:valAx>
        <c:axId val="12782502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7806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-13.102567195900001</c:v>
                </c:pt>
                <c:pt idx="1">
                  <c:v>-17.1855716705</c:v>
                </c:pt>
                <c:pt idx="2">
                  <c:v>-20.1168727875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-6.0823552608</c:v>
                </c:pt>
                <c:pt idx="1">
                  <c:v>0.12186741829999992</c:v>
                </c:pt>
                <c:pt idx="2">
                  <c:v>-6.9758064747000006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-16.801670551300003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-4.3120981057333339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874176"/>
        <c:axId val="127875712"/>
      </c:scatterChart>
      <c:valAx>
        <c:axId val="12787417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7875712"/>
        <c:crosses val="autoZero"/>
        <c:crossBetween val="midCat"/>
        <c:majorUnit val="10"/>
      </c:valAx>
      <c:valAx>
        <c:axId val="12787571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7874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-5.1211342216000002</c:v>
                </c:pt>
                <c:pt idx="1">
                  <c:v>-14.262002944900001</c:v>
                </c:pt>
                <c:pt idx="2">
                  <c:v>-16.251233100900002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-1.3756809235</c:v>
                </c:pt>
                <c:pt idx="1">
                  <c:v>-6.6739354134000006</c:v>
                </c:pt>
                <c:pt idx="2">
                  <c:v>-1.8720284700000001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-11.878123422466667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-3.307214935633334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20768"/>
        <c:axId val="128057728"/>
      </c:scatterChart>
      <c:valAx>
        <c:axId val="12792076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8057728"/>
        <c:crosses val="autoZero"/>
        <c:crossBetween val="midCat"/>
        <c:majorUnit val="10"/>
      </c:valAx>
      <c:valAx>
        <c:axId val="12805772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792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152</v>
      </c>
      <c r="C3" s="72">
        <v>0.2</v>
      </c>
      <c r="D3" s="72" t="s">
        <v>153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6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 VSY832XN9NE9_2022092319_D50_ON_OC.csv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 VSY832XN9NE9_2022092319_FPDC_INFD_normal.csv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 VSY832XN9NE9_2022092319_INFDMargin_IPQC.csv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 VSY832XN9NE9_2022092319_VCM_MEASURE.csv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524</v>
      </c>
      <c r="D8" s="20"/>
    </row>
    <row r="19" spans="3:3">
      <c r="C19" s="74" t="s">
        <v>159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L31" sqref="L31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598</v>
      </c>
      <c r="S31" s="84" t="s">
        <v>151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166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167</v>
      </c>
      <c r="N33" s="41" t="s">
        <v>168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22cf40010269</v>
      </c>
      <c r="C34" s="44">
        <f>IPQC!S2+VLOOKUP($R$31,$AD$38:$AK$42,6,FALSE)+VLOOKUP('File location'!$B$1,'Tester offset'!$A$2:$D$4,2,FALSE)</f>
        <v>101.5457137791</v>
      </c>
      <c r="D34" s="44">
        <f>IPQC!Z2+VLOOKUP($R$31,$AD$38:$AK$42,6,FALSE)</f>
        <v>91.327698630300006</v>
      </c>
      <c r="E34" s="44">
        <f>VCM!HU2-'Summary(3pcs)'!C34-'Summary(3pcs)'!$D$32</f>
        <v>123.64037812763786</v>
      </c>
      <c r="F34" s="90">
        <f>AVERAGEIF($A$34:$A$45,1,$C$34:$C$45)</f>
        <v>101.35382442153333</v>
      </c>
      <c r="G34" s="91">
        <f>AVERAGEIF($A$34:$A$45,1,$D$34:$D$45)</f>
        <v>91.398057433366674</v>
      </c>
      <c r="H34" s="91">
        <f>AVERAGEIF($A$34:$A$45,1,$E$34:$E$45)</f>
        <v>137.5240477346712</v>
      </c>
      <c r="I34" s="91">
        <f>85-F34</f>
        <v>-16.353824421533332</v>
      </c>
      <c r="J34"/>
      <c r="K34" s="79">
        <f>T34</f>
        <v>1</v>
      </c>
      <c r="L34" s="80" t="str">
        <f>OC!J2</f>
        <v>22cf40010269</v>
      </c>
      <c r="M34" s="44">
        <f>OC!S2+VLOOKUP($R$31,$AD$38:$AK$42,4,FALSE)</f>
        <v>9.5961779181000004</v>
      </c>
      <c r="N34" s="44">
        <f>OC!T2+VLOOKUP($R$31,$AD$38:$AK$42,5,FALSE)</f>
        <v>2.9744400594</v>
      </c>
      <c r="O34" s="92">
        <f>AVERAGEIF($K$34:$K$45,1,$M$34:$M$45)</f>
        <v>7.795238936133333</v>
      </c>
      <c r="P34" s="92">
        <f>AVERAGEIF($K$34:$K$45,1,$N$34:$N$45)</f>
        <v>-2.4389230981666667</v>
      </c>
      <c r="Q34" s="90">
        <f>P34*0.001</f>
        <v>-2.4389230981666666E-3</v>
      </c>
      <c r="R34" s="90">
        <f>O34*0.001</f>
        <v>7.7952389361333335E-3</v>
      </c>
      <c r="T34" s="79">
        <v>1</v>
      </c>
      <c r="U34" s="80" t="str">
        <f>FPDC!J2</f>
        <v>22cf40010269</v>
      </c>
      <c r="V34" s="75">
        <f>FPDC!R2+VLOOKUP($R$31,$AD$38:$AK$42,2,FALSE)+VLOOKUP($R$31,$AD$38:$AK$42,7,FALSE)+VLOOKUP('File location'!$B$1,'Tester offset'!$A$2:$D$4,3,FALSE)</f>
        <v>-5.1211342216000002</v>
      </c>
      <c r="W34" s="76">
        <f>FPDC!S2+VLOOKUP($R$31,$AD$38:$AK$42,3,FALSE)+VLOOKUP($R$31,$AD$38:$AK$42,8,FALSE)+VLOOKUP('File location'!$B$1,'Tester offset'!$A$2:$D$4,4,FALSE)</f>
        <v>-1.3756809235</v>
      </c>
      <c r="X34" s="92">
        <f>AVERAGEIF($T$34:$T$45,1,$V$34:$V$45)</f>
        <v>-11.878123422466667</v>
      </c>
      <c r="Y34" s="92">
        <f>AVERAGEIF($T$34:$T$45,1,$W$34:$W$45)</f>
        <v>-3.307214935633334</v>
      </c>
      <c r="Z34" s="90">
        <f>(X34*-0.01)/4</f>
        <v>2.9695308556166668E-2</v>
      </c>
      <c r="AA34" s="90">
        <f>(Y34*-0.01)/4</f>
        <v>8.268037339083335E-3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22cf40010509</v>
      </c>
      <c r="C35" s="44">
        <f>IPQC!S3+VLOOKUP($R$31,$AD$38:$AK$42,6,FALSE)+VLOOKUP('File location'!$B$1,'Tester offset'!$A$2:$D$4,2,FALSE)</f>
        <v>103.96812676090001</v>
      </c>
      <c r="D35" s="44">
        <f>IPQC!Z3+VLOOKUP($R$31,$AD$38:$AK$42,6,FALSE)</f>
        <v>95.8506770961</v>
      </c>
      <c r="E35" s="44">
        <f>VCM!HU3-'Summary(3pcs)'!C35-'Summary(3pcs)'!$D$32</f>
        <v>140.51045199663787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22cf40010509</v>
      </c>
      <c r="M35" s="44">
        <f>OC!S3+VLOOKUP($R$31,$AD$38:$AK$42,4,FALSE)</f>
        <v>11.0769496085</v>
      </c>
      <c r="N35" s="44">
        <f>OC!T3+VLOOKUP($R$31,$AD$38:$AK$42,5,FALSE)</f>
        <v>0.7602900613000001</v>
      </c>
      <c r="O35" s="92"/>
      <c r="P35" s="92"/>
      <c r="Q35" s="90"/>
      <c r="R35" s="90"/>
      <c r="T35" s="79">
        <v>1</v>
      </c>
      <c r="U35" s="80" t="str">
        <f>FPDC!J3</f>
        <v>22cf40010509</v>
      </c>
      <c r="V35" s="75">
        <f>FPDC!R3+VLOOKUP($R$31,$AD$38:$AK$42,2,FALSE)+VLOOKUP($R$31,$AD$38:$AK$42,7,FALSE)+VLOOKUP('File location'!$B$1,'Tester offset'!$A$2:$D$4,3,FALSE)</f>
        <v>-14.262002944900001</v>
      </c>
      <c r="W35" s="76">
        <f>FPDC!S3+VLOOKUP($R$31,$AD$38:$AK$42,3,FALSE)+VLOOKUP($R$31,$AD$38:$AK$42,8,FALSE)+VLOOKUP('File location'!$B$1,'Tester offset'!$A$2:$D$4,4,FALSE)</f>
        <v>-6.6739354134000006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22cf40020012</v>
      </c>
      <c r="C36" s="44">
        <f>IPQC!S4+VLOOKUP($R$31,$AD$38:$AK$42,6,FALSE)+VLOOKUP('File location'!$B$1,'Tester offset'!$A$2:$D$4,2,FALSE)</f>
        <v>98.547632724600007</v>
      </c>
      <c r="D36" s="44">
        <f>IPQC!Z4+VLOOKUP($R$31,$AD$38:$AK$42,6,FALSE)</f>
        <v>87.015796573700001</v>
      </c>
      <c r="E36" s="44">
        <f>VCM!HU4-'Summary(3pcs)'!C36-'Summary(3pcs)'!$D$32</f>
        <v>148.4213130797379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22cf40020012</v>
      </c>
      <c r="M36" s="44">
        <f>OC!S4+VLOOKUP($R$31,$AD$38:$AK$42,4,FALSE)</f>
        <v>2.7125892818000001</v>
      </c>
      <c r="N36" s="44">
        <f>OC!T4+VLOOKUP($R$31,$AD$38:$AK$42,5,FALSE)</f>
        <v>-11.0514994152</v>
      </c>
      <c r="O36" s="92"/>
      <c r="P36" s="92"/>
      <c r="Q36" s="90"/>
      <c r="R36" s="90"/>
      <c r="T36" s="79">
        <v>1</v>
      </c>
      <c r="U36" s="80" t="str">
        <f>FPDC!J4</f>
        <v>22cf40020012</v>
      </c>
      <c r="V36" s="75">
        <f>FPDC!R4+VLOOKUP($R$31,$AD$38:$AK$42,2,FALSE)+VLOOKUP($R$31,$AD$38:$AK$42,7,FALSE)+VLOOKUP('File location'!$B$1,'Tester offset'!$A$2:$D$4,3,FALSE)</f>
        <v>-16.251233100900002</v>
      </c>
      <c r="W36" s="76">
        <f>FPDC!S4+VLOOKUP($R$31,$AD$38:$AK$42,3,FALSE)+VLOOKUP($R$31,$AD$38:$AK$42,8,FALSE)+VLOOKUP('File location'!$B$1,'Tester offset'!$A$2:$D$4,4,FALSE)</f>
        <v>-1.8720284700000001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 t="str">
        <f>IPQC!J5</f>
        <v>22cf40020674</v>
      </c>
      <c r="C37" s="44">
        <f>IPQC!S5+VLOOKUP($R$31,$AD$38:$AK$42,6,FALSE)+VLOOKUP('File location'!$B$1,'Tester offset'!$A$2:$D$4,2,FALSE)</f>
        <v>108.8466227176</v>
      </c>
      <c r="D37" s="44">
        <f>IPQC!Z5+VLOOKUP($R$31,$AD$38:$AK$42,6,FALSE)</f>
        <v>93.323442829000001</v>
      </c>
      <c r="E37" s="44">
        <f>VCM!HU5-'Summary(3pcs)'!C37-'Summary(3pcs)'!$D$32</f>
        <v>132.67510573313791</v>
      </c>
      <c r="F37" s="90">
        <f>AVERAGEIF($A$34:$A$45,2,$C$34:$C$45)</f>
        <v>99.334144520033348</v>
      </c>
      <c r="G37" s="91">
        <f>AVERAGEIF($A$34:$A$45,2,$D$34:$D$45)</f>
        <v>87.6921651408</v>
      </c>
      <c r="H37" s="91">
        <f>AVERAGEIF($A$34:$A$45,2,$E$34:$E$45)</f>
        <v>136.66280547477126</v>
      </c>
      <c r="I37" s="91">
        <f>85-F37</f>
        <v>-14.334144520033348</v>
      </c>
      <c r="J37"/>
      <c r="K37" s="79">
        <f t="shared" si="1"/>
        <v>2</v>
      </c>
      <c r="L37" s="80" t="str">
        <f>OC!J5</f>
        <v>22cf40020674</v>
      </c>
      <c r="M37" s="44">
        <f>OC!S5+VLOOKUP($R$31,$AD$38:$AK$42,4,FALSE)</f>
        <v>-6.7159134752999998</v>
      </c>
      <c r="N37" s="44">
        <f>OC!T5+VLOOKUP($R$31,$AD$38:$AK$42,5,FALSE)</f>
        <v>-0.86938313889999996</v>
      </c>
      <c r="O37" s="92">
        <f>AVERAGEIF($K$34:$K$45,2,$M$34:$M$45)</f>
        <v>-3.9038856846666667</v>
      </c>
      <c r="P37" s="92">
        <f>AVERAGEIF($K$34:$K$45,2,$N$34:$N$45)</f>
        <v>-2.6552272620666666</v>
      </c>
      <c r="Q37" s="90">
        <f>P37*0.001</f>
        <v>-2.6552272620666666E-3</v>
      </c>
      <c r="R37" s="90">
        <f>O37*0.001</f>
        <v>-3.9038856846666668E-3</v>
      </c>
      <c r="T37" s="79">
        <v>2</v>
      </c>
      <c r="U37" s="80" t="str">
        <f>FPDC!J5</f>
        <v>22cf40020674</v>
      </c>
      <c r="V37" s="75">
        <f>FPDC!R5+VLOOKUP($R$31,$AD$38:$AK$42,2,FALSE)+VLOOKUP($R$31,$AD$38:$AK$42,7,FALSE)+VLOOKUP('File location'!$B$1,'Tester offset'!$A$2:$D$4,3,FALSE)</f>
        <v>-18.735115051299999</v>
      </c>
      <c r="W37" s="76">
        <f>FPDC!S5+VLOOKUP($R$31,$AD$38:$AK$42,3,FALSE)+VLOOKUP($R$31,$AD$38:$AK$42,8,FALSE)+VLOOKUP('File location'!$B$1,'Tester offset'!$A$2:$D$4,4,FALSE)</f>
        <v>-5.0969686508000001</v>
      </c>
      <c r="X37" s="92">
        <f>AVERAGEIF($T$34:$T$45,2,$V$34:$V$45)</f>
        <v>-16.368490537</v>
      </c>
      <c r="Y37" s="92">
        <f>AVERAGEIF($T$34:$T$45,2,$W$34:$W$45)</f>
        <v>-4.9301978747000001</v>
      </c>
      <c r="Z37" s="90">
        <f>(X37*-0.01)/4</f>
        <v>4.0921226342499999E-2</v>
      </c>
      <c r="AA37" s="90">
        <f>(Y37*-0.01)/4</f>
        <v>1.232549468675E-2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22cf40020642</v>
      </c>
      <c r="C38" s="44">
        <f>IPQC!S6+VLOOKUP($R$31,$AD$38:$AK$42,6,FALSE)+VLOOKUP('File location'!$B$1,'Tester offset'!$A$2:$D$4,2,FALSE)</f>
        <v>91.726150488499997</v>
      </c>
      <c r="D38" s="44">
        <f>IPQC!Z6+VLOOKUP($R$31,$AD$38:$AK$42,6,FALSE)</f>
        <v>83.103097356500001</v>
      </c>
      <c r="E38" s="44">
        <f>VCM!HU6-'Summary(3pcs)'!C38-'Summary(3pcs)'!$D$32</f>
        <v>137.42611783213795</v>
      </c>
      <c r="F38" s="90"/>
      <c r="G38" s="91"/>
      <c r="H38" s="91"/>
      <c r="I38" s="91"/>
      <c r="J38"/>
      <c r="K38" s="79">
        <f t="shared" si="1"/>
        <v>2</v>
      </c>
      <c r="L38" s="80" t="str">
        <f>OC!J6</f>
        <v>22cf40020642</v>
      </c>
      <c r="M38" s="44">
        <f>OC!S6+VLOOKUP($R$31,$AD$38:$AK$42,4,FALSE)</f>
        <v>-4.3110228454000001</v>
      </c>
      <c r="N38" s="44">
        <f>OC!T6+VLOOKUP($R$31,$AD$38:$AK$42,5,FALSE)</f>
        <v>-2.9000857306999999</v>
      </c>
      <c r="O38" s="92"/>
      <c r="P38" s="92"/>
      <c r="Q38" s="90"/>
      <c r="R38" s="90"/>
      <c r="T38" s="79">
        <v>2</v>
      </c>
      <c r="U38" s="80" t="str">
        <f>FPDC!J6</f>
        <v>22cf40020642</v>
      </c>
      <c r="V38" s="75">
        <f>FPDC!R6+VLOOKUP($R$31,$AD$38:$AK$42,2,FALSE)+VLOOKUP($R$31,$AD$38:$AK$42,7,FALSE)+VLOOKUP('File location'!$B$1,'Tester offset'!$A$2:$D$4,3,FALSE)</f>
        <v>-14.6941270828</v>
      </c>
      <c r="W38" s="76">
        <f>FPDC!S6+VLOOKUP($R$31,$AD$38:$AK$42,3,FALSE)+VLOOKUP($R$31,$AD$38:$AK$42,8,FALSE)+VLOOKUP('File location'!$B$1,'Tester offset'!$A$2:$D$4,4,FALSE)</f>
        <v>-1.8694329262</v>
      </c>
      <c r="X38" s="92"/>
      <c r="Y38" s="92"/>
      <c r="Z38" s="90"/>
      <c r="AA38" s="90"/>
      <c r="AD38" s="79" t="s">
        <v>169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22cf40010291</v>
      </c>
      <c r="C39" s="44">
        <f>IPQC!S7+VLOOKUP($R$31,$AD$38:$AK$42,6,FALSE)+VLOOKUP('File location'!$B$1,'Tester offset'!$A$2:$D$4,2,FALSE)</f>
        <v>97.429660354000006</v>
      </c>
      <c r="D39" s="44">
        <f>IPQC!Z7+VLOOKUP($R$31,$AD$38:$AK$42,6,FALSE)</f>
        <v>86.649955236899999</v>
      </c>
      <c r="E39" s="44">
        <f>VCM!HU7-'Summary(3pcs)'!C39-'Summary(3pcs)'!$D$32</f>
        <v>139.8871928590379</v>
      </c>
      <c r="F39" s="90"/>
      <c r="G39" s="91"/>
      <c r="H39" s="91"/>
      <c r="I39" s="91"/>
      <c r="J39"/>
      <c r="K39" s="79">
        <f t="shared" si="1"/>
        <v>2</v>
      </c>
      <c r="L39" s="80" t="str">
        <f>OC!J7</f>
        <v>22cf40010291</v>
      </c>
      <c r="M39" s="44">
        <f>OC!S7+VLOOKUP($R$31,$AD$38:$AK$42,4,FALSE)</f>
        <v>-0.68472073330000005</v>
      </c>
      <c r="N39" s="44">
        <f>OC!T7+VLOOKUP($R$31,$AD$38:$AK$42,5,FALSE)</f>
        <v>-4.1962129166000004</v>
      </c>
      <c r="O39" s="92"/>
      <c r="P39" s="92"/>
      <c r="Q39" s="90"/>
      <c r="R39" s="90"/>
      <c r="T39" s="79">
        <v>2</v>
      </c>
      <c r="U39" s="80" t="str">
        <f>FPDC!J7</f>
        <v>22cf40010291</v>
      </c>
      <c r="V39" s="75">
        <f>FPDC!R7+VLOOKUP($R$31,$AD$38:$AK$42,2,FALSE)+VLOOKUP($R$31,$AD$38:$AK$42,7,FALSE)+VLOOKUP('File location'!$B$1,'Tester offset'!$A$2:$D$4,3,FALSE)</f>
        <v>-15.6762294769</v>
      </c>
      <c r="W39" s="76">
        <f>FPDC!S7+VLOOKUP($R$31,$AD$38:$AK$42,3,FALSE)+VLOOKUP($R$31,$AD$38:$AK$42,8,FALSE)+VLOOKUP('File location'!$B$1,'Tester offset'!$A$2:$D$4,4,FALSE)</f>
        <v>-7.8241920471000004</v>
      </c>
      <c r="X39" s="92"/>
      <c r="Y39" s="92"/>
      <c r="Z39" s="90"/>
      <c r="AA39" s="90"/>
      <c r="AD39" s="30" t="s">
        <v>170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22cf40010687</v>
      </c>
      <c r="C40" s="44">
        <f>IPQC!S8+VLOOKUP($R$31,$AD$38:$AK$42,6,FALSE)+VLOOKUP('File location'!$B$1,'Tester offset'!$A$2:$D$4,2,FALSE)</f>
        <v>103.731294656</v>
      </c>
      <c r="D40" s="44">
        <f>IPQC!Z8+VLOOKUP($R$31,$AD$38:$AK$42,6,FALSE)</f>
        <v>96.918566787399996</v>
      </c>
      <c r="E40" s="44">
        <f>VCM!HU8-'Summary(3pcs)'!C40-'Summary(3pcs)'!$D$32</f>
        <v>140.29538907943794</v>
      </c>
      <c r="F40" s="90">
        <f>AVERAGEIF($A$34:$A$45,3,$C$34:$C$45)</f>
        <v>101.65024693380001</v>
      </c>
      <c r="G40" s="91">
        <f>AVERAGEIF($A$34:$A$45,3,$D$34:$D$45)</f>
        <v>91.753024548366668</v>
      </c>
      <c r="H40" s="91">
        <f>AVERAGEIF($A$34:$A$45,3,$E$34:$E$45)</f>
        <v>136.95081153123792</v>
      </c>
      <c r="I40" s="91">
        <f>85-F40</f>
        <v>-16.650246933800005</v>
      </c>
      <c r="J40"/>
      <c r="K40" s="79">
        <f t="shared" si="1"/>
        <v>3</v>
      </c>
      <c r="L40" s="80" t="str">
        <f>OC!J8</f>
        <v>22cf40010687</v>
      </c>
      <c r="M40" s="44">
        <f>OC!S8+VLOOKUP($R$31,$AD$38:$AK$42,4,FALSE)</f>
        <v>-5.9705893308000002</v>
      </c>
      <c r="N40" s="44">
        <f>OC!T8+VLOOKUP($R$31,$AD$38:$AK$42,5,FALSE)</f>
        <v>7.5577174315000004</v>
      </c>
      <c r="O40" s="92">
        <f>AVERAGEIF($K$34:$K$45,3,$M$34:$M$45)</f>
        <v>-0.86357776536666664</v>
      </c>
      <c r="P40" s="92">
        <f>AVERAGEIF($K$34:$K$45,3,$N$34:$N$45)</f>
        <v>7.8682710238333344</v>
      </c>
      <c r="Q40" s="90">
        <f>P40*0.001</f>
        <v>7.8682710238333342E-3</v>
      </c>
      <c r="R40" s="90">
        <f>O40*0.001</f>
        <v>-8.6357776536666667E-4</v>
      </c>
      <c r="T40" s="79">
        <v>3</v>
      </c>
      <c r="U40" s="80" t="str">
        <f>FPDC!J8</f>
        <v>22cf40010687</v>
      </c>
      <c r="V40" s="75">
        <f>FPDC!R8+VLOOKUP($R$31,$AD$38:$AK$42,2,FALSE)+VLOOKUP($R$31,$AD$38:$AK$42,7,FALSE)+VLOOKUP('File location'!$B$1,'Tester offset'!$A$2:$D$4,3,FALSE)</f>
        <v>-10.419311523400001</v>
      </c>
      <c r="W40" s="76">
        <f>FPDC!S8+VLOOKUP($R$31,$AD$38:$AK$42,3,FALSE)+VLOOKUP($R$31,$AD$38:$AK$42,8,FALSE)+VLOOKUP('File location'!$B$1,'Tester offset'!$A$2:$D$4,4,FALSE)</f>
        <v>-5.2588591575999999</v>
      </c>
      <c r="X40" s="92">
        <f>AVERAGEIF($T$34:$T$45,3,$V$34:$V$45)</f>
        <v>-9.6697052320000001</v>
      </c>
      <c r="Y40" s="92">
        <f>AVERAGEIF($T$34:$T$45,3,$W$34:$W$45)</f>
        <v>-3.4731460213999998</v>
      </c>
      <c r="Z40" s="90">
        <f>(X40*-0.01)/4</f>
        <v>2.4174263080000001E-2</v>
      </c>
      <c r="AA40" s="90">
        <f>(Y40*-0.01)/4</f>
        <v>8.6828650534999992E-3</v>
      </c>
      <c r="AD40" s="30" t="s">
        <v>171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22cf40010273</v>
      </c>
      <c r="C41" s="44">
        <f>IPQC!S9+VLOOKUP($R$31,$AD$38:$AK$42,6,FALSE)+VLOOKUP('File location'!$B$1,'Tester offset'!$A$2:$D$4,2,FALSE)</f>
        <v>101.09775389630001</v>
      </c>
      <c r="D41" s="44">
        <f>IPQC!Z9+VLOOKUP($R$31,$AD$38:$AK$42,6,FALSE)</f>
        <v>89.978480611999998</v>
      </c>
      <c r="E41" s="44">
        <f>VCM!HU9-'Summary(3pcs)'!C41-'Summary(3pcs)'!$D$32</f>
        <v>144.09388714903793</v>
      </c>
      <c r="F41" s="90"/>
      <c r="G41" s="91"/>
      <c r="H41" s="91"/>
      <c r="I41" s="91"/>
      <c r="J41"/>
      <c r="K41" s="79">
        <f t="shared" si="1"/>
        <v>3</v>
      </c>
      <c r="L41" s="80" t="str">
        <f>OC!J9</f>
        <v>22cf40010273</v>
      </c>
      <c r="M41" s="44">
        <f>OC!S9+VLOOKUP($R$31,$AD$38:$AK$42,4,FALSE)</f>
        <v>4.5611369222000002</v>
      </c>
      <c r="N41" s="44">
        <f>OC!T9+VLOOKUP($R$31,$AD$38:$AK$42,5,FALSE)</f>
        <v>15.9561974386</v>
      </c>
      <c r="O41" s="92"/>
      <c r="P41" s="92"/>
      <c r="Q41" s="90"/>
      <c r="R41" s="90"/>
      <c r="T41" s="79">
        <v>3</v>
      </c>
      <c r="U41" s="80" t="str">
        <f>FPDC!J9</f>
        <v>22cf40010273</v>
      </c>
      <c r="V41" s="75">
        <f>FPDC!R9+VLOOKUP($R$31,$AD$38:$AK$42,2,FALSE)+VLOOKUP($R$31,$AD$38:$AK$42,7,FALSE)+VLOOKUP('File location'!$B$1,'Tester offset'!$A$2:$D$4,3,FALSE)</f>
        <v>-7.5667252540999996</v>
      </c>
      <c r="W41" s="76">
        <f>FPDC!S9+VLOOKUP($R$31,$AD$38:$AK$42,3,FALSE)+VLOOKUP($R$31,$AD$38:$AK$42,8,FALSE)+VLOOKUP('File location'!$B$1,'Tester offset'!$A$2:$D$4,4,FALSE)</f>
        <v>-1.9900245667000001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22cf40010764</v>
      </c>
      <c r="C42" s="44">
        <f>IPQC!S10+VLOOKUP($R$31,$AD$38:$AK$42,6,FALSE)+VLOOKUP('File location'!$B$1,'Tester offset'!$A$2:$D$4,2,FALSE)</f>
        <v>100.12169224909999</v>
      </c>
      <c r="D42" s="44">
        <f>IPQC!Z10+VLOOKUP($R$31,$AD$38:$AK$42,6,FALSE)</f>
        <v>88.362026245699994</v>
      </c>
      <c r="E42" s="44">
        <f>VCM!HU10-'Summary(3pcs)'!C42-'Summary(3pcs)'!$D$32</f>
        <v>126.46315836523786</v>
      </c>
      <c r="F42" s="90"/>
      <c r="G42" s="91"/>
      <c r="H42" s="91"/>
      <c r="I42" s="91"/>
      <c r="J42"/>
      <c r="K42" s="79">
        <f t="shared" si="1"/>
        <v>3</v>
      </c>
      <c r="L42" s="80" t="str">
        <f>OC!J10</f>
        <v>22cf40010764</v>
      </c>
      <c r="M42" s="44">
        <f>OC!S10+VLOOKUP($R$31,$AD$38:$AK$42,4,FALSE)</f>
        <v>-1.1812808875</v>
      </c>
      <c r="N42" s="44">
        <f>OC!T10+VLOOKUP($R$31,$AD$38:$AK$42,5,FALSE)</f>
        <v>9.0898201399999934E-2</v>
      </c>
      <c r="O42" s="92"/>
      <c r="P42" s="92"/>
      <c r="Q42" s="90"/>
      <c r="R42" s="90"/>
      <c r="T42" s="79">
        <v>3</v>
      </c>
      <c r="U42" s="80" t="str">
        <f>FPDC!J10</f>
        <v>22cf40010764</v>
      </c>
      <c r="V42" s="75">
        <f>FPDC!R10+VLOOKUP($R$31,$AD$38:$AK$42,2,FALSE)+VLOOKUP($R$31,$AD$38:$AK$42,7,FALSE)+VLOOKUP('File location'!$B$1,'Tester offset'!$A$2:$D$4,3,FALSE)</f>
        <v>-11.023078918500001</v>
      </c>
      <c r="W42" s="76">
        <f>FPDC!S10+VLOOKUP($R$31,$AD$38:$AK$42,3,FALSE)+VLOOKUP($R$31,$AD$38:$AK$42,8,FALSE)+VLOOKUP('File location'!$B$1,'Tester offset'!$A$2:$D$4,4,FALSE)</f>
        <v>-3.1705543398999998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22cf40010051</v>
      </c>
      <c r="C43" s="44">
        <f>IPQC!S11+VLOOKUP($R$31,$AD$38:$AK$42,6,FALSE)+VLOOKUP('File location'!$B$1,'Tester offset'!$A$2:$D$4,2,FALSE)</f>
        <v>98.827178711000002</v>
      </c>
      <c r="D43" s="44">
        <f>IPQC!Z11+VLOOKUP($R$31,$AD$38:$AK$42,6,FALSE)</f>
        <v>91.759041456000006</v>
      </c>
      <c r="E43" s="44">
        <f>VCM!HU11-'Summary(3pcs)'!C43-'Summary(3pcs)'!$D$32</f>
        <v>139.0611862862379</v>
      </c>
      <c r="F43" s="90">
        <f>AVERAGEIF($A$34:$A$45,4,$C$34:$C$45)</f>
        <v>98.093667515633342</v>
      </c>
      <c r="G43" s="91">
        <f>AVERAGEIF($A$34:$A$45,4,$D$34:$D$45)</f>
        <v>88.885863249433328</v>
      </c>
      <c r="H43" s="91">
        <f>AVERAGEIF($A$34:$A$45,4,$E$34:$E$45)</f>
        <v>132.94293894770456</v>
      </c>
      <c r="I43" s="91">
        <f>85-F43</f>
        <v>-13.093667515633342</v>
      </c>
      <c r="J43"/>
      <c r="K43" s="79">
        <f t="shared" si="1"/>
        <v>4</v>
      </c>
      <c r="L43" s="80" t="str">
        <f>OC!J11</f>
        <v>22cf40010051</v>
      </c>
      <c r="M43" s="44">
        <f>OC!S11+VLOOKUP($R$31,$AD$38:$AK$42,4,FALSE)</f>
        <v>1.5905579673000001</v>
      </c>
      <c r="N43" s="44">
        <f>OC!T11+VLOOKUP($R$31,$AD$38:$AK$42,5,FALSE)</f>
        <v>1.8714134150000001</v>
      </c>
      <c r="O43" s="92">
        <f>AVERAGEIF($K$34:$K$45,4,$M$34:$M$45)</f>
        <v>-0.8350077074333333</v>
      </c>
      <c r="P43" s="92">
        <f>AVERAGEIF($K$34:$K$45,4,$N$34:$N$45)</f>
        <v>4.4932002212666662</v>
      </c>
      <c r="Q43" s="90">
        <f>P43*0.001</f>
        <v>4.4932002212666666E-3</v>
      </c>
      <c r="R43" s="90">
        <f>O43*0.001</f>
        <v>-8.3500770743333329E-4</v>
      </c>
      <c r="T43" s="79">
        <v>4</v>
      </c>
      <c r="U43" s="80" t="str">
        <f>FPDC!J11</f>
        <v>22cf40010051</v>
      </c>
      <c r="V43" s="75">
        <f>FPDC!R11+VLOOKUP($R$31,$AD$38:$AK$42,2,FALSE)+VLOOKUP($R$31,$AD$38:$AK$42,7,FALSE)+VLOOKUP('File location'!$B$1,'Tester offset'!$A$2:$D$4,3,FALSE)</f>
        <v>-13.102567195900001</v>
      </c>
      <c r="W43" s="76">
        <f>FPDC!S11+VLOOKUP($R$31,$AD$38:$AK$42,3,FALSE)+VLOOKUP($R$31,$AD$38:$AK$42,8,FALSE)+VLOOKUP('File location'!$B$1,'Tester offset'!$A$2:$D$4,4,FALSE)</f>
        <v>-6.0823552608</v>
      </c>
      <c r="X43" s="92">
        <f>AVERAGEIF($T$34:$T$45,4,$V$34:$V$45)</f>
        <v>-16.801670551300003</v>
      </c>
      <c r="Y43" s="92">
        <f>AVERAGEIF($T$34:$T$45,4,$W$34:$W$45)</f>
        <v>-4.3120981057333339</v>
      </c>
      <c r="Z43" s="90">
        <f>(X43*-0.01)/4</f>
        <v>4.2004176378250005E-2</v>
      </c>
      <c r="AA43" s="90">
        <f>(Y43*-0.01)/4</f>
        <v>1.0780245264333336E-2</v>
      </c>
    </row>
    <row r="44" spans="1:37" s="32" customFormat="1" ht="17.100000000000001" customHeight="1">
      <c r="A44" s="79">
        <f t="shared" si="0"/>
        <v>4</v>
      </c>
      <c r="B44" s="80" t="str">
        <f>IPQC!J12</f>
        <v>22cf40020150</v>
      </c>
      <c r="C44" s="44">
        <f>IPQC!S12+VLOOKUP($R$31,$AD$38:$AK$42,6,FALSE)+VLOOKUP('File location'!$B$1,'Tester offset'!$A$2:$D$4,2,FALSE)</f>
        <v>97.624168368499994</v>
      </c>
      <c r="D44" s="44">
        <f>IPQC!Z12+VLOOKUP($R$31,$AD$38:$AK$42,6,FALSE)</f>
        <v>86.160892825399998</v>
      </c>
      <c r="E44" s="44">
        <f>VCM!HU12-'Summary(3pcs)'!C44-'Summary(3pcs)'!$D$32</f>
        <v>128.1942177012379</v>
      </c>
      <c r="F44" s="90"/>
      <c r="G44" s="91"/>
      <c r="H44" s="91"/>
      <c r="I44" s="91"/>
      <c r="J44"/>
      <c r="K44" s="79">
        <f t="shared" si="1"/>
        <v>4</v>
      </c>
      <c r="L44" s="80" t="str">
        <f>OC!J12</f>
        <v>22cf40020150</v>
      </c>
      <c r="M44" s="44">
        <f>OC!S12+VLOOKUP($R$31,$AD$38:$AK$42,4,FALSE)</f>
        <v>-0.63637104069999995</v>
      </c>
      <c r="N44" s="44">
        <f>OC!T12+VLOOKUP($R$31,$AD$38:$AK$42,5,FALSE)</f>
        <v>5.0187914140999998</v>
      </c>
      <c r="O44" s="92"/>
      <c r="P44" s="92"/>
      <c r="Q44" s="90"/>
      <c r="R44" s="90"/>
      <c r="T44" s="79">
        <v>4</v>
      </c>
      <c r="U44" s="80" t="str">
        <f>FPDC!J12</f>
        <v>22cf40020150</v>
      </c>
      <c r="V44" s="75">
        <f>FPDC!R12+VLOOKUP($R$31,$AD$38:$AK$42,2,FALSE)+VLOOKUP($R$31,$AD$38:$AK$42,7,FALSE)+VLOOKUP('File location'!$B$1,'Tester offset'!$A$2:$D$4,3,FALSE)</f>
        <v>-17.1855716705</v>
      </c>
      <c r="W44" s="76">
        <f>FPDC!S12+VLOOKUP($R$31,$AD$38:$AK$42,3,FALSE)+VLOOKUP($R$31,$AD$38:$AK$42,8,FALSE)+VLOOKUP('File location'!$B$1,'Tester offset'!$A$2:$D$4,4,FALSE)</f>
        <v>0.12186741829999992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 t="str">
        <f>IPQC!J13</f>
        <v>22cf40010183</v>
      </c>
      <c r="C45" s="44">
        <f>IPQC!S13+VLOOKUP($R$31,$AD$38:$AK$42,6,FALSE)+VLOOKUP('File location'!$B$1,'Tester offset'!$A$2:$D$4,2,FALSE)</f>
        <v>97.829655467400002</v>
      </c>
      <c r="D45" s="44">
        <f>IPQC!Z13+VLOOKUP($R$31,$AD$38:$AK$42,6,FALSE)</f>
        <v>88.737655466899994</v>
      </c>
      <c r="E45" s="44">
        <f>VCM!HU13-'Summary(3pcs)'!C45-'Summary(3pcs)'!$D$32</f>
        <v>131.57341285563791</v>
      </c>
      <c r="F45" s="90"/>
      <c r="G45" s="91"/>
      <c r="H45" s="91"/>
      <c r="I45" s="91"/>
      <c r="J45"/>
      <c r="K45" s="79">
        <f t="shared" si="1"/>
        <v>4</v>
      </c>
      <c r="L45" s="80" t="str">
        <f>OC!J13</f>
        <v>22cf40010183</v>
      </c>
      <c r="M45" s="44">
        <f>OC!S13+VLOOKUP($R$31,$AD$38:$AK$42,4,FALSE)</f>
        <v>-3.4592100489000002</v>
      </c>
      <c r="N45" s="44">
        <f>OC!T13+VLOOKUP($R$31,$AD$38:$AK$42,5,FALSE)</f>
        <v>6.5893958346999995</v>
      </c>
      <c r="O45" s="92"/>
      <c r="P45" s="92"/>
      <c r="Q45" s="90"/>
      <c r="R45" s="90"/>
      <c r="T45" s="79">
        <v>4</v>
      </c>
      <c r="U45" s="80" t="str">
        <f>FPDC!J13</f>
        <v>22cf40010183</v>
      </c>
      <c r="V45" s="75">
        <f>FPDC!R13+VLOOKUP($R$31,$AD$38:$AK$42,2,FALSE)+VLOOKUP($R$31,$AD$38:$AK$42,7,FALSE)+VLOOKUP('File location'!$B$1,'Tester offset'!$A$2:$D$4,3,FALSE)</f>
        <v>-20.1168727875</v>
      </c>
      <c r="W45" s="76">
        <f>FPDC!S13+VLOOKUP($R$31,$AD$38:$AK$42,3,FALSE)+VLOOKUP($R$31,$AD$38:$AK$42,8,FALSE)+VLOOKUP('File location'!$B$1,'Tester offset'!$A$2:$D$4,4,FALSE)</f>
        <v>-6.9758064747000006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160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154</v>
      </c>
      <c r="G48" s="89"/>
      <c r="H48" s="78" t="s">
        <v>141</v>
      </c>
      <c r="I48" s="32"/>
      <c r="K48" s="32"/>
      <c r="L48" s="32"/>
      <c r="M48" s="32"/>
      <c r="N48" s="32"/>
      <c r="O48" s="93" t="s">
        <v>155</v>
      </c>
      <c r="P48" s="89"/>
      <c r="Q48" s="78" t="s">
        <v>161</v>
      </c>
      <c r="R48" s="32"/>
      <c r="S48" s="32"/>
      <c r="T48" s="32"/>
      <c r="U48" s="32"/>
      <c r="V48" s="32"/>
      <c r="W48" s="32"/>
      <c r="X48" s="32"/>
      <c r="Y48" s="93" t="s">
        <v>155</v>
      </c>
      <c r="Z48" s="89"/>
      <c r="AA48" s="78" t="s">
        <v>104</v>
      </c>
    </row>
    <row r="49" spans="6:27" ht="17.25">
      <c r="F49" s="89" t="s">
        <v>156</v>
      </c>
      <c r="G49" s="89"/>
      <c r="H49" s="78" t="s">
        <v>107</v>
      </c>
      <c r="I49" s="32"/>
      <c r="K49" s="32"/>
      <c r="L49" s="32"/>
      <c r="M49" s="32"/>
      <c r="N49" s="32"/>
      <c r="O49" s="93" t="s">
        <v>164</v>
      </c>
      <c r="P49" s="89"/>
      <c r="Q49" s="78" t="s">
        <v>162</v>
      </c>
      <c r="R49" s="32"/>
      <c r="S49" s="32"/>
      <c r="T49" s="32"/>
      <c r="U49" s="32"/>
      <c r="V49" s="32"/>
      <c r="W49" s="32"/>
      <c r="X49" s="32"/>
      <c r="Y49" s="93" t="s">
        <v>158</v>
      </c>
      <c r="Z49" s="89"/>
      <c r="AA49" s="78" t="s">
        <v>163</v>
      </c>
    </row>
    <row r="50" spans="6:27" ht="17.25">
      <c r="F50" s="89" t="s">
        <v>16</v>
      </c>
      <c r="G50" s="89"/>
      <c r="H50" s="78" t="s">
        <v>106</v>
      </c>
      <c r="I50" s="32"/>
      <c r="K50" s="32"/>
      <c r="M50" s="32"/>
      <c r="N50" s="32"/>
      <c r="O50" s="93" t="s">
        <v>164</v>
      </c>
      <c r="P50" s="89"/>
      <c r="Q50" s="78" t="s">
        <v>165</v>
      </c>
      <c r="R50" s="32"/>
      <c r="S50" s="32"/>
      <c r="T50" s="32"/>
      <c r="U50" s="32"/>
      <c r="V50" s="32"/>
      <c r="W50" s="32"/>
      <c r="X50" s="32"/>
      <c r="Y50" s="93" t="s">
        <v>157</v>
      </c>
      <c r="Z50" s="89"/>
      <c r="AA50" s="78" t="s">
        <v>142</v>
      </c>
    </row>
    <row r="52" spans="6:27" ht="19.5">
      <c r="I52" s="45"/>
      <c r="J52" s="45"/>
      <c r="K52" s="81" t="s">
        <v>150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101.5457137791</v>
      </c>
      <c r="L54" s="49">
        <f t="shared" ref="L54:L65" si="4">D34</f>
        <v>91.327698630300006</v>
      </c>
      <c r="M54" s="49">
        <f t="shared" ref="M54:M65" si="5">E34</f>
        <v>123.64037812763786</v>
      </c>
      <c r="N54" s="49">
        <f t="shared" ref="N54:O65" si="6">M34</f>
        <v>9.5961779181000004</v>
      </c>
      <c r="O54" s="49">
        <f t="shared" si="6"/>
        <v>2.9744400594</v>
      </c>
      <c r="P54" s="49">
        <f t="shared" ref="P54:P65" si="7">V34</f>
        <v>-5.1211342216000002</v>
      </c>
      <c r="Q54" s="50">
        <f t="shared" ref="Q54:Q65" si="8">W34</f>
        <v>-1.3756809235</v>
      </c>
    </row>
    <row r="55" spans="6:27" ht="19.5">
      <c r="I55" s="47">
        <f t="shared" si="2"/>
        <v>1</v>
      </c>
      <c r="J55" s="46"/>
      <c r="K55" s="51">
        <f t="shared" si="3"/>
        <v>103.96812676090001</v>
      </c>
      <c r="L55" s="52">
        <f t="shared" si="4"/>
        <v>95.8506770961</v>
      </c>
      <c r="M55" s="52">
        <f t="shared" si="5"/>
        <v>140.51045199663787</v>
      </c>
      <c r="N55" s="52">
        <f t="shared" si="6"/>
        <v>11.0769496085</v>
      </c>
      <c r="O55" s="52">
        <f t="shared" si="6"/>
        <v>0.7602900613000001</v>
      </c>
      <c r="P55" s="52">
        <f t="shared" si="7"/>
        <v>-14.262002944900001</v>
      </c>
      <c r="Q55" s="53">
        <f t="shared" si="8"/>
        <v>-6.6739354134000006</v>
      </c>
    </row>
    <row r="56" spans="6:27" ht="19.5">
      <c r="I56" s="47">
        <f t="shared" si="2"/>
        <v>1</v>
      </c>
      <c r="J56" s="46"/>
      <c r="K56" s="54">
        <f t="shared" si="3"/>
        <v>98.547632724600007</v>
      </c>
      <c r="L56" s="55">
        <f t="shared" si="4"/>
        <v>87.015796573700001</v>
      </c>
      <c r="M56" s="55">
        <f t="shared" si="5"/>
        <v>148.4213130797379</v>
      </c>
      <c r="N56" s="55">
        <f t="shared" si="6"/>
        <v>2.7125892818000001</v>
      </c>
      <c r="O56" s="55">
        <f t="shared" si="6"/>
        <v>-11.0514994152</v>
      </c>
      <c r="P56" s="55">
        <f t="shared" si="7"/>
        <v>-16.251233100900002</v>
      </c>
      <c r="Q56" s="56">
        <f t="shared" si="8"/>
        <v>-1.8720284700000001</v>
      </c>
    </row>
    <row r="57" spans="6:27" ht="19.5">
      <c r="I57" s="47">
        <f t="shared" si="2"/>
        <v>2</v>
      </c>
      <c r="J57" s="46"/>
      <c r="K57" s="57">
        <f t="shared" si="3"/>
        <v>108.8466227176</v>
      </c>
      <c r="L57" s="58">
        <f t="shared" si="4"/>
        <v>93.323442829000001</v>
      </c>
      <c r="M57" s="58">
        <f t="shared" si="5"/>
        <v>132.67510573313791</v>
      </c>
      <c r="N57" s="58">
        <f t="shared" si="6"/>
        <v>-6.7159134752999998</v>
      </c>
      <c r="O57" s="58">
        <f t="shared" si="6"/>
        <v>-0.86938313889999996</v>
      </c>
      <c r="P57" s="58">
        <f t="shared" si="7"/>
        <v>-18.735115051299999</v>
      </c>
      <c r="Q57" s="59">
        <f t="shared" si="8"/>
        <v>-5.0969686508000001</v>
      </c>
    </row>
    <row r="58" spans="6:27" ht="19.5">
      <c r="I58" s="47">
        <f t="shared" si="2"/>
        <v>2</v>
      </c>
      <c r="J58" s="46"/>
      <c r="K58" s="57">
        <f t="shared" si="3"/>
        <v>91.726150488499997</v>
      </c>
      <c r="L58" s="58">
        <f t="shared" si="4"/>
        <v>83.103097356500001</v>
      </c>
      <c r="M58" s="58">
        <f t="shared" si="5"/>
        <v>137.42611783213795</v>
      </c>
      <c r="N58" s="58">
        <f t="shared" si="6"/>
        <v>-4.3110228454000001</v>
      </c>
      <c r="O58" s="58">
        <f t="shared" si="6"/>
        <v>-2.9000857306999999</v>
      </c>
      <c r="P58" s="58">
        <f t="shared" si="7"/>
        <v>-14.6941270828</v>
      </c>
      <c r="Q58" s="59">
        <f t="shared" si="8"/>
        <v>-1.8694329262</v>
      </c>
    </row>
    <row r="59" spans="6:27" ht="19.5">
      <c r="I59" s="47">
        <f t="shared" si="2"/>
        <v>2</v>
      </c>
      <c r="J59" s="46"/>
      <c r="K59" s="57">
        <f t="shared" si="3"/>
        <v>97.429660354000006</v>
      </c>
      <c r="L59" s="58">
        <f t="shared" si="4"/>
        <v>86.649955236899999</v>
      </c>
      <c r="M59" s="58">
        <f t="shared" si="5"/>
        <v>139.8871928590379</v>
      </c>
      <c r="N59" s="58">
        <f t="shared" si="6"/>
        <v>-0.68472073330000005</v>
      </c>
      <c r="O59" s="58">
        <f t="shared" si="6"/>
        <v>-4.1962129166000004</v>
      </c>
      <c r="P59" s="58">
        <f t="shared" si="7"/>
        <v>-15.6762294769</v>
      </c>
      <c r="Q59" s="59">
        <f t="shared" si="8"/>
        <v>-7.8241920471000004</v>
      </c>
    </row>
    <row r="60" spans="6:27" ht="19.5">
      <c r="I60" s="47">
        <f t="shared" si="2"/>
        <v>3</v>
      </c>
      <c r="J60" s="46"/>
      <c r="K60" s="60">
        <f t="shared" si="3"/>
        <v>103.731294656</v>
      </c>
      <c r="L60" s="61">
        <f t="shared" si="4"/>
        <v>96.918566787399996</v>
      </c>
      <c r="M60" s="61">
        <f t="shared" si="5"/>
        <v>140.29538907943794</v>
      </c>
      <c r="N60" s="61">
        <f t="shared" si="6"/>
        <v>-5.9705893308000002</v>
      </c>
      <c r="O60" s="61">
        <f t="shared" si="6"/>
        <v>7.5577174315000004</v>
      </c>
      <c r="P60" s="61">
        <f t="shared" si="7"/>
        <v>-10.419311523400001</v>
      </c>
      <c r="Q60" s="62">
        <f t="shared" si="8"/>
        <v>-5.2588591575999999</v>
      </c>
    </row>
    <row r="61" spans="6:27" ht="19.5">
      <c r="I61" s="47">
        <f t="shared" si="2"/>
        <v>3</v>
      </c>
      <c r="J61" s="46"/>
      <c r="K61" s="63">
        <f t="shared" si="3"/>
        <v>101.09775389630001</v>
      </c>
      <c r="L61" s="64">
        <f t="shared" si="4"/>
        <v>89.978480611999998</v>
      </c>
      <c r="M61" s="64">
        <f t="shared" si="5"/>
        <v>144.09388714903793</v>
      </c>
      <c r="N61" s="64">
        <f t="shared" si="6"/>
        <v>4.5611369222000002</v>
      </c>
      <c r="O61" s="64">
        <f t="shared" si="6"/>
        <v>15.9561974386</v>
      </c>
      <c r="P61" s="64">
        <f t="shared" si="7"/>
        <v>-7.5667252540999996</v>
      </c>
      <c r="Q61" s="65">
        <f t="shared" si="8"/>
        <v>-1.9900245667000001</v>
      </c>
    </row>
    <row r="62" spans="6:27" ht="19.5">
      <c r="I62" s="47">
        <f t="shared" si="2"/>
        <v>3</v>
      </c>
      <c r="J62" s="46"/>
      <c r="K62" s="66">
        <f t="shared" si="3"/>
        <v>100.12169224909999</v>
      </c>
      <c r="L62" s="67">
        <f t="shared" si="4"/>
        <v>88.362026245699994</v>
      </c>
      <c r="M62" s="67">
        <f t="shared" si="5"/>
        <v>126.46315836523786</v>
      </c>
      <c r="N62" s="67">
        <f t="shared" si="6"/>
        <v>-1.1812808875</v>
      </c>
      <c r="O62" s="67">
        <f t="shared" si="6"/>
        <v>9.0898201399999934E-2</v>
      </c>
      <c r="P62" s="67">
        <f t="shared" si="7"/>
        <v>-11.023078918500001</v>
      </c>
      <c r="Q62" s="68">
        <f t="shared" si="8"/>
        <v>-3.1705543398999998</v>
      </c>
    </row>
    <row r="63" spans="6:27" ht="19.5">
      <c r="I63" s="47">
        <f t="shared" si="2"/>
        <v>4</v>
      </c>
      <c r="J63" s="46"/>
      <c r="K63" s="57">
        <f t="shared" si="3"/>
        <v>98.827178711000002</v>
      </c>
      <c r="L63" s="58">
        <f t="shared" si="4"/>
        <v>91.759041456000006</v>
      </c>
      <c r="M63" s="58">
        <f t="shared" si="5"/>
        <v>139.0611862862379</v>
      </c>
      <c r="N63" s="58">
        <f t="shared" si="6"/>
        <v>1.5905579673000001</v>
      </c>
      <c r="O63" s="58">
        <f t="shared" si="6"/>
        <v>1.8714134150000001</v>
      </c>
      <c r="P63" s="58">
        <f t="shared" si="7"/>
        <v>-13.102567195900001</v>
      </c>
      <c r="Q63" s="59">
        <f t="shared" si="8"/>
        <v>-6.0823552608</v>
      </c>
    </row>
    <row r="64" spans="6:27" ht="19.5">
      <c r="I64" s="47">
        <f t="shared" si="2"/>
        <v>4</v>
      </c>
      <c r="J64" s="46"/>
      <c r="K64" s="57">
        <f t="shared" si="3"/>
        <v>97.624168368499994</v>
      </c>
      <c r="L64" s="58">
        <f t="shared" si="4"/>
        <v>86.160892825399998</v>
      </c>
      <c r="M64" s="58">
        <f t="shared" si="5"/>
        <v>128.1942177012379</v>
      </c>
      <c r="N64" s="58">
        <f t="shared" si="6"/>
        <v>-0.63637104069999995</v>
      </c>
      <c r="O64" s="58">
        <f t="shared" si="6"/>
        <v>5.0187914140999998</v>
      </c>
      <c r="P64" s="58">
        <f t="shared" si="7"/>
        <v>-17.1855716705</v>
      </c>
      <c r="Q64" s="59">
        <f t="shared" si="8"/>
        <v>0.12186741829999992</v>
      </c>
    </row>
    <row r="65" spans="9:17" ht="20.25" thickBot="1">
      <c r="I65" s="47">
        <f t="shared" si="2"/>
        <v>4</v>
      </c>
      <c r="J65" s="46"/>
      <c r="K65" s="69">
        <f t="shared" si="3"/>
        <v>97.829655467400002</v>
      </c>
      <c r="L65" s="70">
        <f t="shared" si="4"/>
        <v>88.737655466899994</v>
      </c>
      <c r="M65" s="70">
        <f t="shared" si="5"/>
        <v>131.57341285563791</v>
      </c>
      <c r="N65" s="70">
        <f t="shared" si="6"/>
        <v>-3.4592100489000002</v>
      </c>
      <c r="O65" s="70">
        <f t="shared" si="6"/>
        <v>6.5893958346999995</v>
      </c>
      <c r="P65" s="70">
        <f t="shared" si="7"/>
        <v>-20.1168727875</v>
      </c>
      <c r="Q65" s="71">
        <f t="shared" si="8"/>
        <v>-6.9758064747000006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189</v>
      </c>
      <c r="S1" t="s">
        <v>190</v>
      </c>
      <c r="T1" t="s">
        <v>191</v>
      </c>
      <c r="U1" t="s">
        <v>192</v>
      </c>
      <c r="V1" t="s">
        <v>193</v>
      </c>
      <c r="W1" t="s">
        <v>194</v>
      </c>
      <c r="X1" t="s">
        <v>195</v>
      </c>
      <c r="Y1" t="s">
        <v>196</v>
      </c>
      <c r="Z1" t="s">
        <v>197</v>
      </c>
      <c r="AA1" t="s">
        <v>198</v>
      </c>
      <c r="AB1" t="s">
        <v>199</v>
      </c>
      <c r="AC1" t="s">
        <v>200</v>
      </c>
      <c r="AD1" t="s">
        <v>201</v>
      </c>
      <c r="AE1" t="s">
        <v>202</v>
      </c>
      <c r="AF1" t="s">
        <v>203</v>
      </c>
      <c r="AG1" t="s">
        <v>204</v>
      </c>
      <c r="AH1" t="s">
        <v>205</v>
      </c>
      <c r="AI1" t="s">
        <v>206</v>
      </c>
      <c r="AJ1" t="s">
        <v>207</v>
      </c>
    </row>
    <row r="2" spans="1:36">
      <c r="A2" t="s">
        <v>525</v>
      </c>
      <c r="B2" t="s">
        <v>526</v>
      </c>
      <c r="C2" t="s">
        <v>208</v>
      </c>
      <c r="D2">
        <v>3</v>
      </c>
      <c r="E2" t="s">
        <v>209</v>
      </c>
      <c r="F2" t="s">
        <v>210</v>
      </c>
      <c r="G2" t="s">
        <v>211</v>
      </c>
      <c r="H2" t="s">
        <v>527</v>
      </c>
      <c r="J2" t="s">
        <v>528</v>
      </c>
      <c r="K2" t="s">
        <v>529</v>
      </c>
      <c r="L2" t="s">
        <v>530</v>
      </c>
      <c r="M2" t="s">
        <v>531</v>
      </c>
      <c r="N2" t="s">
        <v>532</v>
      </c>
      <c r="O2">
        <v>0</v>
      </c>
      <c r="P2">
        <v>0</v>
      </c>
      <c r="Q2">
        <v>2122.0961779180998</v>
      </c>
      <c r="R2">
        <v>1513.5255599406</v>
      </c>
      <c r="S2">
        <v>9.5961779181000004</v>
      </c>
      <c r="T2">
        <v>-1.0255599406</v>
      </c>
      <c r="U2">
        <v>9.6508239972999998</v>
      </c>
      <c r="V2">
        <v>747.30640000000005</v>
      </c>
      <c r="W2">
        <v>398.50880000000001</v>
      </c>
      <c r="X2">
        <v>401.6857</v>
      </c>
      <c r="Y2">
        <v>395.75349999999997</v>
      </c>
      <c r="Z2">
        <v>402.27879999999999</v>
      </c>
      <c r="AA2">
        <v>573.43155000000002</v>
      </c>
      <c r="AB2" t="s">
        <v>212</v>
      </c>
      <c r="AC2" t="s">
        <v>213</v>
      </c>
      <c r="AD2" t="s">
        <v>214</v>
      </c>
      <c r="AE2" t="s">
        <v>215</v>
      </c>
      <c r="AF2" t="s">
        <v>216</v>
      </c>
      <c r="AG2">
        <v>7</v>
      </c>
      <c r="AH2" t="s">
        <v>217</v>
      </c>
      <c r="AJ2">
        <v>1</v>
      </c>
    </row>
    <row r="3" spans="1:36">
      <c r="A3" t="s">
        <v>533</v>
      </c>
      <c r="B3" t="s">
        <v>534</v>
      </c>
      <c r="C3" t="s">
        <v>208</v>
      </c>
      <c r="D3">
        <v>3</v>
      </c>
      <c r="E3" t="s">
        <v>209</v>
      </c>
      <c r="F3" t="s">
        <v>210</v>
      </c>
      <c r="G3" t="s">
        <v>211</v>
      </c>
      <c r="H3" t="s">
        <v>527</v>
      </c>
      <c r="J3" t="s">
        <v>535</v>
      </c>
      <c r="K3" t="s">
        <v>536</v>
      </c>
      <c r="L3" t="s">
        <v>537</v>
      </c>
      <c r="M3" t="s">
        <v>538</v>
      </c>
      <c r="N3" t="s">
        <v>539</v>
      </c>
      <c r="O3">
        <v>0</v>
      </c>
      <c r="P3">
        <v>0</v>
      </c>
      <c r="Q3">
        <v>2123.5769496084999</v>
      </c>
      <c r="R3">
        <v>1515.7397099386999</v>
      </c>
      <c r="S3">
        <v>11.0769496085</v>
      </c>
      <c r="T3">
        <v>-3.2397099386999999</v>
      </c>
      <c r="U3">
        <v>11.5409935931</v>
      </c>
      <c r="V3">
        <v>726.7518</v>
      </c>
      <c r="W3">
        <v>388.33069999999998</v>
      </c>
      <c r="X3">
        <v>391.69580000000002</v>
      </c>
      <c r="Y3">
        <v>386.65629999999999</v>
      </c>
      <c r="Z3">
        <v>391.47340000000003</v>
      </c>
      <c r="AA3">
        <v>558.14542500000005</v>
      </c>
      <c r="AB3" t="s">
        <v>212</v>
      </c>
      <c r="AC3" t="s">
        <v>213</v>
      </c>
      <c r="AD3" t="s">
        <v>214</v>
      </c>
      <c r="AE3" t="s">
        <v>215</v>
      </c>
      <c r="AF3" t="s">
        <v>216</v>
      </c>
      <c r="AG3">
        <v>7</v>
      </c>
      <c r="AH3" t="s">
        <v>217</v>
      </c>
      <c r="AJ3">
        <v>1</v>
      </c>
    </row>
    <row r="4" spans="1:36">
      <c r="A4" t="s">
        <v>540</v>
      </c>
      <c r="B4" t="s">
        <v>541</v>
      </c>
      <c r="C4" t="s">
        <v>208</v>
      </c>
      <c r="D4">
        <v>3</v>
      </c>
      <c r="E4" t="s">
        <v>209</v>
      </c>
      <c r="F4" t="s">
        <v>210</v>
      </c>
      <c r="G4" t="s">
        <v>211</v>
      </c>
      <c r="H4" t="s">
        <v>527</v>
      </c>
      <c r="J4" t="s">
        <v>542</v>
      </c>
      <c r="K4" t="s">
        <v>543</v>
      </c>
      <c r="L4" t="s">
        <v>544</v>
      </c>
      <c r="M4" t="s">
        <v>545</v>
      </c>
      <c r="N4" t="s">
        <v>546</v>
      </c>
      <c r="O4">
        <v>0</v>
      </c>
      <c r="P4">
        <v>0</v>
      </c>
      <c r="Q4">
        <v>2115.2125892817999</v>
      </c>
      <c r="R4">
        <v>1527.5514994151999</v>
      </c>
      <c r="S4">
        <v>2.7125892818000001</v>
      </c>
      <c r="T4">
        <v>-15.0514994152</v>
      </c>
      <c r="U4">
        <v>15.2939783986</v>
      </c>
      <c r="V4">
        <v>730.40949999999998</v>
      </c>
      <c r="W4">
        <v>389.3528</v>
      </c>
      <c r="X4">
        <v>396.46539999999999</v>
      </c>
      <c r="Y4">
        <v>390.81889999999999</v>
      </c>
      <c r="Z4">
        <v>394.69720000000001</v>
      </c>
      <c r="AA4">
        <v>561.62153750000004</v>
      </c>
      <c r="AB4" t="s">
        <v>212</v>
      </c>
      <c r="AC4" t="s">
        <v>213</v>
      </c>
      <c r="AD4" t="s">
        <v>214</v>
      </c>
      <c r="AE4" t="s">
        <v>215</v>
      </c>
      <c r="AF4" t="s">
        <v>216</v>
      </c>
      <c r="AG4">
        <v>7</v>
      </c>
      <c r="AH4" t="s">
        <v>217</v>
      </c>
      <c r="AJ4">
        <v>1</v>
      </c>
    </row>
    <row r="5" spans="1:36">
      <c r="A5" t="s">
        <v>547</v>
      </c>
      <c r="B5" t="s">
        <v>548</v>
      </c>
      <c r="C5" t="s">
        <v>208</v>
      </c>
      <c r="D5">
        <v>3</v>
      </c>
      <c r="E5" t="s">
        <v>209</v>
      </c>
      <c r="F5" t="s">
        <v>210</v>
      </c>
      <c r="G5" t="s">
        <v>211</v>
      </c>
      <c r="H5" t="s">
        <v>527</v>
      </c>
      <c r="J5" t="s">
        <v>549</v>
      </c>
      <c r="K5" t="s">
        <v>550</v>
      </c>
      <c r="L5" t="s">
        <v>551</v>
      </c>
      <c r="M5" t="s">
        <v>552</v>
      </c>
      <c r="N5" t="s">
        <v>553</v>
      </c>
      <c r="O5">
        <v>0</v>
      </c>
      <c r="P5">
        <v>0</v>
      </c>
      <c r="Q5">
        <v>2105.7840865246999</v>
      </c>
      <c r="R5">
        <v>1517.3693831389</v>
      </c>
      <c r="S5">
        <v>-6.7159134752999998</v>
      </c>
      <c r="T5">
        <v>-4.8693831389</v>
      </c>
      <c r="U5">
        <v>8.2954436868000005</v>
      </c>
      <c r="V5">
        <v>741.77840000000003</v>
      </c>
      <c r="W5">
        <v>392.7475</v>
      </c>
      <c r="X5">
        <v>400.06720000000001</v>
      </c>
      <c r="Y5">
        <v>396.7663</v>
      </c>
      <c r="Z5">
        <v>393.65690000000001</v>
      </c>
      <c r="AA5">
        <v>568.79393749999997</v>
      </c>
      <c r="AB5" t="s">
        <v>212</v>
      </c>
      <c r="AC5" t="s">
        <v>213</v>
      </c>
      <c r="AD5" t="s">
        <v>214</v>
      </c>
      <c r="AE5" t="s">
        <v>215</v>
      </c>
      <c r="AF5" t="s">
        <v>216</v>
      </c>
      <c r="AG5">
        <v>7</v>
      </c>
      <c r="AH5" t="s">
        <v>217</v>
      </c>
      <c r="AJ5">
        <v>1</v>
      </c>
    </row>
    <row r="6" spans="1:36">
      <c r="A6" t="s">
        <v>554</v>
      </c>
      <c r="B6" t="s">
        <v>555</v>
      </c>
      <c r="C6" t="s">
        <v>208</v>
      </c>
      <c r="D6">
        <v>3</v>
      </c>
      <c r="E6" t="s">
        <v>209</v>
      </c>
      <c r="F6" t="s">
        <v>210</v>
      </c>
      <c r="G6" t="s">
        <v>211</v>
      </c>
      <c r="H6" t="s">
        <v>527</v>
      </c>
      <c r="J6" t="s">
        <v>556</v>
      </c>
      <c r="K6" t="s">
        <v>557</v>
      </c>
      <c r="L6" t="s">
        <v>558</v>
      </c>
      <c r="M6" t="s">
        <v>559</v>
      </c>
      <c r="N6" t="s">
        <v>560</v>
      </c>
      <c r="O6">
        <v>0</v>
      </c>
      <c r="P6">
        <v>0</v>
      </c>
      <c r="Q6">
        <v>2108.1889771545998</v>
      </c>
      <c r="R6">
        <v>1519.4000857307001</v>
      </c>
      <c r="S6">
        <v>-4.3110228454000001</v>
      </c>
      <c r="T6">
        <v>-6.9000857306999999</v>
      </c>
      <c r="U6">
        <v>8.1360986390000001</v>
      </c>
      <c r="V6">
        <v>736.12350000000004</v>
      </c>
      <c r="W6">
        <v>393.74919999999997</v>
      </c>
      <c r="X6">
        <v>399.3023</v>
      </c>
      <c r="Y6">
        <v>396.43979999999999</v>
      </c>
      <c r="Z6">
        <v>393.58170000000001</v>
      </c>
      <c r="AA6">
        <v>565.945875</v>
      </c>
      <c r="AB6" t="s">
        <v>212</v>
      </c>
      <c r="AC6" t="s">
        <v>213</v>
      </c>
      <c r="AD6" t="s">
        <v>214</v>
      </c>
      <c r="AE6" t="s">
        <v>215</v>
      </c>
      <c r="AF6" t="s">
        <v>216</v>
      </c>
      <c r="AG6">
        <v>7</v>
      </c>
      <c r="AH6" t="s">
        <v>217</v>
      </c>
      <c r="AJ6">
        <v>1</v>
      </c>
    </row>
    <row r="7" spans="1:36">
      <c r="A7" t="s">
        <v>561</v>
      </c>
      <c r="B7" t="s">
        <v>562</v>
      </c>
      <c r="C7" t="s">
        <v>208</v>
      </c>
      <c r="D7">
        <v>3</v>
      </c>
      <c r="E7" t="s">
        <v>209</v>
      </c>
      <c r="F7" t="s">
        <v>210</v>
      </c>
      <c r="G7" t="s">
        <v>211</v>
      </c>
      <c r="H7" t="s">
        <v>527</v>
      </c>
      <c r="J7" t="s">
        <v>563</v>
      </c>
      <c r="K7" t="s">
        <v>564</v>
      </c>
      <c r="L7" t="s">
        <v>565</v>
      </c>
      <c r="M7" t="s">
        <v>566</v>
      </c>
      <c r="N7" t="s">
        <v>567</v>
      </c>
      <c r="O7">
        <v>0</v>
      </c>
      <c r="P7">
        <v>0</v>
      </c>
      <c r="Q7">
        <v>2111.8152792667001</v>
      </c>
      <c r="R7">
        <v>1520.6962129166</v>
      </c>
      <c r="S7">
        <v>-0.68472073330000005</v>
      </c>
      <c r="T7">
        <v>-8.1962129166000004</v>
      </c>
      <c r="U7">
        <v>8.2247643525999994</v>
      </c>
      <c r="V7">
        <v>734.19050000000004</v>
      </c>
      <c r="W7">
        <v>393.52170000000001</v>
      </c>
      <c r="X7">
        <v>397.13060000000002</v>
      </c>
      <c r="Y7">
        <v>395.86279999999999</v>
      </c>
      <c r="Z7">
        <v>394.81729999999999</v>
      </c>
      <c r="AA7">
        <v>564.76179999999999</v>
      </c>
      <c r="AB7" t="s">
        <v>212</v>
      </c>
      <c r="AC7" t="s">
        <v>213</v>
      </c>
      <c r="AD7" t="s">
        <v>214</v>
      </c>
      <c r="AE7" t="s">
        <v>215</v>
      </c>
      <c r="AF7" t="s">
        <v>216</v>
      </c>
      <c r="AG7">
        <v>7</v>
      </c>
      <c r="AH7" t="s">
        <v>217</v>
      </c>
      <c r="AJ7">
        <v>1</v>
      </c>
    </row>
    <row r="8" spans="1:36">
      <c r="A8" t="s">
        <v>599</v>
      </c>
      <c r="B8" t="s">
        <v>600</v>
      </c>
      <c r="C8" t="s">
        <v>208</v>
      </c>
      <c r="D8">
        <v>3</v>
      </c>
      <c r="E8" t="s">
        <v>209</v>
      </c>
      <c r="F8" t="s">
        <v>210</v>
      </c>
      <c r="G8" t="s">
        <v>211</v>
      </c>
      <c r="H8" t="s">
        <v>527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2106.5294106691999</v>
      </c>
      <c r="R8">
        <v>1508.9422825685001</v>
      </c>
      <c r="S8">
        <v>-5.9705893308000002</v>
      </c>
      <c r="T8">
        <v>3.5577174315</v>
      </c>
      <c r="U8">
        <v>6.9502007366000003</v>
      </c>
      <c r="V8">
        <v>725.3347</v>
      </c>
      <c r="W8">
        <v>387.21929999999998</v>
      </c>
      <c r="X8">
        <v>390.03280000000001</v>
      </c>
      <c r="Y8">
        <v>388.4051</v>
      </c>
      <c r="Z8">
        <v>387.94889999999998</v>
      </c>
      <c r="AA8">
        <v>556.86811250000005</v>
      </c>
      <c r="AB8" t="s">
        <v>212</v>
      </c>
      <c r="AC8" t="s">
        <v>213</v>
      </c>
      <c r="AD8" t="s">
        <v>214</v>
      </c>
      <c r="AE8" t="s">
        <v>215</v>
      </c>
      <c r="AF8" t="s">
        <v>216</v>
      </c>
      <c r="AG8">
        <v>7</v>
      </c>
      <c r="AH8" t="s">
        <v>217</v>
      </c>
      <c r="AJ8">
        <v>1</v>
      </c>
    </row>
    <row r="9" spans="1:36">
      <c r="A9" t="s">
        <v>608</v>
      </c>
      <c r="B9" t="s">
        <v>609</v>
      </c>
      <c r="C9" t="s">
        <v>208</v>
      </c>
      <c r="D9">
        <v>3</v>
      </c>
      <c r="E9" t="s">
        <v>209</v>
      </c>
      <c r="F9" t="s">
        <v>210</v>
      </c>
      <c r="G9" t="s">
        <v>211</v>
      </c>
      <c r="H9" t="s">
        <v>527</v>
      </c>
      <c r="J9" t="s">
        <v>610</v>
      </c>
      <c r="K9" t="s">
        <v>611</v>
      </c>
      <c r="L9" t="s">
        <v>612</v>
      </c>
      <c r="M9" t="s">
        <v>613</v>
      </c>
      <c r="N9" t="s">
        <v>614</v>
      </c>
      <c r="O9">
        <v>0</v>
      </c>
      <c r="P9">
        <v>0</v>
      </c>
      <c r="Q9">
        <v>2117.0611369222001</v>
      </c>
      <c r="R9">
        <v>1500.5438025614001</v>
      </c>
      <c r="S9">
        <v>4.5611369222000002</v>
      </c>
      <c r="T9">
        <v>11.9561974386</v>
      </c>
      <c r="U9">
        <v>12.796664691</v>
      </c>
      <c r="V9">
        <v>728.79430000000002</v>
      </c>
      <c r="W9">
        <v>392.38380000000001</v>
      </c>
      <c r="X9">
        <v>391.47210000000001</v>
      </c>
      <c r="Y9">
        <v>387.09370000000001</v>
      </c>
      <c r="Z9">
        <v>391.67809999999997</v>
      </c>
      <c r="AA9">
        <v>559.72561250000001</v>
      </c>
      <c r="AB9" t="s">
        <v>212</v>
      </c>
      <c r="AC9" t="s">
        <v>213</v>
      </c>
      <c r="AD9" t="s">
        <v>214</v>
      </c>
      <c r="AE9" t="s">
        <v>215</v>
      </c>
      <c r="AF9" t="s">
        <v>216</v>
      </c>
      <c r="AG9">
        <v>7</v>
      </c>
      <c r="AH9" t="s">
        <v>217</v>
      </c>
      <c r="AJ9">
        <v>1</v>
      </c>
    </row>
    <row r="10" spans="1:36">
      <c r="A10" t="s">
        <v>623</v>
      </c>
      <c r="B10" t="s">
        <v>624</v>
      </c>
      <c r="C10" t="s">
        <v>208</v>
      </c>
      <c r="D10">
        <v>3</v>
      </c>
      <c r="E10" t="s">
        <v>209</v>
      </c>
      <c r="F10" t="s">
        <v>210</v>
      </c>
      <c r="G10" t="s">
        <v>211</v>
      </c>
      <c r="H10" t="s">
        <v>527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2111.3187191124998</v>
      </c>
      <c r="R10">
        <v>1516.4091017986</v>
      </c>
      <c r="S10">
        <v>-1.1812808875</v>
      </c>
      <c r="T10">
        <v>-3.9091017986000001</v>
      </c>
      <c r="U10">
        <v>4.0836872317999999</v>
      </c>
      <c r="V10">
        <v>726.82360000000006</v>
      </c>
      <c r="W10">
        <v>385.65660000000003</v>
      </c>
      <c r="X10">
        <v>393.1001</v>
      </c>
      <c r="Y10">
        <v>386.61880000000002</v>
      </c>
      <c r="Z10">
        <v>389.35430000000002</v>
      </c>
      <c r="AA10">
        <v>557.75302499999998</v>
      </c>
      <c r="AB10" t="s">
        <v>212</v>
      </c>
      <c r="AC10" t="s">
        <v>213</v>
      </c>
      <c r="AD10" t="s">
        <v>214</v>
      </c>
      <c r="AE10" t="s">
        <v>215</v>
      </c>
      <c r="AF10" t="s">
        <v>216</v>
      </c>
      <c r="AG10">
        <v>7</v>
      </c>
      <c r="AH10" t="s">
        <v>217</v>
      </c>
      <c r="AJ10">
        <v>1</v>
      </c>
    </row>
    <row r="11" spans="1:36">
      <c r="A11" t="s">
        <v>634</v>
      </c>
      <c r="B11" t="s">
        <v>635</v>
      </c>
      <c r="C11" t="s">
        <v>208</v>
      </c>
      <c r="D11">
        <v>3</v>
      </c>
      <c r="E11" t="s">
        <v>209</v>
      </c>
      <c r="F11" t="s">
        <v>210</v>
      </c>
      <c r="G11" t="s">
        <v>211</v>
      </c>
      <c r="H11" t="s">
        <v>527</v>
      </c>
      <c r="J11" t="s">
        <v>636</v>
      </c>
      <c r="K11" t="s">
        <v>637</v>
      </c>
      <c r="L11" t="s">
        <v>638</v>
      </c>
      <c r="M11" t="s">
        <v>639</v>
      </c>
      <c r="N11" t="s">
        <v>640</v>
      </c>
      <c r="O11">
        <v>0</v>
      </c>
      <c r="P11">
        <v>0</v>
      </c>
      <c r="Q11">
        <v>2114.0905579672999</v>
      </c>
      <c r="R11">
        <v>1514.628586585</v>
      </c>
      <c r="S11">
        <v>1.5905579673000001</v>
      </c>
      <c r="T11">
        <v>-2.1285865849999999</v>
      </c>
      <c r="U11">
        <v>2.6572082148999998</v>
      </c>
      <c r="V11">
        <v>719.54629999999997</v>
      </c>
      <c r="W11">
        <v>386.74459999999999</v>
      </c>
      <c r="X11">
        <v>388.49169999999998</v>
      </c>
      <c r="Y11">
        <v>382.97340000000003</v>
      </c>
      <c r="Z11">
        <v>386.21480000000003</v>
      </c>
      <c r="AA11">
        <v>552.8262125</v>
      </c>
      <c r="AB11" t="s">
        <v>212</v>
      </c>
      <c r="AC11" t="s">
        <v>213</v>
      </c>
      <c r="AD11" t="s">
        <v>214</v>
      </c>
      <c r="AE11" t="s">
        <v>215</v>
      </c>
      <c r="AF11" t="s">
        <v>216</v>
      </c>
      <c r="AG11">
        <v>7</v>
      </c>
      <c r="AH11" t="s">
        <v>217</v>
      </c>
      <c r="AJ11">
        <v>1</v>
      </c>
    </row>
    <row r="12" spans="1:36">
      <c r="A12" t="s">
        <v>646</v>
      </c>
      <c r="B12" t="s">
        <v>647</v>
      </c>
      <c r="C12" t="s">
        <v>208</v>
      </c>
      <c r="D12">
        <v>3</v>
      </c>
      <c r="E12" t="s">
        <v>209</v>
      </c>
      <c r="F12" t="s">
        <v>210</v>
      </c>
      <c r="G12" t="s">
        <v>211</v>
      </c>
      <c r="H12" t="s">
        <v>527</v>
      </c>
      <c r="J12" t="s">
        <v>648</v>
      </c>
      <c r="K12" t="s">
        <v>649</v>
      </c>
      <c r="L12" t="s">
        <v>650</v>
      </c>
      <c r="M12" t="s">
        <v>651</v>
      </c>
      <c r="N12" t="s">
        <v>652</v>
      </c>
      <c r="O12">
        <v>0</v>
      </c>
      <c r="P12">
        <v>0</v>
      </c>
      <c r="Q12">
        <v>2111.8636289593001</v>
      </c>
      <c r="R12">
        <v>1511.4812085859</v>
      </c>
      <c r="S12">
        <v>-0.63637104069999995</v>
      </c>
      <c r="T12">
        <v>1.0187914141000001</v>
      </c>
      <c r="U12">
        <v>1.2012094100999999</v>
      </c>
      <c r="V12">
        <v>731.61170000000004</v>
      </c>
      <c r="W12">
        <v>391.35449999999997</v>
      </c>
      <c r="X12">
        <v>392.9796</v>
      </c>
      <c r="Y12">
        <v>390.65109999999999</v>
      </c>
      <c r="Z12">
        <v>392.1216</v>
      </c>
      <c r="AA12">
        <v>561.69420000000002</v>
      </c>
      <c r="AB12" t="s">
        <v>212</v>
      </c>
      <c r="AC12" t="s">
        <v>213</v>
      </c>
      <c r="AD12" t="s">
        <v>214</v>
      </c>
      <c r="AE12" t="s">
        <v>215</v>
      </c>
      <c r="AF12" t="s">
        <v>216</v>
      </c>
      <c r="AG12">
        <v>7</v>
      </c>
      <c r="AH12" t="s">
        <v>217</v>
      </c>
      <c r="AJ12">
        <v>1</v>
      </c>
    </row>
    <row r="13" spans="1:36">
      <c r="A13" t="s">
        <v>653</v>
      </c>
      <c r="B13" t="s">
        <v>654</v>
      </c>
      <c r="C13" t="s">
        <v>208</v>
      </c>
      <c r="D13">
        <v>3</v>
      </c>
      <c r="E13" t="s">
        <v>209</v>
      </c>
      <c r="F13" t="s">
        <v>210</v>
      </c>
      <c r="G13" t="s">
        <v>211</v>
      </c>
      <c r="H13" t="s">
        <v>527</v>
      </c>
      <c r="J13" t="s">
        <v>655</v>
      </c>
      <c r="K13" t="s">
        <v>656</v>
      </c>
      <c r="L13" t="s">
        <v>657</v>
      </c>
      <c r="M13" t="s">
        <v>658</v>
      </c>
      <c r="N13" t="s">
        <v>659</v>
      </c>
      <c r="O13">
        <v>0</v>
      </c>
      <c r="P13">
        <v>0</v>
      </c>
      <c r="Q13">
        <v>2109.0407899511001</v>
      </c>
      <c r="R13">
        <v>1509.9106041652999</v>
      </c>
      <c r="S13">
        <v>-3.4592100489000002</v>
      </c>
      <c r="T13">
        <v>2.5893958346999999</v>
      </c>
      <c r="U13">
        <v>4.3210074000000001</v>
      </c>
      <c r="V13">
        <v>736.06110000000001</v>
      </c>
      <c r="W13">
        <v>395.33420000000001</v>
      </c>
      <c r="X13">
        <v>394.00369999999998</v>
      </c>
      <c r="Y13">
        <v>393.95420000000001</v>
      </c>
      <c r="Z13">
        <v>391.64139999999998</v>
      </c>
      <c r="AA13">
        <v>564.89723749999996</v>
      </c>
      <c r="AB13" t="s">
        <v>212</v>
      </c>
      <c r="AC13" t="s">
        <v>213</v>
      </c>
      <c r="AD13" t="s">
        <v>214</v>
      </c>
      <c r="AE13" t="s">
        <v>215</v>
      </c>
      <c r="AF13" t="s">
        <v>216</v>
      </c>
      <c r="AG13">
        <v>7</v>
      </c>
      <c r="AH13" t="s">
        <v>217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218</v>
      </c>
      <c r="R1" t="s">
        <v>219</v>
      </c>
      <c r="S1" t="s">
        <v>220</v>
      </c>
      <c r="T1" t="s">
        <v>221</v>
      </c>
      <c r="U1" t="s">
        <v>222</v>
      </c>
      <c r="V1" t="s">
        <v>223</v>
      </c>
      <c r="W1" t="s">
        <v>224</v>
      </c>
      <c r="X1" t="s">
        <v>225</v>
      </c>
      <c r="Y1" t="s">
        <v>226</v>
      </c>
      <c r="Z1" t="s">
        <v>227</v>
      </c>
      <c r="AA1" t="s">
        <v>228</v>
      </c>
      <c r="AB1" t="s">
        <v>229</v>
      </c>
      <c r="AC1" t="s">
        <v>230</v>
      </c>
      <c r="AD1" t="s">
        <v>231</v>
      </c>
      <c r="AE1" t="s">
        <v>232</v>
      </c>
      <c r="AF1" t="s">
        <v>233</v>
      </c>
      <c r="AG1" t="s">
        <v>234</v>
      </c>
      <c r="AH1" t="s">
        <v>235</v>
      </c>
      <c r="AI1" t="s">
        <v>236</v>
      </c>
      <c r="AJ1" t="s">
        <v>237</v>
      </c>
      <c r="AK1" t="s">
        <v>238</v>
      </c>
      <c r="AL1" t="s">
        <v>239</v>
      </c>
      <c r="AM1" t="s">
        <v>240</v>
      </c>
      <c r="AN1" t="s">
        <v>241</v>
      </c>
      <c r="AO1" t="s">
        <v>242</v>
      </c>
      <c r="AP1" t="s">
        <v>243</v>
      </c>
      <c r="AQ1" t="s">
        <v>244</v>
      </c>
      <c r="AR1" t="s">
        <v>245</v>
      </c>
      <c r="AS1" t="s">
        <v>246</v>
      </c>
      <c r="AT1" t="s">
        <v>247</v>
      </c>
      <c r="AU1" t="s">
        <v>248</v>
      </c>
      <c r="AV1" t="s">
        <v>205</v>
      </c>
      <c r="AW1" t="s">
        <v>206</v>
      </c>
      <c r="AX1" t="s">
        <v>207</v>
      </c>
    </row>
    <row r="2" spans="1:50">
      <c r="A2" t="s">
        <v>568</v>
      </c>
      <c r="B2" t="s">
        <v>569</v>
      </c>
      <c r="C2" t="s">
        <v>208</v>
      </c>
      <c r="D2">
        <v>3</v>
      </c>
      <c r="E2" t="s">
        <v>209</v>
      </c>
      <c r="F2" t="s">
        <v>210</v>
      </c>
      <c r="G2" t="s">
        <v>249</v>
      </c>
      <c r="H2" t="s">
        <v>527</v>
      </c>
      <c r="J2" t="s">
        <v>528</v>
      </c>
      <c r="K2" t="s">
        <v>529</v>
      </c>
      <c r="L2" t="s">
        <v>530</v>
      </c>
      <c r="M2" t="s">
        <v>531</v>
      </c>
      <c r="N2" t="s">
        <v>532</v>
      </c>
      <c r="O2">
        <v>0</v>
      </c>
      <c r="P2">
        <v>0</v>
      </c>
      <c r="Q2">
        <v>-3.2783E-6</v>
      </c>
      <c r="R2">
        <v>0.87886577840000002</v>
      </c>
      <c r="S2">
        <v>1.6243190765</v>
      </c>
      <c r="T2">
        <v>0.92934858799999998</v>
      </c>
      <c r="U2">
        <v>3.3203527927000001</v>
      </c>
      <c r="V2">
        <v>3.0124802589000002</v>
      </c>
      <c r="W2">
        <v>0.64366763829999996</v>
      </c>
      <c r="X2">
        <v>-0.76612126830000005</v>
      </c>
      <c r="Y2">
        <v>2.1594733000000001E-2</v>
      </c>
      <c r="Z2">
        <v>0.35919386149999999</v>
      </c>
      <c r="AA2">
        <v>0.63610857730000003</v>
      </c>
      <c r="AB2">
        <v>-2.0990943908999999</v>
      </c>
      <c r="AC2">
        <v>-0.72023075820000004</v>
      </c>
      <c r="AD2">
        <v>-0.25480109449999999</v>
      </c>
      <c r="AE2">
        <v>0.46572965379999998</v>
      </c>
      <c r="AF2">
        <v>0.14564564820000001</v>
      </c>
      <c r="AG2">
        <v>-9.4171792300000001E-2</v>
      </c>
      <c r="AH2">
        <v>-0.58944731949999996</v>
      </c>
      <c r="AI2">
        <v>3.9733707899999998E-2</v>
      </c>
      <c r="AJ2">
        <v>-4.2866751600000003E-2</v>
      </c>
      <c r="AK2">
        <v>1.8463339999999999E-4</v>
      </c>
      <c r="AL2">
        <v>4.5052088800000001E-2</v>
      </c>
      <c r="AM2">
        <v>4.9579527200000001E-2</v>
      </c>
      <c r="AN2">
        <v>6.2808051700000006E-2</v>
      </c>
      <c r="AO2">
        <v>9.1284200499999996E-2</v>
      </c>
      <c r="AP2">
        <v>9.1284200499999996E-2</v>
      </c>
      <c r="AQ2">
        <v>1.8468398737</v>
      </c>
      <c r="AR2" t="s">
        <v>250</v>
      </c>
      <c r="AS2" t="s">
        <v>251</v>
      </c>
      <c r="AT2">
        <v>3</v>
      </c>
      <c r="AU2">
        <v>2.9</v>
      </c>
      <c r="AX2">
        <v>1</v>
      </c>
    </row>
    <row r="3" spans="1:50">
      <c r="A3" t="s">
        <v>570</v>
      </c>
      <c r="B3" t="s">
        <v>571</v>
      </c>
      <c r="C3" t="s">
        <v>208</v>
      </c>
      <c r="D3">
        <v>3</v>
      </c>
      <c r="E3" t="s">
        <v>209</v>
      </c>
      <c r="F3" t="s">
        <v>210</v>
      </c>
      <c r="G3" t="s">
        <v>249</v>
      </c>
      <c r="H3" t="s">
        <v>527</v>
      </c>
      <c r="J3" t="s">
        <v>535</v>
      </c>
      <c r="K3" t="s">
        <v>536</v>
      </c>
      <c r="L3" t="s">
        <v>537</v>
      </c>
      <c r="M3" t="s">
        <v>538</v>
      </c>
      <c r="N3" t="s">
        <v>539</v>
      </c>
      <c r="O3">
        <v>0</v>
      </c>
      <c r="P3">
        <v>0</v>
      </c>
      <c r="Q3">
        <v>2.6226000000000001E-6</v>
      </c>
      <c r="R3">
        <v>-8.2620029449000008</v>
      </c>
      <c r="S3">
        <v>-3.6739354134000002</v>
      </c>
      <c r="T3">
        <v>-1.0702284575000001</v>
      </c>
      <c r="U3">
        <v>1.7364871502000001</v>
      </c>
      <c r="V3">
        <v>1.7695131302</v>
      </c>
      <c r="W3">
        <v>2.7865502834</v>
      </c>
      <c r="X3">
        <v>1.1893094778</v>
      </c>
      <c r="Y3">
        <v>0.60135519500000001</v>
      </c>
      <c r="Z3">
        <v>1.6086152791999999</v>
      </c>
      <c r="AA3">
        <v>0.96288222069999996</v>
      </c>
      <c r="AB3">
        <v>-0.70002377029999996</v>
      </c>
      <c r="AC3">
        <v>-0.55456590650000004</v>
      </c>
      <c r="AD3">
        <v>2.9567480100000001E-2</v>
      </c>
      <c r="AE3">
        <v>-0.47313997149999998</v>
      </c>
      <c r="AF3">
        <v>0.1158342659</v>
      </c>
      <c r="AG3">
        <v>-0.1448547989</v>
      </c>
      <c r="AH3">
        <v>0.44782006740000002</v>
      </c>
      <c r="AI3">
        <v>-1.1152162552</v>
      </c>
      <c r="AJ3">
        <v>0.50877976420000004</v>
      </c>
      <c r="AK3">
        <v>2.456817E-4</v>
      </c>
      <c r="AL3">
        <v>5.1882885400000002E-2</v>
      </c>
      <c r="AM3">
        <v>0.15375348929999999</v>
      </c>
      <c r="AN3">
        <v>7.9070515899999999E-2</v>
      </c>
      <c r="AO3">
        <v>0.1817472279</v>
      </c>
      <c r="AP3">
        <v>0.1817472279</v>
      </c>
      <c r="AQ3">
        <v>9.0420403717000006</v>
      </c>
      <c r="AR3" t="s">
        <v>250</v>
      </c>
      <c r="AS3" t="s">
        <v>251</v>
      </c>
      <c r="AT3">
        <v>3</v>
      </c>
      <c r="AU3">
        <v>2.9</v>
      </c>
      <c r="AX3">
        <v>1</v>
      </c>
    </row>
    <row r="4" spans="1:50">
      <c r="A4" t="s">
        <v>572</v>
      </c>
      <c r="B4" t="s">
        <v>573</v>
      </c>
      <c r="C4" t="s">
        <v>208</v>
      </c>
      <c r="D4">
        <v>3</v>
      </c>
      <c r="E4" t="s">
        <v>209</v>
      </c>
      <c r="F4" t="s">
        <v>210</v>
      </c>
      <c r="G4" t="s">
        <v>249</v>
      </c>
      <c r="H4" t="s">
        <v>527</v>
      </c>
      <c r="J4" t="s">
        <v>542</v>
      </c>
      <c r="K4" t="s">
        <v>543</v>
      </c>
      <c r="L4" t="s">
        <v>544</v>
      </c>
      <c r="M4" t="s">
        <v>545</v>
      </c>
      <c r="N4" t="s">
        <v>546</v>
      </c>
      <c r="O4">
        <v>0</v>
      </c>
      <c r="P4">
        <v>0</v>
      </c>
      <c r="Q4">
        <v>4.0531000000000002E-6</v>
      </c>
      <c r="R4">
        <v>-10.2512331009</v>
      </c>
      <c r="S4">
        <v>1.1279715299999999</v>
      </c>
      <c r="T4">
        <v>1.8313941955999999</v>
      </c>
      <c r="U4">
        <v>0.44428741929999999</v>
      </c>
      <c r="V4">
        <v>-1.9662328958999999</v>
      </c>
      <c r="W4">
        <v>3.9124584198000001</v>
      </c>
      <c r="X4">
        <v>-0.73328816890000004</v>
      </c>
      <c r="Y4">
        <v>0.37137240170000002</v>
      </c>
      <c r="Z4">
        <v>2.1627454758</v>
      </c>
      <c r="AA4">
        <v>0.53288900849999998</v>
      </c>
      <c r="AB4">
        <v>-0.31281614299999999</v>
      </c>
      <c r="AC4">
        <v>-0.1666887105</v>
      </c>
      <c r="AD4">
        <v>-1.125459671</v>
      </c>
      <c r="AE4">
        <v>0.61581528190000001</v>
      </c>
      <c r="AF4">
        <v>0.22175431249999999</v>
      </c>
      <c r="AG4">
        <v>-0.82823634150000003</v>
      </c>
      <c r="AH4">
        <v>-0.16036458310000001</v>
      </c>
      <c r="AI4">
        <v>-0.83223879339999995</v>
      </c>
      <c r="AJ4">
        <v>0.32123282549999999</v>
      </c>
      <c r="AK4">
        <v>1.9209119999999999E-4</v>
      </c>
      <c r="AL4">
        <v>4.4313982100000003E-2</v>
      </c>
      <c r="AM4">
        <v>0.16526961330000001</v>
      </c>
      <c r="AN4">
        <v>3.4650843600000002E-2</v>
      </c>
      <c r="AO4">
        <v>0.16526961330000001</v>
      </c>
      <c r="AP4">
        <v>0.16526961330000001</v>
      </c>
      <c r="AQ4">
        <v>10.313103309000001</v>
      </c>
      <c r="AR4" t="s">
        <v>250</v>
      </c>
      <c r="AS4" t="s">
        <v>251</v>
      </c>
      <c r="AT4">
        <v>3</v>
      </c>
      <c r="AU4">
        <v>2.9</v>
      </c>
      <c r="AX4">
        <v>1</v>
      </c>
    </row>
    <row r="5" spans="1:50">
      <c r="A5" t="s">
        <v>574</v>
      </c>
      <c r="B5" t="s">
        <v>575</v>
      </c>
      <c r="C5" t="s">
        <v>208</v>
      </c>
      <c r="D5">
        <v>3</v>
      </c>
      <c r="E5" t="s">
        <v>209</v>
      </c>
      <c r="F5" t="s">
        <v>210</v>
      </c>
      <c r="G5" t="s">
        <v>249</v>
      </c>
      <c r="H5" t="s">
        <v>527</v>
      </c>
      <c r="J5" t="s">
        <v>549</v>
      </c>
      <c r="K5" t="s">
        <v>550</v>
      </c>
      <c r="L5" t="s">
        <v>551</v>
      </c>
      <c r="M5" t="s">
        <v>552</v>
      </c>
      <c r="N5" t="s">
        <v>553</v>
      </c>
      <c r="O5">
        <v>0</v>
      </c>
      <c r="P5">
        <v>0</v>
      </c>
      <c r="Q5">
        <v>-1.2159300000000001E-5</v>
      </c>
      <c r="R5">
        <v>-12.735115051299999</v>
      </c>
      <c r="S5">
        <v>-2.0969686508000001</v>
      </c>
      <c r="T5">
        <v>1.5761728287000001</v>
      </c>
      <c r="U5">
        <v>5.7742686271999997</v>
      </c>
      <c r="V5">
        <v>-0.23180878160000001</v>
      </c>
      <c r="W5">
        <v>3.8917734623000002</v>
      </c>
      <c r="X5">
        <v>1.8380578755999999</v>
      </c>
      <c r="Y5">
        <v>-0.66247034069999999</v>
      </c>
      <c r="Z5">
        <v>-0.25042775270000001</v>
      </c>
      <c r="AA5">
        <v>0.54279494289999997</v>
      </c>
      <c r="AB5">
        <v>-1.9242315292000001</v>
      </c>
      <c r="AC5">
        <v>-0.20786476139999999</v>
      </c>
      <c r="AD5">
        <v>-0.59052246809999998</v>
      </c>
      <c r="AE5">
        <v>-0.375697583</v>
      </c>
      <c r="AF5">
        <v>0.3777710199</v>
      </c>
      <c r="AG5">
        <v>0.21238189939999999</v>
      </c>
      <c r="AH5">
        <v>-0.68927264210000005</v>
      </c>
      <c r="AI5">
        <v>0.126742363</v>
      </c>
      <c r="AJ5">
        <v>-0.51006817820000006</v>
      </c>
      <c r="AK5">
        <v>2.117338E-4</v>
      </c>
      <c r="AL5">
        <v>4.6926893300000001E-2</v>
      </c>
      <c r="AM5">
        <v>0.22323867680000001</v>
      </c>
      <c r="AN5">
        <v>7.5421974099999997E-2</v>
      </c>
      <c r="AO5">
        <v>0.27055931090000002</v>
      </c>
      <c r="AP5">
        <v>0.27055931090000002</v>
      </c>
      <c r="AQ5">
        <v>12.9066042355</v>
      </c>
      <c r="AR5" t="s">
        <v>250</v>
      </c>
      <c r="AS5" t="s">
        <v>251</v>
      </c>
      <c r="AT5">
        <v>3</v>
      </c>
      <c r="AU5">
        <v>2.9</v>
      </c>
      <c r="AX5">
        <v>1</v>
      </c>
    </row>
    <row r="6" spans="1:50">
      <c r="A6" t="s">
        <v>576</v>
      </c>
      <c r="B6" t="s">
        <v>577</v>
      </c>
      <c r="C6" t="s">
        <v>208</v>
      </c>
      <c r="D6">
        <v>3</v>
      </c>
      <c r="E6" t="s">
        <v>209</v>
      </c>
      <c r="F6" t="s">
        <v>210</v>
      </c>
      <c r="G6" t="s">
        <v>249</v>
      </c>
      <c r="H6" t="s">
        <v>527</v>
      </c>
      <c r="J6" t="s">
        <v>556</v>
      </c>
      <c r="K6" t="s">
        <v>557</v>
      </c>
      <c r="L6" t="s">
        <v>558</v>
      </c>
      <c r="M6" t="s">
        <v>559</v>
      </c>
      <c r="N6" t="s">
        <v>560</v>
      </c>
      <c r="O6">
        <v>0</v>
      </c>
      <c r="P6">
        <v>0</v>
      </c>
      <c r="Q6">
        <v>-8.1062000000000004E-6</v>
      </c>
      <c r="R6">
        <v>-8.6941270827999997</v>
      </c>
      <c r="S6">
        <v>1.1305670738</v>
      </c>
      <c r="T6">
        <v>3.3948464394000002</v>
      </c>
      <c r="U6">
        <v>4.9465961456</v>
      </c>
      <c r="V6">
        <v>-0.54358255860000004</v>
      </c>
      <c r="W6">
        <v>5.0381441116000003</v>
      </c>
      <c r="X6">
        <v>0.95462512970000002</v>
      </c>
      <c r="Y6">
        <v>-1.0454995631999999</v>
      </c>
      <c r="Z6">
        <v>0.97944521900000003</v>
      </c>
      <c r="AA6">
        <v>0.88529616590000004</v>
      </c>
      <c r="AB6">
        <v>-2.1015369892</v>
      </c>
      <c r="AC6">
        <v>0.12261308730000001</v>
      </c>
      <c r="AD6">
        <v>-1.9436957835999999</v>
      </c>
      <c r="AE6">
        <v>-0.63309645650000002</v>
      </c>
      <c r="AF6">
        <v>0.41856408119999999</v>
      </c>
      <c r="AG6">
        <v>-0.27607789640000002</v>
      </c>
      <c r="AH6">
        <v>0.10625538230000001</v>
      </c>
      <c r="AI6">
        <v>-0.56761550900000002</v>
      </c>
      <c r="AJ6">
        <v>-4.8625852900000002E-2</v>
      </c>
      <c r="AK6">
        <v>2.7234120000000001E-4</v>
      </c>
      <c r="AL6">
        <v>5.3484477099999997E-2</v>
      </c>
      <c r="AM6">
        <v>0.16108401119999999</v>
      </c>
      <c r="AN6">
        <v>1.45868175E-2</v>
      </c>
      <c r="AO6">
        <v>0.18780387940000001</v>
      </c>
      <c r="AP6">
        <v>0.18780387940000001</v>
      </c>
      <c r="AQ6">
        <v>8.7673272803</v>
      </c>
      <c r="AR6" t="s">
        <v>250</v>
      </c>
      <c r="AS6" t="s">
        <v>251</v>
      </c>
      <c r="AT6">
        <v>4</v>
      </c>
      <c r="AU6">
        <v>2.9</v>
      </c>
      <c r="AX6">
        <v>1</v>
      </c>
    </row>
    <row r="7" spans="1:50">
      <c r="A7" t="s">
        <v>578</v>
      </c>
      <c r="B7" t="s">
        <v>579</v>
      </c>
      <c r="C7" t="s">
        <v>208</v>
      </c>
      <c r="D7">
        <v>3</v>
      </c>
      <c r="E7" t="s">
        <v>209</v>
      </c>
      <c r="F7" t="s">
        <v>210</v>
      </c>
      <c r="G7" t="s">
        <v>249</v>
      </c>
      <c r="H7" t="s">
        <v>527</v>
      </c>
      <c r="J7" t="s">
        <v>563</v>
      </c>
      <c r="K7" t="s">
        <v>564</v>
      </c>
      <c r="L7" t="s">
        <v>565</v>
      </c>
      <c r="M7" t="s">
        <v>566</v>
      </c>
      <c r="N7" t="s">
        <v>567</v>
      </c>
      <c r="O7">
        <v>0</v>
      </c>
      <c r="P7">
        <v>0</v>
      </c>
      <c r="Q7">
        <v>2.3839999999999999E-7</v>
      </c>
      <c r="R7">
        <v>-9.6762294768999997</v>
      </c>
      <c r="S7">
        <v>-4.8241920471000004</v>
      </c>
      <c r="T7">
        <v>-2.7372875213999999</v>
      </c>
      <c r="U7">
        <v>2.6999120712</v>
      </c>
      <c r="V7">
        <v>2.5539836883999998</v>
      </c>
      <c r="W7">
        <v>5.0019817352000002</v>
      </c>
      <c r="X7">
        <v>3.8404383658999999</v>
      </c>
      <c r="Y7">
        <v>0.49769783020000002</v>
      </c>
      <c r="Z7">
        <v>1.1355779171</v>
      </c>
      <c r="AA7">
        <v>1.7921239138</v>
      </c>
      <c r="AB7">
        <v>-0.86231231689999999</v>
      </c>
      <c r="AC7">
        <v>-1.296618104</v>
      </c>
      <c r="AD7">
        <v>-0.97449886799999996</v>
      </c>
      <c r="AE7">
        <v>-0.58688026670000004</v>
      </c>
      <c r="AF7">
        <v>0.72403550149999996</v>
      </c>
      <c r="AG7">
        <v>0.53182333709999996</v>
      </c>
      <c r="AH7">
        <v>-4.9970596999999999E-2</v>
      </c>
      <c r="AI7">
        <v>-0.64763903619999996</v>
      </c>
      <c r="AJ7">
        <v>-0.37722045180000002</v>
      </c>
      <c r="AK7">
        <v>2.5321090000000001E-4</v>
      </c>
      <c r="AL7">
        <v>5.3541116399999998E-2</v>
      </c>
      <c r="AM7">
        <v>0.19283732770000001</v>
      </c>
      <c r="AN7">
        <v>0.1566548347</v>
      </c>
      <c r="AO7">
        <v>0.215696156</v>
      </c>
      <c r="AP7">
        <v>0.215696156</v>
      </c>
      <c r="AQ7">
        <v>10.8121341925</v>
      </c>
      <c r="AR7" t="s">
        <v>250</v>
      </c>
      <c r="AS7" t="s">
        <v>251</v>
      </c>
      <c r="AT7">
        <v>3</v>
      </c>
      <c r="AU7">
        <v>2.9</v>
      </c>
      <c r="AX7">
        <v>1</v>
      </c>
    </row>
    <row r="8" spans="1:50">
      <c r="A8" t="s">
        <v>615</v>
      </c>
      <c r="B8" t="s">
        <v>616</v>
      </c>
      <c r="C8" t="s">
        <v>208</v>
      </c>
      <c r="D8">
        <v>3</v>
      </c>
      <c r="E8" t="s">
        <v>209</v>
      </c>
      <c r="F8" t="s">
        <v>210</v>
      </c>
      <c r="G8" t="s">
        <v>249</v>
      </c>
      <c r="H8" t="s">
        <v>527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-2.5272399999999999E-5</v>
      </c>
      <c r="R8">
        <v>-4.4193115234000002</v>
      </c>
      <c r="S8">
        <v>-2.2588591575999999</v>
      </c>
      <c r="T8">
        <v>-0.67490649219999999</v>
      </c>
      <c r="U8">
        <v>1.2859239577999999</v>
      </c>
      <c r="V8">
        <v>-4.4442100524999999</v>
      </c>
      <c r="W8">
        <v>2.8575508594999999</v>
      </c>
      <c r="X8">
        <v>1.7408181429</v>
      </c>
      <c r="Y8">
        <v>1.4382295609</v>
      </c>
      <c r="Z8">
        <v>1.9591255188000001</v>
      </c>
      <c r="AA8">
        <v>1.3941290379</v>
      </c>
      <c r="AB8">
        <v>-1.4171600341999999</v>
      </c>
      <c r="AC8">
        <v>1.2950047254999999</v>
      </c>
      <c r="AD8">
        <v>-0.93526411060000003</v>
      </c>
      <c r="AE8">
        <v>-0.53820699449999998</v>
      </c>
      <c r="AF8">
        <v>-0.33651596309999998</v>
      </c>
      <c r="AG8">
        <v>-1.0800205468999999</v>
      </c>
      <c r="AH8">
        <v>0.16074885429999999</v>
      </c>
      <c r="AI8">
        <v>-0.7197755575</v>
      </c>
      <c r="AJ8">
        <v>-0.26006969810000002</v>
      </c>
      <c r="AK8">
        <v>2.1644629999999999E-4</v>
      </c>
      <c r="AL8">
        <v>4.7680273699999998E-2</v>
      </c>
      <c r="AM8">
        <v>0.15073305370000001</v>
      </c>
      <c r="AN8">
        <v>0.1007422879</v>
      </c>
      <c r="AO8">
        <v>0.15073305370000001</v>
      </c>
      <c r="AP8">
        <v>0.15073305370000001</v>
      </c>
      <c r="AQ8">
        <v>4.9631400377999997</v>
      </c>
      <c r="AR8" t="s">
        <v>250</v>
      </c>
      <c r="AS8" t="s">
        <v>251</v>
      </c>
      <c r="AT8">
        <v>3</v>
      </c>
      <c r="AU8">
        <v>2.9</v>
      </c>
      <c r="AX8">
        <v>1</v>
      </c>
    </row>
    <row r="9" spans="1:50">
      <c r="A9" t="s">
        <v>620</v>
      </c>
      <c r="B9" t="s">
        <v>621</v>
      </c>
      <c r="C9" t="s">
        <v>208</v>
      </c>
      <c r="D9">
        <v>3</v>
      </c>
      <c r="E9" t="s">
        <v>209</v>
      </c>
      <c r="F9" t="s">
        <v>210</v>
      </c>
      <c r="G9" t="s">
        <v>249</v>
      </c>
      <c r="H9" t="s">
        <v>527</v>
      </c>
      <c r="J9" t="s">
        <v>610</v>
      </c>
      <c r="K9" t="s">
        <v>611</v>
      </c>
      <c r="L9" t="s">
        <v>612</v>
      </c>
      <c r="M9" t="s">
        <v>613</v>
      </c>
      <c r="N9" t="s">
        <v>614</v>
      </c>
      <c r="O9">
        <v>0</v>
      </c>
      <c r="P9">
        <v>0</v>
      </c>
      <c r="Q9">
        <v>-5.9599999999999999E-7</v>
      </c>
      <c r="R9">
        <v>-1.5667252541000001</v>
      </c>
      <c r="S9">
        <v>1.0099754332999999</v>
      </c>
      <c r="T9">
        <v>6.2032575607</v>
      </c>
      <c r="U9">
        <v>4.5186777114999996</v>
      </c>
      <c r="V9">
        <v>11.367077827499999</v>
      </c>
      <c r="W9">
        <v>2.6801719666000001</v>
      </c>
      <c r="X9">
        <v>-0.104309082</v>
      </c>
      <c r="Y9">
        <v>-1.7109308243000001</v>
      </c>
      <c r="Z9">
        <v>0.31046748159999998</v>
      </c>
      <c r="AA9">
        <v>4.9175262499999997E-2</v>
      </c>
      <c r="AB9">
        <v>-2.8088631629999998</v>
      </c>
      <c r="AC9">
        <v>-3.2108645439000001</v>
      </c>
      <c r="AD9">
        <v>-0.34292459489999999</v>
      </c>
      <c r="AE9">
        <v>-0.29647660260000003</v>
      </c>
      <c r="AF9">
        <v>8.4940820900000005E-2</v>
      </c>
      <c r="AG9">
        <v>-0.64857214689999998</v>
      </c>
      <c r="AH9">
        <v>0.56367301940000003</v>
      </c>
      <c r="AI9">
        <v>-7.9079270399999999E-2</v>
      </c>
      <c r="AJ9">
        <v>-2.9066979900000001E-2</v>
      </c>
      <c r="AK9">
        <v>2.3541990000000001E-4</v>
      </c>
      <c r="AL9">
        <v>5.0346285099999999E-2</v>
      </c>
      <c r="AM9">
        <v>0.1991638839</v>
      </c>
      <c r="AN9">
        <v>0.1853241622</v>
      </c>
      <c r="AO9">
        <v>0.1991638839</v>
      </c>
      <c r="AP9">
        <v>0.1991638839</v>
      </c>
      <c r="AQ9">
        <v>1.8640489257999999</v>
      </c>
      <c r="AR9" t="s">
        <v>250</v>
      </c>
      <c r="AS9" t="s">
        <v>251</v>
      </c>
      <c r="AT9">
        <v>3</v>
      </c>
      <c r="AU9">
        <v>2.9</v>
      </c>
      <c r="AX9">
        <v>1</v>
      </c>
    </row>
    <row r="10" spans="1:50">
      <c r="A10" t="s">
        <v>632</v>
      </c>
      <c r="B10" t="s">
        <v>641</v>
      </c>
      <c r="C10" t="s">
        <v>208</v>
      </c>
      <c r="D10">
        <v>3</v>
      </c>
      <c r="E10" t="s">
        <v>209</v>
      </c>
      <c r="F10" t="s">
        <v>210</v>
      </c>
      <c r="G10" t="s">
        <v>249</v>
      </c>
      <c r="H10" t="s">
        <v>527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-1.9908E-5</v>
      </c>
      <c r="R10">
        <v>-5.0230789185000004</v>
      </c>
      <c r="S10">
        <v>-0.17055433989999999</v>
      </c>
      <c r="T10">
        <v>0.86789238449999995</v>
      </c>
      <c r="U10">
        <v>2.2574009894999998</v>
      </c>
      <c r="V10">
        <v>0.17739838359999999</v>
      </c>
      <c r="W10">
        <v>1.828110218</v>
      </c>
      <c r="X10">
        <v>-1.8399454355</v>
      </c>
      <c r="Y10">
        <v>0.48855197430000002</v>
      </c>
      <c r="Z10">
        <v>-0.18602766100000001</v>
      </c>
      <c r="AA10">
        <v>-0.48278510569999999</v>
      </c>
      <c r="AB10">
        <v>-1.3345454931</v>
      </c>
      <c r="AC10">
        <v>-0.1362796724</v>
      </c>
      <c r="AD10">
        <v>-0.27807942029999999</v>
      </c>
      <c r="AE10">
        <v>0.18671080470000001</v>
      </c>
      <c r="AF10">
        <v>-0.2460033298</v>
      </c>
      <c r="AG10">
        <v>-0.16728910799999999</v>
      </c>
      <c r="AH10">
        <v>0.52911442519999996</v>
      </c>
      <c r="AI10">
        <v>0.83442872759999998</v>
      </c>
      <c r="AJ10">
        <v>0.79612505440000003</v>
      </c>
      <c r="AK10">
        <v>1.7880239999999999E-4</v>
      </c>
      <c r="AL10">
        <v>4.4515013700000002E-2</v>
      </c>
      <c r="AM10">
        <v>0.1051115692</v>
      </c>
      <c r="AN10">
        <v>4.25834395E-2</v>
      </c>
      <c r="AO10">
        <v>0.1226331443</v>
      </c>
      <c r="AP10">
        <v>0.1226331443</v>
      </c>
      <c r="AQ10">
        <v>5.0259735976000002</v>
      </c>
      <c r="AR10" t="s">
        <v>250</v>
      </c>
      <c r="AS10" t="s">
        <v>251</v>
      </c>
      <c r="AT10">
        <v>4</v>
      </c>
      <c r="AU10">
        <v>2.9</v>
      </c>
      <c r="AX10">
        <v>1</v>
      </c>
    </row>
    <row r="11" spans="1:50">
      <c r="A11" t="s">
        <v>642</v>
      </c>
      <c r="B11" t="s">
        <v>660</v>
      </c>
      <c r="C11" t="s">
        <v>208</v>
      </c>
      <c r="D11">
        <v>3</v>
      </c>
      <c r="E11" t="s">
        <v>209</v>
      </c>
      <c r="F11" t="s">
        <v>210</v>
      </c>
      <c r="G11" t="s">
        <v>249</v>
      </c>
      <c r="H11" t="s">
        <v>527</v>
      </c>
      <c r="J11" t="s">
        <v>636</v>
      </c>
      <c r="K11" t="s">
        <v>637</v>
      </c>
      <c r="L11" t="s">
        <v>638</v>
      </c>
      <c r="M11" t="s">
        <v>639</v>
      </c>
      <c r="N11" t="s">
        <v>640</v>
      </c>
      <c r="O11">
        <v>0</v>
      </c>
      <c r="P11">
        <v>0</v>
      </c>
      <c r="Q11">
        <v>2.2590199999999999E-5</v>
      </c>
      <c r="R11">
        <v>-7.1025671958999999</v>
      </c>
      <c r="S11">
        <v>-3.0823552608</v>
      </c>
      <c r="T11">
        <v>4.7980337142999998</v>
      </c>
      <c r="U11">
        <v>5.1678524017000003</v>
      </c>
      <c r="V11">
        <v>3.3267579078999998</v>
      </c>
      <c r="W11">
        <v>3.4206960200999998</v>
      </c>
      <c r="X11">
        <v>0.2250362635</v>
      </c>
      <c r="Y11">
        <v>-0.61269682650000001</v>
      </c>
      <c r="Z11">
        <v>1.2190078497000001</v>
      </c>
      <c r="AA11">
        <v>0.78074151280000004</v>
      </c>
      <c r="AB11">
        <v>-1.8561508656000001</v>
      </c>
      <c r="AC11">
        <v>-1.0355420113</v>
      </c>
      <c r="AD11">
        <v>-0.32929682729999998</v>
      </c>
      <c r="AE11">
        <v>0.31868907810000002</v>
      </c>
      <c r="AF11">
        <v>0.2070082724</v>
      </c>
      <c r="AG11">
        <v>-0.25881609319999999</v>
      </c>
      <c r="AH11">
        <v>-0.27693262699999999</v>
      </c>
      <c r="AI11">
        <v>-0.82771146299999998</v>
      </c>
      <c r="AJ11">
        <v>-1.0590107441000001</v>
      </c>
      <c r="AK11">
        <v>2.4172629999999999E-4</v>
      </c>
      <c r="AL11">
        <v>5.0671957400000002E-2</v>
      </c>
      <c r="AM11">
        <v>0.1624424458</v>
      </c>
      <c r="AN11">
        <v>8.55695754E-2</v>
      </c>
      <c r="AO11">
        <v>0.21077689529999999</v>
      </c>
      <c r="AP11">
        <v>0.21077689529999999</v>
      </c>
      <c r="AQ11">
        <v>7.7425690003999996</v>
      </c>
      <c r="AR11" t="s">
        <v>250</v>
      </c>
      <c r="AS11" t="s">
        <v>251</v>
      </c>
      <c r="AT11">
        <v>3</v>
      </c>
      <c r="AU11">
        <v>2.9</v>
      </c>
      <c r="AX11">
        <v>1</v>
      </c>
    </row>
    <row r="12" spans="1:50">
      <c r="A12" t="s">
        <v>661</v>
      </c>
      <c r="B12" t="s">
        <v>662</v>
      </c>
      <c r="C12" t="s">
        <v>208</v>
      </c>
      <c r="D12">
        <v>3</v>
      </c>
      <c r="E12" t="s">
        <v>209</v>
      </c>
      <c r="F12" t="s">
        <v>210</v>
      </c>
      <c r="G12" t="s">
        <v>249</v>
      </c>
      <c r="H12" t="s">
        <v>527</v>
      </c>
      <c r="J12" t="s">
        <v>648</v>
      </c>
      <c r="K12" t="s">
        <v>649</v>
      </c>
      <c r="L12" t="s">
        <v>650</v>
      </c>
      <c r="M12" t="s">
        <v>651</v>
      </c>
      <c r="N12" t="s">
        <v>652</v>
      </c>
      <c r="O12">
        <v>0</v>
      </c>
      <c r="P12">
        <v>0</v>
      </c>
      <c r="Q12">
        <v>-3.5762800000000003E-5</v>
      </c>
      <c r="R12">
        <v>-11.1855716705</v>
      </c>
      <c r="S12">
        <v>3.1218674182999999</v>
      </c>
      <c r="T12">
        <v>2.0207171439999998</v>
      </c>
      <c r="U12">
        <v>3.9274389743999998</v>
      </c>
      <c r="V12">
        <v>5.1019897461000001</v>
      </c>
      <c r="W12">
        <v>4.6142191886999999</v>
      </c>
      <c r="X12">
        <v>-1.4481160640999999</v>
      </c>
      <c r="Y12">
        <v>-0.35200619700000002</v>
      </c>
      <c r="Z12">
        <v>1.3136405945</v>
      </c>
      <c r="AA12">
        <v>-0.92210197449999998</v>
      </c>
      <c r="AB12">
        <v>-1.5177910327999999</v>
      </c>
      <c r="AC12">
        <v>-1.9374202490000001</v>
      </c>
      <c r="AD12">
        <v>-1.3778644799999999</v>
      </c>
      <c r="AE12">
        <v>0.28787991400000001</v>
      </c>
      <c r="AF12">
        <v>0.15858435630000001</v>
      </c>
      <c r="AG12">
        <v>-0.26835358139999999</v>
      </c>
      <c r="AH12">
        <v>-0.39902687069999998</v>
      </c>
      <c r="AI12">
        <v>-0.39728927609999998</v>
      </c>
      <c r="AJ12">
        <v>0.57123577589999996</v>
      </c>
      <c r="AK12">
        <v>2.0429080000000001E-4</v>
      </c>
      <c r="AL12">
        <v>4.7470949599999999E-2</v>
      </c>
      <c r="AM12">
        <v>0.2306136191</v>
      </c>
      <c r="AN12">
        <v>0.11708302800000001</v>
      </c>
      <c r="AO12">
        <v>0.2306136191</v>
      </c>
      <c r="AP12">
        <v>0.2306136191</v>
      </c>
      <c r="AQ12">
        <v>11.613056004900001</v>
      </c>
      <c r="AR12" t="s">
        <v>250</v>
      </c>
      <c r="AS12" t="s">
        <v>251</v>
      </c>
      <c r="AT12">
        <v>3</v>
      </c>
      <c r="AU12">
        <v>2.9</v>
      </c>
      <c r="AX12">
        <v>1</v>
      </c>
    </row>
    <row r="13" spans="1:50">
      <c r="A13" t="s">
        <v>663</v>
      </c>
      <c r="B13" t="s">
        <v>664</v>
      </c>
      <c r="C13" t="s">
        <v>208</v>
      </c>
      <c r="D13">
        <v>3</v>
      </c>
      <c r="E13" t="s">
        <v>209</v>
      </c>
      <c r="F13" t="s">
        <v>210</v>
      </c>
      <c r="G13" t="s">
        <v>249</v>
      </c>
      <c r="H13" t="s">
        <v>527</v>
      </c>
      <c r="J13" t="s">
        <v>655</v>
      </c>
      <c r="K13" t="s">
        <v>656</v>
      </c>
      <c r="L13" t="s">
        <v>657</v>
      </c>
      <c r="M13" t="s">
        <v>658</v>
      </c>
      <c r="N13" t="s">
        <v>659</v>
      </c>
      <c r="O13">
        <v>0</v>
      </c>
      <c r="P13">
        <v>0</v>
      </c>
      <c r="Q13">
        <v>1.4304999999999999E-6</v>
      </c>
      <c r="R13">
        <v>-14.1168727875</v>
      </c>
      <c r="S13">
        <v>-3.9758064747000001</v>
      </c>
      <c r="T13">
        <v>4.6703786850000002</v>
      </c>
      <c r="U13">
        <v>9.8008728027000007</v>
      </c>
      <c r="V13">
        <v>2.3760433196999999</v>
      </c>
      <c r="W13">
        <v>4.9984188080000003</v>
      </c>
      <c r="X13">
        <v>-0.63280868530000001</v>
      </c>
      <c r="Y13">
        <v>-1.0178797245</v>
      </c>
      <c r="Z13">
        <v>-1.6147711277000001</v>
      </c>
      <c r="AA13">
        <v>-0.6304453015</v>
      </c>
      <c r="AB13">
        <v>-3.2000017166000001</v>
      </c>
      <c r="AC13">
        <v>-0.28425449130000002</v>
      </c>
      <c r="AD13">
        <v>-1.0794677734</v>
      </c>
      <c r="AE13">
        <v>0.80631631609999999</v>
      </c>
      <c r="AF13">
        <v>0.14065419139999999</v>
      </c>
      <c r="AG13">
        <v>0.54121398929999998</v>
      </c>
      <c r="AH13">
        <v>0.101451993</v>
      </c>
      <c r="AI13">
        <v>-0.19257885220000001</v>
      </c>
      <c r="AJ13">
        <v>-2.4708419999999998E-2</v>
      </c>
      <c r="AK13">
        <v>2.3552290000000001E-4</v>
      </c>
      <c r="AL13">
        <v>4.9737460900000002E-2</v>
      </c>
      <c r="AM13">
        <v>0.2645421624</v>
      </c>
      <c r="AN13">
        <v>8.9821815499999999E-2</v>
      </c>
      <c r="AO13">
        <v>0.3648730516</v>
      </c>
      <c r="AP13">
        <v>0.3648730516</v>
      </c>
      <c r="AQ13">
        <v>14.666053812199999</v>
      </c>
      <c r="AR13" t="s">
        <v>250</v>
      </c>
      <c r="AS13" t="s">
        <v>251</v>
      </c>
      <c r="AT13">
        <v>3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252</v>
      </c>
      <c r="R1" t="s">
        <v>253</v>
      </c>
      <c r="S1" t="s">
        <v>254</v>
      </c>
      <c r="T1" t="s">
        <v>255</v>
      </c>
      <c r="U1" t="s">
        <v>256</v>
      </c>
      <c r="V1" t="s">
        <v>257</v>
      </c>
      <c r="W1" t="s">
        <v>258</v>
      </c>
      <c r="X1" t="s">
        <v>259</v>
      </c>
      <c r="Y1" t="s">
        <v>260</v>
      </c>
      <c r="Z1" t="s">
        <v>261</v>
      </c>
      <c r="AA1" t="s">
        <v>262</v>
      </c>
      <c r="AB1" t="s">
        <v>263</v>
      </c>
      <c r="AC1" t="s">
        <v>264</v>
      </c>
      <c r="AD1" t="s">
        <v>205</v>
      </c>
      <c r="AE1" t="s">
        <v>206</v>
      </c>
      <c r="AF1" t="s">
        <v>207</v>
      </c>
    </row>
    <row r="2" spans="1:32">
      <c r="A2" t="s">
        <v>568</v>
      </c>
      <c r="B2" t="s">
        <v>580</v>
      </c>
      <c r="C2" t="s">
        <v>208</v>
      </c>
      <c r="D2">
        <v>3</v>
      </c>
      <c r="E2" t="s">
        <v>209</v>
      </c>
      <c r="F2" t="s">
        <v>210</v>
      </c>
      <c r="G2" t="s">
        <v>249</v>
      </c>
      <c r="H2" t="s">
        <v>527</v>
      </c>
      <c r="J2" t="s">
        <v>528</v>
      </c>
      <c r="K2" t="s">
        <v>529</v>
      </c>
      <c r="L2" t="s">
        <v>530</v>
      </c>
      <c r="M2" t="s">
        <v>531</v>
      </c>
      <c r="N2" t="s">
        <v>532</v>
      </c>
      <c r="O2">
        <v>0</v>
      </c>
      <c r="P2">
        <v>0</v>
      </c>
      <c r="Q2">
        <v>-4.6920821114000004</v>
      </c>
      <c r="R2">
        <v>-32</v>
      </c>
      <c r="S2">
        <v>103.5457137791</v>
      </c>
      <c r="T2">
        <v>120.0664642143</v>
      </c>
      <c r="U2">
        <v>3.5408237503</v>
      </c>
      <c r="V2">
        <v>3.8465859999999999E-3</v>
      </c>
      <c r="W2">
        <v>-8.1320200000000001E-5</v>
      </c>
      <c r="X2">
        <v>3.3895852055</v>
      </c>
      <c r="Y2">
        <v>103.04202511939999</v>
      </c>
      <c r="Z2">
        <v>85.327698630300006</v>
      </c>
      <c r="AA2">
        <v>301.14348371770001</v>
      </c>
      <c r="AB2">
        <v>323.49483951889999</v>
      </c>
      <c r="AC2">
        <v>1</v>
      </c>
      <c r="AF2">
        <v>1</v>
      </c>
    </row>
    <row r="3" spans="1:32">
      <c r="A3" t="s">
        <v>570</v>
      </c>
      <c r="B3" t="s">
        <v>581</v>
      </c>
      <c r="C3" t="s">
        <v>208</v>
      </c>
      <c r="D3">
        <v>3</v>
      </c>
      <c r="E3" t="s">
        <v>209</v>
      </c>
      <c r="F3" t="s">
        <v>210</v>
      </c>
      <c r="G3" t="s">
        <v>249</v>
      </c>
      <c r="H3" t="s">
        <v>527</v>
      </c>
      <c r="J3" t="s">
        <v>535</v>
      </c>
      <c r="K3" t="s">
        <v>536</v>
      </c>
      <c r="L3" t="s">
        <v>537</v>
      </c>
      <c r="M3" t="s">
        <v>538</v>
      </c>
      <c r="N3" t="s">
        <v>539</v>
      </c>
      <c r="O3">
        <v>0</v>
      </c>
      <c r="P3">
        <v>0</v>
      </c>
      <c r="Q3">
        <v>-4.6920821114000004</v>
      </c>
      <c r="R3">
        <v>-32</v>
      </c>
      <c r="S3">
        <v>105.96812676090001</v>
      </c>
      <c r="T3">
        <v>122.0096302851</v>
      </c>
      <c r="U3">
        <v>3.4362624731999998</v>
      </c>
      <c r="V3">
        <v>3.3903261E-3</v>
      </c>
      <c r="W3">
        <v>-6.8557899999999996E-5</v>
      </c>
      <c r="X3">
        <v>3.2673405212</v>
      </c>
      <c r="Y3">
        <v>105.06656798100001</v>
      </c>
      <c r="Z3">
        <v>89.8506770961</v>
      </c>
      <c r="AA3">
        <v>318.01355758670002</v>
      </c>
      <c r="AB3">
        <v>339.59329345949999</v>
      </c>
      <c r="AC3">
        <v>1</v>
      </c>
      <c r="AF3">
        <v>1</v>
      </c>
    </row>
    <row r="4" spans="1:32">
      <c r="A4" t="s">
        <v>572</v>
      </c>
      <c r="B4" t="s">
        <v>582</v>
      </c>
      <c r="C4" t="s">
        <v>208</v>
      </c>
      <c r="D4">
        <v>3</v>
      </c>
      <c r="E4" t="s">
        <v>209</v>
      </c>
      <c r="F4" t="s">
        <v>210</v>
      </c>
      <c r="G4" t="s">
        <v>249</v>
      </c>
      <c r="H4" t="s">
        <v>527</v>
      </c>
      <c r="J4" t="s">
        <v>542</v>
      </c>
      <c r="K4" t="s">
        <v>543</v>
      </c>
      <c r="L4" t="s">
        <v>544</v>
      </c>
      <c r="M4" t="s">
        <v>545</v>
      </c>
      <c r="N4" t="s">
        <v>546</v>
      </c>
      <c r="O4">
        <v>0</v>
      </c>
      <c r="P4">
        <v>0</v>
      </c>
      <c r="Q4">
        <v>-5.8651026392999999</v>
      </c>
      <c r="R4">
        <v>-40</v>
      </c>
      <c r="S4">
        <v>100.54763272460001</v>
      </c>
      <c r="T4">
        <v>121.0274175734</v>
      </c>
      <c r="U4">
        <v>3.5125085825000002</v>
      </c>
      <c r="V4">
        <v>3.1235313999999998E-3</v>
      </c>
      <c r="W4">
        <v>-6.9345100000000001E-5</v>
      </c>
      <c r="X4">
        <v>3.3202202349999999</v>
      </c>
      <c r="Y4">
        <v>100.4418343506</v>
      </c>
      <c r="Z4">
        <v>81.015796573700001</v>
      </c>
      <c r="AA4">
        <v>325.92441866979999</v>
      </c>
      <c r="AB4">
        <v>347.6832150674</v>
      </c>
      <c r="AC4">
        <v>1</v>
      </c>
      <c r="AF4">
        <v>1</v>
      </c>
    </row>
    <row r="5" spans="1:32">
      <c r="A5" t="s">
        <v>574</v>
      </c>
      <c r="B5" t="s">
        <v>583</v>
      </c>
      <c r="C5" t="s">
        <v>208</v>
      </c>
      <c r="D5">
        <v>3</v>
      </c>
      <c r="E5" t="s">
        <v>209</v>
      </c>
      <c r="F5" t="s">
        <v>210</v>
      </c>
      <c r="G5" t="s">
        <v>249</v>
      </c>
      <c r="H5" t="s">
        <v>527</v>
      </c>
      <c r="J5" t="s">
        <v>549</v>
      </c>
      <c r="K5" t="s">
        <v>550</v>
      </c>
      <c r="L5" t="s">
        <v>551</v>
      </c>
      <c r="M5" t="s">
        <v>552</v>
      </c>
      <c r="N5" t="s">
        <v>553</v>
      </c>
      <c r="O5">
        <v>0</v>
      </c>
      <c r="P5">
        <v>0</v>
      </c>
      <c r="Q5">
        <v>-3.5190615836000001</v>
      </c>
      <c r="R5">
        <v>-24</v>
      </c>
      <c r="S5">
        <v>110.8466227176</v>
      </c>
      <c r="T5">
        <v>123.06492438719999</v>
      </c>
      <c r="U5">
        <v>3.4843716078</v>
      </c>
      <c r="V5">
        <v>3.2544953000000001E-3</v>
      </c>
      <c r="W5">
        <v>-7.1446700000000002E-5</v>
      </c>
      <c r="X5">
        <v>3.3036560036</v>
      </c>
      <c r="Y5">
        <v>109.3173377026</v>
      </c>
      <c r="Z5">
        <v>87.323442829000001</v>
      </c>
      <c r="AA5">
        <v>310.1782113232</v>
      </c>
      <c r="AB5">
        <v>332.01651799379999</v>
      </c>
      <c r="AC5">
        <v>1</v>
      </c>
      <c r="AF5">
        <v>1</v>
      </c>
    </row>
    <row r="6" spans="1:32">
      <c r="A6" t="s">
        <v>576</v>
      </c>
      <c r="B6" t="s">
        <v>584</v>
      </c>
      <c r="C6" t="s">
        <v>208</v>
      </c>
      <c r="D6">
        <v>3</v>
      </c>
      <c r="E6" t="s">
        <v>209</v>
      </c>
      <c r="F6" t="s">
        <v>210</v>
      </c>
      <c r="G6" t="s">
        <v>249</v>
      </c>
      <c r="H6" t="s">
        <v>527</v>
      </c>
      <c r="J6" t="s">
        <v>556</v>
      </c>
      <c r="K6" t="s">
        <v>557</v>
      </c>
      <c r="L6" t="s">
        <v>558</v>
      </c>
      <c r="M6" t="s">
        <v>559</v>
      </c>
      <c r="N6" t="s">
        <v>560</v>
      </c>
      <c r="O6">
        <v>0</v>
      </c>
      <c r="P6">
        <v>0</v>
      </c>
      <c r="Q6">
        <v>-7.0381231672000002</v>
      </c>
      <c r="R6">
        <v>-48</v>
      </c>
      <c r="S6">
        <v>93.726150488499997</v>
      </c>
      <c r="T6">
        <v>118.3524833619</v>
      </c>
      <c r="U6">
        <v>3.5263598871999999</v>
      </c>
      <c r="V6">
        <v>3.3717639000000002E-3</v>
      </c>
      <c r="W6">
        <v>-7.3433400000000001E-5</v>
      </c>
      <c r="X6">
        <v>3.3708722245999998</v>
      </c>
      <c r="Y6">
        <v>93.724559855500004</v>
      </c>
      <c r="Z6">
        <v>77.103097356500001</v>
      </c>
      <c r="AA6">
        <v>314.92922342219998</v>
      </c>
      <c r="AB6">
        <v>337.18955701200002</v>
      </c>
      <c r="AC6">
        <v>1</v>
      </c>
      <c r="AF6">
        <v>1</v>
      </c>
    </row>
    <row r="7" spans="1:32">
      <c r="A7" t="s">
        <v>578</v>
      </c>
      <c r="B7" t="s">
        <v>585</v>
      </c>
      <c r="C7" t="s">
        <v>208</v>
      </c>
      <c r="D7">
        <v>3</v>
      </c>
      <c r="E7" t="s">
        <v>209</v>
      </c>
      <c r="F7" t="s">
        <v>210</v>
      </c>
      <c r="G7" t="s">
        <v>249</v>
      </c>
      <c r="H7" t="s">
        <v>527</v>
      </c>
      <c r="J7" t="s">
        <v>563</v>
      </c>
      <c r="K7" t="s">
        <v>564</v>
      </c>
      <c r="L7" t="s">
        <v>565</v>
      </c>
      <c r="M7" t="s">
        <v>566</v>
      </c>
      <c r="N7" t="s">
        <v>567</v>
      </c>
      <c r="O7">
        <v>0</v>
      </c>
      <c r="P7">
        <v>0</v>
      </c>
      <c r="Q7">
        <v>-7.0381231672000002</v>
      </c>
      <c r="R7">
        <v>-48</v>
      </c>
      <c r="S7">
        <v>99.429660354000006</v>
      </c>
      <c r="T7">
        <v>123.1501930295</v>
      </c>
      <c r="U7">
        <v>3.3957337270000001</v>
      </c>
      <c r="V7">
        <v>3.1551154000000001E-3</v>
      </c>
      <c r="W7">
        <v>-6.5312899999999996E-5</v>
      </c>
      <c r="X7">
        <v>3.2429456073999998</v>
      </c>
      <c r="Y7">
        <v>98.526624795499998</v>
      </c>
      <c r="Z7">
        <v>80.649955236899999</v>
      </c>
      <c r="AA7">
        <v>317.39029844909999</v>
      </c>
      <c r="AB7">
        <v>338.90112889199997</v>
      </c>
      <c r="AC7">
        <v>1</v>
      </c>
      <c r="AF7">
        <v>1</v>
      </c>
    </row>
    <row r="8" spans="1:32">
      <c r="A8" t="s">
        <v>615</v>
      </c>
      <c r="B8" t="s">
        <v>617</v>
      </c>
      <c r="C8" t="s">
        <v>208</v>
      </c>
      <c r="D8">
        <v>3</v>
      </c>
      <c r="E8" t="s">
        <v>209</v>
      </c>
      <c r="F8" t="s">
        <v>210</v>
      </c>
      <c r="G8" t="s">
        <v>249</v>
      </c>
      <c r="H8" t="s">
        <v>527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-4.6920821114000004</v>
      </c>
      <c r="R8">
        <v>-32</v>
      </c>
      <c r="S8">
        <v>105.731294656</v>
      </c>
      <c r="T8">
        <v>121.87664702950001</v>
      </c>
      <c r="U8">
        <v>3.4572531885000002</v>
      </c>
      <c r="V8">
        <v>3.1471398E-3</v>
      </c>
      <c r="W8">
        <v>-6.8511599999999996E-5</v>
      </c>
      <c r="X8">
        <v>3.2731865159</v>
      </c>
      <c r="Y8">
        <v>105.0286748541</v>
      </c>
      <c r="Z8">
        <v>90.918566787399996</v>
      </c>
      <c r="AA8">
        <v>317.79849466960002</v>
      </c>
      <c r="AB8">
        <v>339.08629076130001</v>
      </c>
      <c r="AC8">
        <v>1</v>
      </c>
      <c r="AF8">
        <v>1</v>
      </c>
    </row>
    <row r="9" spans="1:32">
      <c r="A9" t="s">
        <v>620</v>
      </c>
      <c r="B9" t="s">
        <v>622</v>
      </c>
      <c r="C9" t="s">
        <v>208</v>
      </c>
      <c r="D9">
        <v>3</v>
      </c>
      <c r="E9" t="s">
        <v>209</v>
      </c>
      <c r="F9" t="s">
        <v>210</v>
      </c>
      <c r="G9" t="s">
        <v>249</v>
      </c>
      <c r="H9" t="s">
        <v>527</v>
      </c>
      <c r="J9" t="s">
        <v>610</v>
      </c>
      <c r="K9" t="s">
        <v>611</v>
      </c>
      <c r="L9" t="s">
        <v>612</v>
      </c>
      <c r="M9" t="s">
        <v>613</v>
      </c>
      <c r="N9" t="s">
        <v>614</v>
      </c>
      <c r="O9">
        <v>0</v>
      </c>
      <c r="P9">
        <v>0</v>
      </c>
      <c r="Q9">
        <v>-4.6920821114000004</v>
      </c>
      <c r="R9">
        <v>-32</v>
      </c>
      <c r="S9">
        <v>103.09775389630001</v>
      </c>
      <c r="T9">
        <v>119.33530473330001</v>
      </c>
      <c r="U9">
        <v>3.4789291262000002</v>
      </c>
      <c r="V9">
        <v>3.5683665000000001E-3</v>
      </c>
      <c r="W9">
        <v>-7.0769499999999994E-5</v>
      </c>
      <c r="X9">
        <v>3.3076976008000001</v>
      </c>
      <c r="Y9">
        <v>102.5948645452</v>
      </c>
      <c r="Z9">
        <v>83.978480611999998</v>
      </c>
      <c r="AA9">
        <v>321.59699273910002</v>
      </c>
      <c r="AB9">
        <v>343.06122607589998</v>
      </c>
      <c r="AC9">
        <v>1</v>
      </c>
      <c r="AF9">
        <v>1</v>
      </c>
    </row>
    <row r="10" spans="1:32">
      <c r="A10" t="s">
        <v>632</v>
      </c>
      <c r="B10" t="s">
        <v>633</v>
      </c>
      <c r="C10" t="s">
        <v>208</v>
      </c>
      <c r="D10">
        <v>3</v>
      </c>
      <c r="E10" t="s">
        <v>209</v>
      </c>
      <c r="F10" t="s">
        <v>210</v>
      </c>
      <c r="G10" t="s">
        <v>249</v>
      </c>
      <c r="H10" t="s">
        <v>527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-4.6920821114000004</v>
      </c>
      <c r="R10">
        <v>-32</v>
      </c>
      <c r="S10">
        <v>102.12169224909999</v>
      </c>
      <c r="T10">
        <v>118.06513261880001</v>
      </c>
      <c r="U10">
        <v>3.4151601092999999</v>
      </c>
      <c r="V10">
        <v>3.3439951999999998E-3</v>
      </c>
      <c r="W10">
        <v>-6.9227199999999993E-5</v>
      </c>
      <c r="X10">
        <v>3.2655473669999999</v>
      </c>
      <c r="Y10">
        <v>102.02080748980001</v>
      </c>
      <c r="Z10">
        <v>82.362026245699994</v>
      </c>
      <c r="AA10">
        <v>303.96626395530001</v>
      </c>
      <c r="AB10">
        <v>326.55468465799999</v>
      </c>
      <c r="AC10">
        <v>1</v>
      </c>
      <c r="AF10">
        <v>1</v>
      </c>
    </row>
    <row r="11" spans="1:32">
      <c r="A11" t="s">
        <v>642</v>
      </c>
      <c r="B11" t="s">
        <v>643</v>
      </c>
      <c r="C11" t="s">
        <v>208</v>
      </c>
      <c r="D11">
        <v>3</v>
      </c>
      <c r="E11" t="s">
        <v>209</v>
      </c>
      <c r="F11" t="s">
        <v>210</v>
      </c>
      <c r="G11" t="s">
        <v>249</v>
      </c>
      <c r="H11" t="s">
        <v>527</v>
      </c>
      <c r="J11" t="s">
        <v>636</v>
      </c>
      <c r="K11" t="s">
        <v>637</v>
      </c>
      <c r="L11" t="s">
        <v>638</v>
      </c>
      <c r="M11" t="s">
        <v>639</v>
      </c>
      <c r="N11" t="s">
        <v>640</v>
      </c>
      <c r="O11">
        <v>0</v>
      </c>
      <c r="P11">
        <v>0</v>
      </c>
      <c r="Q11">
        <v>-5.8651026392999999</v>
      </c>
      <c r="R11">
        <v>-40</v>
      </c>
      <c r="S11">
        <v>100.827178711</v>
      </c>
      <c r="T11">
        <v>120.9636336002</v>
      </c>
      <c r="U11">
        <v>3.4556206776999998</v>
      </c>
      <c r="V11">
        <v>3.3935231999999999E-3</v>
      </c>
      <c r="W11">
        <v>-7.1273199999999994E-5</v>
      </c>
      <c r="X11">
        <v>3.2858688728000001</v>
      </c>
      <c r="Y11">
        <v>100.2262527857</v>
      </c>
      <c r="Z11">
        <v>85.759041456000006</v>
      </c>
      <c r="AA11">
        <v>316.5642918762</v>
      </c>
      <c r="AB11">
        <v>337.96782128860002</v>
      </c>
      <c r="AC11">
        <v>1</v>
      </c>
      <c r="AF11">
        <v>1</v>
      </c>
    </row>
    <row r="12" spans="1:32">
      <c r="A12" t="s">
        <v>661</v>
      </c>
      <c r="B12" t="s">
        <v>665</v>
      </c>
      <c r="C12" t="s">
        <v>208</v>
      </c>
      <c r="D12">
        <v>3</v>
      </c>
      <c r="E12" t="s">
        <v>209</v>
      </c>
      <c r="F12" t="s">
        <v>210</v>
      </c>
      <c r="G12" t="s">
        <v>249</v>
      </c>
      <c r="H12" t="s">
        <v>527</v>
      </c>
      <c r="J12" t="s">
        <v>648</v>
      </c>
      <c r="K12" t="s">
        <v>649</v>
      </c>
      <c r="L12" t="s">
        <v>650</v>
      </c>
      <c r="M12" t="s">
        <v>651</v>
      </c>
      <c r="N12" t="s">
        <v>652</v>
      </c>
      <c r="O12">
        <v>0</v>
      </c>
      <c r="P12">
        <v>0</v>
      </c>
      <c r="Q12">
        <v>-5.8651026392999999</v>
      </c>
      <c r="R12">
        <v>-40</v>
      </c>
      <c r="S12">
        <v>99.624168368499994</v>
      </c>
      <c r="T12">
        <v>119.8435123174</v>
      </c>
      <c r="U12">
        <v>3.4686043871000001</v>
      </c>
      <c r="V12">
        <v>3.2008857999999999E-3</v>
      </c>
      <c r="W12">
        <v>-7.07198E-5</v>
      </c>
      <c r="X12">
        <v>3.3161480627</v>
      </c>
      <c r="Y12">
        <v>99.423514131900006</v>
      </c>
      <c r="Z12">
        <v>80.160892825399998</v>
      </c>
      <c r="AA12">
        <v>305.69732329120001</v>
      </c>
      <c r="AB12">
        <v>328.20896869529997</v>
      </c>
      <c r="AC12">
        <v>1</v>
      </c>
      <c r="AF12">
        <v>1</v>
      </c>
    </row>
    <row r="13" spans="1:32">
      <c r="A13" t="s">
        <v>663</v>
      </c>
      <c r="B13" t="s">
        <v>666</v>
      </c>
      <c r="C13" t="s">
        <v>208</v>
      </c>
      <c r="D13">
        <v>3</v>
      </c>
      <c r="E13" t="s">
        <v>209</v>
      </c>
      <c r="F13" t="s">
        <v>210</v>
      </c>
      <c r="G13" t="s">
        <v>249</v>
      </c>
      <c r="H13" t="s">
        <v>527</v>
      </c>
      <c r="J13" t="s">
        <v>655</v>
      </c>
      <c r="K13" t="s">
        <v>656</v>
      </c>
      <c r="L13" t="s">
        <v>657</v>
      </c>
      <c r="M13" t="s">
        <v>658</v>
      </c>
      <c r="N13" t="s">
        <v>659</v>
      </c>
      <c r="O13">
        <v>0</v>
      </c>
      <c r="P13">
        <v>0</v>
      </c>
      <c r="Q13">
        <v>-4.6920821114000004</v>
      </c>
      <c r="R13">
        <v>-32</v>
      </c>
      <c r="S13">
        <v>99.829655467400002</v>
      </c>
      <c r="T13">
        <v>115.9163186207</v>
      </c>
      <c r="U13">
        <v>3.4468886872</v>
      </c>
      <c r="V13">
        <v>3.5954414000000001E-3</v>
      </c>
      <c r="W13">
        <v>-7.0336199999999999E-5</v>
      </c>
      <c r="X13">
        <v>3.3069489205</v>
      </c>
      <c r="Y13">
        <v>98.7257098157</v>
      </c>
      <c r="Z13">
        <v>82.737655466899994</v>
      </c>
      <c r="AA13">
        <v>309.0765184457</v>
      </c>
      <c r="AB13">
        <v>330.955561923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265</v>
      </c>
      <c r="R1" t="s">
        <v>266</v>
      </c>
      <c r="S1" t="s">
        <v>267</v>
      </c>
      <c r="T1" t="s">
        <v>268</v>
      </c>
      <c r="U1" t="s">
        <v>269</v>
      </c>
      <c r="V1" t="s">
        <v>270</v>
      </c>
      <c r="W1" t="s">
        <v>271</v>
      </c>
      <c r="X1" t="s">
        <v>272</v>
      </c>
      <c r="Y1" t="s">
        <v>273</v>
      </c>
      <c r="Z1" t="s">
        <v>274</v>
      </c>
      <c r="AA1" t="s">
        <v>275</v>
      </c>
      <c r="AB1" t="s">
        <v>276</v>
      </c>
      <c r="AC1" t="s">
        <v>277</v>
      </c>
      <c r="AD1" t="s">
        <v>278</v>
      </c>
      <c r="AE1" t="s">
        <v>279</v>
      </c>
      <c r="AF1" t="s">
        <v>280</v>
      </c>
      <c r="AG1" t="s">
        <v>281</v>
      </c>
      <c r="AH1" t="s">
        <v>282</v>
      </c>
      <c r="AI1" t="s">
        <v>283</v>
      </c>
      <c r="AJ1" t="s">
        <v>284</v>
      </c>
      <c r="AK1" t="s">
        <v>285</v>
      </c>
      <c r="AL1" t="s">
        <v>286</v>
      </c>
      <c r="AM1" t="s">
        <v>287</v>
      </c>
      <c r="AN1" t="s">
        <v>288</v>
      </c>
      <c r="AO1" t="s">
        <v>289</v>
      </c>
      <c r="AP1" t="s">
        <v>290</v>
      </c>
      <c r="AQ1" t="s">
        <v>291</v>
      </c>
      <c r="AR1" t="s">
        <v>292</v>
      </c>
      <c r="AS1" t="s">
        <v>293</v>
      </c>
      <c r="AT1" t="s">
        <v>294</v>
      </c>
      <c r="AU1" t="s">
        <v>295</v>
      </c>
      <c r="AV1" t="s">
        <v>296</v>
      </c>
      <c r="AW1" t="s">
        <v>297</v>
      </c>
      <c r="AX1" t="s">
        <v>298</v>
      </c>
      <c r="AY1" t="s">
        <v>299</v>
      </c>
      <c r="AZ1" t="s">
        <v>300</v>
      </c>
      <c r="BA1" t="s">
        <v>301</v>
      </c>
      <c r="BB1" t="s">
        <v>302</v>
      </c>
      <c r="BC1" t="s">
        <v>303</v>
      </c>
      <c r="BD1" t="s">
        <v>304</v>
      </c>
      <c r="BE1" t="s">
        <v>305</v>
      </c>
      <c r="BF1" t="s">
        <v>306</v>
      </c>
      <c r="BG1" t="s">
        <v>307</v>
      </c>
      <c r="BH1" t="s">
        <v>308</v>
      </c>
      <c r="BI1" t="s">
        <v>309</v>
      </c>
      <c r="BJ1" t="s">
        <v>310</v>
      </c>
      <c r="BK1" t="s">
        <v>311</v>
      </c>
      <c r="BL1" t="s">
        <v>312</v>
      </c>
      <c r="BM1" t="s">
        <v>313</v>
      </c>
      <c r="BN1" t="s">
        <v>314</v>
      </c>
      <c r="BO1" t="s">
        <v>315</v>
      </c>
      <c r="BP1" t="s">
        <v>316</v>
      </c>
      <c r="BQ1" t="s">
        <v>317</v>
      </c>
      <c r="BR1" t="s">
        <v>318</v>
      </c>
      <c r="BS1" t="s">
        <v>319</v>
      </c>
      <c r="BT1" t="s">
        <v>320</v>
      </c>
      <c r="BU1" t="s">
        <v>321</v>
      </c>
      <c r="BV1" t="s">
        <v>322</v>
      </c>
      <c r="BW1" t="s">
        <v>323</v>
      </c>
      <c r="BX1" t="s">
        <v>324</v>
      </c>
      <c r="BY1" t="s">
        <v>325</v>
      </c>
      <c r="BZ1" t="s">
        <v>326</v>
      </c>
      <c r="CA1" t="s">
        <v>327</v>
      </c>
      <c r="CB1" t="s">
        <v>328</v>
      </c>
      <c r="CC1" t="s">
        <v>329</v>
      </c>
      <c r="CD1" t="s">
        <v>330</v>
      </c>
      <c r="CE1" t="s">
        <v>331</v>
      </c>
      <c r="CF1" t="s">
        <v>332</v>
      </c>
      <c r="CG1" t="s">
        <v>333</v>
      </c>
      <c r="CH1" t="s">
        <v>334</v>
      </c>
      <c r="CI1" t="s">
        <v>335</v>
      </c>
      <c r="CJ1" t="s">
        <v>336</v>
      </c>
      <c r="CK1" t="s">
        <v>337</v>
      </c>
      <c r="CL1" t="s">
        <v>338</v>
      </c>
      <c r="CM1" t="s">
        <v>339</v>
      </c>
      <c r="CN1" t="s">
        <v>340</v>
      </c>
      <c r="CO1" t="s">
        <v>341</v>
      </c>
      <c r="CP1" t="s">
        <v>342</v>
      </c>
      <c r="CQ1" t="s">
        <v>343</v>
      </c>
      <c r="CR1" t="s">
        <v>344</v>
      </c>
      <c r="CS1" t="s">
        <v>345</v>
      </c>
      <c r="CT1" t="s">
        <v>346</v>
      </c>
      <c r="CU1" t="s">
        <v>347</v>
      </c>
      <c r="CV1" t="s">
        <v>348</v>
      </c>
      <c r="CW1" t="s">
        <v>349</v>
      </c>
      <c r="CX1" t="s">
        <v>350</v>
      </c>
      <c r="CY1" t="s">
        <v>351</v>
      </c>
      <c r="CZ1" t="s">
        <v>352</v>
      </c>
      <c r="DA1" t="s">
        <v>353</v>
      </c>
      <c r="DB1" t="s">
        <v>354</v>
      </c>
      <c r="DC1" t="s">
        <v>355</v>
      </c>
      <c r="DD1" t="s">
        <v>356</v>
      </c>
      <c r="DE1" t="s">
        <v>357</v>
      </c>
      <c r="DF1" t="s">
        <v>358</v>
      </c>
      <c r="DG1" t="s">
        <v>359</v>
      </c>
      <c r="DH1" t="s">
        <v>360</v>
      </c>
      <c r="DI1" t="s">
        <v>361</v>
      </c>
      <c r="DJ1" t="s">
        <v>362</v>
      </c>
      <c r="DK1" t="s">
        <v>363</v>
      </c>
      <c r="DL1" t="s">
        <v>364</v>
      </c>
      <c r="DM1" t="s">
        <v>365</v>
      </c>
      <c r="DN1" t="s">
        <v>366</v>
      </c>
      <c r="DO1" t="s">
        <v>367</v>
      </c>
      <c r="DP1" t="s">
        <v>368</v>
      </c>
      <c r="DQ1" t="s">
        <v>369</v>
      </c>
      <c r="DR1" t="s">
        <v>370</v>
      </c>
      <c r="DS1" t="s">
        <v>371</v>
      </c>
      <c r="DT1" t="s">
        <v>372</v>
      </c>
      <c r="DU1" t="s">
        <v>373</v>
      </c>
      <c r="DV1" t="s">
        <v>374</v>
      </c>
      <c r="DW1" t="s">
        <v>375</v>
      </c>
      <c r="DX1" t="s">
        <v>376</v>
      </c>
      <c r="DY1" t="s">
        <v>377</v>
      </c>
      <c r="DZ1" t="s">
        <v>378</v>
      </c>
      <c r="EA1" t="s">
        <v>379</v>
      </c>
      <c r="EB1" t="s">
        <v>380</v>
      </c>
      <c r="EC1" t="s">
        <v>381</v>
      </c>
      <c r="ED1" t="s">
        <v>382</v>
      </c>
      <c r="EE1" t="s">
        <v>383</v>
      </c>
      <c r="EF1" t="s">
        <v>384</v>
      </c>
      <c r="EG1" t="s">
        <v>385</v>
      </c>
      <c r="EH1" t="s">
        <v>386</v>
      </c>
      <c r="EI1" t="s">
        <v>387</v>
      </c>
      <c r="EJ1" t="s">
        <v>388</v>
      </c>
      <c r="EK1" t="s">
        <v>389</v>
      </c>
      <c r="EL1" t="s">
        <v>390</v>
      </c>
      <c r="EM1" t="s">
        <v>391</v>
      </c>
      <c r="EN1" t="s">
        <v>392</v>
      </c>
      <c r="EO1" t="s">
        <v>393</v>
      </c>
      <c r="EP1" t="s">
        <v>394</v>
      </c>
      <c r="EQ1" t="s">
        <v>395</v>
      </c>
      <c r="ER1" t="s">
        <v>396</v>
      </c>
      <c r="ES1" t="s">
        <v>397</v>
      </c>
      <c r="ET1" t="s">
        <v>398</v>
      </c>
      <c r="EU1" t="s">
        <v>399</v>
      </c>
      <c r="EV1" t="s">
        <v>400</v>
      </c>
      <c r="EW1" t="s">
        <v>401</v>
      </c>
      <c r="EX1" t="s">
        <v>402</v>
      </c>
      <c r="EY1" t="s">
        <v>403</v>
      </c>
      <c r="EZ1" t="s">
        <v>404</v>
      </c>
      <c r="FA1" t="s">
        <v>405</v>
      </c>
      <c r="FB1" t="s">
        <v>406</v>
      </c>
      <c r="FC1" t="s">
        <v>407</v>
      </c>
      <c r="FD1" t="s">
        <v>408</v>
      </c>
      <c r="FE1" t="s">
        <v>409</v>
      </c>
      <c r="FF1" t="s">
        <v>410</v>
      </c>
      <c r="FG1" t="s">
        <v>411</v>
      </c>
      <c r="FH1" t="s">
        <v>412</v>
      </c>
      <c r="FI1" t="s">
        <v>413</v>
      </c>
      <c r="FJ1" t="s">
        <v>414</v>
      </c>
      <c r="FK1" t="s">
        <v>415</v>
      </c>
      <c r="FL1" t="s">
        <v>416</v>
      </c>
      <c r="FM1" t="s">
        <v>417</v>
      </c>
      <c r="FN1" t="s">
        <v>418</v>
      </c>
      <c r="FO1" t="s">
        <v>419</v>
      </c>
      <c r="FP1" t="s">
        <v>420</v>
      </c>
      <c r="FQ1" t="s">
        <v>421</v>
      </c>
      <c r="FR1" t="s">
        <v>422</v>
      </c>
      <c r="FS1" t="s">
        <v>423</v>
      </c>
      <c r="FT1" t="s">
        <v>424</v>
      </c>
      <c r="FU1" t="s">
        <v>425</v>
      </c>
      <c r="FV1" t="s">
        <v>426</v>
      </c>
      <c r="FW1" t="s">
        <v>427</v>
      </c>
      <c r="FX1" t="s">
        <v>428</v>
      </c>
      <c r="FY1" t="s">
        <v>429</v>
      </c>
      <c r="FZ1" t="s">
        <v>430</v>
      </c>
      <c r="GA1" t="s">
        <v>431</v>
      </c>
      <c r="GB1" t="s">
        <v>432</v>
      </c>
      <c r="GC1" t="s">
        <v>433</v>
      </c>
      <c r="GD1" t="s">
        <v>434</v>
      </c>
      <c r="GE1" t="s">
        <v>435</v>
      </c>
      <c r="GF1" t="s">
        <v>436</v>
      </c>
      <c r="GG1" t="s">
        <v>437</v>
      </c>
      <c r="GH1" t="s">
        <v>438</v>
      </c>
      <c r="GI1" t="s">
        <v>439</v>
      </c>
      <c r="GJ1" t="s">
        <v>440</v>
      </c>
      <c r="GK1" t="s">
        <v>441</v>
      </c>
      <c r="GL1" t="s">
        <v>442</v>
      </c>
      <c r="GM1" t="s">
        <v>443</v>
      </c>
      <c r="GN1" t="s">
        <v>444</v>
      </c>
      <c r="GO1" t="s">
        <v>445</v>
      </c>
      <c r="GP1" t="s">
        <v>446</v>
      </c>
      <c r="GQ1" t="s">
        <v>447</v>
      </c>
      <c r="GR1" t="s">
        <v>448</v>
      </c>
      <c r="GS1" t="s">
        <v>449</v>
      </c>
      <c r="GT1" t="s">
        <v>450</v>
      </c>
      <c r="GU1" t="s">
        <v>451</v>
      </c>
      <c r="GV1" t="s">
        <v>452</v>
      </c>
      <c r="GW1" t="s">
        <v>453</v>
      </c>
      <c r="GX1" t="s">
        <v>454</v>
      </c>
      <c r="GY1" t="s">
        <v>455</v>
      </c>
      <c r="GZ1" t="s">
        <v>456</v>
      </c>
      <c r="HA1" t="s">
        <v>457</v>
      </c>
      <c r="HB1" t="s">
        <v>458</v>
      </c>
      <c r="HC1" t="s">
        <v>459</v>
      </c>
      <c r="HD1" t="s">
        <v>460</v>
      </c>
      <c r="HE1" t="s">
        <v>461</v>
      </c>
      <c r="HF1" t="s">
        <v>462</v>
      </c>
      <c r="HG1" t="s">
        <v>463</v>
      </c>
      <c r="HH1" t="s">
        <v>464</v>
      </c>
      <c r="HI1" t="s">
        <v>465</v>
      </c>
      <c r="HJ1" t="s">
        <v>466</v>
      </c>
      <c r="HK1" t="s">
        <v>467</v>
      </c>
      <c r="HL1" t="s">
        <v>468</v>
      </c>
      <c r="HM1" t="s">
        <v>469</v>
      </c>
      <c r="HN1" t="s">
        <v>470</v>
      </c>
      <c r="HO1" t="s">
        <v>471</v>
      </c>
      <c r="HP1" t="s">
        <v>472</v>
      </c>
      <c r="HQ1" t="s">
        <v>473</v>
      </c>
      <c r="HR1" t="s">
        <v>474</v>
      </c>
      <c r="HS1" t="s">
        <v>475</v>
      </c>
      <c r="HT1" t="s">
        <v>476</v>
      </c>
      <c r="HU1" t="s">
        <v>477</v>
      </c>
      <c r="HV1" t="s">
        <v>478</v>
      </c>
      <c r="HW1" t="s">
        <v>479</v>
      </c>
      <c r="HX1" t="s">
        <v>480</v>
      </c>
      <c r="HY1" t="s">
        <v>481</v>
      </c>
      <c r="HZ1" t="s">
        <v>482</v>
      </c>
      <c r="IA1" t="s">
        <v>483</v>
      </c>
      <c r="IB1" t="s">
        <v>484</v>
      </c>
      <c r="IC1" t="s">
        <v>485</v>
      </c>
      <c r="ID1" t="s">
        <v>486</v>
      </c>
      <c r="IE1" t="s">
        <v>487</v>
      </c>
      <c r="IF1" t="s">
        <v>488</v>
      </c>
      <c r="IG1" t="s">
        <v>489</v>
      </c>
      <c r="IH1" t="s">
        <v>490</v>
      </c>
      <c r="II1" t="s">
        <v>491</v>
      </c>
      <c r="IJ1" t="s">
        <v>492</v>
      </c>
      <c r="IK1" t="s">
        <v>493</v>
      </c>
      <c r="IL1" t="s">
        <v>494</v>
      </c>
      <c r="IM1" t="s">
        <v>495</v>
      </c>
      <c r="IN1" t="s">
        <v>496</v>
      </c>
      <c r="IO1" t="s">
        <v>497</v>
      </c>
      <c r="IP1" t="s">
        <v>498</v>
      </c>
      <c r="IQ1" t="s">
        <v>499</v>
      </c>
      <c r="IR1" t="s">
        <v>500</v>
      </c>
      <c r="IS1" t="s">
        <v>501</v>
      </c>
      <c r="IT1" t="s">
        <v>502</v>
      </c>
      <c r="IU1" t="s">
        <v>503</v>
      </c>
      <c r="IV1" t="s">
        <v>504</v>
      </c>
      <c r="IW1" t="s">
        <v>505</v>
      </c>
      <c r="IX1" t="s">
        <v>506</v>
      </c>
      <c r="IY1" t="s">
        <v>507</v>
      </c>
      <c r="IZ1" t="s">
        <v>508</v>
      </c>
      <c r="JA1" t="s">
        <v>509</v>
      </c>
      <c r="JB1" t="s">
        <v>510</v>
      </c>
      <c r="JC1" t="s">
        <v>511</v>
      </c>
      <c r="JD1" t="s">
        <v>512</v>
      </c>
      <c r="JE1" t="s">
        <v>513</v>
      </c>
      <c r="JF1" t="s">
        <v>514</v>
      </c>
      <c r="JG1" t="s">
        <v>515</v>
      </c>
      <c r="JH1" t="s">
        <v>516</v>
      </c>
      <c r="JI1" t="s">
        <v>517</v>
      </c>
      <c r="JJ1" t="s">
        <v>518</v>
      </c>
      <c r="JK1" t="s">
        <v>259</v>
      </c>
      <c r="JL1" t="s">
        <v>519</v>
      </c>
      <c r="JM1" t="s">
        <v>520</v>
      </c>
      <c r="JN1" t="s">
        <v>521</v>
      </c>
      <c r="JO1" t="s">
        <v>205</v>
      </c>
      <c r="JP1" t="s">
        <v>206</v>
      </c>
      <c r="JQ1" t="s">
        <v>207</v>
      </c>
    </row>
    <row r="2" spans="1:277">
      <c r="A2" t="s">
        <v>586</v>
      </c>
      <c r="B2" t="s">
        <v>587</v>
      </c>
      <c r="C2" t="s">
        <v>208</v>
      </c>
      <c r="D2">
        <v>3</v>
      </c>
      <c r="E2" t="s">
        <v>209</v>
      </c>
      <c r="F2" t="s">
        <v>210</v>
      </c>
      <c r="G2" t="s">
        <v>522</v>
      </c>
      <c r="H2" t="s">
        <v>527</v>
      </c>
      <c r="J2" t="s">
        <v>528</v>
      </c>
      <c r="K2" t="s">
        <v>529</v>
      </c>
      <c r="L2" t="s">
        <v>530</v>
      </c>
      <c r="M2" t="s">
        <v>531</v>
      </c>
      <c r="N2" t="s">
        <v>532</v>
      </c>
      <c r="O2">
        <v>0</v>
      </c>
      <c r="P2">
        <v>0</v>
      </c>
      <c r="Q2">
        <v>0</v>
      </c>
      <c r="R2">
        <v>0.29999999970000002</v>
      </c>
      <c r="S2">
        <v>0</v>
      </c>
      <c r="T2">
        <v>0</v>
      </c>
      <c r="U2">
        <v>0</v>
      </c>
      <c r="V2">
        <v>0.29999999970000002</v>
      </c>
      <c r="W2">
        <v>0</v>
      </c>
      <c r="X2">
        <v>9.9999999300000003E-2</v>
      </c>
      <c r="Y2">
        <v>9.9999999300000003E-2</v>
      </c>
      <c r="Z2">
        <v>0.29999999970000002</v>
      </c>
      <c r="AA2">
        <v>0.29999999970000002</v>
      </c>
      <c r="AB2">
        <v>9.9999999300000003E-2</v>
      </c>
      <c r="AC2">
        <v>0.19999999860000001</v>
      </c>
      <c r="AD2">
        <v>0.39999999899999999</v>
      </c>
      <c r="AE2">
        <v>0.50000000010000001</v>
      </c>
      <c r="AF2">
        <v>0.50000000010000001</v>
      </c>
      <c r="AG2">
        <v>2.9999999987999999</v>
      </c>
      <c r="AH2">
        <v>6.9999999996</v>
      </c>
      <c r="AI2">
        <v>11.3999999994</v>
      </c>
      <c r="AJ2">
        <v>17.8999999989</v>
      </c>
      <c r="AK2">
        <v>25.2</v>
      </c>
      <c r="AL2">
        <v>32.699999999699997</v>
      </c>
      <c r="AM2">
        <v>39.600000000100003</v>
      </c>
      <c r="AN2">
        <v>46.899999999400002</v>
      </c>
      <c r="AO2">
        <v>54.5999999995</v>
      </c>
      <c r="AP2">
        <v>61.799999999500002</v>
      </c>
      <c r="AQ2">
        <v>69.399999998499993</v>
      </c>
      <c r="AR2">
        <v>77.5999999987</v>
      </c>
      <c r="AS2">
        <v>85.699999999599996</v>
      </c>
      <c r="AT2">
        <v>93.799999998700002</v>
      </c>
      <c r="AU2">
        <v>101.7999999985</v>
      </c>
      <c r="AV2">
        <v>109.5999999998</v>
      </c>
      <c r="AW2">
        <v>117.1999999988</v>
      </c>
      <c r="AX2">
        <v>125.79999999979999</v>
      </c>
      <c r="AY2">
        <v>134.39999999899999</v>
      </c>
      <c r="AZ2">
        <v>142.59999999920001</v>
      </c>
      <c r="BA2">
        <v>150.7999999994</v>
      </c>
      <c r="BB2">
        <v>159.39999999860001</v>
      </c>
      <c r="BC2">
        <v>167.7</v>
      </c>
      <c r="BD2">
        <v>175.40000000009999</v>
      </c>
      <c r="BE2">
        <v>184.0999999986</v>
      </c>
      <c r="BF2">
        <v>192.49999999920001</v>
      </c>
      <c r="BG2">
        <v>200.7999999987</v>
      </c>
      <c r="BH2">
        <v>209.29999999859999</v>
      </c>
      <c r="BI2">
        <v>217.8999999996</v>
      </c>
      <c r="BJ2">
        <v>226.1999999992</v>
      </c>
      <c r="BK2">
        <v>233.39999999919999</v>
      </c>
      <c r="BL2">
        <v>241.39999999899999</v>
      </c>
      <c r="BM2">
        <v>249.09999999909999</v>
      </c>
      <c r="BN2">
        <v>257.09999999889999</v>
      </c>
      <c r="BO2">
        <v>265.89999999849999</v>
      </c>
      <c r="BP2">
        <v>273.09999999849998</v>
      </c>
      <c r="BQ2">
        <v>279.99999999879998</v>
      </c>
      <c r="BR2">
        <v>288.19999999909999</v>
      </c>
      <c r="BS2">
        <v>295.39999999909998</v>
      </c>
      <c r="BT2">
        <v>302.99999999990001</v>
      </c>
      <c r="BU2">
        <v>311.29999999939997</v>
      </c>
      <c r="BV2">
        <v>318.29999999900002</v>
      </c>
      <c r="BW2">
        <v>324.89999999960003</v>
      </c>
      <c r="BX2">
        <v>331.09999999939998</v>
      </c>
      <c r="BY2">
        <v>338.59999999910002</v>
      </c>
      <c r="BZ2">
        <v>345.40000000020001</v>
      </c>
      <c r="CA2">
        <v>352.19999999940001</v>
      </c>
      <c r="CB2">
        <v>359.80000000019999</v>
      </c>
      <c r="CC2">
        <v>365.8999999989</v>
      </c>
      <c r="CD2">
        <v>371.90000000010002</v>
      </c>
      <c r="CE2">
        <v>377.89999999949998</v>
      </c>
      <c r="CF2">
        <v>383.29999999950002</v>
      </c>
      <c r="CG2">
        <v>389.79999999900002</v>
      </c>
      <c r="CH2">
        <v>395.80000000019999</v>
      </c>
      <c r="CI2">
        <v>401.49999999990001</v>
      </c>
      <c r="CJ2">
        <v>407.59999999860003</v>
      </c>
      <c r="CK2">
        <v>414.19999999930002</v>
      </c>
      <c r="CL2">
        <v>419.5999999993</v>
      </c>
      <c r="CM2">
        <v>424.59999999849998</v>
      </c>
      <c r="CN2">
        <v>429.99999999850002</v>
      </c>
      <c r="CO2">
        <v>434.29999999900002</v>
      </c>
      <c r="CP2">
        <v>440.19999999909999</v>
      </c>
      <c r="CQ2">
        <v>445.49999999980002</v>
      </c>
      <c r="CR2">
        <v>450.69999999940001</v>
      </c>
      <c r="CS2">
        <v>455.2999999996</v>
      </c>
      <c r="CT2">
        <v>455.2999999996</v>
      </c>
      <c r="CU2">
        <v>455.09999999920001</v>
      </c>
      <c r="CV2">
        <v>455.1999999985</v>
      </c>
      <c r="CW2">
        <v>455.1999999985</v>
      </c>
      <c r="CX2">
        <v>455.2999999996</v>
      </c>
      <c r="CY2">
        <v>455.09999999920001</v>
      </c>
      <c r="CZ2">
        <v>454.99999999990001</v>
      </c>
      <c r="DA2">
        <v>455.1999999985</v>
      </c>
      <c r="DB2">
        <v>455.5</v>
      </c>
      <c r="DC2">
        <v>455.2999999996</v>
      </c>
      <c r="DD2">
        <v>455.2999999996</v>
      </c>
      <c r="DE2">
        <v>455.2999999996</v>
      </c>
      <c r="DF2">
        <v>455.1999999985</v>
      </c>
      <c r="DG2">
        <v>0.89999999909999995</v>
      </c>
      <c r="DH2">
        <v>1.2999999999</v>
      </c>
      <c r="DI2">
        <v>1.2999999999</v>
      </c>
      <c r="DJ2">
        <v>1.1999999988000001</v>
      </c>
      <c r="DK2">
        <v>1.0999999995</v>
      </c>
      <c r="DL2">
        <v>1.0000000002</v>
      </c>
      <c r="DM2">
        <v>1.0000000002</v>
      </c>
      <c r="DN2">
        <v>1.3999999992000001</v>
      </c>
      <c r="DO2">
        <v>1.2999999999</v>
      </c>
      <c r="DP2">
        <v>1.2999999999</v>
      </c>
      <c r="DQ2">
        <v>1.0999999995</v>
      </c>
      <c r="DR2">
        <v>1.0000000002</v>
      </c>
      <c r="DS2">
        <v>1.4999999985000001</v>
      </c>
      <c r="DT2">
        <v>1.4999999985000001</v>
      </c>
      <c r="DU2">
        <v>1.3999999992000001</v>
      </c>
      <c r="DV2">
        <v>1.8999999993000001</v>
      </c>
      <c r="DW2">
        <v>6.8999999985000002</v>
      </c>
      <c r="DX2">
        <v>10.8</v>
      </c>
      <c r="DY2">
        <v>17.699999998500001</v>
      </c>
      <c r="DZ2">
        <v>24.699999999900001</v>
      </c>
      <c r="EA2">
        <v>32.699999999699997</v>
      </c>
      <c r="EB2">
        <v>39.699999999399999</v>
      </c>
      <c r="EC2">
        <v>46.899999999400002</v>
      </c>
      <c r="ED2">
        <v>54.199999998700001</v>
      </c>
      <c r="EE2">
        <v>61.399999998699997</v>
      </c>
      <c r="EF2">
        <v>68.799999999099995</v>
      </c>
      <c r="EG2">
        <v>76.900000000000006</v>
      </c>
      <c r="EH2">
        <v>85.099999998399994</v>
      </c>
      <c r="EI2">
        <v>92.899999999599999</v>
      </c>
      <c r="EJ2">
        <v>100.8000000002</v>
      </c>
      <c r="EK2">
        <v>109.0999999997</v>
      </c>
      <c r="EL2">
        <v>116.5000000001</v>
      </c>
      <c r="EM2">
        <v>124.7999999996</v>
      </c>
      <c r="EN2">
        <v>133.7999999996</v>
      </c>
      <c r="EO2">
        <v>141.7999999994</v>
      </c>
      <c r="EP2">
        <v>150.19999999999999</v>
      </c>
      <c r="EQ2">
        <v>159.599999999</v>
      </c>
      <c r="ER2">
        <v>167.59999999889999</v>
      </c>
      <c r="ES2">
        <v>174.9</v>
      </c>
      <c r="ET2">
        <v>183.9</v>
      </c>
      <c r="EU2">
        <v>191.9999999991</v>
      </c>
      <c r="EV2">
        <v>200.7999999987</v>
      </c>
      <c r="EW2">
        <v>209.9999999991</v>
      </c>
      <c r="EX2">
        <v>217.8999999996</v>
      </c>
      <c r="EY2">
        <v>224.99999999849999</v>
      </c>
      <c r="EZ2">
        <v>233.59999999959999</v>
      </c>
      <c r="FA2">
        <v>241.69999999870001</v>
      </c>
      <c r="FB2">
        <v>250.0999999993</v>
      </c>
      <c r="FC2">
        <v>258.8999999989</v>
      </c>
      <c r="FD2">
        <v>266.59999999899998</v>
      </c>
      <c r="FE2">
        <v>273.19999999959998</v>
      </c>
      <c r="FF2">
        <v>281.2999999987</v>
      </c>
      <c r="FG2">
        <v>289.29999999850003</v>
      </c>
      <c r="FH2">
        <v>296.8000000001</v>
      </c>
      <c r="FI2">
        <v>305.4999999986</v>
      </c>
      <c r="FJ2">
        <v>313.00000000009999</v>
      </c>
      <c r="FK2">
        <v>319.99999999969998</v>
      </c>
      <c r="FL2">
        <v>327.19999999970003</v>
      </c>
      <c r="FM2">
        <v>333.59999999989998</v>
      </c>
      <c r="FN2">
        <v>340.89999999920002</v>
      </c>
      <c r="FO2">
        <v>347.59999999910002</v>
      </c>
      <c r="FP2">
        <v>355.79999999939997</v>
      </c>
      <c r="FQ2">
        <v>362.49999999929997</v>
      </c>
      <c r="FR2">
        <v>368.69999999909999</v>
      </c>
      <c r="FS2">
        <v>374.7999999996</v>
      </c>
      <c r="FT2">
        <v>379.99999999919999</v>
      </c>
      <c r="FU2">
        <v>386.69999999909999</v>
      </c>
      <c r="FV2">
        <v>392.8999999989</v>
      </c>
      <c r="FW2">
        <v>398.90000000010002</v>
      </c>
      <c r="FX2">
        <v>405.89999999970001</v>
      </c>
      <c r="FY2">
        <v>411.69999999869998</v>
      </c>
      <c r="FZ2">
        <v>417.0999999988</v>
      </c>
      <c r="GA2">
        <v>422.59999999989998</v>
      </c>
      <c r="GB2">
        <v>427.59999999910002</v>
      </c>
      <c r="GC2">
        <v>431.89999999960003</v>
      </c>
      <c r="GD2">
        <v>436.99999999990001</v>
      </c>
      <c r="GE2">
        <v>442.19999999949999</v>
      </c>
      <c r="GF2">
        <v>447.09999999939998</v>
      </c>
      <c r="GG2">
        <v>451.79999999889998</v>
      </c>
      <c r="GH2">
        <v>455.5</v>
      </c>
      <c r="GI2">
        <v>455.5</v>
      </c>
      <c r="GJ2">
        <v>455.5999999993</v>
      </c>
      <c r="GK2">
        <v>455.5</v>
      </c>
      <c r="GL2">
        <v>454.89999999880001</v>
      </c>
      <c r="GM2">
        <v>455.1999999985</v>
      </c>
      <c r="GN2">
        <v>455.09999999920001</v>
      </c>
      <c r="GO2">
        <v>455.1999999985</v>
      </c>
      <c r="GP2">
        <v>455.09999999920001</v>
      </c>
      <c r="GQ2">
        <v>455.09999999920001</v>
      </c>
      <c r="GR2">
        <v>455.2999999996</v>
      </c>
      <c r="GS2">
        <v>455.3999999989</v>
      </c>
      <c r="GT2">
        <v>455.2999999996</v>
      </c>
      <c r="GU2">
        <v>455.1999999985</v>
      </c>
      <c r="GV2">
        <v>455.1999999985</v>
      </c>
      <c r="GW2">
        <v>1</v>
      </c>
      <c r="GX2">
        <v>120.19999999940001</v>
      </c>
      <c r="GY2">
        <v>117.1999999988</v>
      </c>
      <c r="GZ2">
        <v>117.1999999988</v>
      </c>
      <c r="HA2">
        <v>124.7999999996</v>
      </c>
      <c r="HB2">
        <v>119.219101986</v>
      </c>
      <c r="HC2">
        <v>-7.6000000007999997</v>
      </c>
      <c r="HD2">
        <v>455.1999999985</v>
      </c>
      <c r="HE2">
        <v>285.47009551079998</v>
      </c>
      <c r="HF2">
        <v>101.00108683720001</v>
      </c>
      <c r="HG2">
        <v>455.5999999993</v>
      </c>
      <c r="HH2">
        <v>455.5999999993</v>
      </c>
      <c r="HI2">
        <v>455.5</v>
      </c>
      <c r="HJ2">
        <v>455.5999999993</v>
      </c>
      <c r="HK2">
        <v>110.26392961880001</v>
      </c>
      <c r="HL2">
        <v>3.3895852055</v>
      </c>
      <c r="HM2">
        <v>3.2518883458999999</v>
      </c>
      <c r="HN2">
        <v>3.3533106787000002</v>
      </c>
      <c r="HO2">
        <v>3.0792706760000002</v>
      </c>
      <c r="HP2">
        <v>3.5408237503</v>
      </c>
      <c r="HQ2">
        <v>2.3704107458000001</v>
      </c>
      <c r="HR2">
        <v>18.218015148799999</v>
      </c>
      <c r="HS2">
        <v>-30.4985337243</v>
      </c>
      <c r="HT2">
        <v>-208</v>
      </c>
      <c r="HU2">
        <v>404.68919749679998</v>
      </c>
      <c r="HV2">
        <v>86.803519061599999</v>
      </c>
      <c r="HW2">
        <v>592</v>
      </c>
      <c r="HX2">
        <v>18.218015148799999</v>
      </c>
      <c r="HY2">
        <v>-30.4985337243</v>
      </c>
      <c r="HZ2">
        <v>-208</v>
      </c>
      <c r="IA2">
        <v>404.68919749679998</v>
      </c>
      <c r="IB2">
        <v>86.803519061599999</v>
      </c>
      <c r="IC2">
        <v>592</v>
      </c>
      <c r="ID2">
        <v>50.910802502499998</v>
      </c>
      <c r="IE2">
        <v>0.50368865969999999</v>
      </c>
      <c r="IF2">
        <v>-39.8826979472</v>
      </c>
      <c r="IG2">
        <v>-272</v>
      </c>
      <c r="IH2">
        <v>427.04055329800002</v>
      </c>
      <c r="II2">
        <v>96.187683284499997</v>
      </c>
      <c r="IJ2">
        <v>656</v>
      </c>
      <c r="IK2">
        <v>386.47118234800001</v>
      </c>
      <c r="IL2">
        <v>117.3020527859</v>
      </c>
      <c r="IM2">
        <v>409.12674278100002</v>
      </c>
      <c r="IN2">
        <v>126.6862170088</v>
      </c>
      <c r="IO2">
        <v>6.8999999985000002</v>
      </c>
      <c r="IP2">
        <v>5.9000000001000004</v>
      </c>
      <c r="IQ2">
        <v>9.3999999990000003</v>
      </c>
      <c r="IR2">
        <v>4.8575205538999997</v>
      </c>
      <c r="IS2">
        <v>4.8575205538999997</v>
      </c>
      <c r="IT2">
        <v>6.2999999990999997</v>
      </c>
      <c r="IU2">
        <v>-32.844574780099997</v>
      </c>
      <c r="IV2">
        <v>10.3999999992</v>
      </c>
      <c r="IW2">
        <v>68.035190615800005</v>
      </c>
      <c r="IX2">
        <v>7.9000000005000004</v>
      </c>
      <c r="IY2">
        <v>103.22580645159999</v>
      </c>
      <c r="IZ2">
        <v>-36.632471795900003</v>
      </c>
      <c r="JA2">
        <v>0.34060960750000002</v>
      </c>
      <c r="JB2">
        <v>-3.7362510000000002E-4</v>
      </c>
      <c r="JC2">
        <v>7.0790000000000003E-7</v>
      </c>
      <c r="JD2">
        <v>0.29502134899999999</v>
      </c>
      <c r="JE2">
        <v>0.30848803809999997</v>
      </c>
      <c r="JF2">
        <v>0.1247047537</v>
      </c>
      <c r="JG2">
        <v>120.0664642143</v>
      </c>
      <c r="JH2">
        <v>3.5408237503</v>
      </c>
      <c r="JI2">
        <v>3.8465859999999999E-3</v>
      </c>
      <c r="JJ2">
        <v>-8.1320200000000001E-5</v>
      </c>
      <c r="JK2">
        <v>3.3895852055</v>
      </c>
      <c r="JL2">
        <v>1.4709432200000001</v>
      </c>
      <c r="JM2">
        <v>0.45518249570000002</v>
      </c>
      <c r="JN2" t="s">
        <v>523</v>
      </c>
      <c r="JQ2">
        <v>1</v>
      </c>
    </row>
    <row r="3" spans="1:277">
      <c r="A3" t="s">
        <v>588</v>
      </c>
      <c r="B3" t="s">
        <v>589</v>
      </c>
      <c r="C3" t="s">
        <v>208</v>
      </c>
      <c r="D3">
        <v>3</v>
      </c>
      <c r="E3" t="s">
        <v>209</v>
      </c>
      <c r="F3" t="s">
        <v>210</v>
      </c>
      <c r="G3" t="s">
        <v>522</v>
      </c>
      <c r="H3" t="s">
        <v>527</v>
      </c>
      <c r="J3" t="s">
        <v>535</v>
      </c>
      <c r="K3" t="s">
        <v>536</v>
      </c>
      <c r="L3" t="s">
        <v>537</v>
      </c>
      <c r="M3" t="s">
        <v>538</v>
      </c>
      <c r="N3" t="s">
        <v>539</v>
      </c>
      <c r="O3">
        <v>0</v>
      </c>
      <c r="P3">
        <v>0</v>
      </c>
      <c r="Q3">
        <v>0</v>
      </c>
      <c r="R3">
        <v>0.29999999970000002</v>
      </c>
      <c r="S3">
        <v>0.20000000039999999</v>
      </c>
      <c r="T3">
        <v>0.20000000039999999</v>
      </c>
      <c r="U3">
        <v>0.1000000011</v>
      </c>
      <c r="V3">
        <v>0.40000000079999998</v>
      </c>
      <c r="W3">
        <v>0.7000000005</v>
      </c>
      <c r="X3">
        <v>0.7000000005</v>
      </c>
      <c r="Y3">
        <v>0.7000000005</v>
      </c>
      <c r="Z3">
        <v>0.40000000079999998</v>
      </c>
      <c r="AA3">
        <v>0.60000000119999997</v>
      </c>
      <c r="AB3">
        <v>0.60000000119999997</v>
      </c>
      <c r="AC3">
        <v>0.90000000089999999</v>
      </c>
      <c r="AD3">
        <v>0.79999999980000003</v>
      </c>
      <c r="AE3">
        <v>0.90000000089999999</v>
      </c>
      <c r="AF3">
        <v>1.0000000002</v>
      </c>
      <c r="AG3">
        <v>3.6</v>
      </c>
      <c r="AH3">
        <v>9.2000000003999993</v>
      </c>
      <c r="AI3">
        <v>15.9000000003</v>
      </c>
      <c r="AJ3">
        <v>22.800000000600001</v>
      </c>
      <c r="AK3">
        <v>30.000000000699998</v>
      </c>
      <c r="AL3">
        <v>37.000000000299998</v>
      </c>
      <c r="AM3">
        <v>43.799999999500002</v>
      </c>
      <c r="AN3">
        <v>50.5000000012</v>
      </c>
      <c r="AO3">
        <v>57.600000000100003</v>
      </c>
      <c r="AP3">
        <v>65.000000000499995</v>
      </c>
      <c r="AQ3">
        <v>73.000000000300005</v>
      </c>
      <c r="AR3">
        <v>80.799999999700006</v>
      </c>
      <c r="AS3">
        <v>88.299999999400001</v>
      </c>
      <c r="AT3">
        <v>95.600000000600005</v>
      </c>
      <c r="AU3">
        <v>103.4</v>
      </c>
      <c r="AV3">
        <v>110.8000000004</v>
      </c>
      <c r="AW3">
        <v>119.70000000109999</v>
      </c>
      <c r="AX3">
        <v>128.6</v>
      </c>
      <c r="AY3">
        <v>136.80000000019999</v>
      </c>
      <c r="AZ3">
        <v>144.90000000110001</v>
      </c>
      <c r="BA3">
        <v>152.900000001</v>
      </c>
      <c r="BB3">
        <v>160.4000000007</v>
      </c>
      <c r="BC3">
        <v>168.70000000019999</v>
      </c>
      <c r="BD3">
        <v>177.10000000080001</v>
      </c>
      <c r="BE3">
        <v>185.300000001</v>
      </c>
      <c r="BF3">
        <v>193.40000000009999</v>
      </c>
      <c r="BG3">
        <v>201.30000000059999</v>
      </c>
      <c r="BH3">
        <v>209.30000000039999</v>
      </c>
      <c r="BI3">
        <v>217.00000000060001</v>
      </c>
      <c r="BJ3">
        <v>225.4000000012</v>
      </c>
      <c r="BK3">
        <v>233.400000001</v>
      </c>
      <c r="BL3">
        <v>241.1000000011</v>
      </c>
      <c r="BM3">
        <v>248.9000000005</v>
      </c>
      <c r="BN3">
        <v>256.40000000020001</v>
      </c>
      <c r="BO3">
        <v>264.50000000109998</v>
      </c>
      <c r="BP3">
        <v>272.00000000080001</v>
      </c>
      <c r="BQ3">
        <v>279.70000000099998</v>
      </c>
      <c r="BR3">
        <v>287.3</v>
      </c>
      <c r="BS3">
        <v>294.5</v>
      </c>
      <c r="BT3">
        <v>301.7</v>
      </c>
      <c r="BU3">
        <v>309.00000000109998</v>
      </c>
      <c r="BV3">
        <v>316.10000000000002</v>
      </c>
      <c r="BW3">
        <v>323.3</v>
      </c>
      <c r="BX3">
        <v>330.5</v>
      </c>
      <c r="BY3">
        <v>337.1999999999</v>
      </c>
      <c r="BZ3">
        <v>343.80000000059999</v>
      </c>
      <c r="CA3">
        <v>350.4000000012</v>
      </c>
      <c r="CB3">
        <v>356.7999999996</v>
      </c>
      <c r="CC3">
        <v>363.40000000020001</v>
      </c>
      <c r="CD3">
        <v>370.00000000080001</v>
      </c>
      <c r="CE3">
        <v>376.20000000060003</v>
      </c>
      <c r="CF3">
        <v>382.70000000009998</v>
      </c>
      <c r="CG3">
        <v>388.69999999949999</v>
      </c>
      <c r="CH3">
        <v>394.50000000030002</v>
      </c>
      <c r="CI3">
        <v>400.40000000039998</v>
      </c>
      <c r="CJ3">
        <v>406.0000000009</v>
      </c>
      <c r="CK3">
        <v>412.40000000110001</v>
      </c>
      <c r="CL3">
        <v>417.60000000069999</v>
      </c>
      <c r="CM3">
        <v>423.30000000040002</v>
      </c>
      <c r="CN3">
        <v>428.90000000079999</v>
      </c>
      <c r="CO3">
        <v>434.30000000080003</v>
      </c>
      <c r="CP3">
        <v>440.00000000049999</v>
      </c>
      <c r="CQ3">
        <v>445.20000000009998</v>
      </c>
      <c r="CR3">
        <v>450.30000000040002</v>
      </c>
      <c r="CS3">
        <v>455.10000000100001</v>
      </c>
      <c r="CT3">
        <v>460.60000000029999</v>
      </c>
      <c r="CU3">
        <v>461.60000000050002</v>
      </c>
      <c r="CV3">
        <v>461.69999999980001</v>
      </c>
      <c r="CW3">
        <v>461.60000000050002</v>
      </c>
      <c r="CX3">
        <v>461.90000000020001</v>
      </c>
      <c r="CY3">
        <v>461.80000000090001</v>
      </c>
      <c r="CZ3">
        <v>461.69999999980001</v>
      </c>
      <c r="DA3">
        <v>461.80000000090001</v>
      </c>
      <c r="DB3">
        <v>461.69999999980001</v>
      </c>
      <c r="DC3">
        <v>461.80000000090001</v>
      </c>
      <c r="DD3">
        <v>461.80000000090001</v>
      </c>
      <c r="DE3">
        <v>461.60000000050002</v>
      </c>
      <c r="DF3">
        <v>461.90000000020001</v>
      </c>
      <c r="DG3">
        <v>0.90000000089999999</v>
      </c>
      <c r="DH3">
        <v>1.2000000006</v>
      </c>
      <c r="DI3">
        <v>1.400000001</v>
      </c>
      <c r="DJ3">
        <v>1.400000001</v>
      </c>
      <c r="DK3">
        <v>1.5999999996000001</v>
      </c>
      <c r="DL3">
        <v>1.2999999999</v>
      </c>
      <c r="DM3">
        <v>1.400000001</v>
      </c>
      <c r="DN3">
        <v>1.400000001</v>
      </c>
      <c r="DO3">
        <v>1.2999999999</v>
      </c>
      <c r="DP3">
        <v>1.400000001</v>
      </c>
      <c r="DQ3">
        <v>1.5000000003</v>
      </c>
      <c r="DR3">
        <v>1.8</v>
      </c>
      <c r="DS3">
        <v>1.8</v>
      </c>
      <c r="DT3">
        <v>1.7000000007</v>
      </c>
      <c r="DU3">
        <v>1.5000000003</v>
      </c>
      <c r="DV3">
        <v>2.0000000004</v>
      </c>
      <c r="DW3">
        <v>7.2</v>
      </c>
      <c r="DX3">
        <v>14.199999999599999</v>
      </c>
      <c r="DY3">
        <v>21.300000000299999</v>
      </c>
      <c r="DZ3">
        <v>28.4000000011</v>
      </c>
      <c r="EA3">
        <v>35.5</v>
      </c>
      <c r="EB3">
        <v>42.100000000599998</v>
      </c>
      <c r="EC3">
        <v>48.800000000499999</v>
      </c>
      <c r="ED3">
        <v>55.900000001199999</v>
      </c>
      <c r="EE3">
        <v>63.299999999800001</v>
      </c>
      <c r="EF3">
        <v>71.299999999600004</v>
      </c>
      <c r="EG3">
        <v>78.999999999699995</v>
      </c>
      <c r="EH3">
        <v>86.900000000199995</v>
      </c>
      <c r="EI3">
        <v>94.000000001000004</v>
      </c>
      <c r="EJ3">
        <v>101.3000000003</v>
      </c>
      <c r="EK3">
        <v>109.00000000039999</v>
      </c>
      <c r="EL3">
        <v>117.2999999999</v>
      </c>
      <c r="EM3">
        <v>126.0999999995</v>
      </c>
      <c r="EN3">
        <v>134.90000000090001</v>
      </c>
      <c r="EO3">
        <v>143.1000000011</v>
      </c>
      <c r="EP3">
        <v>150.7000000001</v>
      </c>
      <c r="EQ3">
        <v>158.60000000069999</v>
      </c>
      <c r="ER3">
        <v>166.80000000090001</v>
      </c>
      <c r="ES3">
        <v>175.1999999997</v>
      </c>
      <c r="ET3">
        <v>183.50000000099999</v>
      </c>
      <c r="EU3">
        <v>191.50000000079999</v>
      </c>
      <c r="EV3">
        <v>199.50000000060001</v>
      </c>
      <c r="EW3">
        <v>207.50000000040001</v>
      </c>
      <c r="EX3">
        <v>215.7999999999</v>
      </c>
      <c r="EY3">
        <v>223.90000000090001</v>
      </c>
      <c r="EZ3">
        <v>231.9000000007</v>
      </c>
      <c r="FA3">
        <v>239.8000000012</v>
      </c>
      <c r="FB3">
        <v>247.6999999999</v>
      </c>
      <c r="FC3">
        <v>255.50000000110001</v>
      </c>
      <c r="FD3">
        <v>263.5000000009</v>
      </c>
      <c r="FE3">
        <v>271.39999999960003</v>
      </c>
      <c r="FF3">
        <v>278.9000000012</v>
      </c>
      <c r="FG3">
        <v>287.00000000030002</v>
      </c>
      <c r="FH3">
        <v>293.90000000060002</v>
      </c>
      <c r="FI3">
        <v>301.300000001</v>
      </c>
      <c r="FJ3">
        <v>308.60000000029999</v>
      </c>
      <c r="FK3">
        <v>316.30000000040002</v>
      </c>
      <c r="FL3">
        <v>323.3</v>
      </c>
      <c r="FM3">
        <v>330.79999999969999</v>
      </c>
      <c r="FN3">
        <v>337.80000000119998</v>
      </c>
      <c r="FO3">
        <v>344.10000000029999</v>
      </c>
      <c r="FP3">
        <v>351.00000000059998</v>
      </c>
      <c r="FQ3">
        <v>357.60000000119999</v>
      </c>
      <c r="FR3">
        <v>364.49999999969998</v>
      </c>
      <c r="FS3">
        <v>371.00000000099999</v>
      </c>
      <c r="FT3">
        <v>377.4000000012</v>
      </c>
      <c r="FU3">
        <v>383.7999999996</v>
      </c>
      <c r="FV3">
        <v>390.10000000050002</v>
      </c>
      <c r="FW3">
        <v>395.70000000089999</v>
      </c>
      <c r="FX3">
        <v>401.70000000030001</v>
      </c>
      <c r="FY3">
        <v>407.60000000050002</v>
      </c>
      <c r="FZ3">
        <v>413.70000000099998</v>
      </c>
      <c r="GA3">
        <v>419.4000000007</v>
      </c>
      <c r="GB3">
        <v>424.60000000029999</v>
      </c>
      <c r="GC3">
        <v>430.40000000110001</v>
      </c>
      <c r="GD3">
        <v>435.49999999959999</v>
      </c>
      <c r="GE3">
        <v>440.70000000099998</v>
      </c>
      <c r="GF3">
        <v>445.79999999950002</v>
      </c>
      <c r="GG3">
        <v>451.0000000009</v>
      </c>
      <c r="GH3">
        <v>455.6000000011</v>
      </c>
      <c r="GI3">
        <v>460.19999999949999</v>
      </c>
      <c r="GJ3">
        <v>461.49999999940002</v>
      </c>
      <c r="GK3">
        <v>461.49999999940002</v>
      </c>
      <c r="GL3">
        <v>461.40000000010002</v>
      </c>
      <c r="GM3">
        <v>461.49999999940002</v>
      </c>
      <c r="GN3">
        <v>461.60000000050002</v>
      </c>
      <c r="GO3">
        <v>461.60000000050002</v>
      </c>
      <c r="GP3">
        <v>461.69999999980001</v>
      </c>
      <c r="GQ3">
        <v>461.60000000050002</v>
      </c>
      <c r="GR3">
        <v>461.60000000050002</v>
      </c>
      <c r="GS3">
        <v>461.60000000050002</v>
      </c>
      <c r="GT3">
        <v>461.69999999980001</v>
      </c>
      <c r="GU3">
        <v>461.69999999980001</v>
      </c>
      <c r="GV3">
        <v>461.90000000020001</v>
      </c>
      <c r="GW3">
        <v>1</v>
      </c>
      <c r="GX3">
        <v>122.60000000060001</v>
      </c>
      <c r="GY3">
        <v>119.70000000109999</v>
      </c>
      <c r="GZ3">
        <v>119.70000000109999</v>
      </c>
      <c r="HA3">
        <v>126.0999999995</v>
      </c>
      <c r="HB3">
        <v>121.4028794118</v>
      </c>
      <c r="HC3">
        <v>-6.3999999984000002</v>
      </c>
      <c r="HD3">
        <v>461.90000000020001</v>
      </c>
      <c r="HE3">
        <v>302.57880493580001</v>
      </c>
      <c r="HF3">
        <v>105.28542974699999</v>
      </c>
      <c r="HG3">
        <v>461.90000000020001</v>
      </c>
      <c r="HH3">
        <v>461.90000000020001</v>
      </c>
      <c r="HI3">
        <v>461.90000000020001</v>
      </c>
      <c r="HJ3">
        <v>461.90000000020001</v>
      </c>
      <c r="HK3">
        <v>114.9560117302</v>
      </c>
      <c r="HL3">
        <v>3.2673405212</v>
      </c>
      <c r="HM3">
        <v>3.2019282229999999</v>
      </c>
      <c r="HN3">
        <v>3.2546617063999999</v>
      </c>
      <c r="HO3">
        <v>2.9916809726000002</v>
      </c>
      <c r="HP3">
        <v>3.4362624731999998</v>
      </c>
      <c r="HQ3">
        <v>2.1855697601999999</v>
      </c>
      <c r="HR3">
        <v>16.117449664799999</v>
      </c>
      <c r="HS3">
        <v>-32.844574780099997</v>
      </c>
      <c r="HT3">
        <v>-224</v>
      </c>
      <c r="HU3">
        <v>423.98168434759998</v>
      </c>
      <c r="HV3">
        <v>96.187683284499997</v>
      </c>
      <c r="HW3">
        <v>656</v>
      </c>
      <c r="HX3">
        <v>16.117449664799999</v>
      </c>
      <c r="HY3">
        <v>-32.844574780099997</v>
      </c>
      <c r="HZ3">
        <v>-224</v>
      </c>
      <c r="IA3">
        <v>423.98168434759998</v>
      </c>
      <c r="IB3">
        <v>96.187683284499997</v>
      </c>
      <c r="IC3">
        <v>656</v>
      </c>
      <c r="ID3">
        <v>37.918315652700002</v>
      </c>
      <c r="IE3">
        <v>0.9015587799</v>
      </c>
      <c r="IF3">
        <v>-42.228739002899999</v>
      </c>
      <c r="IG3">
        <v>-288</v>
      </c>
      <c r="IH3">
        <v>445.56142022040001</v>
      </c>
      <c r="II3">
        <v>105.57184750730001</v>
      </c>
      <c r="IJ3">
        <v>720</v>
      </c>
      <c r="IK3">
        <v>407.86423468279997</v>
      </c>
      <c r="IL3">
        <v>129.03225806450001</v>
      </c>
      <c r="IM3">
        <v>431.43353539690003</v>
      </c>
      <c r="IN3">
        <v>138.4164222874</v>
      </c>
      <c r="IO3">
        <v>6.9999999996</v>
      </c>
      <c r="IP3">
        <v>5.8000000007999999</v>
      </c>
      <c r="IQ3">
        <v>8.9000000007000004</v>
      </c>
      <c r="IR3">
        <v>5.5215831696000004</v>
      </c>
      <c r="IS3">
        <v>5.5215831696000004</v>
      </c>
      <c r="IT3">
        <v>4.9999999991999999</v>
      </c>
      <c r="IU3">
        <v>-35.190615835800003</v>
      </c>
      <c r="IV3">
        <v>7.7000000001000002</v>
      </c>
      <c r="IW3">
        <v>72.727272727300004</v>
      </c>
      <c r="IX3">
        <v>6.5999999988000004</v>
      </c>
      <c r="IY3">
        <v>100.87976539589999</v>
      </c>
      <c r="IZ3">
        <v>-38.318770792700001</v>
      </c>
      <c r="JA3">
        <v>0.35124382170000001</v>
      </c>
      <c r="JB3">
        <v>-3.8162869999999998E-4</v>
      </c>
      <c r="JC3">
        <v>7.0910000000000002E-7</v>
      </c>
      <c r="JD3">
        <v>0.3060593144</v>
      </c>
      <c r="JE3">
        <v>0.30589807819999998</v>
      </c>
      <c r="JF3">
        <v>0.1170498049</v>
      </c>
      <c r="JG3">
        <v>122.0096302851</v>
      </c>
      <c r="JH3">
        <v>3.4362624731999998</v>
      </c>
      <c r="JI3">
        <v>3.3903261E-3</v>
      </c>
      <c r="JJ3">
        <v>-6.8557899999999996E-5</v>
      </c>
      <c r="JK3">
        <v>3.2673405212</v>
      </c>
      <c r="JL3">
        <v>1.5626157785000001</v>
      </c>
      <c r="JM3">
        <v>0.61486401049999995</v>
      </c>
      <c r="JN3" t="s">
        <v>523</v>
      </c>
      <c r="JQ3">
        <v>1</v>
      </c>
    </row>
    <row r="4" spans="1:277">
      <c r="A4" t="s">
        <v>590</v>
      </c>
      <c r="B4" t="s">
        <v>591</v>
      </c>
      <c r="C4" t="s">
        <v>208</v>
      </c>
      <c r="D4">
        <v>3</v>
      </c>
      <c r="E4" t="s">
        <v>209</v>
      </c>
      <c r="F4" t="s">
        <v>210</v>
      </c>
      <c r="G4" t="s">
        <v>522</v>
      </c>
      <c r="H4" t="s">
        <v>527</v>
      </c>
      <c r="J4" t="s">
        <v>542</v>
      </c>
      <c r="K4" t="s">
        <v>543</v>
      </c>
      <c r="L4" t="s">
        <v>544</v>
      </c>
      <c r="M4" t="s">
        <v>545</v>
      </c>
      <c r="N4" t="s">
        <v>546</v>
      </c>
      <c r="O4">
        <v>0</v>
      </c>
      <c r="P4">
        <v>0</v>
      </c>
      <c r="Q4">
        <v>0.39999999899999999</v>
      </c>
      <c r="R4">
        <v>9.9999999300000003E-2</v>
      </c>
      <c r="S4">
        <v>9.9999999300000003E-2</v>
      </c>
      <c r="T4">
        <v>9.9999999300000003E-2</v>
      </c>
      <c r="U4">
        <v>0.20000000039999999</v>
      </c>
      <c r="V4">
        <v>9.9999999300000003E-2</v>
      </c>
      <c r="W4">
        <v>0.20000000039999999</v>
      </c>
      <c r="X4">
        <v>0</v>
      </c>
      <c r="Y4">
        <v>9.9999999300000003E-2</v>
      </c>
      <c r="Z4">
        <v>0</v>
      </c>
      <c r="AA4">
        <v>0.20000000039999999</v>
      </c>
      <c r="AB4">
        <v>0</v>
      </c>
      <c r="AC4">
        <v>0.20000000039999999</v>
      </c>
      <c r="AD4">
        <v>9.9999999300000003E-2</v>
      </c>
      <c r="AE4">
        <v>0</v>
      </c>
      <c r="AF4">
        <v>9.9999999300000003E-2</v>
      </c>
      <c r="AG4">
        <v>2.5000000005</v>
      </c>
      <c r="AH4">
        <v>6.9999999996</v>
      </c>
      <c r="AI4">
        <v>13.1000000001</v>
      </c>
      <c r="AJ4">
        <v>19.199999998799999</v>
      </c>
      <c r="AK4">
        <v>26.0999999991</v>
      </c>
      <c r="AL4">
        <v>33.199999999900001</v>
      </c>
      <c r="AM4">
        <v>41.299999999000001</v>
      </c>
      <c r="AN4">
        <v>48.699999999399999</v>
      </c>
      <c r="AO4">
        <v>55.5000000004</v>
      </c>
      <c r="AP4">
        <v>62.899999999000002</v>
      </c>
      <c r="AQ4">
        <v>70.299999999400001</v>
      </c>
      <c r="AR4">
        <v>78.100000000600005</v>
      </c>
      <c r="AS4">
        <v>86.600000000500003</v>
      </c>
      <c r="AT4">
        <v>94.799999998900006</v>
      </c>
      <c r="AU4">
        <v>102.6000000002</v>
      </c>
      <c r="AV4">
        <v>109.8999999995</v>
      </c>
      <c r="AW4">
        <v>118.8999999995</v>
      </c>
      <c r="AX4">
        <v>126.89999999929999</v>
      </c>
      <c r="AY4">
        <v>135.2000000006</v>
      </c>
      <c r="AZ4">
        <v>144.0000000002</v>
      </c>
      <c r="BA4">
        <v>152.29999999969999</v>
      </c>
      <c r="BB4">
        <v>159.90000000059999</v>
      </c>
      <c r="BC4">
        <v>168.4999999998</v>
      </c>
      <c r="BD4">
        <v>176.10000000060001</v>
      </c>
      <c r="BE4">
        <v>184.40000000009999</v>
      </c>
      <c r="BF4">
        <v>193.60000000049999</v>
      </c>
      <c r="BG4">
        <v>201.60000000030001</v>
      </c>
      <c r="BH4">
        <v>209.39999999969999</v>
      </c>
      <c r="BI4">
        <v>217.39999999950001</v>
      </c>
      <c r="BJ4">
        <v>225.0999999997</v>
      </c>
      <c r="BK4">
        <v>233.0999999995</v>
      </c>
      <c r="BL4">
        <v>242.2999999999</v>
      </c>
      <c r="BM4">
        <v>249.7999999996</v>
      </c>
      <c r="BN4">
        <v>257.79999999939997</v>
      </c>
      <c r="BO4">
        <v>265.10000000050002</v>
      </c>
      <c r="BP4">
        <v>272.99999999919999</v>
      </c>
      <c r="BQ4">
        <v>279.69999999909999</v>
      </c>
      <c r="BR4">
        <v>287.8000000001</v>
      </c>
      <c r="BS4">
        <v>296.3</v>
      </c>
      <c r="BT4">
        <v>303.5</v>
      </c>
      <c r="BU4">
        <v>310.2999999992</v>
      </c>
      <c r="BV4">
        <v>317.30000000059999</v>
      </c>
      <c r="BW4">
        <v>324.69999999919997</v>
      </c>
      <c r="BX4">
        <v>331.09999999939998</v>
      </c>
      <c r="BY4">
        <v>338.20000000009998</v>
      </c>
      <c r="BZ4">
        <v>345.79999999910001</v>
      </c>
      <c r="CA4">
        <v>352.4999999991</v>
      </c>
      <c r="CB4">
        <v>358.89999999930001</v>
      </c>
      <c r="CC4">
        <v>365.09999999910002</v>
      </c>
      <c r="CD4">
        <v>371.19999999959998</v>
      </c>
      <c r="CE4">
        <v>378.00000000059998</v>
      </c>
      <c r="CF4">
        <v>383.49999999990001</v>
      </c>
      <c r="CG4">
        <v>389.79999999900002</v>
      </c>
      <c r="CH4">
        <v>396.69999999930002</v>
      </c>
      <c r="CI4">
        <v>402.59999999939998</v>
      </c>
      <c r="CJ4">
        <v>408.4000000003</v>
      </c>
      <c r="CK4">
        <v>414.19999999930002</v>
      </c>
      <c r="CL4">
        <v>419.5</v>
      </c>
      <c r="CM4">
        <v>424.79999999889998</v>
      </c>
      <c r="CN4">
        <v>430.89999999939999</v>
      </c>
      <c r="CO4">
        <v>435.2999999992</v>
      </c>
      <c r="CP4">
        <v>441.1</v>
      </c>
      <c r="CQ4">
        <v>447.20000000049998</v>
      </c>
      <c r="CR4">
        <v>452.10000000039997</v>
      </c>
      <c r="CS4">
        <v>455.2999999996</v>
      </c>
      <c r="CT4">
        <v>455.09999999920001</v>
      </c>
      <c r="CU4">
        <v>455.2999999996</v>
      </c>
      <c r="CV4">
        <v>455.3999999989</v>
      </c>
      <c r="CW4">
        <v>455.20000000030001</v>
      </c>
      <c r="CX4">
        <v>454.89999999880001</v>
      </c>
      <c r="CY4">
        <v>454.99999999990001</v>
      </c>
      <c r="CZ4">
        <v>455.20000000030001</v>
      </c>
      <c r="DA4">
        <v>455.2999999996</v>
      </c>
      <c r="DB4">
        <v>455.20000000030001</v>
      </c>
      <c r="DC4">
        <v>454.99999999990001</v>
      </c>
      <c r="DD4">
        <v>454.99999999990001</v>
      </c>
      <c r="DE4">
        <v>454.99999999990001</v>
      </c>
      <c r="DF4">
        <v>454.89999999880001</v>
      </c>
      <c r="DG4">
        <v>0.79999999980000003</v>
      </c>
      <c r="DH4">
        <v>1.0999999995</v>
      </c>
      <c r="DI4">
        <v>1.0999999995</v>
      </c>
      <c r="DJ4">
        <v>1.0000000002</v>
      </c>
      <c r="DK4">
        <v>1.0000000002</v>
      </c>
      <c r="DL4">
        <v>1.0000000002</v>
      </c>
      <c r="DM4">
        <v>1.0000000002</v>
      </c>
      <c r="DN4">
        <v>1.0000000002</v>
      </c>
      <c r="DO4">
        <v>1.0999999995</v>
      </c>
      <c r="DP4">
        <v>1.0999999995</v>
      </c>
      <c r="DQ4">
        <v>1.0000000002</v>
      </c>
      <c r="DR4">
        <v>0.79999999980000003</v>
      </c>
      <c r="DS4">
        <v>1.0000000002</v>
      </c>
      <c r="DT4">
        <v>1.0000000002</v>
      </c>
      <c r="DU4">
        <v>0.89999999909999995</v>
      </c>
      <c r="DV4">
        <v>2.3000000000999998</v>
      </c>
      <c r="DW4">
        <v>6.9000000003000004</v>
      </c>
      <c r="DX4">
        <v>12.999999999</v>
      </c>
      <c r="DY4">
        <v>18.8999999991</v>
      </c>
      <c r="DZ4">
        <v>25.9000000005</v>
      </c>
      <c r="EA4">
        <v>34.099999998900003</v>
      </c>
      <c r="EB4">
        <v>41.100000000400001</v>
      </c>
      <c r="EC4">
        <v>47.999999998900002</v>
      </c>
      <c r="ED4">
        <v>55.000000000299998</v>
      </c>
      <c r="EE4">
        <v>62.299999999599997</v>
      </c>
      <c r="EF4">
        <v>69.400000000299997</v>
      </c>
      <c r="EG4">
        <v>77.299999998999994</v>
      </c>
      <c r="EH4">
        <v>85.999999999300002</v>
      </c>
      <c r="EI4">
        <v>93.899999999800002</v>
      </c>
      <c r="EJ4">
        <v>101.3999999996</v>
      </c>
      <c r="EK4">
        <v>109.00000000039999</v>
      </c>
      <c r="EL4">
        <v>116.8999999991</v>
      </c>
      <c r="EM4">
        <v>125.2000000004</v>
      </c>
      <c r="EN4">
        <v>135.0000000002</v>
      </c>
      <c r="EO4">
        <v>143</v>
      </c>
      <c r="EP4">
        <v>151.09999999909999</v>
      </c>
      <c r="EQ4">
        <v>158.5999999988</v>
      </c>
      <c r="ER4">
        <v>167.2999999992</v>
      </c>
      <c r="ES4">
        <v>174.9</v>
      </c>
      <c r="ET4">
        <v>183.60000000030001</v>
      </c>
      <c r="EU4">
        <v>192.69999999960001</v>
      </c>
      <c r="EV4">
        <v>200.8999999998</v>
      </c>
      <c r="EW4">
        <v>208.6999999992</v>
      </c>
      <c r="EX4">
        <v>216.699999999</v>
      </c>
      <c r="EY4">
        <v>224.2999999999</v>
      </c>
      <c r="EZ4">
        <v>233.0000000002</v>
      </c>
      <c r="FA4">
        <v>242.2000000006</v>
      </c>
      <c r="FB4">
        <v>250.29999999969999</v>
      </c>
      <c r="FC4">
        <v>257.79999999939997</v>
      </c>
      <c r="FD4">
        <v>265.40000000020001</v>
      </c>
      <c r="FE4">
        <v>272.6000000002</v>
      </c>
      <c r="FF4">
        <v>280.39999999960003</v>
      </c>
      <c r="FG4">
        <v>288.69999999919997</v>
      </c>
      <c r="FH4">
        <v>297.00000000049999</v>
      </c>
      <c r="FI4">
        <v>304.59999999950003</v>
      </c>
      <c r="FJ4">
        <v>311.79999999950002</v>
      </c>
      <c r="FK4">
        <v>318.69999999980001</v>
      </c>
      <c r="FL4">
        <v>325.49999999900001</v>
      </c>
      <c r="FM4">
        <v>333.00000000049999</v>
      </c>
      <c r="FN4">
        <v>340.50000000019998</v>
      </c>
      <c r="FO4">
        <v>347.89999999880001</v>
      </c>
      <c r="FP4">
        <v>354.9000000003</v>
      </c>
      <c r="FQ4">
        <v>361.3999999998</v>
      </c>
      <c r="FR4">
        <v>367.50000000030002</v>
      </c>
      <c r="FS4">
        <v>374.09999999910002</v>
      </c>
      <c r="FT4">
        <v>379.89999999989999</v>
      </c>
      <c r="FU4">
        <v>386.0999999997</v>
      </c>
      <c r="FV4">
        <v>393.39999999899999</v>
      </c>
      <c r="FW4">
        <v>399.29999999910001</v>
      </c>
      <c r="FX4">
        <v>405.80000000050001</v>
      </c>
      <c r="FY4">
        <v>411.20000000049998</v>
      </c>
      <c r="FZ4">
        <v>416.69999999980001</v>
      </c>
      <c r="GA4">
        <v>422.00000000049999</v>
      </c>
      <c r="GB4">
        <v>426.99999999969998</v>
      </c>
      <c r="GC4">
        <v>432.1</v>
      </c>
      <c r="GD4">
        <v>437.3999999989</v>
      </c>
      <c r="GE4">
        <v>442.9</v>
      </c>
      <c r="GF4">
        <v>448.39999999930001</v>
      </c>
      <c r="GG4">
        <v>452.29999999900002</v>
      </c>
      <c r="GH4">
        <v>454.99999999990001</v>
      </c>
      <c r="GI4">
        <v>455.20000000030001</v>
      </c>
      <c r="GJ4">
        <v>454.99999999990001</v>
      </c>
      <c r="GK4">
        <v>455.20000000030001</v>
      </c>
      <c r="GL4">
        <v>455.20000000030001</v>
      </c>
      <c r="GM4">
        <v>455.2999999996</v>
      </c>
      <c r="GN4">
        <v>455.20000000030001</v>
      </c>
      <c r="GO4">
        <v>455.09999999920001</v>
      </c>
      <c r="GP4">
        <v>455.09999999920001</v>
      </c>
      <c r="GQ4">
        <v>455.09999999920001</v>
      </c>
      <c r="GR4">
        <v>455.20000000030001</v>
      </c>
      <c r="GS4">
        <v>454.99999999990001</v>
      </c>
      <c r="GT4">
        <v>455.3999999989</v>
      </c>
      <c r="GU4">
        <v>455.09999999920001</v>
      </c>
      <c r="GV4">
        <v>455.09999999920001</v>
      </c>
      <c r="GW4">
        <v>1</v>
      </c>
      <c r="GX4">
        <v>120.30000000050001</v>
      </c>
      <c r="GY4">
        <v>118.8999999995</v>
      </c>
      <c r="GZ4">
        <v>118.8999999995</v>
      </c>
      <c r="HA4">
        <v>125.2000000004</v>
      </c>
      <c r="HB4">
        <v>120.5888095758</v>
      </c>
      <c r="HC4">
        <v>-6.3000000008999999</v>
      </c>
      <c r="HD4">
        <v>455.09986821799998</v>
      </c>
      <c r="HE4">
        <v>305.88324181860003</v>
      </c>
      <c r="HF4">
        <v>101.05697342489999</v>
      </c>
      <c r="HG4">
        <v>455.3999999989</v>
      </c>
      <c r="HH4">
        <v>455.3999121448</v>
      </c>
      <c r="HI4">
        <v>455.3999999989</v>
      </c>
      <c r="HJ4">
        <v>455.3999999989</v>
      </c>
      <c r="HK4">
        <v>110.26392961880001</v>
      </c>
      <c r="HL4">
        <v>3.3202202349999999</v>
      </c>
      <c r="HM4">
        <v>3.2278601812000001</v>
      </c>
      <c r="HN4">
        <v>3.3365499886999999</v>
      </c>
      <c r="HO4">
        <v>3.1284759626</v>
      </c>
      <c r="HP4">
        <v>3.5125085825000002</v>
      </c>
      <c r="HQ4">
        <v>2.188640511</v>
      </c>
      <c r="HR4">
        <v>19.531836150899998</v>
      </c>
      <c r="HS4">
        <v>-30.4985337243</v>
      </c>
      <c r="HT4">
        <v>-208</v>
      </c>
      <c r="HU4">
        <v>426.47205139440001</v>
      </c>
      <c r="HV4">
        <v>96.187683284499997</v>
      </c>
      <c r="HW4">
        <v>656</v>
      </c>
      <c r="HX4">
        <v>19.531836150899998</v>
      </c>
      <c r="HY4">
        <v>-30.4985337243</v>
      </c>
      <c r="HZ4">
        <v>-208</v>
      </c>
      <c r="IA4">
        <v>426.47205139440001</v>
      </c>
      <c r="IB4">
        <v>96.187683284499997</v>
      </c>
      <c r="IC4">
        <v>656</v>
      </c>
      <c r="ID4">
        <v>28.927860750400001</v>
      </c>
      <c r="IE4">
        <v>0.105798374</v>
      </c>
      <c r="IF4">
        <v>-39.8826979472</v>
      </c>
      <c r="IG4">
        <v>-272</v>
      </c>
      <c r="IH4">
        <v>448.23084779200002</v>
      </c>
      <c r="II4">
        <v>105.57184750730001</v>
      </c>
      <c r="IJ4">
        <v>720</v>
      </c>
      <c r="IK4">
        <v>406.94021524350001</v>
      </c>
      <c r="IL4">
        <v>126.6862170088</v>
      </c>
      <c r="IM4">
        <v>429.96627498279997</v>
      </c>
      <c r="IN4">
        <v>136.0703812317</v>
      </c>
      <c r="IO4">
        <v>6.1000000004999997</v>
      </c>
      <c r="IP4">
        <v>6.1000000004999997</v>
      </c>
      <c r="IQ4">
        <v>9.7999999998000007</v>
      </c>
      <c r="IR4">
        <v>6.6762546727999998</v>
      </c>
      <c r="IS4">
        <v>6.6762546727999998</v>
      </c>
      <c r="IT4">
        <v>5.9999999994</v>
      </c>
      <c r="IU4">
        <v>-35.190615835800003</v>
      </c>
      <c r="IV4">
        <v>9.8999999991000003</v>
      </c>
      <c r="IW4">
        <v>82.1114369501</v>
      </c>
      <c r="IX4">
        <v>7.6000000007999997</v>
      </c>
      <c r="IY4">
        <v>103.22580645159999</v>
      </c>
      <c r="IZ4">
        <v>-37.029312944499999</v>
      </c>
      <c r="JA4">
        <v>0.34113959059999999</v>
      </c>
      <c r="JB4">
        <v>-3.6324879999999999E-4</v>
      </c>
      <c r="JC4">
        <v>6.877E-7</v>
      </c>
      <c r="JD4">
        <v>0.3011848399</v>
      </c>
      <c r="JE4">
        <v>0.45796556240000003</v>
      </c>
      <c r="JF4">
        <v>0.14714212879999999</v>
      </c>
      <c r="JG4">
        <v>121.0274175734</v>
      </c>
      <c r="JH4">
        <v>3.5125085825000002</v>
      </c>
      <c r="JI4">
        <v>3.1235313999999998E-3</v>
      </c>
      <c r="JJ4">
        <v>-6.9345100000000001E-5</v>
      </c>
      <c r="JK4">
        <v>3.3202202349999999</v>
      </c>
      <c r="JL4">
        <v>1.1615494277</v>
      </c>
      <c r="JM4">
        <v>0.53221319229999997</v>
      </c>
      <c r="JN4" t="s">
        <v>523</v>
      </c>
      <c r="JQ4">
        <v>1</v>
      </c>
    </row>
    <row r="5" spans="1:277">
      <c r="A5" t="s">
        <v>592</v>
      </c>
      <c r="B5" t="s">
        <v>593</v>
      </c>
      <c r="C5" t="s">
        <v>208</v>
      </c>
      <c r="D5">
        <v>3</v>
      </c>
      <c r="E5" t="s">
        <v>209</v>
      </c>
      <c r="F5" t="s">
        <v>210</v>
      </c>
      <c r="G5" t="s">
        <v>522</v>
      </c>
      <c r="H5" t="s">
        <v>527</v>
      </c>
      <c r="J5" t="s">
        <v>549</v>
      </c>
      <c r="K5" t="s">
        <v>550</v>
      </c>
      <c r="L5" t="s">
        <v>551</v>
      </c>
      <c r="M5" t="s">
        <v>552</v>
      </c>
      <c r="N5" t="s">
        <v>553</v>
      </c>
      <c r="O5">
        <v>0</v>
      </c>
      <c r="P5">
        <v>0</v>
      </c>
      <c r="Q5">
        <v>0</v>
      </c>
      <c r="R5">
        <v>0.29999999970000002</v>
      </c>
      <c r="S5">
        <v>9.9999999300000003E-2</v>
      </c>
      <c r="T5">
        <v>0.20000000039999999</v>
      </c>
      <c r="U5">
        <v>9.9999999300000003E-2</v>
      </c>
      <c r="V5">
        <v>0.20000000039999999</v>
      </c>
      <c r="W5">
        <v>0.50000000010000001</v>
      </c>
      <c r="X5">
        <v>0.20000000039999999</v>
      </c>
      <c r="Y5">
        <v>0.20000000039999999</v>
      </c>
      <c r="Z5">
        <v>9.9999999300000003E-2</v>
      </c>
      <c r="AA5">
        <v>0.40000000079999998</v>
      </c>
      <c r="AB5">
        <v>0.29999999970000002</v>
      </c>
      <c r="AC5">
        <v>0.50000000010000001</v>
      </c>
      <c r="AD5">
        <v>0.50000000010000001</v>
      </c>
      <c r="AE5">
        <v>0.50000000010000001</v>
      </c>
      <c r="AF5">
        <v>1.5000000003</v>
      </c>
      <c r="AG5">
        <v>6.6000000005999997</v>
      </c>
      <c r="AH5">
        <v>11.200000000799999</v>
      </c>
      <c r="AI5">
        <v>16.9000000005</v>
      </c>
      <c r="AJ5">
        <v>23.199999999599999</v>
      </c>
      <c r="AK5">
        <v>29.700000000999999</v>
      </c>
      <c r="AL5">
        <v>36.200000000499998</v>
      </c>
      <c r="AM5">
        <v>42.900000000399999</v>
      </c>
      <c r="AN5">
        <v>49.999999999300002</v>
      </c>
      <c r="AO5">
        <v>57.800000000499999</v>
      </c>
      <c r="AP5">
        <v>65.500000000599996</v>
      </c>
      <c r="AQ5">
        <v>73.899999999399995</v>
      </c>
      <c r="AR5">
        <v>81.200000000499998</v>
      </c>
      <c r="AS5">
        <v>88.700000000200006</v>
      </c>
      <c r="AT5">
        <v>96.2</v>
      </c>
      <c r="AU5">
        <v>103.8000000008</v>
      </c>
      <c r="AV5">
        <v>112.1000000003</v>
      </c>
      <c r="AW5">
        <v>121.6000000004</v>
      </c>
      <c r="AX5">
        <v>130.00000000099999</v>
      </c>
      <c r="AY5">
        <v>137.89999999969999</v>
      </c>
      <c r="AZ5">
        <v>145.39999999939999</v>
      </c>
      <c r="BA5">
        <v>153.0999999995</v>
      </c>
      <c r="BB5">
        <v>161.7000000006</v>
      </c>
      <c r="BC5">
        <v>170.20000000050001</v>
      </c>
      <c r="BD5">
        <v>178.79999999969999</v>
      </c>
      <c r="BE5">
        <v>186.99999999990001</v>
      </c>
      <c r="BF5">
        <v>194.4000000003</v>
      </c>
      <c r="BG5">
        <v>202.1000000004</v>
      </c>
      <c r="BH5">
        <v>210.50000000099999</v>
      </c>
      <c r="BI5">
        <v>218.69999999940001</v>
      </c>
      <c r="BJ5">
        <v>226.70000000109999</v>
      </c>
      <c r="BK5">
        <v>235.5000000007</v>
      </c>
      <c r="BL5">
        <v>243.3000000001</v>
      </c>
      <c r="BM5">
        <v>250.59999999940001</v>
      </c>
      <c r="BN5">
        <v>257.90000000049997</v>
      </c>
      <c r="BO5">
        <v>265.9000000003</v>
      </c>
      <c r="BP5">
        <v>273.69999999970003</v>
      </c>
      <c r="BQ5">
        <v>281.19999999940001</v>
      </c>
      <c r="BR5">
        <v>289.69999999940001</v>
      </c>
      <c r="BS5">
        <v>296.40000000110001</v>
      </c>
      <c r="BT5">
        <v>302.99999999990001</v>
      </c>
      <c r="BU5">
        <v>310.60000000069999</v>
      </c>
      <c r="BV5">
        <v>317.99999999929997</v>
      </c>
      <c r="BW5">
        <v>325.19999999930002</v>
      </c>
      <c r="BX5">
        <v>332.20000000070002</v>
      </c>
      <c r="BY5">
        <v>338.99999999990001</v>
      </c>
      <c r="BZ5">
        <v>345.99999999950001</v>
      </c>
      <c r="CA5">
        <v>352.30000000050001</v>
      </c>
      <c r="CB5">
        <v>358.50000000030002</v>
      </c>
      <c r="CC5">
        <v>365.10000000090002</v>
      </c>
      <c r="CD5">
        <v>371.90000000010002</v>
      </c>
      <c r="CE5">
        <v>377.89999999949998</v>
      </c>
      <c r="CF5">
        <v>384.0999999993</v>
      </c>
      <c r="CG5">
        <v>390.49999999950001</v>
      </c>
      <c r="CH5">
        <v>396.6</v>
      </c>
      <c r="CI5">
        <v>402.0999999993</v>
      </c>
      <c r="CJ5">
        <v>407.60000000050002</v>
      </c>
      <c r="CK5">
        <v>413.30000000019999</v>
      </c>
      <c r="CL5">
        <v>418.90000000060002</v>
      </c>
      <c r="CM5">
        <v>424.69999999959998</v>
      </c>
      <c r="CN5">
        <v>430.20000000070002</v>
      </c>
      <c r="CO5">
        <v>435.49999999959999</v>
      </c>
      <c r="CP5">
        <v>441.00000000070003</v>
      </c>
      <c r="CQ5">
        <v>446.5</v>
      </c>
      <c r="CR5">
        <v>451.19999999949999</v>
      </c>
      <c r="CS5">
        <v>455.4000000007</v>
      </c>
      <c r="CT5">
        <v>459.30000000040002</v>
      </c>
      <c r="CU5">
        <v>459.50000000080001</v>
      </c>
      <c r="CV5">
        <v>459.39999999970001</v>
      </c>
      <c r="CW5">
        <v>459.19999999930002</v>
      </c>
      <c r="CX5">
        <v>459.30000000040002</v>
      </c>
      <c r="CY5">
        <v>459.19999999930002</v>
      </c>
      <c r="CZ5">
        <v>459.30000000040002</v>
      </c>
      <c r="DA5">
        <v>459.30000000040002</v>
      </c>
      <c r="DB5">
        <v>459.30000000040002</v>
      </c>
      <c r="DC5">
        <v>459.30000000040002</v>
      </c>
      <c r="DD5">
        <v>459.39999999970001</v>
      </c>
      <c r="DE5">
        <v>459.19999999930002</v>
      </c>
      <c r="DF5">
        <v>459.1</v>
      </c>
      <c r="DG5">
        <v>0.40000000079999998</v>
      </c>
      <c r="DH5">
        <v>1.0000000002</v>
      </c>
      <c r="DI5">
        <v>0.90000000089999999</v>
      </c>
      <c r="DJ5">
        <v>1.0999999995</v>
      </c>
      <c r="DK5">
        <v>1.0999999995</v>
      </c>
      <c r="DL5">
        <v>1.2999999999</v>
      </c>
      <c r="DM5">
        <v>1.400000001</v>
      </c>
      <c r="DN5">
        <v>1.400000001</v>
      </c>
      <c r="DO5">
        <v>1.0999999995</v>
      </c>
      <c r="DP5">
        <v>1.0999999995</v>
      </c>
      <c r="DQ5">
        <v>1.2999999999</v>
      </c>
      <c r="DR5">
        <v>1.2000000006</v>
      </c>
      <c r="DS5">
        <v>1.5000000003</v>
      </c>
      <c r="DT5">
        <v>1.7000000007</v>
      </c>
      <c r="DU5">
        <v>1.8</v>
      </c>
      <c r="DV5">
        <v>5.4</v>
      </c>
      <c r="DW5">
        <v>10.400000001</v>
      </c>
      <c r="DX5">
        <v>15.4000000002</v>
      </c>
      <c r="DY5">
        <v>22.300000000499999</v>
      </c>
      <c r="DZ5">
        <v>28.8999999993</v>
      </c>
      <c r="EA5">
        <v>35.900000000799999</v>
      </c>
      <c r="EB5">
        <v>42.400000000299997</v>
      </c>
      <c r="EC5">
        <v>49.000000000900002</v>
      </c>
      <c r="ED5">
        <v>56.800000000300003</v>
      </c>
      <c r="EE5">
        <v>65.300000000200001</v>
      </c>
      <c r="EF5">
        <v>73.000000000300005</v>
      </c>
      <c r="EG5">
        <v>80.400000000700004</v>
      </c>
      <c r="EH5">
        <v>87.999999999699995</v>
      </c>
      <c r="EI5">
        <v>95.300000000899999</v>
      </c>
      <c r="EJ5">
        <v>102.69999999949999</v>
      </c>
      <c r="EK5">
        <v>110.8999999997</v>
      </c>
      <c r="EL5">
        <v>119.8999999997</v>
      </c>
      <c r="EM5">
        <v>128.20000000100001</v>
      </c>
      <c r="EN5">
        <v>136.50000000049999</v>
      </c>
      <c r="EO5">
        <v>144.0999999995</v>
      </c>
      <c r="EP5">
        <v>151.90000000079999</v>
      </c>
      <c r="EQ5">
        <v>160.4000000007</v>
      </c>
      <c r="ER5">
        <v>168.70000000019999</v>
      </c>
      <c r="ES5">
        <v>177.79999999949999</v>
      </c>
      <c r="ET5">
        <v>185.7</v>
      </c>
      <c r="EU5">
        <v>193.69999999980001</v>
      </c>
      <c r="EV5">
        <v>201.30000000059999</v>
      </c>
      <c r="EW5">
        <v>209.80000000050001</v>
      </c>
      <c r="EX5">
        <v>218.30000000050001</v>
      </c>
      <c r="EY5">
        <v>227.10000000010001</v>
      </c>
      <c r="EZ5">
        <v>235.20000000100001</v>
      </c>
      <c r="FA5">
        <v>242.89999999930001</v>
      </c>
      <c r="FB5">
        <v>249.7999999996</v>
      </c>
      <c r="FC5">
        <v>258.10000000090002</v>
      </c>
      <c r="FD5">
        <v>266.40000000039998</v>
      </c>
      <c r="FE5">
        <v>274.30000000090001</v>
      </c>
      <c r="FF5">
        <v>282.69999999970003</v>
      </c>
      <c r="FG5">
        <v>290.39999999989999</v>
      </c>
      <c r="FH5">
        <v>297.20000000089999</v>
      </c>
      <c r="FI5">
        <v>304.09999999939998</v>
      </c>
      <c r="FJ5">
        <v>311.79999999950002</v>
      </c>
      <c r="FK5">
        <v>319.4000000003</v>
      </c>
      <c r="FL5">
        <v>326.39999999989999</v>
      </c>
      <c r="FM5">
        <v>333.70000000099998</v>
      </c>
      <c r="FN5">
        <v>341.5999999997</v>
      </c>
      <c r="FO5">
        <v>347.49999999990001</v>
      </c>
      <c r="FP5">
        <v>353.50000000109998</v>
      </c>
      <c r="FQ5">
        <v>360.70000000110002</v>
      </c>
      <c r="FR5">
        <v>367.50000000030002</v>
      </c>
      <c r="FS5">
        <v>373.90000000049997</v>
      </c>
      <c r="FT5">
        <v>380.49999999929997</v>
      </c>
      <c r="FU5">
        <v>386.50000000049999</v>
      </c>
      <c r="FV5">
        <v>393.2000000004</v>
      </c>
      <c r="FW5">
        <v>398.30000000069998</v>
      </c>
      <c r="FX5">
        <v>403.8</v>
      </c>
      <c r="FY5">
        <v>409.99999999990001</v>
      </c>
      <c r="FZ5">
        <v>415.9</v>
      </c>
      <c r="GA5">
        <v>421.8000000001</v>
      </c>
      <c r="GB5">
        <v>426.79999999929998</v>
      </c>
      <c r="GC5">
        <v>432.30000000040002</v>
      </c>
      <c r="GD5">
        <v>437.7000000004</v>
      </c>
      <c r="GE5">
        <v>443.19999999970003</v>
      </c>
      <c r="GF5">
        <v>447.79999999990002</v>
      </c>
      <c r="GG5">
        <v>451.60000000029999</v>
      </c>
      <c r="GH5">
        <v>456.29999999979998</v>
      </c>
      <c r="GI5">
        <v>459.1</v>
      </c>
      <c r="GJ5">
        <v>459.1</v>
      </c>
      <c r="GK5">
        <v>459.1</v>
      </c>
      <c r="GL5">
        <v>459.19999999930002</v>
      </c>
      <c r="GM5">
        <v>459.39999999970001</v>
      </c>
      <c r="GN5">
        <v>459.30000000040002</v>
      </c>
      <c r="GO5">
        <v>459.39999999970001</v>
      </c>
      <c r="GP5">
        <v>459.19999999930002</v>
      </c>
      <c r="GQ5">
        <v>459.19999999930002</v>
      </c>
      <c r="GR5">
        <v>459.30000000040002</v>
      </c>
      <c r="GS5">
        <v>459.60000000010001</v>
      </c>
      <c r="GT5">
        <v>459.50000000080001</v>
      </c>
      <c r="GU5">
        <v>459.19999999930002</v>
      </c>
      <c r="GV5">
        <v>459.30000000040002</v>
      </c>
      <c r="GW5">
        <v>1</v>
      </c>
      <c r="GX5">
        <v>124.30000000130001</v>
      </c>
      <c r="GY5">
        <v>121.6000000004</v>
      </c>
      <c r="GZ5">
        <v>121.6000000004</v>
      </c>
      <c r="HA5">
        <v>128.20000000100001</v>
      </c>
      <c r="HB5">
        <v>123.3941887045</v>
      </c>
      <c r="HC5">
        <v>-6.6000000005999997</v>
      </c>
      <c r="HD5">
        <v>459.29989117470001</v>
      </c>
      <c r="HE5">
        <v>297.63064533630001</v>
      </c>
      <c r="HF5">
        <v>99.871008815899998</v>
      </c>
      <c r="HG5">
        <v>459.60000000010001</v>
      </c>
      <c r="HH5">
        <v>459.60000000010001</v>
      </c>
      <c r="HI5">
        <v>459.50000000080001</v>
      </c>
      <c r="HJ5">
        <v>459.60000000010001</v>
      </c>
      <c r="HK5">
        <v>112.6099706745</v>
      </c>
      <c r="HL5">
        <v>3.3036560036</v>
      </c>
      <c r="HM5">
        <v>3.2146125940000001</v>
      </c>
      <c r="HN5">
        <v>3.2613230159</v>
      </c>
      <c r="HO5">
        <v>3.0864863513</v>
      </c>
      <c r="HP5">
        <v>3.4843716078</v>
      </c>
      <c r="HQ5">
        <v>2.2076537796000002</v>
      </c>
      <c r="HR5">
        <v>23.523179888600001</v>
      </c>
      <c r="HS5">
        <v>-30.4985337243</v>
      </c>
      <c r="HT5">
        <v>-208</v>
      </c>
      <c r="HU5">
        <v>421.02483404079999</v>
      </c>
      <c r="HV5">
        <v>93.841642228699996</v>
      </c>
      <c r="HW5">
        <v>640</v>
      </c>
      <c r="HX5">
        <v>23.523179888600001</v>
      </c>
      <c r="HY5">
        <v>-30.4985337243</v>
      </c>
      <c r="HZ5">
        <v>-208</v>
      </c>
      <c r="IA5">
        <v>421.02483404079999</v>
      </c>
      <c r="IB5">
        <v>93.841642228699996</v>
      </c>
      <c r="IC5">
        <v>640</v>
      </c>
      <c r="ID5">
        <v>38.575165959400003</v>
      </c>
      <c r="IE5">
        <v>1.5292850149999999</v>
      </c>
      <c r="IF5">
        <v>-39.8826979472</v>
      </c>
      <c r="IG5">
        <v>-272</v>
      </c>
      <c r="IH5">
        <v>442.86314071139998</v>
      </c>
      <c r="II5">
        <v>103.22580645159999</v>
      </c>
      <c r="IJ5">
        <v>704</v>
      </c>
      <c r="IK5">
        <v>397.50165415219999</v>
      </c>
      <c r="IL5">
        <v>124.3401759531</v>
      </c>
      <c r="IM5">
        <v>420.46645989720002</v>
      </c>
      <c r="IN5">
        <v>133.724340176</v>
      </c>
      <c r="IO5">
        <v>6.9000000003000004</v>
      </c>
      <c r="IP5">
        <v>5.5000000011000001</v>
      </c>
      <c r="IQ5">
        <v>9.5000000001</v>
      </c>
      <c r="IR5">
        <v>5.7871373335999996</v>
      </c>
      <c r="IS5">
        <v>5.7871373335999996</v>
      </c>
      <c r="IT5">
        <v>5.4</v>
      </c>
      <c r="IU5">
        <v>-32.844574780099997</v>
      </c>
      <c r="IV5">
        <v>9.3999999990000003</v>
      </c>
      <c r="IW5">
        <v>63.3431085044</v>
      </c>
      <c r="IX5">
        <v>7.7000000001000002</v>
      </c>
      <c r="IY5">
        <v>103.22580645159999</v>
      </c>
      <c r="IZ5">
        <v>-38.130116065300001</v>
      </c>
      <c r="JA5">
        <v>0.3470665946</v>
      </c>
      <c r="JB5">
        <v>-3.8105920000000001E-4</v>
      </c>
      <c r="JC5">
        <v>7.1520000000000005E-7</v>
      </c>
      <c r="JD5">
        <v>0.30269495340000002</v>
      </c>
      <c r="JE5">
        <v>0.33098201970000002</v>
      </c>
      <c r="JF5">
        <v>0.14373584850000001</v>
      </c>
      <c r="JG5">
        <v>123.06492438719999</v>
      </c>
      <c r="JH5">
        <v>3.4843716078</v>
      </c>
      <c r="JI5">
        <v>3.2544953000000001E-3</v>
      </c>
      <c r="JJ5">
        <v>-7.1446700000000002E-5</v>
      </c>
      <c r="JK5">
        <v>3.3036560036</v>
      </c>
      <c r="JL5">
        <v>1.6724404671999999</v>
      </c>
      <c r="JM5">
        <v>0.60722842430000001</v>
      </c>
      <c r="JN5" t="s">
        <v>523</v>
      </c>
      <c r="JQ5">
        <v>1</v>
      </c>
    </row>
    <row r="6" spans="1:277">
      <c r="A6" t="s">
        <v>594</v>
      </c>
      <c r="B6" t="s">
        <v>595</v>
      </c>
      <c r="C6" t="s">
        <v>208</v>
      </c>
      <c r="D6">
        <v>3</v>
      </c>
      <c r="E6" t="s">
        <v>209</v>
      </c>
      <c r="F6" t="s">
        <v>210</v>
      </c>
      <c r="G6" t="s">
        <v>522</v>
      </c>
      <c r="H6" t="s">
        <v>527</v>
      </c>
      <c r="J6" t="s">
        <v>556</v>
      </c>
      <c r="K6" t="s">
        <v>557</v>
      </c>
      <c r="L6" t="s">
        <v>558</v>
      </c>
      <c r="M6" t="s">
        <v>559</v>
      </c>
      <c r="N6" t="s">
        <v>560</v>
      </c>
      <c r="O6">
        <v>0</v>
      </c>
      <c r="P6">
        <v>0</v>
      </c>
      <c r="Q6">
        <v>0.3000000015</v>
      </c>
      <c r="R6">
        <v>0</v>
      </c>
      <c r="S6">
        <v>0.1000000011</v>
      </c>
      <c r="T6">
        <v>0.1000000011</v>
      </c>
      <c r="U6">
        <v>0.20000000039999999</v>
      </c>
      <c r="V6">
        <v>0</v>
      </c>
      <c r="W6">
        <v>0.1000000011</v>
      </c>
      <c r="X6">
        <v>0.20000000039999999</v>
      </c>
      <c r="Y6">
        <v>0.20000000039999999</v>
      </c>
      <c r="Z6">
        <v>0.20000000039999999</v>
      </c>
      <c r="AA6">
        <v>0.3000000015</v>
      </c>
      <c r="AB6">
        <v>0.7000000005</v>
      </c>
      <c r="AC6">
        <v>0.40000000079999998</v>
      </c>
      <c r="AD6">
        <v>0.40000000079999998</v>
      </c>
      <c r="AE6">
        <v>0.40000000079999998</v>
      </c>
      <c r="AF6">
        <v>0</v>
      </c>
      <c r="AG6">
        <v>0.50000000010000001</v>
      </c>
      <c r="AH6">
        <v>4.4000000015999996</v>
      </c>
      <c r="AI6">
        <v>10.5000000003</v>
      </c>
      <c r="AJ6">
        <v>16.400000000399999</v>
      </c>
      <c r="AK6">
        <v>23.200000001500001</v>
      </c>
      <c r="AL6">
        <v>30.4000000015</v>
      </c>
      <c r="AM6">
        <v>38.200000000899998</v>
      </c>
      <c r="AN6">
        <v>45.799999999900002</v>
      </c>
      <c r="AO6">
        <v>53.800000001500003</v>
      </c>
      <c r="AP6">
        <v>60.900000000399999</v>
      </c>
      <c r="AQ6">
        <v>68.000000001100005</v>
      </c>
      <c r="AR6">
        <v>75.5000000008</v>
      </c>
      <c r="AS6">
        <v>83.4000000013</v>
      </c>
      <c r="AT6">
        <v>91.600000001599994</v>
      </c>
      <c r="AU6">
        <v>100.00000000039999</v>
      </c>
      <c r="AV6">
        <v>108.2000000006</v>
      </c>
      <c r="AW6">
        <v>116.40000000080001</v>
      </c>
      <c r="AX6">
        <v>124.4999999999</v>
      </c>
      <c r="AY6">
        <v>132.7000000001</v>
      </c>
      <c r="AZ6">
        <v>141.30000000109999</v>
      </c>
      <c r="BA6">
        <v>149.6999999999</v>
      </c>
      <c r="BB6">
        <v>158.1999999999</v>
      </c>
      <c r="BC6">
        <v>166.3000000008</v>
      </c>
      <c r="BD6">
        <v>173.90000000160001</v>
      </c>
      <c r="BE6">
        <v>182.40000000149999</v>
      </c>
      <c r="BF6">
        <v>190.8000000003</v>
      </c>
      <c r="BG6">
        <v>199.20000000089999</v>
      </c>
      <c r="BH6">
        <v>207.50000000040001</v>
      </c>
      <c r="BI6">
        <v>215.400000001</v>
      </c>
      <c r="BJ6">
        <v>223.40000000079999</v>
      </c>
      <c r="BK6">
        <v>231.30000000129999</v>
      </c>
      <c r="BL6">
        <v>239.8000000012</v>
      </c>
      <c r="BM6">
        <v>247.800000001</v>
      </c>
      <c r="BN6">
        <v>256.00000000120002</v>
      </c>
      <c r="BO6">
        <v>263.80000000059999</v>
      </c>
      <c r="BP6">
        <v>271.00000000059998</v>
      </c>
      <c r="BQ6">
        <v>278.00000000019998</v>
      </c>
      <c r="BR6">
        <v>286.10000000119999</v>
      </c>
      <c r="BS6">
        <v>293.80000000130002</v>
      </c>
      <c r="BT6">
        <v>301.60000000069999</v>
      </c>
      <c r="BU6">
        <v>309.20000000149997</v>
      </c>
      <c r="BV6">
        <v>316.40000000150002</v>
      </c>
      <c r="BW6">
        <v>323.20000000070002</v>
      </c>
      <c r="BX6">
        <v>329.30000000119998</v>
      </c>
      <c r="BY6">
        <v>336.30000000080003</v>
      </c>
      <c r="BZ6">
        <v>343.7000000013</v>
      </c>
      <c r="CA6">
        <v>350.90000000129999</v>
      </c>
      <c r="CB6">
        <v>358.10000000129997</v>
      </c>
      <c r="CC6">
        <v>364.30000000109999</v>
      </c>
      <c r="CD6">
        <v>370.89999999989999</v>
      </c>
      <c r="CE6">
        <v>376.8</v>
      </c>
      <c r="CF6">
        <v>382.60000000079998</v>
      </c>
      <c r="CG6">
        <v>388.5000000009</v>
      </c>
      <c r="CH6">
        <v>395.10000000150001</v>
      </c>
      <c r="CI6">
        <v>401.40000000060002</v>
      </c>
      <c r="CJ6">
        <v>407.70000000160002</v>
      </c>
      <c r="CK6">
        <v>413.59999999989998</v>
      </c>
      <c r="CL6">
        <v>419.10000000100001</v>
      </c>
      <c r="CM6">
        <v>424.30000000059999</v>
      </c>
      <c r="CN6">
        <v>429.50000000019998</v>
      </c>
      <c r="CO6">
        <v>434.80000000090001</v>
      </c>
      <c r="CP6">
        <v>440.40000000129999</v>
      </c>
      <c r="CQ6">
        <v>446.4000000007</v>
      </c>
      <c r="CR6">
        <v>451.50000000099999</v>
      </c>
      <c r="CS6">
        <v>452.50000000120002</v>
      </c>
      <c r="CT6">
        <v>452.40000000010002</v>
      </c>
      <c r="CU6">
        <v>452.40000000010002</v>
      </c>
      <c r="CV6">
        <v>452.50000000120002</v>
      </c>
      <c r="CW6">
        <v>452.60000000050002</v>
      </c>
      <c r="CX6">
        <v>452.50000000120002</v>
      </c>
      <c r="CY6">
        <v>452.50000000120002</v>
      </c>
      <c r="CZ6">
        <v>452.60000000050002</v>
      </c>
      <c r="DA6">
        <v>452.40000000010002</v>
      </c>
      <c r="DB6">
        <v>452.20000000149997</v>
      </c>
      <c r="DC6">
        <v>452.30000000080003</v>
      </c>
      <c r="DD6">
        <v>452.40000000010002</v>
      </c>
      <c r="DE6">
        <v>452.80000000090001</v>
      </c>
      <c r="DF6">
        <v>452.70000000160002</v>
      </c>
      <c r="DG6">
        <v>1.5000000003</v>
      </c>
      <c r="DH6">
        <v>1.1000000013</v>
      </c>
      <c r="DI6">
        <v>1.2000000006</v>
      </c>
      <c r="DJ6">
        <v>1.2000000006</v>
      </c>
      <c r="DK6">
        <v>1.1000000013</v>
      </c>
      <c r="DL6">
        <v>1.1000000013</v>
      </c>
      <c r="DM6">
        <v>1.0000000002</v>
      </c>
      <c r="DN6">
        <v>1.2000000006</v>
      </c>
      <c r="DO6">
        <v>1.1000000013</v>
      </c>
      <c r="DP6">
        <v>1.2999999999</v>
      </c>
      <c r="DQ6">
        <v>1.400000001</v>
      </c>
      <c r="DR6">
        <v>1.400000001</v>
      </c>
      <c r="DS6">
        <v>1.400000001</v>
      </c>
      <c r="DT6">
        <v>1.2999999999</v>
      </c>
      <c r="DU6">
        <v>1.1000000013</v>
      </c>
      <c r="DV6">
        <v>1.2000000006</v>
      </c>
      <c r="DW6">
        <v>2.5000000005</v>
      </c>
      <c r="DX6">
        <v>9</v>
      </c>
      <c r="DY6">
        <v>15.200000001599999</v>
      </c>
      <c r="DZ6">
        <v>21.700000001100001</v>
      </c>
      <c r="EA6">
        <v>29.100000001600002</v>
      </c>
      <c r="EB6">
        <v>36.700000000599999</v>
      </c>
      <c r="EC6">
        <v>44.300000001400001</v>
      </c>
      <c r="ED6">
        <v>52.300000001199997</v>
      </c>
      <c r="EE6">
        <v>59.600000000500003</v>
      </c>
      <c r="EF6">
        <v>66.600000000099996</v>
      </c>
      <c r="EG6">
        <v>73.900000001199999</v>
      </c>
      <c r="EH6">
        <v>81.700000000599999</v>
      </c>
      <c r="EI6">
        <v>90.100000001300003</v>
      </c>
      <c r="EJ6">
        <v>98.200000000399996</v>
      </c>
      <c r="EK6">
        <v>106.600000001</v>
      </c>
      <c r="EL6">
        <v>114.4000000004</v>
      </c>
      <c r="EM6">
        <v>122.50000000129999</v>
      </c>
      <c r="EN6">
        <v>131.30000000090001</v>
      </c>
      <c r="EO6">
        <v>139.7000000015</v>
      </c>
      <c r="EP6">
        <v>147.89999999989999</v>
      </c>
      <c r="EQ6">
        <v>156.70000000140001</v>
      </c>
      <c r="ER6">
        <v>164.60000000010001</v>
      </c>
      <c r="ES6">
        <v>172.70000000100001</v>
      </c>
      <c r="ET6">
        <v>180.9000000012</v>
      </c>
      <c r="EU6">
        <v>189.60000000150001</v>
      </c>
      <c r="EV6">
        <v>198.10000000139999</v>
      </c>
      <c r="EW6">
        <v>206.6000000013</v>
      </c>
      <c r="EX6">
        <v>214.7000000004</v>
      </c>
      <c r="EY6">
        <v>222.60000000100001</v>
      </c>
      <c r="EZ6">
        <v>230.60000000080001</v>
      </c>
      <c r="FA6">
        <v>239.2</v>
      </c>
      <c r="FB6">
        <v>247.50000000130001</v>
      </c>
      <c r="FC6">
        <v>255.7000000015</v>
      </c>
      <c r="FD6">
        <v>263.5000000009</v>
      </c>
      <c r="FE6">
        <v>271.09999999989998</v>
      </c>
      <c r="FF6">
        <v>278.40000000110001</v>
      </c>
      <c r="FG6">
        <v>286.30000000159998</v>
      </c>
      <c r="FH6">
        <v>294.7000000004</v>
      </c>
      <c r="FI6">
        <v>302.10000000079998</v>
      </c>
      <c r="FJ6">
        <v>309.80000000090001</v>
      </c>
      <c r="FK6">
        <v>316.90000000160001</v>
      </c>
      <c r="FL6">
        <v>323.9000000012</v>
      </c>
      <c r="FM6">
        <v>330.8000000015</v>
      </c>
      <c r="FN6">
        <v>338.20000000009998</v>
      </c>
      <c r="FO6">
        <v>345.60000000060001</v>
      </c>
      <c r="FP6">
        <v>352.40000000160001</v>
      </c>
      <c r="FQ6">
        <v>359.60000000159999</v>
      </c>
      <c r="FR6">
        <v>366.1000000011</v>
      </c>
      <c r="FS6">
        <v>372.10000000050002</v>
      </c>
      <c r="FT6">
        <v>378.20000000099998</v>
      </c>
      <c r="FU6">
        <v>384.50000000009999</v>
      </c>
      <c r="FV6">
        <v>391.0000000014</v>
      </c>
      <c r="FW6">
        <v>397.30000000050001</v>
      </c>
      <c r="FX6">
        <v>403.29999999990002</v>
      </c>
      <c r="FY6">
        <v>409.50000000159997</v>
      </c>
      <c r="FZ6">
        <v>415.30000000059999</v>
      </c>
      <c r="GA6">
        <v>421.00000000030002</v>
      </c>
      <c r="GB6">
        <v>426.300000001</v>
      </c>
      <c r="GC6">
        <v>431.30000000019999</v>
      </c>
      <c r="GD6">
        <v>436.50000000159997</v>
      </c>
      <c r="GE6">
        <v>441.00000000070003</v>
      </c>
      <c r="GF6">
        <v>445.40000000049997</v>
      </c>
      <c r="GG6">
        <v>451.39999999989999</v>
      </c>
      <c r="GH6">
        <v>452.50000000120002</v>
      </c>
      <c r="GI6">
        <v>452.30000000080003</v>
      </c>
      <c r="GJ6">
        <v>452.10000000039997</v>
      </c>
      <c r="GK6">
        <v>452.30000000080003</v>
      </c>
      <c r="GL6">
        <v>452.10000000039997</v>
      </c>
      <c r="GM6">
        <v>452.10000000039997</v>
      </c>
      <c r="GN6">
        <v>452.00000000109998</v>
      </c>
      <c r="GO6">
        <v>452.20000000149997</v>
      </c>
      <c r="GP6">
        <v>452.30000000080003</v>
      </c>
      <c r="GQ6">
        <v>452.70000000160002</v>
      </c>
      <c r="GR6">
        <v>452.50000000120002</v>
      </c>
      <c r="GS6">
        <v>452.40000000010002</v>
      </c>
      <c r="GT6">
        <v>452.40000000010002</v>
      </c>
      <c r="GU6">
        <v>452.50000000120002</v>
      </c>
      <c r="GV6">
        <v>452.50000000120002</v>
      </c>
      <c r="GW6">
        <v>1</v>
      </c>
      <c r="GX6">
        <v>118.00000000039999</v>
      </c>
      <c r="GY6">
        <v>116.40000000080001</v>
      </c>
      <c r="GZ6">
        <v>116.40000000080001</v>
      </c>
      <c r="HA6">
        <v>122.50000000129999</v>
      </c>
      <c r="HB6">
        <v>118.00973158159999</v>
      </c>
      <c r="HC6">
        <v>-6.1000000004999997</v>
      </c>
      <c r="HD6">
        <v>452.50002209339999</v>
      </c>
      <c r="HE6">
        <v>290.645642329</v>
      </c>
      <c r="HF6">
        <v>101.3866784496</v>
      </c>
      <c r="HG6">
        <v>452.80000000090001</v>
      </c>
      <c r="HH6">
        <v>452.69993372530001</v>
      </c>
      <c r="HI6">
        <v>452.80000000090001</v>
      </c>
      <c r="HJ6">
        <v>452.70000000160002</v>
      </c>
      <c r="HK6">
        <v>110.26392961880001</v>
      </c>
      <c r="HL6">
        <v>3.3708722245999998</v>
      </c>
      <c r="HM6">
        <v>3.2574226033999998</v>
      </c>
      <c r="HN6">
        <v>3.3308505785000002</v>
      </c>
      <c r="HO6">
        <v>3.1157776986000001</v>
      </c>
      <c r="HP6">
        <v>3.5263598871999999</v>
      </c>
      <c r="HQ6">
        <v>2.3766755245</v>
      </c>
      <c r="HR6">
        <v>16.623053131999999</v>
      </c>
      <c r="HS6">
        <v>-30.4985337243</v>
      </c>
      <c r="HT6">
        <v>-208</v>
      </c>
      <c r="HU6">
        <v>408.65537391070001</v>
      </c>
      <c r="HV6">
        <v>89.149560117299998</v>
      </c>
      <c r="HW6">
        <v>608</v>
      </c>
      <c r="HX6">
        <v>16.623053131999999</v>
      </c>
      <c r="HY6">
        <v>-30.4985337243</v>
      </c>
      <c r="HZ6">
        <v>-208</v>
      </c>
      <c r="IA6">
        <v>408.65537391070001</v>
      </c>
      <c r="IB6">
        <v>89.149560117299998</v>
      </c>
      <c r="IC6">
        <v>608</v>
      </c>
      <c r="ID6">
        <v>44.044559814599999</v>
      </c>
      <c r="IE6">
        <v>1.5906328999999999E-3</v>
      </c>
      <c r="IF6">
        <v>-39.8826979472</v>
      </c>
      <c r="IG6">
        <v>-272</v>
      </c>
      <c r="IH6">
        <v>430.91570750049999</v>
      </c>
      <c r="II6">
        <v>98.533724340199996</v>
      </c>
      <c r="IJ6">
        <v>672</v>
      </c>
      <c r="IK6">
        <v>392.03232077870001</v>
      </c>
      <c r="IL6">
        <v>119.6480938416</v>
      </c>
      <c r="IM6">
        <v>415.95400419610002</v>
      </c>
      <c r="IN6">
        <v>129.03225806450001</v>
      </c>
      <c r="IO6">
        <v>6.4999999995</v>
      </c>
      <c r="IP6">
        <v>5.9999999994</v>
      </c>
      <c r="IQ6">
        <v>8.8000000014000008</v>
      </c>
      <c r="IR6">
        <v>5.1908624640000003</v>
      </c>
      <c r="IS6">
        <v>5.1908624640000003</v>
      </c>
      <c r="IT6">
        <v>4.7000000013000003</v>
      </c>
      <c r="IU6">
        <v>-32.844574780099997</v>
      </c>
      <c r="IV6">
        <v>9.2999999997000007</v>
      </c>
      <c r="IW6">
        <v>65.689149560100006</v>
      </c>
      <c r="IX6">
        <v>7.0000000014000001</v>
      </c>
      <c r="IY6">
        <v>100.87976539589999</v>
      </c>
      <c r="IZ6">
        <v>-35.943053156300003</v>
      </c>
      <c r="JA6">
        <v>0.33575289180000001</v>
      </c>
      <c r="JB6">
        <v>-3.4132269999999999E-4</v>
      </c>
      <c r="JC6">
        <v>6.581E-7</v>
      </c>
      <c r="JD6">
        <v>0.29665912360000002</v>
      </c>
      <c r="JE6">
        <v>0.23182078480000001</v>
      </c>
      <c r="JF6">
        <v>0.1003570168</v>
      </c>
      <c r="JG6">
        <v>118.3524833619</v>
      </c>
      <c r="JH6">
        <v>3.5263598871999999</v>
      </c>
      <c r="JI6">
        <v>3.3717639000000002E-3</v>
      </c>
      <c r="JJ6">
        <v>-7.3433400000000001E-5</v>
      </c>
      <c r="JK6">
        <v>3.3708722245999998</v>
      </c>
      <c r="JL6">
        <v>1.1615497138999999</v>
      </c>
      <c r="JM6">
        <v>0.45753190100000002</v>
      </c>
      <c r="JN6" t="s">
        <v>523</v>
      </c>
      <c r="JQ6">
        <v>1</v>
      </c>
    </row>
    <row r="7" spans="1:277">
      <c r="A7" t="s">
        <v>596</v>
      </c>
      <c r="B7" t="s">
        <v>597</v>
      </c>
      <c r="C7" t="s">
        <v>208</v>
      </c>
      <c r="D7">
        <v>3</v>
      </c>
      <c r="E7" t="s">
        <v>209</v>
      </c>
      <c r="F7" t="s">
        <v>210</v>
      </c>
      <c r="G7" t="s">
        <v>522</v>
      </c>
      <c r="H7" t="s">
        <v>527</v>
      </c>
      <c r="J7" t="s">
        <v>563</v>
      </c>
      <c r="K7" t="s">
        <v>564</v>
      </c>
      <c r="L7" t="s">
        <v>565</v>
      </c>
      <c r="M7" t="s">
        <v>566</v>
      </c>
      <c r="N7" t="s">
        <v>567</v>
      </c>
      <c r="O7">
        <v>0</v>
      </c>
      <c r="P7">
        <v>0</v>
      </c>
      <c r="Q7">
        <v>0</v>
      </c>
      <c r="R7">
        <v>0.39999999899999999</v>
      </c>
      <c r="S7">
        <v>0.29999999970000002</v>
      </c>
      <c r="T7">
        <v>0.29999999970000002</v>
      </c>
      <c r="U7">
        <v>0.20000000039999999</v>
      </c>
      <c r="V7">
        <v>0.39999999899999999</v>
      </c>
      <c r="W7">
        <v>0.50000000010000001</v>
      </c>
      <c r="X7">
        <v>0.50000000010000001</v>
      </c>
      <c r="Y7">
        <v>0.7000000005</v>
      </c>
      <c r="Z7">
        <v>0.59999999940000004</v>
      </c>
      <c r="AA7">
        <v>0.7000000005</v>
      </c>
      <c r="AB7">
        <v>0.59999999940000004</v>
      </c>
      <c r="AC7">
        <v>0.50000000010000001</v>
      </c>
      <c r="AD7">
        <v>0.7000000005</v>
      </c>
      <c r="AE7">
        <v>0.89999999909999995</v>
      </c>
      <c r="AF7">
        <v>1.2999999999</v>
      </c>
      <c r="AG7">
        <v>6.2999999990999997</v>
      </c>
      <c r="AH7">
        <v>12.0999999999</v>
      </c>
      <c r="AI7">
        <v>18.500000000099998</v>
      </c>
      <c r="AJ7">
        <v>24.9999999996</v>
      </c>
      <c r="AK7">
        <v>31.399999999799999</v>
      </c>
      <c r="AL7">
        <v>37.700000000800003</v>
      </c>
      <c r="AM7">
        <v>44.900000000799999</v>
      </c>
      <c r="AN7">
        <v>52.5999999991</v>
      </c>
      <c r="AO7">
        <v>60.199999999900001</v>
      </c>
      <c r="AP7">
        <v>67.300000000599994</v>
      </c>
      <c r="AQ7">
        <v>74.500000000599996</v>
      </c>
      <c r="AR7">
        <v>81.700000000599999</v>
      </c>
      <c r="AS7">
        <v>89.099999999199994</v>
      </c>
      <c r="AT7">
        <v>96.700000000100005</v>
      </c>
      <c r="AU7">
        <v>104.7999999992</v>
      </c>
      <c r="AV7">
        <v>112.6999999997</v>
      </c>
      <c r="AW7">
        <v>121.3000000007</v>
      </c>
      <c r="AX7">
        <v>129.89999999989999</v>
      </c>
      <c r="AY7">
        <v>137.09999999990001</v>
      </c>
      <c r="AZ7">
        <v>145.00000000040001</v>
      </c>
      <c r="BA7">
        <v>153.0999999995</v>
      </c>
      <c r="BB7">
        <v>161.5000000002</v>
      </c>
      <c r="BC7">
        <v>169.4000000007</v>
      </c>
      <c r="BD7">
        <v>177.79999999949999</v>
      </c>
      <c r="BE7">
        <v>184.99999999950001</v>
      </c>
      <c r="BF7">
        <v>192.60000000030001</v>
      </c>
      <c r="BG7">
        <v>200.49999999900001</v>
      </c>
      <c r="BH7">
        <v>208.6999999992</v>
      </c>
      <c r="BI7">
        <v>216.89999999939999</v>
      </c>
      <c r="BJ7">
        <v>225.00000000040001</v>
      </c>
      <c r="BK7">
        <v>232.79999999980001</v>
      </c>
      <c r="BL7">
        <v>239.7999999994</v>
      </c>
      <c r="BM7">
        <v>247.60000000060001</v>
      </c>
      <c r="BN7">
        <v>255.19999999960001</v>
      </c>
      <c r="BO7">
        <v>262.99999999900001</v>
      </c>
      <c r="BP7">
        <v>270.3000000001</v>
      </c>
      <c r="BQ7">
        <v>278.50000000030002</v>
      </c>
      <c r="BR7">
        <v>285.5</v>
      </c>
      <c r="BS7">
        <v>292.49999999959999</v>
      </c>
      <c r="BT7">
        <v>299.69999999959998</v>
      </c>
      <c r="BU7">
        <v>306.50000000059998</v>
      </c>
      <c r="BV7">
        <v>313.70000000060003</v>
      </c>
      <c r="BW7">
        <v>321.09999999920001</v>
      </c>
      <c r="BX7">
        <v>328.4000000003</v>
      </c>
      <c r="BY7">
        <v>335.1000000002</v>
      </c>
      <c r="BZ7">
        <v>341.3</v>
      </c>
      <c r="CA7">
        <v>347.70000000030001</v>
      </c>
      <c r="CB7">
        <v>354.29999999910001</v>
      </c>
      <c r="CC7">
        <v>360.69999999930002</v>
      </c>
      <c r="CD7">
        <v>367.29999999990002</v>
      </c>
      <c r="CE7">
        <v>373.49999999969998</v>
      </c>
      <c r="CF7">
        <v>380.60000000039997</v>
      </c>
      <c r="CG7">
        <v>386.0999999997</v>
      </c>
      <c r="CH7">
        <v>391.90000000049997</v>
      </c>
      <c r="CI7">
        <v>397.30000000050001</v>
      </c>
      <c r="CJ7">
        <v>403.50000000030002</v>
      </c>
      <c r="CK7">
        <v>409.20000000009998</v>
      </c>
      <c r="CL7">
        <v>414.9999999991</v>
      </c>
      <c r="CM7">
        <v>420.89999999920002</v>
      </c>
      <c r="CN7">
        <v>426.4000000003</v>
      </c>
      <c r="CO7">
        <v>432.1</v>
      </c>
      <c r="CP7">
        <v>436.79999999950002</v>
      </c>
      <c r="CQ7">
        <v>441.80000000050001</v>
      </c>
      <c r="CR7">
        <v>446.7000000004</v>
      </c>
      <c r="CS7">
        <v>452.10000000039997</v>
      </c>
      <c r="CT7">
        <v>457.39999999930001</v>
      </c>
      <c r="CU7">
        <v>460.99999999929997</v>
      </c>
      <c r="CV7">
        <v>460.9</v>
      </c>
      <c r="CW7">
        <v>460.9</v>
      </c>
      <c r="CX7">
        <v>460.80000000069998</v>
      </c>
      <c r="CY7">
        <v>460.99999999929997</v>
      </c>
      <c r="CZ7">
        <v>460.99999999929997</v>
      </c>
      <c r="DA7">
        <v>461.19999999970003</v>
      </c>
      <c r="DB7">
        <v>461.19999999970003</v>
      </c>
      <c r="DC7">
        <v>461.19999999970003</v>
      </c>
      <c r="DD7">
        <v>461.10000000039997</v>
      </c>
      <c r="DE7">
        <v>460.99999999929997</v>
      </c>
      <c r="DF7">
        <v>460.99999999929997</v>
      </c>
      <c r="DG7">
        <v>0.59999999940000004</v>
      </c>
      <c r="DH7">
        <v>1.2000000006</v>
      </c>
      <c r="DI7">
        <v>1.2000000006</v>
      </c>
      <c r="DJ7">
        <v>1.3999999992000001</v>
      </c>
      <c r="DK7">
        <v>1.3999999992000001</v>
      </c>
      <c r="DL7">
        <v>1.5999999996000001</v>
      </c>
      <c r="DM7">
        <v>1.5000000003</v>
      </c>
      <c r="DN7">
        <v>1.2999999999</v>
      </c>
      <c r="DO7">
        <v>1.3999999992000001</v>
      </c>
      <c r="DP7">
        <v>1.2999999999</v>
      </c>
      <c r="DQ7">
        <v>1.3999999992000001</v>
      </c>
      <c r="DR7">
        <v>1.7000000007</v>
      </c>
      <c r="DS7">
        <v>1.8</v>
      </c>
      <c r="DT7">
        <v>2.0000000004</v>
      </c>
      <c r="DU7">
        <v>1.8999999993000001</v>
      </c>
      <c r="DV7">
        <v>4.4999999990999999</v>
      </c>
      <c r="DW7">
        <v>10.8</v>
      </c>
      <c r="DX7">
        <v>17.400000000599999</v>
      </c>
      <c r="DY7">
        <v>24.499999999500002</v>
      </c>
      <c r="DZ7">
        <v>30.8999999997</v>
      </c>
      <c r="EA7">
        <v>37.299999999999997</v>
      </c>
      <c r="EB7">
        <v>44.5</v>
      </c>
      <c r="EC7">
        <v>51.400000000299997</v>
      </c>
      <c r="ED7">
        <v>58.999999999300002</v>
      </c>
      <c r="EE7">
        <v>66.300000000400004</v>
      </c>
      <c r="EF7">
        <v>73.899999999399995</v>
      </c>
      <c r="EG7">
        <v>81.399999999100004</v>
      </c>
      <c r="EH7">
        <v>88.099999999000005</v>
      </c>
      <c r="EI7">
        <v>95.699999999900001</v>
      </c>
      <c r="EJ7">
        <v>103.1000000003</v>
      </c>
      <c r="EK7">
        <v>111.3999999998</v>
      </c>
      <c r="EL7">
        <v>119.3000000003</v>
      </c>
      <c r="EM7">
        <v>128.09999999990001</v>
      </c>
      <c r="EN7">
        <v>136.0999999997</v>
      </c>
      <c r="EO7">
        <v>143.8999999991</v>
      </c>
      <c r="EP7">
        <v>152.0999999993</v>
      </c>
      <c r="EQ7">
        <v>159.99999999990001</v>
      </c>
      <c r="ER7">
        <v>167.99999999970001</v>
      </c>
      <c r="ES7">
        <v>176.2999999992</v>
      </c>
      <c r="ET7">
        <v>184.29999999899999</v>
      </c>
      <c r="EU7">
        <v>191.80000000050001</v>
      </c>
      <c r="EV7">
        <v>200.1</v>
      </c>
      <c r="EW7">
        <v>208.09999999979999</v>
      </c>
      <c r="EX7">
        <v>216.50000000049999</v>
      </c>
      <c r="EY7">
        <v>224.0999999995</v>
      </c>
      <c r="EZ7">
        <v>232</v>
      </c>
      <c r="FA7">
        <v>239.29999999930001</v>
      </c>
      <c r="FB7">
        <v>247.60000000060001</v>
      </c>
      <c r="FC7">
        <v>255.4</v>
      </c>
      <c r="FD7">
        <v>263.6000000002</v>
      </c>
      <c r="FE7">
        <v>270.69999999909999</v>
      </c>
      <c r="FF7">
        <v>278.8</v>
      </c>
      <c r="FG7">
        <v>285.79999999969999</v>
      </c>
      <c r="FH7">
        <v>292.99999999969998</v>
      </c>
      <c r="FI7">
        <v>300.49999999940002</v>
      </c>
      <c r="FJ7">
        <v>308.1000000002</v>
      </c>
      <c r="FK7">
        <v>315.39999999949998</v>
      </c>
      <c r="FL7">
        <v>322.50000000019998</v>
      </c>
      <c r="FM7">
        <v>329.79999999950002</v>
      </c>
      <c r="FN7">
        <v>336.10000000039997</v>
      </c>
      <c r="FO7">
        <v>342.59999999989998</v>
      </c>
      <c r="FP7">
        <v>349.70000000070002</v>
      </c>
      <c r="FQ7">
        <v>356.40000000060002</v>
      </c>
      <c r="FR7">
        <v>363.10000000050002</v>
      </c>
      <c r="FS7">
        <v>369.69999999930002</v>
      </c>
      <c r="FT7">
        <v>375.89999999909998</v>
      </c>
      <c r="FU7">
        <v>382.2</v>
      </c>
      <c r="FV7">
        <v>388.19999999940001</v>
      </c>
      <c r="FW7">
        <v>394.00000000019998</v>
      </c>
      <c r="FX7">
        <v>399.99999999959999</v>
      </c>
      <c r="FY7">
        <v>406.1000000002</v>
      </c>
      <c r="FZ7">
        <v>412.00000000030002</v>
      </c>
      <c r="GA7">
        <v>417.7</v>
      </c>
      <c r="GB7">
        <v>423.00000000070003</v>
      </c>
      <c r="GC7">
        <v>428.2999999996</v>
      </c>
      <c r="GD7">
        <v>433.9</v>
      </c>
      <c r="GE7">
        <v>438.70000000060003</v>
      </c>
      <c r="GF7">
        <v>443.69999999980001</v>
      </c>
      <c r="GG7">
        <v>448.20000000070002</v>
      </c>
      <c r="GH7">
        <v>452.99999999950001</v>
      </c>
      <c r="GI7">
        <v>457.50000000040001</v>
      </c>
      <c r="GJ7">
        <v>460.60000000029999</v>
      </c>
      <c r="GK7">
        <v>460.69999999959998</v>
      </c>
      <c r="GL7">
        <v>460.9</v>
      </c>
      <c r="GM7">
        <v>460.9</v>
      </c>
      <c r="GN7">
        <v>460.9</v>
      </c>
      <c r="GO7">
        <v>460.80000000069998</v>
      </c>
      <c r="GP7">
        <v>460.9</v>
      </c>
      <c r="GQ7">
        <v>460.99999999929997</v>
      </c>
      <c r="GR7">
        <v>461.10000000039997</v>
      </c>
      <c r="GS7">
        <v>461.19999999970003</v>
      </c>
      <c r="GT7">
        <v>461.10000000039997</v>
      </c>
      <c r="GU7">
        <v>461.19999999970003</v>
      </c>
      <c r="GV7">
        <v>461.10000000039997</v>
      </c>
      <c r="GW7">
        <v>1</v>
      </c>
      <c r="GX7">
        <v>124.20000000020001</v>
      </c>
      <c r="GY7">
        <v>121.3000000007</v>
      </c>
      <c r="GZ7">
        <v>121.3000000007</v>
      </c>
      <c r="HA7">
        <v>128.09999999990001</v>
      </c>
      <c r="HB7">
        <v>123.1385949701</v>
      </c>
      <c r="HC7">
        <v>-6.7999999991999998</v>
      </c>
      <c r="HD7">
        <v>461.0999674766</v>
      </c>
      <c r="HE7">
        <v>293.68136383299998</v>
      </c>
      <c r="HF7">
        <v>104.35888985290001</v>
      </c>
      <c r="HG7">
        <v>461.19999999970003</v>
      </c>
      <c r="HH7">
        <v>461.19999999970003</v>
      </c>
      <c r="HI7">
        <v>461.19999999970003</v>
      </c>
      <c r="HJ7">
        <v>461.19999999970003</v>
      </c>
      <c r="HK7">
        <v>114.9560117302</v>
      </c>
      <c r="HL7">
        <v>3.2429456073999998</v>
      </c>
      <c r="HM7">
        <v>3.1701812029999998</v>
      </c>
      <c r="HN7">
        <v>3.2137804563999999</v>
      </c>
      <c r="HO7">
        <v>2.9771048993</v>
      </c>
      <c r="HP7">
        <v>3.3957337270000001</v>
      </c>
      <c r="HQ7">
        <v>2.2624105717999998</v>
      </c>
      <c r="HR7">
        <v>18.779705117199999</v>
      </c>
      <c r="HS7">
        <v>-32.844574780099997</v>
      </c>
      <c r="HT7">
        <v>-224</v>
      </c>
      <c r="HU7">
        <v>416.81995880310001</v>
      </c>
      <c r="HV7">
        <v>93.841642228699996</v>
      </c>
      <c r="HW7">
        <v>640</v>
      </c>
      <c r="HX7">
        <v>18.779705117199999</v>
      </c>
      <c r="HY7">
        <v>-32.844574780099997</v>
      </c>
      <c r="HZ7">
        <v>-224</v>
      </c>
      <c r="IA7">
        <v>416.81995880310001</v>
      </c>
      <c r="IB7">
        <v>93.841642228699996</v>
      </c>
      <c r="IC7">
        <v>640</v>
      </c>
      <c r="ID7">
        <v>44.380041196599997</v>
      </c>
      <c r="IE7">
        <v>0.90303555849999995</v>
      </c>
      <c r="IF7">
        <v>-42.228739002899999</v>
      </c>
      <c r="IG7">
        <v>-288</v>
      </c>
      <c r="IH7">
        <v>438.33078924599999</v>
      </c>
      <c r="II7">
        <v>103.22580645159999</v>
      </c>
      <c r="IJ7">
        <v>704</v>
      </c>
      <c r="IK7">
        <v>398.04025368589998</v>
      </c>
      <c r="IL7">
        <v>126.6862170088</v>
      </c>
      <c r="IM7">
        <v>421.32932567260002</v>
      </c>
      <c r="IN7">
        <v>136.0703812317</v>
      </c>
      <c r="IO7">
        <v>6.6000000005999997</v>
      </c>
      <c r="IP7">
        <v>5.6999999997000002</v>
      </c>
      <c r="IQ7">
        <v>8.7999999996000007</v>
      </c>
      <c r="IR7">
        <v>4.8206649071000003</v>
      </c>
      <c r="IS7">
        <v>4.8206649071000003</v>
      </c>
      <c r="IT7">
        <v>5.3000000006999999</v>
      </c>
      <c r="IU7">
        <v>-35.190615835800003</v>
      </c>
      <c r="IV7">
        <v>9</v>
      </c>
      <c r="IW7">
        <v>75.073313783000003</v>
      </c>
      <c r="IX7">
        <v>7.4999999997</v>
      </c>
      <c r="IY7">
        <v>100.87976539589999</v>
      </c>
      <c r="IZ7">
        <v>-39.011580714200001</v>
      </c>
      <c r="JA7">
        <v>0.35241288679999999</v>
      </c>
      <c r="JB7">
        <v>-3.6607559999999998E-4</v>
      </c>
      <c r="JC7">
        <v>6.8449999999999997E-7</v>
      </c>
      <c r="JD7">
        <v>0.308361632</v>
      </c>
      <c r="JE7">
        <v>0.32663119470000002</v>
      </c>
      <c r="JF7">
        <v>0.1201061316</v>
      </c>
      <c r="JG7">
        <v>123.1501930295</v>
      </c>
      <c r="JH7">
        <v>3.3957337270000001</v>
      </c>
      <c r="JI7">
        <v>3.1551154000000001E-3</v>
      </c>
      <c r="JJ7">
        <v>-6.5312899999999996E-5</v>
      </c>
      <c r="JK7">
        <v>3.2429456073999998</v>
      </c>
      <c r="JL7">
        <v>1.4431699791000001</v>
      </c>
      <c r="JM7">
        <v>0.56953302760000002</v>
      </c>
      <c r="JN7" t="s">
        <v>523</v>
      </c>
      <c r="JQ7">
        <v>1</v>
      </c>
    </row>
    <row r="8" spans="1:277">
      <c r="A8" t="s">
        <v>606</v>
      </c>
      <c r="B8" t="s">
        <v>607</v>
      </c>
      <c r="C8" t="s">
        <v>208</v>
      </c>
      <c r="D8">
        <v>3</v>
      </c>
      <c r="E8" t="s">
        <v>209</v>
      </c>
      <c r="F8" t="s">
        <v>210</v>
      </c>
      <c r="G8" t="s">
        <v>522</v>
      </c>
      <c r="H8" t="s">
        <v>527</v>
      </c>
      <c r="J8" t="s">
        <v>601</v>
      </c>
      <c r="K8" t="s">
        <v>602</v>
      </c>
      <c r="L8" t="s">
        <v>603</v>
      </c>
      <c r="M8" t="s">
        <v>604</v>
      </c>
      <c r="N8" t="s">
        <v>605</v>
      </c>
      <c r="O8">
        <v>0</v>
      </c>
      <c r="P8">
        <v>0</v>
      </c>
      <c r="Q8">
        <v>0</v>
      </c>
      <c r="R8">
        <v>0.40000000079999998</v>
      </c>
      <c r="S8">
        <v>0.29999999970000002</v>
      </c>
      <c r="T8">
        <v>0.40000000079999998</v>
      </c>
      <c r="U8">
        <v>0.40000000079999998</v>
      </c>
      <c r="V8">
        <v>0.40000000079999998</v>
      </c>
      <c r="W8">
        <v>0.50000000010000001</v>
      </c>
      <c r="X8">
        <v>0.7000000005</v>
      </c>
      <c r="Y8">
        <v>0.7000000005</v>
      </c>
      <c r="Z8">
        <v>0.50000000010000001</v>
      </c>
      <c r="AA8">
        <v>0.50000000010000001</v>
      </c>
      <c r="AB8">
        <v>0.90000000089999999</v>
      </c>
      <c r="AC8">
        <v>0.79999999980000003</v>
      </c>
      <c r="AD8">
        <v>0.7000000005</v>
      </c>
      <c r="AE8">
        <v>0.7000000005</v>
      </c>
      <c r="AF8">
        <v>0.50000000010000001</v>
      </c>
      <c r="AG8">
        <v>3.2000000009999998</v>
      </c>
      <c r="AH8">
        <v>7.8000000011999999</v>
      </c>
      <c r="AI8">
        <v>14.6000000004</v>
      </c>
      <c r="AJ8">
        <v>21.800000000400001</v>
      </c>
      <c r="AK8">
        <v>28.900000001199999</v>
      </c>
      <c r="AL8">
        <v>35.799999999699999</v>
      </c>
      <c r="AM8">
        <v>42.999999999700002</v>
      </c>
      <c r="AN8">
        <v>50.100000000400001</v>
      </c>
      <c r="AO8">
        <v>57.1</v>
      </c>
      <c r="AP8">
        <v>64.500000000399993</v>
      </c>
      <c r="AQ8">
        <v>72.299999999799994</v>
      </c>
      <c r="AR8">
        <v>80.5</v>
      </c>
      <c r="AS8">
        <v>87.999999999699995</v>
      </c>
      <c r="AT8">
        <v>95.900000000299997</v>
      </c>
      <c r="AU8">
        <v>103.6999999997</v>
      </c>
      <c r="AV8">
        <v>110.8999999997</v>
      </c>
      <c r="AW8">
        <v>119.09999999990001</v>
      </c>
      <c r="AX8">
        <v>128.3000000003</v>
      </c>
      <c r="AY8">
        <v>136.4000000012</v>
      </c>
      <c r="AZ8">
        <v>144.59999999959999</v>
      </c>
      <c r="BA8">
        <v>152.40000000090001</v>
      </c>
      <c r="BB8">
        <v>160.4000000007</v>
      </c>
      <c r="BC8">
        <v>168.4999999998</v>
      </c>
      <c r="BD8">
        <v>176.80000000109999</v>
      </c>
      <c r="BE8">
        <v>185.1999999999</v>
      </c>
      <c r="BF8">
        <v>193.3000000008</v>
      </c>
      <c r="BG8">
        <v>201.30000000059999</v>
      </c>
      <c r="BH8">
        <v>209.1</v>
      </c>
      <c r="BI8">
        <v>216.8000000001</v>
      </c>
      <c r="BJ8">
        <v>224.90000000110001</v>
      </c>
      <c r="BK8">
        <v>233.50000000029999</v>
      </c>
      <c r="BL8">
        <v>241.1000000011</v>
      </c>
      <c r="BM8">
        <v>248.7000000001</v>
      </c>
      <c r="BN8">
        <v>256.40000000020001</v>
      </c>
      <c r="BO8">
        <v>264.10000000029999</v>
      </c>
      <c r="BP8">
        <v>271.70000000110002</v>
      </c>
      <c r="BQ8">
        <v>279.3000000001</v>
      </c>
      <c r="BR8">
        <v>287.09999999960002</v>
      </c>
      <c r="BS8">
        <v>294.20000000030001</v>
      </c>
      <c r="BT8">
        <v>301.49999999959999</v>
      </c>
      <c r="BU8">
        <v>308.30000000059999</v>
      </c>
      <c r="BV8">
        <v>315.40000000129999</v>
      </c>
      <c r="BW8">
        <v>322.20000000049998</v>
      </c>
      <c r="BX8">
        <v>329.60000000090002</v>
      </c>
      <c r="BY8">
        <v>335.69999999959998</v>
      </c>
      <c r="BZ8">
        <v>343.1</v>
      </c>
      <c r="CA8">
        <v>349.8</v>
      </c>
      <c r="CB8">
        <v>356.20000000020002</v>
      </c>
      <c r="CC8">
        <v>362.4</v>
      </c>
      <c r="CD8">
        <v>368.70000000089999</v>
      </c>
      <c r="CE8">
        <v>374.9000000007</v>
      </c>
      <c r="CF8">
        <v>381.50000000130001</v>
      </c>
      <c r="CG8">
        <v>386.70000000089999</v>
      </c>
      <c r="CH8">
        <v>393.40000000079999</v>
      </c>
      <c r="CI8">
        <v>399.49999999950001</v>
      </c>
      <c r="CJ8">
        <v>405.00000000070003</v>
      </c>
      <c r="CK8">
        <v>410.79999999969999</v>
      </c>
      <c r="CL8">
        <v>416.10000000039997</v>
      </c>
      <c r="CM8">
        <v>421.7000000008</v>
      </c>
      <c r="CN8">
        <v>427.30000000119998</v>
      </c>
      <c r="CO8">
        <v>432.8999999998</v>
      </c>
      <c r="CP8">
        <v>437.4000000007</v>
      </c>
      <c r="CQ8">
        <v>443.50000000120002</v>
      </c>
      <c r="CR8">
        <v>448.8000000001</v>
      </c>
      <c r="CS8">
        <v>453.60000000069999</v>
      </c>
      <c r="CT8">
        <v>457.9000000012</v>
      </c>
      <c r="CU8">
        <v>457.9000000012</v>
      </c>
      <c r="CV8">
        <v>457.9000000012</v>
      </c>
      <c r="CW8">
        <v>457.7000000008</v>
      </c>
      <c r="CX8">
        <v>457.9000000012</v>
      </c>
      <c r="CY8">
        <v>458.09999999979999</v>
      </c>
      <c r="CZ8">
        <v>458.00000000049999</v>
      </c>
      <c r="DA8">
        <v>457.9000000012</v>
      </c>
      <c r="DB8">
        <v>457.9000000012</v>
      </c>
      <c r="DC8">
        <v>457.9000000012</v>
      </c>
      <c r="DD8">
        <v>457.9000000012</v>
      </c>
      <c r="DE8">
        <v>458.09999999979999</v>
      </c>
      <c r="DF8">
        <v>458.00000000049999</v>
      </c>
      <c r="DG8">
        <v>0.79999999980000003</v>
      </c>
      <c r="DH8">
        <v>1.5000000003</v>
      </c>
      <c r="DI8">
        <v>1.400000001</v>
      </c>
      <c r="DJ8">
        <v>1.5999999996000001</v>
      </c>
      <c r="DK8">
        <v>1.400000001</v>
      </c>
      <c r="DL8">
        <v>1.400000001</v>
      </c>
      <c r="DM8">
        <v>1.2999999999</v>
      </c>
      <c r="DN8">
        <v>1.5000000003</v>
      </c>
      <c r="DO8">
        <v>1.5000000003</v>
      </c>
      <c r="DP8">
        <v>1.5999999996000001</v>
      </c>
      <c r="DQ8">
        <v>1.7000000007</v>
      </c>
      <c r="DR8">
        <v>1.7000000007</v>
      </c>
      <c r="DS8">
        <v>1.5000000003</v>
      </c>
      <c r="DT8">
        <v>1.5999999996000001</v>
      </c>
      <c r="DU8">
        <v>1.7000000007</v>
      </c>
      <c r="DV8">
        <v>2.0999999997000001</v>
      </c>
      <c r="DW8">
        <v>6.4000000002000004</v>
      </c>
      <c r="DX8">
        <v>13.0000000008</v>
      </c>
      <c r="DY8">
        <v>20.200000000799999</v>
      </c>
      <c r="DZ8">
        <v>27.4000000009</v>
      </c>
      <c r="EA8">
        <v>34.600000000900003</v>
      </c>
      <c r="EB8">
        <v>41.600000000500003</v>
      </c>
      <c r="EC8">
        <v>48.899999999800002</v>
      </c>
      <c r="ED8">
        <v>56.000000000500002</v>
      </c>
      <c r="EE8">
        <v>63.200000000499998</v>
      </c>
      <c r="EF8">
        <v>70.600000000899996</v>
      </c>
      <c r="EG8">
        <v>78.600000000700007</v>
      </c>
      <c r="EH8">
        <v>86.400000000099993</v>
      </c>
      <c r="EI8">
        <v>94.300000000699995</v>
      </c>
      <c r="EJ8">
        <v>101.8000000004</v>
      </c>
      <c r="EK8">
        <v>109.5999999998</v>
      </c>
      <c r="EL8">
        <v>117.2999999999</v>
      </c>
      <c r="EM8">
        <v>126.2000000006</v>
      </c>
      <c r="EN8">
        <v>134.60000000119999</v>
      </c>
      <c r="EO8">
        <v>142.7999999996</v>
      </c>
      <c r="EP8">
        <v>150.9000000005</v>
      </c>
      <c r="EQ8">
        <v>158.69999999999999</v>
      </c>
      <c r="ER8">
        <v>166.90000000020001</v>
      </c>
      <c r="ES8">
        <v>174.60000000030001</v>
      </c>
      <c r="ET8">
        <v>183.80000000070001</v>
      </c>
      <c r="EU8">
        <v>192.1000000002</v>
      </c>
      <c r="EV8">
        <v>200.20000000109999</v>
      </c>
      <c r="EW8">
        <v>208.39999999950001</v>
      </c>
      <c r="EX8">
        <v>216.2000000008</v>
      </c>
      <c r="EY8">
        <v>224.2000000006</v>
      </c>
      <c r="EZ8">
        <v>232.79999999980001</v>
      </c>
      <c r="FA8">
        <v>240.7999999996</v>
      </c>
      <c r="FB8">
        <v>248.7000000001</v>
      </c>
      <c r="FC8">
        <v>256.19999999980001</v>
      </c>
      <c r="FD8">
        <v>264.00000000099999</v>
      </c>
      <c r="FE8">
        <v>271.60000000000002</v>
      </c>
      <c r="FF8">
        <v>278.9000000012</v>
      </c>
      <c r="FG8">
        <v>287.5999999997</v>
      </c>
      <c r="FH8">
        <v>295.10000000119999</v>
      </c>
      <c r="FI8">
        <v>302.40000000049997</v>
      </c>
      <c r="FJ8">
        <v>309.40000000010002</v>
      </c>
      <c r="FK8">
        <v>316.60000000010001</v>
      </c>
      <c r="FL8">
        <v>323.9000000012</v>
      </c>
      <c r="FM8">
        <v>330.4000000007</v>
      </c>
      <c r="FN8">
        <v>338.70000000020002</v>
      </c>
      <c r="FO8">
        <v>345.10000000050002</v>
      </c>
      <c r="FP8">
        <v>351.80000000040002</v>
      </c>
      <c r="FQ8">
        <v>358.50000000030002</v>
      </c>
      <c r="FR8">
        <v>365.10000000090002</v>
      </c>
      <c r="FS8">
        <v>371.19999999959998</v>
      </c>
      <c r="FT8">
        <v>377.50000000049999</v>
      </c>
      <c r="FU8">
        <v>383.20000000020002</v>
      </c>
      <c r="FV8">
        <v>390.40000000020001</v>
      </c>
      <c r="FW8">
        <v>396.20000000099998</v>
      </c>
      <c r="FX8">
        <v>402</v>
      </c>
      <c r="FY8">
        <v>407.69999999970003</v>
      </c>
      <c r="FZ8">
        <v>413.40000000129999</v>
      </c>
      <c r="GA8">
        <v>418.99999999990001</v>
      </c>
      <c r="GB8">
        <v>424.2000000013</v>
      </c>
      <c r="GC8">
        <v>428.79999999969999</v>
      </c>
      <c r="GD8">
        <v>434.00000000109998</v>
      </c>
      <c r="GE8">
        <v>440.20000000089999</v>
      </c>
      <c r="GF8">
        <v>445.10000000079998</v>
      </c>
      <c r="GG8">
        <v>449.80000000029997</v>
      </c>
      <c r="GH8">
        <v>454.30000000119998</v>
      </c>
      <c r="GI8">
        <v>457.7000000008</v>
      </c>
      <c r="GJ8">
        <v>457.7000000008</v>
      </c>
      <c r="GK8">
        <v>457.8000000001</v>
      </c>
      <c r="GL8">
        <v>457.9000000012</v>
      </c>
      <c r="GM8">
        <v>457.9000000012</v>
      </c>
      <c r="GN8">
        <v>457.8000000001</v>
      </c>
      <c r="GO8">
        <v>457.8000000001</v>
      </c>
      <c r="GP8">
        <v>457.8000000001</v>
      </c>
      <c r="GQ8">
        <v>457.9000000012</v>
      </c>
      <c r="GR8">
        <v>457.9000000012</v>
      </c>
      <c r="GS8">
        <v>458.09999999979999</v>
      </c>
      <c r="GT8">
        <v>458.00000000049999</v>
      </c>
      <c r="GU8">
        <v>458.00000000049999</v>
      </c>
      <c r="GV8">
        <v>457.9000000012</v>
      </c>
      <c r="GW8">
        <v>1</v>
      </c>
      <c r="GX8">
        <v>121.9999999994</v>
      </c>
      <c r="GY8">
        <v>119.09999999990001</v>
      </c>
      <c r="GZ8">
        <v>119.09999999990001</v>
      </c>
      <c r="HA8">
        <v>126.2000000006</v>
      </c>
      <c r="HB8">
        <v>121.0011352473</v>
      </c>
      <c r="HC8">
        <v>-7.1000000006999997</v>
      </c>
      <c r="HD8">
        <v>457.90002183289999</v>
      </c>
      <c r="HE8">
        <v>302.52865407820002</v>
      </c>
      <c r="HF8">
        <v>106.18840737870001</v>
      </c>
      <c r="HG8">
        <v>458.09999999979999</v>
      </c>
      <c r="HH8">
        <v>458.09997816819998</v>
      </c>
      <c r="HI8">
        <v>458.09999999979999</v>
      </c>
      <c r="HJ8">
        <v>458.09999999979999</v>
      </c>
      <c r="HK8">
        <v>112.6099706745</v>
      </c>
      <c r="HL8">
        <v>3.2731865159</v>
      </c>
      <c r="HM8">
        <v>3.1829503176</v>
      </c>
      <c r="HN8">
        <v>3.2362208177</v>
      </c>
      <c r="HO8">
        <v>3.0287964281000002</v>
      </c>
      <c r="HP8">
        <v>3.4572531885000002</v>
      </c>
      <c r="HQ8">
        <v>2.1610642377999998</v>
      </c>
      <c r="HR8">
        <v>14.8127278686</v>
      </c>
      <c r="HS8">
        <v>-32.844574780099997</v>
      </c>
      <c r="HT8">
        <v>-224</v>
      </c>
      <c r="HU8">
        <v>423.52978932550002</v>
      </c>
      <c r="HV8">
        <v>96.187683284499997</v>
      </c>
      <c r="HW8">
        <v>656</v>
      </c>
      <c r="HX8">
        <v>14.8127278686</v>
      </c>
      <c r="HY8">
        <v>-32.844574780099997</v>
      </c>
      <c r="HZ8">
        <v>-224</v>
      </c>
      <c r="IA8">
        <v>423.52978932550002</v>
      </c>
      <c r="IB8">
        <v>96.187683284499997</v>
      </c>
      <c r="IC8">
        <v>656</v>
      </c>
      <c r="ID8">
        <v>34.570188842599997</v>
      </c>
      <c r="IE8">
        <v>0.70261980180000005</v>
      </c>
      <c r="IF8">
        <v>-42.228739002899999</v>
      </c>
      <c r="IG8">
        <v>-288</v>
      </c>
      <c r="IH8">
        <v>444.81758541729999</v>
      </c>
      <c r="II8">
        <v>105.57184750730001</v>
      </c>
      <c r="IJ8">
        <v>720</v>
      </c>
      <c r="IK8">
        <v>408.71706145690001</v>
      </c>
      <c r="IL8">
        <v>129.03225806450001</v>
      </c>
      <c r="IM8">
        <v>430.36568060270002</v>
      </c>
      <c r="IN8">
        <v>138.4164222874</v>
      </c>
      <c r="IO8">
        <v>7.2</v>
      </c>
      <c r="IP8">
        <v>6.1999999998000002</v>
      </c>
      <c r="IQ8">
        <v>9.2000000003999993</v>
      </c>
      <c r="IR8">
        <v>6.1262070917000004</v>
      </c>
      <c r="IS8">
        <v>6.1262070917000004</v>
      </c>
      <c r="IT8">
        <v>5.1999999996000001</v>
      </c>
      <c r="IU8">
        <v>-35.190615835800003</v>
      </c>
      <c r="IV8">
        <v>9.5000000001</v>
      </c>
      <c r="IW8">
        <v>84.457478005900001</v>
      </c>
      <c r="IX8">
        <v>7.7000000001000002</v>
      </c>
      <c r="IY8">
        <v>105.57184750730001</v>
      </c>
      <c r="IZ8">
        <v>-37.925819361899997</v>
      </c>
      <c r="JA8">
        <v>0.34764359509999998</v>
      </c>
      <c r="JB8">
        <v>-3.75743E-4</v>
      </c>
      <c r="JC8">
        <v>7.1139999999999998E-7</v>
      </c>
      <c r="JD8">
        <v>0.30551268469999998</v>
      </c>
      <c r="JE8">
        <v>0.22740867410000001</v>
      </c>
      <c r="JF8">
        <v>0.1071911103</v>
      </c>
      <c r="JG8">
        <v>121.87664702950001</v>
      </c>
      <c r="JH8">
        <v>3.4572531885000002</v>
      </c>
      <c r="JI8">
        <v>3.1471398E-3</v>
      </c>
      <c r="JJ8">
        <v>-6.8511599999999996E-5</v>
      </c>
      <c r="JK8">
        <v>3.2731865159</v>
      </c>
      <c r="JL8">
        <v>1.289758891</v>
      </c>
      <c r="JM8">
        <v>0.54996333659999996</v>
      </c>
      <c r="JN8" t="s">
        <v>523</v>
      </c>
      <c r="JQ8">
        <v>1</v>
      </c>
    </row>
    <row r="9" spans="1:277">
      <c r="A9" t="s">
        <v>618</v>
      </c>
      <c r="B9" t="s">
        <v>619</v>
      </c>
      <c r="C9" t="s">
        <v>208</v>
      </c>
      <c r="D9">
        <v>3</v>
      </c>
      <c r="E9" t="s">
        <v>209</v>
      </c>
      <c r="F9" t="s">
        <v>210</v>
      </c>
      <c r="G9" t="s">
        <v>522</v>
      </c>
      <c r="H9" t="s">
        <v>527</v>
      </c>
      <c r="J9" t="s">
        <v>610</v>
      </c>
      <c r="K9" t="s">
        <v>611</v>
      </c>
      <c r="L9" t="s">
        <v>612</v>
      </c>
      <c r="M9" t="s">
        <v>613</v>
      </c>
      <c r="N9" t="s">
        <v>614</v>
      </c>
      <c r="O9">
        <v>0</v>
      </c>
      <c r="P9">
        <v>0</v>
      </c>
      <c r="Q9">
        <v>0</v>
      </c>
      <c r="R9">
        <v>0.1000000011</v>
      </c>
      <c r="S9">
        <v>0.20000000039999999</v>
      </c>
      <c r="T9">
        <v>0.40000000079999998</v>
      </c>
      <c r="U9">
        <v>0.40000000079999998</v>
      </c>
      <c r="V9">
        <v>0.40000000079999998</v>
      </c>
      <c r="W9">
        <v>0.40000000079999998</v>
      </c>
      <c r="X9">
        <v>0.3000000015</v>
      </c>
      <c r="Y9">
        <v>0.50000000010000001</v>
      </c>
      <c r="Z9">
        <v>0.20000000039999999</v>
      </c>
      <c r="AA9">
        <v>0.50000000010000001</v>
      </c>
      <c r="AB9">
        <v>0.50000000010000001</v>
      </c>
      <c r="AC9">
        <v>0.60000000119999997</v>
      </c>
      <c r="AD9">
        <v>0.60000000119999997</v>
      </c>
      <c r="AE9">
        <v>0.50000000010000001</v>
      </c>
      <c r="AF9">
        <v>0.50000000010000001</v>
      </c>
      <c r="AG9">
        <v>1.2999999999</v>
      </c>
      <c r="AH9">
        <v>5.8000000007999999</v>
      </c>
      <c r="AI9">
        <v>12.0999999999</v>
      </c>
      <c r="AJ9">
        <v>18.799999999800001</v>
      </c>
      <c r="AK9">
        <v>25.600000000800001</v>
      </c>
      <c r="AL9">
        <v>33.400000000299997</v>
      </c>
      <c r="AM9">
        <v>40.700000001399999</v>
      </c>
      <c r="AN9">
        <v>47.5999999999</v>
      </c>
      <c r="AO9">
        <v>54.600000001300003</v>
      </c>
      <c r="AP9">
        <v>61.800000001299999</v>
      </c>
      <c r="AQ9">
        <v>69.199999999900001</v>
      </c>
      <c r="AR9">
        <v>77.100000000400001</v>
      </c>
      <c r="AS9">
        <v>85.800000000699995</v>
      </c>
      <c r="AT9">
        <v>93.300000000500006</v>
      </c>
      <c r="AU9">
        <v>101.0000000006</v>
      </c>
      <c r="AV9">
        <v>108.60000000140001</v>
      </c>
      <c r="AW9">
        <v>116.7000000005</v>
      </c>
      <c r="AX9">
        <v>124.9000000007</v>
      </c>
      <c r="AY9">
        <v>133.20000000019999</v>
      </c>
      <c r="AZ9">
        <v>142.20000000019999</v>
      </c>
      <c r="BA9">
        <v>150.00000000150001</v>
      </c>
      <c r="BB9">
        <v>157.70000000159999</v>
      </c>
      <c r="BC9">
        <v>165.9</v>
      </c>
      <c r="BD9">
        <v>173.80000000050001</v>
      </c>
      <c r="BE9">
        <v>182.1</v>
      </c>
      <c r="BF9">
        <v>191.20000000109999</v>
      </c>
      <c r="BG9">
        <v>199.20000000089999</v>
      </c>
      <c r="BH9">
        <v>206.7999999999</v>
      </c>
      <c r="BI9">
        <v>214.80000000160001</v>
      </c>
      <c r="BJ9">
        <v>222.80000000140001</v>
      </c>
      <c r="BK9">
        <v>231.0000000016</v>
      </c>
      <c r="BL9">
        <v>239.8000000012</v>
      </c>
      <c r="BM9">
        <v>247.10000000049999</v>
      </c>
      <c r="BN9">
        <v>254.89999999989999</v>
      </c>
      <c r="BO9">
        <v>262.40000000139997</v>
      </c>
      <c r="BP9">
        <v>270.2000000008</v>
      </c>
      <c r="BQ9">
        <v>277.10000000119999</v>
      </c>
      <c r="BR9">
        <v>285.20000000030001</v>
      </c>
      <c r="BS9">
        <v>293.40000000049997</v>
      </c>
      <c r="BT9">
        <v>300.60000000050002</v>
      </c>
      <c r="BU9">
        <v>307.70000000120001</v>
      </c>
      <c r="BV9">
        <v>314.9000000012</v>
      </c>
      <c r="BW9">
        <v>321.90000000079999</v>
      </c>
      <c r="BX9">
        <v>328.60000000069999</v>
      </c>
      <c r="BY9">
        <v>336.00000000109998</v>
      </c>
      <c r="BZ9">
        <v>343.6000000002</v>
      </c>
      <c r="CA9">
        <v>350.2000000008</v>
      </c>
      <c r="CB9">
        <v>356.40000000060002</v>
      </c>
      <c r="CC9">
        <v>362.90000000010002</v>
      </c>
      <c r="CD9">
        <v>369.09999999989998</v>
      </c>
      <c r="CE9">
        <v>375.40000000079999</v>
      </c>
      <c r="CF9">
        <v>381.40000000020001</v>
      </c>
      <c r="CG9">
        <v>387.6</v>
      </c>
      <c r="CH9">
        <v>394.70000000070002</v>
      </c>
      <c r="CI9">
        <v>400.30000000119998</v>
      </c>
      <c r="CJ9">
        <v>406.3999999998</v>
      </c>
      <c r="CK9">
        <v>411.70000000060003</v>
      </c>
      <c r="CL9">
        <v>417.5000000014</v>
      </c>
      <c r="CM9">
        <v>422.80000000029997</v>
      </c>
      <c r="CN9">
        <v>428.4000000007</v>
      </c>
      <c r="CO9">
        <v>433.30000000059999</v>
      </c>
      <c r="CP9">
        <v>438.70000000060003</v>
      </c>
      <c r="CQ9">
        <v>445.00000000149998</v>
      </c>
      <c r="CR9">
        <v>450.20000000110002</v>
      </c>
      <c r="CS9">
        <v>454.90000000060002</v>
      </c>
      <c r="CT9">
        <v>456.60000000129997</v>
      </c>
      <c r="CU9">
        <v>456.60000000129997</v>
      </c>
      <c r="CV9">
        <v>456.60000000129997</v>
      </c>
      <c r="CW9">
        <v>456.60000000129997</v>
      </c>
      <c r="CX9">
        <v>456.70000000060003</v>
      </c>
      <c r="CY9">
        <v>456.90000000100002</v>
      </c>
      <c r="CZ9">
        <v>456.79999999990002</v>
      </c>
      <c r="DA9">
        <v>456.79999999990002</v>
      </c>
      <c r="DB9">
        <v>456.79999999990002</v>
      </c>
      <c r="DC9">
        <v>456.79999999990002</v>
      </c>
      <c r="DD9">
        <v>456.79999999990002</v>
      </c>
      <c r="DE9">
        <v>456.79999999990002</v>
      </c>
      <c r="DF9">
        <v>456.70000000060003</v>
      </c>
      <c r="DG9">
        <v>1.1000000013</v>
      </c>
      <c r="DH9">
        <v>1.400000001</v>
      </c>
      <c r="DI9">
        <v>1.5000000003</v>
      </c>
      <c r="DJ9">
        <v>1.6000000014</v>
      </c>
      <c r="DK9">
        <v>1.2000000006</v>
      </c>
      <c r="DL9">
        <v>1.400000001</v>
      </c>
      <c r="DM9">
        <v>1.400000001</v>
      </c>
      <c r="DN9">
        <v>1.5000000003</v>
      </c>
      <c r="DO9">
        <v>1.400000001</v>
      </c>
      <c r="DP9">
        <v>1.6000000014</v>
      </c>
      <c r="DQ9">
        <v>1.7000000007</v>
      </c>
      <c r="DR9">
        <v>1.7000000007</v>
      </c>
      <c r="DS9">
        <v>1.5000000003</v>
      </c>
      <c r="DT9">
        <v>1.400000001</v>
      </c>
      <c r="DU9">
        <v>1.7000000007</v>
      </c>
      <c r="DV9">
        <v>1.7000000007</v>
      </c>
      <c r="DW9">
        <v>4.7000000013000003</v>
      </c>
      <c r="DX9">
        <v>11.200000000799999</v>
      </c>
      <c r="DY9">
        <v>17.9000000007</v>
      </c>
      <c r="DZ9">
        <v>25.400000000399999</v>
      </c>
      <c r="EA9">
        <v>32.800000000899999</v>
      </c>
      <c r="EB9">
        <v>40.000000000900002</v>
      </c>
      <c r="EC9">
        <v>46.900000001199999</v>
      </c>
      <c r="ED9">
        <v>54.000000000100002</v>
      </c>
      <c r="EE9">
        <v>61.600000000900003</v>
      </c>
      <c r="EF9">
        <v>68.600000000500003</v>
      </c>
      <c r="EG9">
        <v>76.700000001399999</v>
      </c>
      <c r="EH9">
        <v>85.000000000900002</v>
      </c>
      <c r="EI9">
        <v>92.700000001099994</v>
      </c>
      <c r="EJ9">
        <v>100.3000000001</v>
      </c>
      <c r="EK9">
        <v>107.8000000016</v>
      </c>
      <c r="EL9">
        <v>115.30000000130001</v>
      </c>
      <c r="EM9">
        <v>123.8000000012</v>
      </c>
      <c r="EN9">
        <v>132.9000000005</v>
      </c>
      <c r="EO9">
        <v>141.50000000150001</v>
      </c>
      <c r="EP9">
        <v>149.10000000049999</v>
      </c>
      <c r="EQ9">
        <v>157.1000000004</v>
      </c>
      <c r="ER9">
        <v>165.2000000013</v>
      </c>
      <c r="ES9">
        <v>172.9000000014</v>
      </c>
      <c r="ET9">
        <v>182.20000000109999</v>
      </c>
      <c r="EU9">
        <v>190.9000000014</v>
      </c>
      <c r="EV9">
        <v>199.20000000089999</v>
      </c>
      <c r="EW9">
        <v>207.00000000029999</v>
      </c>
      <c r="EX9">
        <v>215.00000000009999</v>
      </c>
      <c r="EY9">
        <v>222.20000000019999</v>
      </c>
      <c r="EZ9">
        <v>230.9000000005</v>
      </c>
      <c r="FA9">
        <v>240.0000000016</v>
      </c>
      <c r="FB9">
        <v>248.0000000014</v>
      </c>
      <c r="FC9">
        <v>255.7000000015</v>
      </c>
      <c r="FD9">
        <v>263.10000000010001</v>
      </c>
      <c r="FE9">
        <v>270.90000000129999</v>
      </c>
      <c r="FF9">
        <v>278.50000000030002</v>
      </c>
      <c r="FG9">
        <v>286.70000000060003</v>
      </c>
      <c r="FH9">
        <v>294.90000000079999</v>
      </c>
      <c r="FI9">
        <v>302.40000000049997</v>
      </c>
      <c r="FJ9">
        <v>309.40000000010002</v>
      </c>
      <c r="FK9">
        <v>316.50000000080001</v>
      </c>
      <c r="FL9">
        <v>323.20000000070002</v>
      </c>
      <c r="FM9">
        <v>330.7000000004</v>
      </c>
      <c r="FN9">
        <v>338.40000000049997</v>
      </c>
      <c r="FO9">
        <v>345.40000000020001</v>
      </c>
      <c r="FP9">
        <v>352.5000000009</v>
      </c>
      <c r="FQ9">
        <v>359.3000000001</v>
      </c>
      <c r="FR9">
        <v>365.60000000100001</v>
      </c>
      <c r="FS9">
        <v>371.80000000080003</v>
      </c>
      <c r="FT9">
        <v>377.50000000049999</v>
      </c>
      <c r="FU9">
        <v>384.1000000011</v>
      </c>
      <c r="FV9">
        <v>391.10000000069999</v>
      </c>
      <c r="FW9">
        <v>397.10000000010001</v>
      </c>
      <c r="FX9">
        <v>403.40000000110001</v>
      </c>
      <c r="FY9">
        <v>408.90000000039998</v>
      </c>
      <c r="FZ9">
        <v>414.80000000050001</v>
      </c>
      <c r="GA9">
        <v>419.90000000079999</v>
      </c>
      <c r="GB9">
        <v>425.30000000080003</v>
      </c>
      <c r="GC9">
        <v>430.20000000070002</v>
      </c>
      <c r="GD9">
        <v>435.5000000014</v>
      </c>
      <c r="GE9">
        <v>441.1</v>
      </c>
      <c r="GF9">
        <v>446.4000000007</v>
      </c>
      <c r="GG9">
        <v>451.1000000002</v>
      </c>
      <c r="GH9">
        <v>455.20000000030001</v>
      </c>
      <c r="GI9">
        <v>456.60000000129997</v>
      </c>
      <c r="GJ9">
        <v>456.20000000049998</v>
      </c>
      <c r="GK9">
        <v>456.40000000089998</v>
      </c>
      <c r="GL9">
        <v>456.50000000019998</v>
      </c>
      <c r="GM9">
        <v>456.40000000089998</v>
      </c>
      <c r="GN9">
        <v>456.70000000060003</v>
      </c>
      <c r="GO9">
        <v>456.79999999990002</v>
      </c>
      <c r="GP9">
        <v>456.70000000060003</v>
      </c>
      <c r="GQ9">
        <v>456.70000000060003</v>
      </c>
      <c r="GR9">
        <v>456.70000000060003</v>
      </c>
      <c r="GS9">
        <v>456.70000000060003</v>
      </c>
      <c r="GT9">
        <v>456.70000000060003</v>
      </c>
      <c r="GU9">
        <v>456.90000000100002</v>
      </c>
      <c r="GV9">
        <v>456.90000000100002</v>
      </c>
      <c r="GW9">
        <v>1</v>
      </c>
      <c r="GX9">
        <v>119.09999999990001</v>
      </c>
      <c r="GY9">
        <v>116.7000000005</v>
      </c>
      <c r="GZ9">
        <v>116.7000000005</v>
      </c>
      <c r="HA9">
        <v>123.8000000012</v>
      </c>
      <c r="HB9">
        <v>118.5688300324</v>
      </c>
      <c r="HC9">
        <v>-7.1000000006999997</v>
      </c>
      <c r="HD9">
        <v>456.89997811199999</v>
      </c>
      <c r="HE9">
        <v>306.12591660300001</v>
      </c>
      <c r="HF9">
        <v>99.449556748099994</v>
      </c>
      <c r="HG9">
        <v>456.90000000100002</v>
      </c>
      <c r="HH9">
        <v>456.90000000100002</v>
      </c>
      <c r="HI9">
        <v>456.90000000100002</v>
      </c>
      <c r="HJ9">
        <v>456.90000000100002</v>
      </c>
      <c r="HK9">
        <v>112.6099706745</v>
      </c>
      <c r="HL9">
        <v>3.3076976008000001</v>
      </c>
      <c r="HM9">
        <v>3.2158694824</v>
      </c>
      <c r="HN9">
        <v>3.2633385337999998</v>
      </c>
      <c r="HO9">
        <v>3.0637882583999998</v>
      </c>
      <c r="HP9">
        <v>3.4789291262000002</v>
      </c>
      <c r="HQ9">
        <v>2.2011019510000001</v>
      </c>
      <c r="HR9">
        <v>19.1192732843</v>
      </c>
      <c r="HS9">
        <v>-30.4985337243</v>
      </c>
      <c r="HT9">
        <v>-208</v>
      </c>
      <c r="HU9">
        <v>424.69474663540001</v>
      </c>
      <c r="HV9">
        <v>96.187683284499997</v>
      </c>
      <c r="HW9">
        <v>656</v>
      </c>
      <c r="HX9">
        <v>19.1192732843</v>
      </c>
      <c r="HY9">
        <v>-30.4985337243</v>
      </c>
      <c r="HZ9">
        <v>-208</v>
      </c>
      <c r="IA9">
        <v>424.69474663540001</v>
      </c>
      <c r="IB9">
        <v>96.187683284499997</v>
      </c>
      <c r="IC9">
        <v>656</v>
      </c>
      <c r="ID9">
        <v>32.205253365600001</v>
      </c>
      <c r="IE9">
        <v>0.50288935109999999</v>
      </c>
      <c r="IF9">
        <v>-39.8826979472</v>
      </c>
      <c r="IG9">
        <v>-272</v>
      </c>
      <c r="IH9">
        <v>446.15897997230002</v>
      </c>
      <c r="II9">
        <v>105.57184750730001</v>
      </c>
      <c r="IJ9">
        <v>720</v>
      </c>
      <c r="IK9">
        <v>405.57547335110002</v>
      </c>
      <c r="IL9">
        <v>126.6862170088</v>
      </c>
      <c r="IM9">
        <v>429.21255335500001</v>
      </c>
      <c r="IN9">
        <v>136.0703812317</v>
      </c>
      <c r="IO9">
        <v>6.6999999999000002</v>
      </c>
      <c r="IP9">
        <v>6.3000000008999999</v>
      </c>
      <c r="IQ9">
        <v>9.2999999997000007</v>
      </c>
      <c r="IR9">
        <v>6.1989857998</v>
      </c>
      <c r="IS9">
        <v>6.1989857998</v>
      </c>
      <c r="IT9">
        <v>5.8000000007999999</v>
      </c>
      <c r="IU9">
        <v>-32.844574780099997</v>
      </c>
      <c r="IV9">
        <v>9.7999999998000007</v>
      </c>
      <c r="IW9">
        <v>63.3431085044</v>
      </c>
      <c r="IX9">
        <v>7.7999999993999998</v>
      </c>
      <c r="IY9">
        <v>103.22580645159999</v>
      </c>
      <c r="IZ9">
        <v>-37.024390788600002</v>
      </c>
      <c r="JA9">
        <v>0.34651323039999998</v>
      </c>
      <c r="JB9">
        <v>-3.771181E-4</v>
      </c>
      <c r="JC9">
        <v>7.018E-7</v>
      </c>
      <c r="JD9">
        <v>0.30232509759999998</v>
      </c>
      <c r="JE9">
        <v>0.31191671259999998</v>
      </c>
      <c r="JF9">
        <v>0.13168637580000001</v>
      </c>
      <c r="JG9">
        <v>119.33530473330001</v>
      </c>
      <c r="JH9">
        <v>3.4789291262000002</v>
      </c>
      <c r="JI9">
        <v>3.5683665000000001E-3</v>
      </c>
      <c r="JJ9">
        <v>-7.0769499999999994E-5</v>
      </c>
      <c r="JK9">
        <v>3.3076976008000001</v>
      </c>
      <c r="JL9">
        <v>1.2565255003</v>
      </c>
      <c r="JM9">
        <v>0.52484473909999996</v>
      </c>
      <c r="JN9" t="s">
        <v>523</v>
      </c>
      <c r="JQ9">
        <v>1</v>
      </c>
    </row>
    <row r="10" spans="1:277">
      <c r="A10" t="s">
        <v>630</v>
      </c>
      <c r="B10" t="s">
        <v>631</v>
      </c>
      <c r="C10" t="s">
        <v>208</v>
      </c>
      <c r="D10">
        <v>3</v>
      </c>
      <c r="E10" t="s">
        <v>209</v>
      </c>
      <c r="F10" t="s">
        <v>210</v>
      </c>
      <c r="G10" t="s">
        <v>522</v>
      </c>
      <c r="H10" t="s">
        <v>527</v>
      </c>
      <c r="J10" t="s">
        <v>625</v>
      </c>
      <c r="K10" t="s">
        <v>626</v>
      </c>
      <c r="L10" t="s">
        <v>627</v>
      </c>
      <c r="M10" t="s">
        <v>628</v>
      </c>
      <c r="N10" t="s">
        <v>629</v>
      </c>
      <c r="O10">
        <v>0</v>
      </c>
      <c r="P10">
        <v>0</v>
      </c>
      <c r="Q10">
        <v>1.3999999992000001</v>
      </c>
      <c r="R10">
        <v>0.40000000079999998</v>
      </c>
      <c r="S10">
        <v>0.29999999970000002</v>
      </c>
      <c r="T10">
        <v>0.29999999970000002</v>
      </c>
      <c r="U10">
        <v>0.40000000079999998</v>
      </c>
      <c r="V10">
        <v>0.29999999970000002</v>
      </c>
      <c r="W10">
        <v>0</v>
      </c>
      <c r="X10">
        <v>9.9999999300000003E-2</v>
      </c>
      <c r="Y10">
        <v>0.20000000039999999</v>
      </c>
      <c r="Z10">
        <v>0.40000000079999998</v>
      </c>
      <c r="AA10">
        <v>0.20000000039999999</v>
      </c>
      <c r="AB10">
        <v>9.9999999300000003E-2</v>
      </c>
      <c r="AC10">
        <v>0.20000000039999999</v>
      </c>
      <c r="AD10">
        <v>0.20000000039999999</v>
      </c>
      <c r="AE10">
        <v>0.29999999970000002</v>
      </c>
      <c r="AF10">
        <v>9.9999999300000003E-2</v>
      </c>
      <c r="AG10">
        <v>2.6999999991000001</v>
      </c>
      <c r="AH10">
        <v>7.2</v>
      </c>
      <c r="AI10">
        <v>12.800000000400001</v>
      </c>
      <c r="AJ10">
        <v>19.500000000299998</v>
      </c>
      <c r="AK10">
        <v>26.400000000599999</v>
      </c>
      <c r="AL10">
        <v>32.999999999400004</v>
      </c>
      <c r="AM10">
        <v>39.899999999800002</v>
      </c>
      <c r="AN10">
        <v>46.800000000099999</v>
      </c>
      <c r="AO10">
        <v>55.3</v>
      </c>
      <c r="AP10">
        <v>62.200000000300001</v>
      </c>
      <c r="AQ10">
        <v>69.799999999299999</v>
      </c>
      <c r="AR10">
        <v>77.300000000799997</v>
      </c>
      <c r="AS10">
        <v>84.600000000099996</v>
      </c>
      <c r="AT10">
        <v>92.000000000599996</v>
      </c>
      <c r="AU10">
        <v>100.0999999997</v>
      </c>
      <c r="AV10">
        <v>108.39999999920001</v>
      </c>
      <c r="AW10">
        <v>116</v>
      </c>
      <c r="AX10">
        <v>124.59999999919999</v>
      </c>
      <c r="AY10">
        <v>132.10000000069999</v>
      </c>
      <c r="AZ10">
        <v>139.99999999939999</v>
      </c>
      <c r="BA10">
        <v>147.4999999991</v>
      </c>
      <c r="BB10">
        <v>156.4999999991</v>
      </c>
      <c r="BC10">
        <v>164.60000000010001</v>
      </c>
      <c r="BD10">
        <v>172.30000000019999</v>
      </c>
      <c r="BE10">
        <v>180.3</v>
      </c>
      <c r="BF10">
        <v>188.29999999980001</v>
      </c>
      <c r="BG10">
        <v>195.79999999949999</v>
      </c>
      <c r="BH10">
        <v>204.59999999909999</v>
      </c>
      <c r="BI10">
        <v>212.79999999930001</v>
      </c>
      <c r="BJ10">
        <v>220.1999999997</v>
      </c>
      <c r="BK10">
        <v>228.19999999960001</v>
      </c>
      <c r="BL10">
        <v>235.6</v>
      </c>
      <c r="BM10">
        <v>243.50000000049999</v>
      </c>
      <c r="BN10">
        <v>250.59999999940001</v>
      </c>
      <c r="BO10">
        <v>259.2000000004</v>
      </c>
      <c r="BP10">
        <v>266.60000000079998</v>
      </c>
      <c r="BQ10">
        <v>273.80000000080003</v>
      </c>
      <c r="BR10">
        <v>281.69999999949999</v>
      </c>
      <c r="BS10">
        <v>288.50000000059998</v>
      </c>
      <c r="BT10">
        <v>295.79999999990002</v>
      </c>
      <c r="BU10">
        <v>302.29999999939997</v>
      </c>
      <c r="BV10">
        <v>310.2999999992</v>
      </c>
      <c r="BW10">
        <v>317.49999999919999</v>
      </c>
      <c r="BX10">
        <v>324.19999999909999</v>
      </c>
      <c r="BY10">
        <v>331.00000000009999</v>
      </c>
      <c r="BZ10">
        <v>337.2999999992</v>
      </c>
      <c r="CA10">
        <v>343.8999999998</v>
      </c>
      <c r="CB10">
        <v>350.2000000008</v>
      </c>
      <c r="CC10">
        <v>356.40000000060002</v>
      </c>
      <c r="CD10">
        <v>363.7999999992</v>
      </c>
      <c r="CE10">
        <v>370.3999999998</v>
      </c>
      <c r="CF10">
        <v>376.20000000060003</v>
      </c>
      <c r="CG10">
        <v>381.6999999999</v>
      </c>
      <c r="CH10">
        <v>387.6</v>
      </c>
      <c r="CI10">
        <v>393.70000000049998</v>
      </c>
      <c r="CJ10">
        <v>399.40000000020001</v>
      </c>
      <c r="CK10">
        <v>404.80000000029997</v>
      </c>
      <c r="CL10">
        <v>410.7000000004</v>
      </c>
      <c r="CM10">
        <v>417.1999999999</v>
      </c>
      <c r="CN10">
        <v>421.89999999939999</v>
      </c>
      <c r="CO10">
        <v>427.59999999910002</v>
      </c>
      <c r="CP10">
        <v>432.80000000050001</v>
      </c>
      <c r="CQ10">
        <v>438.09999999939998</v>
      </c>
      <c r="CR10">
        <v>443.40000000010002</v>
      </c>
      <c r="CS10">
        <v>447.59999999950003</v>
      </c>
      <c r="CT10">
        <v>451.80000000069998</v>
      </c>
      <c r="CU10">
        <v>452.10000000039997</v>
      </c>
      <c r="CV10">
        <v>451.99999999929997</v>
      </c>
      <c r="CW10">
        <v>451.9</v>
      </c>
      <c r="CX10">
        <v>451.9</v>
      </c>
      <c r="CY10">
        <v>451.80000000069998</v>
      </c>
      <c r="CZ10">
        <v>452.19999999970003</v>
      </c>
      <c r="DA10">
        <v>452.19999999970003</v>
      </c>
      <c r="DB10">
        <v>452.10000000039997</v>
      </c>
      <c r="DC10">
        <v>451.9</v>
      </c>
      <c r="DD10">
        <v>451.9</v>
      </c>
      <c r="DE10">
        <v>451.80000000069998</v>
      </c>
      <c r="DF10">
        <v>451.99999999929997</v>
      </c>
      <c r="DG10">
        <v>2.0999999997000001</v>
      </c>
      <c r="DH10">
        <v>1.2999999999</v>
      </c>
      <c r="DI10">
        <v>1.3999999992000001</v>
      </c>
      <c r="DJ10">
        <v>1.5000000003</v>
      </c>
      <c r="DK10">
        <v>1.3999999992000001</v>
      </c>
      <c r="DL10">
        <v>1.2999999999</v>
      </c>
      <c r="DM10">
        <v>1.2000000006</v>
      </c>
      <c r="DN10">
        <v>1.5000000003</v>
      </c>
      <c r="DO10">
        <v>1.2000000006</v>
      </c>
      <c r="DP10">
        <v>1.3999999992000001</v>
      </c>
      <c r="DQ10">
        <v>1.2000000006</v>
      </c>
      <c r="DR10">
        <v>1.5999999996000001</v>
      </c>
      <c r="DS10">
        <v>1.2000000006</v>
      </c>
      <c r="DT10">
        <v>1.2000000006</v>
      </c>
      <c r="DU10">
        <v>1.0000000002</v>
      </c>
      <c r="DV10">
        <v>0.89999999909999995</v>
      </c>
      <c r="DW10">
        <v>5.9000000001000004</v>
      </c>
      <c r="DX10">
        <v>11.200000000799999</v>
      </c>
      <c r="DY10">
        <v>18.599999999400001</v>
      </c>
      <c r="DZ10">
        <v>24.799999999200001</v>
      </c>
      <c r="EA10">
        <v>31.499999999100002</v>
      </c>
      <c r="EB10">
        <v>38.399999999499997</v>
      </c>
      <c r="EC10">
        <v>45.5999999995</v>
      </c>
      <c r="ED10">
        <v>54.000000000100002</v>
      </c>
      <c r="EE10">
        <v>61.4000000005</v>
      </c>
      <c r="EF10">
        <v>68.300000000799997</v>
      </c>
      <c r="EG10">
        <v>75.3999999997</v>
      </c>
      <c r="EH10">
        <v>82.800000000099999</v>
      </c>
      <c r="EI10">
        <v>90.500000000200004</v>
      </c>
      <c r="EJ10">
        <v>98.099999999199994</v>
      </c>
      <c r="EK10">
        <v>106.9000000007</v>
      </c>
      <c r="EL10">
        <v>114.2999999993</v>
      </c>
      <c r="EM10">
        <v>122.6999999999</v>
      </c>
      <c r="EN10">
        <v>130.6000000004</v>
      </c>
      <c r="EO10">
        <v>138.3999999998</v>
      </c>
      <c r="EP10">
        <v>146.09999999990001</v>
      </c>
      <c r="EQ10">
        <v>155.1999999992</v>
      </c>
      <c r="ER10">
        <v>163.20000000089999</v>
      </c>
      <c r="ES10">
        <v>171.00000000029999</v>
      </c>
      <c r="ET10">
        <v>179.20000000050001</v>
      </c>
      <c r="EU10">
        <v>186.79999999949999</v>
      </c>
      <c r="EV10">
        <v>194.7</v>
      </c>
      <c r="EW10">
        <v>203.10000000060001</v>
      </c>
      <c r="EX10">
        <v>212.10000000060001</v>
      </c>
      <c r="EY10">
        <v>219.49999999920001</v>
      </c>
      <c r="EZ10">
        <v>227.80000000059999</v>
      </c>
      <c r="FA10">
        <v>235.09999999990001</v>
      </c>
      <c r="FB10">
        <v>242.89999999930001</v>
      </c>
      <c r="FC10">
        <v>250.0999999993</v>
      </c>
      <c r="FD10">
        <v>259</v>
      </c>
      <c r="FE10">
        <v>267.09999999910002</v>
      </c>
      <c r="FF10">
        <v>274.29999999910001</v>
      </c>
      <c r="FG10">
        <v>281.89999999999998</v>
      </c>
      <c r="FH10">
        <v>288.89999999960003</v>
      </c>
      <c r="FI10">
        <v>296.3</v>
      </c>
      <c r="FJ10">
        <v>303.2999999996</v>
      </c>
      <c r="FK10">
        <v>311.29999999939997</v>
      </c>
      <c r="FL10">
        <v>318.40000000010002</v>
      </c>
      <c r="FM10">
        <v>325.10000000000002</v>
      </c>
      <c r="FN10">
        <v>332.20000000070002</v>
      </c>
      <c r="FO10">
        <v>338.70000000020002</v>
      </c>
      <c r="FP10">
        <v>345.60000000060001</v>
      </c>
      <c r="FQ10">
        <v>351.80000000040002</v>
      </c>
      <c r="FR10">
        <v>358.8</v>
      </c>
      <c r="FS10">
        <v>365.7999999996</v>
      </c>
      <c r="FT10">
        <v>371.49999999929997</v>
      </c>
      <c r="FU10">
        <v>378.19999999919997</v>
      </c>
      <c r="FV10">
        <v>384.0999999993</v>
      </c>
      <c r="FW10">
        <v>389.90000000010002</v>
      </c>
      <c r="FX10">
        <v>395.80000000019999</v>
      </c>
      <c r="FY10">
        <v>401.29999999950002</v>
      </c>
      <c r="FZ10">
        <v>406.9</v>
      </c>
      <c r="GA10">
        <v>413.59999999989998</v>
      </c>
      <c r="GB10">
        <v>419.09999999920001</v>
      </c>
      <c r="GC10">
        <v>423.69999999940001</v>
      </c>
      <c r="GD10">
        <v>429.09999999939998</v>
      </c>
      <c r="GE10">
        <v>434.30000000080003</v>
      </c>
      <c r="GF10">
        <v>439.20000000070002</v>
      </c>
      <c r="GG10">
        <v>443.99999999950001</v>
      </c>
      <c r="GH10">
        <v>447.70000000060003</v>
      </c>
      <c r="GI10">
        <v>451.39999999989999</v>
      </c>
      <c r="GJ10">
        <v>451.99999999929997</v>
      </c>
      <c r="GK10">
        <v>452.10000000039997</v>
      </c>
      <c r="GL10">
        <v>451.69999999959998</v>
      </c>
      <c r="GM10">
        <v>451.99999999929997</v>
      </c>
      <c r="GN10">
        <v>451.9</v>
      </c>
      <c r="GO10">
        <v>451.9</v>
      </c>
      <c r="GP10">
        <v>451.99999999929997</v>
      </c>
      <c r="GQ10">
        <v>451.9</v>
      </c>
      <c r="GR10">
        <v>451.9</v>
      </c>
      <c r="GS10">
        <v>451.69999999959998</v>
      </c>
      <c r="GT10">
        <v>451.9</v>
      </c>
      <c r="GU10">
        <v>451.80000000069998</v>
      </c>
      <c r="GV10">
        <v>451.9</v>
      </c>
      <c r="GW10">
        <v>1</v>
      </c>
      <c r="GX10">
        <v>117.4999999985</v>
      </c>
      <c r="GY10">
        <v>116</v>
      </c>
      <c r="GZ10">
        <v>116</v>
      </c>
      <c r="HA10">
        <v>122.6999999999</v>
      </c>
      <c r="HB10">
        <v>117.76873479309999</v>
      </c>
      <c r="HC10">
        <v>-6.6999999999000002</v>
      </c>
      <c r="HD10">
        <v>451.9000331785</v>
      </c>
      <c r="HE10">
        <v>288.31922141119998</v>
      </c>
      <c r="HF10">
        <v>98.009068789799997</v>
      </c>
      <c r="HG10">
        <v>452.19999999970003</v>
      </c>
      <c r="HH10">
        <v>452.10000000039997</v>
      </c>
      <c r="HI10">
        <v>452.19999999970003</v>
      </c>
      <c r="HJ10">
        <v>452.10000000039997</v>
      </c>
      <c r="HK10">
        <v>112.6099706745</v>
      </c>
      <c r="HL10">
        <v>3.2655473669999999</v>
      </c>
      <c r="HM10">
        <v>3.1805538690000001</v>
      </c>
      <c r="HN10">
        <v>3.2401873890999999</v>
      </c>
      <c r="HO10">
        <v>3.0180090208000001</v>
      </c>
      <c r="HP10">
        <v>3.4151601092999999</v>
      </c>
      <c r="HQ10">
        <v>2.2884871402</v>
      </c>
      <c r="HR10">
        <v>19.7596660034</v>
      </c>
      <c r="HS10">
        <v>-30.4985337243</v>
      </c>
      <c r="HT10">
        <v>-208</v>
      </c>
      <c r="HU10">
        <v>406.08795620439997</v>
      </c>
      <c r="HV10">
        <v>91.495601172999997</v>
      </c>
      <c r="HW10">
        <v>624</v>
      </c>
      <c r="HX10">
        <v>19.7596660034</v>
      </c>
      <c r="HY10">
        <v>-30.4985337243</v>
      </c>
      <c r="HZ10">
        <v>-208</v>
      </c>
      <c r="IA10">
        <v>406.08795620439997</v>
      </c>
      <c r="IB10">
        <v>91.495601172999997</v>
      </c>
      <c r="IC10">
        <v>624</v>
      </c>
      <c r="ID10">
        <v>46.012043796100002</v>
      </c>
      <c r="IE10">
        <v>0.1008847593</v>
      </c>
      <c r="IF10">
        <v>-39.8826979472</v>
      </c>
      <c r="IG10">
        <v>-272</v>
      </c>
      <c r="IH10">
        <v>428.67637690710001</v>
      </c>
      <c r="II10">
        <v>100.87976539589999</v>
      </c>
      <c r="IJ10">
        <v>688</v>
      </c>
      <c r="IK10">
        <v>386.32829020100002</v>
      </c>
      <c r="IL10">
        <v>121.9941348974</v>
      </c>
      <c r="IM10">
        <v>411.12742755950001</v>
      </c>
      <c r="IN10">
        <v>131.37829912020001</v>
      </c>
      <c r="IO10">
        <v>7.3999999986000002</v>
      </c>
      <c r="IP10">
        <v>6.6999999999000002</v>
      </c>
      <c r="IQ10">
        <v>9.0999999992999996</v>
      </c>
      <c r="IR10">
        <v>4.6226837246999999</v>
      </c>
      <c r="IS10">
        <v>4.6226837246999999</v>
      </c>
      <c r="IT10">
        <v>5.7999999989999997</v>
      </c>
      <c r="IU10">
        <v>-32.844574780099997</v>
      </c>
      <c r="IV10">
        <v>9.3999999990000003</v>
      </c>
      <c r="IW10">
        <v>75.073313783000003</v>
      </c>
      <c r="IX10">
        <v>7.2</v>
      </c>
      <c r="IY10">
        <v>100.87976539589999</v>
      </c>
      <c r="IZ10">
        <v>-37.157556630000002</v>
      </c>
      <c r="JA10">
        <v>0.34924478180000001</v>
      </c>
      <c r="JB10">
        <v>-3.6781169999999997E-4</v>
      </c>
      <c r="JC10">
        <v>7.0579999999999998E-7</v>
      </c>
      <c r="JD10">
        <v>0.30622737560000002</v>
      </c>
      <c r="JE10">
        <v>0.23334936370000001</v>
      </c>
      <c r="JF10">
        <v>0.10136444529999999</v>
      </c>
      <c r="JG10">
        <v>118.06513261880001</v>
      </c>
      <c r="JH10">
        <v>3.4151601092999999</v>
      </c>
      <c r="JI10">
        <v>3.3439951999999998E-3</v>
      </c>
      <c r="JJ10">
        <v>-6.9227199999999993E-5</v>
      </c>
      <c r="JK10">
        <v>3.2655473669999999</v>
      </c>
      <c r="JL10">
        <v>0.93612483589999995</v>
      </c>
      <c r="JM10">
        <v>0.41330804500000001</v>
      </c>
      <c r="JN10" t="s">
        <v>523</v>
      </c>
      <c r="JQ10">
        <v>1</v>
      </c>
    </row>
    <row r="11" spans="1:277">
      <c r="A11" t="s">
        <v>644</v>
      </c>
      <c r="B11" t="s">
        <v>645</v>
      </c>
      <c r="C11" t="s">
        <v>208</v>
      </c>
      <c r="D11">
        <v>3</v>
      </c>
      <c r="E11" t="s">
        <v>209</v>
      </c>
      <c r="F11" t="s">
        <v>210</v>
      </c>
      <c r="G11" t="s">
        <v>522</v>
      </c>
      <c r="H11" t="s">
        <v>527</v>
      </c>
      <c r="J11" t="s">
        <v>636</v>
      </c>
      <c r="K11" t="s">
        <v>637</v>
      </c>
      <c r="L11" t="s">
        <v>638</v>
      </c>
      <c r="M11" t="s">
        <v>639</v>
      </c>
      <c r="N11" t="s">
        <v>640</v>
      </c>
      <c r="O11">
        <v>0</v>
      </c>
      <c r="P11">
        <v>0</v>
      </c>
      <c r="Q11">
        <v>0</v>
      </c>
      <c r="R11">
        <v>0.7000000005</v>
      </c>
      <c r="S11">
        <v>1.0000000002</v>
      </c>
      <c r="T11">
        <v>0.89999999909999995</v>
      </c>
      <c r="U11">
        <v>0.89999999909999995</v>
      </c>
      <c r="V11">
        <v>0.7000000005</v>
      </c>
      <c r="W11">
        <v>0.39999999899999999</v>
      </c>
      <c r="X11">
        <v>0.29999999970000002</v>
      </c>
      <c r="Y11">
        <v>0.39999999899999999</v>
      </c>
      <c r="Z11">
        <v>0.79999999980000003</v>
      </c>
      <c r="AA11">
        <v>1.2000000006</v>
      </c>
      <c r="AB11">
        <v>1.0000000002</v>
      </c>
      <c r="AC11">
        <v>1.0999999995</v>
      </c>
      <c r="AD11">
        <v>0.7000000005</v>
      </c>
      <c r="AE11">
        <v>0.59999999940000004</v>
      </c>
      <c r="AF11">
        <v>0.59999999940000004</v>
      </c>
      <c r="AG11">
        <v>3.1999999992000001</v>
      </c>
      <c r="AH11">
        <v>9.0999999992999996</v>
      </c>
      <c r="AI11">
        <v>14.9000000001</v>
      </c>
      <c r="AJ11">
        <v>21.399999999599999</v>
      </c>
      <c r="AK11">
        <v>28.0999999995</v>
      </c>
      <c r="AL11">
        <v>34.900000000600002</v>
      </c>
      <c r="AM11">
        <v>42.199999999900001</v>
      </c>
      <c r="AN11">
        <v>48.800000000499999</v>
      </c>
      <c r="AO11">
        <v>56.500000000599996</v>
      </c>
      <c r="AP11">
        <v>64.000000000300005</v>
      </c>
      <c r="AQ11">
        <v>71.700000000399996</v>
      </c>
      <c r="AR11">
        <v>79.299999999400001</v>
      </c>
      <c r="AS11">
        <v>86.900000000199995</v>
      </c>
      <c r="AT11">
        <v>94.600000000400001</v>
      </c>
      <c r="AU11">
        <v>101.999999999</v>
      </c>
      <c r="AV11">
        <v>109.8999999995</v>
      </c>
      <c r="AW11">
        <v>119.0000000006</v>
      </c>
      <c r="AX11">
        <v>128.09999999990001</v>
      </c>
      <c r="AY11">
        <v>136.0999999997</v>
      </c>
      <c r="AZ11">
        <v>144.2000000006</v>
      </c>
      <c r="BA11">
        <v>151.59999999920001</v>
      </c>
      <c r="BB11">
        <v>159.4000000005</v>
      </c>
      <c r="BC11">
        <v>167.7</v>
      </c>
      <c r="BD11">
        <v>176.4000000003</v>
      </c>
      <c r="BE11">
        <v>184.49999999939999</v>
      </c>
      <c r="BF11">
        <v>192.69999999960001</v>
      </c>
      <c r="BG11">
        <v>200.69999999940001</v>
      </c>
      <c r="BH11">
        <v>208.09999999979999</v>
      </c>
      <c r="BI11">
        <v>216.00000000029999</v>
      </c>
      <c r="BJ11">
        <v>224.8</v>
      </c>
      <c r="BK11">
        <v>232.0999999993</v>
      </c>
      <c r="BL11">
        <v>240.59999999920001</v>
      </c>
      <c r="BM11">
        <v>248.599999999</v>
      </c>
      <c r="BN11">
        <v>256.19999999980001</v>
      </c>
      <c r="BO11">
        <v>263.6000000002</v>
      </c>
      <c r="BP11">
        <v>270.69999999909999</v>
      </c>
      <c r="BQ11">
        <v>278.89999999930001</v>
      </c>
      <c r="BR11">
        <v>286.00000000009999</v>
      </c>
      <c r="BS11">
        <v>293.59999999910002</v>
      </c>
      <c r="BT11">
        <v>301.10000000060001</v>
      </c>
      <c r="BU11">
        <v>307.8999999998</v>
      </c>
      <c r="BV11">
        <v>315.00000000049999</v>
      </c>
      <c r="BW11">
        <v>322.00000000009999</v>
      </c>
      <c r="BX11">
        <v>329.79999999950002</v>
      </c>
      <c r="BY11">
        <v>336.10000000039997</v>
      </c>
      <c r="BZ11">
        <v>342.80000000040002</v>
      </c>
      <c r="CA11">
        <v>349.70000000070002</v>
      </c>
      <c r="CB11">
        <v>355.79999999939997</v>
      </c>
      <c r="CC11">
        <v>362.49999999929997</v>
      </c>
      <c r="CD11">
        <v>368.80000000019999</v>
      </c>
      <c r="CE11">
        <v>375</v>
      </c>
      <c r="CF11">
        <v>381.9000000003</v>
      </c>
      <c r="CG11">
        <v>387.09999999989998</v>
      </c>
      <c r="CH11">
        <v>393.2000000004</v>
      </c>
      <c r="CI11">
        <v>398.99999999940002</v>
      </c>
      <c r="CJ11">
        <v>404.89999999949998</v>
      </c>
      <c r="CK11">
        <v>410.79999999969999</v>
      </c>
      <c r="CL11">
        <v>416.10000000039997</v>
      </c>
      <c r="CM11">
        <v>421.50000000040001</v>
      </c>
      <c r="CN11">
        <v>426.79999999929998</v>
      </c>
      <c r="CO11">
        <v>432.9999999991</v>
      </c>
      <c r="CP11">
        <v>437.7000000004</v>
      </c>
      <c r="CQ11">
        <v>443.10000000039997</v>
      </c>
      <c r="CR11">
        <v>448.39999999930001</v>
      </c>
      <c r="CS11">
        <v>453.49999999959999</v>
      </c>
      <c r="CT11">
        <v>457.5999999997</v>
      </c>
      <c r="CU11">
        <v>458.80000000029997</v>
      </c>
      <c r="CV11">
        <v>458.80000000029997</v>
      </c>
      <c r="CW11">
        <v>458.89999999960003</v>
      </c>
      <c r="CX11">
        <v>458.50000000059998</v>
      </c>
      <c r="CY11">
        <v>458.59999999989998</v>
      </c>
      <c r="CZ11">
        <v>459.1</v>
      </c>
      <c r="DA11">
        <v>459.1</v>
      </c>
      <c r="DB11">
        <v>459.1</v>
      </c>
      <c r="DC11">
        <v>458.69999999919997</v>
      </c>
      <c r="DD11">
        <v>458.80000000029997</v>
      </c>
      <c r="DE11">
        <v>458.80000000029997</v>
      </c>
      <c r="DF11">
        <v>458.99999999890002</v>
      </c>
      <c r="DG11">
        <v>2.0000000004</v>
      </c>
      <c r="DH11">
        <v>1.8999999993000001</v>
      </c>
      <c r="DI11">
        <v>1.8999999993000001</v>
      </c>
      <c r="DJ11">
        <v>1.7000000007</v>
      </c>
      <c r="DK11">
        <v>1.5999999996000001</v>
      </c>
      <c r="DL11">
        <v>1.2000000006</v>
      </c>
      <c r="DM11">
        <v>1.0000000002</v>
      </c>
      <c r="DN11">
        <v>0.7000000005</v>
      </c>
      <c r="DO11">
        <v>1.0999999995</v>
      </c>
      <c r="DP11">
        <v>1.3999999992000001</v>
      </c>
      <c r="DQ11">
        <v>1.8</v>
      </c>
      <c r="DR11">
        <v>1.8999999993000001</v>
      </c>
      <c r="DS11">
        <v>1.5000000003</v>
      </c>
      <c r="DT11">
        <v>1.0999999995</v>
      </c>
      <c r="DU11">
        <v>1.0999999995</v>
      </c>
      <c r="DV11">
        <v>1.2000000006</v>
      </c>
      <c r="DW11">
        <v>6.1999999998000002</v>
      </c>
      <c r="DX11">
        <v>12.4999999989</v>
      </c>
      <c r="DY11">
        <v>19.399999999199999</v>
      </c>
      <c r="DZ11">
        <v>26.299999999499999</v>
      </c>
      <c r="EA11">
        <v>33.400000000299997</v>
      </c>
      <c r="EB11">
        <v>40.6000000003</v>
      </c>
      <c r="EC11">
        <v>47.300000000200001</v>
      </c>
      <c r="ED11">
        <v>54.299999999800001</v>
      </c>
      <c r="EE11">
        <v>61.799999999500002</v>
      </c>
      <c r="EF11">
        <v>70.700000000200006</v>
      </c>
      <c r="EG11">
        <v>77.400000000099993</v>
      </c>
      <c r="EH11">
        <v>85.399999999900004</v>
      </c>
      <c r="EI11">
        <v>93.199999999300005</v>
      </c>
      <c r="EJ11">
        <v>100.50000000049999</v>
      </c>
      <c r="EK11">
        <v>107.8999999991</v>
      </c>
      <c r="EL11">
        <v>115.9000000007</v>
      </c>
      <c r="EM11">
        <v>125.2000000004</v>
      </c>
      <c r="EN11">
        <v>133.7999999996</v>
      </c>
      <c r="EO11">
        <v>142.40000000059999</v>
      </c>
      <c r="EP11">
        <v>150.19999999999999</v>
      </c>
      <c r="EQ11">
        <v>157.99999999939999</v>
      </c>
      <c r="ER11">
        <v>166.1000000004</v>
      </c>
      <c r="ES11">
        <v>174.30000000059999</v>
      </c>
      <c r="ET11">
        <v>182.30000000039999</v>
      </c>
      <c r="EU11">
        <v>191.1</v>
      </c>
      <c r="EV11">
        <v>199.50000000060001</v>
      </c>
      <c r="EW11">
        <v>207.3</v>
      </c>
      <c r="EX11">
        <v>215.5999999995</v>
      </c>
      <c r="EY11">
        <v>223.3999999989</v>
      </c>
      <c r="EZ11">
        <v>231.49999999990001</v>
      </c>
      <c r="FA11">
        <v>239.2</v>
      </c>
      <c r="FB11">
        <v>247.60000000060001</v>
      </c>
      <c r="FC11">
        <v>255.4999999993</v>
      </c>
      <c r="FD11">
        <v>263.10000000010001</v>
      </c>
      <c r="FE11">
        <v>270.80000000019999</v>
      </c>
      <c r="FF11">
        <v>278.50000000030002</v>
      </c>
      <c r="FG11">
        <v>285.8999999989</v>
      </c>
      <c r="FH11">
        <v>293.70000000020002</v>
      </c>
      <c r="FI11">
        <v>301.49999999959999</v>
      </c>
      <c r="FJ11">
        <v>308.60000000029999</v>
      </c>
      <c r="FK11">
        <v>315.80000000029997</v>
      </c>
      <c r="FL11">
        <v>322.89999999920002</v>
      </c>
      <c r="FM11">
        <v>330.79999999969999</v>
      </c>
      <c r="FN11">
        <v>336.79999999910001</v>
      </c>
      <c r="FO11">
        <v>343.80000000059999</v>
      </c>
      <c r="FP11">
        <v>350.80000000019999</v>
      </c>
      <c r="FQ11">
        <v>357.29999999969999</v>
      </c>
      <c r="FR11">
        <v>363.9000000003</v>
      </c>
      <c r="FS11">
        <v>370.19999999940001</v>
      </c>
      <c r="FT11">
        <v>377.0999999997</v>
      </c>
      <c r="FU11">
        <v>382.59999999899998</v>
      </c>
      <c r="FV11">
        <v>389.10000000029999</v>
      </c>
      <c r="FW11">
        <v>395.0999999997</v>
      </c>
      <c r="FX11">
        <v>401.20000000020002</v>
      </c>
      <c r="FY11">
        <v>406.69999999949999</v>
      </c>
      <c r="FZ11">
        <v>412.5999999997</v>
      </c>
      <c r="GA11">
        <v>418.09999999899998</v>
      </c>
      <c r="GB11">
        <v>423.1</v>
      </c>
      <c r="GC11">
        <v>429.09999999939998</v>
      </c>
      <c r="GD11">
        <v>434.79999999910001</v>
      </c>
      <c r="GE11">
        <v>439.09999999960002</v>
      </c>
      <c r="GF11">
        <v>444.49999999959999</v>
      </c>
      <c r="GG11">
        <v>449.39999999949998</v>
      </c>
      <c r="GH11">
        <v>453.90000000039998</v>
      </c>
      <c r="GI11">
        <v>457.00000000030002</v>
      </c>
      <c r="GJ11">
        <v>458.59999999989998</v>
      </c>
      <c r="GK11">
        <v>458.80000000029997</v>
      </c>
      <c r="GL11">
        <v>458.89999999960003</v>
      </c>
      <c r="GM11">
        <v>458.89999999960003</v>
      </c>
      <c r="GN11">
        <v>458.80000000029997</v>
      </c>
      <c r="GO11">
        <v>458.80000000029997</v>
      </c>
      <c r="GP11">
        <v>458.80000000029997</v>
      </c>
      <c r="GQ11">
        <v>458.89999999960003</v>
      </c>
      <c r="GR11">
        <v>458.89999999960003</v>
      </c>
      <c r="GS11">
        <v>458.80000000029997</v>
      </c>
      <c r="GT11">
        <v>458.99999999890002</v>
      </c>
      <c r="GU11">
        <v>458.99999999890002</v>
      </c>
      <c r="GV11">
        <v>458.99999999890002</v>
      </c>
      <c r="GW11">
        <v>1</v>
      </c>
      <c r="GX11">
        <v>121.9999999994</v>
      </c>
      <c r="GY11">
        <v>119.0000000006</v>
      </c>
      <c r="GZ11">
        <v>119.0000000006</v>
      </c>
      <c r="HA11">
        <v>125.2000000004</v>
      </c>
      <c r="HB11">
        <v>120.6492810463</v>
      </c>
      <c r="HC11">
        <v>-6.1999999998000002</v>
      </c>
      <c r="HD11">
        <v>458.99999999890002</v>
      </c>
      <c r="HE11">
        <v>296.74218954089997</v>
      </c>
      <c r="HF11">
        <v>105.58114379129999</v>
      </c>
      <c r="HG11">
        <v>459.1</v>
      </c>
      <c r="HH11">
        <v>458.99999999890002</v>
      </c>
      <c r="HI11">
        <v>459.1</v>
      </c>
      <c r="HJ11">
        <v>458.99999999890002</v>
      </c>
      <c r="HK11">
        <v>114.9560117302</v>
      </c>
      <c r="HL11">
        <v>3.2858688728000001</v>
      </c>
      <c r="HM11">
        <v>3.2147768849</v>
      </c>
      <c r="HN11">
        <v>3.2509589285999998</v>
      </c>
      <c r="HO11">
        <v>3.0020417328</v>
      </c>
      <c r="HP11">
        <v>3.4556206776999998</v>
      </c>
      <c r="HQ11">
        <v>2.2095789725000001</v>
      </c>
      <c r="HR11">
        <v>15.068137255</v>
      </c>
      <c r="HS11">
        <v>-32.844574780099997</v>
      </c>
      <c r="HT11">
        <v>-224</v>
      </c>
      <c r="HU11">
        <v>417.39147058729998</v>
      </c>
      <c r="HV11">
        <v>93.841642228699996</v>
      </c>
      <c r="HW11">
        <v>640</v>
      </c>
      <c r="HX11">
        <v>15.068137255</v>
      </c>
      <c r="HY11">
        <v>-32.844574780099997</v>
      </c>
      <c r="HZ11">
        <v>-224</v>
      </c>
      <c r="IA11">
        <v>417.39147058729998</v>
      </c>
      <c r="IB11">
        <v>93.841642228699996</v>
      </c>
      <c r="IC11">
        <v>640</v>
      </c>
      <c r="ID11">
        <v>41.608529411699998</v>
      </c>
      <c r="IE11">
        <v>0.6009259253</v>
      </c>
      <c r="IF11">
        <v>-42.228739002899999</v>
      </c>
      <c r="IG11">
        <v>-288</v>
      </c>
      <c r="IH11">
        <v>438.79499999960001</v>
      </c>
      <c r="II11">
        <v>103.22580645159999</v>
      </c>
      <c r="IJ11">
        <v>704</v>
      </c>
      <c r="IK11">
        <v>402.32333333230002</v>
      </c>
      <c r="IL11">
        <v>126.6862170088</v>
      </c>
      <c r="IM11">
        <v>425.31128540330002</v>
      </c>
      <c r="IN11">
        <v>136.0703812317</v>
      </c>
      <c r="IO11">
        <v>6.9000000003000004</v>
      </c>
      <c r="IP11">
        <v>6.1999999998000002</v>
      </c>
      <c r="IQ11">
        <v>9.2999999997000007</v>
      </c>
      <c r="IR11">
        <v>5.7535053366</v>
      </c>
      <c r="IS11">
        <v>5.7535053366</v>
      </c>
      <c r="IT11">
        <v>4.4999999990999999</v>
      </c>
      <c r="IU11">
        <v>-32.844574780099997</v>
      </c>
      <c r="IV11">
        <v>8.7999999996000007</v>
      </c>
      <c r="IW11">
        <v>60.997067448700001</v>
      </c>
      <c r="IX11">
        <v>7.9999999998</v>
      </c>
      <c r="IY11">
        <v>100.87976539589999</v>
      </c>
      <c r="IZ11">
        <v>-37.729223822400002</v>
      </c>
      <c r="JA11">
        <v>0.34847670330000002</v>
      </c>
      <c r="JB11">
        <v>-3.7997630000000002E-4</v>
      </c>
      <c r="JC11">
        <v>7.1819999999999996E-7</v>
      </c>
      <c r="JD11">
        <v>0.30433350770000001</v>
      </c>
      <c r="JE11">
        <v>0.3229727302</v>
      </c>
      <c r="JF11">
        <v>0.12960724039999999</v>
      </c>
      <c r="JG11">
        <v>120.9636336002</v>
      </c>
      <c r="JH11">
        <v>3.4556206776999998</v>
      </c>
      <c r="JI11">
        <v>3.3935231999999999E-3</v>
      </c>
      <c r="JJ11">
        <v>-7.1273199999999994E-5</v>
      </c>
      <c r="JK11">
        <v>3.2858688728000001</v>
      </c>
      <c r="JL11">
        <v>1.5003865735999999</v>
      </c>
      <c r="JM11">
        <v>0.62145014539999999</v>
      </c>
      <c r="JN11" t="s">
        <v>523</v>
      </c>
      <c r="JQ11">
        <v>1</v>
      </c>
    </row>
    <row r="12" spans="1:277">
      <c r="A12" t="s">
        <v>667</v>
      </c>
      <c r="B12" t="s">
        <v>668</v>
      </c>
      <c r="C12" t="s">
        <v>208</v>
      </c>
      <c r="D12">
        <v>3</v>
      </c>
      <c r="E12" t="s">
        <v>209</v>
      </c>
      <c r="F12" t="s">
        <v>210</v>
      </c>
      <c r="G12" t="s">
        <v>522</v>
      </c>
      <c r="H12" t="s">
        <v>527</v>
      </c>
      <c r="J12" t="s">
        <v>648</v>
      </c>
      <c r="K12" t="s">
        <v>649</v>
      </c>
      <c r="L12" t="s">
        <v>650</v>
      </c>
      <c r="M12" t="s">
        <v>651</v>
      </c>
      <c r="N12" t="s">
        <v>652</v>
      </c>
      <c r="O12">
        <v>0</v>
      </c>
      <c r="P12">
        <v>0</v>
      </c>
      <c r="Q12">
        <v>0.40000000079999998</v>
      </c>
      <c r="R12">
        <v>0.40000000079999998</v>
      </c>
      <c r="S12">
        <v>0.20000000039999999</v>
      </c>
      <c r="T12">
        <v>0.40000000079999998</v>
      </c>
      <c r="U12">
        <v>0.3000000015</v>
      </c>
      <c r="V12">
        <v>0.20000000039999999</v>
      </c>
      <c r="W12">
        <v>0</v>
      </c>
      <c r="X12">
        <v>0.1000000011</v>
      </c>
      <c r="Y12">
        <v>0.20000000039999999</v>
      </c>
      <c r="Z12">
        <v>0.3000000015</v>
      </c>
      <c r="AA12">
        <v>0.20000000039999999</v>
      </c>
      <c r="AB12">
        <v>0.20000000039999999</v>
      </c>
      <c r="AC12">
        <v>0</v>
      </c>
      <c r="AD12">
        <v>0.1000000011</v>
      </c>
      <c r="AE12">
        <v>0.20000000039999999</v>
      </c>
      <c r="AF12">
        <v>0.20000000039999999</v>
      </c>
      <c r="AG12">
        <v>2.2000000007999998</v>
      </c>
      <c r="AH12">
        <v>6.8000000009999999</v>
      </c>
      <c r="AI12">
        <v>13.0000000008</v>
      </c>
      <c r="AJ12">
        <v>19.200000000599999</v>
      </c>
      <c r="AK12">
        <v>26.700000000300001</v>
      </c>
      <c r="AL12">
        <v>33.000000001300002</v>
      </c>
      <c r="AM12">
        <v>40.800000000700003</v>
      </c>
      <c r="AN12">
        <v>48.600000000100003</v>
      </c>
      <c r="AO12">
        <v>55.900000001199999</v>
      </c>
      <c r="AP12">
        <v>63.200000000499998</v>
      </c>
      <c r="AQ12">
        <v>69.900000000399999</v>
      </c>
      <c r="AR12">
        <v>77.900000000199995</v>
      </c>
      <c r="AS12">
        <v>85.6000000003</v>
      </c>
      <c r="AT12">
        <v>93.800000000599994</v>
      </c>
      <c r="AU12">
        <v>102.0000000008</v>
      </c>
      <c r="AV12">
        <v>110.0000000006</v>
      </c>
      <c r="AW12">
        <v>117.7000000007</v>
      </c>
      <c r="AX12">
        <v>126.1000000013</v>
      </c>
      <c r="AY12">
        <v>133.9000000007</v>
      </c>
      <c r="AZ12">
        <v>142.49999999990001</v>
      </c>
      <c r="BA12">
        <v>151.30000000140001</v>
      </c>
      <c r="BB12">
        <v>159.5000000016</v>
      </c>
      <c r="BC12">
        <v>167.10000000060001</v>
      </c>
      <c r="BD12">
        <v>174.50000000099999</v>
      </c>
      <c r="BE12">
        <v>182.50000000079999</v>
      </c>
      <c r="BF12">
        <v>191.0000000007</v>
      </c>
      <c r="BG12">
        <v>200.0000000007</v>
      </c>
      <c r="BH12">
        <v>208.00000000049999</v>
      </c>
      <c r="BI12">
        <v>216.2000000008</v>
      </c>
      <c r="BJ12">
        <v>223.50000000009999</v>
      </c>
      <c r="BK12">
        <v>231.70000000030001</v>
      </c>
      <c r="BL12">
        <v>239.10000000069999</v>
      </c>
      <c r="BM12">
        <v>247.30000000090001</v>
      </c>
      <c r="BN12">
        <v>255.8000000008</v>
      </c>
      <c r="BO12">
        <v>263.80000000059999</v>
      </c>
      <c r="BP12">
        <v>270.80000000019999</v>
      </c>
      <c r="BQ12">
        <v>277.79999999979998</v>
      </c>
      <c r="BR12">
        <v>284.80000000130002</v>
      </c>
      <c r="BS12">
        <v>292.80000000109999</v>
      </c>
      <c r="BT12">
        <v>300.30000000080003</v>
      </c>
      <c r="BU12">
        <v>307.70000000120001</v>
      </c>
      <c r="BV12">
        <v>315.20000000089999</v>
      </c>
      <c r="BW12">
        <v>322.10000000119999</v>
      </c>
      <c r="BX12">
        <v>328.60000000069999</v>
      </c>
      <c r="BY12">
        <v>334.90000000169999</v>
      </c>
      <c r="BZ12">
        <v>341.90000000129999</v>
      </c>
      <c r="CA12">
        <v>348.80000000159998</v>
      </c>
      <c r="CB12">
        <v>355.60000000079998</v>
      </c>
      <c r="CC12">
        <v>362.10000000029999</v>
      </c>
      <c r="CD12">
        <v>369.00000000059998</v>
      </c>
      <c r="CE12">
        <v>374.9000000007</v>
      </c>
      <c r="CF12">
        <v>380.70000000149997</v>
      </c>
      <c r="CG12">
        <v>386.4000000012</v>
      </c>
      <c r="CH12">
        <v>393</v>
      </c>
      <c r="CI12">
        <v>399.00000000130001</v>
      </c>
      <c r="CJ12">
        <v>404.80000000029997</v>
      </c>
      <c r="CK12">
        <v>410.30000000140001</v>
      </c>
      <c r="CL12">
        <v>415.60000000029999</v>
      </c>
      <c r="CM12">
        <v>421.9000000012</v>
      </c>
      <c r="CN12">
        <v>427.30000000119998</v>
      </c>
      <c r="CO12">
        <v>431.90000000139997</v>
      </c>
      <c r="CP12">
        <v>437.4000000007</v>
      </c>
      <c r="CQ12">
        <v>442.70000000139999</v>
      </c>
      <c r="CR12">
        <v>448.20000000070002</v>
      </c>
      <c r="CS12">
        <v>453.1999999999</v>
      </c>
      <c r="CT12">
        <v>457.40000000110001</v>
      </c>
      <c r="CU12">
        <v>458.10000000169998</v>
      </c>
      <c r="CV12">
        <v>458.20000000089999</v>
      </c>
      <c r="CW12">
        <v>458.40000000129999</v>
      </c>
      <c r="CX12">
        <v>458.30000000019999</v>
      </c>
      <c r="CY12">
        <v>458.40000000129999</v>
      </c>
      <c r="CZ12">
        <v>458.20000000089999</v>
      </c>
      <c r="DA12">
        <v>458.50000000059998</v>
      </c>
      <c r="DB12">
        <v>458.59999999989998</v>
      </c>
      <c r="DC12">
        <v>458.50000000059998</v>
      </c>
      <c r="DD12">
        <v>458.50000000059998</v>
      </c>
      <c r="DE12">
        <v>458.50000000059998</v>
      </c>
      <c r="DF12">
        <v>458.70000000099998</v>
      </c>
      <c r="DG12">
        <v>1.0000000002</v>
      </c>
      <c r="DH12">
        <v>0.7000000005</v>
      </c>
      <c r="DI12">
        <v>0.60000000119999997</v>
      </c>
      <c r="DJ12">
        <v>0.40000000079999998</v>
      </c>
      <c r="DK12">
        <v>0.80000000159999995</v>
      </c>
      <c r="DL12">
        <v>1.1000000013</v>
      </c>
      <c r="DM12">
        <v>1.0000000002</v>
      </c>
      <c r="DN12">
        <v>0.7000000005</v>
      </c>
      <c r="DO12">
        <v>0.40000000079999998</v>
      </c>
      <c r="DP12">
        <v>0.50000000010000001</v>
      </c>
      <c r="DQ12">
        <v>0.60000000119999997</v>
      </c>
      <c r="DR12">
        <v>0.80000000159999995</v>
      </c>
      <c r="DS12">
        <v>1.0000000002</v>
      </c>
      <c r="DT12">
        <v>1.0000000002</v>
      </c>
      <c r="DU12">
        <v>1.1000000013</v>
      </c>
      <c r="DV12">
        <v>0.80000000159999995</v>
      </c>
      <c r="DW12">
        <v>5.0000000010000001</v>
      </c>
      <c r="DX12">
        <v>11.300000000100001</v>
      </c>
      <c r="DY12">
        <v>17.600000001000002</v>
      </c>
      <c r="DZ12">
        <v>24.699999999900001</v>
      </c>
      <c r="EA12">
        <v>31.700000001399999</v>
      </c>
      <c r="EB12">
        <v>39.700000001200003</v>
      </c>
      <c r="EC12">
        <v>46.900000001199999</v>
      </c>
      <c r="ED12">
        <v>54.100000001200002</v>
      </c>
      <c r="EE12">
        <v>61.600000000900003</v>
      </c>
      <c r="EF12">
        <v>68.400000000099993</v>
      </c>
      <c r="EG12">
        <v>76.100000000199998</v>
      </c>
      <c r="EH12">
        <v>83.599999999900007</v>
      </c>
      <c r="EI12">
        <v>92.300000000300003</v>
      </c>
      <c r="EJ12">
        <v>100.10000000150001</v>
      </c>
      <c r="EK12">
        <v>107.90000000089999</v>
      </c>
      <c r="EL12">
        <v>115.9000000007</v>
      </c>
      <c r="EM12">
        <v>123.60000000079999</v>
      </c>
      <c r="EN12">
        <v>131.6999999999</v>
      </c>
      <c r="EO12">
        <v>140.10000000049999</v>
      </c>
      <c r="EP12">
        <v>149.40000000020001</v>
      </c>
      <c r="EQ12">
        <v>157.3000000008</v>
      </c>
      <c r="ER12">
        <v>165.60000000030001</v>
      </c>
      <c r="ES12">
        <v>173.1</v>
      </c>
      <c r="ET12">
        <v>180.9000000012</v>
      </c>
      <c r="EU12">
        <v>189.20000000069999</v>
      </c>
      <c r="EV12">
        <v>198.00000000029999</v>
      </c>
      <c r="EW12">
        <v>206.00000000009999</v>
      </c>
      <c r="EX12">
        <v>214.60000000119999</v>
      </c>
      <c r="EY12">
        <v>222.20000000019999</v>
      </c>
      <c r="EZ12">
        <v>230.40000000040001</v>
      </c>
      <c r="FA12">
        <v>238.00000000119999</v>
      </c>
      <c r="FB12">
        <v>245.89999999989999</v>
      </c>
      <c r="FC12">
        <v>254.40000000160001</v>
      </c>
      <c r="FD12">
        <v>262.09999999989998</v>
      </c>
      <c r="FE12">
        <v>270.00000000040001</v>
      </c>
      <c r="FF12">
        <v>277.2000000004</v>
      </c>
      <c r="FG12">
        <v>284.40000000049997</v>
      </c>
      <c r="FH12">
        <v>292.60000000069999</v>
      </c>
      <c r="FI12">
        <v>300.00000000109998</v>
      </c>
      <c r="FJ12">
        <v>307.70000000120001</v>
      </c>
      <c r="FK12">
        <v>315.10000000159999</v>
      </c>
      <c r="FL12">
        <v>322.30000000159998</v>
      </c>
      <c r="FM12">
        <v>329.00000000149998</v>
      </c>
      <c r="FN12">
        <v>335.70000000149997</v>
      </c>
      <c r="FO12">
        <v>342.80000000040002</v>
      </c>
      <c r="FP12">
        <v>349.70000000070002</v>
      </c>
      <c r="FQ12">
        <v>357</v>
      </c>
      <c r="FR12">
        <v>363.40000000020001</v>
      </c>
      <c r="FS12">
        <v>370.00000000080001</v>
      </c>
      <c r="FT12">
        <v>376.20000000060003</v>
      </c>
      <c r="FU12">
        <v>381.50000000130001</v>
      </c>
      <c r="FV12">
        <v>388.00000000080001</v>
      </c>
      <c r="FW12">
        <v>394.20000000060003</v>
      </c>
      <c r="FX12">
        <v>400.40000000039998</v>
      </c>
      <c r="FY12">
        <v>406.2000000013</v>
      </c>
      <c r="FZ12">
        <v>411.79999999990002</v>
      </c>
      <c r="GA12">
        <v>417.90000000039998</v>
      </c>
      <c r="GB12">
        <v>423.50000000080001</v>
      </c>
      <c r="GC12">
        <v>428.30000000140001</v>
      </c>
      <c r="GD12">
        <v>433.30000000059999</v>
      </c>
      <c r="GE12">
        <v>438.30000000159998</v>
      </c>
      <c r="GF12">
        <v>443.40000000010002</v>
      </c>
      <c r="GG12">
        <v>448.20000000070002</v>
      </c>
      <c r="GH12">
        <v>453.10000000060001</v>
      </c>
      <c r="GI12">
        <v>457.10000000140002</v>
      </c>
      <c r="GJ12">
        <v>458.20000000089999</v>
      </c>
      <c r="GK12">
        <v>458.30000000019999</v>
      </c>
      <c r="GL12">
        <v>458.40000000129999</v>
      </c>
      <c r="GM12">
        <v>458.10000000169998</v>
      </c>
      <c r="GN12">
        <v>458.20000000089999</v>
      </c>
      <c r="GO12">
        <v>458.40000000129999</v>
      </c>
      <c r="GP12">
        <v>458.40000000129999</v>
      </c>
      <c r="GQ12">
        <v>458.59999999989998</v>
      </c>
      <c r="GR12">
        <v>458.50000000059998</v>
      </c>
      <c r="GS12">
        <v>458.59999999989998</v>
      </c>
      <c r="GT12">
        <v>458.40000000129999</v>
      </c>
      <c r="GU12">
        <v>458.40000000129999</v>
      </c>
      <c r="GV12">
        <v>458.40000000129999</v>
      </c>
      <c r="GW12">
        <v>1</v>
      </c>
      <c r="GX12">
        <v>119.70000000109999</v>
      </c>
      <c r="GY12">
        <v>117.7000000007</v>
      </c>
      <c r="GZ12">
        <v>117.7000000007</v>
      </c>
      <c r="HA12">
        <v>123.60000000079999</v>
      </c>
      <c r="HB12">
        <v>119.25236070290001</v>
      </c>
      <c r="HC12">
        <v>-5.9000000001000004</v>
      </c>
      <c r="HD12">
        <v>458.40000000129999</v>
      </c>
      <c r="HE12">
        <v>286.0691309568</v>
      </c>
      <c r="HF12">
        <v>99.789085159899997</v>
      </c>
      <c r="HG12">
        <v>458.70000000099998</v>
      </c>
      <c r="HH12">
        <v>458.59999999989998</v>
      </c>
      <c r="HI12">
        <v>458.70000000099998</v>
      </c>
      <c r="HJ12">
        <v>458.59999999989998</v>
      </c>
      <c r="HK12">
        <v>114.9560117302</v>
      </c>
      <c r="HL12">
        <v>3.3161480627</v>
      </c>
      <c r="HM12">
        <v>3.2361465409000001</v>
      </c>
      <c r="HN12">
        <v>3.2787533563000002</v>
      </c>
      <c r="HO12">
        <v>3.0760174939999998</v>
      </c>
      <c r="HP12">
        <v>3.4686043871000001</v>
      </c>
      <c r="HQ12">
        <v>2.3531526352999999</v>
      </c>
      <c r="HR12">
        <v>19.4632755431</v>
      </c>
      <c r="HS12">
        <v>-30.4985337243</v>
      </c>
      <c r="HT12">
        <v>-208</v>
      </c>
      <c r="HU12">
        <v>405.32149165980002</v>
      </c>
      <c r="HV12">
        <v>89.149560117299998</v>
      </c>
      <c r="HW12">
        <v>608</v>
      </c>
      <c r="HX12">
        <v>19.4632755431</v>
      </c>
      <c r="HY12">
        <v>-30.4985337243</v>
      </c>
      <c r="HZ12">
        <v>-208</v>
      </c>
      <c r="IA12">
        <v>405.32149165980002</v>
      </c>
      <c r="IB12">
        <v>89.149560117299998</v>
      </c>
      <c r="IC12">
        <v>608</v>
      </c>
      <c r="ID12">
        <v>53.278508340199998</v>
      </c>
      <c r="IE12">
        <v>0.20065423660000001</v>
      </c>
      <c r="IF12">
        <v>-39.8826979472</v>
      </c>
      <c r="IG12">
        <v>-272</v>
      </c>
      <c r="IH12">
        <v>427.83313706389998</v>
      </c>
      <c r="II12">
        <v>98.533724340199996</v>
      </c>
      <c r="IJ12">
        <v>672</v>
      </c>
      <c r="IK12">
        <v>385.85821611670002</v>
      </c>
      <c r="IL12">
        <v>119.6480938416</v>
      </c>
      <c r="IM12">
        <v>410.27447388450003</v>
      </c>
      <c r="IN12">
        <v>129.03225806450001</v>
      </c>
      <c r="IO12">
        <v>6.3000000008999999</v>
      </c>
      <c r="IP12">
        <v>6.3000000008999999</v>
      </c>
      <c r="IQ12">
        <v>9.2999999997000007</v>
      </c>
      <c r="IR12">
        <v>4.4706000040999996</v>
      </c>
      <c r="IS12">
        <v>4.4706000040999996</v>
      </c>
      <c r="IT12">
        <v>4.6000000001999997</v>
      </c>
      <c r="IU12">
        <v>-32.844574780099997</v>
      </c>
      <c r="IV12">
        <v>8.1999999983999992</v>
      </c>
      <c r="IW12">
        <v>70.381231671600005</v>
      </c>
      <c r="IX12">
        <v>7.9000000005000004</v>
      </c>
      <c r="IY12">
        <v>96.187683284499997</v>
      </c>
      <c r="IZ12">
        <v>-37.039032134099998</v>
      </c>
      <c r="JA12">
        <v>0.34220267259999998</v>
      </c>
      <c r="JB12">
        <v>-3.5051990000000002E-4</v>
      </c>
      <c r="JC12">
        <v>6.7609999999999997E-7</v>
      </c>
      <c r="JD12">
        <v>0.30155468969999999</v>
      </c>
      <c r="JE12">
        <v>0.2478557354</v>
      </c>
      <c r="JF12">
        <v>0.1158342812</v>
      </c>
      <c r="JG12">
        <v>119.8435123174</v>
      </c>
      <c r="JH12">
        <v>3.4686043871000001</v>
      </c>
      <c r="JI12">
        <v>3.2008857999999999E-3</v>
      </c>
      <c r="JJ12">
        <v>-7.07198E-5</v>
      </c>
      <c r="JK12">
        <v>3.3161480627</v>
      </c>
      <c r="JL12">
        <v>0.96302694160000002</v>
      </c>
      <c r="JM12">
        <v>0.47791860949999998</v>
      </c>
      <c r="JN12" t="s">
        <v>523</v>
      </c>
      <c r="JQ12">
        <v>1</v>
      </c>
    </row>
    <row r="13" spans="1:277">
      <c r="A13" t="s">
        <v>669</v>
      </c>
      <c r="B13" t="s">
        <v>670</v>
      </c>
      <c r="C13" t="s">
        <v>208</v>
      </c>
      <c r="D13">
        <v>3</v>
      </c>
      <c r="E13" t="s">
        <v>209</v>
      </c>
      <c r="F13" t="s">
        <v>210</v>
      </c>
      <c r="G13" t="s">
        <v>522</v>
      </c>
      <c r="H13" t="s">
        <v>527</v>
      </c>
      <c r="J13" t="s">
        <v>655</v>
      </c>
      <c r="K13" t="s">
        <v>656</v>
      </c>
      <c r="L13" t="s">
        <v>657</v>
      </c>
      <c r="M13" t="s">
        <v>658</v>
      </c>
      <c r="N13" t="s">
        <v>659</v>
      </c>
      <c r="O13">
        <v>0</v>
      </c>
      <c r="P13">
        <v>0</v>
      </c>
      <c r="Q13">
        <v>0</v>
      </c>
      <c r="R13">
        <v>0.59999999940000004</v>
      </c>
      <c r="S13">
        <v>0.7000000005</v>
      </c>
      <c r="T13">
        <v>0.50000000010000001</v>
      </c>
      <c r="U13">
        <v>0.7000000005</v>
      </c>
      <c r="V13">
        <v>0.39999999899999999</v>
      </c>
      <c r="W13">
        <v>0.59999999940000004</v>
      </c>
      <c r="X13">
        <v>0.7000000005</v>
      </c>
      <c r="Y13">
        <v>0.79999999980000003</v>
      </c>
      <c r="Z13">
        <v>0.79999999980000003</v>
      </c>
      <c r="AA13">
        <v>0.89999999909999995</v>
      </c>
      <c r="AB13">
        <v>1.0000000002</v>
      </c>
      <c r="AC13">
        <v>0.89999999909999995</v>
      </c>
      <c r="AD13">
        <v>0.79999999980000003</v>
      </c>
      <c r="AE13">
        <v>0.79999999980000003</v>
      </c>
      <c r="AF13">
        <v>1.0999999995</v>
      </c>
      <c r="AG13">
        <v>2.0000000004</v>
      </c>
      <c r="AH13">
        <v>4.9999999991999999</v>
      </c>
      <c r="AI13">
        <v>10.200000000599999</v>
      </c>
      <c r="AJ13">
        <v>16.9000000005</v>
      </c>
      <c r="AK13">
        <v>22.800000000600001</v>
      </c>
      <c r="AL13">
        <v>29.800000000299999</v>
      </c>
      <c r="AM13">
        <v>37.899999999400002</v>
      </c>
      <c r="AN13">
        <v>45.200000000499998</v>
      </c>
      <c r="AO13">
        <v>52.299999999400001</v>
      </c>
      <c r="AP13">
        <v>59.600000000500003</v>
      </c>
      <c r="AQ13">
        <v>67.199999999499994</v>
      </c>
      <c r="AR13">
        <v>74.800000000300003</v>
      </c>
      <c r="AS13">
        <v>81.899999999200006</v>
      </c>
      <c r="AT13">
        <v>89.599999999299996</v>
      </c>
      <c r="AU13">
        <v>98.599999999399998</v>
      </c>
      <c r="AV13">
        <v>106.09999999910001</v>
      </c>
      <c r="AW13">
        <v>113.99999999960001</v>
      </c>
      <c r="AX13">
        <v>121.9999999994</v>
      </c>
      <c r="AY13">
        <v>129.4999999991</v>
      </c>
      <c r="AZ13">
        <v>137.80000000039999</v>
      </c>
      <c r="BA13">
        <v>146.69999999929999</v>
      </c>
      <c r="BB13">
        <v>154.69999999909999</v>
      </c>
      <c r="BC13">
        <v>162.39999999930001</v>
      </c>
      <c r="BD13">
        <v>170.7999999999</v>
      </c>
      <c r="BE13">
        <v>179.09999999940001</v>
      </c>
      <c r="BF13">
        <v>186.90000000059999</v>
      </c>
      <c r="BG13">
        <v>195.79999999949999</v>
      </c>
      <c r="BH13">
        <v>203.90000000040001</v>
      </c>
      <c r="BI13">
        <v>211.29999999899999</v>
      </c>
      <c r="BJ13">
        <v>219.49999999920001</v>
      </c>
      <c r="BK13">
        <v>227.4999999991</v>
      </c>
      <c r="BL13">
        <v>234.69999999909999</v>
      </c>
      <c r="BM13">
        <v>242.70000000069999</v>
      </c>
      <c r="BN13">
        <v>251.39999999919999</v>
      </c>
      <c r="BO13">
        <v>259.29999999969999</v>
      </c>
      <c r="BP13">
        <v>266.90000000049997</v>
      </c>
      <c r="BQ13">
        <v>274.60000000060001</v>
      </c>
      <c r="BR13">
        <v>281.99999999919999</v>
      </c>
      <c r="BS13">
        <v>288.80000000029997</v>
      </c>
      <c r="BT13">
        <v>296.50000000040001</v>
      </c>
      <c r="BU13">
        <v>304.39999999909998</v>
      </c>
      <c r="BV13">
        <v>311.29999999939997</v>
      </c>
      <c r="BW13">
        <v>318.69999999980001</v>
      </c>
      <c r="BX13">
        <v>325.60000000010001</v>
      </c>
      <c r="BY13">
        <v>332.39999999930001</v>
      </c>
      <c r="BZ13">
        <v>338.70000000020002</v>
      </c>
      <c r="CA13">
        <v>345.6999999999</v>
      </c>
      <c r="CB13">
        <v>353.19999999959998</v>
      </c>
      <c r="CC13">
        <v>359.39999999939999</v>
      </c>
      <c r="CD13">
        <v>365.59999999920001</v>
      </c>
      <c r="CE13">
        <v>371.99999999940002</v>
      </c>
      <c r="CF13">
        <v>378.50000000070003</v>
      </c>
      <c r="CG13">
        <v>384.39999999899999</v>
      </c>
      <c r="CH13">
        <v>389.79999999900002</v>
      </c>
      <c r="CI13">
        <v>396.00000000059998</v>
      </c>
      <c r="CJ13">
        <v>402.89999999909998</v>
      </c>
      <c r="CK13">
        <v>408.7999999992</v>
      </c>
      <c r="CL13">
        <v>414.1</v>
      </c>
      <c r="CM13">
        <v>419.7000000004</v>
      </c>
      <c r="CN13">
        <v>425.19999999970003</v>
      </c>
      <c r="CO13">
        <v>430.5999999997</v>
      </c>
      <c r="CP13">
        <v>436.09999999899998</v>
      </c>
      <c r="CQ13">
        <v>440.39999999949998</v>
      </c>
      <c r="CR13">
        <v>445.90000000060002</v>
      </c>
      <c r="CS13">
        <v>451.99999999929997</v>
      </c>
      <c r="CT13">
        <v>457.00000000030002</v>
      </c>
      <c r="CU13">
        <v>459.69999999940001</v>
      </c>
      <c r="CV13">
        <v>459.60000000010001</v>
      </c>
      <c r="CW13">
        <v>459.69999999940001</v>
      </c>
      <c r="CX13">
        <v>459.80000000050001</v>
      </c>
      <c r="CY13">
        <v>459.8999999998</v>
      </c>
      <c r="CZ13">
        <v>460.1000000002</v>
      </c>
      <c r="DA13">
        <v>459.8999999998</v>
      </c>
      <c r="DB13">
        <v>459.8999999998</v>
      </c>
      <c r="DC13">
        <v>459.80000000050001</v>
      </c>
      <c r="DD13">
        <v>459.9999999991</v>
      </c>
      <c r="DE13">
        <v>459.9999999991</v>
      </c>
      <c r="DF13">
        <v>459.9999999991</v>
      </c>
      <c r="DG13">
        <v>0.89999999909999995</v>
      </c>
      <c r="DH13">
        <v>1.8</v>
      </c>
      <c r="DI13">
        <v>1.7000000007</v>
      </c>
      <c r="DJ13">
        <v>1.8</v>
      </c>
      <c r="DK13">
        <v>1.8</v>
      </c>
      <c r="DL13">
        <v>2.0000000004</v>
      </c>
      <c r="DM13">
        <v>2.0000000004</v>
      </c>
      <c r="DN13">
        <v>2.1999999990000001</v>
      </c>
      <c r="DO13">
        <v>1.8999999993000001</v>
      </c>
      <c r="DP13">
        <v>1.8</v>
      </c>
      <c r="DQ13">
        <v>1.5999999996000001</v>
      </c>
      <c r="DR13">
        <v>1.7000000007</v>
      </c>
      <c r="DS13">
        <v>1.8</v>
      </c>
      <c r="DT13">
        <v>1.8</v>
      </c>
      <c r="DU13">
        <v>2.1999999990000001</v>
      </c>
      <c r="DV13">
        <v>2.1999999990000001</v>
      </c>
      <c r="DW13">
        <v>4.6999999995000001</v>
      </c>
      <c r="DX13">
        <v>8.5999999991999996</v>
      </c>
      <c r="DY13">
        <v>15.4999999995</v>
      </c>
      <c r="DZ13">
        <v>21.499999998900002</v>
      </c>
      <c r="EA13">
        <v>28.500000000299998</v>
      </c>
      <c r="EB13">
        <v>36.700000000599999</v>
      </c>
      <c r="EC13">
        <v>43.700000000199999</v>
      </c>
      <c r="ED13">
        <v>51.4999999996</v>
      </c>
      <c r="EE13">
        <v>58.4999999992</v>
      </c>
      <c r="EF13">
        <v>66.000000000699998</v>
      </c>
      <c r="EG13">
        <v>72.899999999200006</v>
      </c>
      <c r="EH13">
        <v>80.400000000700004</v>
      </c>
      <c r="EI13">
        <v>89.200000000299994</v>
      </c>
      <c r="EJ13">
        <v>96.799999999299999</v>
      </c>
      <c r="EK13">
        <v>104.4000000002</v>
      </c>
      <c r="EL13">
        <v>112.1999999996</v>
      </c>
      <c r="EM13">
        <v>120.30000000050001</v>
      </c>
      <c r="EN13">
        <v>127.6999999991</v>
      </c>
      <c r="EO13">
        <v>136.59999999979999</v>
      </c>
      <c r="EP13">
        <v>145.3000000001</v>
      </c>
      <c r="EQ13">
        <v>153.2999999999</v>
      </c>
      <c r="ER13">
        <v>161.00000000009999</v>
      </c>
      <c r="ES13">
        <v>169.2999999996</v>
      </c>
      <c r="ET13">
        <v>176.49999999959999</v>
      </c>
      <c r="EU13">
        <v>185.1999999999</v>
      </c>
      <c r="EV13">
        <v>193.99999999950001</v>
      </c>
      <c r="EW13">
        <v>202.60000000049999</v>
      </c>
      <c r="EX13">
        <v>210.1000000002</v>
      </c>
      <c r="EY13">
        <v>218.39999999969999</v>
      </c>
      <c r="EZ13">
        <v>226.09999999990001</v>
      </c>
      <c r="FA13">
        <v>233.59999999959999</v>
      </c>
      <c r="FB13">
        <v>242.59999999959999</v>
      </c>
      <c r="FC13">
        <v>250.50000000009999</v>
      </c>
      <c r="FD13">
        <v>258.40000000060002</v>
      </c>
      <c r="FE13">
        <v>265.7999999992</v>
      </c>
      <c r="FF13">
        <v>273.69999999970003</v>
      </c>
      <c r="FG13">
        <v>280.60000000000002</v>
      </c>
      <c r="FH13">
        <v>288.50000000059998</v>
      </c>
      <c r="FI13">
        <v>296.699999999</v>
      </c>
      <c r="FJ13">
        <v>304.20000000049998</v>
      </c>
      <c r="FK13">
        <v>311.09999999899998</v>
      </c>
      <c r="FL13">
        <v>318.19999999970003</v>
      </c>
      <c r="FM13">
        <v>325.60000000010001</v>
      </c>
      <c r="FN13">
        <v>331.79999999990002</v>
      </c>
      <c r="FO13">
        <v>339.09999999920001</v>
      </c>
      <c r="FP13">
        <v>346.40000000039998</v>
      </c>
      <c r="FQ13">
        <v>353.60000000039997</v>
      </c>
      <c r="FR13">
        <v>360.09999999989998</v>
      </c>
      <c r="FS13">
        <v>366.2000000004</v>
      </c>
      <c r="FT13">
        <v>372.6999999999</v>
      </c>
      <c r="FU13">
        <v>378.99999999900001</v>
      </c>
      <c r="FV13">
        <v>384.59999999939998</v>
      </c>
      <c r="FW13">
        <v>390.7999999992</v>
      </c>
      <c r="FX13">
        <v>397.6000000002</v>
      </c>
      <c r="FY13">
        <v>403.50000000030002</v>
      </c>
      <c r="FZ13">
        <v>409.70000000020002</v>
      </c>
      <c r="GA13">
        <v>415.1000000002</v>
      </c>
      <c r="GB13">
        <v>420.39999999909998</v>
      </c>
      <c r="GC13">
        <v>426.1999999999</v>
      </c>
      <c r="GD13">
        <v>431.19999999909999</v>
      </c>
      <c r="GE13">
        <v>435.79999999929998</v>
      </c>
      <c r="GF13">
        <v>441.00000000070003</v>
      </c>
      <c r="GG13">
        <v>446.09999999920001</v>
      </c>
      <c r="GH13">
        <v>451.9</v>
      </c>
      <c r="GI13">
        <v>456.50000000019998</v>
      </c>
      <c r="GJ13">
        <v>459.60000000010001</v>
      </c>
      <c r="GK13">
        <v>459.60000000010001</v>
      </c>
      <c r="GL13">
        <v>459.60000000010001</v>
      </c>
      <c r="GM13">
        <v>459.8999999998</v>
      </c>
      <c r="GN13">
        <v>459.9999999991</v>
      </c>
      <c r="GO13">
        <v>459.80000000050001</v>
      </c>
      <c r="GP13">
        <v>459.8999999998</v>
      </c>
      <c r="GQ13">
        <v>459.8999999998</v>
      </c>
      <c r="GR13">
        <v>460.1000000002</v>
      </c>
      <c r="GS13">
        <v>459.8999999998</v>
      </c>
      <c r="GT13">
        <v>459.80000000050001</v>
      </c>
      <c r="GU13">
        <v>459.80000000050001</v>
      </c>
      <c r="GV13">
        <v>459.8999999998</v>
      </c>
      <c r="GW13">
        <v>1</v>
      </c>
      <c r="GX13">
        <v>116.5999999994</v>
      </c>
      <c r="GY13">
        <v>113.99999999960001</v>
      </c>
      <c r="GZ13">
        <v>113.99999999960001</v>
      </c>
      <c r="HA13">
        <v>120.30000000050001</v>
      </c>
      <c r="HB13">
        <v>115.604445652</v>
      </c>
      <c r="HC13">
        <v>-6.3000000008999999</v>
      </c>
      <c r="HD13">
        <v>459.90001086939998</v>
      </c>
      <c r="HE13">
        <v>293.30172826109998</v>
      </c>
      <c r="HF13">
        <v>98.512445651500002</v>
      </c>
      <c r="HG13">
        <v>460.1000000002</v>
      </c>
      <c r="HH13">
        <v>460.1000000002</v>
      </c>
      <c r="HI13">
        <v>460.1000000002</v>
      </c>
      <c r="HJ13">
        <v>460.1000000002</v>
      </c>
      <c r="HK13">
        <v>114.9560117302</v>
      </c>
      <c r="HL13">
        <v>3.3069489205</v>
      </c>
      <c r="HM13">
        <v>3.1952674989999998</v>
      </c>
      <c r="HN13">
        <v>3.2656895259000001</v>
      </c>
      <c r="HO13">
        <v>3.0313053956</v>
      </c>
      <c r="HP13">
        <v>3.4468886872</v>
      </c>
      <c r="HQ13">
        <v>2.3383756447000001</v>
      </c>
      <c r="HR13">
        <v>17.092000000500001</v>
      </c>
      <c r="HS13">
        <v>-30.4985337243</v>
      </c>
      <c r="HT13">
        <v>-208</v>
      </c>
      <c r="HU13">
        <v>408.90617391310002</v>
      </c>
      <c r="HV13">
        <v>91.495601172999997</v>
      </c>
      <c r="HW13">
        <v>624</v>
      </c>
      <c r="HX13">
        <v>17.092000000500001</v>
      </c>
      <c r="HY13">
        <v>-30.4985337243</v>
      </c>
      <c r="HZ13">
        <v>-208</v>
      </c>
      <c r="IA13">
        <v>408.90617391310002</v>
      </c>
      <c r="IB13">
        <v>91.495601172999997</v>
      </c>
      <c r="IC13">
        <v>624</v>
      </c>
      <c r="ID13">
        <v>51.193826087200001</v>
      </c>
      <c r="IE13">
        <v>1.1039456516999999</v>
      </c>
      <c r="IF13">
        <v>-39.8826979472</v>
      </c>
      <c r="IG13">
        <v>-272</v>
      </c>
      <c r="IH13">
        <v>430.78521739040002</v>
      </c>
      <c r="II13">
        <v>100.87976539589999</v>
      </c>
      <c r="IJ13">
        <v>688</v>
      </c>
      <c r="IK13">
        <v>391.81417391259998</v>
      </c>
      <c r="IL13">
        <v>121.9941348974</v>
      </c>
      <c r="IM13">
        <v>414.7612934782</v>
      </c>
      <c r="IN13">
        <v>131.37829912020001</v>
      </c>
      <c r="IO13">
        <v>6.9000000003000004</v>
      </c>
      <c r="IP13">
        <v>6.0999999987000004</v>
      </c>
      <c r="IQ13">
        <v>9</v>
      </c>
      <c r="IR13">
        <v>4.8740860262999997</v>
      </c>
      <c r="IS13">
        <v>4.8740860262999997</v>
      </c>
      <c r="IT13">
        <v>5.2999999988999997</v>
      </c>
      <c r="IU13">
        <v>-32.844574780099997</v>
      </c>
      <c r="IV13">
        <v>7.9000000005000004</v>
      </c>
      <c r="IW13">
        <v>35.190615835800003</v>
      </c>
      <c r="IX13">
        <v>5.9999999994</v>
      </c>
      <c r="IY13">
        <v>110.26392961880001</v>
      </c>
      <c r="IZ13">
        <v>-36.106003281500001</v>
      </c>
      <c r="JA13">
        <v>0.3444721758</v>
      </c>
      <c r="JB13">
        <v>-3.5515230000000001E-4</v>
      </c>
      <c r="JC13">
        <v>6.764E-7</v>
      </c>
      <c r="JD13">
        <v>0.30239354280000003</v>
      </c>
      <c r="JE13">
        <v>0.198034819</v>
      </c>
      <c r="JF13">
        <v>9.4719674200000006E-2</v>
      </c>
      <c r="JG13">
        <v>115.9163186207</v>
      </c>
      <c r="JH13">
        <v>3.4468886872</v>
      </c>
      <c r="JI13">
        <v>3.5954414000000001E-3</v>
      </c>
      <c r="JJ13">
        <v>-7.0336199999999999E-5</v>
      </c>
      <c r="JK13">
        <v>3.3069489205</v>
      </c>
      <c r="JL13">
        <v>1.3897117321000001</v>
      </c>
      <c r="JM13">
        <v>0.45550104260000002</v>
      </c>
      <c r="JN13" t="s">
        <v>523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91.327698630300006</v>
      </c>
      <c r="D16" s="9">
        <f>AVERAGE(C18:C20)</f>
        <v>87.814112253066654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95.8506770961</v>
      </c>
      <c r="D17" s="9">
        <f>AVERAGE(C21:C23)</f>
        <v>91.182334212100002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87.015796573700001</v>
      </c>
      <c r="D18" s="11">
        <f>AVERAGE(C24:C26)</f>
        <v>88.760653509033318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93.323442829000001</v>
      </c>
      <c r="D19" s="6">
        <f>AVERAGE('Summary(3pcs)'!E34:E35)</f>
        <v>132.07541506213786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83.103097356500001</v>
      </c>
      <c r="D20" s="9">
        <f>AVERAGE('Summary(3pcs)'!E36:E38)</f>
        <v>139.5075122150046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86.649955236899999</v>
      </c>
      <c r="D21" s="9">
        <f>AVERAGE('Summary(3pcs)'!E39:E41)</f>
        <v>141.42548969583791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96.918566787399996</v>
      </c>
      <c r="D22" s="11">
        <f>AVERAGE('Summary(3pcs)'!E42:E44)</f>
        <v>131.2395207842379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89.978480611999998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88.362026245699994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91.759041456000006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86.160892825399998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9.5961779181000004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11.0769496085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-6.7159134752999998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-4.3110228454000001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-0.68472073330000005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4.5611369222000002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-1.1812808875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1.5905579673000001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2.4115478014749998</v>
      </c>
      <c r="C39" s="5">
        <f>'Summary(3pcs)'!M34</f>
        <v>9.5961779181000004</v>
      </c>
      <c r="D39" s="11">
        <f t="shared" si="0"/>
        <v>-0.63637104069999995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11.0769496085</v>
      </c>
      <c r="D40" s="6">
        <f t="shared" si="0"/>
        <v>-3.4592100489000002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-6.7159134752999998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-4.3110228454000001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1.0714233171750003</v>
      </c>
      <c r="C43" s="8">
        <f>'Summary(3pcs)'!M39</f>
        <v>-0.68472073330000005</v>
      </c>
      <c r="D43" s="6">
        <f t="shared" ref="D43:D54" si="2">C55</f>
        <v>2.9744400594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4.5611369222000002</v>
      </c>
      <c r="D44" s="9">
        <f t="shared" si="2"/>
        <v>0.7602900613000001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-1.1812808875</v>
      </c>
      <c r="D45" s="11">
        <f t="shared" si="2"/>
        <v>-0.86938313889999996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1.5905579673000001</v>
      </c>
      <c r="D46" s="6">
        <f t="shared" si="2"/>
        <v>-2.9000857306999999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-0.63637104069999995</v>
      </c>
      <c r="D47" s="9">
        <f t="shared" si="2"/>
        <v>-4.1962129166000004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-3.4592100489000002</v>
      </c>
      <c r="D48" s="11">
        <f t="shared" si="2"/>
        <v>15.9561974386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9.0898201399999934E-2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1.8714134150000001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5.0187914140999998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6.5893958346999995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-8.6846872249999318E-3</v>
      </c>
      <c r="C55" s="5">
        <f>'Summary(3pcs)'!N34</f>
        <v>2.9744400594</v>
      </c>
      <c r="D55" s="6">
        <f>AVERAGE(D31:D33)</f>
        <v>4.6524046837666662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0.7602900613000001</v>
      </c>
      <c r="D56" s="9">
        <f>AVERAGE(D34:D36)</f>
        <v>-0.14486888549999991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-0.86938313889999996</v>
      </c>
      <c r="D57" s="9">
        <f>AVERAGE(D37:D39)</f>
        <v>-7.5697986966666631E-2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-2.9000857306999999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3.4305740346000002</v>
      </c>
      <c r="C59" s="8">
        <f>'Summary(3pcs)'!N39</f>
        <v>-4.1962129166000004</v>
      </c>
      <c r="D59" s="9">
        <f>AVERAGE(D43:D45)</f>
        <v>0.95511566060000008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15.9561974386</v>
      </c>
      <c r="D60" s="9">
        <f>AVERAGE(D46:D48)</f>
        <v>2.9532995971000005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9.0898201399999934E-2</v>
      </c>
      <c r="D61" s="9">
        <f>AVERAGE(D49:D51)</f>
        <v>2.3270343434999998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1.8714134150000001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5.0187914140999998</v>
      </c>
      <c r="D63" s="6">
        <f>AVERAGE(C71:C73)</f>
        <v>-11.878123422466667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6.5893958346999995</v>
      </c>
      <c r="D64" s="9">
        <f>AVERAGE(C74:C76)</f>
        <v>-16.368490537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-9.6697052320000001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-16.801670551300003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-3.307214935633334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-4.9301978747000001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-3.4731460213999998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-4.3120981057333339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-5.1211342216000002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-14.262002944900001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-16.251233100900002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-18.735115051299999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-14.6941270828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-15.6762294769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-10.419311523400001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-7.5667252540999996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-11.023078918500001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-13.102567195900001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-17.1855716705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-20.1168727875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-1.3756809235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-6.6739354134000006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-1.8720284700000001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-5.0969686508000001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-1.8694329262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-7.8241920471000004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-5.2588591575999999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-1.9900245667000001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-3.1705543398999998</v>
      </c>
    </row>
    <row r="96" spans="1:7">
      <c r="A96" s="1" t="s">
        <v>87</v>
      </c>
      <c r="C96" s="5">
        <f>'Summary(3pcs)'!W43</f>
        <v>-6.0823552608</v>
      </c>
    </row>
    <row r="97" spans="1:3">
      <c r="A97" s="1" t="s">
        <v>87</v>
      </c>
      <c r="C97" s="8">
        <f>'Summary(3pcs)'!W44</f>
        <v>0.12186741829999992</v>
      </c>
    </row>
    <row r="98" spans="1:3" ht="17.25" thickBot="1">
      <c r="A98" s="1" t="s">
        <v>87</v>
      </c>
      <c r="C98" s="10">
        <f>'Summary(3pcs)'!W45</f>
        <v>-6.9758064747000006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2022-09-23T10:44:20Z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