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<sst xmlns="http://schemas.openxmlformats.org/spreadsheetml/2006/main" count="1419" uniqueCount="671">
  <si>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</si>
  <si>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</si>
  <si>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</si>
  <si>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</si>
  <si>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</si>
  <si>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</si>
  <si>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</si>
  <si>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</si>
  <si>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</si>
  <si>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</si>
  <si>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</si>
  <si>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</si>
  <si>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</si>
  <si>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</si>
  <si>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</si>
  <si>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</si>
  <si>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</si>
  <si>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</si>
  <si>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</si>
  <si>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</si>
  <si>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</si>
  <si>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</si>
  <si>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</si>
  <si>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</si>
  <si>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</si>
  <si>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</si>
  <si>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</si>
  <si>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</si>
  <si>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</si>
  <si>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</si>
  <si>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</si>
  <si>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</si>
  <si>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</si>
  <si>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</si>
  <si>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</si>
  <si>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</si>
  <si>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</si>
  <si>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</si>
  <si>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</si>
  <si>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</si>
  <si>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</si>
  <si>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</si>
  <si>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</si>
  <si>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</si>
  <si>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</si>
  <si>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</si>
  <si>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</si>
  <si>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</si>
  <si>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</si>
  <si>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</si>
  <si>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</si>
  <si>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</si>
  <si>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</si>
  <si>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</si>
  <si>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</si>
  <si>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</si>
  <si>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</si>
  <si>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</si>
  <si>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</si>
  <si>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</si>
  <si>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</si>
  <si>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</si>
  <si>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</si>
  <si>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</si>
  <si>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</si>
  <si>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</si>
  <si>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</si>
  <si>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</si>
  <si>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</si>
  <si>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</si>
  <si>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</si>
  <si>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</si>
  <si>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</si>
  <si>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</si>
  <si>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</si>
  <si>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</si>
  <si>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</si>
  <si>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</si>
  <si>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</si>
  <si>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</si>
  <si>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</si>
  <si>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</si>
  <si>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</si>
  <si>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</si>
  <si>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</si>
  <si>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</si>
  <si>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</si>
  <si>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</si>
  <si>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</si>
  <si>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</si>
  <si>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</si>
  <si>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</si>
  <si>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</si>
  <si>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</si>
  <si>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</si>
  <si>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</si>
  <si>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</si>
  <si>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</si>
  <si>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</si>
  <si>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</si>
  <si>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</si>
  <si>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</si>
  <si>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</si>
  <si>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</si>
  <si>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</si>
  <si>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</si>
  <si>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</si>
  <si>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</si>
  <si>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</si>
  <si>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</si>
  <si>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</si>
  <si>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</si>
  <si>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</si>
  <si>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</si>
  <si>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</si>
  <si>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</si>
  <si>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</si>
  <si>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</si>
  <si>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</si>
  <si>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</si>
  <si>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</si>
  <si>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</si>
  <si>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</si>
  <si>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</si>
  <si>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</si>
  <si>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</si>
  <si>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</si>
  <si>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</si>
  <si>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</si>
  <si>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</si>
  <si>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</si>
  <si>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</si>
  <si>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</si>
  <si>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</si>
  <si>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</si>
  <si>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</si>
  <si>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</si>
  <si>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</si>
  <si>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</si>
  <si>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</si>
  <si>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</si>
  <si>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</si>
  <si>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</si>
  <si>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</si>
  <si>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</si>
  <si>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</si>
  <si>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</si>
  <si>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</si>
  <si>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</si>
  <si>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</si>
  <si>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</si>
  <si>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</si>
  <si>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</si>
  <si>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</si>
  <si>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</si>
  <si>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</si>
  <si>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</si>
  <si>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</si>
  <si>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</si>
  <si>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</si>
  <si>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</si>
  <si>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</si>
  <si>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</si>
  <si>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</si>
  <si>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</si>
  <si>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</si>
  <si>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</si>
  <si>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</si>
  <si>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</si>
  <si>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</si>
  <si>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</si>
  <si>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</si>
  <si>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</si>
  <si>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D:\EVMS\TP\LOG\VSY841XN9NCK_2022092310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</si>
  <si>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</si>
  <si>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</si>
  <si>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</si>
  <si>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</si>
  <si>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</si>
  <si>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</si>
  <si>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</si>
  <si>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</si>
  <si>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</si>
  <si>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</si>
  <si>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</si>
  <si>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</si>
  <si>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</si>
  <si>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</si>
  <si>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</si>
  <si>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</si>
  <si>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</si>
  <si>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</si>
  <si>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</si>
  <si>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</si>
  <si>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</si>
  <si>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</si>
  <si>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</si>
  <si>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</si>
  <si>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</si>
  <si>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</si>
  <si>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</si>
  <si>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</si>
  <si>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</si>
  <si>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</si>
  <si>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</si>
  <si>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</si>
  <si>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</si>
  <si>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</si>
  <si>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</si>
  <si>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</si>
  <si>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T220923101118921VCMLEBC050</t>
  </si>
  <si>
    <t>'2022-09-23 10:11:28:152</t>
  </si>
  <si>
    <t>VCMLEBC050A</t>
  </si>
  <si>
    <t>DB_C1001</t>
  </si>
  <si>
    <t>210615ADOE</t>
  </si>
  <si>
    <t>R13A_OC_MFG_C10_21091603_b1779c9</t>
  </si>
  <si>
    <t>VSY841XN9NCK</t>
  </si>
  <si>
    <t>22cc12050946</t>
  </si>
  <si>
    <t>0x528002623841ea06</t>
  </si>
  <si>
    <t>MF8C3548A40S42B6B538014115</t>
  </si>
  <si>
    <t>MF4C3574BDE114A7A645</t>
  </si>
  <si>
    <t>DNA22301023460F04A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</si>
  <si>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</si>
  <si>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</si>
  <si>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</si>
  <si>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</si>
  <si>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</si>
  <si>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</si>
  <si>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T220923101226341VCMLEBC050</t>
  </si>
  <si>
    <t>'2022-09-23 10:12:35:201</t>
  </si>
  <si>
    <t>22cc12040596</t>
  </si>
  <si>
    <t>0x5280026233280c07</t>
  </si>
  <si>
    <t>MFAC352AA01643B6C335022155</t>
  </si>
  <si>
    <t>MF4C3574B8V114A7A651</t>
  </si>
  <si>
    <t>DNA22291011370J10A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</si>
  <si>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</si>
  <si>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</si>
  <si>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</si>
  <si>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</si>
  <si>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</si>
  <si>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</si>
  <si>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</si>
  <si>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</si>
  <si>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</si>
  <si>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</si>
  <si>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</si>
  <si>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</si>
  <si>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</si>
  <si>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</si>
  <si>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</si>
  <si>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</si>
  <si>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</si>
  <si>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</si>
  <si>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</si>
  <si>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</si>
  <si>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</si>
  <si>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</si>
  <si>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</si>
  <si>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</si>
  <si>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</si>
  <si>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</si>
  <si>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</si>
  <si>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</si>
  <si>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</si>
  <si>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</si>
  <si>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</si>
  <si>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T220923101145591VCMLEBC050</t>
  </si>
  <si>
    <t>'2022-09-23 10:12:13:909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</si>
  <si>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</si>
  <si>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</si>
  <si>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</si>
  <si>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</si>
  <si>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</si>
  <si>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</si>
  <si>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</si>
  <si>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</si>
  <si>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</si>
  <si>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</si>
  <si>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</si>
  <si>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</si>
  <si>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</si>
  <si>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</si>
  <si>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</si>
  <si>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</si>
  <si>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10:12:03:886</t>
  </si>
  <si>
    <t>T220923101252670VCMLEBC050</t>
  </si>
  <si>
    <t>'2022-09-23 10:13:10:755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</si>
  <si>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</si>
  <si>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</si>
  <si>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</si>
  <si>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</si>
  <si>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</si>
  <si>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</si>
  <si>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</si>
  <si>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</si>
  <si>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</si>
  <si>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</si>
  <si>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</si>
  <si>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</si>
  <si>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</si>
  <si>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</si>
  <si>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</si>
  <si>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</si>
  <si>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</si>
  <si>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</si>
  <si>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</si>
  <si>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</si>
  <si>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</si>
  <si>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</si>
  <si>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</si>
  <si>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</si>
  <si>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</si>
  <si>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</si>
  <si>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</si>
  <si>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</si>
  <si>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</si>
  <si>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</si>
  <si>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</si>
  <si>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</si>
  <si>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</si>
  <si>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</si>
  <si>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</si>
  <si>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</si>
  <si>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</si>
  <si>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</si>
  <si>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</si>
  <si>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</si>
  <si>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</si>
  <si>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</si>
  <si>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</si>
  <si>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</si>
  <si>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</si>
  <si>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</si>
  <si>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</si>
  <si>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</si>
  <si>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</si>
  <si>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</si>
  <si>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</si>
  <si>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</si>
  <si>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</si>
  <si>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</si>
  <si>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</si>
  <si>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</si>
  <si>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</si>
  <si>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</si>
  <si>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</si>
  <si>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</si>
  <si>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</si>
  <si>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</si>
  <si>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</si>
  <si>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</si>
  <si>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</si>
  <si>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</si>
  <si>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</si>
  <si>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</si>
  <si>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</si>
  <si>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</si>
  <si>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</si>
  <si>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</si>
  <si>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</si>
  <si>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</si>
  <si>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</si>
  <si>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</si>
  <si>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</si>
  <si>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</si>
  <si>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</si>
  <si>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</si>
  <si>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</si>
  <si>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</si>
  <si>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</si>
  <si>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</si>
  <si>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</si>
  <si>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</si>
  <si>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</si>
  <si>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</si>
  <si>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</si>
  <si>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</si>
  <si>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</si>
  <si>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</si>
  <si>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</si>
  <si>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</si>
  <si>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</si>
  <si>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</si>
  <si>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</si>
  <si>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</si>
  <si>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</si>
  <si>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</si>
  <si>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</si>
  <si>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</si>
  <si>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</si>
  <si>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</si>
  <si>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</si>
  <si>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</si>
  <si>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</si>
  <si>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</si>
  <si>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</si>
  <si>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</si>
  <si>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</si>
  <si>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</si>
  <si>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</si>
  <si>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</si>
  <si>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</si>
  <si>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</si>
  <si>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</si>
  <si>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</si>
  <si>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</si>
  <si>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</si>
  <si>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</si>
  <si>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</si>
  <si>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</si>
  <si>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</si>
  <si>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</si>
  <si>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</si>
  <si>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</si>
  <si>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</si>
  <si>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</si>
  <si>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</si>
  <si>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</si>
  <si>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</si>
  <si>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</si>
  <si>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</si>
  <si>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</si>
  <si>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</si>
  <si>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</si>
  <si>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</si>
  <si>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</si>
  <si>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</si>
  <si>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</si>
  <si>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</si>
  <si>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</si>
  <si>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</si>
  <si>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</si>
  <si>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</si>
  <si>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</si>
  <si>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</si>
  <si>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</si>
  <si>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</si>
  <si>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</si>
  <si>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</si>
  <si>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</si>
  <si>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</si>
  <si>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</si>
  <si>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</si>
  <si>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</si>
  <si>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</si>
  <si>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</si>
  <si>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</si>
  <si>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</si>
  <si>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</si>
  <si>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</si>
  <si>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</si>
  <si>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</si>
  <si>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</si>
  <si>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</si>
  <si>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</si>
  <si>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</si>
  <si>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</si>
  <si>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</si>
  <si>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</si>
  <si>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</si>
  <si>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</si>
  <si>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</si>
  <si>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</si>
  <si>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</si>
  <si>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</si>
  <si>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</si>
  <si>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</si>
  <si>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</si>
  <si>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</si>
  <si>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</si>
  <si>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</si>
  <si>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</si>
  <si>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</si>
  <si>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</si>
  <si>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</si>
  <si>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</si>
  <si>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</si>
  <si>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</si>
  <si>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</si>
  <si>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</si>
  <si>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</si>
  <si>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</si>
  <si>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</si>
  <si>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</si>
  <si>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</si>
  <si>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</si>
  <si>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</si>
  <si>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</si>
  <si>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</si>
  <si>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</si>
  <si>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</si>
  <si>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</si>
  <si>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</si>
  <si>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</si>
  <si>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</si>
  <si>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</si>
  <si>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</si>
  <si>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</si>
  <si>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</si>
  <si>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</si>
  <si>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</si>
  <si>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</si>
  <si>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</si>
  <si>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</si>
  <si>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</si>
  <si>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</si>
  <si>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</si>
  <si>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</si>
  <si>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</si>
  <si>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</si>
  <si>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</si>
  <si>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</si>
  <si>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</si>
  <si>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</si>
  <si>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</si>
  <si>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</si>
  <si>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</si>
  <si>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</si>
  <si>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</si>
  <si>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</si>
  <si>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</si>
  <si>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</si>
  <si>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</si>
  <si>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</si>
  <si>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</si>
  <si>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</si>
  <si>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</si>
  <si>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</si>
  <si>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</si>
  <si>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</si>
  <si>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</si>
  <si>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</si>
  <si>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</si>
  <si>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</si>
  <si>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</si>
  <si>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</si>
  <si>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</si>
  <si>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</si>
  <si>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</si>
  <si>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</si>
  <si>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</si>
  <si>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</si>
  <si>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</si>
  <si>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</si>
  <si>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T220923101130763VCMLEBC050</t>
  </si>
  <si>
    <t>'2022-09-23 10:11:43:300</t>
  </si>
  <si>
    <t>R13A_IPQC_MFG_Laser_C10_21090805_b1779c9</t>
  </si>
  <si>
    <t>v9p4</t>
  </si>
  <si>
    <t>T220923101237830VCMLEBC050</t>
  </si>
  <si>
    <t>'2022-09-23 10:12:50:358</t>
  </si>
  <si>
    <t>T220923101332814VCMLEBC050</t>
  </si>
  <si>
    <t>'2022-09-23 10:13:41:735</t>
  </si>
  <si>
    <t>22cc12040626</t>
  </si>
  <si>
    <t>0x528004625c70c701</t>
  </si>
  <si>
    <t>MFAC352AA15143B6B939018126</t>
  </si>
  <si>
    <t>MF4C3574BAYN14A7A660</t>
  </si>
  <si>
    <t>DNA22291011900G03A</t>
  </si>
  <si>
    <t>'2022-09-23 10:13:20:779</t>
  </si>
  <si>
    <t>T220923101359693VCMLEBC050</t>
  </si>
  <si>
    <t>'2022-09-23 10:14:28:108</t>
  </si>
  <si>
    <t>'2022-09-23 10:14:18:082</t>
  </si>
  <si>
    <t>T220923101344851VCMLEBC050</t>
  </si>
  <si>
    <t>'2022-09-23 10:13:57:390</t>
  </si>
  <si>
    <t>T220923101439417VCMLEBC050</t>
  </si>
  <si>
    <t>'2022-09-23 10:14:48:350</t>
  </si>
  <si>
    <t>22cc12050623</t>
  </si>
  <si>
    <t>0x528004625c708601</t>
  </si>
  <si>
    <t>MF8C3548A3J242B6C248032121</t>
  </si>
  <si>
    <t>MF4C3574BDFV14A7A640</t>
  </si>
  <si>
    <t>DNA22292024970J12A</t>
  </si>
  <si>
    <t>T220923101505797VCMLEBC050</t>
  </si>
  <si>
    <t>'2022-09-23 10:15:34:390</t>
  </si>
  <si>
    <t>'2022-09-23 10:15:24:367</t>
  </si>
  <si>
    <t>T220923101450968VCMLEBC050</t>
  </si>
  <si>
    <t>'2022-09-23 10:15:03:500</t>
  </si>
  <si>
    <t>T220923101546532VCMLEBC050</t>
  </si>
  <si>
    <t>'2022-09-23 10:15:55:526</t>
  </si>
  <si>
    <t>22cc12040242</t>
  </si>
  <si>
    <t>0x5280066236f7a204</t>
  </si>
  <si>
    <t>MFAC352AA0VM43B6C639020111</t>
  </si>
  <si>
    <t>MF4C3574BAVP14A7A626</t>
  </si>
  <si>
    <t>DNA22301055710C05A</t>
  </si>
  <si>
    <t>T220923101613007VCMLEBC050</t>
  </si>
  <si>
    <t>'2022-09-23 10:16:31:589</t>
  </si>
  <si>
    <t>T220923101558180VCMLEBC050</t>
  </si>
  <si>
    <t>'2022-09-23 10:16:10:715</t>
  </si>
  <si>
    <t>'2022-09-23 10:16:41:617</t>
  </si>
  <si>
    <t>T220923101652330VCMLEBC050</t>
  </si>
  <si>
    <t>'2022-09-23 10:17:01:219</t>
  </si>
  <si>
    <t>22cc12040565</t>
  </si>
  <si>
    <t>0x52800262383f5f07</t>
  </si>
  <si>
    <t>MFAC352AA14Y43B6C142046113</t>
  </si>
  <si>
    <t>MF4C3574BB6J14A7A645</t>
  </si>
  <si>
    <t>DNA22287020280M10A</t>
  </si>
  <si>
    <t>T220923101703931VCMLEBC050</t>
  </si>
  <si>
    <t>'2022-09-23 10:17:16:461</t>
  </si>
  <si>
    <t>T220923101718768VCMLEBC050</t>
  </si>
  <si>
    <t>'2022-09-23 10:17:46:833</t>
  </si>
  <si>
    <t>'2022-09-23 10:17:36:803</t>
  </si>
  <si>
    <t>T220923101800626VCMLEBC050</t>
  </si>
  <si>
    <t>'2022-09-23 10:18:09:535</t>
  </si>
  <si>
    <t>22cc12050265</t>
  </si>
  <si>
    <t>0x5280026238404808</t>
  </si>
  <si>
    <t>MF8C3548A3J542B6B839016119</t>
  </si>
  <si>
    <t>MF4C3574BDFL14A7A636</t>
  </si>
  <si>
    <t>DNA22292022950I06A</t>
  </si>
  <si>
    <t>T220923101827029VCMLEBC050</t>
  </si>
  <si>
    <t>'2022-09-23 10:18:55:213</t>
  </si>
  <si>
    <t>'2022-09-23 10:18:45:188</t>
  </si>
  <si>
    <t>T220923101812192VCMLEBC050</t>
  </si>
  <si>
    <t>'2022-09-23 10:18:24:722</t>
  </si>
  <si>
    <t>T220923101913890VCMLEBC050</t>
  </si>
  <si>
    <t>'2022-09-23 10:19:22:737</t>
  </si>
  <si>
    <t>22cc12040950</t>
  </si>
  <si>
    <t>0x5280026233278602</t>
  </si>
  <si>
    <t>MFAC352AA0KY43B6B944075122</t>
  </si>
  <si>
    <t>MF4C3574BASN14A7A636</t>
  </si>
  <si>
    <t>DNA22292022360F03A</t>
  </si>
  <si>
    <t>T220923101940200VCMLEBC050</t>
  </si>
  <si>
    <t>'2022-09-23 10:20:08:494</t>
  </si>
  <si>
    <t>'2022-09-23 10:19:58:471</t>
  </si>
  <si>
    <t>T220923101925343VCMLEBC050</t>
  </si>
  <si>
    <t>'2022-09-23 10:19:37:880</t>
  </si>
  <si>
    <t>T220923102022819VCMLEBC050</t>
  </si>
  <si>
    <t>'2022-09-23 10:20:31:688</t>
  </si>
  <si>
    <t>22cc12050580</t>
  </si>
  <si>
    <t>0x528002623841c004</t>
  </si>
  <si>
    <t>MFAC352AA0KP43B6C039028004</t>
  </si>
  <si>
    <t>MF4C3574BB9G14A7A638</t>
  </si>
  <si>
    <t>DNA22287021240M10A</t>
  </si>
  <si>
    <t>T220923102034383VCMLEBC050</t>
  </si>
  <si>
    <t>'2022-09-23 10:20:46:914</t>
  </si>
  <si>
    <t>T220923102127476VCMLEBC050</t>
  </si>
  <si>
    <t>'2022-09-23 10:21:36:268</t>
  </si>
  <si>
    <t>22cc12050138</t>
  </si>
  <si>
    <t>0x52800262383b3d07</t>
  </si>
  <si>
    <t>MF8C3548A3J442B6B531011012</t>
  </si>
  <si>
    <t>MF4C3574BDFY14A7A635</t>
  </si>
  <si>
    <t>DNA22292022700L04A</t>
  </si>
  <si>
    <t>T220923102049209VCMLEBC050</t>
  </si>
  <si>
    <t>'2022-09-23 10:21:17:780</t>
  </si>
  <si>
    <t>'2022-09-23 10:21:07:756</t>
  </si>
  <si>
    <t>T220923102138939VCMLEBC050</t>
  </si>
  <si>
    <t>'2022-09-23 10:21:51:473</t>
  </si>
  <si>
    <t>T220923102153774VCMLEBC050</t>
  </si>
  <si>
    <t>'2022-09-23 10:22:21:829</t>
  </si>
  <si>
    <t>'2022-09-23 10:22:11:800</t>
  </si>
  <si>
    <t>T220923102454681VCMLEBC050</t>
  </si>
  <si>
    <t>'2022-09-23 10:25:03:514</t>
  </si>
  <si>
    <t>22cc12050280</t>
  </si>
  <si>
    <t>0x5280026234218e05</t>
  </si>
  <si>
    <t>MFAC352AA0K243B6C239042114</t>
  </si>
  <si>
    <t>MF4C3574BB7M14A7A646</t>
  </si>
  <si>
    <t>DNA22287021870K09A</t>
  </si>
  <si>
    <t>T220923102613777VCMLEBC050</t>
  </si>
  <si>
    <t>'2022-09-23 10:26:22:697</t>
  </si>
  <si>
    <t>22cc12050005</t>
  </si>
  <si>
    <t>0x52800262332c1c08</t>
  </si>
  <si>
    <t>MF8C3548A42N42B6C046011143</t>
  </si>
  <si>
    <t>MF4C3574BDDT14A7A635</t>
  </si>
  <si>
    <t>DNA22301025390E07A</t>
  </si>
  <si>
    <t>T220923102520973VCMLEBC050</t>
  </si>
  <si>
    <t>'2022-09-23 10:25:49:160</t>
  </si>
  <si>
    <t>'2022-09-23 10:25:39:129</t>
  </si>
  <si>
    <t>T220923102506124VCMLEBC050</t>
  </si>
  <si>
    <t>'2022-09-23 10:25:18:654</t>
  </si>
  <si>
    <t>T220923102640105VCMLEBC050</t>
  </si>
  <si>
    <t>'2022-09-23 10:26:58:006</t>
  </si>
  <si>
    <t>T220923102625306VCMLEBC050</t>
  </si>
  <si>
    <t>'2022-09-23 10:26:37:848</t>
  </si>
  <si>
    <t>'2022-09-23 10:27:08:032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</si>
</sst>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1.3841324103999999</c:v>
                </c:pt>
                <c:pt idx="1">
                  <c:v>-2.2578773528</c:v>
                </c:pt>
                <c:pt idx="2">
                  <c:v>1.7673593526</c:v>
                </c:pt>
                <c:pt idx="3">
                  <c:v>5.6024170387999996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4.1204335372000003</c:v>
                </c:pt>
                <c:pt idx="1">
                  <c:v>5.5637195073000001</c:v>
                </c:pt>
                <c:pt idx="2">
                  <c:v>1.9693839122000001</c:v>
                </c:pt>
                <c:pt idx="3">
                  <c:v>4.6858151949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0.29787147006666664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3.8845123189000001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21856"/>
        <c:axId val="60123392"/>
      </c:scatterChart>
      <c:valAx>
        <c:axId val="601218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123392"/>
        <c:crosses val="autoZero"/>
        <c:crossBetween val="midCat"/>
        <c:majorUnit val="10"/>
      </c:valAx>
      <c:valAx>
        <c:axId val="601233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121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-1.28711977E-2</c:v>
                </c:pt>
                <c:pt idx="1">
                  <c:v>-1.9290615492000001</c:v>
                </c:pt>
                <c:pt idx="2">
                  <c:v>1.6092794800000001E-2</c:v>
                </c:pt>
                <c:pt idx="3">
                  <c:v>-1.6233274486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3.0314404926999998</c:v>
                </c:pt>
                <c:pt idx="1">
                  <c:v>5.4772114088999997</c:v>
                </c:pt>
                <c:pt idx="2">
                  <c:v>4.4307212195999996</c:v>
                </c:pt>
                <c:pt idx="3">
                  <c:v>4.0531305255000003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1.2201614306333333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4.3981556988333326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89344"/>
        <c:axId val="60899328"/>
      </c:scatterChart>
      <c:valAx>
        <c:axId val="608893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99328"/>
        <c:crosses val="autoZero"/>
        <c:crossBetween val="midCat"/>
        <c:majorUnit val="10"/>
      </c:valAx>
      <c:valAx>
        <c:axId val="608993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8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-5.433215862</c:v>
                </c:pt>
                <c:pt idx="1">
                  <c:v>2.4857931432</c:v>
                </c:pt>
                <c:pt idx="2">
                  <c:v>-3.4647430032000002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0.37218238320000019</c:v>
                </c:pt>
                <c:pt idx="1">
                  <c:v>7.2598774707999993</c:v>
                </c:pt>
                <c:pt idx="2">
                  <c:v>6.9199743252000001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-2.3468168386000001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2.9520113761000002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23904"/>
        <c:axId val="60925440"/>
      </c:scatterChart>
      <c:valAx>
        <c:axId val="60923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25440"/>
        <c:crosses val="autoZero"/>
        <c:crossBetween val="midCat"/>
        <c:majorUnit val="10"/>
      </c:valAx>
      <c:valAx>
        <c:axId val="60925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2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1.082812702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8.3514108154999995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3.4620947333333284E-2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7.5104208704999991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80224"/>
        <c:axId val="60986112"/>
      </c:scatterChart>
      <c:valAx>
        <c:axId val="609802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86112"/>
        <c:crosses val="autoZero"/>
        <c:crossBetween val="midCat"/>
        <c:majorUnit val="10"/>
      </c:valAx>
      <c:valAx>
        <c:axId val="609861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8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90.1858859405</c:v>
                </c:pt>
                <c:pt idx="1">
                  <c:v>81.745681745499994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88.133572404500001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29376"/>
        <c:axId val="61051648"/>
      </c:scatterChart>
      <c:valAx>
        <c:axId val="6102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51648"/>
        <c:crosses val="autoZero"/>
        <c:crossBetween val="midCat"/>
      </c:valAx>
      <c:valAx>
        <c:axId val="6105164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2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92.469149527499994</c:v>
                </c:pt>
                <c:pt idx="1">
                  <c:v>87.296323421699995</c:v>
                </c:pt>
                <c:pt idx="2">
                  <c:v>88.186990721000001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85.098402284466673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76224"/>
        <c:axId val="61077760"/>
      </c:scatterChart>
      <c:valAx>
        <c:axId val="6107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77760"/>
        <c:crosses val="autoZero"/>
        <c:crossBetween val="midCat"/>
      </c:valAx>
      <c:valAx>
        <c:axId val="610777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7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79.811892710699993</c:v>
                </c:pt>
                <c:pt idx="1">
                  <c:v>100.9945491599</c:v>
                </c:pt>
                <c:pt idx="2">
                  <c:v>87.873136516000002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91.042084273933327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44704"/>
        <c:axId val="87150592"/>
      </c:scatterChart>
      <c:valAx>
        <c:axId val="8714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150592"/>
        <c:crosses val="autoZero"/>
        <c:crossBetween val="midCat"/>
      </c:valAx>
      <c:valAx>
        <c:axId val="871505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14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84.258567145900003</c:v>
                </c:pt>
                <c:pt idx="1">
                  <c:v>91.973124253999998</c:v>
                </c:pt>
                <c:pt idx="2">
                  <c:v>87.228115138600003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87.795091503100011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20576"/>
        <c:axId val="125338752"/>
      </c:scatterChart>
      <c:valAx>
        <c:axId val="12532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338752"/>
        <c:crosses val="autoZero"/>
        <c:crossBetween val="midCat"/>
      </c:valAx>
      <c:valAx>
        <c:axId val="12533875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32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3.4456386565999999</c:v>
                </c:pt>
                <c:pt idx="1">
                  <c:v>-0.42446756360000037</c:v>
                </c:pt>
                <c:pt idx="2">
                  <c:v>-6.4000248909000002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1.4881286621000003</c:v>
                </c:pt>
                <c:pt idx="1">
                  <c:v>3.2002906799000002</c:v>
                </c:pt>
                <c:pt idx="2">
                  <c:v>6.2008695601999992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-1.1262845993000001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3.6297629674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83808"/>
        <c:axId val="125385344"/>
      </c:scatterChart>
      <c:valAx>
        <c:axId val="1253838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385344"/>
        <c:crosses val="autoZero"/>
        <c:crossBetween val="midCat"/>
        <c:majorUnit val="10"/>
      </c:valAx>
      <c:valAx>
        <c:axId val="1253853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38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-1.5511693953999997</c:v>
                </c:pt>
                <c:pt idx="1">
                  <c:v>-4.0510523318999994</c:v>
                </c:pt>
                <c:pt idx="2">
                  <c:v>-4.5375757216999997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5.4471549988000003</c:v>
                </c:pt>
                <c:pt idx="1">
                  <c:v>6.2811746596999996</c:v>
                </c:pt>
                <c:pt idx="2">
                  <c:v>3.0700511932000003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-3.3799324829999997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4.9327936172333331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22208"/>
        <c:axId val="126488960"/>
      </c:scatterChart>
      <c:valAx>
        <c:axId val="1254222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488960"/>
        <c:crosses val="autoZero"/>
        <c:crossBetween val="midCat"/>
        <c:majorUnit val="10"/>
      </c:valAx>
      <c:valAx>
        <c:axId val="1264889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422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-4.2974321841999998</c:v>
                </c:pt>
                <c:pt idx="1">
                  <c:v>-7.0274209976000002</c:v>
                </c:pt>
                <c:pt idx="2">
                  <c:v>-1.7685756682999996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3.0750980377000001</c:v>
                </c:pt>
                <c:pt idx="1">
                  <c:v>2.7357645035000004</c:v>
                </c:pt>
                <c:pt idx="2">
                  <c:v>2.638876915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-4.3644762833666668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2.8165798187333331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21728"/>
        <c:axId val="126523264"/>
      </c:scatterChart>
      <c:valAx>
        <c:axId val="1265217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523264"/>
        <c:crosses val="autoZero"/>
        <c:crossBetween val="midCat"/>
        <c:majorUnit val="10"/>
      </c:valAx>
      <c:valAx>
        <c:axId val="1265232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52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-7.5376844405999996</c:v>
                </c:pt>
                <c:pt idx="1">
                  <c:v>-6.3320398330999996</c:v>
                </c:pt>
                <c:pt idx="2">
                  <c:v>-6.6985549927000001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2.8499951362999996</c:v>
                </c:pt>
                <c:pt idx="1">
                  <c:v>1.7697782516</c:v>
                </c:pt>
                <c:pt idx="2">
                  <c:v>5.5244445800000097E-2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-6.8560930887999989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1.5583392779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80608"/>
        <c:axId val="126582144"/>
      </c:scatterChart>
      <c:valAx>
        <c:axId val="1265806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582144"/>
        <c:crosses val="autoZero"/>
        <c:crossBetween val="midCat"/>
        <c:majorUnit val="10"/>
      </c:valAx>
      <c:valAx>
        <c:axId val="1265821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58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topLeftCell="A3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D:\EVMS\TP\LOG\VSY841XN9NCK_2022092310_D50_ON_OC.csv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D:\EVMS\TP\LOG\VSY841XN9NCK_2022092310_FPDC_INFD_normal.csv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D:\EVMS\TP\LOG\VSY841XN9NCK_2022092310_INFDMargin_IPQC.csv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D:\EVMS\TP\LOG\VSY841XN9NCK_2022092310_VCM_MEASURE.csv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T49" sqref="T49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22cc12050946</v>
      </c>
      <c r="C34" s="44">
        <f>IPQC!S2+VLOOKUP($R$31,$AD$38:$AK$42,6,FALSE)+VLOOKUP('File location'!$B$1,'Tester offset'!$A$2:$D$4,2,FALSE)</f>
        <v>90.1858859405</v>
      </c>
      <c r="D34" s="44">
        <f>IPQC!Z2+VLOOKUP($R$31,$AD$38:$AK$42,6,FALSE)</f>
        <v>70.343276759099993</v>
      </c>
      <c r="E34" s="44">
        <f>VCM!HU2-'Summary(3pcs)'!C34-'Summary(3pcs)'!$D$32</f>
        <v>132.02103086943794</v>
      </c>
      <c r="F34" s="90">
        <f>AVERAGEIF($A$34:$A$45,1,$C$34:$C$45)</f>
        <v>88.133572404500001</v>
      </c>
      <c r="G34" s="91">
        <f>AVERAGEIF($A$34:$A$45,1,$D$34:$D$45)</f>
        <v>68.815006631833342</v>
      </c>
      <c r="H34" s="91">
        <f>AVERAGEIF($A$34:$A$45,1,$E$34:$E$45)</f>
        <v>141.16220967210458</v>
      </c>
      <c r="I34" s="91">
        <f>85-F34</f>
        <v>-3.1335724045000006</v>
      </c>
      <c r="J34"/>
      <c r="K34" s="79">
        <f>T34</f>
        <v>1</v>
      </c>
      <c r="L34" s="80" t="str">
        <f>OC!J2</f>
        <v>22cc12050946</v>
      </c>
      <c r="M34" s="44">
        <f>OC!S2+VLOOKUP($R$31,$AD$38:$AK$42,4,FALSE)</f>
        <v>1.3841324103999999</v>
      </c>
      <c r="N34" s="44">
        <f>OC!T2+VLOOKUP($R$31,$AD$38:$AK$42,5,FALSE)</f>
        <v>4.1204335372000003</v>
      </c>
      <c r="O34" s="92">
        <f>AVERAGEIF($K$34:$K$45,1,$M$34:$M$45)</f>
        <v>0.29787147006666664</v>
      </c>
      <c r="P34" s="92">
        <f>AVERAGEIF($K$34:$K$45,1,$N$34:$N$45)</f>
        <v>3.8845123189000001</v>
      </c>
      <c r="Q34" s="90">
        <f>P34*0.001</f>
        <v>3.8845123189000003E-3</v>
      </c>
      <c r="R34" s="90">
        <f>O34*0.001</f>
        <v>2.9787147006666664E-4</v>
      </c>
      <c r="T34" s="79">
        <v>1</v>
      </c>
      <c r="U34" s="80" t="str">
        <f>FPDC!J2</f>
        <v>22cc12050946</v>
      </c>
      <c r="V34" s="75">
        <f>FPDC!R2+VLOOKUP($R$31,$AD$38:$AK$42,2,FALSE)+VLOOKUP($R$31,$AD$38:$AK$42,7,FALSE)+VLOOKUP('File location'!$B$1,'Tester offset'!$A$2:$D$4,3,FALSE)</f>
        <v>-7.5376844405999996</v>
      </c>
      <c r="W34" s="76">
        <f>FPDC!S2+VLOOKUP($R$31,$AD$38:$AK$42,3,FALSE)+VLOOKUP($R$31,$AD$38:$AK$42,8,FALSE)+VLOOKUP('File location'!$B$1,'Tester offset'!$A$2:$D$4,4,FALSE)</f>
        <v>2.8499951362999996</v>
      </c>
      <c r="X34" s="92">
        <f>AVERAGEIF($T$34:$T$45,1,$V$34:$V$45)</f>
        <v>-6.8560930887999989</v>
      </c>
      <c r="Y34" s="92">
        <f>AVERAGEIF($T$34:$T$45,1,$W$34:$W$45)</f>
        <v>1.5583392779</v>
      </c>
      <c r="Z34" s="90">
        <f>(X34*-0.01)/4</f>
        <v>1.7140232721999996E-2</v>
      </c>
      <c r="AA34" s="90">
        <f>(Y34*-0.01)/4</f>
        <v>-3.8958481947500003E-3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22cc12040596</v>
      </c>
      <c r="C35" s="44">
        <f>IPQC!S3+VLOOKUP($R$31,$AD$38:$AK$42,6,FALSE)+VLOOKUP('File location'!$B$1,'Tester offset'!$A$2:$D$4,2,FALSE)</f>
        <v>81.745681745499994</v>
      </c>
      <c r="D35" s="44">
        <f>IPQC!Z3+VLOOKUP($R$31,$AD$38:$AK$42,6,FALSE)</f>
        <v>64.172022993100001</v>
      </c>
      <c r="E35" s="44">
        <f>VCM!HU3-'Summary(3pcs)'!C35-'Summary(3pcs)'!$D$32</f>
        <v>151.6625253644379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22cc12040596</v>
      </c>
      <c r="M35" s="44">
        <f>OC!S3+VLOOKUP($R$31,$AD$38:$AK$42,4,FALSE)</f>
        <v>-2.2578773528</v>
      </c>
      <c r="N35" s="44">
        <f>OC!T3+VLOOKUP($R$31,$AD$38:$AK$42,5,FALSE)</f>
        <v>5.5637195073000001</v>
      </c>
      <c r="O35" s="92"/>
      <c r="P35" s="92"/>
      <c r="Q35" s="90"/>
      <c r="R35" s="90"/>
      <c r="T35" s="79">
        <v>1</v>
      </c>
      <c r="U35" s="80" t="str">
        <f>FPDC!J3</f>
        <v>22cc12040596</v>
      </c>
      <c r="V35" s="75">
        <f>FPDC!R3+VLOOKUP($R$31,$AD$38:$AK$42,2,FALSE)+VLOOKUP($R$31,$AD$38:$AK$42,7,FALSE)+VLOOKUP('File location'!$B$1,'Tester offset'!$A$2:$D$4,3,FALSE)</f>
        <v>-6.3320398330999996</v>
      </c>
      <c r="W35" s="76">
        <f>FPDC!S3+VLOOKUP($R$31,$AD$38:$AK$42,3,FALSE)+VLOOKUP($R$31,$AD$38:$AK$42,8,FALSE)+VLOOKUP('File location'!$B$1,'Tester offset'!$A$2:$D$4,4,FALSE)</f>
        <v>1.7697782516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22cc12040626</v>
      </c>
      <c r="C36" s="44">
        <f>IPQC!S4+VLOOKUP($R$31,$AD$38:$AK$42,6,FALSE)+VLOOKUP('File location'!$B$1,'Tester offset'!$A$2:$D$4,2,FALSE)</f>
        <v>92.469149527499994</v>
      </c>
      <c r="D36" s="44">
        <f>IPQC!Z4+VLOOKUP($R$31,$AD$38:$AK$42,6,FALSE)</f>
        <v>71.929720143300003</v>
      </c>
      <c r="E36" s="44">
        <f>VCM!HU4-'Summary(3pcs)'!C36-'Summary(3pcs)'!$D$32</f>
        <v>139.80307278243788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22cc12040626</v>
      </c>
      <c r="M36" s="44">
        <f>OC!S4+VLOOKUP($R$31,$AD$38:$AK$42,4,FALSE)</f>
        <v>1.7673593526</v>
      </c>
      <c r="N36" s="44">
        <f>OC!T4+VLOOKUP($R$31,$AD$38:$AK$42,5,FALSE)</f>
        <v>1.9693839122000001</v>
      </c>
      <c r="O36" s="92"/>
      <c r="P36" s="92"/>
      <c r="Q36" s="90"/>
      <c r="R36" s="90"/>
      <c r="T36" s="79">
        <v>1</v>
      </c>
      <c r="U36" s="80" t="str">
        <f>FPDC!J4</f>
        <v>22cc12040626</v>
      </c>
      <c r="V36" s="75">
        <f>FPDC!R4+VLOOKUP($R$31,$AD$38:$AK$42,2,FALSE)+VLOOKUP($R$31,$AD$38:$AK$42,7,FALSE)+VLOOKUP('File location'!$B$1,'Tester offset'!$A$2:$D$4,3,FALSE)</f>
        <v>-6.6985549927000001</v>
      </c>
      <c r="W36" s="76">
        <f>FPDC!S4+VLOOKUP($R$31,$AD$38:$AK$42,3,FALSE)+VLOOKUP($R$31,$AD$38:$AK$42,8,FALSE)+VLOOKUP('File location'!$B$1,'Tester offset'!$A$2:$D$4,4,FALSE)</f>
        <v>5.5244445800000097E-2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22cc12050623</v>
      </c>
      <c r="C37" s="44">
        <f>IPQC!S5+VLOOKUP($R$31,$AD$38:$AK$42,6,FALSE)+VLOOKUP('File location'!$B$1,'Tester offset'!$A$2:$D$4,2,FALSE)</f>
        <v>87.296323421699995</v>
      </c>
      <c r="D37" s="44">
        <f>IPQC!Z5+VLOOKUP($R$31,$AD$38:$AK$42,6,FALSE)</f>
        <v>70.242307446200002</v>
      </c>
      <c r="E37" s="44">
        <f>VCM!HU5-'Summary(3pcs)'!C37-'Summary(3pcs)'!$D$32</f>
        <v>152.7924169882379</v>
      </c>
      <c r="F37" s="90">
        <f>AVERAGEIF($A$34:$A$45,2,$C$34:$C$45)</f>
        <v>85.098402284466673</v>
      </c>
      <c r="G37" s="91">
        <f>AVERAGEIF($A$34:$A$45,2,$D$34:$D$45)</f>
        <v>67.258820466900005</v>
      </c>
      <c r="H37" s="91">
        <f>AVERAGEIF($A$34:$A$45,2,$E$34:$E$45)</f>
        <v>156.03925435880458</v>
      </c>
      <c r="I37" s="91">
        <f>85-F37</f>
        <v>-9.840228446667254E-2</v>
      </c>
      <c r="J37"/>
      <c r="K37" s="79">
        <f t="shared" si="1"/>
        <v>2</v>
      </c>
      <c r="L37" s="80" t="str">
        <f>OC!J5</f>
        <v>22cc12050623</v>
      </c>
      <c r="M37" s="44">
        <f>OC!S5+VLOOKUP($R$31,$AD$38:$AK$42,4,FALSE)</f>
        <v>5.6024170387999996</v>
      </c>
      <c r="N37" s="44">
        <f>OC!T5+VLOOKUP($R$31,$AD$38:$AK$42,5,FALSE)</f>
        <v>4.6858151949</v>
      </c>
      <c r="O37" s="92">
        <f>AVERAGEIF($K$34:$K$45,2,$M$34:$M$45)</f>
        <v>1.2201614306333333</v>
      </c>
      <c r="P37" s="92">
        <f>AVERAGEIF($K$34:$K$45,2,$N$34:$N$45)</f>
        <v>4.3981556988333326</v>
      </c>
      <c r="Q37" s="90">
        <f>P37*0.001</f>
        <v>4.3981556988333323E-3</v>
      </c>
      <c r="R37" s="90">
        <f>O37*0.001</f>
        <v>1.2201614306333332E-3</v>
      </c>
      <c r="T37" s="79">
        <v>2</v>
      </c>
      <c r="U37" s="80" t="str">
        <f>FPDC!J5</f>
        <v>22cc12050623</v>
      </c>
      <c r="V37" s="75">
        <f>FPDC!R5+VLOOKUP($R$31,$AD$38:$AK$42,2,FALSE)+VLOOKUP($R$31,$AD$38:$AK$42,7,FALSE)+VLOOKUP('File location'!$B$1,'Tester offset'!$A$2:$D$4,3,FALSE)</f>
        <v>3.4456386565999999</v>
      </c>
      <c r="W37" s="76">
        <f>FPDC!S5+VLOOKUP($R$31,$AD$38:$AK$42,3,FALSE)+VLOOKUP($R$31,$AD$38:$AK$42,8,FALSE)+VLOOKUP('File location'!$B$1,'Tester offset'!$A$2:$D$4,4,FALSE)</f>
        <v>1.4881286621000003</v>
      </c>
      <c r="X37" s="92">
        <f>AVERAGEIF($T$34:$T$45,2,$V$34:$V$45)</f>
        <v>-1.1262845993000001</v>
      </c>
      <c r="Y37" s="92">
        <f>AVERAGEIF($T$34:$T$45,2,$W$34:$W$45)</f>
        <v>3.6297629674</v>
      </c>
      <c r="Z37" s="90">
        <f>(X37*-0.01)/4</f>
        <v>2.8157114982500005E-3</v>
      </c>
      <c r="AA37" s="90">
        <f>(Y37*-0.01)/4</f>
        <v>-9.0744074184999999E-3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22cc12040242</v>
      </c>
      <c r="C38" s="44">
        <f>IPQC!S6+VLOOKUP($R$31,$AD$38:$AK$42,6,FALSE)+VLOOKUP('File location'!$B$1,'Tester offset'!$A$2:$D$4,2,FALSE)</f>
        <v>88.186990721000001</v>
      </c>
      <c r="D38" s="44">
        <f>IPQC!Z6+VLOOKUP($R$31,$AD$38:$AK$42,6,FALSE)</f>
        <v>66.7669820781</v>
      </c>
      <c r="E38" s="44">
        <f>VCM!HU6-'Summary(3pcs)'!C38-'Summary(3pcs)'!$D$32</f>
        <v>158.39515648893791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22cc12040242</v>
      </c>
      <c r="M38" s="44">
        <f>OC!S6+VLOOKUP($R$31,$AD$38:$AK$42,4,FALSE)</f>
        <v>-1.28711977E-2</v>
      </c>
      <c r="N38" s="44">
        <f>OC!T6+VLOOKUP($R$31,$AD$38:$AK$42,5,FALSE)</f>
        <v>3.0314404926999998</v>
      </c>
      <c r="O38" s="92"/>
      <c r="P38" s="92"/>
      <c r="Q38" s="90"/>
      <c r="R38" s="90"/>
      <c r="T38" s="79">
        <v>2</v>
      </c>
      <c r="U38" s="80" t="str">
        <f>FPDC!J6</f>
        <v>22cc12040242</v>
      </c>
      <c r="V38" s="75">
        <f>FPDC!R6+VLOOKUP($R$31,$AD$38:$AK$42,2,FALSE)+VLOOKUP($R$31,$AD$38:$AK$42,7,FALSE)+VLOOKUP('File location'!$B$1,'Tester offset'!$A$2:$D$4,3,FALSE)</f>
        <v>-0.42446756360000037</v>
      </c>
      <c r="W38" s="76">
        <f>FPDC!S6+VLOOKUP($R$31,$AD$38:$AK$42,3,FALSE)+VLOOKUP($R$31,$AD$38:$AK$42,8,FALSE)+VLOOKUP('File location'!$B$1,'Tester offset'!$A$2:$D$4,4,FALSE)</f>
        <v>3.2002906799000002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22cc12040565</v>
      </c>
      <c r="C39" s="44">
        <f>IPQC!S7+VLOOKUP($R$31,$AD$38:$AK$42,6,FALSE)+VLOOKUP('File location'!$B$1,'Tester offset'!$A$2:$D$4,2,FALSE)</f>
        <v>79.811892710699993</v>
      </c>
      <c r="D39" s="44">
        <f>IPQC!Z7+VLOOKUP($R$31,$AD$38:$AK$42,6,FALSE)</f>
        <v>64.767171876399999</v>
      </c>
      <c r="E39" s="44">
        <f>VCM!HU7-'Summary(3pcs)'!C39-'Summary(3pcs)'!$D$32</f>
        <v>156.93018959923791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22cc12040565</v>
      </c>
      <c r="M39" s="44">
        <f>OC!S7+VLOOKUP($R$31,$AD$38:$AK$42,4,FALSE)</f>
        <v>-1.9290615492000001</v>
      </c>
      <c r="N39" s="44">
        <f>OC!T7+VLOOKUP($R$31,$AD$38:$AK$42,5,FALSE)</f>
        <v>5.4772114088999997</v>
      </c>
      <c r="O39" s="92"/>
      <c r="P39" s="92"/>
      <c r="Q39" s="90"/>
      <c r="R39" s="90"/>
      <c r="T39" s="79">
        <v>2</v>
      </c>
      <c r="U39" s="80" t="str">
        <f>FPDC!J7</f>
        <v>22cc12040565</v>
      </c>
      <c r="V39" s="75">
        <f>FPDC!R7+VLOOKUP($R$31,$AD$38:$AK$42,2,FALSE)+VLOOKUP($R$31,$AD$38:$AK$42,7,FALSE)+VLOOKUP('File location'!$B$1,'Tester offset'!$A$2:$D$4,3,FALSE)</f>
        <v>-6.4000248909000002</v>
      </c>
      <c r="W39" s="76">
        <f>FPDC!S7+VLOOKUP($R$31,$AD$38:$AK$42,3,FALSE)+VLOOKUP($R$31,$AD$38:$AK$42,8,FALSE)+VLOOKUP('File location'!$B$1,'Tester offset'!$A$2:$D$4,4,FALSE)</f>
        <v>6.2008695601999992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22cc12050265</v>
      </c>
      <c r="C40" s="44">
        <f>IPQC!S8+VLOOKUP($R$31,$AD$38:$AK$42,6,FALSE)+VLOOKUP('File location'!$B$1,'Tester offset'!$A$2:$D$4,2,FALSE)</f>
        <v>100.9945491599</v>
      </c>
      <c r="D40" s="44">
        <f>IPQC!Z8+VLOOKUP($R$31,$AD$38:$AK$42,6,FALSE)</f>
        <v>83.7577360935</v>
      </c>
      <c r="E40" s="44">
        <f>VCM!HU8-'Summary(3pcs)'!C40-'Summary(3pcs)'!$D$32</f>
        <v>137.67697555003792</v>
      </c>
      <c r="F40" s="90">
        <f>AVERAGEIF($A$34:$A$45,3,$C$34:$C$45)</f>
        <v>91.042084273933327</v>
      </c>
      <c r="G40" s="91">
        <f>AVERAGEIF($A$34:$A$45,3,$D$34:$D$45)</f>
        <v>72.378262255899998</v>
      </c>
      <c r="H40" s="91">
        <f>AVERAGEIF($A$34:$A$45,3,$E$34:$E$45)</f>
        <v>139.03968153600457</v>
      </c>
      <c r="I40" s="91">
        <f>85-F40</f>
        <v>-6.0420842739333267</v>
      </c>
      <c r="J40"/>
      <c r="K40" s="79">
        <f t="shared" si="1"/>
        <v>3</v>
      </c>
      <c r="L40" s="80" t="str">
        <f>OC!J8</f>
        <v>22cc12050265</v>
      </c>
      <c r="M40" s="44">
        <f>OC!S8+VLOOKUP($R$31,$AD$38:$AK$42,4,FALSE)</f>
        <v>1.6092794800000001E-2</v>
      </c>
      <c r="N40" s="44">
        <f>OC!T8+VLOOKUP($R$31,$AD$38:$AK$42,5,FALSE)</f>
        <v>4.4307212195999996</v>
      </c>
      <c r="O40" s="92">
        <f>AVERAGEIF($K$34:$K$45,3,$M$34:$M$45)</f>
        <v>-2.3468168386000001</v>
      </c>
      <c r="P40" s="92">
        <f>AVERAGEIF($K$34:$K$45,3,$N$34:$N$45)</f>
        <v>2.9520113761000002</v>
      </c>
      <c r="Q40" s="90">
        <f>P40*0.001</f>
        <v>2.9520113761000001E-3</v>
      </c>
      <c r="R40" s="90">
        <f>O40*0.001</f>
        <v>-2.3468168386E-3</v>
      </c>
      <c r="T40" s="79">
        <v>3</v>
      </c>
      <c r="U40" s="80" t="str">
        <f>FPDC!J8</f>
        <v>22cc12050265</v>
      </c>
      <c r="V40" s="75">
        <f>FPDC!R8+VLOOKUP($R$31,$AD$38:$AK$42,2,FALSE)+VLOOKUP($R$31,$AD$38:$AK$42,7,FALSE)+VLOOKUP('File location'!$B$1,'Tester offset'!$A$2:$D$4,3,FALSE)</f>
        <v>-1.5511693953999997</v>
      </c>
      <c r="W40" s="76">
        <f>FPDC!S8+VLOOKUP($R$31,$AD$38:$AK$42,3,FALSE)+VLOOKUP($R$31,$AD$38:$AK$42,8,FALSE)+VLOOKUP('File location'!$B$1,'Tester offset'!$A$2:$D$4,4,FALSE)</f>
        <v>5.4471549988000003</v>
      </c>
      <c r="X40" s="92">
        <f>AVERAGEIF($T$34:$T$45,3,$V$34:$V$45)</f>
        <v>-3.3799324829999997</v>
      </c>
      <c r="Y40" s="92">
        <f>AVERAGEIF($T$34:$T$45,3,$W$34:$W$45)</f>
        <v>4.9327936172333331</v>
      </c>
      <c r="Z40" s="90">
        <f>(X40*-0.01)/4</f>
        <v>8.4498312074999995E-3</v>
      </c>
      <c r="AA40" s="90">
        <f>(Y40*-0.01)/4</f>
        <v>-1.2331984043083333E-2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22cc12040950</v>
      </c>
      <c r="C41" s="44">
        <f>IPQC!S9+VLOOKUP($R$31,$AD$38:$AK$42,6,FALSE)+VLOOKUP('File location'!$B$1,'Tester offset'!$A$2:$D$4,2,FALSE)</f>
        <v>87.873136516000002</v>
      </c>
      <c r="D41" s="44">
        <f>IPQC!Z9+VLOOKUP($R$31,$AD$38:$AK$42,6,FALSE)</f>
        <v>65.961441899299999</v>
      </c>
      <c r="E41" s="44">
        <f>VCM!HU9-'Summary(3pcs)'!C41-'Summary(3pcs)'!$D$32</f>
        <v>139.74519439393794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22cc12040950</v>
      </c>
      <c r="M41" s="44">
        <f>OC!S9+VLOOKUP($R$31,$AD$38:$AK$42,4,FALSE)</f>
        <v>-1.6233274486</v>
      </c>
      <c r="N41" s="44">
        <f>OC!T9+VLOOKUP($R$31,$AD$38:$AK$42,5,FALSE)</f>
        <v>4.0531305255000003</v>
      </c>
      <c r="O41" s="92"/>
      <c r="P41" s="92"/>
      <c r="Q41" s="90"/>
      <c r="R41" s="90"/>
      <c r="T41" s="79">
        <v>3</v>
      </c>
      <c r="U41" s="80" t="str">
        <f>FPDC!J9</f>
        <v>22cc12040950</v>
      </c>
      <c r="V41" s="75">
        <f>FPDC!R9+VLOOKUP($R$31,$AD$38:$AK$42,2,FALSE)+VLOOKUP($R$31,$AD$38:$AK$42,7,FALSE)+VLOOKUP('File location'!$B$1,'Tester offset'!$A$2:$D$4,3,FALSE)</f>
        <v>-4.0510523318999994</v>
      </c>
      <c r="W41" s="76">
        <f>FPDC!S9+VLOOKUP($R$31,$AD$38:$AK$42,3,FALSE)+VLOOKUP($R$31,$AD$38:$AK$42,8,FALSE)+VLOOKUP('File location'!$B$1,'Tester offset'!$A$2:$D$4,4,FALSE)</f>
        <v>6.2811746596999996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22cc12050580</v>
      </c>
      <c r="C42" s="44">
        <f>IPQC!S10+VLOOKUP($R$31,$AD$38:$AK$42,6,FALSE)+VLOOKUP('File location'!$B$1,'Tester offset'!$A$2:$D$4,2,FALSE)</f>
        <v>84.258567145900003</v>
      </c>
      <c r="D42" s="44">
        <f>IPQC!Z10+VLOOKUP($R$31,$AD$38:$AK$42,6,FALSE)</f>
        <v>67.415608774899994</v>
      </c>
      <c r="E42" s="44">
        <f>VCM!HU10-'Summary(3pcs)'!C42-'Summary(3pcs)'!$D$32</f>
        <v>139.69687466403786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22cc12050580</v>
      </c>
      <c r="M42" s="44">
        <f>OC!S10+VLOOKUP($R$31,$AD$38:$AK$42,4,FALSE)</f>
        <v>-5.433215862</v>
      </c>
      <c r="N42" s="44">
        <f>OC!T10+VLOOKUP($R$31,$AD$38:$AK$42,5,FALSE)</f>
        <v>0.37218238320000019</v>
      </c>
      <c r="O42" s="92"/>
      <c r="P42" s="92"/>
      <c r="Q42" s="90"/>
      <c r="R42" s="90"/>
      <c r="T42" s="79">
        <v>3</v>
      </c>
      <c r="U42" s="80" t="str">
        <f>FPDC!J10</f>
        <v>22cc12050580</v>
      </c>
      <c r="V42" s="75">
        <f>FPDC!R10+VLOOKUP($R$31,$AD$38:$AK$42,2,FALSE)+VLOOKUP($R$31,$AD$38:$AK$42,7,FALSE)+VLOOKUP('File location'!$B$1,'Tester offset'!$A$2:$D$4,3,FALSE)</f>
        <v>-4.5375757216999997</v>
      </c>
      <c r="W42" s="76">
        <f>FPDC!S10+VLOOKUP($R$31,$AD$38:$AK$42,3,FALSE)+VLOOKUP($R$31,$AD$38:$AK$42,8,FALSE)+VLOOKUP('File location'!$B$1,'Tester offset'!$A$2:$D$4,4,FALSE)</f>
        <v>3.0700511932000003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22cc12050138</v>
      </c>
      <c r="C43" s="44">
        <f>IPQC!S11+VLOOKUP($R$31,$AD$38:$AK$42,6,FALSE)+VLOOKUP('File location'!$B$1,'Tester offset'!$A$2:$D$4,2,FALSE)</f>
        <v>91.973124253999998</v>
      </c>
      <c r="D43" s="44">
        <f>IPQC!Z11+VLOOKUP($R$31,$AD$38:$AK$42,6,FALSE)</f>
        <v>72.205645030100001</v>
      </c>
      <c r="E43" s="44">
        <f>VCM!HU11-'Summary(3pcs)'!C43-'Summary(3pcs)'!$D$32</f>
        <v>146.14515515593791</v>
      </c>
      <c r="F43" s="90">
        <f>AVERAGEIF($A$34:$A$45,4,$C$34:$C$45)</f>
        <v>87.795091503100011</v>
      </c>
      <c r="G43" s="91">
        <f>AVERAGEIF($A$34:$A$45,4,$D$34:$D$45)</f>
        <v>67.426209185100006</v>
      </c>
      <c r="H43" s="91">
        <f>AVERAGEIF($A$34:$A$45,4,$E$34:$E$45)</f>
        <v>148.45373337997123</v>
      </c>
      <c r="I43" s="91">
        <f>85-F43</f>
        <v>-2.7950915031000108</v>
      </c>
      <c r="J43"/>
      <c r="K43" s="79">
        <f t="shared" si="1"/>
        <v>4</v>
      </c>
      <c r="L43" s="80" t="str">
        <f>OC!J11</f>
        <v>22cc12050138</v>
      </c>
      <c r="M43" s="44">
        <f>OC!S11+VLOOKUP($R$31,$AD$38:$AK$42,4,FALSE)</f>
        <v>2.4857931432</v>
      </c>
      <c r="N43" s="44">
        <f>OC!T11+VLOOKUP($R$31,$AD$38:$AK$42,5,FALSE)</f>
        <v>7.2598774707999993</v>
      </c>
      <c r="O43" s="92">
        <f>AVERAGEIF($K$34:$K$45,4,$M$34:$M$45)</f>
        <v>3.4620947333333284E-2</v>
      </c>
      <c r="P43" s="92">
        <f>AVERAGEIF($K$34:$K$45,4,$N$34:$N$45)</f>
        <v>7.5104208704999991</v>
      </c>
      <c r="Q43" s="90">
        <f>P43*0.001</f>
        <v>7.5104208704999996E-3</v>
      </c>
      <c r="R43" s="90">
        <f>O43*0.001</f>
        <v>3.4620947333333283E-5</v>
      </c>
      <c r="T43" s="79">
        <v>4</v>
      </c>
      <c r="U43" s="80" t="str">
        <f>FPDC!J11</f>
        <v>22cc12050138</v>
      </c>
      <c r="V43" s="75">
        <f>FPDC!R11+VLOOKUP($R$31,$AD$38:$AK$42,2,FALSE)+VLOOKUP($R$31,$AD$38:$AK$42,7,FALSE)+VLOOKUP('File location'!$B$1,'Tester offset'!$A$2:$D$4,3,FALSE)</f>
        <v>-4.2974321841999998</v>
      </c>
      <c r="W43" s="76">
        <f>FPDC!S11+VLOOKUP($R$31,$AD$38:$AK$42,3,FALSE)+VLOOKUP($R$31,$AD$38:$AK$42,8,FALSE)+VLOOKUP('File location'!$B$1,'Tester offset'!$A$2:$D$4,4,FALSE)</f>
        <v>3.0750980377000001</v>
      </c>
      <c r="X43" s="92">
        <f>AVERAGEIF($T$34:$T$45,4,$V$34:$V$45)</f>
        <v>-4.3644762833666668</v>
      </c>
      <c r="Y43" s="92">
        <f>AVERAGEIF($T$34:$T$45,4,$W$34:$W$45)</f>
        <v>2.8165798187333331</v>
      </c>
      <c r="Z43" s="90">
        <f>(X43*-0.01)/4</f>
        <v>1.0911190708416667E-2</v>
      </c>
      <c r="AA43" s="90">
        <f>(Y43*-0.01)/4</f>
        <v>-7.0414495468333329E-3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22cc12050280</v>
      </c>
      <c r="C44" s="44">
        <f>IPQC!S12+VLOOKUP($R$31,$AD$38:$AK$42,6,FALSE)+VLOOKUP('File location'!$B$1,'Tester offset'!$A$2:$D$4,2,FALSE)</f>
        <v>87.228115138600003</v>
      </c>
      <c r="D44" s="44">
        <f>IPQC!Z12+VLOOKUP($R$31,$AD$38:$AK$42,6,FALSE)</f>
        <v>68.618904613300003</v>
      </c>
      <c r="E44" s="44">
        <f>VCM!HU12-'Summary(3pcs)'!C44-'Summary(3pcs)'!$D$32</f>
        <v>141.0193933060379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22cc12050280</v>
      </c>
      <c r="M44" s="44">
        <f>OC!S12+VLOOKUP($R$31,$AD$38:$AK$42,4,FALSE)</f>
        <v>-3.4647430032000002</v>
      </c>
      <c r="N44" s="44">
        <f>OC!T12+VLOOKUP($R$31,$AD$38:$AK$42,5,FALSE)</f>
        <v>6.9199743252000001</v>
      </c>
      <c r="O44" s="92"/>
      <c r="P44" s="92"/>
      <c r="Q44" s="90"/>
      <c r="R44" s="90"/>
      <c r="T44" s="79">
        <v>4</v>
      </c>
      <c r="U44" s="80" t="str">
        <f>FPDC!J12</f>
        <v>22cc12050280</v>
      </c>
      <c r="V44" s="75">
        <f>FPDC!R12+VLOOKUP($R$31,$AD$38:$AK$42,2,FALSE)+VLOOKUP($R$31,$AD$38:$AK$42,7,FALSE)+VLOOKUP('File location'!$B$1,'Tester offset'!$A$2:$D$4,3,FALSE)</f>
        <v>-7.0274209976000002</v>
      </c>
      <c r="W44" s="76">
        <f>FPDC!S12+VLOOKUP($R$31,$AD$38:$AK$42,3,FALSE)+VLOOKUP($R$31,$AD$38:$AK$42,8,FALSE)+VLOOKUP('File location'!$B$1,'Tester offset'!$A$2:$D$4,4,FALSE)</f>
        <v>2.7357645035000004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22cc12050005</v>
      </c>
      <c r="C45" s="44">
        <f>IPQC!S13+VLOOKUP($R$31,$AD$38:$AK$42,6,FALSE)+VLOOKUP('File location'!$B$1,'Tester offset'!$A$2:$D$4,2,FALSE)</f>
        <v>84.184035116700002</v>
      </c>
      <c r="D45" s="44">
        <f>IPQC!Z13+VLOOKUP($R$31,$AD$38:$AK$42,6,FALSE)</f>
        <v>61.454077911900001</v>
      </c>
      <c r="E45" s="44">
        <f>VCM!HU13-'Summary(3pcs)'!C45-'Summary(3pcs)'!$D$32</f>
        <v>158.19665167793789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22cc12050005</v>
      </c>
      <c r="M45" s="44">
        <f>OC!S13+VLOOKUP($R$31,$AD$38:$AK$42,4,FALSE)</f>
        <v>1.082812702</v>
      </c>
      <c r="N45" s="44">
        <f>OC!T13+VLOOKUP($R$31,$AD$38:$AK$42,5,FALSE)</f>
        <v>8.3514108154999995</v>
      </c>
      <c r="O45" s="92"/>
      <c r="P45" s="92"/>
      <c r="Q45" s="90"/>
      <c r="R45" s="90"/>
      <c r="T45" s="79">
        <v>4</v>
      </c>
      <c r="U45" s="80" t="str">
        <f>FPDC!J13</f>
        <v>22cc12050005</v>
      </c>
      <c r="V45" s="75">
        <f>FPDC!R13+VLOOKUP($R$31,$AD$38:$AK$42,2,FALSE)+VLOOKUP($R$31,$AD$38:$AK$42,7,FALSE)+VLOOKUP('File location'!$B$1,'Tester offset'!$A$2:$D$4,3,FALSE)</f>
        <v>-1.7685756682999996</v>
      </c>
      <c r="W45" s="76">
        <f>FPDC!S13+VLOOKUP($R$31,$AD$38:$AK$42,3,FALSE)+VLOOKUP($R$31,$AD$38:$AK$42,8,FALSE)+VLOOKUP('File location'!$B$1,'Tester offset'!$A$2:$D$4,4,FALSE)</f>
        <v>2.638876915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90.1858859405</v>
      </c>
      <c r="L54" s="49">
        <f t="shared" ref="L54:L65" si="4">D34</f>
        <v>70.343276759099993</v>
      </c>
      <c r="M54" s="49">
        <f t="shared" ref="M54:M65" si="5">E34</f>
        <v>132.02103086943794</v>
      </c>
      <c r="N54" s="49">
        <f t="shared" ref="N54:O65" si="6">M34</f>
        <v>1.3841324103999999</v>
      </c>
      <c r="O54" s="49">
        <f t="shared" si="6"/>
        <v>4.1204335372000003</v>
      </c>
      <c r="P54" s="49">
        <f t="shared" ref="P54:P65" si="7">V34</f>
        <v>-7.5376844405999996</v>
      </c>
      <c r="Q54" s="50">
        <f t="shared" ref="Q54:Q65" si="8">W34</f>
        <v>2.8499951362999996</v>
      </c>
    </row>
    <row r="55" spans="6:27" ht="19.5">
      <c r="I55" s="47">
        <f t="shared" si="2"/>
        <v>1</v>
      </c>
      <c r="J55" s="46"/>
      <c r="K55" s="51">
        <f t="shared" si="3"/>
        <v>81.745681745499994</v>
      </c>
      <c r="L55" s="52">
        <f t="shared" si="4"/>
        <v>64.172022993100001</v>
      </c>
      <c r="M55" s="52">
        <f t="shared" si="5"/>
        <v>151.6625253644379</v>
      </c>
      <c r="N55" s="52">
        <f t="shared" si="6"/>
        <v>-2.2578773528</v>
      </c>
      <c r="O55" s="52">
        <f t="shared" si="6"/>
        <v>5.5637195073000001</v>
      </c>
      <c r="P55" s="52">
        <f t="shared" si="7"/>
        <v>-6.3320398330999996</v>
      </c>
      <c r="Q55" s="53">
        <f t="shared" si="8"/>
        <v>1.7697782516</v>
      </c>
    </row>
    <row r="56" spans="6:27" ht="19.5">
      <c r="I56" s="47">
        <f t="shared" si="2"/>
        <v>1</v>
      </c>
      <c r="J56" s="46"/>
      <c r="K56" s="54">
        <f t="shared" si="3"/>
        <v>92.469149527499994</v>
      </c>
      <c r="L56" s="55">
        <f t="shared" si="4"/>
        <v>71.929720143300003</v>
      </c>
      <c r="M56" s="55">
        <f t="shared" si="5"/>
        <v>139.80307278243788</v>
      </c>
      <c r="N56" s="55">
        <f t="shared" si="6"/>
        <v>1.7673593526</v>
      </c>
      <c r="O56" s="55">
        <f t="shared" si="6"/>
        <v>1.9693839122000001</v>
      </c>
      <c r="P56" s="55">
        <f t="shared" si="7"/>
        <v>-6.6985549927000001</v>
      </c>
      <c r="Q56" s="56">
        <f t="shared" si="8"/>
        <v>5.5244445800000097E-2</v>
      </c>
    </row>
    <row r="57" spans="6:27" ht="19.5">
      <c r="I57" s="47">
        <f t="shared" si="2"/>
        <v>2</v>
      </c>
      <c r="J57" s="46"/>
      <c r="K57" s="57">
        <f t="shared" si="3"/>
        <v>87.296323421699995</v>
      </c>
      <c r="L57" s="58">
        <f t="shared" si="4"/>
        <v>70.242307446200002</v>
      </c>
      <c r="M57" s="58">
        <f t="shared" si="5"/>
        <v>152.7924169882379</v>
      </c>
      <c r="N57" s="58">
        <f t="shared" si="6"/>
        <v>5.6024170387999996</v>
      </c>
      <c r="O57" s="58">
        <f t="shared" si="6"/>
        <v>4.6858151949</v>
      </c>
      <c r="P57" s="58">
        <f t="shared" si="7"/>
        <v>3.4456386565999999</v>
      </c>
      <c r="Q57" s="59">
        <f t="shared" si="8"/>
        <v>1.4881286621000003</v>
      </c>
    </row>
    <row r="58" spans="6:27" ht="19.5">
      <c r="I58" s="47">
        <f t="shared" si="2"/>
        <v>2</v>
      </c>
      <c r="J58" s="46"/>
      <c r="K58" s="57">
        <f t="shared" si="3"/>
        <v>88.186990721000001</v>
      </c>
      <c r="L58" s="58">
        <f t="shared" si="4"/>
        <v>66.7669820781</v>
      </c>
      <c r="M58" s="58">
        <f t="shared" si="5"/>
        <v>158.39515648893791</v>
      </c>
      <c r="N58" s="58">
        <f t="shared" si="6"/>
        <v>-1.28711977E-2</v>
      </c>
      <c r="O58" s="58">
        <f t="shared" si="6"/>
        <v>3.0314404926999998</v>
      </c>
      <c r="P58" s="58">
        <f t="shared" si="7"/>
        <v>-0.42446756360000037</v>
      </c>
      <c r="Q58" s="59">
        <f t="shared" si="8"/>
        <v>3.2002906799000002</v>
      </c>
    </row>
    <row r="59" spans="6:27" ht="19.5">
      <c r="I59" s="47">
        <f t="shared" si="2"/>
        <v>2</v>
      </c>
      <c r="J59" s="46"/>
      <c r="K59" s="57">
        <f t="shared" si="3"/>
        <v>79.811892710699993</v>
      </c>
      <c r="L59" s="58">
        <f t="shared" si="4"/>
        <v>64.767171876399999</v>
      </c>
      <c r="M59" s="58">
        <f t="shared" si="5"/>
        <v>156.93018959923791</v>
      </c>
      <c r="N59" s="58">
        <f t="shared" si="6"/>
        <v>-1.9290615492000001</v>
      </c>
      <c r="O59" s="58">
        <f t="shared" si="6"/>
        <v>5.4772114088999997</v>
      </c>
      <c r="P59" s="58">
        <f t="shared" si="7"/>
        <v>-6.4000248909000002</v>
      </c>
      <c r="Q59" s="59">
        <f t="shared" si="8"/>
        <v>6.2008695601999992</v>
      </c>
    </row>
    <row r="60" spans="6:27" ht="19.5">
      <c r="I60" s="47">
        <f t="shared" si="2"/>
        <v>3</v>
      </c>
      <c r="J60" s="46"/>
      <c r="K60" s="60">
        <f t="shared" si="3"/>
        <v>100.9945491599</v>
      </c>
      <c r="L60" s="61">
        <f t="shared" si="4"/>
        <v>83.7577360935</v>
      </c>
      <c r="M60" s="61">
        <f t="shared" si="5"/>
        <v>137.67697555003792</v>
      </c>
      <c r="N60" s="61">
        <f t="shared" si="6"/>
        <v>1.6092794800000001E-2</v>
      </c>
      <c r="O60" s="61">
        <f t="shared" si="6"/>
        <v>4.4307212195999996</v>
      </c>
      <c r="P60" s="61">
        <f t="shared" si="7"/>
        <v>-1.5511693953999997</v>
      </c>
      <c r="Q60" s="62">
        <f t="shared" si="8"/>
        <v>5.4471549988000003</v>
      </c>
    </row>
    <row r="61" spans="6:27" ht="19.5">
      <c r="I61" s="47">
        <f t="shared" si="2"/>
        <v>3</v>
      </c>
      <c r="J61" s="46"/>
      <c r="K61" s="63">
        <f t="shared" si="3"/>
        <v>87.873136516000002</v>
      </c>
      <c r="L61" s="64">
        <f t="shared" si="4"/>
        <v>65.961441899299999</v>
      </c>
      <c r="M61" s="64">
        <f t="shared" si="5"/>
        <v>139.74519439393794</v>
      </c>
      <c r="N61" s="64">
        <f t="shared" si="6"/>
        <v>-1.6233274486</v>
      </c>
      <c r="O61" s="64">
        <f t="shared" si="6"/>
        <v>4.0531305255000003</v>
      </c>
      <c r="P61" s="64">
        <f t="shared" si="7"/>
        <v>-4.0510523318999994</v>
      </c>
      <c r="Q61" s="65">
        <f t="shared" si="8"/>
        <v>6.2811746596999996</v>
      </c>
    </row>
    <row r="62" spans="6:27" ht="19.5">
      <c r="I62" s="47">
        <f t="shared" si="2"/>
        <v>3</v>
      </c>
      <c r="J62" s="46"/>
      <c r="K62" s="66">
        <f t="shared" si="3"/>
        <v>84.258567145900003</v>
      </c>
      <c r="L62" s="67">
        <f t="shared" si="4"/>
        <v>67.415608774899994</v>
      </c>
      <c r="M62" s="67">
        <f t="shared" si="5"/>
        <v>139.69687466403786</v>
      </c>
      <c r="N62" s="67">
        <f t="shared" si="6"/>
        <v>-5.433215862</v>
      </c>
      <c r="O62" s="67">
        <f t="shared" si="6"/>
        <v>0.37218238320000019</v>
      </c>
      <c r="P62" s="67">
        <f t="shared" si="7"/>
        <v>-4.5375757216999997</v>
      </c>
      <c r="Q62" s="68">
        <f t="shared" si="8"/>
        <v>3.0700511932000003</v>
      </c>
    </row>
    <row r="63" spans="6:27" ht="19.5">
      <c r="I63" s="47">
        <f t="shared" si="2"/>
        <v>4</v>
      </c>
      <c r="J63" s="46"/>
      <c r="K63" s="57">
        <f t="shared" si="3"/>
        <v>91.973124253999998</v>
      </c>
      <c r="L63" s="58">
        <f t="shared" si="4"/>
        <v>72.205645030100001</v>
      </c>
      <c r="M63" s="58">
        <f t="shared" si="5"/>
        <v>146.14515515593791</v>
      </c>
      <c r="N63" s="58">
        <f t="shared" si="6"/>
        <v>2.4857931432</v>
      </c>
      <c r="O63" s="58">
        <f t="shared" si="6"/>
        <v>7.2598774707999993</v>
      </c>
      <c r="P63" s="58">
        <f t="shared" si="7"/>
        <v>-4.2974321841999998</v>
      </c>
      <c r="Q63" s="59">
        <f t="shared" si="8"/>
        <v>3.0750980377000001</v>
      </c>
    </row>
    <row r="64" spans="6:27" ht="19.5">
      <c r="I64" s="47">
        <f t="shared" si="2"/>
        <v>4</v>
      </c>
      <c r="J64" s="46"/>
      <c r="K64" s="57">
        <f t="shared" si="3"/>
        <v>87.228115138600003</v>
      </c>
      <c r="L64" s="58">
        <f t="shared" si="4"/>
        <v>68.618904613300003</v>
      </c>
      <c r="M64" s="58">
        <f t="shared" si="5"/>
        <v>141.0193933060379</v>
      </c>
      <c r="N64" s="58">
        <f t="shared" si="6"/>
        <v>-3.4647430032000002</v>
      </c>
      <c r="O64" s="58">
        <f t="shared" si="6"/>
        <v>6.9199743252000001</v>
      </c>
      <c r="P64" s="58">
        <f t="shared" si="7"/>
        <v>-7.0274209976000002</v>
      </c>
      <c r="Q64" s="59">
        <f t="shared" si="8"/>
        <v>2.7357645035000004</v>
      </c>
    </row>
    <row r="65" spans="9:17" ht="20.25" thickBot="1">
      <c r="I65" s="47">
        <f t="shared" si="2"/>
        <v>4</v>
      </c>
      <c r="J65" s="46"/>
      <c r="K65" s="69">
        <f t="shared" si="3"/>
        <v>84.184035116700002</v>
      </c>
      <c r="L65" s="70">
        <f t="shared" si="4"/>
        <v>61.454077911900001</v>
      </c>
      <c r="M65" s="70">
        <f t="shared" si="5"/>
        <v>158.19665167793789</v>
      </c>
      <c r="N65" s="70">
        <f t="shared" si="6"/>
        <v>1.082812702</v>
      </c>
      <c r="O65" s="70">
        <f t="shared" si="6"/>
        <v>8.3514108154999995</v>
      </c>
      <c r="P65" s="70">
        <f t="shared" si="7"/>
        <v>-1.7685756682999996</v>
      </c>
      <c r="Q65" s="71">
        <f t="shared" si="8"/>
        <v>2.638876915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2113.8841324104001</v>
      </c>
      <c r="R2">
        <v>1512.3795664628001</v>
      </c>
      <c r="S2">
        <v>1.3841324103999999</v>
      </c>
      <c r="T2">
        <v>0.1204335372</v>
      </c>
      <c r="U2">
        <v>1.3893619998</v>
      </c>
      <c r="V2">
        <v>734.96349999999995</v>
      </c>
      <c r="W2">
        <v>395.73610000000002</v>
      </c>
      <c r="X2">
        <v>396.17070000000001</v>
      </c>
      <c r="Y2">
        <v>392.51580000000001</v>
      </c>
      <c r="Z2">
        <v>393.19779999999997</v>
      </c>
      <c r="AA2">
        <v>564.68430000000001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2110.2421226472002</v>
      </c>
      <c r="R3">
        <v>1510.9362804927</v>
      </c>
      <c r="S3">
        <v>-2.2578773528</v>
      </c>
      <c r="T3">
        <v>1.5637195073000001</v>
      </c>
      <c r="U3">
        <v>2.7464939173</v>
      </c>
      <c r="V3">
        <v>728.03269999999998</v>
      </c>
      <c r="W3">
        <v>394.19479999999999</v>
      </c>
      <c r="X3">
        <v>392.5258</v>
      </c>
      <c r="Y3">
        <v>393.63310000000001</v>
      </c>
      <c r="Z3">
        <v>390.30329999999998</v>
      </c>
      <c r="AA3">
        <v>560.34847500000001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550</v>
      </c>
      <c r="B4" t="s">
        <v>551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2114.2673593526001</v>
      </c>
      <c r="R4">
        <v>1514.5306160877999</v>
      </c>
      <c r="S4">
        <v>1.7673593526</v>
      </c>
      <c r="T4">
        <v>-2.0306160877999999</v>
      </c>
      <c r="U4">
        <v>2.6920179750000002</v>
      </c>
      <c r="V4">
        <v>716.24779999999998</v>
      </c>
      <c r="W4">
        <v>383.86450000000002</v>
      </c>
      <c r="X4">
        <v>387.92750000000001</v>
      </c>
      <c r="Y4">
        <v>386.71910000000003</v>
      </c>
      <c r="Z4">
        <v>382.89089999999999</v>
      </c>
      <c r="AA4">
        <v>550.79915000000005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2118.1024170388</v>
      </c>
      <c r="R5">
        <v>1511.8141848051</v>
      </c>
      <c r="S5">
        <v>5.6024170387999996</v>
      </c>
      <c r="T5">
        <v>0.68581519489999998</v>
      </c>
      <c r="U5">
        <v>5.6442376950000002</v>
      </c>
      <c r="V5">
        <v>719.9366</v>
      </c>
      <c r="W5">
        <v>384.96949999999998</v>
      </c>
      <c r="X5">
        <v>389.59339999999997</v>
      </c>
      <c r="Y5">
        <v>383.39890000000003</v>
      </c>
      <c r="Z5">
        <v>386.44740000000002</v>
      </c>
      <c r="AA5">
        <v>553.01945000000001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575</v>
      </c>
      <c r="B6" t="s">
        <v>576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2112.4871288023</v>
      </c>
      <c r="R6">
        <v>1513.4685595072999</v>
      </c>
      <c r="S6">
        <v>-1.28711977E-2</v>
      </c>
      <c r="T6">
        <v>-0.96855950729999996</v>
      </c>
      <c r="U6">
        <v>0.96864502630000004</v>
      </c>
      <c r="V6">
        <v>734.51430000000005</v>
      </c>
      <c r="W6">
        <v>398.50389999999999</v>
      </c>
      <c r="X6">
        <v>395.55599999999998</v>
      </c>
      <c r="Y6">
        <v>393.98669999999998</v>
      </c>
      <c r="Z6">
        <v>395.96280000000002</v>
      </c>
      <c r="AA6">
        <v>565.25832500000001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587</v>
      </c>
      <c r="B7" t="s">
        <v>588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2110.5709384508</v>
      </c>
      <c r="R7">
        <v>1511.0227885910999</v>
      </c>
      <c r="S7">
        <v>-1.9290615492000001</v>
      </c>
      <c r="T7">
        <v>1.4772114088999999</v>
      </c>
      <c r="U7">
        <v>2.4296979251000002</v>
      </c>
      <c r="V7">
        <v>748.33199999999999</v>
      </c>
      <c r="W7">
        <v>404.16129999999998</v>
      </c>
      <c r="X7">
        <v>403.90640000000002</v>
      </c>
      <c r="Y7">
        <v>403.7647</v>
      </c>
      <c r="Z7">
        <v>402.29070000000002</v>
      </c>
      <c r="AA7">
        <v>575.93138750000003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599</v>
      </c>
      <c r="B8" t="s">
        <v>600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2112.5160927948</v>
      </c>
      <c r="R8">
        <v>1512.0692787804001</v>
      </c>
      <c r="S8">
        <v>1.6092794800000001E-2</v>
      </c>
      <c r="T8">
        <v>0.43072121959999998</v>
      </c>
      <c r="U8">
        <v>0.43102174780000002</v>
      </c>
      <c r="V8">
        <v>743.77520000000004</v>
      </c>
      <c r="W8">
        <v>401.5231</v>
      </c>
      <c r="X8">
        <v>398.65069999999997</v>
      </c>
      <c r="Y8">
        <v>399.70609999999999</v>
      </c>
      <c r="Z8">
        <v>399.1925</v>
      </c>
      <c r="AA8">
        <v>571.77165000000002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611</v>
      </c>
      <c r="B9" t="s">
        <v>612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2110.8766725514001</v>
      </c>
      <c r="R9">
        <v>1512.4468694745001</v>
      </c>
      <c r="S9">
        <v>-1.6233274486</v>
      </c>
      <c r="T9">
        <v>5.3130525499999998E-2</v>
      </c>
      <c r="U9">
        <v>1.6241966808999999</v>
      </c>
      <c r="V9">
        <v>715.27809999999999</v>
      </c>
      <c r="W9">
        <v>384.60520000000002</v>
      </c>
      <c r="X9">
        <v>386.61810000000003</v>
      </c>
      <c r="Y9">
        <v>383.49709999999999</v>
      </c>
      <c r="Z9">
        <v>383.10120000000001</v>
      </c>
      <c r="AA9">
        <v>549.86675000000002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623</v>
      </c>
      <c r="B10" t="s">
        <v>624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2107.066784138</v>
      </c>
      <c r="R10">
        <v>1516.1278176168</v>
      </c>
      <c r="S10">
        <v>-5.433215862</v>
      </c>
      <c r="T10">
        <v>-3.6278176167999998</v>
      </c>
      <c r="U10">
        <v>6.5330617067999999</v>
      </c>
      <c r="V10">
        <v>733.52589999999998</v>
      </c>
      <c r="W10">
        <v>396.01080000000002</v>
      </c>
      <c r="X10">
        <v>395.06720000000001</v>
      </c>
      <c r="Y10">
        <v>394.9579</v>
      </c>
      <c r="Z10">
        <v>392.35509999999999</v>
      </c>
      <c r="AA10">
        <v>564.061825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632</v>
      </c>
      <c r="B11" t="s">
        <v>633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2114.9857931432002</v>
      </c>
      <c r="R11">
        <v>1509.2401225292001</v>
      </c>
      <c r="S11">
        <v>2.4857931432</v>
      </c>
      <c r="T11">
        <v>3.2598774707999998</v>
      </c>
      <c r="U11">
        <v>4.0995083455000003</v>
      </c>
      <c r="V11">
        <v>736.53060000000005</v>
      </c>
      <c r="W11">
        <v>398.01249999999999</v>
      </c>
      <c r="X11">
        <v>392.92360000000002</v>
      </c>
      <c r="Y11">
        <v>396.00310000000002</v>
      </c>
      <c r="Z11">
        <v>396.18490000000003</v>
      </c>
      <c r="AA11">
        <v>566.15581250000002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647</v>
      </c>
      <c r="B12" t="s">
        <v>648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2109.0352569967999</v>
      </c>
      <c r="R12">
        <v>1509.5800256748</v>
      </c>
      <c r="S12">
        <v>-3.4647430032000002</v>
      </c>
      <c r="T12">
        <v>2.9199743252000001</v>
      </c>
      <c r="U12">
        <v>4.5310809017000002</v>
      </c>
      <c r="V12">
        <v>733.34870000000001</v>
      </c>
      <c r="W12">
        <v>397.81869999999998</v>
      </c>
      <c r="X12">
        <v>394.82819999999998</v>
      </c>
      <c r="Y12">
        <v>392.36169999999998</v>
      </c>
      <c r="Z12">
        <v>394.67849999999999</v>
      </c>
      <c r="AA12">
        <v>564.13523750000002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654</v>
      </c>
      <c r="B13" t="s">
        <v>655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656</v>
      </c>
      <c r="K13" t="s">
        <v>657</v>
      </c>
      <c r="L13" t="s">
        <v>658</v>
      </c>
      <c r="M13" t="s">
        <v>659</v>
      </c>
      <c r="N13" t="s">
        <v>660</v>
      </c>
      <c r="O13">
        <v>0</v>
      </c>
      <c r="P13">
        <v>0</v>
      </c>
      <c r="Q13">
        <v>2113.582812702</v>
      </c>
      <c r="R13">
        <v>1508.1485891845</v>
      </c>
      <c r="S13">
        <v>1.082812702</v>
      </c>
      <c r="T13">
        <v>4.3514108155000004</v>
      </c>
      <c r="U13">
        <v>4.4841118890000002</v>
      </c>
      <c r="V13">
        <v>730.15809999999999</v>
      </c>
      <c r="W13">
        <v>393.72370000000001</v>
      </c>
      <c r="X13">
        <v>392.20100000000002</v>
      </c>
      <c r="Y13">
        <v>390.75369999999998</v>
      </c>
      <c r="Z13">
        <v>390.6148</v>
      </c>
      <c r="AA13">
        <v>560.99069999999995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-4.6492000000000003E-6</v>
      </c>
      <c r="R2">
        <v>-0.53768444059999998</v>
      </c>
      <c r="S2">
        <v>5.8499951362999996</v>
      </c>
      <c r="T2">
        <v>4.4920053482000002</v>
      </c>
      <c r="U2">
        <v>9.3209590912000007</v>
      </c>
      <c r="V2">
        <v>-7.3690462111999997</v>
      </c>
      <c r="W2">
        <v>2.8941411972000002</v>
      </c>
      <c r="X2">
        <v>-1.8942954540000001</v>
      </c>
      <c r="Y2">
        <v>0.64629316329999997</v>
      </c>
      <c r="Z2">
        <v>-1.3434896468999999</v>
      </c>
      <c r="AA2">
        <v>-0.33255767819999998</v>
      </c>
      <c r="AB2">
        <v>-2.9093699454999999</v>
      </c>
      <c r="AC2">
        <v>1.8817564249000001</v>
      </c>
      <c r="AD2">
        <v>-1.6329596043000001</v>
      </c>
      <c r="AE2">
        <v>0.26029908660000001</v>
      </c>
      <c r="AF2">
        <v>-1.2470078468000001</v>
      </c>
      <c r="AG2">
        <v>-0.12881118059999999</v>
      </c>
      <c r="AH2">
        <v>-0.31463348870000002</v>
      </c>
      <c r="AI2">
        <v>0.88757836820000002</v>
      </c>
      <c r="AJ2">
        <v>0.77826321129999998</v>
      </c>
      <c r="AK2">
        <v>1.7751320000000001E-4</v>
      </c>
      <c r="AL2">
        <v>4.4260766399999998E-2</v>
      </c>
      <c r="AM2">
        <v>0.10848087820000001</v>
      </c>
      <c r="AN2">
        <v>0.1805943549</v>
      </c>
      <c r="AO2">
        <v>0.27753567699999998</v>
      </c>
      <c r="AP2">
        <v>0.27753567699999998</v>
      </c>
      <c r="AQ2">
        <v>5.8746529813999997</v>
      </c>
      <c r="AR2" t="s">
        <v>269</v>
      </c>
      <c r="AS2" t="s">
        <v>270</v>
      </c>
      <c r="AT2">
        <v>4</v>
      </c>
      <c r="AU2">
        <v>2.9</v>
      </c>
      <c r="AX2">
        <v>1</v>
      </c>
    </row>
    <row r="3" spans="1:50">
      <c r="A3" t="s">
        <v>285</v>
      </c>
      <c r="B3" t="s">
        <v>557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1.0550000000000001E-5</v>
      </c>
      <c r="R3">
        <v>0.66796016690000004</v>
      </c>
      <c r="S3">
        <v>4.7697782516</v>
      </c>
      <c r="T3">
        <v>2.6089131831999999</v>
      </c>
      <c r="U3">
        <v>6.3306417464999996</v>
      </c>
      <c r="V3">
        <v>-7.8224072456</v>
      </c>
      <c r="W3">
        <v>2.0557982922</v>
      </c>
      <c r="X3">
        <v>-1.24673843E-2</v>
      </c>
      <c r="Y3">
        <v>1.0155222416</v>
      </c>
      <c r="Z3">
        <v>-0.58544760939999996</v>
      </c>
      <c r="AA3">
        <v>-0.3097014427</v>
      </c>
      <c r="AB3">
        <v>-1.8237206936000001</v>
      </c>
      <c r="AC3">
        <v>2.0418167114000001</v>
      </c>
      <c r="AD3">
        <v>-1.0988589525000001</v>
      </c>
      <c r="AE3">
        <v>-0.40351915360000001</v>
      </c>
      <c r="AF3">
        <v>-0.65678822989999996</v>
      </c>
      <c r="AG3">
        <v>-0.20247051120000001</v>
      </c>
      <c r="AH3">
        <v>-0.124153614</v>
      </c>
      <c r="AI3">
        <v>0.47920453549999997</v>
      </c>
      <c r="AJ3">
        <v>0.17223483319999999</v>
      </c>
      <c r="AK3">
        <v>1.440007E-4</v>
      </c>
      <c r="AL3">
        <v>3.7903319999999997E-2</v>
      </c>
      <c r="AM3">
        <v>0.11793465910000001</v>
      </c>
      <c r="AN3">
        <v>0.17465835809999999</v>
      </c>
      <c r="AO3">
        <v>0.17465835809999999</v>
      </c>
      <c r="AP3">
        <v>0.17465835809999999</v>
      </c>
      <c r="AQ3">
        <v>4.8163217660999997</v>
      </c>
      <c r="AR3" t="s">
        <v>269</v>
      </c>
      <c r="AS3" t="s">
        <v>270</v>
      </c>
      <c r="AT3">
        <v>4</v>
      </c>
      <c r="AU3">
        <v>2.9</v>
      </c>
      <c r="AX3">
        <v>1</v>
      </c>
    </row>
    <row r="4" spans="1:50">
      <c r="A4" t="s">
        <v>558</v>
      </c>
      <c r="B4" t="s">
        <v>559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-1.6450899999999999E-5</v>
      </c>
      <c r="R4">
        <v>0.30144500730000001</v>
      </c>
      <c r="S4">
        <v>3.0552444458000001</v>
      </c>
      <c r="T4">
        <v>5.2432050705000002</v>
      </c>
      <c r="U4">
        <v>6.2212514877</v>
      </c>
      <c r="V4">
        <v>-3.6446912289000002</v>
      </c>
      <c r="W4">
        <v>2.1766557692999999</v>
      </c>
      <c r="X4">
        <v>1.0158879756999999</v>
      </c>
      <c r="Y4">
        <v>-0.18920415639999999</v>
      </c>
      <c r="Z4">
        <v>-0.13236367700000001</v>
      </c>
      <c r="AA4">
        <v>0.658945322</v>
      </c>
      <c r="AB4">
        <v>-2.3730380535000002</v>
      </c>
      <c r="AC4">
        <v>1.1050473452</v>
      </c>
      <c r="AD4">
        <v>-1.6884841919</v>
      </c>
      <c r="AE4">
        <v>-0.21637383099999999</v>
      </c>
      <c r="AF4">
        <v>-1.0014224052</v>
      </c>
      <c r="AG4">
        <v>-0.1826616824</v>
      </c>
      <c r="AH4">
        <v>9.2825055099999998E-2</v>
      </c>
      <c r="AI4">
        <v>-0.36293506619999999</v>
      </c>
      <c r="AJ4">
        <v>-0.1626340449</v>
      </c>
      <c r="AK4">
        <v>1.7417929999999999E-4</v>
      </c>
      <c r="AL4">
        <v>4.23658118E-2</v>
      </c>
      <c r="AM4">
        <v>5.6064367300000001E-2</v>
      </c>
      <c r="AN4">
        <v>8.7618447799999999E-2</v>
      </c>
      <c r="AO4">
        <v>0.15246891979999999</v>
      </c>
      <c r="AP4">
        <v>0.15246891979999999</v>
      </c>
      <c r="AQ4">
        <v>3.0700794316</v>
      </c>
      <c r="AR4" t="s">
        <v>269</v>
      </c>
      <c r="AS4" t="s">
        <v>270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571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-2.07424E-5</v>
      </c>
      <c r="R5">
        <v>10.4456386566</v>
      </c>
      <c r="S5">
        <v>4.4881286621000003</v>
      </c>
      <c r="T5">
        <v>9.5193643570000006</v>
      </c>
      <c r="U5">
        <v>10.9234905243</v>
      </c>
      <c r="V5">
        <v>-4.0616536139999999</v>
      </c>
      <c r="W5">
        <v>0.247702539</v>
      </c>
      <c r="X5">
        <v>-1.1604297160999999</v>
      </c>
      <c r="Y5">
        <v>-0.59436988830000004</v>
      </c>
      <c r="Z5">
        <v>-0.70533943180000003</v>
      </c>
      <c r="AA5">
        <v>0.2035213709</v>
      </c>
      <c r="AB5">
        <v>-3.6499276160999998</v>
      </c>
      <c r="AC5">
        <v>1.9059218168000001</v>
      </c>
      <c r="AD5">
        <v>-0.99934864040000004</v>
      </c>
      <c r="AE5">
        <v>6.1727464199999998E-2</v>
      </c>
      <c r="AF5">
        <v>-1.1840744019</v>
      </c>
      <c r="AG5">
        <v>-0.5841878653</v>
      </c>
      <c r="AH5">
        <v>-0.26643979550000002</v>
      </c>
      <c r="AI5">
        <v>-0.62697756289999995</v>
      </c>
      <c r="AJ5">
        <v>0.68886852259999998</v>
      </c>
      <c r="AK5">
        <v>1.5469400000000001E-4</v>
      </c>
      <c r="AL5">
        <v>4.08894941E-2</v>
      </c>
      <c r="AM5">
        <v>0.18142114579999999</v>
      </c>
      <c r="AN5">
        <v>0.12104088809999999</v>
      </c>
      <c r="AO5">
        <v>0.34869879479999999</v>
      </c>
      <c r="AP5">
        <v>0.34869879479999999</v>
      </c>
      <c r="AQ5">
        <v>11.3690222021</v>
      </c>
      <c r="AR5" t="s">
        <v>269</v>
      </c>
      <c r="AS5" t="s">
        <v>270</v>
      </c>
      <c r="AT5">
        <v>3</v>
      </c>
      <c r="AU5">
        <v>2.9</v>
      </c>
      <c r="AX5">
        <v>1</v>
      </c>
    </row>
    <row r="6" spans="1:50">
      <c r="A6" t="s">
        <v>582</v>
      </c>
      <c r="B6" t="s">
        <v>586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-9.0598999999999994E-6</v>
      </c>
      <c r="R6">
        <v>6.5755324363999996</v>
      </c>
      <c r="S6">
        <v>6.2002906799000002</v>
      </c>
      <c r="T6">
        <v>4.4671282767999996</v>
      </c>
      <c r="U6">
        <v>6.7313156127999996</v>
      </c>
      <c r="V6">
        <v>-0.47181177140000002</v>
      </c>
      <c r="W6">
        <v>0.8263527155</v>
      </c>
      <c r="X6">
        <v>2.35191584E-2</v>
      </c>
      <c r="Y6">
        <v>-0.37090799209999997</v>
      </c>
      <c r="Z6">
        <v>0.31968522069999999</v>
      </c>
      <c r="AA6">
        <v>-0.30339798330000001</v>
      </c>
      <c r="AB6">
        <v>-2.0086579322999998</v>
      </c>
      <c r="AC6">
        <v>0.72551763059999996</v>
      </c>
      <c r="AD6">
        <v>-0.53563892840000005</v>
      </c>
      <c r="AE6">
        <v>-6.4792931000000002E-3</v>
      </c>
      <c r="AF6">
        <v>-1.03129148E-2</v>
      </c>
      <c r="AG6">
        <v>-1.0541924238</v>
      </c>
      <c r="AH6">
        <v>-1.9236028200000001E-2</v>
      </c>
      <c r="AI6">
        <v>-0.289603889</v>
      </c>
      <c r="AJ6">
        <v>0.38424462079999999</v>
      </c>
      <c r="AK6">
        <v>1.7785779999999999E-4</v>
      </c>
      <c r="AL6">
        <v>4.2588241399999997E-2</v>
      </c>
      <c r="AM6">
        <v>9.51602161E-2</v>
      </c>
      <c r="AN6">
        <v>0.1105194837</v>
      </c>
      <c r="AO6">
        <v>0.23641644419999999</v>
      </c>
      <c r="AP6">
        <v>0.23641644419999999</v>
      </c>
      <c r="AQ6">
        <v>9.0377669441999995</v>
      </c>
      <c r="AR6" t="s">
        <v>269</v>
      </c>
      <c r="AS6" t="s">
        <v>270</v>
      </c>
      <c r="AT6">
        <v>3</v>
      </c>
      <c r="AU6">
        <v>2.9</v>
      </c>
      <c r="AX6">
        <v>1</v>
      </c>
    </row>
    <row r="7" spans="1:50">
      <c r="A7" t="s">
        <v>596</v>
      </c>
      <c r="B7" t="s">
        <v>597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-1.4782E-5</v>
      </c>
      <c r="R7">
        <v>0.59997510909999996</v>
      </c>
      <c r="S7">
        <v>9.2008695601999992</v>
      </c>
      <c r="T7">
        <v>4.3532705306999997</v>
      </c>
      <c r="U7">
        <v>8.6053791046000008</v>
      </c>
      <c r="V7">
        <v>-9.1884622573999994</v>
      </c>
      <c r="W7">
        <v>2.9552307129000002</v>
      </c>
      <c r="X7">
        <v>-3.0546531677000002</v>
      </c>
      <c r="Y7">
        <v>0.55714559559999999</v>
      </c>
      <c r="Z7">
        <v>-1.6804147959</v>
      </c>
      <c r="AA7">
        <v>-0.78090882299999997</v>
      </c>
      <c r="AB7">
        <v>-2.9837195873</v>
      </c>
      <c r="AC7">
        <v>2.1842377185999999</v>
      </c>
      <c r="AD7">
        <v>-1.6524939537000001</v>
      </c>
      <c r="AE7">
        <v>0.81456506250000005</v>
      </c>
      <c r="AF7">
        <v>-0.92883419990000005</v>
      </c>
      <c r="AG7">
        <v>5.0950646E-3</v>
      </c>
      <c r="AH7">
        <v>-0.62263727189999996</v>
      </c>
      <c r="AI7">
        <v>2.93747187E-2</v>
      </c>
      <c r="AJ7">
        <v>1.9044727099999999E-2</v>
      </c>
      <c r="AK7">
        <v>1.8308220000000001E-4</v>
      </c>
      <c r="AL7">
        <v>4.4058896600000001E-2</v>
      </c>
      <c r="AM7">
        <v>0.1426468045</v>
      </c>
      <c r="AN7">
        <v>0.24628810579999999</v>
      </c>
      <c r="AO7">
        <v>0.29600170250000002</v>
      </c>
      <c r="AP7">
        <v>0.29600170250000002</v>
      </c>
      <c r="AQ7">
        <v>9.2204105546000008</v>
      </c>
      <c r="AR7" t="s">
        <v>269</v>
      </c>
      <c r="AS7" t="s">
        <v>270</v>
      </c>
      <c r="AT7">
        <v>3</v>
      </c>
      <c r="AU7">
        <v>2.9</v>
      </c>
      <c r="AX7">
        <v>1</v>
      </c>
    </row>
    <row r="8" spans="1:50">
      <c r="A8" t="s">
        <v>606</v>
      </c>
      <c r="B8" t="s">
        <v>607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-6.1392799999999999E-5</v>
      </c>
      <c r="R8">
        <v>5.4488306046000003</v>
      </c>
      <c r="S8">
        <v>8.4471549988000003</v>
      </c>
      <c r="T8">
        <v>-3.3377294540000002</v>
      </c>
      <c r="U8">
        <v>4.3993854522999998</v>
      </c>
      <c r="V8">
        <v>-2.4586925506999999</v>
      </c>
      <c r="W8">
        <v>1.5038927794000001</v>
      </c>
      <c r="X8">
        <v>-0.27821266649999998</v>
      </c>
      <c r="Y8">
        <v>3.8003320694</v>
      </c>
      <c r="Z8">
        <v>0.25467592480000001</v>
      </c>
      <c r="AA8">
        <v>1.1995480060999999</v>
      </c>
      <c r="AB8">
        <v>-1.4006748199000001</v>
      </c>
      <c r="AC8">
        <v>0.13380670550000001</v>
      </c>
      <c r="AD8">
        <v>-0.76193249230000004</v>
      </c>
      <c r="AE8">
        <v>-0.95362150670000001</v>
      </c>
      <c r="AF8">
        <v>-1.6250655651000001</v>
      </c>
      <c r="AG8">
        <v>0.31321349739999998</v>
      </c>
      <c r="AH8">
        <v>-0.25485587119999997</v>
      </c>
      <c r="AI8">
        <v>-1.0930874347999999</v>
      </c>
      <c r="AJ8">
        <v>0.202711165</v>
      </c>
      <c r="AK8">
        <v>1.9721530000000001E-4</v>
      </c>
      <c r="AL8">
        <v>4.4058449600000001E-2</v>
      </c>
      <c r="AM8">
        <v>7.2082787800000006E-2</v>
      </c>
      <c r="AN8">
        <v>0.14563259479999999</v>
      </c>
      <c r="AO8">
        <v>0.1676417738</v>
      </c>
      <c r="AP8">
        <v>0.2054618299</v>
      </c>
      <c r="AQ8">
        <v>10.052073543800001</v>
      </c>
      <c r="AR8" t="s">
        <v>269</v>
      </c>
      <c r="AS8" t="s">
        <v>270</v>
      </c>
      <c r="AT8">
        <v>3</v>
      </c>
      <c r="AU8">
        <v>2.9</v>
      </c>
      <c r="AX8">
        <v>1</v>
      </c>
    </row>
    <row r="9" spans="1:50">
      <c r="A9" t="s">
        <v>618</v>
      </c>
      <c r="B9" t="s">
        <v>619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6.1035200000000001E-5</v>
      </c>
      <c r="R9">
        <v>2.9489476681000002</v>
      </c>
      <c r="S9">
        <v>9.2811746596999996</v>
      </c>
      <c r="T9">
        <v>2.5483825207000002</v>
      </c>
      <c r="U9">
        <v>4.7157425880000003</v>
      </c>
      <c r="V9">
        <v>-0.4258286953</v>
      </c>
      <c r="W9">
        <v>1.6022514105000001</v>
      </c>
      <c r="X9">
        <v>0.98330342770000001</v>
      </c>
      <c r="Y9">
        <v>1.0548336506</v>
      </c>
      <c r="Z9">
        <v>1.1013712883</v>
      </c>
      <c r="AA9">
        <v>0.65612363819999997</v>
      </c>
      <c r="AB9">
        <v>-1.5945315361000001</v>
      </c>
      <c r="AC9">
        <v>0.37431573870000001</v>
      </c>
      <c r="AD9">
        <v>-0.91410952810000001</v>
      </c>
      <c r="AE9">
        <v>-1.1662220955</v>
      </c>
      <c r="AF9">
        <v>-0.77643990519999995</v>
      </c>
      <c r="AG9">
        <v>-1.0885413884999999</v>
      </c>
      <c r="AH9">
        <v>-7.9191684700000001E-2</v>
      </c>
      <c r="AI9">
        <v>-0.87067651749999997</v>
      </c>
      <c r="AJ9">
        <v>-0.18282750249999999</v>
      </c>
      <c r="AK9">
        <v>1.6125650000000001E-4</v>
      </c>
      <c r="AL9">
        <v>4.14997265E-2</v>
      </c>
      <c r="AM9">
        <v>4.73299623E-2</v>
      </c>
      <c r="AN9">
        <v>0.13558189570000001</v>
      </c>
      <c r="AO9">
        <v>0.17773415149999999</v>
      </c>
      <c r="AP9">
        <v>0.17773415149999999</v>
      </c>
      <c r="AQ9">
        <v>9.7384031243999996</v>
      </c>
      <c r="AR9" t="s">
        <v>269</v>
      </c>
      <c r="AS9" t="s">
        <v>270</v>
      </c>
      <c r="AT9">
        <v>3</v>
      </c>
      <c r="AU9">
        <v>2.9</v>
      </c>
      <c r="AX9">
        <v>1</v>
      </c>
    </row>
    <row r="10" spans="1:50">
      <c r="A10" t="s">
        <v>639</v>
      </c>
      <c r="B10" t="s">
        <v>640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2.95639E-5</v>
      </c>
      <c r="R10">
        <v>2.4624242782999999</v>
      </c>
      <c r="S10">
        <v>6.0700511932000003</v>
      </c>
      <c r="T10">
        <v>3.2826871872000001</v>
      </c>
      <c r="U10">
        <v>8.7878646851000006</v>
      </c>
      <c r="V10">
        <v>-5.0270900726000001</v>
      </c>
      <c r="W10">
        <v>1.1005842686</v>
      </c>
      <c r="X10">
        <v>1.0407090187000001</v>
      </c>
      <c r="Y10">
        <v>1.6723642349000001</v>
      </c>
      <c r="Z10">
        <v>0.59126353259999997</v>
      </c>
      <c r="AA10">
        <v>-0.31642162800000001</v>
      </c>
      <c r="AB10">
        <v>-2.5648226738000002</v>
      </c>
      <c r="AC10">
        <v>1.1766391993</v>
      </c>
      <c r="AD10">
        <v>-0.36084651950000002</v>
      </c>
      <c r="AE10">
        <v>-1.3635740279999999</v>
      </c>
      <c r="AF10">
        <v>-1.0600116253</v>
      </c>
      <c r="AG10">
        <v>-0.2407411337</v>
      </c>
      <c r="AH10">
        <v>0.2117814422</v>
      </c>
      <c r="AI10">
        <v>-0.23450946810000001</v>
      </c>
      <c r="AJ10">
        <v>0.39644420149999998</v>
      </c>
      <c r="AK10">
        <v>1.9808480000000001E-4</v>
      </c>
      <c r="AL10">
        <v>4.5237064399999999E-2</v>
      </c>
      <c r="AM10">
        <v>7.6808832600000002E-2</v>
      </c>
      <c r="AN10">
        <v>0.1592052877</v>
      </c>
      <c r="AO10">
        <v>0.22662375870000001</v>
      </c>
      <c r="AP10">
        <v>0.22662375870000001</v>
      </c>
      <c r="AQ10">
        <v>6.5505003484</v>
      </c>
      <c r="AR10" t="s">
        <v>269</v>
      </c>
      <c r="AS10" t="s">
        <v>270</v>
      </c>
      <c r="AT10">
        <v>3</v>
      </c>
      <c r="AU10">
        <v>2.9</v>
      </c>
      <c r="AX10">
        <v>1</v>
      </c>
    </row>
    <row r="11" spans="1:50">
      <c r="A11" t="s">
        <v>644</v>
      </c>
      <c r="B11" t="s">
        <v>645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4.1126999999999996E-6</v>
      </c>
      <c r="R11">
        <v>2.7025678158000002</v>
      </c>
      <c r="S11">
        <v>6.0750980377000001</v>
      </c>
      <c r="T11">
        <v>-4.0758070946</v>
      </c>
      <c r="U11">
        <v>-0.2998472452</v>
      </c>
      <c r="V11">
        <v>-5.9840826988</v>
      </c>
      <c r="W11">
        <v>0.25070965290000002</v>
      </c>
      <c r="X11">
        <v>-0.31879210470000002</v>
      </c>
      <c r="Y11">
        <v>3.3254585265999999</v>
      </c>
      <c r="Z11">
        <v>0.131747961</v>
      </c>
      <c r="AA11">
        <v>-4.78544235E-2</v>
      </c>
      <c r="AB11">
        <v>4.5587077699999999E-2</v>
      </c>
      <c r="AC11">
        <v>1.982265234</v>
      </c>
      <c r="AD11">
        <v>-0.51418548819999998</v>
      </c>
      <c r="AE11">
        <v>-0.45687079429999999</v>
      </c>
      <c r="AF11">
        <v>-1.6269490718999999</v>
      </c>
      <c r="AG11">
        <v>-0.53269004819999999</v>
      </c>
      <c r="AH11">
        <v>-0.27899003030000002</v>
      </c>
      <c r="AI11">
        <v>-0.39560741189999998</v>
      </c>
      <c r="AJ11">
        <v>0.44359064100000001</v>
      </c>
      <c r="AK11">
        <v>2.012549E-4</v>
      </c>
      <c r="AL11">
        <v>4.72203083E-2</v>
      </c>
      <c r="AM11">
        <v>0.1112695783</v>
      </c>
      <c r="AN11">
        <v>0.16936533149999999</v>
      </c>
      <c r="AO11">
        <v>0.16936533149999999</v>
      </c>
      <c r="AP11">
        <v>0.17617364229999999</v>
      </c>
      <c r="AQ11">
        <v>6.6491118930999997</v>
      </c>
      <c r="AR11" t="s">
        <v>269</v>
      </c>
      <c r="AS11" t="s">
        <v>270</v>
      </c>
      <c r="AT11">
        <v>3</v>
      </c>
      <c r="AU11">
        <v>2.9</v>
      </c>
      <c r="AX11">
        <v>1</v>
      </c>
    </row>
    <row r="12" spans="1:50">
      <c r="A12" t="s">
        <v>661</v>
      </c>
      <c r="B12" t="s">
        <v>662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1.0728999999999999E-6</v>
      </c>
      <c r="R12">
        <v>-2.74209976E-2</v>
      </c>
      <c r="S12">
        <v>5.7357645035000004</v>
      </c>
      <c r="T12">
        <v>3.6354267597000001</v>
      </c>
      <c r="U12">
        <v>8.1625976562999991</v>
      </c>
      <c r="V12">
        <v>-10.4971513748</v>
      </c>
      <c r="W12">
        <v>3.1535670756999998</v>
      </c>
      <c r="X12">
        <v>3.3505167961</v>
      </c>
      <c r="Y12">
        <v>0.70337128640000002</v>
      </c>
      <c r="Z12">
        <v>0.47794908289999999</v>
      </c>
      <c r="AA12">
        <v>1.3358385562999999</v>
      </c>
      <c r="AB12">
        <v>-2.6280331611999999</v>
      </c>
      <c r="AC12">
        <v>1.9987101555</v>
      </c>
      <c r="AD12">
        <v>-1.0597205162000001</v>
      </c>
      <c r="AE12">
        <v>-1.344052434</v>
      </c>
      <c r="AF12">
        <v>-0.94568014140000001</v>
      </c>
      <c r="AG12">
        <v>-0.2066708803</v>
      </c>
      <c r="AH12">
        <v>-0.42525899410000001</v>
      </c>
      <c r="AI12">
        <v>-0.44054490330000001</v>
      </c>
      <c r="AJ12">
        <v>-0.34168380500000001</v>
      </c>
      <c r="AK12">
        <v>1.684968E-4</v>
      </c>
      <c r="AL12">
        <v>4.10346724E-2</v>
      </c>
      <c r="AM12">
        <v>0.16288462279999999</v>
      </c>
      <c r="AN12">
        <v>0.2127614021</v>
      </c>
      <c r="AO12">
        <v>0.2127614021</v>
      </c>
      <c r="AP12">
        <v>0.2127614021</v>
      </c>
      <c r="AQ12">
        <v>5.7358300489999996</v>
      </c>
      <c r="AR12" t="s">
        <v>269</v>
      </c>
      <c r="AS12" t="s">
        <v>270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656</v>
      </c>
      <c r="K13" t="s">
        <v>657</v>
      </c>
      <c r="L13" t="s">
        <v>658</v>
      </c>
      <c r="M13" t="s">
        <v>659</v>
      </c>
      <c r="N13" t="s">
        <v>660</v>
      </c>
      <c r="O13">
        <v>0</v>
      </c>
      <c r="P13">
        <v>0</v>
      </c>
      <c r="Q13">
        <v>-3.9696700000000002E-5</v>
      </c>
      <c r="R13">
        <v>5.2314243317000004</v>
      </c>
      <c r="S13">
        <v>5.638876915</v>
      </c>
      <c r="T13">
        <v>3.9305381774999999</v>
      </c>
      <c r="U13">
        <v>8.3579015731999995</v>
      </c>
      <c r="V13">
        <v>-0.68534421919999999</v>
      </c>
      <c r="W13">
        <v>0.71233016250000003</v>
      </c>
      <c r="X13">
        <v>0.75149703030000004</v>
      </c>
      <c r="Y13">
        <v>0.67001795770000006</v>
      </c>
      <c r="Z13">
        <v>-1.0050778388999999</v>
      </c>
      <c r="AA13">
        <v>0.7010701895</v>
      </c>
      <c r="AB13">
        <v>-2.8842284678999999</v>
      </c>
      <c r="AC13">
        <v>0.65430539850000002</v>
      </c>
      <c r="AD13">
        <v>-0.2113308012</v>
      </c>
      <c r="AE13">
        <v>-0.62885391710000005</v>
      </c>
      <c r="AF13">
        <v>-1.1610774993999999</v>
      </c>
      <c r="AG13">
        <v>0.20043659210000001</v>
      </c>
      <c r="AH13">
        <v>0.41990911959999999</v>
      </c>
      <c r="AI13">
        <v>4.1666031000000001E-3</v>
      </c>
      <c r="AJ13">
        <v>3.51002365E-2</v>
      </c>
      <c r="AK13">
        <v>1.4694799999999999E-4</v>
      </c>
      <c r="AL13">
        <v>4.0686465800000002E-2</v>
      </c>
      <c r="AM13">
        <v>7.0729441899999995E-2</v>
      </c>
      <c r="AN13">
        <v>9.1213665900000004E-2</v>
      </c>
      <c r="AO13">
        <v>0.23262995480000001</v>
      </c>
      <c r="AP13">
        <v>0.23262995480000001</v>
      </c>
      <c r="AQ13">
        <v>7.6918615042000003</v>
      </c>
      <c r="AR13" t="s">
        <v>269</v>
      </c>
      <c r="AS13" t="s">
        <v>270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284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-8.2111436950000005</v>
      </c>
      <c r="R2">
        <v>-56</v>
      </c>
      <c r="S2">
        <v>84.1858859405</v>
      </c>
      <c r="T2">
        <v>112.2665189966</v>
      </c>
      <c r="U2">
        <v>3.4481684925999998</v>
      </c>
      <c r="V2">
        <v>2.9027320999999999E-3</v>
      </c>
      <c r="W2">
        <v>-6.6947399999999995E-5</v>
      </c>
      <c r="X2">
        <v>3.2812507422000001</v>
      </c>
      <c r="Y2">
        <v>83.959043834799999</v>
      </c>
      <c r="Z2">
        <v>64.343276759099993</v>
      </c>
      <c r="AA2">
        <v>317.52413645540003</v>
      </c>
      <c r="AB2">
        <v>339.54894048720001</v>
      </c>
      <c r="AC2">
        <v>1</v>
      </c>
      <c r="AF2">
        <v>1</v>
      </c>
    </row>
    <row r="3" spans="1:32">
      <c r="A3" t="s">
        <v>285</v>
      </c>
      <c r="B3" t="s">
        <v>286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-10.557184750699999</v>
      </c>
      <c r="R3">
        <v>-72</v>
      </c>
      <c r="S3">
        <v>75.745681745499994</v>
      </c>
      <c r="T3">
        <v>113.3225339403</v>
      </c>
      <c r="U3">
        <v>3.6067681042999999</v>
      </c>
      <c r="V3">
        <v>3.6347251000000001E-3</v>
      </c>
      <c r="W3">
        <v>-8.1044099999999999E-5</v>
      </c>
      <c r="X3">
        <v>3.4123546604000001</v>
      </c>
      <c r="Y3">
        <v>75.728960109599996</v>
      </c>
      <c r="Z3">
        <v>58.172022993100001</v>
      </c>
      <c r="AA3">
        <v>337.1656309201</v>
      </c>
      <c r="AB3">
        <v>358.85629714660001</v>
      </c>
      <c r="AC3">
        <v>1</v>
      </c>
      <c r="AF3">
        <v>1</v>
      </c>
    </row>
    <row r="4" spans="1:32">
      <c r="A4" t="s">
        <v>558</v>
      </c>
      <c r="B4" t="s">
        <v>560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-8.2111436950000005</v>
      </c>
      <c r="R4">
        <v>-56</v>
      </c>
      <c r="S4">
        <v>86.469149527499994</v>
      </c>
      <c r="T4">
        <v>115.4979409588</v>
      </c>
      <c r="U4">
        <v>3.5675336588</v>
      </c>
      <c r="V4">
        <v>3.2963487E-3</v>
      </c>
      <c r="W4">
        <v>-7.6750900000000004E-5</v>
      </c>
      <c r="X4">
        <v>3.3741813271000001</v>
      </c>
      <c r="Y4">
        <v>85.722068197699997</v>
      </c>
      <c r="Z4">
        <v>65.929720143300003</v>
      </c>
      <c r="AA4">
        <v>325.30617841259999</v>
      </c>
      <c r="AB4">
        <v>346.89463490600002</v>
      </c>
      <c r="AC4">
        <v>1</v>
      </c>
      <c r="AF4">
        <v>1</v>
      </c>
    </row>
    <row r="5" spans="1:32">
      <c r="A5" t="s">
        <v>570</v>
      </c>
      <c r="B5" t="s">
        <v>572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-9.3841642229000009</v>
      </c>
      <c r="R5">
        <v>-64</v>
      </c>
      <c r="S5">
        <v>81.296323421699995</v>
      </c>
      <c r="T5">
        <v>115.4114898588</v>
      </c>
      <c r="U5">
        <v>3.6706145376000001</v>
      </c>
      <c r="V5">
        <v>3.0381557000000001E-3</v>
      </c>
      <c r="W5">
        <v>-7.6156799999999996E-5</v>
      </c>
      <c r="X5">
        <v>3.4640203396000002</v>
      </c>
      <c r="Y5">
        <v>80.982045631899993</v>
      </c>
      <c r="Z5">
        <v>64.242307446200002</v>
      </c>
      <c r="AA5">
        <v>338.29552259510001</v>
      </c>
      <c r="AB5">
        <v>360.04978263499999</v>
      </c>
      <c r="AC5">
        <v>1</v>
      </c>
      <c r="AF5">
        <v>1</v>
      </c>
    </row>
    <row r="6" spans="1:32">
      <c r="A6" t="s">
        <v>582</v>
      </c>
      <c r="B6" t="s">
        <v>583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-10.557184750699999</v>
      </c>
      <c r="R6">
        <v>-72</v>
      </c>
      <c r="S6">
        <v>82.186990721000001</v>
      </c>
      <c r="T6">
        <v>121.6399435555</v>
      </c>
      <c r="U6">
        <v>3.7860087490000001</v>
      </c>
      <c r="V6">
        <v>3.6890134999999998E-3</v>
      </c>
      <c r="W6">
        <v>-8.9649300000000002E-5</v>
      </c>
      <c r="X6">
        <v>3.5685273371999999</v>
      </c>
      <c r="Y6">
        <v>81.437563322000003</v>
      </c>
      <c r="Z6">
        <v>60.7669820781</v>
      </c>
      <c r="AA6">
        <v>343.89826208839997</v>
      </c>
      <c r="AB6">
        <v>365.94602570159998</v>
      </c>
      <c r="AC6">
        <v>1</v>
      </c>
      <c r="AF6">
        <v>1</v>
      </c>
    </row>
    <row r="7" spans="1:32">
      <c r="A7" t="s">
        <v>596</v>
      </c>
      <c r="B7" t="s">
        <v>598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-10.557184750699999</v>
      </c>
      <c r="R7">
        <v>-72</v>
      </c>
      <c r="S7">
        <v>73.811892710699993</v>
      </c>
      <c r="T7">
        <v>111.8120928001</v>
      </c>
      <c r="U7">
        <v>3.6500936595</v>
      </c>
      <c r="V7">
        <v>3.9226167999999997E-3</v>
      </c>
      <c r="W7">
        <v>-8.2710899999999994E-5</v>
      </c>
      <c r="X7">
        <v>3.4651824208000002</v>
      </c>
      <c r="Y7">
        <v>73.803376525600001</v>
      </c>
      <c r="Z7">
        <v>58.767171876399999</v>
      </c>
      <c r="AA7">
        <v>342.43329521129999</v>
      </c>
      <c r="AB7">
        <v>364.16716442590001</v>
      </c>
      <c r="AC7">
        <v>1</v>
      </c>
      <c r="AF7">
        <v>1</v>
      </c>
    </row>
    <row r="8" spans="1:32">
      <c r="A8" t="s">
        <v>606</v>
      </c>
      <c r="B8" t="s">
        <v>608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-7.0381231672000002</v>
      </c>
      <c r="R8">
        <v>-48</v>
      </c>
      <c r="S8">
        <v>94.994549159900004</v>
      </c>
      <c r="T8">
        <v>119.8816353743</v>
      </c>
      <c r="U8">
        <v>3.5630092554999999</v>
      </c>
      <c r="V8">
        <v>3.3144236000000001E-3</v>
      </c>
      <c r="W8">
        <v>-7.3518799999999998E-5</v>
      </c>
      <c r="X8">
        <v>3.3896726794999998</v>
      </c>
      <c r="Y8">
        <v>94.784661717399999</v>
      </c>
      <c r="Z8">
        <v>77.7577360935</v>
      </c>
      <c r="AA8">
        <v>323.18008116409999</v>
      </c>
      <c r="AB8">
        <v>345.44986708329998</v>
      </c>
      <c r="AC8">
        <v>1</v>
      </c>
      <c r="AF8">
        <v>1</v>
      </c>
    </row>
    <row r="9" spans="1:32">
      <c r="A9" t="s">
        <v>618</v>
      </c>
      <c r="B9" t="s">
        <v>620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-8.2111436950000005</v>
      </c>
      <c r="R9">
        <v>-56</v>
      </c>
      <c r="S9">
        <v>81.873136516000002</v>
      </c>
      <c r="T9">
        <v>111.5587746408</v>
      </c>
      <c r="U9">
        <v>3.6468149506</v>
      </c>
      <c r="V9">
        <v>3.1911481E-3</v>
      </c>
      <c r="W9">
        <v>-7.8984000000000001E-5</v>
      </c>
      <c r="X9">
        <v>3.4484002890999998</v>
      </c>
      <c r="Y9">
        <v>81.412898209800005</v>
      </c>
      <c r="Z9">
        <v>59.961441899299999</v>
      </c>
      <c r="AA9">
        <v>325.24829993520001</v>
      </c>
      <c r="AB9">
        <v>347.06114194819997</v>
      </c>
      <c r="AC9">
        <v>1</v>
      </c>
      <c r="AF9">
        <v>1</v>
      </c>
    </row>
    <row r="10" spans="1:32">
      <c r="A10" t="s">
        <v>639</v>
      </c>
      <c r="B10" t="s">
        <v>641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-9.3841642229000009</v>
      </c>
      <c r="R10">
        <v>-64</v>
      </c>
      <c r="S10">
        <v>78.258567145900003</v>
      </c>
      <c r="T10">
        <v>111.15640208560001</v>
      </c>
      <c r="U10">
        <v>3.5522645130999999</v>
      </c>
      <c r="V10">
        <v>4.1867555000000001E-3</v>
      </c>
      <c r="W10">
        <v>-8.2893100000000001E-5</v>
      </c>
      <c r="X10">
        <v>3.3984918623999998</v>
      </c>
      <c r="Y10">
        <v>78.242579546200005</v>
      </c>
      <c r="Z10">
        <v>61.415608774900001</v>
      </c>
      <c r="AA10">
        <v>325.19998024149999</v>
      </c>
      <c r="AB10">
        <v>347.006091846</v>
      </c>
      <c r="AC10">
        <v>1</v>
      </c>
      <c r="AF10">
        <v>1</v>
      </c>
    </row>
    <row r="11" spans="1:32">
      <c r="A11" t="s">
        <v>644</v>
      </c>
      <c r="B11" t="s">
        <v>646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-8.2111436950000005</v>
      </c>
      <c r="R11">
        <v>-56</v>
      </c>
      <c r="S11">
        <v>85.973124253999998</v>
      </c>
      <c r="T11">
        <v>115.02588788760001</v>
      </c>
      <c r="U11">
        <v>3.5647367098</v>
      </c>
      <c r="V11">
        <v>2.6693117E-3</v>
      </c>
      <c r="W11">
        <v>-6.8330499999999999E-5</v>
      </c>
      <c r="X11">
        <v>3.3606121195999998</v>
      </c>
      <c r="Y11">
        <v>85.459041151400001</v>
      </c>
      <c r="Z11">
        <v>66.205645030100001</v>
      </c>
      <c r="AA11">
        <v>331.64826078670001</v>
      </c>
      <c r="AB11">
        <v>353.78294222779999</v>
      </c>
      <c r="AC11">
        <v>1</v>
      </c>
      <c r="AF11">
        <v>1</v>
      </c>
    </row>
    <row r="12" spans="1:32">
      <c r="A12" t="s">
        <v>661</v>
      </c>
      <c r="B12" t="s">
        <v>663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-9.3841642229000009</v>
      </c>
      <c r="R12">
        <v>-64</v>
      </c>
      <c r="S12">
        <v>81.228115138600003</v>
      </c>
      <c r="T12">
        <v>114.87656122049999</v>
      </c>
      <c r="U12">
        <v>3.6227947928000002</v>
      </c>
      <c r="V12">
        <v>3.2036997999999998E-3</v>
      </c>
      <c r="W12">
        <v>-8.0263499999999995E-5</v>
      </c>
      <c r="X12">
        <v>3.4220378141999999</v>
      </c>
      <c r="Y12">
        <v>81.205911191300004</v>
      </c>
      <c r="Z12">
        <v>62.618904613300003</v>
      </c>
      <c r="AA12">
        <v>326.52249889609999</v>
      </c>
      <c r="AB12">
        <v>348.16237828229998</v>
      </c>
      <c r="AC12">
        <v>1</v>
      </c>
      <c r="AF12">
        <v>1</v>
      </c>
    </row>
    <row r="13" spans="1:32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656</v>
      </c>
      <c r="K13" t="s">
        <v>657</v>
      </c>
      <c r="L13" t="s">
        <v>658</v>
      </c>
      <c r="M13" t="s">
        <v>659</v>
      </c>
      <c r="N13" t="s">
        <v>660</v>
      </c>
      <c r="O13">
        <v>0</v>
      </c>
      <c r="P13">
        <v>0</v>
      </c>
      <c r="Q13">
        <v>-9.3841642229000009</v>
      </c>
      <c r="R13">
        <v>-64</v>
      </c>
      <c r="S13">
        <v>78.184035116700002</v>
      </c>
      <c r="T13">
        <v>111.7324456777</v>
      </c>
      <c r="U13">
        <v>3.6031012062999999</v>
      </c>
      <c r="V13">
        <v>2.3676166000000001E-3</v>
      </c>
      <c r="W13">
        <v>-6.6777600000000002E-5</v>
      </c>
      <c r="X13">
        <v>3.3669156765000001</v>
      </c>
      <c r="Y13">
        <v>74.047164711700006</v>
      </c>
      <c r="Z13">
        <v>55.454077911900001</v>
      </c>
      <c r="AA13">
        <v>343.69975726799998</v>
      </c>
      <c r="AB13">
        <v>365.35312059509999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287</v>
      </c>
      <c r="R1" t="s">
        <v>288</v>
      </c>
      <c r="S1" t="s">
        <v>289</v>
      </c>
      <c r="T1" t="s">
        <v>290</v>
      </c>
      <c r="U1" t="s">
        <v>291</v>
      </c>
      <c r="V1" t="s">
        <v>292</v>
      </c>
      <c r="W1" t="s">
        <v>293</v>
      </c>
      <c r="X1" t="s">
        <v>294</v>
      </c>
      <c r="Y1" t="s">
        <v>295</v>
      </c>
      <c r="Z1" t="s">
        <v>296</v>
      </c>
      <c r="AA1" t="s">
        <v>297</v>
      </c>
      <c r="AB1" t="s">
        <v>298</v>
      </c>
      <c r="AC1" t="s">
        <v>299</v>
      </c>
      <c r="AD1" t="s">
        <v>300</v>
      </c>
      <c r="AE1" t="s">
        <v>301</v>
      </c>
      <c r="AF1" t="s">
        <v>302</v>
      </c>
      <c r="AG1" t="s">
        <v>303</v>
      </c>
      <c r="AH1" t="s">
        <v>304</v>
      </c>
      <c r="AI1" t="s">
        <v>305</v>
      </c>
      <c r="AJ1" t="s">
        <v>306</v>
      </c>
      <c r="AK1" t="s">
        <v>307</v>
      </c>
      <c r="AL1" t="s">
        <v>308</v>
      </c>
      <c r="AM1" t="s">
        <v>309</v>
      </c>
      <c r="AN1" t="s">
        <v>310</v>
      </c>
      <c r="AO1" t="s">
        <v>311</v>
      </c>
      <c r="AP1" t="s">
        <v>312</v>
      </c>
      <c r="AQ1" t="s">
        <v>313</v>
      </c>
      <c r="AR1" t="s">
        <v>314</v>
      </c>
      <c r="AS1" t="s">
        <v>315</v>
      </c>
      <c r="AT1" t="s">
        <v>316</v>
      </c>
      <c r="AU1" t="s">
        <v>317</v>
      </c>
      <c r="AV1" t="s">
        <v>318</v>
      </c>
      <c r="AW1" t="s">
        <v>319</v>
      </c>
      <c r="AX1" t="s">
        <v>320</v>
      </c>
      <c r="AY1" t="s">
        <v>321</v>
      </c>
      <c r="AZ1" t="s">
        <v>322</v>
      </c>
      <c r="BA1" t="s">
        <v>323</v>
      </c>
      <c r="BB1" t="s">
        <v>324</v>
      </c>
      <c r="BC1" t="s">
        <v>325</v>
      </c>
      <c r="BD1" t="s">
        <v>326</v>
      </c>
      <c r="BE1" t="s">
        <v>327</v>
      </c>
      <c r="BF1" t="s">
        <v>328</v>
      </c>
      <c r="BG1" t="s">
        <v>329</v>
      </c>
      <c r="BH1" t="s">
        <v>330</v>
      </c>
      <c r="BI1" t="s">
        <v>331</v>
      </c>
      <c r="BJ1" t="s">
        <v>332</v>
      </c>
      <c r="BK1" t="s">
        <v>333</v>
      </c>
      <c r="BL1" t="s">
        <v>334</v>
      </c>
      <c r="BM1" t="s">
        <v>335</v>
      </c>
      <c r="BN1" t="s">
        <v>336</v>
      </c>
      <c r="BO1" t="s">
        <v>337</v>
      </c>
      <c r="BP1" t="s">
        <v>338</v>
      </c>
      <c r="BQ1" t="s">
        <v>339</v>
      </c>
      <c r="BR1" t="s">
        <v>340</v>
      </c>
      <c r="BS1" t="s">
        <v>341</v>
      </c>
      <c r="BT1" t="s">
        <v>342</v>
      </c>
      <c r="BU1" t="s">
        <v>343</v>
      </c>
      <c r="BV1" t="s">
        <v>344</v>
      </c>
      <c r="BW1" t="s">
        <v>345</v>
      </c>
      <c r="BX1" t="s">
        <v>346</v>
      </c>
      <c r="BY1" t="s">
        <v>347</v>
      </c>
      <c r="BZ1" t="s">
        <v>348</v>
      </c>
      <c r="CA1" t="s">
        <v>349</v>
      </c>
      <c r="CB1" t="s">
        <v>350</v>
      </c>
      <c r="CC1" t="s">
        <v>351</v>
      </c>
      <c r="CD1" t="s">
        <v>352</v>
      </c>
      <c r="CE1" t="s">
        <v>353</v>
      </c>
      <c r="CF1" t="s">
        <v>354</v>
      </c>
      <c r="CG1" t="s">
        <v>355</v>
      </c>
      <c r="CH1" t="s">
        <v>356</v>
      </c>
      <c r="CI1" t="s">
        <v>357</v>
      </c>
      <c r="CJ1" t="s">
        <v>358</v>
      </c>
      <c r="CK1" t="s">
        <v>359</v>
      </c>
      <c r="CL1" t="s">
        <v>360</v>
      </c>
      <c r="CM1" t="s">
        <v>361</v>
      </c>
      <c r="CN1" t="s">
        <v>362</v>
      </c>
      <c r="CO1" t="s">
        <v>363</v>
      </c>
      <c r="CP1" t="s">
        <v>364</v>
      </c>
      <c r="CQ1" t="s">
        <v>365</v>
      </c>
      <c r="CR1" t="s">
        <v>366</v>
      </c>
      <c r="CS1" t="s">
        <v>367</v>
      </c>
      <c r="CT1" t="s">
        <v>368</v>
      </c>
      <c r="CU1" t="s">
        <v>369</v>
      </c>
      <c r="CV1" t="s">
        <v>370</v>
      </c>
      <c r="CW1" t="s">
        <v>371</v>
      </c>
      <c r="CX1" t="s">
        <v>372</v>
      </c>
      <c r="CY1" t="s">
        <v>373</v>
      </c>
      <c r="CZ1" t="s">
        <v>374</v>
      </c>
      <c r="DA1" t="s">
        <v>375</v>
      </c>
      <c r="DB1" t="s">
        <v>376</v>
      </c>
      <c r="DC1" t="s">
        <v>377</v>
      </c>
      <c r="DD1" t="s">
        <v>378</v>
      </c>
      <c r="DE1" t="s">
        <v>379</v>
      </c>
      <c r="DF1" t="s">
        <v>380</v>
      </c>
      <c r="DG1" t="s">
        <v>381</v>
      </c>
      <c r="DH1" t="s">
        <v>382</v>
      </c>
      <c r="DI1" t="s">
        <v>383</v>
      </c>
      <c r="DJ1" t="s">
        <v>384</v>
      </c>
      <c r="DK1" t="s">
        <v>385</v>
      </c>
      <c r="DL1" t="s">
        <v>386</v>
      </c>
      <c r="DM1" t="s">
        <v>387</v>
      </c>
      <c r="DN1" t="s">
        <v>388</v>
      </c>
      <c r="DO1" t="s">
        <v>389</v>
      </c>
      <c r="DP1" t="s">
        <v>390</v>
      </c>
      <c r="DQ1" t="s">
        <v>391</v>
      </c>
      <c r="DR1" t="s">
        <v>392</v>
      </c>
      <c r="DS1" t="s">
        <v>393</v>
      </c>
      <c r="DT1" t="s">
        <v>394</v>
      </c>
      <c r="DU1" t="s">
        <v>395</v>
      </c>
      <c r="DV1" t="s">
        <v>396</v>
      </c>
      <c r="DW1" t="s">
        <v>397</v>
      </c>
      <c r="DX1" t="s">
        <v>398</v>
      </c>
      <c r="DY1" t="s">
        <v>399</v>
      </c>
      <c r="DZ1" t="s">
        <v>400</v>
      </c>
      <c r="EA1" t="s">
        <v>401</v>
      </c>
      <c r="EB1" t="s">
        <v>402</v>
      </c>
      <c r="EC1" t="s">
        <v>403</v>
      </c>
      <c r="ED1" t="s">
        <v>404</v>
      </c>
      <c r="EE1" t="s">
        <v>405</v>
      </c>
      <c r="EF1" t="s">
        <v>406</v>
      </c>
      <c r="EG1" t="s">
        <v>407</v>
      </c>
      <c r="EH1" t="s">
        <v>408</v>
      </c>
      <c r="EI1" t="s">
        <v>409</v>
      </c>
      <c r="EJ1" t="s">
        <v>410</v>
      </c>
      <c r="EK1" t="s">
        <v>411</v>
      </c>
      <c r="EL1" t="s">
        <v>412</v>
      </c>
      <c r="EM1" t="s">
        <v>413</v>
      </c>
      <c r="EN1" t="s">
        <v>414</v>
      </c>
      <c r="EO1" t="s">
        <v>415</v>
      </c>
      <c r="EP1" t="s">
        <v>416</v>
      </c>
      <c r="EQ1" t="s">
        <v>417</v>
      </c>
      <c r="ER1" t="s">
        <v>418</v>
      </c>
      <c r="ES1" t="s">
        <v>419</v>
      </c>
      <c r="ET1" t="s">
        <v>420</v>
      </c>
      <c r="EU1" t="s">
        <v>421</v>
      </c>
      <c r="EV1" t="s">
        <v>422</v>
      </c>
      <c r="EW1" t="s">
        <v>423</v>
      </c>
      <c r="EX1" t="s">
        <v>424</v>
      </c>
      <c r="EY1" t="s">
        <v>425</v>
      </c>
      <c r="EZ1" t="s">
        <v>426</v>
      </c>
      <c r="FA1" t="s">
        <v>427</v>
      </c>
      <c r="FB1" t="s">
        <v>428</v>
      </c>
      <c r="FC1" t="s">
        <v>429</v>
      </c>
      <c r="FD1" t="s">
        <v>430</v>
      </c>
      <c r="FE1" t="s">
        <v>431</v>
      </c>
      <c r="FF1" t="s">
        <v>432</v>
      </c>
      <c r="FG1" t="s">
        <v>433</v>
      </c>
      <c r="FH1" t="s">
        <v>434</v>
      </c>
      <c r="FI1" t="s">
        <v>435</v>
      </c>
      <c r="FJ1" t="s">
        <v>436</v>
      </c>
      <c r="FK1" t="s">
        <v>437</v>
      </c>
      <c r="FL1" t="s">
        <v>438</v>
      </c>
      <c r="FM1" t="s">
        <v>439</v>
      </c>
      <c r="FN1" t="s">
        <v>440</v>
      </c>
      <c r="FO1" t="s">
        <v>441</v>
      </c>
      <c r="FP1" t="s">
        <v>442</v>
      </c>
      <c r="FQ1" t="s">
        <v>443</v>
      </c>
      <c r="FR1" t="s">
        <v>444</v>
      </c>
      <c r="FS1" t="s">
        <v>445</v>
      </c>
      <c r="FT1" t="s">
        <v>446</v>
      </c>
      <c r="FU1" t="s">
        <v>447</v>
      </c>
      <c r="FV1" t="s">
        <v>448</v>
      </c>
      <c r="FW1" t="s">
        <v>449</v>
      </c>
      <c r="FX1" t="s">
        <v>450</v>
      </c>
      <c r="FY1" t="s">
        <v>451</v>
      </c>
      <c r="FZ1" t="s">
        <v>452</v>
      </c>
      <c r="GA1" t="s">
        <v>453</v>
      </c>
      <c r="GB1" t="s">
        <v>454</v>
      </c>
      <c r="GC1" t="s">
        <v>455</v>
      </c>
      <c r="GD1" t="s">
        <v>456</v>
      </c>
      <c r="GE1" t="s">
        <v>457</v>
      </c>
      <c r="GF1" t="s">
        <v>458</v>
      </c>
      <c r="GG1" t="s">
        <v>459</v>
      </c>
      <c r="GH1" t="s">
        <v>460</v>
      </c>
      <c r="GI1" t="s">
        <v>461</v>
      </c>
      <c r="GJ1" t="s">
        <v>462</v>
      </c>
      <c r="GK1" t="s">
        <v>463</v>
      </c>
      <c r="GL1" t="s">
        <v>464</v>
      </c>
      <c r="GM1" t="s">
        <v>465</v>
      </c>
      <c r="GN1" t="s">
        <v>466</v>
      </c>
      <c r="GO1" t="s">
        <v>467</v>
      </c>
      <c r="GP1" t="s">
        <v>468</v>
      </c>
      <c r="GQ1" t="s">
        <v>469</v>
      </c>
      <c r="GR1" t="s">
        <v>470</v>
      </c>
      <c r="GS1" t="s">
        <v>471</v>
      </c>
      <c r="GT1" t="s">
        <v>472</v>
      </c>
      <c r="GU1" t="s">
        <v>473</v>
      </c>
      <c r="GV1" t="s">
        <v>474</v>
      </c>
      <c r="GW1" t="s">
        <v>475</v>
      </c>
      <c r="GX1" t="s">
        <v>476</v>
      </c>
      <c r="GY1" t="s">
        <v>477</v>
      </c>
      <c r="GZ1" t="s">
        <v>478</v>
      </c>
      <c r="HA1" t="s">
        <v>479</v>
      </c>
      <c r="HB1" t="s">
        <v>480</v>
      </c>
      <c r="HC1" t="s">
        <v>481</v>
      </c>
      <c r="HD1" t="s">
        <v>482</v>
      </c>
      <c r="HE1" t="s">
        <v>483</v>
      </c>
      <c r="HF1" t="s">
        <v>484</v>
      </c>
      <c r="HG1" t="s">
        <v>485</v>
      </c>
      <c r="HH1" t="s">
        <v>486</v>
      </c>
      <c r="HI1" t="s">
        <v>487</v>
      </c>
      <c r="HJ1" t="s">
        <v>488</v>
      </c>
      <c r="HK1" t="s">
        <v>489</v>
      </c>
      <c r="HL1" t="s">
        <v>490</v>
      </c>
      <c r="HM1" t="s">
        <v>491</v>
      </c>
      <c r="HN1" t="s">
        <v>492</v>
      </c>
      <c r="HO1" t="s">
        <v>493</v>
      </c>
      <c r="HP1" t="s">
        <v>494</v>
      </c>
      <c r="HQ1" t="s">
        <v>495</v>
      </c>
      <c r="HR1" t="s">
        <v>496</v>
      </c>
      <c r="HS1" t="s">
        <v>497</v>
      </c>
      <c r="HT1" t="s">
        <v>498</v>
      </c>
      <c r="HU1" t="s">
        <v>499</v>
      </c>
      <c r="HV1" t="s">
        <v>500</v>
      </c>
      <c r="HW1" t="s">
        <v>501</v>
      </c>
      <c r="HX1" t="s">
        <v>502</v>
      </c>
      <c r="HY1" t="s">
        <v>503</v>
      </c>
      <c r="HZ1" t="s">
        <v>504</v>
      </c>
      <c r="IA1" t="s">
        <v>505</v>
      </c>
      <c r="IB1" t="s">
        <v>506</v>
      </c>
      <c r="IC1" t="s">
        <v>507</v>
      </c>
      <c r="ID1" t="s">
        <v>508</v>
      </c>
      <c r="IE1" t="s">
        <v>509</v>
      </c>
      <c r="IF1" t="s">
        <v>510</v>
      </c>
      <c r="IG1" t="s">
        <v>511</v>
      </c>
      <c r="IH1" t="s">
        <v>512</v>
      </c>
      <c r="II1" t="s">
        <v>513</v>
      </c>
      <c r="IJ1" t="s">
        <v>514</v>
      </c>
      <c r="IK1" t="s">
        <v>515</v>
      </c>
      <c r="IL1" t="s">
        <v>516</v>
      </c>
      <c r="IM1" t="s">
        <v>517</v>
      </c>
      <c r="IN1" t="s">
        <v>518</v>
      </c>
      <c r="IO1" t="s">
        <v>519</v>
      </c>
      <c r="IP1" t="s">
        <v>520</v>
      </c>
      <c r="IQ1" t="s">
        <v>521</v>
      </c>
      <c r="IR1" t="s">
        <v>522</v>
      </c>
      <c r="IS1" t="s">
        <v>523</v>
      </c>
      <c r="IT1" t="s">
        <v>524</v>
      </c>
      <c r="IU1" t="s">
        <v>525</v>
      </c>
      <c r="IV1" t="s">
        <v>526</v>
      </c>
      <c r="IW1" t="s">
        <v>527</v>
      </c>
      <c r="IX1" t="s">
        <v>528</v>
      </c>
      <c r="IY1" t="s">
        <v>529</v>
      </c>
      <c r="IZ1" t="s">
        <v>530</v>
      </c>
      <c r="JA1" t="s">
        <v>531</v>
      </c>
      <c r="JB1" t="s">
        <v>532</v>
      </c>
      <c r="JC1" t="s">
        <v>533</v>
      </c>
      <c r="JD1" t="s">
        <v>534</v>
      </c>
      <c r="JE1" t="s">
        <v>535</v>
      </c>
      <c r="JF1" t="s">
        <v>536</v>
      </c>
      <c r="JG1" t="s">
        <v>537</v>
      </c>
      <c r="JH1" t="s">
        <v>538</v>
      </c>
      <c r="JI1" t="s">
        <v>539</v>
      </c>
      <c r="JJ1" t="s">
        <v>540</v>
      </c>
      <c r="JK1" t="s">
        <v>278</v>
      </c>
      <c r="JL1" t="s">
        <v>541</v>
      </c>
      <c r="JM1" t="s">
        <v>542</v>
      </c>
      <c r="JN1" t="s">
        <v>543</v>
      </c>
      <c r="JO1" t="s">
        <v>207</v>
      </c>
      <c r="JP1" t="s">
        <v>208</v>
      </c>
      <c r="JQ1" t="s">
        <v>209</v>
      </c>
    </row>
    <row r="2" spans="1:277">
      <c r="A2" t="s">
        <v>544</v>
      </c>
      <c r="B2" t="s">
        <v>545</v>
      </c>
      <c r="C2" t="s">
        <v>212</v>
      </c>
      <c r="D2">
        <v>3</v>
      </c>
      <c r="E2" t="s">
        <v>213</v>
      </c>
      <c r="F2" t="s">
        <v>214</v>
      </c>
      <c r="G2" t="s">
        <v>546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0.89999999900000005</v>
      </c>
      <c r="R2">
        <v>9.9999999000000006E-2</v>
      </c>
      <c r="S2">
        <v>9.9999999000000006E-2</v>
      </c>
      <c r="T2">
        <v>9.9999999000000006E-2</v>
      </c>
      <c r="U2">
        <v>9.9999999000000006E-2</v>
      </c>
      <c r="V2">
        <v>0</v>
      </c>
      <c r="W2">
        <v>9.9999999000000006E-2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0.2</v>
      </c>
      <c r="AH2">
        <v>2.3999999989999998</v>
      </c>
      <c r="AI2">
        <v>6.7999999989999997</v>
      </c>
      <c r="AJ2">
        <v>12.6</v>
      </c>
      <c r="AK2">
        <v>19.2</v>
      </c>
      <c r="AL2">
        <v>25.6</v>
      </c>
      <c r="AM2">
        <v>32.700000000000003</v>
      </c>
      <c r="AN2">
        <v>40</v>
      </c>
      <c r="AO2">
        <v>47.6</v>
      </c>
      <c r="AP2">
        <v>55.2</v>
      </c>
      <c r="AQ2">
        <v>62.4</v>
      </c>
      <c r="AR2">
        <v>69.900000000000006</v>
      </c>
      <c r="AS2">
        <v>77.099999999999994</v>
      </c>
      <c r="AT2">
        <v>84.8</v>
      </c>
      <c r="AU2">
        <v>92.7</v>
      </c>
      <c r="AV2">
        <v>100.9</v>
      </c>
      <c r="AW2">
        <v>108.7</v>
      </c>
      <c r="AX2">
        <v>116.7</v>
      </c>
      <c r="AY2">
        <v>124.4</v>
      </c>
      <c r="AZ2">
        <v>132.1</v>
      </c>
      <c r="BA2">
        <v>140.1</v>
      </c>
      <c r="BB2">
        <v>148.30000000000001</v>
      </c>
      <c r="BC2">
        <v>156.5</v>
      </c>
      <c r="BD2">
        <v>164.4</v>
      </c>
      <c r="BE2">
        <v>172.4</v>
      </c>
      <c r="BF2">
        <v>179.9</v>
      </c>
      <c r="BG2">
        <v>187.8</v>
      </c>
      <c r="BH2">
        <v>196.1</v>
      </c>
      <c r="BI2">
        <v>204.2</v>
      </c>
      <c r="BJ2">
        <v>212.1</v>
      </c>
      <c r="BK2">
        <v>219.8</v>
      </c>
      <c r="BL2">
        <v>227.4</v>
      </c>
      <c r="BM2">
        <v>234.8</v>
      </c>
      <c r="BN2">
        <v>242.6</v>
      </c>
      <c r="BO2">
        <v>250.3</v>
      </c>
      <c r="BP2">
        <v>258.2</v>
      </c>
      <c r="BQ2">
        <v>265.5</v>
      </c>
      <c r="BR2">
        <v>272.89999999999998</v>
      </c>
      <c r="BS2">
        <v>279.89999999999998</v>
      </c>
      <c r="BT2">
        <v>286.8</v>
      </c>
      <c r="BU2">
        <v>294.2</v>
      </c>
      <c r="BV2">
        <v>301.39999999999998</v>
      </c>
      <c r="BW2">
        <v>308.60000000000002</v>
      </c>
      <c r="BX2">
        <v>315.39999999999998</v>
      </c>
      <c r="BY2">
        <v>322.10000000000002</v>
      </c>
      <c r="BZ2">
        <v>328.7</v>
      </c>
      <c r="CA2">
        <v>334.9</v>
      </c>
      <c r="CB2">
        <v>341.6</v>
      </c>
      <c r="CC2">
        <v>348.3</v>
      </c>
      <c r="CD2">
        <v>354.8</v>
      </c>
      <c r="CE2">
        <v>361.3</v>
      </c>
      <c r="CF2">
        <v>367.4</v>
      </c>
      <c r="CG2">
        <v>373.3</v>
      </c>
      <c r="CH2">
        <v>379.2</v>
      </c>
      <c r="CI2">
        <v>384.7</v>
      </c>
      <c r="CJ2">
        <v>390.6</v>
      </c>
      <c r="CK2">
        <v>396.5</v>
      </c>
      <c r="CL2">
        <v>402.2</v>
      </c>
      <c r="CM2">
        <v>407.9</v>
      </c>
      <c r="CN2">
        <v>413.6</v>
      </c>
      <c r="CO2">
        <v>418.9</v>
      </c>
      <c r="CP2">
        <v>424</v>
      </c>
      <c r="CQ2">
        <v>429.3</v>
      </c>
      <c r="CR2">
        <v>434.1</v>
      </c>
      <c r="CS2">
        <v>438.4</v>
      </c>
      <c r="CT2">
        <v>442.7</v>
      </c>
      <c r="CU2">
        <v>445.7</v>
      </c>
      <c r="CV2">
        <v>446.4</v>
      </c>
      <c r="CW2">
        <v>446.4</v>
      </c>
      <c r="CX2">
        <v>446.4</v>
      </c>
      <c r="CY2">
        <v>446.4</v>
      </c>
      <c r="CZ2">
        <v>446.5</v>
      </c>
      <c r="DA2">
        <v>446.5</v>
      </c>
      <c r="DB2">
        <v>446.5</v>
      </c>
      <c r="DC2">
        <v>446.5</v>
      </c>
      <c r="DD2">
        <v>446.5</v>
      </c>
      <c r="DE2">
        <v>446.5</v>
      </c>
      <c r="DF2">
        <v>446.5</v>
      </c>
      <c r="DG2">
        <v>1.6</v>
      </c>
      <c r="DH2">
        <v>1</v>
      </c>
      <c r="DI2">
        <v>1</v>
      </c>
      <c r="DJ2">
        <v>1</v>
      </c>
      <c r="DK2">
        <v>1</v>
      </c>
      <c r="DL2">
        <v>1.1000000000000001</v>
      </c>
      <c r="DM2">
        <v>1.1000000000000001</v>
      </c>
      <c r="DN2">
        <v>1.1000000000000001</v>
      </c>
      <c r="DO2">
        <v>1.1000000000000001</v>
      </c>
      <c r="DP2">
        <v>1</v>
      </c>
      <c r="DQ2">
        <v>1</v>
      </c>
      <c r="DR2">
        <v>0.89999999900000005</v>
      </c>
      <c r="DS2">
        <v>0.8</v>
      </c>
      <c r="DT2">
        <v>0.89999999900000005</v>
      </c>
      <c r="DU2">
        <v>1</v>
      </c>
      <c r="DV2">
        <v>1.6999999990000001</v>
      </c>
      <c r="DW2">
        <v>4.9000000000000004</v>
      </c>
      <c r="DX2">
        <v>10.3</v>
      </c>
      <c r="DY2">
        <v>17.2</v>
      </c>
      <c r="DZ2">
        <v>23.8</v>
      </c>
      <c r="EA2">
        <v>30.7</v>
      </c>
      <c r="EB2">
        <v>38</v>
      </c>
      <c r="EC2">
        <v>45.5</v>
      </c>
      <c r="ED2">
        <v>53</v>
      </c>
      <c r="EE2">
        <v>60.5</v>
      </c>
      <c r="EF2">
        <v>67.7</v>
      </c>
      <c r="EG2">
        <v>75.099999999999994</v>
      </c>
      <c r="EH2">
        <v>82.5</v>
      </c>
      <c r="EI2">
        <v>90.5</v>
      </c>
      <c r="EJ2">
        <v>98.4</v>
      </c>
      <c r="EK2">
        <v>106.3</v>
      </c>
      <c r="EL2">
        <v>113.9</v>
      </c>
      <c r="EM2">
        <v>121.9</v>
      </c>
      <c r="EN2">
        <v>129.4</v>
      </c>
      <c r="EO2">
        <v>137.4</v>
      </c>
      <c r="EP2">
        <v>145.69999999999999</v>
      </c>
      <c r="EQ2">
        <v>154.1</v>
      </c>
      <c r="ER2">
        <v>162</v>
      </c>
      <c r="ES2">
        <v>169.8</v>
      </c>
      <c r="ET2">
        <v>177.6</v>
      </c>
      <c r="EU2">
        <v>185.4</v>
      </c>
      <c r="EV2">
        <v>193.8</v>
      </c>
      <c r="EW2">
        <v>202</v>
      </c>
      <c r="EX2">
        <v>210.1</v>
      </c>
      <c r="EY2">
        <v>217.9</v>
      </c>
      <c r="EZ2">
        <v>225.6</v>
      </c>
      <c r="FA2">
        <v>233.2</v>
      </c>
      <c r="FB2">
        <v>240.9</v>
      </c>
      <c r="FC2">
        <v>248.9</v>
      </c>
      <c r="FD2">
        <v>256.8</v>
      </c>
      <c r="FE2">
        <v>264.39999999999998</v>
      </c>
      <c r="FF2">
        <v>271.8</v>
      </c>
      <c r="FG2">
        <v>279.10000000000002</v>
      </c>
      <c r="FH2">
        <v>286.10000000000002</v>
      </c>
      <c r="FI2">
        <v>293.60000000000002</v>
      </c>
      <c r="FJ2">
        <v>300.89999999999998</v>
      </c>
      <c r="FK2">
        <v>308.3</v>
      </c>
      <c r="FL2">
        <v>315.3</v>
      </c>
      <c r="FM2">
        <v>322.10000000000002</v>
      </c>
      <c r="FN2">
        <v>328.8</v>
      </c>
      <c r="FO2">
        <v>335.1</v>
      </c>
      <c r="FP2">
        <v>341.8</v>
      </c>
      <c r="FQ2">
        <v>348.6</v>
      </c>
      <c r="FR2">
        <v>355.2</v>
      </c>
      <c r="FS2">
        <v>361.8</v>
      </c>
      <c r="FT2">
        <v>367.9</v>
      </c>
      <c r="FU2">
        <v>374</v>
      </c>
      <c r="FV2">
        <v>379.9</v>
      </c>
      <c r="FW2">
        <v>385.4</v>
      </c>
      <c r="FX2">
        <v>391.3</v>
      </c>
      <c r="FY2">
        <v>397.4</v>
      </c>
      <c r="FZ2">
        <v>403.1</v>
      </c>
      <c r="GA2">
        <v>408.7</v>
      </c>
      <c r="GB2">
        <v>414.2</v>
      </c>
      <c r="GC2">
        <v>419.5</v>
      </c>
      <c r="GD2">
        <v>424.4</v>
      </c>
      <c r="GE2">
        <v>429.4</v>
      </c>
      <c r="GF2">
        <v>433.9</v>
      </c>
      <c r="GG2">
        <v>437.8</v>
      </c>
      <c r="GH2">
        <v>441.4</v>
      </c>
      <c r="GI2">
        <v>444.9</v>
      </c>
      <c r="GJ2">
        <v>446.3</v>
      </c>
      <c r="GK2">
        <v>446.3</v>
      </c>
      <c r="GL2">
        <v>446.3</v>
      </c>
      <c r="GM2">
        <v>446.4</v>
      </c>
      <c r="GN2">
        <v>446.4</v>
      </c>
      <c r="GO2">
        <v>446.4</v>
      </c>
      <c r="GP2">
        <v>446.4</v>
      </c>
      <c r="GQ2">
        <v>446.5</v>
      </c>
      <c r="GR2">
        <v>446.4</v>
      </c>
      <c r="GS2">
        <v>446.5</v>
      </c>
      <c r="GT2">
        <v>446.4</v>
      </c>
      <c r="GU2">
        <v>446.5</v>
      </c>
      <c r="GV2">
        <v>446.5</v>
      </c>
      <c r="GW2">
        <v>1</v>
      </c>
      <c r="GX2">
        <v>113.6</v>
      </c>
      <c r="GY2">
        <v>108.7</v>
      </c>
      <c r="GZ2">
        <v>108.7</v>
      </c>
      <c r="HA2">
        <v>121.9</v>
      </c>
      <c r="HB2">
        <v>112.108645</v>
      </c>
      <c r="HC2">
        <v>-13.2</v>
      </c>
      <c r="HD2">
        <v>446.5</v>
      </c>
      <c r="HE2">
        <v>289.60137739999999</v>
      </c>
      <c r="HF2">
        <v>92.266035830000007</v>
      </c>
      <c r="HG2">
        <v>446.5</v>
      </c>
      <c r="HH2">
        <v>446.5</v>
      </c>
      <c r="HI2">
        <v>446.5</v>
      </c>
      <c r="HJ2">
        <v>446.5</v>
      </c>
      <c r="HK2">
        <v>114.9560117</v>
      </c>
      <c r="HL2">
        <v>3.2812507420000001</v>
      </c>
      <c r="HM2">
        <v>3.1647295600000001</v>
      </c>
      <c r="HN2">
        <v>3.2057079499999999</v>
      </c>
      <c r="HO2">
        <v>3.125550085</v>
      </c>
      <c r="HP2">
        <v>3.4481684929999998</v>
      </c>
      <c r="HQ2">
        <v>2.2980028940000001</v>
      </c>
      <c r="HR2">
        <v>19.84260918</v>
      </c>
      <c r="HS2">
        <v>-28.152492670000001</v>
      </c>
      <c r="HT2">
        <v>-192</v>
      </c>
      <c r="HU2">
        <v>401.71002240000001</v>
      </c>
      <c r="HV2">
        <v>91.49560117</v>
      </c>
      <c r="HW2">
        <v>624</v>
      </c>
      <c r="HX2">
        <v>19.84260918</v>
      </c>
      <c r="HY2">
        <v>-28.152492670000001</v>
      </c>
      <c r="HZ2">
        <v>-192</v>
      </c>
      <c r="IA2">
        <v>401.71002240000001</v>
      </c>
      <c r="IB2">
        <v>91.49560117</v>
      </c>
      <c r="IC2">
        <v>624</v>
      </c>
      <c r="ID2">
        <v>44.7899776</v>
      </c>
      <c r="IE2">
        <v>0.22684210599999999</v>
      </c>
      <c r="IF2">
        <v>-37.536656890000003</v>
      </c>
      <c r="IG2">
        <v>-256</v>
      </c>
      <c r="IH2">
        <v>423.73482639999997</v>
      </c>
      <c r="II2">
        <v>100.8797654</v>
      </c>
      <c r="IJ2">
        <v>688</v>
      </c>
      <c r="IK2">
        <v>381.86741319999999</v>
      </c>
      <c r="IL2">
        <v>119.6480938</v>
      </c>
      <c r="IM2">
        <v>406.0911534</v>
      </c>
      <c r="IN2">
        <v>129.03225810000001</v>
      </c>
      <c r="IO2">
        <v>6.9</v>
      </c>
      <c r="IP2">
        <v>5.7</v>
      </c>
      <c r="IQ2">
        <v>8.4000000010000004</v>
      </c>
      <c r="IR2">
        <v>5.2196930359999998</v>
      </c>
      <c r="IS2">
        <v>5.2196930359999998</v>
      </c>
      <c r="IT2">
        <v>11.2</v>
      </c>
      <c r="IU2">
        <v>-30.498533720000001</v>
      </c>
      <c r="IV2">
        <v>14.2</v>
      </c>
      <c r="IW2">
        <v>23.46041056</v>
      </c>
      <c r="IX2">
        <v>11.6</v>
      </c>
      <c r="IY2">
        <v>98.533724340000006</v>
      </c>
      <c r="IZ2">
        <v>-34.658542109999999</v>
      </c>
      <c r="JA2">
        <v>0.33901352800000001</v>
      </c>
      <c r="JB2">
        <v>-3.3735599999999997E-4</v>
      </c>
      <c r="JC2">
        <v>6.8400000000000004E-7</v>
      </c>
      <c r="JD2">
        <v>0.30476183600000001</v>
      </c>
      <c r="JE2">
        <v>0.15575787899999999</v>
      </c>
      <c r="JF2">
        <v>6.6695493999999994E-2</v>
      </c>
      <c r="JG2">
        <v>112.266519</v>
      </c>
      <c r="JH2">
        <v>3.4481684929999998</v>
      </c>
      <c r="JI2">
        <v>2.9027319999999999E-3</v>
      </c>
      <c r="JJ2">
        <v>-6.6947399999999995E-5</v>
      </c>
      <c r="JK2">
        <v>3.2812507420000001</v>
      </c>
      <c r="JL2">
        <v>0.92959788399999999</v>
      </c>
      <c r="JM2">
        <v>0.351007495</v>
      </c>
      <c r="JN2" t="s">
        <v>547</v>
      </c>
      <c r="JQ2">
        <v>1</v>
      </c>
    </row>
    <row r="3" spans="1:277">
      <c r="A3" t="s">
        <v>548</v>
      </c>
      <c r="B3" t="s">
        <v>549</v>
      </c>
      <c r="C3" t="s">
        <v>212</v>
      </c>
      <c r="D3">
        <v>3</v>
      </c>
      <c r="E3" t="s">
        <v>213</v>
      </c>
      <c r="F3" t="s">
        <v>214</v>
      </c>
      <c r="G3" t="s">
        <v>546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0.60000000099999995</v>
      </c>
      <c r="R3">
        <v>1.1000000009999999</v>
      </c>
      <c r="S3">
        <v>1.1000000009999999</v>
      </c>
      <c r="T3">
        <v>1.200000001</v>
      </c>
      <c r="U3">
        <v>1.200000001</v>
      </c>
      <c r="V3">
        <v>1.200000001</v>
      </c>
      <c r="W3">
        <v>1.200000001</v>
      </c>
      <c r="X3">
        <v>1.300000002</v>
      </c>
      <c r="Y3">
        <v>1.300000002</v>
      </c>
      <c r="Z3">
        <v>1.400000001</v>
      </c>
      <c r="AA3">
        <v>1.400000001</v>
      </c>
      <c r="AB3">
        <v>1.700000001</v>
      </c>
      <c r="AC3">
        <v>1.900000001</v>
      </c>
      <c r="AD3">
        <v>1.700000001</v>
      </c>
      <c r="AE3">
        <v>1.200000001</v>
      </c>
      <c r="AF3">
        <v>0.30000000199999999</v>
      </c>
      <c r="AG3">
        <v>0</v>
      </c>
      <c r="AH3">
        <v>0.40000000099999999</v>
      </c>
      <c r="AI3">
        <v>3.6</v>
      </c>
      <c r="AJ3">
        <v>10.3</v>
      </c>
      <c r="AK3">
        <v>16.8</v>
      </c>
      <c r="AL3">
        <v>23.2</v>
      </c>
      <c r="AM3">
        <v>30.9</v>
      </c>
      <c r="AN3">
        <v>38.9</v>
      </c>
      <c r="AO3">
        <v>46</v>
      </c>
      <c r="AP3">
        <v>53.1</v>
      </c>
      <c r="AQ3">
        <v>60.8</v>
      </c>
      <c r="AR3">
        <v>68.400000000000006</v>
      </c>
      <c r="AS3">
        <v>75.7</v>
      </c>
      <c r="AT3">
        <v>84.1</v>
      </c>
      <c r="AU3">
        <v>92.6</v>
      </c>
      <c r="AV3">
        <v>100.3</v>
      </c>
      <c r="AW3">
        <v>108.3</v>
      </c>
      <c r="AX3">
        <v>117.3</v>
      </c>
      <c r="AY3">
        <v>125.4</v>
      </c>
      <c r="AZ3">
        <v>134.30000000000001</v>
      </c>
      <c r="BA3">
        <v>142.6</v>
      </c>
      <c r="BB3">
        <v>150.5</v>
      </c>
      <c r="BC3">
        <v>158.5</v>
      </c>
      <c r="BD3">
        <v>167</v>
      </c>
      <c r="BE3">
        <v>175.8</v>
      </c>
      <c r="BF3">
        <v>184</v>
      </c>
      <c r="BG3">
        <v>192.2</v>
      </c>
      <c r="BH3">
        <v>200.5</v>
      </c>
      <c r="BI3">
        <v>208.3</v>
      </c>
      <c r="BJ3">
        <v>216.4</v>
      </c>
      <c r="BK3">
        <v>224.9</v>
      </c>
      <c r="BL3">
        <v>233.2</v>
      </c>
      <c r="BM3">
        <v>240.9</v>
      </c>
      <c r="BN3">
        <v>248.9</v>
      </c>
      <c r="BO3">
        <v>256.7</v>
      </c>
      <c r="BP3">
        <v>264.3</v>
      </c>
      <c r="BQ3">
        <v>272.2</v>
      </c>
      <c r="BR3">
        <v>280.2</v>
      </c>
      <c r="BS3">
        <v>287.60000000000002</v>
      </c>
      <c r="BT3">
        <v>294.7</v>
      </c>
      <c r="BU3">
        <v>302.2</v>
      </c>
      <c r="BV3">
        <v>309.3</v>
      </c>
      <c r="BW3">
        <v>316.2</v>
      </c>
      <c r="BX3">
        <v>323.39999999999998</v>
      </c>
      <c r="BY3">
        <v>330.6</v>
      </c>
      <c r="BZ3">
        <v>337.4</v>
      </c>
      <c r="CA3">
        <v>343.7</v>
      </c>
      <c r="CB3">
        <v>350.4</v>
      </c>
      <c r="CC3">
        <v>357</v>
      </c>
      <c r="CD3">
        <v>363.2</v>
      </c>
      <c r="CE3">
        <v>369.3</v>
      </c>
      <c r="CF3">
        <v>375.7</v>
      </c>
      <c r="CG3">
        <v>382</v>
      </c>
      <c r="CH3">
        <v>388.1</v>
      </c>
      <c r="CI3">
        <v>393.7</v>
      </c>
      <c r="CJ3">
        <v>399.4</v>
      </c>
      <c r="CK3">
        <v>405.2</v>
      </c>
      <c r="CL3">
        <v>410.9</v>
      </c>
      <c r="CM3">
        <v>416.2</v>
      </c>
      <c r="CN3">
        <v>421.6</v>
      </c>
      <c r="CO3">
        <v>426.9</v>
      </c>
      <c r="CP3">
        <v>432.4</v>
      </c>
      <c r="CQ3">
        <v>437.8</v>
      </c>
      <c r="CR3">
        <v>443.2</v>
      </c>
      <c r="CS3">
        <v>448.5</v>
      </c>
      <c r="CT3">
        <v>452.9</v>
      </c>
      <c r="CU3">
        <v>454.6</v>
      </c>
      <c r="CV3">
        <v>454.6</v>
      </c>
      <c r="CW3">
        <v>454.7</v>
      </c>
      <c r="CX3">
        <v>454.7</v>
      </c>
      <c r="CY3">
        <v>454.7</v>
      </c>
      <c r="CZ3">
        <v>454.6</v>
      </c>
      <c r="DA3">
        <v>454.7</v>
      </c>
      <c r="DB3">
        <v>454.7</v>
      </c>
      <c r="DC3">
        <v>454.8</v>
      </c>
      <c r="DD3">
        <v>454.8</v>
      </c>
      <c r="DE3">
        <v>454.7</v>
      </c>
      <c r="DF3">
        <v>454.8</v>
      </c>
      <c r="DG3">
        <v>1.6000000009999999</v>
      </c>
      <c r="DH3">
        <v>2.2000000009999998</v>
      </c>
      <c r="DI3">
        <v>2.2000000009999998</v>
      </c>
      <c r="DJ3">
        <v>2.2999999999999998</v>
      </c>
      <c r="DK3">
        <v>2.2999999999999998</v>
      </c>
      <c r="DL3">
        <v>2.2999999999999998</v>
      </c>
      <c r="DM3">
        <v>2.400000001</v>
      </c>
      <c r="DN3">
        <v>2.5000000010000001</v>
      </c>
      <c r="DO3">
        <v>2.6000000019999998</v>
      </c>
      <c r="DP3">
        <v>2.6000000019999998</v>
      </c>
      <c r="DQ3">
        <v>2.8</v>
      </c>
      <c r="DR3">
        <v>2.900000001</v>
      </c>
      <c r="DS3">
        <v>2.7000000009999998</v>
      </c>
      <c r="DT3">
        <v>1.900000001</v>
      </c>
      <c r="DU3">
        <v>1.200000001</v>
      </c>
      <c r="DV3">
        <v>1.300000002</v>
      </c>
      <c r="DW3">
        <v>3.9000000020000001</v>
      </c>
      <c r="DX3">
        <v>9.9000000010000004</v>
      </c>
      <c r="DY3">
        <v>16.2</v>
      </c>
      <c r="DZ3">
        <v>23.9</v>
      </c>
      <c r="EA3">
        <v>31.4</v>
      </c>
      <c r="EB3">
        <v>38.6</v>
      </c>
      <c r="EC3">
        <v>45.9</v>
      </c>
      <c r="ED3">
        <v>52.8</v>
      </c>
      <c r="EE3">
        <v>60.5</v>
      </c>
      <c r="EF3">
        <v>67.599999999999994</v>
      </c>
      <c r="EG3">
        <v>76.2</v>
      </c>
      <c r="EH3">
        <v>84.1</v>
      </c>
      <c r="EI3">
        <v>91.9</v>
      </c>
      <c r="EJ3">
        <v>99.5</v>
      </c>
      <c r="EK3">
        <v>107.2</v>
      </c>
      <c r="EL3">
        <v>115.4</v>
      </c>
      <c r="EM3">
        <v>124.6</v>
      </c>
      <c r="EN3">
        <v>133.6</v>
      </c>
      <c r="EO3">
        <v>142</v>
      </c>
      <c r="EP3">
        <v>150.1</v>
      </c>
      <c r="EQ3">
        <v>158</v>
      </c>
      <c r="ER3">
        <v>166.5</v>
      </c>
      <c r="ES3">
        <v>175.2</v>
      </c>
      <c r="ET3">
        <v>183.5</v>
      </c>
      <c r="EU3">
        <v>191.8</v>
      </c>
      <c r="EV3">
        <v>200.2</v>
      </c>
      <c r="EW3">
        <v>208.2</v>
      </c>
      <c r="EX3">
        <v>216.5</v>
      </c>
      <c r="EY3">
        <v>225.1</v>
      </c>
      <c r="EZ3">
        <v>233.4</v>
      </c>
      <c r="FA3">
        <v>241.3</v>
      </c>
      <c r="FB3">
        <v>249.4</v>
      </c>
      <c r="FC3">
        <v>257.3</v>
      </c>
      <c r="FD3">
        <v>265.10000000000002</v>
      </c>
      <c r="FE3">
        <v>273.2</v>
      </c>
      <c r="FF3">
        <v>281.2</v>
      </c>
      <c r="FG3">
        <v>288.7</v>
      </c>
      <c r="FH3">
        <v>296.2</v>
      </c>
      <c r="FI3">
        <v>303.89999999999998</v>
      </c>
      <c r="FJ3">
        <v>311.2</v>
      </c>
      <c r="FK3">
        <v>318.39999999999998</v>
      </c>
      <c r="FL3">
        <v>325.8</v>
      </c>
      <c r="FM3">
        <v>333.1</v>
      </c>
      <c r="FN3">
        <v>339.9</v>
      </c>
      <c r="FO3">
        <v>346.5</v>
      </c>
      <c r="FP3">
        <v>353.3</v>
      </c>
      <c r="FQ3">
        <v>360</v>
      </c>
      <c r="FR3">
        <v>366.3</v>
      </c>
      <c r="FS3">
        <v>372.7</v>
      </c>
      <c r="FT3">
        <v>379.2</v>
      </c>
      <c r="FU3">
        <v>385.5</v>
      </c>
      <c r="FV3">
        <v>391.5</v>
      </c>
      <c r="FW3">
        <v>397.1</v>
      </c>
      <c r="FX3">
        <v>403</v>
      </c>
      <c r="FY3">
        <v>408.8</v>
      </c>
      <c r="FZ3">
        <v>414.5</v>
      </c>
      <c r="GA3">
        <v>419.7</v>
      </c>
      <c r="GB3">
        <v>425.1</v>
      </c>
      <c r="GC3">
        <v>430.3</v>
      </c>
      <c r="GD3">
        <v>435.4</v>
      </c>
      <c r="GE3">
        <v>440.2</v>
      </c>
      <c r="GF3">
        <v>444.8</v>
      </c>
      <c r="GG3">
        <v>449.6</v>
      </c>
      <c r="GH3">
        <v>453.2</v>
      </c>
      <c r="GI3">
        <v>454.6</v>
      </c>
      <c r="GJ3">
        <v>454.7</v>
      </c>
      <c r="GK3">
        <v>454.7</v>
      </c>
      <c r="GL3">
        <v>454.7</v>
      </c>
      <c r="GM3">
        <v>454.8</v>
      </c>
      <c r="GN3">
        <v>454.7</v>
      </c>
      <c r="GO3">
        <v>454.7</v>
      </c>
      <c r="GP3">
        <v>454.6</v>
      </c>
      <c r="GQ3">
        <v>454.7</v>
      </c>
      <c r="GR3">
        <v>454.6</v>
      </c>
      <c r="GS3">
        <v>454.7</v>
      </c>
      <c r="GT3">
        <v>454.7</v>
      </c>
      <c r="GU3">
        <v>454.8</v>
      </c>
      <c r="GV3">
        <v>454.8</v>
      </c>
      <c r="GW3">
        <v>1</v>
      </c>
      <c r="GX3">
        <v>115.1</v>
      </c>
      <c r="GY3">
        <v>108.3</v>
      </c>
      <c r="GZ3">
        <v>108.3</v>
      </c>
      <c r="HA3">
        <v>124.6</v>
      </c>
      <c r="HB3">
        <v>112.4735598</v>
      </c>
      <c r="HC3">
        <v>-16.3</v>
      </c>
      <c r="HD3">
        <v>454.8</v>
      </c>
      <c r="HE3">
        <v>300.43775290000002</v>
      </c>
      <c r="HF3">
        <v>94.899901060000005</v>
      </c>
      <c r="HG3">
        <v>454.8</v>
      </c>
      <c r="HH3">
        <v>454.8</v>
      </c>
      <c r="HI3">
        <v>454.8</v>
      </c>
      <c r="HJ3">
        <v>454.8</v>
      </c>
      <c r="HK3">
        <v>112.60997070000001</v>
      </c>
      <c r="HL3">
        <v>3.4123546600000001</v>
      </c>
      <c r="HM3">
        <v>3.239925376</v>
      </c>
      <c r="HN3">
        <v>3.3213268020000002</v>
      </c>
      <c r="HO3">
        <v>3.2094174459999998</v>
      </c>
      <c r="HP3">
        <v>3.6067681039999999</v>
      </c>
      <c r="HQ3">
        <v>2.2365233070000001</v>
      </c>
      <c r="HR3">
        <v>17.57365875</v>
      </c>
      <c r="HS3">
        <v>-28.152492670000001</v>
      </c>
      <c r="HT3">
        <v>-192</v>
      </c>
      <c r="HU3">
        <v>412.9113127</v>
      </c>
      <c r="HV3">
        <v>91.49560117</v>
      </c>
      <c r="HW3">
        <v>624</v>
      </c>
      <c r="HX3">
        <v>17.57365875</v>
      </c>
      <c r="HY3">
        <v>-28.152492670000001</v>
      </c>
      <c r="HZ3">
        <v>-192</v>
      </c>
      <c r="IA3">
        <v>412.9113127</v>
      </c>
      <c r="IB3">
        <v>91.49560117</v>
      </c>
      <c r="IC3">
        <v>624</v>
      </c>
      <c r="ID3">
        <v>41.888687339999997</v>
      </c>
      <c r="IE3">
        <v>1.6721636000000002E-2</v>
      </c>
      <c r="IF3">
        <v>-37.536656890000003</v>
      </c>
      <c r="IG3">
        <v>-256</v>
      </c>
      <c r="IH3">
        <v>434.60197890000001</v>
      </c>
      <c r="II3">
        <v>100.8797654</v>
      </c>
      <c r="IJ3">
        <v>688</v>
      </c>
      <c r="IK3">
        <v>395.33765390000002</v>
      </c>
      <c r="IL3">
        <v>119.6480938</v>
      </c>
      <c r="IM3">
        <v>420.07673699999998</v>
      </c>
      <c r="IN3">
        <v>129.03225810000001</v>
      </c>
      <c r="IO3">
        <v>6.7000000020000003</v>
      </c>
      <c r="IP3">
        <v>5.5000000010000001</v>
      </c>
      <c r="IQ3">
        <v>9.1999999999999993</v>
      </c>
      <c r="IR3">
        <v>6.2833803250000004</v>
      </c>
      <c r="IS3">
        <v>6.2833803250000004</v>
      </c>
      <c r="IT3">
        <v>13.6</v>
      </c>
      <c r="IU3">
        <v>-30.498533720000001</v>
      </c>
      <c r="IV3">
        <v>17</v>
      </c>
      <c r="IW3">
        <v>30.498533720000001</v>
      </c>
      <c r="IX3">
        <v>13.3</v>
      </c>
      <c r="IY3">
        <v>103.2258065</v>
      </c>
      <c r="IZ3">
        <v>-33.764953089999999</v>
      </c>
      <c r="JA3">
        <v>0.331729987</v>
      </c>
      <c r="JB3">
        <v>-3.6780299999999999E-4</v>
      </c>
      <c r="JC3">
        <v>7.2289999999999999E-7</v>
      </c>
      <c r="JD3">
        <v>0.29305277400000002</v>
      </c>
      <c r="JE3">
        <v>0.207753518</v>
      </c>
      <c r="JF3">
        <v>8.4953126000000004E-2</v>
      </c>
      <c r="JG3">
        <v>113.3225339</v>
      </c>
      <c r="JH3">
        <v>3.6067681039999999</v>
      </c>
      <c r="JI3">
        <v>3.6347250000000001E-3</v>
      </c>
      <c r="JJ3">
        <v>-8.1044099999999999E-5</v>
      </c>
      <c r="JK3">
        <v>3.4123546600000001</v>
      </c>
      <c r="JL3">
        <v>1.2331861470000001</v>
      </c>
      <c r="JM3">
        <v>0.52232283999999995</v>
      </c>
      <c r="JN3" t="s">
        <v>547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546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1</v>
      </c>
      <c r="R4">
        <v>0</v>
      </c>
      <c r="S4">
        <v>9.9999999000000006E-2</v>
      </c>
      <c r="T4">
        <v>0</v>
      </c>
      <c r="U4">
        <v>9.9999999000000006E-2</v>
      </c>
      <c r="V4">
        <v>9.9999999000000006E-2</v>
      </c>
      <c r="W4">
        <v>0</v>
      </c>
      <c r="X4">
        <v>9.9999999000000006E-2</v>
      </c>
      <c r="Y4">
        <v>9.9999999000000006E-2</v>
      </c>
      <c r="Z4">
        <v>9.9999999000000006E-2</v>
      </c>
      <c r="AA4">
        <v>9.9999999000000006E-2</v>
      </c>
      <c r="AB4">
        <v>0.2</v>
      </c>
      <c r="AC4">
        <v>0.2</v>
      </c>
      <c r="AD4">
        <v>9.9999999000000006E-2</v>
      </c>
      <c r="AE4">
        <v>0.2</v>
      </c>
      <c r="AF4">
        <v>9.9999999000000006E-2</v>
      </c>
      <c r="AG4">
        <v>0.70000000100000004</v>
      </c>
      <c r="AH4">
        <v>3.1</v>
      </c>
      <c r="AI4">
        <v>7.2</v>
      </c>
      <c r="AJ4">
        <v>13</v>
      </c>
      <c r="AK4">
        <v>19.7</v>
      </c>
      <c r="AL4">
        <v>26.5</v>
      </c>
      <c r="AM4">
        <v>33.700000000000003</v>
      </c>
      <c r="AN4">
        <v>40.6</v>
      </c>
      <c r="AO4">
        <v>47.9</v>
      </c>
      <c r="AP4">
        <v>55.6</v>
      </c>
      <c r="AQ4">
        <v>63.5</v>
      </c>
      <c r="AR4">
        <v>71.3</v>
      </c>
      <c r="AS4">
        <v>79.5</v>
      </c>
      <c r="AT4">
        <v>87.3</v>
      </c>
      <c r="AU4">
        <v>94.5</v>
      </c>
      <c r="AV4">
        <v>102.3</v>
      </c>
      <c r="AW4">
        <v>110.6</v>
      </c>
      <c r="AX4">
        <v>119.4</v>
      </c>
      <c r="AY4">
        <v>128.1</v>
      </c>
      <c r="AZ4">
        <v>136.19999999999999</v>
      </c>
      <c r="BA4">
        <v>144.19999999999999</v>
      </c>
      <c r="BB4">
        <v>152</v>
      </c>
      <c r="BC4">
        <v>160.1</v>
      </c>
      <c r="BD4">
        <v>168.8</v>
      </c>
      <c r="BE4">
        <v>177.5</v>
      </c>
      <c r="BF4">
        <v>185.7</v>
      </c>
      <c r="BG4">
        <v>193.6</v>
      </c>
      <c r="BH4">
        <v>201.2</v>
      </c>
      <c r="BI4">
        <v>209</v>
      </c>
      <c r="BJ4">
        <v>217.7</v>
      </c>
      <c r="BK4">
        <v>226.3</v>
      </c>
      <c r="BL4">
        <v>234.2</v>
      </c>
      <c r="BM4">
        <v>241.8</v>
      </c>
      <c r="BN4">
        <v>249.4</v>
      </c>
      <c r="BO4">
        <v>257</v>
      </c>
      <c r="BP4">
        <v>264.5</v>
      </c>
      <c r="BQ4">
        <v>272.89999999999998</v>
      </c>
      <c r="BR4">
        <v>280.60000000000002</v>
      </c>
      <c r="BS4">
        <v>288</v>
      </c>
      <c r="BT4">
        <v>295.10000000000002</v>
      </c>
      <c r="BU4">
        <v>302.2</v>
      </c>
      <c r="BV4">
        <v>309</v>
      </c>
      <c r="BW4">
        <v>316.2</v>
      </c>
      <c r="BX4">
        <v>323.8</v>
      </c>
      <c r="BY4">
        <v>330.7</v>
      </c>
      <c r="BZ4">
        <v>337.4</v>
      </c>
      <c r="CA4">
        <v>343.8</v>
      </c>
      <c r="CB4">
        <v>350.1</v>
      </c>
      <c r="CC4">
        <v>356.6</v>
      </c>
      <c r="CD4">
        <v>362.6</v>
      </c>
      <c r="CE4">
        <v>369.1</v>
      </c>
      <c r="CF4">
        <v>375.7</v>
      </c>
      <c r="CG4">
        <v>381.9</v>
      </c>
      <c r="CH4">
        <v>387.7</v>
      </c>
      <c r="CI4">
        <v>393.4</v>
      </c>
      <c r="CJ4">
        <v>398.9</v>
      </c>
      <c r="CK4">
        <v>404.7</v>
      </c>
      <c r="CL4">
        <v>410.4</v>
      </c>
      <c r="CM4">
        <v>416</v>
      </c>
      <c r="CN4">
        <v>421.3</v>
      </c>
      <c r="CO4">
        <v>426.8</v>
      </c>
      <c r="CP4">
        <v>432</v>
      </c>
      <c r="CQ4">
        <v>437.2</v>
      </c>
      <c r="CR4">
        <v>442.3</v>
      </c>
      <c r="CS4">
        <v>447.3</v>
      </c>
      <c r="CT4">
        <v>451.8</v>
      </c>
      <c r="CU4">
        <v>455.9</v>
      </c>
      <c r="CV4">
        <v>457.4</v>
      </c>
      <c r="CW4">
        <v>457.5</v>
      </c>
      <c r="CX4">
        <v>457.5</v>
      </c>
      <c r="CY4">
        <v>457.5</v>
      </c>
      <c r="CZ4">
        <v>457.5</v>
      </c>
      <c r="DA4">
        <v>457.5</v>
      </c>
      <c r="DB4">
        <v>457.5</v>
      </c>
      <c r="DC4">
        <v>457.5</v>
      </c>
      <c r="DD4">
        <v>457.4</v>
      </c>
      <c r="DE4">
        <v>457.4</v>
      </c>
      <c r="DF4">
        <v>457.4</v>
      </c>
      <c r="DG4">
        <v>1.6</v>
      </c>
      <c r="DH4">
        <v>1.1000000000000001</v>
      </c>
      <c r="DI4">
        <v>1.200000001</v>
      </c>
      <c r="DJ4">
        <v>1.1000000000000001</v>
      </c>
      <c r="DK4">
        <v>1.1000000000000001</v>
      </c>
      <c r="DL4">
        <v>1.1000000000000001</v>
      </c>
      <c r="DM4">
        <v>1.1000000000000001</v>
      </c>
      <c r="DN4">
        <v>1.1000000000000001</v>
      </c>
      <c r="DO4">
        <v>1.1000000000000001</v>
      </c>
      <c r="DP4">
        <v>1.1000000000000001</v>
      </c>
      <c r="DQ4">
        <v>1.1000000000000001</v>
      </c>
      <c r="DR4">
        <v>1.1000000000000001</v>
      </c>
      <c r="DS4">
        <v>1.1000000000000001</v>
      </c>
      <c r="DT4">
        <v>1</v>
      </c>
      <c r="DU4">
        <v>1</v>
      </c>
      <c r="DV4">
        <v>2.6</v>
      </c>
      <c r="DW4">
        <v>6.6000000009999997</v>
      </c>
      <c r="DX4">
        <v>12.7</v>
      </c>
      <c r="DY4">
        <v>20.2</v>
      </c>
      <c r="DZ4">
        <v>27.1</v>
      </c>
      <c r="EA4">
        <v>34</v>
      </c>
      <c r="EB4">
        <v>40.6</v>
      </c>
      <c r="EC4">
        <v>47.5</v>
      </c>
      <c r="ED4">
        <v>55.2</v>
      </c>
      <c r="EE4">
        <v>63.4</v>
      </c>
      <c r="EF4">
        <v>71.5</v>
      </c>
      <c r="EG4">
        <v>79.099999999999994</v>
      </c>
      <c r="EH4">
        <v>86.6</v>
      </c>
      <c r="EI4">
        <v>93.9</v>
      </c>
      <c r="EJ4">
        <v>101.4</v>
      </c>
      <c r="EK4">
        <v>109.6</v>
      </c>
      <c r="EL4">
        <v>118.4</v>
      </c>
      <c r="EM4">
        <v>127.1</v>
      </c>
      <c r="EN4">
        <v>135.19999999999999</v>
      </c>
      <c r="EO4">
        <v>143.19999999999999</v>
      </c>
      <c r="EP4">
        <v>150.80000000000001</v>
      </c>
      <c r="EQ4">
        <v>159</v>
      </c>
      <c r="ER4">
        <v>168</v>
      </c>
      <c r="ES4">
        <v>176.6</v>
      </c>
      <c r="ET4">
        <v>184.8</v>
      </c>
      <c r="EU4">
        <v>192.7</v>
      </c>
      <c r="EV4">
        <v>200.3</v>
      </c>
      <c r="EW4">
        <v>208.4</v>
      </c>
      <c r="EX4">
        <v>217.3</v>
      </c>
      <c r="EY4">
        <v>225.9</v>
      </c>
      <c r="EZ4">
        <v>233.9</v>
      </c>
      <c r="FA4">
        <v>241.8</v>
      </c>
      <c r="FB4">
        <v>249.6</v>
      </c>
      <c r="FC4">
        <v>257.2</v>
      </c>
      <c r="FD4">
        <v>265.3</v>
      </c>
      <c r="FE4">
        <v>273.60000000000002</v>
      </c>
      <c r="FF4">
        <v>281.3</v>
      </c>
      <c r="FG4">
        <v>288.8</v>
      </c>
      <c r="FH4">
        <v>296.10000000000002</v>
      </c>
      <c r="FI4">
        <v>303.2</v>
      </c>
      <c r="FJ4">
        <v>310.5</v>
      </c>
      <c r="FK4">
        <v>318.10000000000002</v>
      </c>
      <c r="FL4">
        <v>325.60000000000002</v>
      </c>
      <c r="FM4">
        <v>332.6</v>
      </c>
      <c r="FN4">
        <v>339.3</v>
      </c>
      <c r="FO4">
        <v>345.8</v>
      </c>
      <c r="FP4">
        <v>352.3</v>
      </c>
      <c r="FQ4">
        <v>358.7</v>
      </c>
      <c r="FR4">
        <v>365.4</v>
      </c>
      <c r="FS4">
        <v>372.1</v>
      </c>
      <c r="FT4">
        <v>378.5</v>
      </c>
      <c r="FU4">
        <v>384.7</v>
      </c>
      <c r="FV4">
        <v>390.6</v>
      </c>
      <c r="FW4">
        <v>396.3</v>
      </c>
      <c r="FX4">
        <v>402</v>
      </c>
      <c r="FY4">
        <v>407.6</v>
      </c>
      <c r="FZ4">
        <v>413.4</v>
      </c>
      <c r="GA4">
        <v>418.7</v>
      </c>
      <c r="GB4">
        <v>424</v>
      </c>
      <c r="GC4">
        <v>429.2</v>
      </c>
      <c r="GD4">
        <v>434.2</v>
      </c>
      <c r="GE4">
        <v>438.9</v>
      </c>
      <c r="GF4">
        <v>443.3</v>
      </c>
      <c r="GG4">
        <v>447.6</v>
      </c>
      <c r="GH4">
        <v>451.7</v>
      </c>
      <c r="GI4">
        <v>455.3</v>
      </c>
      <c r="GJ4">
        <v>457</v>
      </c>
      <c r="GK4">
        <v>457</v>
      </c>
      <c r="GL4">
        <v>457.1</v>
      </c>
      <c r="GM4">
        <v>457</v>
      </c>
      <c r="GN4">
        <v>457</v>
      </c>
      <c r="GO4">
        <v>457.1</v>
      </c>
      <c r="GP4">
        <v>457.1</v>
      </c>
      <c r="GQ4">
        <v>457.2</v>
      </c>
      <c r="GR4">
        <v>457.2</v>
      </c>
      <c r="GS4">
        <v>457.3</v>
      </c>
      <c r="GT4">
        <v>457.3</v>
      </c>
      <c r="GU4">
        <v>457.3</v>
      </c>
      <c r="GV4">
        <v>457.3</v>
      </c>
      <c r="GW4">
        <v>1</v>
      </c>
      <c r="GX4">
        <v>116.6</v>
      </c>
      <c r="GY4">
        <v>110.6</v>
      </c>
      <c r="GZ4">
        <v>110.6</v>
      </c>
      <c r="HA4">
        <v>127.1</v>
      </c>
      <c r="HB4">
        <v>114.8873306</v>
      </c>
      <c r="HC4">
        <v>-16.5</v>
      </c>
      <c r="HD4">
        <v>457.30001090000002</v>
      </c>
      <c r="HE4">
        <v>296.88799740000002</v>
      </c>
      <c r="HF4">
        <v>94.347901179999994</v>
      </c>
      <c r="HG4">
        <v>457.5</v>
      </c>
      <c r="HH4">
        <v>457.30001090000002</v>
      </c>
      <c r="HI4">
        <v>457.5</v>
      </c>
      <c r="HJ4">
        <v>457.3</v>
      </c>
      <c r="HK4">
        <v>114.9560117</v>
      </c>
      <c r="HL4">
        <v>3.3741813270000001</v>
      </c>
      <c r="HM4">
        <v>3.2389524629999999</v>
      </c>
      <c r="HN4">
        <v>3.2972728330000001</v>
      </c>
      <c r="HO4">
        <v>3.1994430600000001</v>
      </c>
      <c r="HP4">
        <v>3.567533659</v>
      </c>
      <c r="HQ4">
        <v>2.2431886470000002</v>
      </c>
      <c r="HR4">
        <v>20.539429380000001</v>
      </c>
      <c r="HS4">
        <v>-28.152492670000001</v>
      </c>
      <c r="HT4">
        <v>-192</v>
      </c>
      <c r="HU4">
        <v>411.77532789999998</v>
      </c>
      <c r="HV4">
        <v>91.49560117</v>
      </c>
      <c r="HW4">
        <v>624</v>
      </c>
      <c r="HX4">
        <v>20.539429380000001</v>
      </c>
      <c r="HY4">
        <v>-28.152492670000001</v>
      </c>
      <c r="HZ4">
        <v>-192</v>
      </c>
      <c r="IA4">
        <v>411.77532789999998</v>
      </c>
      <c r="IB4">
        <v>91.49560117</v>
      </c>
      <c r="IC4">
        <v>624</v>
      </c>
      <c r="ID4">
        <v>45.524682990000002</v>
      </c>
      <c r="IE4">
        <v>0.74708132999999999</v>
      </c>
      <c r="IF4">
        <v>-37.536656890000003</v>
      </c>
      <c r="IG4">
        <v>-256</v>
      </c>
      <c r="IH4">
        <v>433.36378439999999</v>
      </c>
      <c r="II4">
        <v>100.8797654</v>
      </c>
      <c r="IJ4">
        <v>688</v>
      </c>
      <c r="IK4">
        <v>391.23589859999998</v>
      </c>
      <c r="IL4">
        <v>119.6480938</v>
      </c>
      <c r="IM4">
        <v>415.21534759999997</v>
      </c>
      <c r="IN4">
        <v>129.03225810000001</v>
      </c>
      <c r="IO4">
        <v>7.5</v>
      </c>
      <c r="IP4">
        <v>5.7999999989999997</v>
      </c>
      <c r="IQ4">
        <v>9</v>
      </c>
      <c r="IR4">
        <v>6.0691975219999996</v>
      </c>
      <c r="IS4">
        <v>6.0691975219999996</v>
      </c>
      <c r="IT4">
        <v>14.1</v>
      </c>
      <c r="IU4">
        <v>-30.498533720000001</v>
      </c>
      <c r="IV4">
        <v>16.899999999999999</v>
      </c>
      <c r="IW4">
        <v>28.152492670000001</v>
      </c>
      <c r="IX4">
        <v>13.2</v>
      </c>
      <c r="IY4">
        <v>98.533724340000006</v>
      </c>
      <c r="IZ4">
        <v>-34.743576859999997</v>
      </c>
      <c r="JA4">
        <v>0.33452000199999998</v>
      </c>
      <c r="JB4">
        <v>-3.6339899999999998E-4</v>
      </c>
      <c r="JC4">
        <v>7.1579999999999999E-7</v>
      </c>
      <c r="JD4">
        <v>0.29636818599999998</v>
      </c>
      <c r="JE4">
        <v>0.194879415</v>
      </c>
      <c r="JF4">
        <v>8.3920902000000006E-2</v>
      </c>
      <c r="JG4">
        <v>115.497941</v>
      </c>
      <c r="JH4">
        <v>3.567533659</v>
      </c>
      <c r="JI4">
        <v>3.2963490000000001E-3</v>
      </c>
      <c r="JJ4">
        <v>-7.6750900000000004E-5</v>
      </c>
      <c r="JK4">
        <v>3.3741813270000001</v>
      </c>
      <c r="JL4">
        <v>1.151376478</v>
      </c>
      <c r="JM4">
        <v>0.45992181799999998</v>
      </c>
      <c r="JN4" t="s">
        <v>547</v>
      </c>
      <c r="JQ4">
        <v>1</v>
      </c>
    </row>
    <row r="5" spans="1:277">
      <c r="A5" t="s">
        <v>573</v>
      </c>
      <c r="B5" t="s">
        <v>574</v>
      </c>
      <c r="C5" t="s">
        <v>212</v>
      </c>
      <c r="D5">
        <v>3</v>
      </c>
      <c r="E5" t="s">
        <v>213</v>
      </c>
      <c r="F5" t="s">
        <v>214</v>
      </c>
      <c r="G5" t="s">
        <v>546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0.40000000099999999</v>
      </c>
      <c r="S5">
        <v>0.40000000099999999</v>
      </c>
      <c r="T5">
        <v>0.40000000099999999</v>
      </c>
      <c r="U5">
        <v>0.5</v>
      </c>
      <c r="V5">
        <v>0.5</v>
      </c>
      <c r="W5">
        <v>0.5</v>
      </c>
      <c r="X5">
        <v>0.5</v>
      </c>
      <c r="Y5">
        <v>0.59999999900000001</v>
      </c>
      <c r="Z5">
        <v>0.59999999900000001</v>
      </c>
      <c r="AA5">
        <v>0.70000000100000004</v>
      </c>
      <c r="AB5">
        <v>0.70000000100000004</v>
      </c>
      <c r="AC5">
        <v>0.8</v>
      </c>
      <c r="AD5">
        <v>0.8</v>
      </c>
      <c r="AE5">
        <v>0.70000000100000004</v>
      </c>
      <c r="AF5">
        <v>0.59999999900000001</v>
      </c>
      <c r="AG5">
        <v>0.3</v>
      </c>
      <c r="AH5">
        <v>1.3</v>
      </c>
      <c r="AI5">
        <v>4.4000000000000004</v>
      </c>
      <c r="AJ5">
        <v>9.7000000009999994</v>
      </c>
      <c r="AK5">
        <v>16.399999999999999</v>
      </c>
      <c r="AL5">
        <v>23.7</v>
      </c>
      <c r="AM5">
        <v>31.1</v>
      </c>
      <c r="AN5">
        <v>39</v>
      </c>
      <c r="AO5">
        <v>46.7</v>
      </c>
      <c r="AP5">
        <v>54.3</v>
      </c>
      <c r="AQ5">
        <v>62</v>
      </c>
      <c r="AR5">
        <v>69.8</v>
      </c>
      <c r="AS5">
        <v>77.900000000000006</v>
      </c>
      <c r="AT5">
        <v>86.2</v>
      </c>
      <c r="AU5">
        <v>94.4</v>
      </c>
      <c r="AV5">
        <v>102.7</v>
      </c>
      <c r="AW5">
        <v>111.2</v>
      </c>
      <c r="AX5">
        <v>119.5</v>
      </c>
      <c r="AY5">
        <v>128.1</v>
      </c>
      <c r="AZ5">
        <v>136.69999999999999</v>
      </c>
      <c r="BA5">
        <v>145.30000000000001</v>
      </c>
      <c r="BB5">
        <v>153.69999999999999</v>
      </c>
      <c r="BC5">
        <v>162.30000000000001</v>
      </c>
      <c r="BD5">
        <v>170.6</v>
      </c>
      <c r="BE5">
        <v>178.9</v>
      </c>
      <c r="BF5">
        <v>187.5</v>
      </c>
      <c r="BG5">
        <v>196.2</v>
      </c>
      <c r="BH5">
        <v>204.5</v>
      </c>
      <c r="BI5">
        <v>212.9</v>
      </c>
      <c r="BJ5">
        <v>221</v>
      </c>
      <c r="BK5">
        <v>229.1</v>
      </c>
      <c r="BL5">
        <v>237.5</v>
      </c>
      <c r="BM5">
        <v>246</v>
      </c>
      <c r="BN5">
        <v>253.9</v>
      </c>
      <c r="BO5">
        <v>261.89999999999998</v>
      </c>
      <c r="BP5">
        <v>269.8</v>
      </c>
      <c r="BQ5">
        <v>277.39999999999998</v>
      </c>
      <c r="BR5">
        <v>285</v>
      </c>
      <c r="BS5">
        <v>293</v>
      </c>
      <c r="BT5">
        <v>300.8</v>
      </c>
      <c r="BU5">
        <v>308</v>
      </c>
      <c r="BV5">
        <v>315.39999999999998</v>
      </c>
      <c r="BW5">
        <v>322.60000000000002</v>
      </c>
      <c r="BX5">
        <v>329.6</v>
      </c>
      <c r="BY5">
        <v>336.6</v>
      </c>
      <c r="BZ5">
        <v>343.9</v>
      </c>
      <c r="CA5">
        <v>351</v>
      </c>
      <c r="CB5">
        <v>357.6</v>
      </c>
      <c r="CC5">
        <v>364.2</v>
      </c>
      <c r="CD5">
        <v>370.8</v>
      </c>
      <c r="CE5">
        <v>377.1</v>
      </c>
      <c r="CF5">
        <v>383.3</v>
      </c>
      <c r="CG5">
        <v>389.5</v>
      </c>
      <c r="CH5">
        <v>395.9</v>
      </c>
      <c r="CI5">
        <v>402.2</v>
      </c>
      <c r="CJ5">
        <v>408.1</v>
      </c>
      <c r="CK5">
        <v>413.9</v>
      </c>
      <c r="CL5">
        <v>419.7</v>
      </c>
      <c r="CM5">
        <v>425.3</v>
      </c>
      <c r="CN5">
        <v>430.7</v>
      </c>
      <c r="CO5">
        <v>436.1</v>
      </c>
      <c r="CP5">
        <v>441.7</v>
      </c>
      <c r="CQ5">
        <v>446.7</v>
      </c>
      <c r="CR5">
        <v>449.8</v>
      </c>
      <c r="CS5">
        <v>450.7</v>
      </c>
      <c r="CT5">
        <v>450.7</v>
      </c>
      <c r="CU5">
        <v>450.7</v>
      </c>
      <c r="CV5">
        <v>450.7</v>
      </c>
      <c r="CW5">
        <v>450.8</v>
      </c>
      <c r="CX5">
        <v>450.7</v>
      </c>
      <c r="CY5">
        <v>450.7</v>
      </c>
      <c r="CZ5">
        <v>450.7</v>
      </c>
      <c r="DA5">
        <v>450.7</v>
      </c>
      <c r="DB5">
        <v>450.7</v>
      </c>
      <c r="DC5">
        <v>450.6</v>
      </c>
      <c r="DD5">
        <v>450.7</v>
      </c>
      <c r="DE5">
        <v>450.6</v>
      </c>
      <c r="DF5">
        <v>450.6</v>
      </c>
      <c r="DG5">
        <v>1</v>
      </c>
      <c r="DH5">
        <v>1.700000001</v>
      </c>
      <c r="DI5">
        <v>1.700000001</v>
      </c>
      <c r="DJ5">
        <v>1.700000001</v>
      </c>
      <c r="DK5">
        <v>1.700000001</v>
      </c>
      <c r="DL5">
        <v>1.700000001</v>
      </c>
      <c r="DM5">
        <v>1.6</v>
      </c>
      <c r="DN5">
        <v>1.700000001</v>
      </c>
      <c r="DO5">
        <v>1.700000001</v>
      </c>
      <c r="DP5">
        <v>1.8</v>
      </c>
      <c r="DQ5">
        <v>1.8</v>
      </c>
      <c r="DR5">
        <v>1.900000001</v>
      </c>
      <c r="DS5">
        <v>1.900000001</v>
      </c>
      <c r="DT5">
        <v>1.8</v>
      </c>
      <c r="DU5">
        <v>1.5</v>
      </c>
      <c r="DV5">
        <v>1.6</v>
      </c>
      <c r="DW5">
        <v>3.6</v>
      </c>
      <c r="DX5">
        <v>8</v>
      </c>
      <c r="DY5">
        <v>14.7</v>
      </c>
      <c r="DZ5">
        <v>21.9</v>
      </c>
      <c r="EA5">
        <v>29.3</v>
      </c>
      <c r="EB5">
        <v>37</v>
      </c>
      <c r="EC5">
        <v>44.6</v>
      </c>
      <c r="ED5">
        <v>52.3</v>
      </c>
      <c r="EE5">
        <v>60</v>
      </c>
      <c r="EF5">
        <v>67.7</v>
      </c>
      <c r="EG5">
        <v>75.599999999999994</v>
      </c>
      <c r="EH5">
        <v>83.8</v>
      </c>
      <c r="EI5">
        <v>92.1</v>
      </c>
      <c r="EJ5">
        <v>100.3</v>
      </c>
      <c r="EK5">
        <v>108.6</v>
      </c>
      <c r="EL5">
        <v>117</v>
      </c>
      <c r="EM5">
        <v>125.4</v>
      </c>
      <c r="EN5">
        <v>134.1</v>
      </c>
      <c r="EO5">
        <v>142.80000000000001</v>
      </c>
      <c r="EP5">
        <v>151.19999999999999</v>
      </c>
      <c r="EQ5">
        <v>159.69999999999999</v>
      </c>
      <c r="ER5">
        <v>168</v>
      </c>
      <c r="ES5">
        <v>176.3</v>
      </c>
      <c r="ET5">
        <v>184.9</v>
      </c>
      <c r="EU5">
        <v>193.7</v>
      </c>
      <c r="EV5">
        <v>202.2</v>
      </c>
      <c r="EW5">
        <v>210.7</v>
      </c>
      <c r="EX5">
        <v>219</v>
      </c>
      <c r="EY5">
        <v>227.2</v>
      </c>
      <c r="EZ5">
        <v>235.6</v>
      </c>
      <c r="FA5">
        <v>244.2</v>
      </c>
      <c r="FB5">
        <v>252.4</v>
      </c>
      <c r="FC5">
        <v>260.39999999999998</v>
      </c>
      <c r="FD5">
        <v>268.60000000000002</v>
      </c>
      <c r="FE5">
        <v>276.39999999999998</v>
      </c>
      <c r="FF5">
        <v>284</v>
      </c>
      <c r="FG5">
        <v>291.89999999999998</v>
      </c>
      <c r="FH5">
        <v>299.89999999999998</v>
      </c>
      <c r="FI5">
        <v>307.39999999999998</v>
      </c>
      <c r="FJ5">
        <v>314.89999999999998</v>
      </c>
      <c r="FK5">
        <v>322.3</v>
      </c>
      <c r="FL5">
        <v>329.4</v>
      </c>
      <c r="FM5">
        <v>336.6</v>
      </c>
      <c r="FN5">
        <v>343.9</v>
      </c>
      <c r="FO5">
        <v>351</v>
      </c>
      <c r="FP5">
        <v>357.8</v>
      </c>
      <c r="FQ5">
        <v>364.6</v>
      </c>
      <c r="FR5">
        <v>371.3</v>
      </c>
      <c r="FS5">
        <v>377.6</v>
      </c>
      <c r="FT5">
        <v>383.9</v>
      </c>
      <c r="FU5">
        <v>390.3</v>
      </c>
      <c r="FV5">
        <v>396.7</v>
      </c>
      <c r="FW5">
        <v>403</v>
      </c>
      <c r="FX5">
        <v>408.8</v>
      </c>
      <c r="FY5">
        <v>414.7</v>
      </c>
      <c r="FZ5">
        <v>420.6</v>
      </c>
      <c r="GA5">
        <v>426</v>
      </c>
      <c r="GB5">
        <v>431.2</v>
      </c>
      <c r="GC5">
        <v>436.5</v>
      </c>
      <c r="GD5">
        <v>441.7</v>
      </c>
      <c r="GE5">
        <v>446.2</v>
      </c>
      <c r="GF5">
        <v>449.4</v>
      </c>
      <c r="GG5">
        <v>450.5</v>
      </c>
      <c r="GH5">
        <v>450.6</v>
      </c>
      <c r="GI5">
        <v>450.6</v>
      </c>
      <c r="GJ5">
        <v>450.6</v>
      </c>
      <c r="GK5">
        <v>450.6</v>
      </c>
      <c r="GL5">
        <v>450.6</v>
      </c>
      <c r="GM5">
        <v>450.6</v>
      </c>
      <c r="GN5">
        <v>450.6</v>
      </c>
      <c r="GO5">
        <v>450.6</v>
      </c>
      <c r="GP5">
        <v>450.5</v>
      </c>
      <c r="GQ5">
        <v>450.6</v>
      </c>
      <c r="GR5">
        <v>450.5</v>
      </c>
      <c r="GS5">
        <v>450.6</v>
      </c>
      <c r="GT5">
        <v>450.6</v>
      </c>
      <c r="GU5">
        <v>450.6</v>
      </c>
      <c r="GV5">
        <v>450.6</v>
      </c>
      <c r="GW5">
        <v>1</v>
      </c>
      <c r="GX5">
        <v>117.3</v>
      </c>
      <c r="GY5">
        <v>111.2</v>
      </c>
      <c r="GZ5">
        <v>111.2</v>
      </c>
      <c r="HA5">
        <v>125.4</v>
      </c>
      <c r="HB5">
        <v>114.92722430000001</v>
      </c>
      <c r="HC5">
        <v>-14.2</v>
      </c>
      <c r="HD5">
        <v>450.6</v>
      </c>
      <c r="HE5">
        <v>304.6646217</v>
      </c>
      <c r="HF5">
        <v>97.873208340000005</v>
      </c>
      <c r="HG5">
        <v>450.8</v>
      </c>
      <c r="HH5">
        <v>450.60001110000002</v>
      </c>
      <c r="HI5">
        <v>450.8</v>
      </c>
      <c r="HJ5">
        <v>450.6</v>
      </c>
      <c r="HK5">
        <v>107.9178886</v>
      </c>
      <c r="HL5">
        <v>3.4640203399999998</v>
      </c>
      <c r="HM5">
        <v>3.337091509</v>
      </c>
      <c r="HN5">
        <v>3.378365139</v>
      </c>
      <c r="HO5">
        <v>3.3184740549999998</v>
      </c>
      <c r="HP5">
        <v>3.6706145380000001</v>
      </c>
      <c r="HQ5">
        <v>2.3139427189999999</v>
      </c>
      <c r="HR5">
        <v>17.054015979999999</v>
      </c>
      <c r="HS5">
        <v>-28.152492670000001</v>
      </c>
      <c r="HT5">
        <v>-192</v>
      </c>
      <c r="HU5">
        <v>419.59184599999998</v>
      </c>
      <c r="HV5">
        <v>91.49560117</v>
      </c>
      <c r="HW5">
        <v>624</v>
      </c>
      <c r="HX5">
        <v>17.054015979999999</v>
      </c>
      <c r="HY5">
        <v>-28.152492670000001</v>
      </c>
      <c r="HZ5">
        <v>-192</v>
      </c>
      <c r="IA5">
        <v>419.59184599999998</v>
      </c>
      <c r="IB5">
        <v>91.49560117</v>
      </c>
      <c r="IC5">
        <v>624</v>
      </c>
      <c r="ID5">
        <v>31.008165080000001</v>
      </c>
      <c r="IE5">
        <v>0.31427779</v>
      </c>
      <c r="IF5">
        <v>-37.536656890000003</v>
      </c>
      <c r="IG5">
        <v>-256</v>
      </c>
      <c r="IH5">
        <v>441.34610609999999</v>
      </c>
      <c r="II5">
        <v>100.8797654</v>
      </c>
      <c r="IJ5">
        <v>688</v>
      </c>
      <c r="IK5">
        <v>402.53782999999999</v>
      </c>
      <c r="IL5">
        <v>119.6480938</v>
      </c>
      <c r="IM5">
        <v>425.93747500000001</v>
      </c>
      <c r="IN5">
        <v>129.03225810000001</v>
      </c>
      <c r="IO5">
        <v>7.2</v>
      </c>
      <c r="IP5">
        <v>5.5999999989999996</v>
      </c>
      <c r="IQ5">
        <v>8.8000000000000007</v>
      </c>
      <c r="IR5">
        <v>6.3185439839999997</v>
      </c>
      <c r="IS5">
        <v>6.3185439839999997</v>
      </c>
      <c r="IT5">
        <v>12.2</v>
      </c>
      <c r="IU5">
        <v>-30.498533720000001</v>
      </c>
      <c r="IV5">
        <v>15.1</v>
      </c>
      <c r="IW5">
        <v>32.844574780000002</v>
      </c>
      <c r="IX5">
        <v>11.2</v>
      </c>
      <c r="IY5">
        <v>98.533724340000006</v>
      </c>
      <c r="IZ5">
        <v>-33.49982661</v>
      </c>
      <c r="JA5">
        <v>0.32037449499999998</v>
      </c>
      <c r="JB5">
        <v>-3.2418799999999999E-4</v>
      </c>
      <c r="JC5">
        <v>6.441E-7</v>
      </c>
      <c r="JD5">
        <v>0.28868190799999999</v>
      </c>
      <c r="JE5">
        <v>9.9723112000000003E-2</v>
      </c>
      <c r="JF5">
        <v>4.6941902000000001E-2</v>
      </c>
      <c r="JG5">
        <v>115.41148990000001</v>
      </c>
      <c r="JH5">
        <v>3.6706145380000001</v>
      </c>
      <c r="JI5">
        <v>3.0381560000000002E-3</v>
      </c>
      <c r="JJ5">
        <v>-7.6156799999999996E-5</v>
      </c>
      <c r="JK5">
        <v>3.4640203399999998</v>
      </c>
      <c r="JL5">
        <v>1.23385568</v>
      </c>
      <c r="JM5">
        <v>0.47632460199999999</v>
      </c>
      <c r="JN5" t="s">
        <v>547</v>
      </c>
      <c r="JQ5">
        <v>1</v>
      </c>
    </row>
    <row r="6" spans="1:277">
      <c r="A6" t="s">
        <v>584</v>
      </c>
      <c r="B6" t="s">
        <v>585</v>
      </c>
      <c r="C6" t="s">
        <v>212</v>
      </c>
      <c r="D6">
        <v>3</v>
      </c>
      <c r="E6" t="s">
        <v>213</v>
      </c>
      <c r="F6" t="s">
        <v>214</v>
      </c>
      <c r="G6" t="s">
        <v>546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</v>
      </c>
      <c r="R6">
        <v>0.3</v>
      </c>
      <c r="S6">
        <v>0.40000000099999999</v>
      </c>
      <c r="T6">
        <v>0.40000000099999999</v>
      </c>
      <c r="U6">
        <v>0.40000000099999999</v>
      </c>
      <c r="V6">
        <v>0.40000000099999999</v>
      </c>
      <c r="W6">
        <v>0.5</v>
      </c>
      <c r="X6">
        <v>0.5</v>
      </c>
      <c r="Y6">
        <v>0.5</v>
      </c>
      <c r="Z6">
        <v>0.5</v>
      </c>
      <c r="AA6">
        <v>0.59999999900000001</v>
      </c>
      <c r="AB6">
        <v>0.59999999900000001</v>
      </c>
      <c r="AC6">
        <v>0.59999999900000001</v>
      </c>
      <c r="AD6">
        <v>0.70000000100000004</v>
      </c>
      <c r="AE6">
        <v>0.70000000100000004</v>
      </c>
      <c r="AF6">
        <v>0.5</v>
      </c>
      <c r="AG6">
        <v>0.70000000100000004</v>
      </c>
      <c r="AH6">
        <v>2.6</v>
      </c>
      <c r="AI6">
        <v>7</v>
      </c>
      <c r="AJ6">
        <v>13.5</v>
      </c>
      <c r="AK6">
        <v>20.6</v>
      </c>
      <c r="AL6">
        <v>27.4</v>
      </c>
      <c r="AM6">
        <v>34.6</v>
      </c>
      <c r="AN6">
        <v>42.8</v>
      </c>
      <c r="AO6">
        <v>50.8</v>
      </c>
      <c r="AP6">
        <v>58.5</v>
      </c>
      <c r="AQ6">
        <v>66.400000000000006</v>
      </c>
      <c r="AR6">
        <v>74.5</v>
      </c>
      <c r="AS6">
        <v>82.4</v>
      </c>
      <c r="AT6">
        <v>90.7</v>
      </c>
      <c r="AU6">
        <v>99.4</v>
      </c>
      <c r="AV6">
        <v>107.7</v>
      </c>
      <c r="AW6">
        <v>116.4</v>
      </c>
      <c r="AX6">
        <v>125.6</v>
      </c>
      <c r="AY6">
        <v>134.30000000000001</v>
      </c>
      <c r="AZ6">
        <v>143.4</v>
      </c>
      <c r="BA6">
        <v>152.30000000000001</v>
      </c>
      <c r="BB6">
        <v>160.80000000000001</v>
      </c>
      <c r="BC6">
        <v>169.4</v>
      </c>
      <c r="BD6">
        <v>178.1</v>
      </c>
      <c r="BE6">
        <v>186.6</v>
      </c>
      <c r="BF6">
        <v>195.7</v>
      </c>
      <c r="BG6">
        <v>204.5</v>
      </c>
      <c r="BH6">
        <v>213</v>
      </c>
      <c r="BI6">
        <v>221.4</v>
      </c>
      <c r="BJ6">
        <v>229.9</v>
      </c>
      <c r="BK6">
        <v>238.3</v>
      </c>
      <c r="BL6">
        <v>247</v>
      </c>
      <c r="BM6">
        <v>255.6</v>
      </c>
      <c r="BN6">
        <v>263.60000000000002</v>
      </c>
      <c r="BO6">
        <v>271.7</v>
      </c>
      <c r="BP6">
        <v>279.60000000000002</v>
      </c>
      <c r="BQ6">
        <v>287.39999999999998</v>
      </c>
      <c r="BR6">
        <v>295.5</v>
      </c>
      <c r="BS6">
        <v>303.8</v>
      </c>
      <c r="BT6">
        <v>311.3</v>
      </c>
      <c r="BU6">
        <v>318.7</v>
      </c>
      <c r="BV6">
        <v>325.89999999999998</v>
      </c>
      <c r="BW6">
        <v>333.3</v>
      </c>
      <c r="BX6">
        <v>340.4</v>
      </c>
      <c r="BY6">
        <v>347.7</v>
      </c>
      <c r="BZ6">
        <v>355.2</v>
      </c>
      <c r="CA6">
        <v>361.9</v>
      </c>
      <c r="CB6">
        <v>368.6</v>
      </c>
      <c r="CC6">
        <v>375</v>
      </c>
      <c r="CD6">
        <v>381.6</v>
      </c>
      <c r="CE6">
        <v>388</v>
      </c>
      <c r="CF6">
        <v>394.3</v>
      </c>
      <c r="CG6">
        <v>400.8</v>
      </c>
      <c r="CH6">
        <v>407.2</v>
      </c>
      <c r="CI6">
        <v>413.1</v>
      </c>
      <c r="CJ6">
        <v>419.1</v>
      </c>
      <c r="CK6">
        <v>424.8</v>
      </c>
      <c r="CL6">
        <v>430.4</v>
      </c>
      <c r="CM6">
        <v>435.9</v>
      </c>
      <c r="CN6">
        <v>441.5</v>
      </c>
      <c r="CO6">
        <v>447</v>
      </c>
      <c r="CP6">
        <v>452.3</v>
      </c>
      <c r="CQ6">
        <v>456.5</v>
      </c>
      <c r="CR6">
        <v>460</v>
      </c>
      <c r="CS6">
        <v>462.1</v>
      </c>
      <c r="CT6">
        <v>462.5</v>
      </c>
      <c r="CU6">
        <v>462.5</v>
      </c>
      <c r="CV6">
        <v>462.5</v>
      </c>
      <c r="CW6">
        <v>462.5</v>
      </c>
      <c r="CX6">
        <v>462.4</v>
      </c>
      <c r="CY6">
        <v>462.4</v>
      </c>
      <c r="CZ6">
        <v>462.4</v>
      </c>
      <c r="DA6">
        <v>462.4</v>
      </c>
      <c r="DB6">
        <v>462.5</v>
      </c>
      <c r="DC6">
        <v>462.6</v>
      </c>
      <c r="DD6">
        <v>462.7</v>
      </c>
      <c r="DE6">
        <v>462.8</v>
      </c>
      <c r="DF6">
        <v>462.8</v>
      </c>
      <c r="DG6">
        <v>0.59999999900000001</v>
      </c>
      <c r="DH6">
        <v>1.1000000000000001</v>
      </c>
      <c r="DI6">
        <v>1.1000000000000001</v>
      </c>
      <c r="DJ6">
        <v>1.1000000000000001</v>
      </c>
      <c r="DK6">
        <v>1</v>
      </c>
      <c r="DL6">
        <v>0.90000000099999999</v>
      </c>
      <c r="DM6">
        <v>0.90000000099999999</v>
      </c>
      <c r="DN6">
        <v>0.8</v>
      </c>
      <c r="DO6">
        <v>0.70000000100000004</v>
      </c>
      <c r="DP6">
        <v>0.70000000100000004</v>
      </c>
      <c r="DQ6">
        <v>0.8</v>
      </c>
      <c r="DR6">
        <v>0.90000000099999999</v>
      </c>
      <c r="DS6">
        <v>1</v>
      </c>
      <c r="DT6">
        <v>1</v>
      </c>
      <c r="DU6">
        <v>1</v>
      </c>
      <c r="DV6">
        <v>2.5000000010000001</v>
      </c>
      <c r="DW6">
        <v>6.8000000009999999</v>
      </c>
      <c r="DX6">
        <v>13.3</v>
      </c>
      <c r="DY6">
        <v>20.399999999999999</v>
      </c>
      <c r="DZ6">
        <v>27.3</v>
      </c>
      <c r="EA6">
        <v>34.4</v>
      </c>
      <c r="EB6">
        <v>42.4</v>
      </c>
      <c r="EC6">
        <v>50.4</v>
      </c>
      <c r="ED6">
        <v>58</v>
      </c>
      <c r="EE6">
        <v>65.8</v>
      </c>
      <c r="EF6">
        <v>73.7</v>
      </c>
      <c r="EG6">
        <v>81.5</v>
      </c>
      <c r="EH6">
        <v>89.8</v>
      </c>
      <c r="EI6">
        <v>98.4</v>
      </c>
      <c r="EJ6">
        <v>106.6</v>
      </c>
      <c r="EK6">
        <v>115</v>
      </c>
      <c r="EL6">
        <v>123.9</v>
      </c>
      <c r="EM6">
        <v>133</v>
      </c>
      <c r="EN6">
        <v>142.19999999999999</v>
      </c>
      <c r="EO6">
        <v>151.1</v>
      </c>
      <c r="EP6">
        <v>159.6</v>
      </c>
      <c r="EQ6">
        <v>168.1</v>
      </c>
      <c r="ER6">
        <v>176.9</v>
      </c>
      <c r="ES6">
        <v>185.5</v>
      </c>
      <c r="ET6">
        <v>194.4</v>
      </c>
      <c r="EU6">
        <v>203.5</v>
      </c>
      <c r="EV6">
        <v>212</v>
      </c>
      <c r="EW6">
        <v>220.6</v>
      </c>
      <c r="EX6">
        <v>229.3</v>
      </c>
      <c r="EY6">
        <v>237.7</v>
      </c>
      <c r="EZ6">
        <v>246.5</v>
      </c>
      <c r="FA6">
        <v>255.4</v>
      </c>
      <c r="FB6">
        <v>263.60000000000002</v>
      </c>
      <c r="FC6">
        <v>271.8</v>
      </c>
      <c r="FD6">
        <v>280.10000000000002</v>
      </c>
      <c r="FE6">
        <v>288.2</v>
      </c>
      <c r="FF6">
        <v>296.3</v>
      </c>
      <c r="FG6">
        <v>304.5</v>
      </c>
      <c r="FH6">
        <v>312.2</v>
      </c>
      <c r="FI6">
        <v>320</v>
      </c>
      <c r="FJ6">
        <v>327.5</v>
      </c>
      <c r="FK6">
        <v>334.8</v>
      </c>
      <c r="FL6">
        <v>342.2</v>
      </c>
      <c r="FM6">
        <v>349.8</v>
      </c>
      <c r="FN6">
        <v>357.2</v>
      </c>
      <c r="FO6">
        <v>363.9</v>
      </c>
      <c r="FP6">
        <v>370.9</v>
      </c>
      <c r="FQ6">
        <v>377.6</v>
      </c>
      <c r="FR6">
        <v>384.1</v>
      </c>
      <c r="FS6">
        <v>390.6</v>
      </c>
      <c r="FT6">
        <v>397.2</v>
      </c>
      <c r="FU6">
        <v>404</v>
      </c>
      <c r="FV6">
        <v>410.1</v>
      </c>
      <c r="FW6">
        <v>415.8</v>
      </c>
      <c r="FX6">
        <v>421.8</v>
      </c>
      <c r="FY6">
        <v>427.4</v>
      </c>
      <c r="FZ6">
        <v>433</v>
      </c>
      <c r="GA6">
        <v>438.4</v>
      </c>
      <c r="GB6">
        <v>443.5</v>
      </c>
      <c r="GC6">
        <v>448.7</v>
      </c>
      <c r="GD6">
        <v>453.3</v>
      </c>
      <c r="GE6">
        <v>456.8</v>
      </c>
      <c r="GF6">
        <v>459.9</v>
      </c>
      <c r="GG6">
        <v>461.8</v>
      </c>
      <c r="GH6">
        <v>462.3</v>
      </c>
      <c r="GI6">
        <v>462.4</v>
      </c>
      <c r="GJ6">
        <v>462.4</v>
      </c>
      <c r="GK6">
        <v>462.4</v>
      </c>
      <c r="GL6">
        <v>462.4</v>
      </c>
      <c r="GM6">
        <v>462.4</v>
      </c>
      <c r="GN6">
        <v>462.4</v>
      </c>
      <c r="GO6">
        <v>462.5</v>
      </c>
      <c r="GP6">
        <v>462.5</v>
      </c>
      <c r="GQ6">
        <v>462.5</v>
      </c>
      <c r="GR6">
        <v>462.5</v>
      </c>
      <c r="GS6">
        <v>462.6</v>
      </c>
      <c r="GT6">
        <v>462.6</v>
      </c>
      <c r="GU6">
        <v>462.7</v>
      </c>
      <c r="GV6">
        <v>462.8</v>
      </c>
      <c r="GW6">
        <v>1</v>
      </c>
      <c r="GX6">
        <v>123.8</v>
      </c>
      <c r="GY6">
        <v>116.4</v>
      </c>
      <c r="GZ6">
        <v>116.4</v>
      </c>
      <c r="HA6">
        <v>133</v>
      </c>
      <c r="HB6">
        <v>120.8728176</v>
      </c>
      <c r="HC6">
        <v>-16.600000000000001</v>
      </c>
      <c r="HD6">
        <v>462.8</v>
      </c>
      <c r="HE6">
        <v>305.21243520000002</v>
      </c>
      <c r="HF6">
        <v>99.452808989999994</v>
      </c>
      <c r="HG6">
        <v>462.8</v>
      </c>
      <c r="HH6">
        <v>462.8</v>
      </c>
      <c r="HI6">
        <v>462.8</v>
      </c>
      <c r="HJ6">
        <v>462.8</v>
      </c>
      <c r="HK6">
        <v>110.2639296</v>
      </c>
      <c r="HL6">
        <v>3.5685273369999999</v>
      </c>
      <c r="HM6">
        <v>3.4060518869999998</v>
      </c>
      <c r="HN6">
        <v>3.4728839749999998</v>
      </c>
      <c r="HO6">
        <v>3.3651407990000002</v>
      </c>
      <c r="HP6">
        <v>3.7860087490000001</v>
      </c>
      <c r="HQ6">
        <v>2.3062545910000001</v>
      </c>
      <c r="HR6">
        <v>21.420008639999999</v>
      </c>
      <c r="HS6">
        <v>-28.152492670000001</v>
      </c>
      <c r="HT6">
        <v>-192</v>
      </c>
      <c r="HU6">
        <v>426.08525279999998</v>
      </c>
      <c r="HV6">
        <v>89.149560120000004</v>
      </c>
      <c r="HW6">
        <v>608</v>
      </c>
      <c r="HX6">
        <v>21.420008639999999</v>
      </c>
      <c r="HY6">
        <v>-28.152492670000001</v>
      </c>
      <c r="HZ6">
        <v>-192</v>
      </c>
      <c r="IA6">
        <v>426.08525279999998</v>
      </c>
      <c r="IB6">
        <v>89.149560120000004</v>
      </c>
      <c r="IC6">
        <v>608</v>
      </c>
      <c r="ID6">
        <v>36.714747189999997</v>
      </c>
      <c r="IE6">
        <v>0.74942739899999999</v>
      </c>
      <c r="IF6">
        <v>-37.536656890000003</v>
      </c>
      <c r="IG6">
        <v>-256</v>
      </c>
      <c r="IH6">
        <v>448.13301639999997</v>
      </c>
      <c r="II6">
        <v>98.533724340000006</v>
      </c>
      <c r="IJ6">
        <v>672</v>
      </c>
      <c r="IK6">
        <v>404.66524420000002</v>
      </c>
      <c r="IL6">
        <v>117.3020528</v>
      </c>
      <c r="IM6">
        <v>430.08647359999998</v>
      </c>
      <c r="IN6">
        <v>126.686217</v>
      </c>
      <c r="IO6">
        <v>7.0999999989999996</v>
      </c>
      <c r="IP6">
        <v>5.6</v>
      </c>
      <c r="IQ6">
        <v>9.1999999999999993</v>
      </c>
      <c r="IR6">
        <v>6.4355482789999998</v>
      </c>
      <c r="IS6">
        <v>6.4355482789999998</v>
      </c>
      <c r="IT6">
        <v>13.8</v>
      </c>
      <c r="IU6">
        <v>-30.498533720000001</v>
      </c>
      <c r="IV6">
        <v>17.100000000000001</v>
      </c>
      <c r="IW6">
        <v>32.844574780000002</v>
      </c>
      <c r="IX6">
        <v>12.8</v>
      </c>
      <c r="IY6">
        <v>98.533724340000006</v>
      </c>
      <c r="IZ6">
        <v>-34.661580890000003</v>
      </c>
      <c r="JA6">
        <v>0.31966697399999999</v>
      </c>
      <c r="JB6">
        <v>-3.5656700000000002E-4</v>
      </c>
      <c r="JC6">
        <v>6.7430000000000005E-7</v>
      </c>
      <c r="JD6">
        <v>0.280227642</v>
      </c>
      <c r="JE6">
        <v>0.18120910600000001</v>
      </c>
      <c r="JF6">
        <v>8.1699789999999994E-2</v>
      </c>
      <c r="JG6">
        <v>121.6399436</v>
      </c>
      <c r="JH6">
        <v>3.7860087490000001</v>
      </c>
      <c r="JI6">
        <v>3.689014E-3</v>
      </c>
      <c r="JJ6">
        <v>-8.9649300000000002E-5</v>
      </c>
      <c r="JK6">
        <v>3.5685273369999999</v>
      </c>
      <c r="JL6">
        <v>1.441562987</v>
      </c>
      <c r="JM6">
        <v>0.58281910999999997</v>
      </c>
      <c r="JN6" t="s">
        <v>547</v>
      </c>
      <c r="JQ6">
        <v>1</v>
      </c>
    </row>
    <row r="7" spans="1:277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546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2.1000000019999998</v>
      </c>
      <c r="R7">
        <v>2.5000000010000001</v>
      </c>
      <c r="S7">
        <v>2.6000000019999998</v>
      </c>
      <c r="T7">
        <v>2.6000000019999998</v>
      </c>
      <c r="U7">
        <v>2.7000000009999998</v>
      </c>
      <c r="V7">
        <v>2.7000000009999998</v>
      </c>
      <c r="W7">
        <v>2.7000000009999998</v>
      </c>
      <c r="X7">
        <v>2.7000000009999998</v>
      </c>
      <c r="Y7">
        <v>2.7000000009999998</v>
      </c>
      <c r="Z7">
        <v>2.8</v>
      </c>
      <c r="AA7">
        <v>2.8</v>
      </c>
      <c r="AB7">
        <v>2.8</v>
      </c>
      <c r="AC7">
        <v>2.6000000019999998</v>
      </c>
      <c r="AD7">
        <v>2</v>
      </c>
      <c r="AE7">
        <v>1.3</v>
      </c>
      <c r="AF7">
        <v>0.60000000099999995</v>
      </c>
      <c r="AG7">
        <v>0</v>
      </c>
      <c r="AH7">
        <v>0.5</v>
      </c>
      <c r="AI7">
        <v>3.2000000009999998</v>
      </c>
      <c r="AJ7">
        <v>8.0000000020000002</v>
      </c>
      <c r="AK7">
        <v>14.4</v>
      </c>
      <c r="AL7">
        <v>21.2</v>
      </c>
      <c r="AM7">
        <v>28.4</v>
      </c>
      <c r="AN7">
        <v>35.9</v>
      </c>
      <c r="AO7">
        <v>43.6</v>
      </c>
      <c r="AP7">
        <v>51.5</v>
      </c>
      <c r="AQ7">
        <v>59.1</v>
      </c>
      <c r="AR7">
        <v>66.599999999999994</v>
      </c>
      <c r="AS7">
        <v>74.5</v>
      </c>
      <c r="AT7">
        <v>82.5</v>
      </c>
      <c r="AU7">
        <v>90.7</v>
      </c>
      <c r="AV7">
        <v>99</v>
      </c>
      <c r="AW7">
        <v>107.7</v>
      </c>
      <c r="AX7">
        <v>115.8</v>
      </c>
      <c r="AY7">
        <v>124.2</v>
      </c>
      <c r="AZ7">
        <v>132.6</v>
      </c>
      <c r="BA7">
        <v>141.1</v>
      </c>
      <c r="BB7">
        <v>149.69999999999999</v>
      </c>
      <c r="BC7">
        <v>158.4</v>
      </c>
      <c r="BD7">
        <v>166.5</v>
      </c>
      <c r="BE7">
        <v>174.7</v>
      </c>
      <c r="BF7">
        <v>183.2</v>
      </c>
      <c r="BG7">
        <v>191.7</v>
      </c>
      <c r="BH7">
        <v>200.2</v>
      </c>
      <c r="BI7">
        <v>208.7</v>
      </c>
      <c r="BJ7">
        <v>216.7</v>
      </c>
      <c r="BK7">
        <v>224.8</v>
      </c>
      <c r="BL7">
        <v>233.1</v>
      </c>
      <c r="BM7">
        <v>241.5</v>
      </c>
      <c r="BN7">
        <v>249.6</v>
      </c>
      <c r="BO7">
        <v>257.60000000000002</v>
      </c>
      <c r="BP7">
        <v>265.3</v>
      </c>
      <c r="BQ7">
        <v>272.7</v>
      </c>
      <c r="BR7">
        <v>280.5</v>
      </c>
      <c r="BS7">
        <v>288.5</v>
      </c>
      <c r="BT7">
        <v>296.39999999999998</v>
      </c>
      <c r="BU7">
        <v>303.8</v>
      </c>
      <c r="BV7">
        <v>311.3</v>
      </c>
      <c r="BW7">
        <v>318.2</v>
      </c>
      <c r="BX7">
        <v>325.2</v>
      </c>
      <c r="BY7">
        <v>332.2</v>
      </c>
      <c r="BZ7">
        <v>339.4</v>
      </c>
      <c r="CA7">
        <v>346.7</v>
      </c>
      <c r="CB7">
        <v>353.4</v>
      </c>
      <c r="CC7">
        <v>360</v>
      </c>
      <c r="CD7">
        <v>366.3</v>
      </c>
      <c r="CE7">
        <v>372.4</v>
      </c>
      <c r="CF7">
        <v>378.8</v>
      </c>
      <c r="CG7">
        <v>384.9</v>
      </c>
      <c r="CH7">
        <v>391.3</v>
      </c>
      <c r="CI7">
        <v>397.6</v>
      </c>
      <c r="CJ7">
        <v>403.4</v>
      </c>
      <c r="CK7">
        <v>409.1</v>
      </c>
      <c r="CL7">
        <v>414.7</v>
      </c>
      <c r="CM7">
        <v>419.9</v>
      </c>
      <c r="CN7">
        <v>425.4</v>
      </c>
      <c r="CO7">
        <v>430.9</v>
      </c>
      <c r="CP7">
        <v>436.4</v>
      </c>
      <c r="CQ7">
        <v>441.9</v>
      </c>
      <c r="CR7">
        <v>446.9</v>
      </c>
      <c r="CS7">
        <v>451.2</v>
      </c>
      <c r="CT7">
        <v>455.2</v>
      </c>
      <c r="CU7">
        <v>458.7</v>
      </c>
      <c r="CV7">
        <v>460.1</v>
      </c>
      <c r="CW7">
        <v>460.1</v>
      </c>
      <c r="CX7">
        <v>460.2</v>
      </c>
      <c r="CY7">
        <v>460.2</v>
      </c>
      <c r="CZ7">
        <v>460.2</v>
      </c>
      <c r="DA7">
        <v>460.2</v>
      </c>
      <c r="DB7">
        <v>460.3</v>
      </c>
      <c r="DC7">
        <v>460.2</v>
      </c>
      <c r="DD7">
        <v>460.2</v>
      </c>
      <c r="DE7">
        <v>460.3</v>
      </c>
      <c r="DF7">
        <v>460.3</v>
      </c>
      <c r="DG7">
        <v>3.1</v>
      </c>
      <c r="DH7">
        <v>3.8</v>
      </c>
      <c r="DI7">
        <v>3.9000000020000001</v>
      </c>
      <c r="DJ7">
        <v>3.9000000020000001</v>
      </c>
      <c r="DK7">
        <v>4.0000000010000001</v>
      </c>
      <c r="DL7">
        <v>4.0000000010000001</v>
      </c>
      <c r="DM7">
        <v>4.0999999999999996</v>
      </c>
      <c r="DN7">
        <v>4.0999999999999996</v>
      </c>
      <c r="DO7">
        <v>4.2000000010000003</v>
      </c>
      <c r="DP7">
        <v>4.0999999999999996</v>
      </c>
      <c r="DQ7">
        <v>4.2000000010000003</v>
      </c>
      <c r="DR7">
        <v>3.7000000009999998</v>
      </c>
      <c r="DS7">
        <v>3.0000000010000001</v>
      </c>
      <c r="DT7">
        <v>2.2000000009999998</v>
      </c>
      <c r="DU7">
        <v>1.400000001</v>
      </c>
      <c r="DV7">
        <v>0.90000000099999999</v>
      </c>
      <c r="DW7">
        <v>2.8</v>
      </c>
      <c r="DX7">
        <v>7.6000000009999997</v>
      </c>
      <c r="DY7">
        <v>14.2</v>
      </c>
      <c r="DZ7">
        <v>21.1</v>
      </c>
      <c r="EA7">
        <v>28.3</v>
      </c>
      <c r="EB7">
        <v>35.700000000000003</v>
      </c>
      <c r="EC7">
        <v>43.4</v>
      </c>
      <c r="ED7">
        <v>51.2</v>
      </c>
      <c r="EE7">
        <v>58.7</v>
      </c>
      <c r="EF7">
        <v>66</v>
      </c>
      <c r="EG7">
        <v>73.8</v>
      </c>
      <c r="EH7">
        <v>81.8</v>
      </c>
      <c r="EI7">
        <v>90</v>
      </c>
      <c r="EJ7">
        <v>98.3</v>
      </c>
      <c r="EK7">
        <v>106.6</v>
      </c>
      <c r="EL7">
        <v>114.7</v>
      </c>
      <c r="EM7">
        <v>123</v>
      </c>
      <c r="EN7">
        <v>131.6</v>
      </c>
      <c r="EO7">
        <v>140.19999999999999</v>
      </c>
      <c r="EP7">
        <v>148.80000000000001</v>
      </c>
      <c r="EQ7">
        <v>157.4</v>
      </c>
      <c r="ER7">
        <v>165.6</v>
      </c>
      <c r="ES7">
        <v>173.9</v>
      </c>
      <c r="ET7">
        <v>182.4</v>
      </c>
      <c r="EU7">
        <v>191.1</v>
      </c>
      <c r="EV7">
        <v>199.8</v>
      </c>
      <c r="EW7">
        <v>208.5</v>
      </c>
      <c r="EX7">
        <v>216.6</v>
      </c>
      <c r="EY7">
        <v>224.7</v>
      </c>
      <c r="EZ7">
        <v>233.2</v>
      </c>
      <c r="FA7">
        <v>241.8</v>
      </c>
      <c r="FB7">
        <v>250.1</v>
      </c>
      <c r="FC7">
        <v>258.39999999999998</v>
      </c>
      <c r="FD7">
        <v>266.2</v>
      </c>
      <c r="FE7">
        <v>274</v>
      </c>
      <c r="FF7">
        <v>281.89999999999998</v>
      </c>
      <c r="FG7">
        <v>289.89999999999998</v>
      </c>
      <c r="FH7">
        <v>297.89999999999998</v>
      </c>
      <c r="FI7">
        <v>305.39999999999998</v>
      </c>
      <c r="FJ7">
        <v>313</v>
      </c>
      <c r="FK7">
        <v>320.10000000000002</v>
      </c>
      <c r="FL7">
        <v>327.3</v>
      </c>
      <c r="FM7">
        <v>334.6</v>
      </c>
      <c r="FN7">
        <v>342</v>
      </c>
      <c r="FO7">
        <v>349</v>
      </c>
      <c r="FP7">
        <v>355.7</v>
      </c>
      <c r="FQ7">
        <v>362.6</v>
      </c>
      <c r="FR7">
        <v>369</v>
      </c>
      <c r="FS7">
        <v>375.3</v>
      </c>
      <c r="FT7">
        <v>381.7</v>
      </c>
      <c r="FU7">
        <v>388.2</v>
      </c>
      <c r="FV7">
        <v>394.7</v>
      </c>
      <c r="FW7">
        <v>400.7</v>
      </c>
      <c r="FX7">
        <v>406.5</v>
      </c>
      <c r="FY7">
        <v>412.3</v>
      </c>
      <c r="FZ7">
        <v>417.8</v>
      </c>
      <c r="GA7">
        <v>423</v>
      </c>
      <c r="GB7">
        <v>428.4</v>
      </c>
      <c r="GC7">
        <v>433.6</v>
      </c>
      <c r="GD7">
        <v>438.8</v>
      </c>
      <c r="GE7">
        <v>443.7</v>
      </c>
      <c r="GF7">
        <v>447.7</v>
      </c>
      <c r="GG7">
        <v>451.4</v>
      </c>
      <c r="GH7">
        <v>455.3</v>
      </c>
      <c r="GI7">
        <v>458.6</v>
      </c>
      <c r="GJ7">
        <v>460</v>
      </c>
      <c r="GK7">
        <v>460.1</v>
      </c>
      <c r="GL7">
        <v>460.1</v>
      </c>
      <c r="GM7">
        <v>460.1</v>
      </c>
      <c r="GN7">
        <v>460.2</v>
      </c>
      <c r="GO7">
        <v>460.1</v>
      </c>
      <c r="GP7">
        <v>460.1</v>
      </c>
      <c r="GQ7">
        <v>460.1</v>
      </c>
      <c r="GR7">
        <v>460.2</v>
      </c>
      <c r="GS7">
        <v>460.1</v>
      </c>
      <c r="GT7">
        <v>460.3</v>
      </c>
      <c r="GU7">
        <v>460.2</v>
      </c>
      <c r="GV7">
        <v>460.3</v>
      </c>
      <c r="GW7">
        <v>1</v>
      </c>
      <c r="GX7">
        <v>112.1</v>
      </c>
      <c r="GY7">
        <v>107.7</v>
      </c>
      <c r="GZ7">
        <v>107.7</v>
      </c>
      <c r="HA7">
        <v>123</v>
      </c>
      <c r="HB7">
        <v>111.5341408</v>
      </c>
      <c r="HC7">
        <v>-15.3</v>
      </c>
      <c r="HD7">
        <v>460.3</v>
      </c>
      <c r="HE7">
        <v>304.71104709999997</v>
      </c>
      <c r="HF7">
        <v>96.489419940000005</v>
      </c>
      <c r="HG7">
        <v>460.3</v>
      </c>
      <c r="HH7">
        <v>460.3</v>
      </c>
      <c r="HI7">
        <v>460.3</v>
      </c>
      <c r="HJ7">
        <v>460.3</v>
      </c>
      <c r="HK7">
        <v>114.9560117</v>
      </c>
      <c r="HL7">
        <v>3.4651824210000002</v>
      </c>
      <c r="HM7">
        <v>3.3051166670000001</v>
      </c>
      <c r="HN7">
        <v>3.3732321619999999</v>
      </c>
      <c r="HO7">
        <v>3.2325700469999998</v>
      </c>
      <c r="HP7">
        <v>3.65009366</v>
      </c>
      <c r="HQ7">
        <v>2.2906690570000001</v>
      </c>
      <c r="HR7">
        <v>15.044720829999999</v>
      </c>
      <c r="HS7">
        <v>-28.152492670000001</v>
      </c>
      <c r="HT7">
        <v>-192</v>
      </c>
      <c r="HU7">
        <v>416.24518790000002</v>
      </c>
      <c r="HV7">
        <v>91.49560117</v>
      </c>
      <c r="HW7">
        <v>624</v>
      </c>
      <c r="HX7">
        <v>15.044720829999999</v>
      </c>
      <c r="HY7">
        <v>-28.152492670000001</v>
      </c>
      <c r="HZ7">
        <v>-192</v>
      </c>
      <c r="IA7">
        <v>416.24518790000002</v>
      </c>
      <c r="IB7">
        <v>91.49560117</v>
      </c>
      <c r="IC7">
        <v>624</v>
      </c>
      <c r="ID7">
        <v>44.054812079999998</v>
      </c>
      <c r="IE7">
        <v>8.5161850000000008E-3</v>
      </c>
      <c r="IF7">
        <v>-37.536656890000003</v>
      </c>
      <c r="IG7">
        <v>-256</v>
      </c>
      <c r="IH7">
        <v>437.97905709999998</v>
      </c>
      <c r="II7">
        <v>100.8797654</v>
      </c>
      <c r="IJ7">
        <v>688</v>
      </c>
      <c r="IK7">
        <v>401.20046710000003</v>
      </c>
      <c r="IL7">
        <v>119.6480938</v>
      </c>
      <c r="IM7">
        <v>423.8387682</v>
      </c>
      <c r="IN7">
        <v>129.03225810000001</v>
      </c>
      <c r="IO7">
        <v>6.8999999990000003</v>
      </c>
      <c r="IP7">
        <v>5.5000000010000001</v>
      </c>
      <c r="IQ7">
        <v>8.6999999999999993</v>
      </c>
      <c r="IR7">
        <v>5.9852354979999998</v>
      </c>
      <c r="IS7">
        <v>5.9852354979999998</v>
      </c>
      <c r="IT7">
        <v>13.9</v>
      </c>
      <c r="IU7">
        <v>-28.152492670000001</v>
      </c>
      <c r="IV7">
        <v>17.399999999999999</v>
      </c>
      <c r="IW7">
        <v>49.266862170000003</v>
      </c>
      <c r="IX7">
        <v>13.4</v>
      </c>
      <c r="IY7">
        <v>100.8797654</v>
      </c>
      <c r="IZ7">
        <v>-32.88149087</v>
      </c>
      <c r="JA7">
        <v>0.32630937900000001</v>
      </c>
      <c r="JB7">
        <v>-3.5313400000000001E-4</v>
      </c>
      <c r="JC7">
        <v>6.8700000000000005E-7</v>
      </c>
      <c r="JD7">
        <v>0.28858509599999999</v>
      </c>
      <c r="JE7">
        <v>0.18873447600000001</v>
      </c>
      <c r="JF7">
        <v>6.3033824000000002E-2</v>
      </c>
      <c r="JG7">
        <v>111.8120928</v>
      </c>
      <c r="JH7">
        <v>3.65009366</v>
      </c>
      <c r="JI7">
        <v>3.9226169999999998E-3</v>
      </c>
      <c r="JJ7">
        <v>-8.2710899999999994E-5</v>
      </c>
      <c r="JK7">
        <v>3.4651824210000002</v>
      </c>
      <c r="JL7">
        <v>1.037446096</v>
      </c>
      <c r="JM7">
        <v>0.44898530599999997</v>
      </c>
      <c r="JN7" t="s">
        <v>547</v>
      </c>
      <c r="JQ7">
        <v>1</v>
      </c>
    </row>
    <row r="8" spans="1:277">
      <c r="A8" t="s">
        <v>609</v>
      </c>
      <c r="B8" t="s">
        <v>610</v>
      </c>
      <c r="C8" t="s">
        <v>212</v>
      </c>
      <c r="D8">
        <v>3</v>
      </c>
      <c r="E8" t="s">
        <v>213</v>
      </c>
      <c r="F8" t="s">
        <v>214</v>
      </c>
      <c r="G8" t="s">
        <v>546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0.40000000099999999</v>
      </c>
      <c r="R8">
        <v>9.9999999000000006E-2</v>
      </c>
      <c r="S8">
        <v>9.9999999000000006E-2</v>
      </c>
      <c r="T8">
        <v>9.9999999000000006E-2</v>
      </c>
      <c r="U8">
        <v>9.9999999000000006E-2</v>
      </c>
      <c r="V8">
        <v>0</v>
      </c>
      <c r="W8">
        <v>0</v>
      </c>
      <c r="X8">
        <v>0</v>
      </c>
      <c r="Y8">
        <v>0</v>
      </c>
      <c r="Z8">
        <v>0</v>
      </c>
      <c r="AA8">
        <v>9.9999999000000006E-2</v>
      </c>
      <c r="AB8">
        <v>9.9999999000000006E-2</v>
      </c>
      <c r="AC8">
        <v>9.9999999000000006E-2</v>
      </c>
      <c r="AD8">
        <v>9.9999999000000006E-2</v>
      </c>
      <c r="AE8">
        <v>9.9999999000000006E-2</v>
      </c>
      <c r="AF8">
        <v>0.2</v>
      </c>
      <c r="AG8">
        <v>1.200000001</v>
      </c>
      <c r="AH8">
        <v>4.9000000000000004</v>
      </c>
      <c r="AI8">
        <v>10.3</v>
      </c>
      <c r="AJ8">
        <v>16.600000000000001</v>
      </c>
      <c r="AK8">
        <v>23.7</v>
      </c>
      <c r="AL8">
        <v>30.9</v>
      </c>
      <c r="AM8">
        <v>38.299999999999997</v>
      </c>
      <c r="AN8">
        <v>45.3</v>
      </c>
      <c r="AO8">
        <v>52.3</v>
      </c>
      <c r="AP8">
        <v>59.9</v>
      </c>
      <c r="AQ8">
        <v>67.7</v>
      </c>
      <c r="AR8">
        <v>75.7</v>
      </c>
      <c r="AS8">
        <v>83.7</v>
      </c>
      <c r="AT8">
        <v>91.7</v>
      </c>
      <c r="AU8">
        <v>99.1</v>
      </c>
      <c r="AV8">
        <v>106.9</v>
      </c>
      <c r="AW8">
        <v>115.4</v>
      </c>
      <c r="AX8">
        <v>124.2</v>
      </c>
      <c r="AY8">
        <v>132.80000000000001</v>
      </c>
      <c r="AZ8">
        <v>141.19999999999999</v>
      </c>
      <c r="BA8">
        <v>149</v>
      </c>
      <c r="BB8">
        <v>156.80000000000001</v>
      </c>
      <c r="BC8">
        <v>165.2</v>
      </c>
      <c r="BD8">
        <v>173.6</v>
      </c>
      <c r="BE8">
        <v>182</v>
      </c>
      <c r="BF8">
        <v>190.4</v>
      </c>
      <c r="BG8">
        <v>198.4</v>
      </c>
      <c r="BH8">
        <v>206.2</v>
      </c>
      <c r="BI8">
        <v>214.2</v>
      </c>
      <c r="BJ8">
        <v>222.4</v>
      </c>
      <c r="BK8">
        <v>230.6</v>
      </c>
      <c r="BL8">
        <v>238.8</v>
      </c>
      <c r="BM8">
        <v>246.8</v>
      </c>
      <c r="BN8">
        <v>254.3</v>
      </c>
      <c r="BO8">
        <v>262</v>
      </c>
      <c r="BP8">
        <v>270</v>
      </c>
      <c r="BQ8">
        <v>277.7</v>
      </c>
      <c r="BR8">
        <v>285.39999999999998</v>
      </c>
      <c r="BS8">
        <v>293.2</v>
      </c>
      <c r="BT8">
        <v>300.60000000000002</v>
      </c>
      <c r="BU8">
        <v>307.5</v>
      </c>
      <c r="BV8">
        <v>314.7</v>
      </c>
      <c r="BW8">
        <v>322</v>
      </c>
      <c r="BX8">
        <v>329.2</v>
      </c>
      <c r="BY8">
        <v>336.2</v>
      </c>
      <c r="BZ8">
        <v>343.2</v>
      </c>
      <c r="CA8">
        <v>350.1</v>
      </c>
      <c r="CB8">
        <v>356.5</v>
      </c>
      <c r="CC8">
        <v>362.9</v>
      </c>
      <c r="CD8">
        <v>369.4</v>
      </c>
      <c r="CE8">
        <v>375.9</v>
      </c>
      <c r="CF8">
        <v>382.4</v>
      </c>
      <c r="CG8">
        <v>388.6</v>
      </c>
      <c r="CH8">
        <v>394.9</v>
      </c>
      <c r="CI8">
        <v>400.9</v>
      </c>
      <c r="CJ8">
        <v>406.6</v>
      </c>
      <c r="CK8">
        <v>412.2</v>
      </c>
      <c r="CL8">
        <v>418</v>
      </c>
      <c r="CM8">
        <v>423.7</v>
      </c>
      <c r="CN8">
        <v>429.4</v>
      </c>
      <c r="CO8">
        <v>435</v>
      </c>
      <c r="CP8">
        <v>440.4</v>
      </c>
      <c r="CQ8">
        <v>445.9</v>
      </c>
      <c r="CR8">
        <v>450.9</v>
      </c>
      <c r="CS8">
        <v>453.1</v>
      </c>
      <c r="CT8">
        <v>453.2</v>
      </c>
      <c r="CU8">
        <v>453.2</v>
      </c>
      <c r="CV8">
        <v>453.1</v>
      </c>
      <c r="CW8">
        <v>453.2</v>
      </c>
      <c r="CX8">
        <v>453.2</v>
      </c>
      <c r="CY8">
        <v>453.2</v>
      </c>
      <c r="CZ8">
        <v>453.1</v>
      </c>
      <c r="DA8">
        <v>453.1</v>
      </c>
      <c r="DB8">
        <v>453.1</v>
      </c>
      <c r="DC8">
        <v>453</v>
      </c>
      <c r="DD8">
        <v>453</v>
      </c>
      <c r="DE8">
        <v>453</v>
      </c>
      <c r="DF8">
        <v>453.1</v>
      </c>
      <c r="DG8">
        <v>1.1000000000000001</v>
      </c>
      <c r="DH8">
        <v>1</v>
      </c>
      <c r="DI8">
        <v>0.89999999900000005</v>
      </c>
      <c r="DJ8">
        <v>0.89999999900000005</v>
      </c>
      <c r="DK8">
        <v>0.89999999900000005</v>
      </c>
      <c r="DL8">
        <v>1</v>
      </c>
      <c r="DM8">
        <v>1</v>
      </c>
      <c r="DN8">
        <v>1.1000000000000001</v>
      </c>
      <c r="DO8">
        <v>1.1000000000000001</v>
      </c>
      <c r="DP8">
        <v>1</v>
      </c>
      <c r="DQ8">
        <v>0.89999999900000005</v>
      </c>
      <c r="DR8">
        <v>1</v>
      </c>
      <c r="DS8">
        <v>0.89999999900000005</v>
      </c>
      <c r="DT8">
        <v>1</v>
      </c>
      <c r="DU8">
        <v>1</v>
      </c>
      <c r="DV8">
        <v>3.0000000010000001</v>
      </c>
      <c r="DW8">
        <v>8.1999999999999993</v>
      </c>
      <c r="DX8">
        <v>14.7</v>
      </c>
      <c r="DY8">
        <v>21.9</v>
      </c>
      <c r="DZ8">
        <v>29.2</v>
      </c>
      <c r="EA8">
        <v>36.5</v>
      </c>
      <c r="EB8">
        <v>43.6</v>
      </c>
      <c r="EC8">
        <v>50.5</v>
      </c>
      <c r="ED8">
        <v>58</v>
      </c>
      <c r="EE8">
        <v>65.599999999999994</v>
      </c>
      <c r="EF8">
        <v>73.5</v>
      </c>
      <c r="EG8">
        <v>81.5</v>
      </c>
      <c r="EH8">
        <v>89.5</v>
      </c>
      <c r="EI8">
        <v>97</v>
      </c>
      <c r="EJ8">
        <v>104.5</v>
      </c>
      <c r="EK8">
        <v>112.6</v>
      </c>
      <c r="EL8">
        <v>121.1</v>
      </c>
      <c r="EM8">
        <v>129.9</v>
      </c>
      <c r="EN8">
        <v>138.6</v>
      </c>
      <c r="EO8">
        <v>146.69999999999999</v>
      </c>
      <c r="EP8">
        <v>154.4</v>
      </c>
      <c r="EQ8">
        <v>162.6</v>
      </c>
      <c r="ER8">
        <v>171.1</v>
      </c>
      <c r="ES8">
        <v>179.6</v>
      </c>
      <c r="ET8">
        <v>188</v>
      </c>
      <c r="EU8">
        <v>196.4</v>
      </c>
      <c r="EV8">
        <v>204.2</v>
      </c>
      <c r="EW8">
        <v>212.4</v>
      </c>
      <c r="EX8">
        <v>220.6</v>
      </c>
      <c r="EY8">
        <v>229</v>
      </c>
      <c r="EZ8">
        <v>237.2</v>
      </c>
      <c r="FA8">
        <v>245.5</v>
      </c>
      <c r="FB8">
        <v>253.1</v>
      </c>
      <c r="FC8">
        <v>260.8</v>
      </c>
      <c r="FD8">
        <v>268.89999999999998</v>
      </c>
      <c r="FE8">
        <v>276.8</v>
      </c>
      <c r="FF8">
        <v>284.8</v>
      </c>
      <c r="FG8">
        <v>292.60000000000002</v>
      </c>
      <c r="FH8">
        <v>300.2</v>
      </c>
      <c r="FI8">
        <v>307.2</v>
      </c>
      <c r="FJ8">
        <v>314.60000000000002</v>
      </c>
      <c r="FK8">
        <v>322</v>
      </c>
      <c r="FL8">
        <v>329.3</v>
      </c>
      <c r="FM8">
        <v>336.5</v>
      </c>
      <c r="FN8">
        <v>343.7</v>
      </c>
      <c r="FO8">
        <v>350.6</v>
      </c>
      <c r="FP8">
        <v>357.1</v>
      </c>
      <c r="FQ8">
        <v>363.7</v>
      </c>
      <c r="FR8">
        <v>370.3</v>
      </c>
      <c r="FS8">
        <v>376.9</v>
      </c>
      <c r="FT8">
        <v>383.4</v>
      </c>
      <c r="FU8">
        <v>389.9</v>
      </c>
      <c r="FV8">
        <v>396.1</v>
      </c>
      <c r="FW8">
        <v>402.1</v>
      </c>
      <c r="FX8">
        <v>407.8</v>
      </c>
      <c r="FY8">
        <v>413.6</v>
      </c>
      <c r="FZ8">
        <v>419.3</v>
      </c>
      <c r="GA8">
        <v>424.8</v>
      </c>
      <c r="GB8">
        <v>430.4</v>
      </c>
      <c r="GC8">
        <v>435.8</v>
      </c>
      <c r="GD8">
        <v>440.9</v>
      </c>
      <c r="GE8">
        <v>445.9</v>
      </c>
      <c r="GF8">
        <v>450.4</v>
      </c>
      <c r="GG8">
        <v>452.8</v>
      </c>
      <c r="GH8">
        <v>453</v>
      </c>
      <c r="GI8">
        <v>453</v>
      </c>
      <c r="GJ8">
        <v>453</v>
      </c>
      <c r="GK8">
        <v>453</v>
      </c>
      <c r="GL8">
        <v>452.9</v>
      </c>
      <c r="GM8">
        <v>452.9</v>
      </c>
      <c r="GN8">
        <v>452.8</v>
      </c>
      <c r="GO8">
        <v>452.8</v>
      </c>
      <c r="GP8">
        <v>452.9</v>
      </c>
      <c r="GQ8">
        <v>453</v>
      </c>
      <c r="GR8">
        <v>452.9</v>
      </c>
      <c r="GS8">
        <v>453</v>
      </c>
      <c r="GT8">
        <v>453.1</v>
      </c>
      <c r="GU8">
        <v>453.1</v>
      </c>
      <c r="GV8">
        <v>453</v>
      </c>
      <c r="GW8">
        <v>1</v>
      </c>
      <c r="GX8">
        <v>121.4</v>
      </c>
      <c r="GY8">
        <v>115.4</v>
      </c>
      <c r="GZ8">
        <v>115.4</v>
      </c>
      <c r="HA8">
        <v>129.9</v>
      </c>
      <c r="HB8">
        <v>119.3250166</v>
      </c>
      <c r="HC8">
        <v>-14.5</v>
      </c>
      <c r="HD8">
        <v>453.00001099999997</v>
      </c>
      <c r="HE8">
        <v>298.84961379999999</v>
      </c>
      <c r="HF8">
        <v>102.08820350000001</v>
      </c>
      <c r="HG8">
        <v>453.2</v>
      </c>
      <c r="HH8">
        <v>453.09998899999999</v>
      </c>
      <c r="HI8">
        <v>453.2</v>
      </c>
      <c r="HJ8">
        <v>453.1</v>
      </c>
      <c r="HK8">
        <v>107.9178886</v>
      </c>
      <c r="HL8">
        <v>3.3896726799999999</v>
      </c>
      <c r="HM8">
        <v>3.2516683739999999</v>
      </c>
      <c r="HN8">
        <v>3.2969914679999999</v>
      </c>
      <c r="HO8">
        <v>3.1556862300000001</v>
      </c>
      <c r="HP8">
        <v>3.563009256</v>
      </c>
      <c r="HQ8">
        <v>2.323143478</v>
      </c>
      <c r="HR8">
        <v>17.23681307</v>
      </c>
      <c r="HS8">
        <v>-30.498533720000001</v>
      </c>
      <c r="HT8">
        <v>-208</v>
      </c>
      <c r="HU8">
        <v>418.17463029999999</v>
      </c>
      <c r="HV8">
        <v>91.49560117</v>
      </c>
      <c r="HW8">
        <v>624</v>
      </c>
      <c r="HX8">
        <v>17.23681307</v>
      </c>
      <c r="HY8">
        <v>-30.498533720000001</v>
      </c>
      <c r="HZ8">
        <v>-208</v>
      </c>
      <c r="IA8">
        <v>418.17463029999999</v>
      </c>
      <c r="IB8">
        <v>91.49560117</v>
      </c>
      <c r="IC8">
        <v>624</v>
      </c>
      <c r="ID8">
        <v>34.925358639999999</v>
      </c>
      <c r="IE8">
        <v>0.20988744300000001</v>
      </c>
      <c r="IF8">
        <v>-39.882697950000001</v>
      </c>
      <c r="IG8">
        <v>-272</v>
      </c>
      <c r="IH8">
        <v>440.44441619999998</v>
      </c>
      <c r="II8">
        <v>100.8797654</v>
      </c>
      <c r="IJ8">
        <v>688</v>
      </c>
      <c r="IK8">
        <v>400.93781730000001</v>
      </c>
      <c r="IL8">
        <v>121.99413490000001</v>
      </c>
      <c r="IM8">
        <v>424.4971309</v>
      </c>
      <c r="IN8">
        <v>131.37829909999999</v>
      </c>
      <c r="IO8">
        <v>6.5</v>
      </c>
      <c r="IP8">
        <v>5.6</v>
      </c>
      <c r="IQ8">
        <v>8.8000000000000007</v>
      </c>
      <c r="IR8">
        <v>5.5067837849999997</v>
      </c>
      <c r="IS8">
        <v>5.5067837849999997</v>
      </c>
      <c r="IT8">
        <v>11.6</v>
      </c>
      <c r="IU8">
        <v>-32.844574780000002</v>
      </c>
      <c r="IV8">
        <v>14.9</v>
      </c>
      <c r="IW8">
        <v>46.920821109999999</v>
      </c>
      <c r="IX8">
        <v>11.5</v>
      </c>
      <c r="IY8">
        <v>100.8797654</v>
      </c>
      <c r="IZ8">
        <v>-36.066267189999998</v>
      </c>
      <c r="JA8">
        <v>0.33365276900000002</v>
      </c>
      <c r="JB8">
        <v>-3.4358199999999999E-4</v>
      </c>
      <c r="JC8">
        <v>6.5580000000000004E-7</v>
      </c>
      <c r="JD8">
        <v>0.29501373600000003</v>
      </c>
      <c r="JE8">
        <v>0.21381804300000001</v>
      </c>
      <c r="JF8">
        <v>8.8953456E-2</v>
      </c>
      <c r="JG8">
        <v>119.88163539999999</v>
      </c>
      <c r="JH8">
        <v>3.563009256</v>
      </c>
      <c r="JI8">
        <v>3.3144239999999998E-3</v>
      </c>
      <c r="JJ8">
        <v>-7.3518799999999998E-5</v>
      </c>
      <c r="JK8">
        <v>3.3896726799999999</v>
      </c>
      <c r="JL8">
        <v>1.0691397140000001</v>
      </c>
      <c r="JM8">
        <v>0.47221405700000002</v>
      </c>
      <c r="JN8" t="s">
        <v>547</v>
      </c>
      <c r="JQ8">
        <v>1</v>
      </c>
    </row>
    <row r="9" spans="1:277">
      <c r="A9" t="s">
        <v>621</v>
      </c>
      <c r="B9" t="s">
        <v>622</v>
      </c>
      <c r="C9" t="s">
        <v>212</v>
      </c>
      <c r="D9">
        <v>3</v>
      </c>
      <c r="E9" t="s">
        <v>213</v>
      </c>
      <c r="F9" t="s">
        <v>214</v>
      </c>
      <c r="G9" t="s">
        <v>546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5.9</v>
      </c>
      <c r="R9">
        <v>6.2</v>
      </c>
      <c r="S9">
        <v>6.2</v>
      </c>
      <c r="T9">
        <v>6.4</v>
      </c>
      <c r="U9">
        <v>6.2999999989999997</v>
      </c>
      <c r="V9">
        <v>6.2999999989999997</v>
      </c>
      <c r="W9">
        <v>6.4</v>
      </c>
      <c r="X9">
        <v>6.2999999989999997</v>
      </c>
      <c r="Y9">
        <v>6.2999999989999997</v>
      </c>
      <c r="Z9">
        <v>5.9999999989999999</v>
      </c>
      <c r="AA9">
        <v>5.2</v>
      </c>
      <c r="AB9">
        <v>3.9</v>
      </c>
      <c r="AC9">
        <v>2.6999999990000001</v>
      </c>
      <c r="AD9">
        <v>1.700000001</v>
      </c>
      <c r="AE9">
        <v>1</v>
      </c>
      <c r="AF9">
        <v>0.40000000099999999</v>
      </c>
      <c r="AG9">
        <v>0</v>
      </c>
      <c r="AH9">
        <v>0.40000000099999999</v>
      </c>
      <c r="AI9">
        <v>3.1</v>
      </c>
      <c r="AJ9">
        <v>7.7</v>
      </c>
      <c r="AK9">
        <v>13.9</v>
      </c>
      <c r="AL9">
        <v>21</v>
      </c>
      <c r="AM9">
        <v>28.2</v>
      </c>
      <c r="AN9">
        <v>35.799999999999997</v>
      </c>
      <c r="AO9">
        <v>43.3</v>
      </c>
      <c r="AP9">
        <v>51.1</v>
      </c>
      <c r="AQ9">
        <v>58.5</v>
      </c>
      <c r="AR9">
        <v>65.900000000000006</v>
      </c>
      <c r="AS9">
        <v>74</v>
      </c>
      <c r="AT9">
        <v>82.1</v>
      </c>
      <c r="AU9">
        <v>90.3</v>
      </c>
      <c r="AV9">
        <v>98.7</v>
      </c>
      <c r="AW9">
        <v>107.2</v>
      </c>
      <c r="AX9">
        <v>115.6</v>
      </c>
      <c r="AY9">
        <v>124.1</v>
      </c>
      <c r="AZ9">
        <v>132.6</v>
      </c>
      <c r="BA9">
        <v>141.19999999999999</v>
      </c>
      <c r="BB9">
        <v>149.5</v>
      </c>
      <c r="BC9">
        <v>158</v>
      </c>
      <c r="BD9">
        <v>165.9</v>
      </c>
      <c r="BE9">
        <v>174.2</v>
      </c>
      <c r="BF9">
        <v>182.6</v>
      </c>
      <c r="BG9">
        <v>191.2</v>
      </c>
      <c r="BH9">
        <v>199.5</v>
      </c>
      <c r="BI9">
        <v>207.8</v>
      </c>
      <c r="BJ9">
        <v>215.7</v>
      </c>
      <c r="BK9">
        <v>223.7</v>
      </c>
      <c r="BL9">
        <v>232</v>
      </c>
      <c r="BM9">
        <v>240.2</v>
      </c>
      <c r="BN9">
        <v>248.3</v>
      </c>
      <c r="BO9">
        <v>256.2</v>
      </c>
      <c r="BP9">
        <v>263.89999999999998</v>
      </c>
      <c r="BQ9">
        <v>271.3</v>
      </c>
      <c r="BR9">
        <v>278.89999999999998</v>
      </c>
      <c r="BS9">
        <v>286.8</v>
      </c>
      <c r="BT9">
        <v>294.39999999999998</v>
      </c>
      <c r="BU9">
        <v>301.8</v>
      </c>
      <c r="BV9">
        <v>309.10000000000002</v>
      </c>
      <c r="BW9">
        <v>316.10000000000002</v>
      </c>
      <c r="BX9">
        <v>323</v>
      </c>
      <c r="BY9">
        <v>330</v>
      </c>
      <c r="BZ9">
        <v>337</v>
      </c>
      <c r="CA9">
        <v>343.9</v>
      </c>
      <c r="CB9">
        <v>350.6</v>
      </c>
      <c r="CC9">
        <v>357.1</v>
      </c>
      <c r="CD9">
        <v>363.5</v>
      </c>
      <c r="CE9">
        <v>369.6</v>
      </c>
      <c r="CF9">
        <v>375.7</v>
      </c>
      <c r="CG9">
        <v>381.9</v>
      </c>
      <c r="CH9">
        <v>388</v>
      </c>
      <c r="CI9">
        <v>394.1</v>
      </c>
      <c r="CJ9">
        <v>400.1</v>
      </c>
      <c r="CK9">
        <v>405.7</v>
      </c>
      <c r="CL9">
        <v>411.3</v>
      </c>
      <c r="CM9">
        <v>416.7</v>
      </c>
      <c r="CN9">
        <v>421.9</v>
      </c>
      <c r="CO9">
        <v>427.4</v>
      </c>
      <c r="CP9">
        <v>432.7</v>
      </c>
      <c r="CQ9">
        <v>437.9</v>
      </c>
      <c r="CR9">
        <v>442.3</v>
      </c>
      <c r="CS9">
        <v>445.9</v>
      </c>
      <c r="CT9">
        <v>449.6</v>
      </c>
      <c r="CU9">
        <v>452.4</v>
      </c>
      <c r="CV9">
        <v>453.1</v>
      </c>
      <c r="CW9">
        <v>453.1</v>
      </c>
      <c r="CX9">
        <v>453.1</v>
      </c>
      <c r="CY9">
        <v>453.1</v>
      </c>
      <c r="CZ9">
        <v>453.2</v>
      </c>
      <c r="DA9">
        <v>453.1</v>
      </c>
      <c r="DB9">
        <v>453.2</v>
      </c>
      <c r="DC9">
        <v>453.1</v>
      </c>
      <c r="DD9">
        <v>453.2</v>
      </c>
      <c r="DE9">
        <v>453.2</v>
      </c>
      <c r="DF9">
        <v>453.2</v>
      </c>
      <c r="DG9">
        <v>6.9</v>
      </c>
      <c r="DH9">
        <v>7.6000000009999997</v>
      </c>
      <c r="DI9">
        <v>7.6000000009999997</v>
      </c>
      <c r="DJ9">
        <v>7.6000000009999997</v>
      </c>
      <c r="DK9">
        <v>7.5</v>
      </c>
      <c r="DL9">
        <v>7.5</v>
      </c>
      <c r="DM9">
        <v>7.4</v>
      </c>
      <c r="DN9">
        <v>7.4</v>
      </c>
      <c r="DO9">
        <v>7</v>
      </c>
      <c r="DP9">
        <v>5.9999999989999999</v>
      </c>
      <c r="DQ9">
        <v>4.5999999999999996</v>
      </c>
      <c r="DR9">
        <v>3.4</v>
      </c>
      <c r="DS9">
        <v>2.3999999989999998</v>
      </c>
      <c r="DT9">
        <v>1.700000001</v>
      </c>
      <c r="DU9">
        <v>1.200000001</v>
      </c>
      <c r="DV9">
        <v>0.89999999900000005</v>
      </c>
      <c r="DW9">
        <v>2.5000000010000001</v>
      </c>
      <c r="DX9">
        <v>7.4</v>
      </c>
      <c r="DY9">
        <v>13.6</v>
      </c>
      <c r="DZ9">
        <v>20.8</v>
      </c>
      <c r="EA9">
        <v>28</v>
      </c>
      <c r="EB9">
        <v>35.6</v>
      </c>
      <c r="EC9">
        <v>43.1</v>
      </c>
      <c r="ED9">
        <v>50.7</v>
      </c>
      <c r="EE9">
        <v>58.2</v>
      </c>
      <c r="EF9">
        <v>65.5</v>
      </c>
      <c r="EG9">
        <v>73.400000000000006</v>
      </c>
      <c r="EH9">
        <v>81.5</v>
      </c>
      <c r="EI9">
        <v>89.7</v>
      </c>
      <c r="EJ9">
        <v>97.8</v>
      </c>
      <c r="EK9">
        <v>106</v>
      </c>
      <c r="EL9">
        <v>114.1</v>
      </c>
      <c r="EM9">
        <v>122.7</v>
      </c>
      <c r="EN9">
        <v>131.4</v>
      </c>
      <c r="EO9">
        <v>140.1</v>
      </c>
      <c r="EP9">
        <v>148.5</v>
      </c>
      <c r="EQ9">
        <v>156.9</v>
      </c>
      <c r="ER9">
        <v>165</v>
      </c>
      <c r="ES9">
        <v>173.3</v>
      </c>
      <c r="ET9">
        <v>181.9</v>
      </c>
      <c r="EU9">
        <v>190.5</v>
      </c>
      <c r="EV9">
        <v>199</v>
      </c>
      <c r="EW9">
        <v>207.5</v>
      </c>
      <c r="EX9">
        <v>215.5</v>
      </c>
      <c r="EY9">
        <v>223.5</v>
      </c>
      <c r="EZ9">
        <v>232</v>
      </c>
      <c r="FA9">
        <v>240.4</v>
      </c>
      <c r="FB9">
        <v>248.6</v>
      </c>
      <c r="FC9">
        <v>256.7</v>
      </c>
      <c r="FD9">
        <v>264.60000000000002</v>
      </c>
      <c r="FE9">
        <v>272.2</v>
      </c>
      <c r="FF9">
        <v>280</v>
      </c>
      <c r="FG9">
        <v>287.89999999999998</v>
      </c>
      <c r="FH9">
        <v>295.7</v>
      </c>
      <c r="FI9">
        <v>303.3</v>
      </c>
      <c r="FJ9">
        <v>310.8</v>
      </c>
      <c r="FK9">
        <v>317.8</v>
      </c>
      <c r="FL9">
        <v>324.8</v>
      </c>
      <c r="FM9">
        <v>332.1</v>
      </c>
      <c r="FN9">
        <v>339.2</v>
      </c>
      <c r="FO9">
        <v>346.3</v>
      </c>
      <c r="FP9">
        <v>353.1</v>
      </c>
      <c r="FQ9">
        <v>359.8</v>
      </c>
      <c r="FR9">
        <v>366.1</v>
      </c>
      <c r="FS9">
        <v>372.2</v>
      </c>
      <c r="FT9">
        <v>378.5</v>
      </c>
      <c r="FU9">
        <v>384.9</v>
      </c>
      <c r="FV9">
        <v>391.2</v>
      </c>
      <c r="FW9">
        <v>397.2</v>
      </c>
      <c r="FX9">
        <v>403</v>
      </c>
      <c r="FY9">
        <v>408.8</v>
      </c>
      <c r="FZ9">
        <v>414.4</v>
      </c>
      <c r="GA9">
        <v>419.6</v>
      </c>
      <c r="GB9">
        <v>424.6</v>
      </c>
      <c r="GC9">
        <v>429.8</v>
      </c>
      <c r="GD9">
        <v>434.8</v>
      </c>
      <c r="GE9">
        <v>439.3</v>
      </c>
      <c r="GF9">
        <v>443</v>
      </c>
      <c r="GG9">
        <v>446.3</v>
      </c>
      <c r="GH9">
        <v>449.7</v>
      </c>
      <c r="GI9">
        <v>452.2</v>
      </c>
      <c r="GJ9">
        <v>453.1</v>
      </c>
      <c r="GK9">
        <v>453.1</v>
      </c>
      <c r="GL9">
        <v>453.1</v>
      </c>
      <c r="GM9">
        <v>453.1</v>
      </c>
      <c r="GN9">
        <v>453</v>
      </c>
      <c r="GO9">
        <v>453</v>
      </c>
      <c r="GP9">
        <v>453</v>
      </c>
      <c r="GQ9">
        <v>453</v>
      </c>
      <c r="GR9">
        <v>453</v>
      </c>
      <c r="GS9">
        <v>453.1</v>
      </c>
      <c r="GT9">
        <v>453.1</v>
      </c>
      <c r="GU9">
        <v>453.2</v>
      </c>
      <c r="GV9">
        <v>453.2</v>
      </c>
      <c r="GW9">
        <v>1</v>
      </c>
      <c r="GX9">
        <v>107.7</v>
      </c>
      <c r="GY9">
        <v>107.2</v>
      </c>
      <c r="GZ9">
        <v>107.2</v>
      </c>
      <c r="HA9">
        <v>122.7</v>
      </c>
      <c r="HB9">
        <v>111.131432</v>
      </c>
      <c r="HC9">
        <v>-15.5</v>
      </c>
      <c r="HD9">
        <v>453.2</v>
      </c>
      <c r="HE9">
        <v>295.99000439999998</v>
      </c>
      <c r="HF9">
        <v>89.219737420000001</v>
      </c>
      <c r="HG9">
        <v>453.2</v>
      </c>
      <c r="HH9">
        <v>453.2</v>
      </c>
      <c r="HI9">
        <v>453.2</v>
      </c>
      <c r="HJ9">
        <v>453.2</v>
      </c>
      <c r="HK9">
        <v>114.9560117</v>
      </c>
      <c r="HL9">
        <v>3.4484002889999998</v>
      </c>
      <c r="HM9">
        <v>3.2908204730000001</v>
      </c>
      <c r="HN9">
        <v>3.3704104319999999</v>
      </c>
      <c r="HO9">
        <v>3.3243068199999999</v>
      </c>
      <c r="HP9">
        <v>3.6468149510000001</v>
      </c>
      <c r="HQ9">
        <v>2.332582607</v>
      </c>
      <c r="HR9">
        <v>21.911694619999999</v>
      </c>
      <c r="HS9">
        <v>-25.80645161</v>
      </c>
      <c r="HT9">
        <v>-176</v>
      </c>
      <c r="HU9">
        <v>407.12143650000002</v>
      </c>
      <c r="HV9">
        <v>89.149560120000004</v>
      </c>
      <c r="HW9">
        <v>608</v>
      </c>
      <c r="HX9">
        <v>21.911694619999999</v>
      </c>
      <c r="HY9">
        <v>-25.80645161</v>
      </c>
      <c r="HZ9">
        <v>-176</v>
      </c>
      <c r="IA9">
        <v>407.12143650000002</v>
      </c>
      <c r="IB9">
        <v>89.149560120000004</v>
      </c>
      <c r="IC9">
        <v>608</v>
      </c>
      <c r="ID9">
        <v>46.078563549999998</v>
      </c>
      <c r="IE9">
        <v>0.46023830599999999</v>
      </c>
      <c r="IF9">
        <v>-35.19061584</v>
      </c>
      <c r="IG9">
        <v>-240</v>
      </c>
      <c r="IH9">
        <v>428.9342785</v>
      </c>
      <c r="II9">
        <v>98.533724340000006</v>
      </c>
      <c r="IJ9">
        <v>672</v>
      </c>
      <c r="IK9">
        <v>385.20974180000002</v>
      </c>
      <c r="IL9">
        <v>114.9560117</v>
      </c>
      <c r="IM9">
        <v>410.24439539999997</v>
      </c>
      <c r="IN9">
        <v>124.340176</v>
      </c>
      <c r="IO9">
        <v>7.2</v>
      </c>
      <c r="IP9">
        <v>5.7999999989999997</v>
      </c>
      <c r="IQ9">
        <v>8.6999999999999993</v>
      </c>
      <c r="IR9">
        <v>6.2135658740000004</v>
      </c>
      <c r="IS9">
        <v>6.2135658740000004</v>
      </c>
      <c r="IT9">
        <v>14.1</v>
      </c>
      <c r="IU9">
        <v>-28.152492670000001</v>
      </c>
      <c r="IV9">
        <v>16.8</v>
      </c>
      <c r="IW9">
        <v>49.266862170000003</v>
      </c>
      <c r="IX9">
        <v>13.1</v>
      </c>
      <c r="IY9">
        <v>98.533724340000006</v>
      </c>
      <c r="IZ9">
        <v>-32.651023090000002</v>
      </c>
      <c r="JA9">
        <v>0.32291304999999998</v>
      </c>
      <c r="JB9">
        <v>-3.3566800000000001E-4</v>
      </c>
      <c r="JC9">
        <v>6.7999999999999995E-7</v>
      </c>
      <c r="JD9">
        <v>0.28998953599999999</v>
      </c>
      <c r="JE9">
        <v>0.175819901</v>
      </c>
      <c r="JF9">
        <v>7.6522715000000005E-2</v>
      </c>
      <c r="JG9">
        <v>111.55877460000001</v>
      </c>
      <c r="JH9">
        <v>3.6468149510000001</v>
      </c>
      <c r="JI9">
        <v>3.191148E-3</v>
      </c>
      <c r="JJ9">
        <v>-7.8984000000000001E-5</v>
      </c>
      <c r="JK9">
        <v>3.4484002889999998</v>
      </c>
      <c r="JL9">
        <v>1.0510884869999999</v>
      </c>
      <c r="JM9">
        <v>0.461694149</v>
      </c>
      <c r="JN9" t="s">
        <v>547</v>
      </c>
      <c r="JQ9">
        <v>1</v>
      </c>
    </row>
    <row r="10" spans="1:277">
      <c r="A10" t="s">
        <v>630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546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2.900000001</v>
      </c>
      <c r="R10">
        <v>1.200000001</v>
      </c>
      <c r="S10">
        <v>1.1000000009999999</v>
      </c>
      <c r="T10">
        <v>1</v>
      </c>
      <c r="U10">
        <v>0.90000000099999999</v>
      </c>
      <c r="V10">
        <v>0.90000000099999999</v>
      </c>
      <c r="W10">
        <v>0.80000000199999999</v>
      </c>
      <c r="X10">
        <v>0.70000000100000004</v>
      </c>
      <c r="Y10">
        <v>0.60000000099999995</v>
      </c>
      <c r="Z10">
        <v>0.5</v>
      </c>
      <c r="AA10">
        <v>0.40000000099999999</v>
      </c>
      <c r="AB10">
        <v>0.40000000099999999</v>
      </c>
      <c r="AC10">
        <v>0.30000000199999999</v>
      </c>
      <c r="AD10">
        <v>0.2</v>
      </c>
      <c r="AE10">
        <v>0.10000000100000001</v>
      </c>
      <c r="AF10">
        <v>0.10000000100000001</v>
      </c>
      <c r="AG10">
        <v>0</v>
      </c>
      <c r="AH10">
        <v>0.30000000199999999</v>
      </c>
      <c r="AI10">
        <v>3.7000000009999998</v>
      </c>
      <c r="AJ10">
        <v>9.9000000010000004</v>
      </c>
      <c r="AK10">
        <v>16.100000000000001</v>
      </c>
      <c r="AL10">
        <v>22.8</v>
      </c>
      <c r="AM10">
        <v>30.1</v>
      </c>
      <c r="AN10">
        <v>37.6</v>
      </c>
      <c r="AO10">
        <v>45.1</v>
      </c>
      <c r="AP10">
        <v>52.6</v>
      </c>
      <c r="AQ10">
        <v>59.8</v>
      </c>
      <c r="AR10">
        <v>67</v>
      </c>
      <c r="AS10">
        <v>74.8</v>
      </c>
      <c r="AT10">
        <v>82.8</v>
      </c>
      <c r="AU10">
        <v>90.8</v>
      </c>
      <c r="AV10">
        <v>99.1</v>
      </c>
      <c r="AW10">
        <v>107.3</v>
      </c>
      <c r="AX10">
        <v>115</v>
      </c>
      <c r="AY10">
        <v>122.9</v>
      </c>
      <c r="AZ10">
        <v>131.19999999999999</v>
      </c>
      <c r="BA10">
        <v>139.6</v>
      </c>
      <c r="BB10">
        <v>148</v>
      </c>
      <c r="BC10">
        <v>156.30000000000001</v>
      </c>
      <c r="BD10">
        <v>164.3</v>
      </c>
      <c r="BE10">
        <v>172.1</v>
      </c>
      <c r="BF10">
        <v>180.3</v>
      </c>
      <c r="BG10">
        <v>188.8</v>
      </c>
      <c r="BH10">
        <v>197.2</v>
      </c>
      <c r="BI10">
        <v>205.6</v>
      </c>
      <c r="BJ10">
        <v>213.4</v>
      </c>
      <c r="BK10">
        <v>221.1</v>
      </c>
      <c r="BL10">
        <v>229</v>
      </c>
      <c r="BM10">
        <v>237.1</v>
      </c>
      <c r="BN10">
        <v>245.1</v>
      </c>
      <c r="BO10">
        <v>253.3</v>
      </c>
      <c r="BP10">
        <v>261.10000000000002</v>
      </c>
      <c r="BQ10">
        <v>268.39999999999998</v>
      </c>
      <c r="BR10">
        <v>275.7</v>
      </c>
      <c r="BS10">
        <v>283.2</v>
      </c>
      <c r="BT10">
        <v>290.8</v>
      </c>
      <c r="BU10">
        <v>298.2</v>
      </c>
      <c r="BV10">
        <v>305.7</v>
      </c>
      <c r="BW10">
        <v>312.8</v>
      </c>
      <c r="BX10">
        <v>319.60000000000002</v>
      </c>
      <c r="BY10">
        <v>326.2</v>
      </c>
      <c r="BZ10">
        <v>332.9</v>
      </c>
      <c r="CA10">
        <v>339.8</v>
      </c>
      <c r="CB10">
        <v>346.7</v>
      </c>
      <c r="CC10">
        <v>353.5</v>
      </c>
      <c r="CD10">
        <v>360.1</v>
      </c>
      <c r="CE10">
        <v>366.1</v>
      </c>
      <c r="CF10">
        <v>372.1</v>
      </c>
      <c r="CG10">
        <v>378</v>
      </c>
      <c r="CH10">
        <v>384</v>
      </c>
      <c r="CI10">
        <v>389.9</v>
      </c>
      <c r="CJ10">
        <v>395.9</v>
      </c>
      <c r="CK10">
        <v>401.7</v>
      </c>
      <c r="CL10">
        <v>407.6</v>
      </c>
      <c r="CM10">
        <v>413</v>
      </c>
      <c r="CN10">
        <v>418.3</v>
      </c>
      <c r="CO10">
        <v>423.4</v>
      </c>
      <c r="CP10">
        <v>428.4</v>
      </c>
      <c r="CQ10">
        <v>433.5</v>
      </c>
      <c r="CR10">
        <v>438.4</v>
      </c>
      <c r="CS10">
        <v>442.4</v>
      </c>
      <c r="CT10">
        <v>446.7</v>
      </c>
      <c r="CU10">
        <v>450.2</v>
      </c>
      <c r="CV10">
        <v>451.3</v>
      </c>
      <c r="CW10">
        <v>451.3</v>
      </c>
      <c r="CX10">
        <v>451.4</v>
      </c>
      <c r="CY10">
        <v>451.3</v>
      </c>
      <c r="CZ10">
        <v>451.4</v>
      </c>
      <c r="DA10">
        <v>451.4</v>
      </c>
      <c r="DB10">
        <v>451.5</v>
      </c>
      <c r="DC10">
        <v>451.5</v>
      </c>
      <c r="DD10">
        <v>451.6</v>
      </c>
      <c r="DE10">
        <v>451.6</v>
      </c>
      <c r="DF10">
        <v>451.6</v>
      </c>
      <c r="DG10">
        <v>3.7000000009999998</v>
      </c>
      <c r="DH10">
        <v>1.900000001</v>
      </c>
      <c r="DI10">
        <v>1.8</v>
      </c>
      <c r="DJ10">
        <v>1.8</v>
      </c>
      <c r="DK10">
        <v>1.6000000009999999</v>
      </c>
      <c r="DL10">
        <v>1.6000000009999999</v>
      </c>
      <c r="DM10">
        <v>1.5</v>
      </c>
      <c r="DN10">
        <v>1.400000001</v>
      </c>
      <c r="DO10">
        <v>1.400000001</v>
      </c>
      <c r="DP10">
        <v>1.3</v>
      </c>
      <c r="DQ10">
        <v>1.200000001</v>
      </c>
      <c r="DR10">
        <v>1.1000000009999999</v>
      </c>
      <c r="DS10">
        <v>1</v>
      </c>
      <c r="DT10">
        <v>1</v>
      </c>
      <c r="DU10">
        <v>0.90000000099999999</v>
      </c>
      <c r="DV10">
        <v>1</v>
      </c>
      <c r="DW10">
        <v>3.8</v>
      </c>
      <c r="DX10">
        <v>9.9000000010000004</v>
      </c>
      <c r="DY10">
        <v>16.3</v>
      </c>
      <c r="DZ10">
        <v>23.2</v>
      </c>
      <c r="EA10">
        <v>30.5</v>
      </c>
      <c r="EB10">
        <v>37.6</v>
      </c>
      <c r="EC10">
        <v>45.1</v>
      </c>
      <c r="ED10">
        <v>52.5</v>
      </c>
      <c r="EE10">
        <v>59.8</v>
      </c>
      <c r="EF10">
        <v>66.8</v>
      </c>
      <c r="EG10">
        <v>74.5</v>
      </c>
      <c r="EH10">
        <v>82.5</v>
      </c>
      <c r="EI10">
        <v>90.4</v>
      </c>
      <c r="EJ10">
        <v>98.4</v>
      </c>
      <c r="EK10">
        <v>106.6</v>
      </c>
      <c r="EL10">
        <v>114.2</v>
      </c>
      <c r="EM10">
        <v>122.1</v>
      </c>
      <c r="EN10">
        <v>130.5</v>
      </c>
      <c r="EO10">
        <v>138.9</v>
      </c>
      <c r="EP10">
        <v>147.4</v>
      </c>
      <c r="EQ10">
        <v>155.80000000000001</v>
      </c>
      <c r="ER10">
        <v>163.80000000000001</v>
      </c>
      <c r="ES10">
        <v>171.8</v>
      </c>
      <c r="ET10">
        <v>180</v>
      </c>
      <c r="EU10">
        <v>188.4</v>
      </c>
      <c r="EV10">
        <v>196.9</v>
      </c>
      <c r="EW10">
        <v>205.5</v>
      </c>
      <c r="EX10">
        <v>213.5</v>
      </c>
      <c r="EY10">
        <v>221.3</v>
      </c>
      <c r="EZ10">
        <v>229.4</v>
      </c>
      <c r="FA10">
        <v>237.8</v>
      </c>
      <c r="FB10">
        <v>245.9</v>
      </c>
      <c r="FC10">
        <v>254.2</v>
      </c>
      <c r="FD10">
        <v>262.2</v>
      </c>
      <c r="FE10">
        <v>269.7</v>
      </c>
      <c r="FF10">
        <v>277.3</v>
      </c>
      <c r="FG10">
        <v>284.89999999999998</v>
      </c>
      <c r="FH10">
        <v>292.7</v>
      </c>
      <c r="FI10">
        <v>300.39999999999998</v>
      </c>
      <c r="FJ10">
        <v>307.89999999999998</v>
      </c>
      <c r="FK10">
        <v>315</v>
      </c>
      <c r="FL10">
        <v>322</v>
      </c>
      <c r="FM10">
        <v>328.9</v>
      </c>
      <c r="FN10">
        <v>335.9</v>
      </c>
      <c r="FO10">
        <v>342.8</v>
      </c>
      <c r="FP10">
        <v>349.8</v>
      </c>
      <c r="FQ10">
        <v>356.7</v>
      </c>
      <c r="FR10">
        <v>363.3</v>
      </c>
      <c r="FS10">
        <v>369.2</v>
      </c>
      <c r="FT10">
        <v>375.2</v>
      </c>
      <c r="FU10">
        <v>381.3</v>
      </c>
      <c r="FV10">
        <v>387.4</v>
      </c>
      <c r="FW10">
        <v>393.4</v>
      </c>
      <c r="FX10">
        <v>399.3</v>
      </c>
      <c r="FY10">
        <v>405.3</v>
      </c>
      <c r="FZ10">
        <v>411</v>
      </c>
      <c r="GA10">
        <v>416.2</v>
      </c>
      <c r="GB10">
        <v>421.3</v>
      </c>
      <c r="GC10">
        <v>426.2</v>
      </c>
      <c r="GD10">
        <v>431.1</v>
      </c>
      <c r="GE10">
        <v>435.6</v>
      </c>
      <c r="GF10">
        <v>439.6</v>
      </c>
      <c r="GG10">
        <v>443.2</v>
      </c>
      <c r="GH10">
        <v>447.1</v>
      </c>
      <c r="GI10">
        <v>450.2</v>
      </c>
      <c r="GJ10">
        <v>451.5</v>
      </c>
      <c r="GK10">
        <v>451.4</v>
      </c>
      <c r="GL10">
        <v>451.5</v>
      </c>
      <c r="GM10">
        <v>451.5</v>
      </c>
      <c r="GN10">
        <v>451.6</v>
      </c>
      <c r="GO10">
        <v>451.5</v>
      </c>
      <c r="GP10">
        <v>451.6</v>
      </c>
      <c r="GQ10">
        <v>451.6</v>
      </c>
      <c r="GR10">
        <v>451.6</v>
      </c>
      <c r="GS10">
        <v>451.6</v>
      </c>
      <c r="GT10">
        <v>451.6</v>
      </c>
      <c r="GU10">
        <v>451.6</v>
      </c>
      <c r="GV10">
        <v>451.6</v>
      </c>
      <c r="GW10">
        <v>1</v>
      </c>
      <c r="GX10">
        <v>110.7</v>
      </c>
      <c r="GY10">
        <v>107.3</v>
      </c>
      <c r="GZ10">
        <v>107.3</v>
      </c>
      <c r="HA10">
        <v>122.1</v>
      </c>
      <c r="HB10">
        <v>111.0589903</v>
      </c>
      <c r="HC10">
        <v>-14.8</v>
      </c>
      <c r="HD10">
        <v>451.6</v>
      </c>
      <c r="HE10">
        <v>292.39955709999998</v>
      </c>
      <c r="HF10">
        <v>94.216031889999996</v>
      </c>
      <c r="HG10">
        <v>451.6</v>
      </c>
      <c r="HH10">
        <v>451.6</v>
      </c>
      <c r="HI10">
        <v>451.6</v>
      </c>
      <c r="HJ10">
        <v>451.6</v>
      </c>
      <c r="HK10">
        <v>114.9560117</v>
      </c>
      <c r="HL10">
        <v>3.3984918620000002</v>
      </c>
      <c r="HM10">
        <v>3.2557705010000002</v>
      </c>
      <c r="HN10">
        <v>3.3054208200000001</v>
      </c>
      <c r="HO10">
        <v>3.1194353480000001</v>
      </c>
      <c r="HP10">
        <v>3.5522645129999999</v>
      </c>
      <c r="HQ10">
        <v>2.3223449180000002</v>
      </c>
      <c r="HR10">
        <v>16.842958370000002</v>
      </c>
      <c r="HS10">
        <v>-28.152492670000001</v>
      </c>
      <c r="HT10">
        <v>-192</v>
      </c>
      <c r="HU10">
        <v>403.45854739999999</v>
      </c>
      <c r="HV10">
        <v>89.149560120000004</v>
      </c>
      <c r="HW10">
        <v>608</v>
      </c>
      <c r="HX10">
        <v>16.842958370000002</v>
      </c>
      <c r="HY10">
        <v>-28.152492670000001</v>
      </c>
      <c r="HZ10">
        <v>-192</v>
      </c>
      <c r="IA10">
        <v>403.45854739999999</v>
      </c>
      <c r="IB10">
        <v>89.149560120000004</v>
      </c>
      <c r="IC10">
        <v>608</v>
      </c>
      <c r="ID10">
        <v>48.141452610000002</v>
      </c>
      <c r="IE10">
        <v>1.5987600000000001E-2</v>
      </c>
      <c r="IF10">
        <v>-37.536656890000003</v>
      </c>
      <c r="IG10">
        <v>-256</v>
      </c>
      <c r="IH10">
        <v>425.26465899999999</v>
      </c>
      <c r="II10">
        <v>98.533724340000006</v>
      </c>
      <c r="IJ10">
        <v>672</v>
      </c>
      <c r="IK10">
        <v>386.615589</v>
      </c>
      <c r="IL10">
        <v>117.3020528</v>
      </c>
      <c r="IM10">
        <v>410.85158330000002</v>
      </c>
      <c r="IN10">
        <v>126.686217</v>
      </c>
      <c r="IO10">
        <v>6.4</v>
      </c>
      <c r="IP10">
        <v>5.7</v>
      </c>
      <c r="IQ10">
        <v>8.5999999989999996</v>
      </c>
      <c r="IR10">
        <v>5.4962443050000003</v>
      </c>
      <c r="IS10">
        <v>5.4962443050000003</v>
      </c>
      <c r="IT10">
        <v>13.3</v>
      </c>
      <c r="IU10">
        <v>-30.498533720000001</v>
      </c>
      <c r="IV10">
        <v>17.2</v>
      </c>
      <c r="IW10">
        <v>51.612903230000001</v>
      </c>
      <c r="IX10">
        <v>13.7</v>
      </c>
      <c r="IY10">
        <v>96.187683280000002</v>
      </c>
      <c r="IZ10">
        <v>-33.722750040000001</v>
      </c>
      <c r="JA10">
        <v>0.337056668</v>
      </c>
      <c r="JB10">
        <v>-3.7371000000000003E-4</v>
      </c>
      <c r="JC10">
        <v>7.2559999999999999E-7</v>
      </c>
      <c r="JD10">
        <v>0.294248167</v>
      </c>
      <c r="JE10">
        <v>0.222565912</v>
      </c>
      <c r="JF10">
        <v>7.2592805999999996E-2</v>
      </c>
      <c r="JG10">
        <v>111.15640209999999</v>
      </c>
      <c r="JH10">
        <v>3.5522645129999999</v>
      </c>
      <c r="JI10">
        <v>4.1867559999999998E-3</v>
      </c>
      <c r="JJ10">
        <v>-8.2893100000000001E-5</v>
      </c>
      <c r="JK10">
        <v>3.3984918620000002</v>
      </c>
      <c r="JL10">
        <v>1.0766426520000001</v>
      </c>
      <c r="JM10">
        <v>0.34209752300000001</v>
      </c>
      <c r="JN10" t="s">
        <v>547</v>
      </c>
      <c r="JQ10">
        <v>1</v>
      </c>
    </row>
    <row r="11" spans="1:277">
      <c r="A11" t="s">
        <v>642</v>
      </c>
      <c r="B11" t="s">
        <v>643</v>
      </c>
      <c r="C11" t="s">
        <v>212</v>
      </c>
      <c r="D11">
        <v>3</v>
      </c>
      <c r="E11" t="s">
        <v>213</v>
      </c>
      <c r="F11" t="s">
        <v>214</v>
      </c>
      <c r="G11" t="s">
        <v>546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0</v>
      </c>
      <c r="R11">
        <v>9.9999999000000006E-2</v>
      </c>
      <c r="S11">
        <v>0.2</v>
      </c>
      <c r="T11">
        <v>0.2</v>
      </c>
      <c r="U11">
        <v>9.9999999000000006E-2</v>
      </c>
      <c r="V11">
        <v>9.9999999000000006E-2</v>
      </c>
      <c r="W11">
        <v>0.2</v>
      </c>
      <c r="X11">
        <v>0.2</v>
      </c>
      <c r="Y11">
        <v>0.2</v>
      </c>
      <c r="Z11">
        <v>9.9999999000000006E-2</v>
      </c>
      <c r="AA11">
        <v>9.9999999000000006E-2</v>
      </c>
      <c r="AB11">
        <v>9.9999999000000006E-2</v>
      </c>
      <c r="AC11">
        <v>0.2</v>
      </c>
      <c r="AD11">
        <v>0.2</v>
      </c>
      <c r="AE11">
        <v>0.2</v>
      </c>
      <c r="AF11">
        <v>0.2</v>
      </c>
      <c r="AG11">
        <v>0.5</v>
      </c>
      <c r="AH11">
        <v>1.1000000000000001</v>
      </c>
      <c r="AI11">
        <v>4.9000000000000004</v>
      </c>
      <c r="AJ11">
        <v>11.8</v>
      </c>
      <c r="AK11">
        <v>19.100000000000001</v>
      </c>
      <c r="AL11">
        <v>26.3</v>
      </c>
      <c r="AM11">
        <v>33.200000000000003</v>
      </c>
      <c r="AN11">
        <v>40.4</v>
      </c>
      <c r="AO11">
        <v>47.5</v>
      </c>
      <c r="AP11">
        <v>55</v>
      </c>
      <c r="AQ11">
        <v>62.8</v>
      </c>
      <c r="AR11">
        <v>70.900000000000006</v>
      </c>
      <c r="AS11">
        <v>79</v>
      </c>
      <c r="AT11">
        <v>86.5</v>
      </c>
      <c r="AU11">
        <v>94.1</v>
      </c>
      <c r="AV11">
        <v>101.8</v>
      </c>
      <c r="AW11">
        <v>110.2</v>
      </c>
      <c r="AX11">
        <v>119.5</v>
      </c>
      <c r="AY11">
        <v>128.4</v>
      </c>
      <c r="AZ11">
        <v>136.6</v>
      </c>
      <c r="BA11">
        <v>144.30000000000001</v>
      </c>
      <c r="BB11">
        <v>152.19999999999999</v>
      </c>
      <c r="BC11">
        <v>160.6</v>
      </c>
      <c r="BD11">
        <v>169.1</v>
      </c>
      <c r="BE11">
        <v>177.6</v>
      </c>
      <c r="BF11">
        <v>185.7</v>
      </c>
      <c r="BG11">
        <v>193.6</v>
      </c>
      <c r="BH11">
        <v>201.5</v>
      </c>
      <c r="BI11">
        <v>209.5</v>
      </c>
      <c r="BJ11">
        <v>217.9</v>
      </c>
      <c r="BK11">
        <v>226.1</v>
      </c>
      <c r="BL11">
        <v>234.5</v>
      </c>
      <c r="BM11">
        <v>242.2</v>
      </c>
      <c r="BN11">
        <v>249.5</v>
      </c>
      <c r="BO11">
        <v>257</v>
      </c>
      <c r="BP11">
        <v>265</v>
      </c>
      <c r="BQ11">
        <v>273</v>
      </c>
      <c r="BR11">
        <v>280.8</v>
      </c>
      <c r="BS11">
        <v>288.2</v>
      </c>
      <c r="BT11">
        <v>295.39999999999998</v>
      </c>
      <c r="BU11">
        <v>302.5</v>
      </c>
      <c r="BV11">
        <v>309.5</v>
      </c>
      <c r="BW11">
        <v>316.89999999999998</v>
      </c>
      <c r="BX11">
        <v>324.3</v>
      </c>
      <c r="BY11">
        <v>331.4</v>
      </c>
      <c r="BZ11">
        <v>338</v>
      </c>
      <c r="CA11">
        <v>344.7</v>
      </c>
      <c r="CB11">
        <v>351.3</v>
      </c>
      <c r="CC11">
        <v>357.7</v>
      </c>
      <c r="CD11">
        <v>364.4</v>
      </c>
      <c r="CE11">
        <v>371.1</v>
      </c>
      <c r="CF11">
        <v>377.5</v>
      </c>
      <c r="CG11">
        <v>383.8</v>
      </c>
      <c r="CH11">
        <v>389.8</v>
      </c>
      <c r="CI11">
        <v>395.7</v>
      </c>
      <c r="CJ11">
        <v>401.5</v>
      </c>
      <c r="CK11">
        <v>407.1</v>
      </c>
      <c r="CL11">
        <v>412.7</v>
      </c>
      <c r="CM11">
        <v>418.6</v>
      </c>
      <c r="CN11">
        <v>424.7</v>
      </c>
      <c r="CO11">
        <v>430.4</v>
      </c>
      <c r="CP11">
        <v>435.9</v>
      </c>
      <c r="CQ11">
        <v>440.7</v>
      </c>
      <c r="CR11">
        <v>444.5</v>
      </c>
      <c r="CS11">
        <v>447.7</v>
      </c>
      <c r="CT11">
        <v>450.1</v>
      </c>
      <c r="CU11">
        <v>451.1</v>
      </c>
      <c r="CV11">
        <v>451.2</v>
      </c>
      <c r="CW11">
        <v>451.2</v>
      </c>
      <c r="CX11">
        <v>451.2</v>
      </c>
      <c r="CY11">
        <v>451.2</v>
      </c>
      <c r="CZ11">
        <v>451.2</v>
      </c>
      <c r="DA11">
        <v>451.2</v>
      </c>
      <c r="DB11">
        <v>451.2</v>
      </c>
      <c r="DC11">
        <v>451.2</v>
      </c>
      <c r="DD11">
        <v>451.2</v>
      </c>
      <c r="DE11">
        <v>451.2</v>
      </c>
      <c r="DF11">
        <v>451.2</v>
      </c>
      <c r="DG11">
        <v>0.8</v>
      </c>
      <c r="DH11">
        <v>1.1000000000000001</v>
      </c>
      <c r="DI11">
        <v>1.1000000000000001</v>
      </c>
      <c r="DJ11">
        <v>1.1000000000000001</v>
      </c>
      <c r="DK11">
        <v>1.1999999990000001</v>
      </c>
      <c r="DL11">
        <v>1.1999999990000001</v>
      </c>
      <c r="DM11">
        <v>1.1999999990000001</v>
      </c>
      <c r="DN11">
        <v>1.1999999990000001</v>
      </c>
      <c r="DO11">
        <v>1.1999999990000001</v>
      </c>
      <c r="DP11">
        <v>1.1999999990000001</v>
      </c>
      <c r="DQ11">
        <v>1.3</v>
      </c>
      <c r="DR11">
        <v>1.3</v>
      </c>
      <c r="DS11">
        <v>1.3</v>
      </c>
      <c r="DT11">
        <v>1.1999999990000001</v>
      </c>
      <c r="DU11">
        <v>1.3</v>
      </c>
      <c r="DV11">
        <v>1.6</v>
      </c>
      <c r="DW11">
        <v>3.6</v>
      </c>
      <c r="DX11">
        <v>9.3999999990000003</v>
      </c>
      <c r="DY11">
        <v>16.899999999999999</v>
      </c>
      <c r="DZ11">
        <v>24.2</v>
      </c>
      <c r="EA11">
        <v>31.1</v>
      </c>
      <c r="EB11">
        <v>38.200000000000003</v>
      </c>
      <c r="EC11">
        <v>45.3</v>
      </c>
      <c r="ED11">
        <v>52.6</v>
      </c>
      <c r="EE11">
        <v>60.2</v>
      </c>
      <c r="EF11">
        <v>68.3</v>
      </c>
      <c r="EG11">
        <v>76.3</v>
      </c>
      <c r="EH11">
        <v>84</v>
      </c>
      <c r="EI11">
        <v>91.5</v>
      </c>
      <c r="EJ11">
        <v>99</v>
      </c>
      <c r="EK11">
        <v>107.1</v>
      </c>
      <c r="EL11">
        <v>115.9</v>
      </c>
      <c r="EM11">
        <v>125.1</v>
      </c>
      <c r="EN11">
        <v>133.80000000000001</v>
      </c>
      <c r="EO11">
        <v>141.6</v>
      </c>
      <c r="EP11">
        <v>149.5</v>
      </c>
      <c r="EQ11">
        <v>157.69999999999999</v>
      </c>
      <c r="ER11">
        <v>166.2</v>
      </c>
      <c r="ES11">
        <v>174.7</v>
      </c>
      <c r="ET11">
        <v>183</v>
      </c>
      <c r="EU11">
        <v>191</v>
      </c>
      <c r="EV11">
        <v>198.9</v>
      </c>
      <c r="EW11">
        <v>206.9</v>
      </c>
      <c r="EX11">
        <v>215.3</v>
      </c>
      <c r="EY11">
        <v>223.5</v>
      </c>
      <c r="EZ11">
        <v>232.1</v>
      </c>
      <c r="FA11">
        <v>240.1</v>
      </c>
      <c r="FB11">
        <v>247.5</v>
      </c>
      <c r="FC11">
        <v>255.2</v>
      </c>
      <c r="FD11">
        <v>263.2</v>
      </c>
      <c r="FE11">
        <v>271.2</v>
      </c>
      <c r="FF11">
        <v>279.10000000000002</v>
      </c>
      <c r="FG11">
        <v>286.7</v>
      </c>
      <c r="FH11">
        <v>294.10000000000002</v>
      </c>
      <c r="FI11">
        <v>301.39999999999998</v>
      </c>
      <c r="FJ11">
        <v>308.8</v>
      </c>
      <c r="FK11">
        <v>316</v>
      </c>
      <c r="FL11">
        <v>323.2</v>
      </c>
      <c r="FM11">
        <v>330.4</v>
      </c>
      <c r="FN11">
        <v>337.3</v>
      </c>
      <c r="FO11">
        <v>344</v>
      </c>
      <c r="FP11">
        <v>350.7</v>
      </c>
      <c r="FQ11">
        <v>357.1</v>
      </c>
      <c r="FR11">
        <v>363.9</v>
      </c>
      <c r="FS11">
        <v>370.7</v>
      </c>
      <c r="FT11">
        <v>377.2</v>
      </c>
      <c r="FU11">
        <v>383.6</v>
      </c>
      <c r="FV11">
        <v>389.7</v>
      </c>
      <c r="FW11">
        <v>395.6</v>
      </c>
      <c r="FX11">
        <v>401.5</v>
      </c>
      <c r="FY11">
        <v>407.1</v>
      </c>
      <c r="FZ11">
        <v>412.9</v>
      </c>
      <c r="GA11">
        <v>418.6</v>
      </c>
      <c r="GB11">
        <v>424.4</v>
      </c>
      <c r="GC11">
        <v>429.9</v>
      </c>
      <c r="GD11">
        <v>435.3</v>
      </c>
      <c r="GE11">
        <v>440.1</v>
      </c>
      <c r="GF11">
        <v>443.8</v>
      </c>
      <c r="GG11">
        <v>446.8</v>
      </c>
      <c r="GH11">
        <v>449.3</v>
      </c>
      <c r="GI11">
        <v>450.7</v>
      </c>
      <c r="GJ11">
        <v>451</v>
      </c>
      <c r="GK11">
        <v>451</v>
      </c>
      <c r="GL11">
        <v>451</v>
      </c>
      <c r="GM11">
        <v>451.1</v>
      </c>
      <c r="GN11">
        <v>451.1</v>
      </c>
      <c r="GO11">
        <v>451.2</v>
      </c>
      <c r="GP11">
        <v>451.2</v>
      </c>
      <c r="GQ11">
        <v>451.3</v>
      </c>
      <c r="GR11">
        <v>451.2</v>
      </c>
      <c r="GS11">
        <v>451.2</v>
      </c>
      <c r="GT11">
        <v>451.2</v>
      </c>
      <c r="GU11">
        <v>451.3</v>
      </c>
      <c r="GV11">
        <v>451.3</v>
      </c>
      <c r="GW11">
        <v>1</v>
      </c>
      <c r="GX11">
        <v>116.7</v>
      </c>
      <c r="GY11">
        <v>110.2</v>
      </c>
      <c r="GZ11">
        <v>110.2</v>
      </c>
      <c r="HA11">
        <v>125.1</v>
      </c>
      <c r="HB11">
        <v>114.0847313</v>
      </c>
      <c r="HC11">
        <v>-14.9</v>
      </c>
      <c r="HD11">
        <v>451.3</v>
      </c>
      <c r="HE11">
        <v>303.53665369999999</v>
      </c>
      <c r="HF11">
        <v>94.317252080000003</v>
      </c>
      <c r="HG11">
        <v>451.3</v>
      </c>
      <c r="HH11">
        <v>451.3</v>
      </c>
      <c r="HI11">
        <v>451.2</v>
      </c>
      <c r="HJ11">
        <v>451.3</v>
      </c>
      <c r="HK11">
        <v>112.60997070000001</v>
      </c>
      <c r="HL11">
        <v>3.3606121199999999</v>
      </c>
      <c r="HM11">
        <v>3.2598465929999998</v>
      </c>
      <c r="HN11">
        <v>3.283993449</v>
      </c>
      <c r="HO11">
        <v>3.2519725890000002</v>
      </c>
      <c r="HP11">
        <v>3.56473671</v>
      </c>
      <c r="HQ11">
        <v>2.260515608</v>
      </c>
      <c r="HR11">
        <v>19.767479219999998</v>
      </c>
      <c r="HS11">
        <v>-28.152492670000001</v>
      </c>
      <c r="HT11">
        <v>-192</v>
      </c>
      <c r="HU11">
        <v>417.62138499999998</v>
      </c>
      <c r="HV11">
        <v>93.841642230000005</v>
      </c>
      <c r="HW11">
        <v>640</v>
      </c>
      <c r="HX11">
        <v>19.767479219999998</v>
      </c>
      <c r="HY11">
        <v>-28.152492670000001</v>
      </c>
      <c r="HZ11">
        <v>-192</v>
      </c>
      <c r="IA11">
        <v>417.62138499999998</v>
      </c>
      <c r="IB11">
        <v>93.841642230000005</v>
      </c>
      <c r="IC11">
        <v>640</v>
      </c>
      <c r="ID11">
        <v>33.678614959999997</v>
      </c>
      <c r="IE11">
        <v>0.51408310300000004</v>
      </c>
      <c r="IF11">
        <v>-37.536656890000003</v>
      </c>
      <c r="IG11">
        <v>-256</v>
      </c>
      <c r="IH11">
        <v>439.75606649999997</v>
      </c>
      <c r="II11">
        <v>103.2258065</v>
      </c>
      <c r="IJ11">
        <v>704</v>
      </c>
      <c r="IK11">
        <v>397.85390580000001</v>
      </c>
      <c r="IL11">
        <v>121.99413490000001</v>
      </c>
      <c r="IM11">
        <v>424.03401659999997</v>
      </c>
      <c r="IN11">
        <v>131.37829909999999</v>
      </c>
      <c r="IO11">
        <v>7.5000000020000002</v>
      </c>
      <c r="IP11">
        <v>6.1000000009999997</v>
      </c>
      <c r="IQ11">
        <v>9.3000000000000007</v>
      </c>
      <c r="IR11">
        <v>6.2633402059999996</v>
      </c>
      <c r="IS11">
        <v>6.2633402059999996</v>
      </c>
      <c r="IT11">
        <v>12.4</v>
      </c>
      <c r="IU11">
        <v>-30.498533720000001</v>
      </c>
      <c r="IV11">
        <v>14.9</v>
      </c>
      <c r="IW11">
        <v>0</v>
      </c>
      <c r="IX11">
        <v>11.3</v>
      </c>
      <c r="IY11">
        <v>98.533724340000006</v>
      </c>
      <c r="IZ11">
        <v>-34.315602830000003</v>
      </c>
      <c r="JA11">
        <v>0.32852879200000001</v>
      </c>
      <c r="JB11">
        <v>-3.2675500000000003E-4</v>
      </c>
      <c r="JC11">
        <v>6.5649999999999998E-7</v>
      </c>
      <c r="JD11">
        <v>0.297564838</v>
      </c>
      <c r="JE11">
        <v>0.27130929599999998</v>
      </c>
      <c r="JF11">
        <v>0.114954559</v>
      </c>
      <c r="JG11">
        <v>115.0258879</v>
      </c>
      <c r="JH11">
        <v>3.56473671</v>
      </c>
      <c r="JI11">
        <v>2.6693120000000001E-3</v>
      </c>
      <c r="JJ11">
        <v>-6.8330499999999999E-5</v>
      </c>
      <c r="JK11">
        <v>3.3606121199999999</v>
      </c>
      <c r="JL11">
        <v>1.477257576</v>
      </c>
      <c r="JM11">
        <v>0.61596403200000005</v>
      </c>
      <c r="JN11" t="s">
        <v>547</v>
      </c>
      <c r="JQ11">
        <v>1</v>
      </c>
    </row>
    <row r="12" spans="1:277">
      <c r="A12" t="s">
        <v>664</v>
      </c>
      <c r="B12" t="s">
        <v>665</v>
      </c>
      <c r="C12" t="s">
        <v>212</v>
      </c>
      <c r="D12">
        <v>3</v>
      </c>
      <c r="E12" t="s">
        <v>213</v>
      </c>
      <c r="F12" t="s">
        <v>214</v>
      </c>
      <c r="G12" t="s">
        <v>546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1.0999999995</v>
      </c>
      <c r="R12">
        <v>0.69999999869999996</v>
      </c>
      <c r="S12">
        <v>0.69999999869999996</v>
      </c>
      <c r="T12">
        <v>0.69999999869999996</v>
      </c>
      <c r="U12">
        <v>0.69999999869999996</v>
      </c>
      <c r="V12">
        <v>0.69999999869999996</v>
      </c>
      <c r="W12">
        <v>0.69999999869999996</v>
      </c>
      <c r="X12">
        <v>0.69999999869999996</v>
      </c>
      <c r="Y12">
        <v>0.59999999940000004</v>
      </c>
      <c r="Z12">
        <v>0.69999999869999996</v>
      </c>
      <c r="AA12">
        <v>0.69999999869999996</v>
      </c>
      <c r="AB12">
        <v>0.69999999869999996</v>
      </c>
      <c r="AC12">
        <v>0.69999999869999996</v>
      </c>
      <c r="AD12">
        <v>0.69999999869999996</v>
      </c>
      <c r="AE12">
        <v>0.69999999869999996</v>
      </c>
      <c r="AF12">
        <v>0.29999999970000002</v>
      </c>
      <c r="AG12">
        <v>0</v>
      </c>
      <c r="AH12">
        <v>0.99999999839999998</v>
      </c>
      <c r="AI12">
        <v>4.8999999999000003</v>
      </c>
      <c r="AJ12">
        <v>11.0999999997</v>
      </c>
      <c r="AK12">
        <v>17.8999999989</v>
      </c>
      <c r="AL12">
        <v>24.499999999500002</v>
      </c>
      <c r="AM12">
        <v>31.499999999100002</v>
      </c>
      <c r="AN12">
        <v>39.299999998499999</v>
      </c>
      <c r="AO12">
        <v>47.399999999499997</v>
      </c>
      <c r="AP12">
        <v>54.4999999984</v>
      </c>
      <c r="AQ12">
        <v>61.899999998799998</v>
      </c>
      <c r="AR12">
        <v>69.599999998900003</v>
      </c>
      <c r="AS12">
        <v>76.999999999300002</v>
      </c>
      <c r="AT12">
        <v>84.899999999800002</v>
      </c>
      <c r="AU12">
        <v>93.499999998999996</v>
      </c>
      <c r="AV12">
        <v>101.999999999</v>
      </c>
      <c r="AW12">
        <v>110.09999999990001</v>
      </c>
      <c r="AX12">
        <v>119.09999999990001</v>
      </c>
      <c r="AY12">
        <v>127.49999999870001</v>
      </c>
      <c r="AZ12">
        <v>135.49999999849999</v>
      </c>
      <c r="BA12">
        <v>144.49999999849999</v>
      </c>
      <c r="BB12">
        <v>153.0999999995</v>
      </c>
      <c r="BC12">
        <v>161.00000000009999</v>
      </c>
      <c r="BD12">
        <v>169.1999999985</v>
      </c>
      <c r="BE12">
        <v>177.2000000001</v>
      </c>
      <c r="BF12">
        <v>185.0999999988</v>
      </c>
      <c r="BG12">
        <v>193.99999999950001</v>
      </c>
      <c r="BH12">
        <v>202.69999999980001</v>
      </c>
      <c r="BI12">
        <v>210.49999999920001</v>
      </c>
      <c r="BJ12">
        <v>218.49999999900001</v>
      </c>
      <c r="BK12">
        <v>226.29999999840001</v>
      </c>
      <c r="BL12">
        <v>233.9999999986</v>
      </c>
      <c r="BM12">
        <v>242.39999999919999</v>
      </c>
      <c r="BN12">
        <v>251.0999999995</v>
      </c>
      <c r="BO12">
        <v>258.6999999985</v>
      </c>
      <c r="BP12">
        <v>266.29999999929998</v>
      </c>
      <c r="BQ12">
        <v>273.90000000010002</v>
      </c>
      <c r="BR12">
        <v>281.1000000002</v>
      </c>
      <c r="BS12">
        <v>288.30000000019999</v>
      </c>
      <c r="BT12">
        <v>296.39999999930001</v>
      </c>
      <c r="BU12">
        <v>304.09999999939998</v>
      </c>
      <c r="BV12">
        <v>310.99999999969998</v>
      </c>
      <c r="BW12">
        <v>317.99999999929997</v>
      </c>
      <c r="BX12">
        <v>324.99999999890002</v>
      </c>
      <c r="BY12">
        <v>331.49999999840003</v>
      </c>
      <c r="BZ12">
        <v>337.89999999859998</v>
      </c>
      <c r="CA12">
        <v>345.09999999860003</v>
      </c>
      <c r="CB12">
        <v>352.29999999860001</v>
      </c>
      <c r="CC12">
        <v>358.59999999960002</v>
      </c>
      <c r="CD12">
        <v>364.59999999899998</v>
      </c>
      <c r="CE12">
        <v>370.89999999989999</v>
      </c>
      <c r="CF12">
        <v>377.199999999</v>
      </c>
      <c r="CG12">
        <v>382.89999999870003</v>
      </c>
      <c r="CH12">
        <v>388.4999999991</v>
      </c>
      <c r="CI12">
        <v>394.69999999890001</v>
      </c>
      <c r="CJ12">
        <v>400.99999999980002</v>
      </c>
      <c r="CK12">
        <v>406.79999999879999</v>
      </c>
      <c r="CL12">
        <v>411.99999999840003</v>
      </c>
      <c r="CM12">
        <v>417.39999999849999</v>
      </c>
      <c r="CN12">
        <v>422.79999999850003</v>
      </c>
      <c r="CO12">
        <v>428.1999999985</v>
      </c>
      <c r="CP12">
        <v>432.9999999991</v>
      </c>
      <c r="CQ12">
        <v>437.89999999899999</v>
      </c>
      <c r="CR12">
        <v>443.09999999860003</v>
      </c>
      <c r="CS12">
        <v>447.59999999950003</v>
      </c>
      <c r="CT12">
        <v>451.99999999929997</v>
      </c>
      <c r="CU12">
        <v>454.79999999950002</v>
      </c>
      <c r="CV12">
        <v>455.5999999993</v>
      </c>
      <c r="CW12">
        <v>455.69999999859999</v>
      </c>
      <c r="CX12">
        <v>455.79999999969999</v>
      </c>
      <c r="CY12">
        <v>455.79999999969999</v>
      </c>
      <c r="CZ12">
        <v>455.79999999969999</v>
      </c>
      <c r="DA12">
        <v>455.89999999899999</v>
      </c>
      <c r="DB12">
        <v>455.89999999899999</v>
      </c>
      <c r="DC12">
        <v>455.79999999969999</v>
      </c>
      <c r="DD12">
        <v>455.89999999899999</v>
      </c>
      <c r="DE12">
        <v>455.89999999899999</v>
      </c>
      <c r="DF12">
        <v>456.00000000009999</v>
      </c>
      <c r="DG12">
        <v>2.1999999990000001</v>
      </c>
      <c r="DH12">
        <v>1.8999999993000001</v>
      </c>
      <c r="DI12">
        <v>1.8999999993000001</v>
      </c>
      <c r="DJ12">
        <v>1.9999999986000001</v>
      </c>
      <c r="DK12">
        <v>1.9999999986000001</v>
      </c>
      <c r="DL12">
        <v>1.8999999993000001</v>
      </c>
      <c r="DM12">
        <v>1.8999999993000001</v>
      </c>
      <c r="DN12">
        <v>1.8</v>
      </c>
      <c r="DO12">
        <v>1.8</v>
      </c>
      <c r="DP12">
        <v>1.8</v>
      </c>
      <c r="DQ12">
        <v>1.8</v>
      </c>
      <c r="DR12">
        <v>1.8</v>
      </c>
      <c r="DS12">
        <v>1.6999999989000001</v>
      </c>
      <c r="DT12">
        <v>1.5999999996000001</v>
      </c>
      <c r="DU12">
        <v>1.0999999995</v>
      </c>
      <c r="DV12">
        <v>1.1999999988000001</v>
      </c>
      <c r="DW12">
        <v>4.4999999990999999</v>
      </c>
      <c r="DX12">
        <v>10.5999999996</v>
      </c>
      <c r="DY12">
        <v>17.599999999200001</v>
      </c>
      <c r="DZ12">
        <v>24.199999999799999</v>
      </c>
      <c r="EA12">
        <v>31.100000000200001</v>
      </c>
      <c r="EB12">
        <v>38.999999998900002</v>
      </c>
      <c r="EC12">
        <v>46.999999998699998</v>
      </c>
      <c r="ED12">
        <v>54.099999999399998</v>
      </c>
      <c r="EE12">
        <v>61.399999998699997</v>
      </c>
      <c r="EF12">
        <v>68.899999998400006</v>
      </c>
      <c r="EG12">
        <v>76.099999998399994</v>
      </c>
      <c r="EH12">
        <v>83.999999998899995</v>
      </c>
      <c r="EI12">
        <v>92.699999999200003</v>
      </c>
      <c r="EJ12">
        <v>100.99999999870001</v>
      </c>
      <c r="EK12">
        <v>108.5999999996</v>
      </c>
      <c r="EL12">
        <v>117.1999999988</v>
      </c>
      <c r="EM12">
        <v>125.79999999979999</v>
      </c>
      <c r="EN12">
        <v>134.39999999899999</v>
      </c>
      <c r="EO12">
        <v>143.29999999969999</v>
      </c>
      <c r="EP12">
        <v>152</v>
      </c>
      <c r="EQ12">
        <v>159.8999999987</v>
      </c>
      <c r="ER12">
        <v>168.2000000001</v>
      </c>
      <c r="ES12">
        <v>176.1999999999</v>
      </c>
      <c r="ET12">
        <v>184.29999999899999</v>
      </c>
      <c r="EU12">
        <v>193.29999999899999</v>
      </c>
      <c r="EV12">
        <v>202.1999999997</v>
      </c>
      <c r="EW12">
        <v>210.09999999839999</v>
      </c>
      <c r="EX12">
        <v>218.29999999859999</v>
      </c>
      <c r="EY12">
        <v>226.29999999840001</v>
      </c>
      <c r="EZ12">
        <v>234.0999999997</v>
      </c>
      <c r="FA12">
        <v>242.8</v>
      </c>
      <c r="FB12">
        <v>251.2999999999</v>
      </c>
      <c r="FC12">
        <v>259</v>
      </c>
      <c r="FD12">
        <v>266.70000000009998</v>
      </c>
      <c r="FE12">
        <v>274.39999999840001</v>
      </c>
      <c r="FF12">
        <v>281.69999999949999</v>
      </c>
      <c r="FG12">
        <v>289.69999999940001</v>
      </c>
      <c r="FH12">
        <v>297.79999999850003</v>
      </c>
      <c r="FI12">
        <v>305.39999999930001</v>
      </c>
      <c r="FJ12">
        <v>312.3999999989</v>
      </c>
      <c r="FK12">
        <v>319.59999999889999</v>
      </c>
      <c r="FL12">
        <v>326.39999999989999</v>
      </c>
      <c r="FM12">
        <v>333.09999999979999</v>
      </c>
      <c r="FN12">
        <v>340.19999999869998</v>
      </c>
      <c r="FO12">
        <v>347.49999999990001</v>
      </c>
      <c r="FP12">
        <v>354.49999999950001</v>
      </c>
      <c r="FQ12">
        <v>360.89999999970001</v>
      </c>
      <c r="FR12">
        <v>367.19999999880002</v>
      </c>
      <c r="FS12">
        <v>373.59999999899998</v>
      </c>
      <c r="FT12">
        <v>379.3999999998</v>
      </c>
      <c r="FU12">
        <v>385.19999999880002</v>
      </c>
      <c r="FV12">
        <v>391.49999999969998</v>
      </c>
      <c r="FW12">
        <v>397.89999999989999</v>
      </c>
      <c r="FX12">
        <v>403.9999999986</v>
      </c>
      <c r="FY12">
        <v>409.49999999980002</v>
      </c>
      <c r="FZ12">
        <v>414.8999999998</v>
      </c>
      <c r="GA12">
        <v>420.19999999869998</v>
      </c>
      <c r="GB12">
        <v>425.49999999940002</v>
      </c>
      <c r="GC12">
        <v>430.3</v>
      </c>
      <c r="GD12">
        <v>434.69999999980001</v>
      </c>
      <c r="GE12">
        <v>439.39999999930001</v>
      </c>
      <c r="GF12">
        <v>443.99999999950001</v>
      </c>
      <c r="GG12">
        <v>448.19999999890001</v>
      </c>
      <c r="GH12">
        <v>451.99999999929997</v>
      </c>
      <c r="GI12">
        <v>454.59999999910002</v>
      </c>
      <c r="GJ12">
        <v>455.69999999859999</v>
      </c>
      <c r="GK12">
        <v>455.69999999859999</v>
      </c>
      <c r="GL12">
        <v>455.69999999859999</v>
      </c>
      <c r="GM12">
        <v>455.79999999969999</v>
      </c>
      <c r="GN12">
        <v>455.79999999969999</v>
      </c>
      <c r="GO12">
        <v>455.79999999969999</v>
      </c>
      <c r="GP12">
        <v>455.79999999969999</v>
      </c>
      <c r="GQ12">
        <v>455.79999999969999</v>
      </c>
      <c r="GR12">
        <v>455.89999999899999</v>
      </c>
      <c r="GS12">
        <v>455.89999999899999</v>
      </c>
      <c r="GT12">
        <v>455.89999999899999</v>
      </c>
      <c r="GU12">
        <v>455.89999999899999</v>
      </c>
      <c r="GV12">
        <v>456.00000000009999</v>
      </c>
      <c r="GW12">
        <v>1</v>
      </c>
      <c r="GX12">
        <v>116</v>
      </c>
      <c r="GY12">
        <v>110.09999999990001</v>
      </c>
      <c r="GZ12">
        <v>110.09999999990001</v>
      </c>
      <c r="HA12">
        <v>125.79999999979999</v>
      </c>
      <c r="HB12">
        <v>114.1609978069</v>
      </c>
      <c r="HC12">
        <v>-15.699999999899999</v>
      </c>
      <c r="HD12">
        <v>456.00000000009999</v>
      </c>
      <c r="HE12">
        <v>293.58961622790002</v>
      </c>
      <c r="HF12">
        <v>95.551787281599999</v>
      </c>
      <c r="HG12">
        <v>456.00000000009999</v>
      </c>
      <c r="HH12">
        <v>456.00000000009999</v>
      </c>
      <c r="HI12">
        <v>456.00000000009999</v>
      </c>
      <c r="HJ12">
        <v>456.00000000009999</v>
      </c>
      <c r="HK12">
        <v>114.9560117302</v>
      </c>
      <c r="HL12">
        <v>3.4220378141999999</v>
      </c>
      <c r="HM12">
        <v>3.2837747339000001</v>
      </c>
      <c r="HN12">
        <v>3.3457924773999999</v>
      </c>
      <c r="HO12">
        <v>3.2515688012999999</v>
      </c>
      <c r="HP12">
        <v>3.6227947928000002</v>
      </c>
      <c r="HQ12">
        <v>2.2802933002999999</v>
      </c>
      <c r="HR12">
        <v>18.6092105253</v>
      </c>
      <c r="HS12">
        <v>-28.152492668600001</v>
      </c>
      <c r="HT12">
        <v>-192</v>
      </c>
      <c r="HU12">
        <v>407.75061403469999</v>
      </c>
      <c r="HV12">
        <v>89.149560117299998</v>
      </c>
      <c r="HW12">
        <v>608</v>
      </c>
      <c r="HX12">
        <v>18.6092105253</v>
      </c>
      <c r="HY12">
        <v>-28.152492668600001</v>
      </c>
      <c r="HZ12">
        <v>-192</v>
      </c>
      <c r="IA12">
        <v>407.75061403469999</v>
      </c>
      <c r="IB12">
        <v>89.149560117299998</v>
      </c>
      <c r="IC12">
        <v>608</v>
      </c>
      <c r="ID12">
        <v>48.249385965400002</v>
      </c>
      <c r="IE12">
        <v>2.22039474E-2</v>
      </c>
      <c r="IF12">
        <v>-37.536656891500002</v>
      </c>
      <c r="IG12">
        <v>-256</v>
      </c>
      <c r="IH12">
        <v>429.39049342089999</v>
      </c>
      <c r="II12">
        <v>98.533724340199996</v>
      </c>
      <c r="IJ12">
        <v>672</v>
      </c>
      <c r="IK12">
        <v>389.14140350939999</v>
      </c>
      <c r="IL12">
        <v>117.3020527859</v>
      </c>
      <c r="IM12">
        <v>413.73777412160001</v>
      </c>
      <c r="IN12">
        <v>126.6862170088</v>
      </c>
      <c r="IO12">
        <v>6.9999999996</v>
      </c>
      <c r="IP12">
        <v>5.5000000011000001</v>
      </c>
      <c r="IQ12">
        <v>9</v>
      </c>
      <c r="IR12">
        <v>6.0169113353999997</v>
      </c>
      <c r="IS12">
        <v>6.0169113353999997</v>
      </c>
      <c r="IT12">
        <v>13.1000000001</v>
      </c>
      <c r="IU12">
        <v>-30.4985337243</v>
      </c>
      <c r="IV12">
        <v>17.300000001299999</v>
      </c>
      <c r="IW12">
        <v>35.190615835800003</v>
      </c>
      <c r="IX12">
        <v>13.5000000009</v>
      </c>
      <c r="IY12">
        <v>96.187683284499997</v>
      </c>
      <c r="IZ12">
        <v>-33.930361321500001</v>
      </c>
      <c r="JA12">
        <v>0.32779458789999999</v>
      </c>
      <c r="JB12">
        <v>-3.5288319999999998E-4</v>
      </c>
      <c r="JC12">
        <v>7.0910000000000002E-7</v>
      </c>
      <c r="JD12">
        <v>0.29222353880000002</v>
      </c>
      <c r="JE12">
        <v>0.2445416362</v>
      </c>
      <c r="JF12">
        <v>0.1100935297</v>
      </c>
      <c r="JG12">
        <v>114.87656122049999</v>
      </c>
      <c r="JH12">
        <v>3.6227947928000002</v>
      </c>
      <c r="JI12">
        <v>3.2036997999999998E-3</v>
      </c>
      <c r="JJ12">
        <v>-8.0263499999999995E-5</v>
      </c>
      <c r="JK12">
        <v>3.4220378141999999</v>
      </c>
      <c r="JL12">
        <v>1.393329665</v>
      </c>
      <c r="JM12">
        <v>0.61419851979999995</v>
      </c>
      <c r="JN12" t="s">
        <v>547</v>
      </c>
      <c r="JQ12">
        <v>1</v>
      </c>
    </row>
    <row r="13" spans="1:277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546</v>
      </c>
      <c r="H13" t="s">
        <v>216</v>
      </c>
      <c r="J13" t="s">
        <v>656</v>
      </c>
      <c r="K13" t="s">
        <v>657</v>
      </c>
      <c r="L13" t="s">
        <v>658</v>
      </c>
      <c r="M13" t="s">
        <v>659</v>
      </c>
      <c r="N13" t="s">
        <v>660</v>
      </c>
      <c r="O13">
        <v>0</v>
      </c>
      <c r="P13">
        <v>0</v>
      </c>
      <c r="Q13">
        <v>9.9999999300000003E-2</v>
      </c>
      <c r="R13">
        <v>0</v>
      </c>
      <c r="S13">
        <v>0</v>
      </c>
      <c r="T13">
        <v>0</v>
      </c>
      <c r="U13">
        <v>0</v>
      </c>
      <c r="V13">
        <v>9.9999999300000003E-2</v>
      </c>
      <c r="W13">
        <v>0.20000000039999999</v>
      </c>
      <c r="X13">
        <v>0.20000000039999999</v>
      </c>
      <c r="Y13">
        <v>0.20000000039999999</v>
      </c>
      <c r="Z13">
        <v>0.20000000039999999</v>
      </c>
      <c r="AA13">
        <v>0.29999999970000002</v>
      </c>
      <c r="AB13">
        <v>0.29999999970000002</v>
      </c>
      <c r="AC13">
        <v>0.29999999970000002</v>
      </c>
      <c r="AD13">
        <v>0.29999999970000002</v>
      </c>
      <c r="AE13">
        <v>0.50000000010000001</v>
      </c>
      <c r="AF13">
        <v>0.59999999940000004</v>
      </c>
      <c r="AG13">
        <v>2.0999999997000001</v>
      </c>
      <c r="AH13">
        <v>4.1000000000999997</v>
      </c>
      <c r="AI13">
        <v>4.6999999995000001</v>
      </c>
      <c r="AJ13">
        <v>7.9999999998</v>
      </c>
      <c r="AK13">
        <v>14.800000000800001</v>
      </c>
      <c r="AL13">
        <v>22.0000000008</v>
      </c>
      <c r="AM13">
        <v>29.000000000499998</v>
      </c>
      <c r="AN13">
        <v>36.200000000499998</v>
      </c>
      <c r="AO13">
        <v>44.200000000300001</v>
      </c>
      <c r="AP13">
        <v>51.900000000399999</v>
      </c>
      <c r="AQ13">
        <v>59.300000000799997</v>
      </c>
      <c r="AR13">
        <v>67.300000000599994</v>
      </c>
      <c r="AS13">
        <v>75.300000000400004</v>
      </c>
      <c r="AT13">
        <v>82.899999999399995</v>
      </c>
      <c r="AU13">
        <v>91.099999999600001</v>
      </c>
      <c r="AV13">
        <v>99.700000000700001</v>
      </c>
      <c r="AW13">
        <v>107.7000000005</v>
      </c>
      <c r="AX13">
        <v>116.2000000004</v>
      </c>
      <c r="AY13">
        <v>124.7999999996</v>
      </c>
      <c r="AZ13">
        <v>132.9999999998</v>
      </c>
      <c r="BA13">
        <v>140.99999999959999</v>
      </c>
      <c r="BB13">
        <v>149.6999999999</v>
      </c>
      <c r="BC13">
        <v>157.80000000090001</v>
      </c>
      <c r="BD13">
        <v>165.9999999993</v>
      </c>
      <c r="BE13">
        <v>174.39999999989999</v>
      </c>
      <c r="BF13">
        <v>182.60000000010001</v>
      </c>
      <c r="BG13">
        <v>190.6999999992</v>
      </c>
      <c r="BH13">
        <v>199.39999999950001</v>
      </c>
      <c r="BI13">
        <v>207.5999999997</v>
      </c>
      <c r="BJ13">
        <v>215.3999999991</v>
      </c>
      <c r="BK13">
        <v>223.50000000009999</v>
      </c>
      <c r="BL13">
        <v>231.70000000030001</v>
      </c>
      <c r="BM13">
        <v>239.49999999970001</v>
      </c>
      <c r="BN13">
        <v>247.7999999992</v>
      </c>
      <c r="BO13">
        <v>255.90000000009999</v>
      </c>
      <c r="BP13">
        <v>263.4999999991</v>
      </c>
      <c r="BQ13">
        <v>271.19999999919997</v>
      </c>
      <c r="BR13">
        <v>279.00000000049999</v>
      </c>
      <c r="BS13">
        <v>286.50000000019998</v>
      </c>
      <c r="BT13">
        <v>293.79999999950002</v>
      </c>
      <c r="BU13">
        <v>301.49999999959999</v>
      </c>
      <c r="BV13">
        <v>308.69999999959998</v>
      </c>
      <c r="BW13">
        <v>315.59999999989998</v>
      </c>
      <c r="BX13">
        <v>322.70000000060003</v>
      </c>
      <c r="BY13">
        <v>329.79999999950002</v>
      </c>
      <c r="BZ13">
        <v>336.69999999980001</v>
      </c>
      <c r="CA13">
        <v>343.39999999970001</v>
      </c>
      <c r="CB13">
        <v>350.39999999939999</v>
      </c>
      <c r="CC13">
        <v>356.9000000007</v>
      </c>
      <c r="CD13">
        <v>363.19999999980001</v>
      </c>
      <c r="CE13">
        <v>369.6</v>
      </c>
      <c r="CF13">
        <v>375.90000000089998</v>
      </c>
      <c r="CG13">
        <v>382.2</v>
      </c>
      <c r="CH13">
        <v>388.19999999940001</v>
      </c>
      <c r="CI13">
        <v>394.20000000060003</v>
      </c>
      <c r="CJ13">
        <v>400.10000000069999</v>
      </c>
      <c r="CK13">
        <v>406.19999999940001</v>
      </c>
      <c r="CL13">
        <v>411.89999999920002</v>
      </c>
      <c r="CM13">
        <v>417.60000000069999</v>
      </c>
      <c r="CN13">
        <v>423.00000000070003</v>
      </c>
      <c r="CO13">
        <v>428.5</v>
      </c>
      <c r="CP13">
        <v>433.99999999929997</v>
      </c>
      <c r="CQ13">
        <v>439.39999999930001</v>
      </c>
      <c r="CR13">
        <v>444.60000000069999</v>
      </c>
      <c r="CS13">
        <v>449.69999999919997</v>
      </c>
      <c r="CT13">
        <v>453.99999999969998</v>
      </c>
      <c r="CU13">
        <v>455.4000000007</v>
      </c>
      <c r="CV13">
        <v>455.4000000007</v>
      </c>
      <c r="CW13">
        <v>455.4000000007</v>
      </c>
      <c r="CX13">
        <v>455.5999999993</v>
      </c>
      <c r="CY13">
        <v>455.5999999993</v>
      </c>
      <c r="CZ13">
        <v>455.5999999993</v>
      </c>
      <c r="DA13">
        <v>455.5999999993</v>
      </c>
      <c r="DB13">
        <v>455.7000000004</v>
      </c>
      <c r="DC13">
        <v>455.5999999993</v>
      </c>
      <c r="DD13">
        <v>455.5999999993</v>
      </c>
      <c r="DE13">
        <v>455.5999999993</v>
      </c>
      <c r="DF13">
        <v>455.7000000004</v>
      </c>
      <c r="DG13">
        <v>1.2000000006</v>
      </c>
      <c r="DH13">
        <v>1.2999999999</v>
      </c>
      <c r="DI13">
        <v>1.2999999999</v>
      </c>
      <c r="DJ13">
        <v>1.2999999999</v>
      </c>
      <c r="DK13">
        <v>1.3999999992000001</v>
      </c>
      <c r="DL13">
        <v>1.3999999992000001</v>
      </c>
      <c r="DM13">
        <v>1.3999999992000001</v>
      </c>
      <c r="DN13">
        <v>1.3999999992000001</v>
      </c>
      <c r="DO13">
        <v>1.3999999992000001</v>
      </c>
      <c r="DP13">
        <v>1.5000000003</v>
      </c>
      <c r="DQ13">
        <v>1.3999999992000001</v>
      </c>
      <c r="DR13">
        <v>1.5000000003</v>
      </c>
      <c r="DS13">
        <v>1.3999999992000001</v>
      </c>
      <c r="DT13">
        <v>1.5000000003</v>
      </c>
      <c r="DU13">
        <v>2.0000000004</v>
      </c>
      <c r="DV13">
        <v>4.1000000000999997</v>
      </c>
      <c r="DW13">
        <v>5.6999999997000002</v>
      </c>
      <c r="DX13">
        <v>7.1000000006999997</v>
      </c>
      <c r="DY13">
        <v>12.3999999996</v>
      </c>
      <c r="DZ13">
        <v>19.700000000700001</v>
      </c>
      <c r="EA13">
        <v>26.900000000799999</v>
      </c>
      <c r="EB13">
        <v>33.900000000399999</v>
      </c>
      <c r="EC13">
        <v>41.699999999799999</v>
      </c>
      <c r="ED13">
        <v>49.4999999992</v>
      </c>
      <c r="EE13">
        <v>56.800000000300003</v>
      </c>
      <c r="EF13">
        <v>64.700000000800003</v>
      </c>
      <c r="EG13">
        <v>72.700000000599999</v>
      </c>
      <c r="EH13">
        <v>80.400000000700004</v>
      </c>
      <c r="EI13">
        <v>88.100000000799994</v>
      </c>
      <c r="EJ13">
        <v>96.799999999299999</v>
      </c>
      <c r="EK13">
        <v>104.9000000003</v>
      </c>
      <c r="EL13">
        <v>112.90000000009999</v>
      </c>
      <c r="EM13">
        <v>121.4999999993</v>
      </c>
      <c r="EN13">
        <v>129.89999999989999</v>
      </c>
      <c r="EO13">
        <v>137.89999999969999</v>
      </c>
      <c r="EP13">
        <v>146.5000000007</v>
      </c>
      <c r="EQ13">
        <v>155.0000000007</v>
      </c>
      <c r="ER13">
        <v>163.00000000049999</v>
      </c>
      <c r="ES13">
        <v>171.50000000040001</v>
      </c>
      <c r="ET13">
        <v>179.89999999919999</v>
      </c>
      <c r="EU13">
        <v>188.00000000009999</v>
      </c>
      <c r="EV13">
        <v>196.5999999993</v>
      </c>
      <c r="EW13">
        <v>205.09999999920001</v>
      </c>
      <c r="EX13">
        <v>212.99999999970001</v>
      </c>
      <c r="EY13">
        <v>221.2999999992</v>
      </c>
      <c r="EZ13">
        <v>229.6999999999</v>
      </c>
      <c r="FA13">
        <v>237.6000000004</v>
      </c>
      <c r="FB13">
        <v>245.69999999949999</v>
      </c>
      <c r="FC13">
        <v>253.80000000039999</v>
      </c>
      <c r="FD13">
        <v>261.39999999939999</v>
      </c>
      <c r="FE13">
        <v>269.20000000060003</v>
      </c>
      <c r="FF13">
        <v>277</v>
      </c>
      <c r="FG13">
        <v>284.70000000020002</v>
      </c>
      <c r="FH13">
        <v>292.1999999999</v>
      </c>
      <c r="FI13">
        <v>299.89999999999998</v>
      </c>
      <c r="FJ13">
        <v>307.39999999970001</v>
      </c>
      <c r="FK13">
        <v>314.3</v>
      </c>
      <c r="FL13">
        <v>321.5999999993</v>
      </c>
      <c r="FM13">
        <v>328.79999999929998</v>
      </c>
      <c r="FN13">
        <v>335.80000000069998</v>
      </c>
      <c r="FO13">
        <v>342.59999999989998</v>
      </c>
      <c r="FP13">
        <v>349.50000000030002</v>
      </c>
      <c r="FQ13">
        <v>356.40000000060002</v>
      </c>
      <c r="FR13">
        <v>362.80000000080003</v>
      </c>
      <c r="FS13">
        <v>369.19999999919997</v>
      </c>
      <c r="FT13">
        <v>375.59999999939998</v>
      </c>
      <c r="FU13">
        <v>382.10000000069999</v>
      </c>
      <c r="FV13">
        <v>388.10000000010001</v>
      </c>
      <c r="FW13">
        <v>394.09999999950003</v>
      </c>
      <c r="FX13">
        <v>399.99999999959999</v>
      </c>
      <c r="FY13">
        <v>405.89999999970001</v>
      </c>
      <c r="FZ13">
        <v>411.70000000060003</v>
      </c>
      <c r="GA13">
        <v>417.2999999992</v>
      </c>
      <c r="GB13">
        <v>422.80000000029997</v>
      </c>
      <c r="GC13">
        <v>428.2999999996</v>
      </c>
      <c r="GD13">
        <v>433.69999999959998</v>
      </c>
      <c r="GE13">
        <v>438.79999999990002</v>
      </c>
      <c r="GF13">
        <v>443.90000000020001</v>
      </c>
      <c r="GG13">
        <v>448.7000000008</v>
      </c>
      <c r="GH13">
        <v>453.10000000060001</v>
      </c>
      <c r="GI13">
        <v>455.4000000007</v>
      </c>
      <c r="GJ13">
        <v>455.5</v>
      </c>
      <c r="GK13">
        <v>455.5</v>
      </c>
      <c r="GL13">
        <v>455.4000000007</v>
      </c>
      <c r="GM13">
        <v>455.4000000007</v>
      </c>
      <c r="GN13">
        <v>455.4000000007</v>
      </c>
      <c r="GO13">
        <v>455.5</v>
      </c>
      <c r="GP13">
        <v>455.5</v>
      </c>
      <c r="GQ13">
        <v>455.5</v>
      </c>
      <c r="GR13">
        <v>455.5</v>
      </c>
      <c r="GS13">
        <v>455.5</v>
      </c>
      <c r="GT13">
        <v>455.5999999993</v>
      </c>
      <c r="GU13">
        <v>455.5999999993</v>
      </c>
      <c r="GV13">
        <v>455.5999999993</v>
      </c>
      <c r="GW13">
        <v>1</v>
      </c>
      <c r="GX13">
        <v>113.6999999999</v>
      </c>
      <c r="GY13">
        <v>107.7000000005</v>
      </c>
      <c r="GZ13">
        <v>107.7000000005</v>
      </c>
      <c r="HA13">
        <v>121.4999999993</v>
      </c>
      <c r="HB13">
        <v>111.170821903</v>
      </c>
      <c r="HC13">
        <v>-13.799999998800001</v>
      </c>
      <c r="HD13">
        <v>455.5999999993</v>
      </c>
      <c r="HE13">
        <v>310.71297048169998</v>
      </c>
      <c r="HF13">
        <v>88.4408646981</v>
      </c>
      <c r="HG13">
        <v>455.7000000004</v>
      </c>
      <c r="HH13">
        <v>455.5999999993</v>
      </c>
      <c r="HI13">
        <v>455.7000000004</v>
      </c>
      <c r="HJ13">
        <v>455.5999999993</v>
      </c>
      <c r="HK13">
        <v>112.6099706745</v>
      </c>
      <c r="HL13">
        <v>3.3669156765000001</v>
      </c>
      <c r="HM13">
        <v>3.2541112103000001</v>
      </c>
      <c r="HN13">
        <v>3.2928693920000001</v>
      </c>
      <c r="HO13">
        <v>3.3474854609000002</v>
      </c>
      <c r="HP13">
        <v>3.6031012062999999</v>
      </c>
      <c r="HQ13">
        <v>2.2050797756999998</v>
      </c>
      <c r="HR13">
        <v>22.729957204800002</v>
      </c>
      <c r="HS13">
        <v>-25.806451612899998</v>
      </c>
      <c r="HT13">
        <v>-176</v>
      </c>
      <c r="HU13">
        <v>421.88379238469997</v>
      </c>
      <c r="HV13">
        <v>96.187683284499997</v>
      </c>
      <c r="HW13">
        <v>656</v>
      </c>
      <c r="HX13">
        <v>22.729957204800002</v>
      </c>
      <c r="HY13">
        <v>-25.806451612899998</v>
      </c>
      <c r="HZ13">
        <v>-176</v>
      </c>
      <c r="IA13">
        <v>421.88379238469997</v>
      </c>
      <c r="IB13">
        <v>96.187683284499997</v>
      </c>
      <c r="IC13">
        <v>656</v>
      </c>
      <c r="ID13">
        <v>33.716207614600002</v>
      </c>
      <c r="IE13">
        <v>4.1368704049999998</v>
      </c>
      <c r="IF13">
        <v>-35.190615835800003</v>
      </c>
      <c r="IG13">
        <v>-240</v>
      </c>
      <c r="IH13">
        <v>443.53715571179998</v>
      </c>
      <c r="II13">
        <v>105.57184750730001</v>
      </c>
      <c r="IJ13">
        <v>720</v>
      </c>
      <c r="IK13">
        <v>399.1538351799</v>
      </c>
      <c r="IL13">
        <v>121.9941348974</v>
      </c>
      <c r="IM13">
        <v>424.70328102690002</v>
      </c>
      <c r="IN13">
        <v>131.37829912020001</v>
      </c>
      <c r="IO13">
        <v>7.3000000010999999</v>
      </c>
      <c r="IP13">
        <v>5.4999999992999999</v>
      </c>
      <c r="IQ13">
        <v>8.7000000002999993</v>
      </c>
      <c r="IR13">
        <v>6.8224890524999999</v>
      </c>
      <c r="IS13">
        <v>6.8224890524999999</v>
      </c>
      <c r="IT13">
        <v>12.0999999999</v>
      </c>
      <c r="IU13">
        <v>-28.152492668600001</v>
      </c>
      <c r="IV13">
        <v>14.4</v>
      </c>
      <c r="IW13">
        <v>23.460410557199999</v>
      </c>
      <c r="IX13">
        <v>10.299999999900001</v>
      </c>
      <c r="IY13">
        <v>103.22580645159999</v>
      </c>
      <c r="IZ13">
        <v>-32.931378461100003</v>
      </c>
      <c r="JA13">
        <v>0.3241810678</v>
      </c>
      <c r="JB13">
        <v>-3.2335140000000002E-4</v>
      </c>
      <c r="JC13">
        <v>6.6250000000000001E-7</v>
      </c>
      <c r="JD13">
        <v>0.29700773530000002</v>
      </c>
      <c r="JE13">
        <v>0.15406630590000001</v>
      </c>
      <c r="JF13">
        <v>6.1563307400000003E-2</v>
      </c>
      <c r="JG13">
        <v>111.7324456777</v>
      </c>
      <c r="JH13">
        <v>3.6031012062999999</v>
      </c>
      <c r="JI13">
        <v>2.3676166000000001E-3</v>
      </c>
      <c r="JJ13">
        <v>-6.6777600000000002E-5</v>
      </c>
      <c r="JK13">
        <v>3.3669156765000001</v>
      </c>
      <c r="JL13">
        <v>1.2563338101999999</v>
      </c>
      <c r="JM13">
        <v>0.46158277669999997</v>
      </c>
      <c r="JN13" t="s">
        <v>547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70.343276759099993</v>
      </c>
      <c r="D16" s="9">
        <f>AVERAGE(C18:C20)</f>
        <v>69.646336555866668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64.172022993100001</v>
      </c>
      <c r="D17" s="9">
        <f>AVERAGE(C21:C23)</f>
        <v>71.495449956400009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71.929720143300003</v>
      </c>
      <c r="D18" s="11">
        <f>AVERAGE(C24:C26)</f>
        <v>69.413386139433328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70.242307446200002</v>
      </c>
      <c r="D19" s="6">
        <f>AVERAGE('Summary(3pcs)'!E34:E35)</f>
        <v>141.84177811693792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66.7669820781</v>
      </c>
      <c r="D20" s="9">
        <f>AVERAGE('Summary(3pcs)'!E36:E38)</f>
        <v>150.33021541987122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64.767171876399999</v>
      </c>
      <c r="D21" s="9">
        <f>AVERAGE('Summary(3pcs)'!E39:E41)</f>
        <v>144.78411984773791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83.7577360935</v>
      </c>
      <c r="D22" s="11">
        <f>AVERAGE('Summary(3pcs)'!E42:E44)</f>
        <v>142.28714104200455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65.961441899299999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67.415608774899994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72.205645030100001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68.618904613300003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1.3841324103999999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-2.2578773528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5.6024170387999996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-1.28711977E-2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-1.9290615492000001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-1.6233274486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-5.433215862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2.4857931432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1.1789502246749999</v>
      </c>
      <c r="C39" s="5">
        <f>'Summary(3pcs)'!M34</f>
        <v>1.3841324103999999</v>
      </c>
      <c r="D39" s="11">
        <f t="shared" si="0"/>
        <v>-3.4647430032000002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-2.2578773528</v>
      </c>
      <c r="D40" s="6">
        <f t="shared" si="0"/>
        <v>1.082812702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5.6024170387999996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-1.28711977E-2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-1.62495292915</v>
      </c>
      <c r="C43" s="8">
        <f>'Summary(3pcs)'!M39</f>
        <v>-1.9290615492000001</v>
      </c>
      <c r="D43" s="6">
        <f t="shared" ref="D43:D54" si="2">C55</f>
        <v>4.1204335372000003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-1.6233274486</v>
      </c>
      <c r="D44" s="9">
        <f t="shared" si="2"/>
        <v>5.5637195073000001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-5.433215862</v>
      </c>
      <c r="D45" s="11">
        <f t="shared" si="2"/>
        <v>4.6858151949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2.4857931432</v>
      </c>
      <c r="D46" s="6">
        <f t="shared" si="2"/>
        <v>3.0314404926999998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-3.4647430032000002</v>
      </c>
      <c r="D47" s="9">
        <f t="shared" si="2"/>
        <v>5.4772114088999997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1.082812702</v>
      </c>
      <c r="D48" s="11">
        <f t="shared" si="2"/>
        <v>4.0531305255000003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0.37218238320000019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7.2598774707999993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6.9199743252000001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8.3514108154999995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4.3503521830250005</v>
      </c>
      <c r="C55" s="5">
        <f>'Summary(3pcs)'!N34</f>
        <v>4.1204335372000003</v>
      </c>
      <c r="D55" s="6">
        <f>AVERAGE(D31:D33)</f>
        <v>1.5762240321333332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5.5637195073000001</v>
      </c>
      <c r="D56" s="9">
        <f>AVERAGE(D34:D36)</f>
        <v>-1.1884200651666668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4.6858151949</v>
      </c>
      <c r="D57" s="9">
        <f>AVERAGE(D37:D39)</f>
        <v>-2.137388574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3.0314404926999998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4.2906004470999992</v>
      </c>
      <c r="C59" s="8">
        <f>'Summary(3pcs)'!N39</f>
        <v>5.4772114088999997</v>
      </c>
      <c r="D59" s="9">
        <f>AVERAGE(D43:D45)</f>
        <v>4.7899894131333332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4.0531305255000003</v>
      </c>
      <c r="D60" s="9">
        <f>AVERAGE(D46:D48)</f>
        <v>4.1872608090333339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0.37218238320000019</v>
      </c>
      <c r="D61" s="9">
        <f>AVERAGE(D49:D51)</f>
        <v>4.8506780597333332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7.2598774707999993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6.9199743252000001</v>
      </c>
      <c r="D63" s="6">
        <f>AVERAGE(C71:C73)</f>
        <v>-6.8560930887999989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8.3514108154999995</v>
      </c>
      <c r="D64" s="9">
        <f>AVERAGE(C74:C76)</f>
        <v>-1.1262845993000001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-3.3799324829999997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-4.3644762833666668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1.5583392779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3.6297629674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4.9327936172333331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2.8165798187333331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-7.5376844405999996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-6.3320398330999996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-6.6985549927000001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3.4456386565999999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-0.42446756360000037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-6.4000248909000002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-1.5511693953999997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-4.0510523318999994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-4.5375757216999997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-4.2974321841999998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-7.0274209976000002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-1.7685756682999996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2.8499951362999996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1.7697782516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5.5244445800000097E-2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1.4881286621000003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3.2002906799000002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6.2008695601999992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5.4471549988000003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6.2811746596999996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3.0700511932000003</v>
      </c>
    </row>
    <row r="96" spans="1:7">
      <c r="A96" s="1" t="s">
        <v>87</v>
      </c>
      <c r="C96" s="5">
        <f>'Summary(3pcs)'!W43</f>
        <v>3.0750980377000001</v>
      </c>
    </row>
    <row r="97" spans="1:3">
      <c r="A97" s="1" t="s">
        <v>87</v>
      </c>
      <c r="C97" s="8">
        <f>'Summary(3pcs)'!W44</f>
        <v>2.7357645035000004</v>
      </c>
    </row>
    <row r="98" spans="1:3" ht="17.25" thickBot="1">
      <c r="A98" s="1" t="s">
        <v>87</v>
      </c>
      <c r="C98" s="10">
        <f>'Summary(3pcs)'!W45</f>
        <v>2.638876915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2022-09-23T03:27:11Z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