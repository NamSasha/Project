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<sst xmlns="http://schemas.openxmlformats.org/spreadsheetml/2006/main" count="1419" uniqueCount="671">
  <si>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</si>
  <si>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</si>
  <si>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</si>
  <si>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</si>
  <si>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</si>
  <si>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</si>
  <si>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</si>
  <si>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</si>
  <si>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</si>
  <si>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</si>
  <si>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</si>
  <si>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</si>
  <si>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</si>
  <si>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</si>
  <si>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</si>
  <si>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</si>
  <si>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</si>
  <si>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</si>
  <si>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</si>
  <si>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</si>
  <si>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</si>
  <si>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</si>
  <si>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</si>
  <si>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</si>
  <si>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</si>
  <si>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</si>
  <si>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</si>
  <si>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</si>
  <si>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</si>
  <si>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</si>
  <si>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</si>
  <si>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</si>
  <si>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</si>
  <si>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</si>
  <si>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</si>
  <si>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</si>
  <si>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</si>
  <si>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</si>
  <si>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</si>
  <si>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</si>
  <si>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</si>
  <si>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</si>
  <si>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</si>
  <si>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</si>
  <si>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</si>
  <si>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</si>
  <si>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</si>
  <si>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</si>
  <si>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</si>
  <si>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</si>
  <si>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</si>
  <si>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</si>
  <si>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</si>
  <si>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</si>
  <si>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</si>
  <si>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</si>
  <si>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</si>
  <si>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</si>
  <si>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</si>
  <si>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</si>
  <si>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</si>
  <si>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</si>
  <si>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</si>
  <si>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</si>
  <si>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</si>
  <si>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</si>
  <si>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</si>
  <si>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</si>
  <si>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</si>
  <si>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</si>
  <si>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</si>
  <si>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</si>
  <si>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</si>
  <si>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</si>
  <si>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</si>
  <si>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</si>
  <si>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</si>
  <si>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</si>
  <si>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</si>
  <si>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</si>
  <si>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</si>
  <si>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</si>
  <si>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</si>
  <si>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</si>
  <si>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</si>
  <si>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</si>
  <si>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</si>
  <si>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</si>
  <si>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</si>
  <si>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</si>
  <si>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</si>
  <si>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</si>
  <si>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</si>
  <si>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</si>
  <si>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</si>
  <si>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</si>
  <si>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</si>
  <si>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</si>
  <si>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</si>
  <si>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</si>
  <si>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</si>
  <si>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</si>
  <si>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</si>
  <si>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</si>
  <si>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</si>
  <si>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</si>
  <si>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</si>
  <si>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</si>
  <si>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</si>
  <si>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</si>
  <si>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</si>
  <si>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</si>
  <si>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</si>
  <si>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</si>
  <si>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</si>
  <si>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</si>
  <si>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</si>
  <si>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</si>
  <si>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</si>
  <si>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</si>
  <si>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</si>
  <si>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</si>
  <si>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</si>
  <si>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</si>
  <si>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</si>
  <si>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</si>
  <si>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</si>
  <si>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</si>
  <si>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</si>
  <si>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</si>
  <si>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</si>
  <si>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</si>
  <si>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</si>
  <si>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</si>
  <si>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</si>
  <si>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</si>
  <si>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</si>
  <si>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</si>
  <si>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</si>
  <si>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</si>
  <si>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</si>
  <si>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</si>
  <si>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</si>
  <si>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</si>
  <si>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</si>
  <si>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</si>
  <si>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</si>
  <si>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</si>
  <si>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</si>
  <si>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</si>
  <si>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</si>
  <si>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</si>
  <si>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</si>
  <si>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</si>
  <si>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</si>
  <si>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</si>
  <si>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</si>
  <si>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</si>
  <si>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</si>
  <si>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</si>
  <si>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</si>
  <si>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</si>
  <si>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</si>
  <si>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</si>
  <si>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</si>
  <si>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</si>
  <si>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</si>
  <si>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</si>
  <si>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</si>
  <si>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</si>
  <si>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</si>
  <si>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</si>
  <si>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D:\EVMS\TP\LOG\VSY841ZN9NAV_2022092310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</si>
  <si>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</si>
  <si>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</si>
  <si>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</si>
  <si>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</si>
  <si>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</si>
  <si>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</si>
  <si>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</si>
  <si>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</si>
  <si>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</si>
  <si>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</si>
  <si>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</si>
  <si>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</si>
  <si>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</si>
  <si>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</si>
  <si>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</si>
  <si>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</si>
  <si>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</si>
  <si>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</si>
  <si>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</si>
  <si>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</si>
  <si>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</si>
  <si>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</si>
  <si>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</si>
  <si>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</si>
  <si>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</si>
  <si>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</si>
  <si>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</si>
  <si>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</si>
  <si>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</si>
  <si>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</si>
  <si>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</si>
  <si>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</si>
  <si>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</si>
  <si>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</si>
  <si>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</si>
  <si>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</si>
  <si>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T220923100643953VCMLEBC050</t>
  </si>
  <si>
    <t>'2022-09-23 10:06:52:835</t>
  </si>
  <si>
    <t>VCMLEBC050A</t>
  </si>
  <si>
    <t>DB_C1001</t>
  </si>
  <si>
    <t>210615ADOE</t>
  </si>
  <si>
    <t>R13A_OC_MFG_C10_21091603_b1779c9</t>
  </si>
  <si>
    <t>VSY841ZN9NAV</t>
  </si>
  <si>
    <t>22cc65220151</t>
  </si>
  <si>
    <t>0x5240f562535b8c03</t>
  </si>
  <si>
    <t>AS4C3451B65BA4B29533049016</t>
  </si>
  <si>
    <t>AJ9C3523A3AGF4B3A631</t>
  </si>
  <si>
    <t>DNA22236095220L06A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</si>
  <si>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</si>
  <si>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</si>
  <si>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</si>
  <si>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</si>
  <si>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</si>
  <si>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</si>
  <si>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AG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</si>
  <si>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</si>
  <si>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</si>
  <si>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</si>
  <si>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</si>
  <si>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</si>
  <si>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</si>
  <si>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</si>
  <si>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</si>
  <si>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</si>
  <si>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</si>
  <si>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</si>
  <si>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</si>
  <si>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</si>
  <si>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</si>
  <si>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</si>
  <si>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</si>
  <si>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</si>
  <si>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</si>
  <si>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</si>
  <si>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</si>
  <si>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</si>
  <si>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</si>
  <si>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</si>
  <si>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</si>
  <si>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</si>
  <si>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</si>
  <si>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</si>
  <si>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</si>
  <si>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</si>
  <si>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</si>
  <si>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</si>
  <si>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T220923100710381VCMLEBC050</t>
  </si>
  <si>
    <t>'2022-09-23 10:07:40:426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</si>
  <si>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</si>
  <si>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</si>
  <si>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</si>
  <si>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</si>
  <si>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</si>
  <si>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</si>
  <si>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</si>
  <si>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</si>
  <si>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</si>
  <si>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</si>
  <si>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</si>
  <si>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</si>
  <si>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</si>
  <si>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</si>
  <si>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</si>
  <si>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</si>
  <si>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10:07:30:398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</si>
  <si>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</si>
  <si>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</si>
  <si>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</si>
  <si>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</si>
  <si>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</si>
  <si>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</si>
  <si>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</si>
  <si>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</si>
  <si>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</si>
  <si>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</si>
  <si>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</si>
  <si>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</si>
  <si>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</si>
  <si>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</si>
  <si>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</si>
  <si>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</si>
  <si>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</si>
  <si>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</si>
  <si>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</si>
  <si>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</si>
  <si>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</si>
  <si>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</si>
  <si>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</si>
  <si>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</si>
  <si>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</si>
  <si>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</si>
  <si>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</si>
  <si>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</si>
  <si>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</si>
  <si>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</si>
  <si>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</si>
  <si>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</si>
  <si>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</si>
  <si>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</si>
  <si>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</si>
  <si>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</si>
  <si>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</si>
  <si>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</si>
  <si>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</si>
  <si>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</si>
  <si>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</si>
  <si>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</si>
  <si>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</si>
  <si>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</si>
  <si>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</si>
  <si>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</si>
  <si>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</si>
  <si>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</si>
  <si>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</si>
  <si>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</si>
  <si>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</si>
  <si>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</si>
  <si>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</si>
  <si>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</si>
  <si>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</si>
  <si>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</si>
  <si>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</si>
  <si>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</si>
  <si>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</si>
  <si>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</si>
  <si>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</si>
  <si>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</si>
  <si>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</si>
  <si>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</si>
  <si>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</si>
  <si>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</si>
  <si>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</si>
  <si>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</si>
  <si>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</si>
  <si>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</si>
  <si>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</si>
  <si>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</si>
  <si>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</si>
  <si>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</si>
  <si>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</si>
  <si>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</si>
  <si>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</si>
  <si>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</si>
  <si>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</si>
  <si>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</si>
  <si>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</si>
  <si>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</si>
  <si>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</si>
  <si>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</si>
  <si>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</si>
  <si>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</si>
  <si>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</si>
  <si>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</si>
  <si>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</si>
  <si>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</si>
  <si>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</si>
  <si>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</si>
  <si>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</si>
  <si>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</si>
  <si>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</si>
  <si>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</si>
  <si>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</si>
  <si>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</si>
  <si>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</si>
  <si>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</si>
  <si>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</si>
  <si>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</si>
  <si>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</si>
  <si>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</si>
  <si>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</si>
  <si>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</si>
  <si>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</si>
  <si>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</si>
  <si>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</si>
  <si>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</si>
  <si>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</si>
  <si>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</si>
  <si>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</si>
  <si>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</si>
  <si>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</si>
  <si>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</si>
  <si>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</si>
  <si>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</si>
  <si>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</si>
  <si>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</si>
  <si>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</si>
  <si>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</si>
  <si>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</si>
  <si>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</si>
  <si>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</si>
  <si>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</si>
  <si>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</si>
  <si>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</si>
  <si>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</si>
  <si>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</si>
  <si>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</si>
  <si>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</si>
  <si>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</si>
  <si>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</si>
  <si>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</si>
  <si>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</si>
  <si>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</si>
  <si>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</si>
  <si>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</si>
  <si>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</si>
  <si>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</si>
  <si>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</si>
  <si>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</si>
  <si>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</si>
  <si>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</si>
  <si>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</si>
  <si>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</si>
  <si>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</si>
  <si>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</si>
  <si>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</si>
  <si>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</si>
  <si>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</si>
  <si>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</si>
  <si>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</si>
  <si>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</si>
  <si>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</si>
  <si>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</si>
  <si>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</si>
  <si>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</si>
  <si>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</si>
  <si>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</si>
  <si>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</si>
  <si>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</si>
  <si>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</si>
  <si>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</si>
  <si>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</si>
  <si>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</si>
  <si>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</si>
  <si>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</si>
  <si>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</si>
  <si>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</si>
  <si>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</si>
  <si>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</si>
  <si>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</si>
  <si>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</si>
  <si>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</si>
  <si>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</si>
  <si>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</si>
  <si>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</si>
  <si>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</si>
  <si>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</si>
  <si>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</si>
  <si>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</si>
  <si>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</si>
  <si>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</si>
  <si>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</si>
  <si>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</si>
  <si>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</si>
  <si>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</si>
  <si>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</si>
  <si>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</si>
  <si>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</si>
  <si>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</si>
  <si>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</si>
  <si>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</si>
  <si>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</si>
  <si>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</si>
  <si>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</si>
  <si>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</si>
  <si>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</si>
  <si>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</si>
  <si>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</si>
  <si>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</si>
  <si>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</si>
  <si>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</si>
  <si>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</si>
  <si>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</si>
  <si>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</si>
  <si>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</si>
  <si>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</si>
  <si>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</si>
  <si>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</si>
  <si>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</si>
  <si>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</si>
  <si>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</si>
  <si>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</si>
  <si>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</si>
  <si>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</si>
  <si>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</si>
  <si>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</si>
  <si>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</si>
  <si>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</si>
  <si>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</si>
  <si>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</si>
  <si>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</si>
  <si>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</si>
  <si>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</si>
  <si>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</si>
  <si>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</si>
  <si>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</si>
  <si>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</si>
  <si>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</si>
  <si>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</si>
  <si>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</si>
  <si>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</si>
  <si>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</si>
  <si>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</si>
  <si>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</si>
  <si>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</si>
  <si>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</si>
  <si>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</si>
  <si>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</si>
  <si>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</si>
  <si>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</si>
  <si>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</si>
  <si>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</si>
  <si>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</si>
  <si>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</si>
  <si>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</si>
  <si>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</si>
  <si>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</si>
  <si>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</si>
  <si>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</si>
  <si>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</si>
  <si>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</si>
  <si>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</si>
  <si>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</si>
  <si>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T220923100655556VCMLEBC050</t>
  </si>
  <si>
    <t>'2022-09-23 10:07:08:089</t>
  </si>
  <si>
    <t>R13A_IPQC_MFG_Laser_C10_21090805_b1779c9</t>
  </si>
  <si>
    <t>v9p4</t>
  </si>
  <si>
    <t>T220923100752797VCMLEBC050</t>
  </si>
  <si>
    <t>'2022-09-23 10:08:01:793</t>
  </si>
  <si>
    <t>22cc65220040</t>
  </si>
  <si>
    <t>0x5240f562535b8701</t>
  </si>
  <si>
    <t>AS4C3451B658A4B29640012111</t>
  </si>
  <si>
    <t>AJ9C3523B2MFF2B3A618</t>
  </si>
  <si>
    <t>DNA22233145690J02A</t>
  </si>
  <si>
    <t>T220923100819252VCMLEBC050</t>
  </si>
  <si>
    <t>'2022-09-23 10:08:38:901</t>
  </si>
  <si>
    <t>T220923100804406VCMLEBC050</t>
  </si>
  <si>
    <t>'2022-09-23 10:08:16:935</t>
  </si>
  <si>
    <t>'2022-09-23 10:08:48:925</t>
  </si>
  <si>
    <t>T220923100934539VCMLEBC050</t>
  </si>
  <si>
    <t>'2022-09-23 10:09:43:503</t>
  </si>
  <si>
    <t>22cc65210192</t>
  </si>
  <si>
    <t>0x5240f562535b9607</t>
  </si>
  <si>
    <t>AS4C3451966KA4B2A426021005</t>
  </si>
  <si>
    <t>AJ5C3462140CC4B3A643</t>
  </si>
  <si>
    <t>DNA22225073540G12A</t>
  </si>
  <si>
    <t>T220923101001053VCMLEBC050</t>
  </si>
  <si>
    <t>'2022-09-23 10:10:19:781</t>
  </si>
  <si>
    <t>T220923100946221VCMLEBC050</t>
  </si>
  <si>
    <t>'2022-09-23 10:09:58:752</t>
  </si>
  <si>
    <t>'2022-09-23 10:10:29:806</t>
  </si>
  <si>
    <t>T220923101040504VCMLEBC050</t>
  </si>
  <si>
    <t>'2022-09-23 10:10:49:501</t>
  </si>
  <si>
    <t>22cc65220722</t>
  </si>
  <si>
    <t>0x5240f562535b8505</t>
  </si>
  <si>
    <t>AS4C346174HMA1B29444004122</t>
  </si>
  <si>
    <t>AJAC3524241JF4B3A653</t>
  </si>
  <si>
    <t>DNA22233142480J14A</t>
  </si>
  <si>
    <t>T220923101106987VCMLEBC050</t>
  </si>
  <si>
    <t>'2022-09-23 10:11:26:570</t>
  </si>
  <si>
    <t>T220923101052162VCMLEBC050</t>
  </si>
  <si>
    <t>'2022-09-23 10:11:04:693</t>
  </si>
  <si>
    <t>T220923101148609VCMLEBC050</t>
  </si>
  <si>
    <t>'2022-09-23 10:11:57:464</t>
  </si>
  <si>
    <t>22cc65220455</t>
  </si>
  <si>
    <t>0x5240f562535b7001</t>
  </si>
  <si>
    <t>AS4C346174HNA1B2A140110006</t>
  </si>
  <si>
    <t>AJAC3524241DF1B3A628</t>
  </si>
  <si>
    <t>DNA22233142480L08A</t>
  </si>
  <si>
    <t>'2022-09-23 10:11:36:600</t>
  </si>
  <si>
    <t>T220923101214908VCMLEBC050</t>
  </si>
  <si>
    <t>'2022-09-23 10:12:43:811</t>
  </si>
  <si>
    <t>'2022-09-23 10:12:33:787</t>
  </si>
  <si>
    <t>T220923101200072VCMLEBC050</t>
  </si>
  <si>
    <t>'2022-09-23 10:12:12:603</t>
  </si>
  <si>
    <t>T220923101300486VCMLEBC050</t>
  </si>
  <si>
    <t>'2022-09-23 10:13:09:409</t>
  </si>
  <si>
    <t>22cc65220279</t>
  </si>
  <si>
    <t>0x5240fc627d383001</t>
  </si>
  <si>
    <t>AS4C3451966NA4B2A238009024</t>
  </si>
  <si>
    <t>AJ5C34620416C1B3A632</t>
  </si>
  <si>
    <t>DNA22225073540G11A</t>
  </si>
  <si>
    <t>T220923101312031VCMLEBC050</t>
  </si>
  <si>
    <t>'2022-09-23 10:13:24:565</t>
  </si>
  <si>
    <t>T220923101326864VCMLEBC050</t>
  </si>
  <si>
    <t>'2022-09-23 10:13:55:674</t>
  </si>
  <si>
    <t>'2022-09-23 10:13:45:649</t>
  </si>
  <si>
    <t>T220923101405920VCMLEBC050</t>
  </si>
  <si>
    <t>'2022-09-23 10:14:14:816</t>
  </si>
  <si>
    <t>22cc65220750</t>
  </si>
  <si>
    <t>0x5240fe62747e2b05</t>
  </si>
  <si>
    <t>AS4C3451966PA4B2A237107027</t>
  </si>
  <si>
    <t>AJ7C3522F41AB3B3A637</t>
  </si>
  <si>
    <t>DNA22244024350A04A</t>
  </si>
  <si>
    <t>T220923101417737VCMLEBC050</t>
  </si>
  <si>
    <t>'2022-09-23 10:14:30:283</t>
  </si>
  <si>
    <t>T220923101512234VCMLEBC050</t>
  </si>
  <si>
    <t>'2022-09-23 10:15:21:563</t>
  </si>
  <si>
    <t>22cb87010693</t>
  </si>
  <si>
    <t>0x5240fe62747e2b07</t>
  </si>
  <si>
    <t>AS2C3461E3CEA6B2B327006107</t>
  </si>
  <si>
    <t>AJ9C3534319MF3B3A642</t>
  </si>
  <si>
    <t>DNA22247023750A11A</t>
  </si>
  <si>
    <t>T220923101432568VCMLEBC050</t>
  </si>
  <si>
    <t>'2022-09-23 10:15:01:452</t>
  </si>
  <si>
    <t>'2022-09-23 10:14:51:428</t>
  </si>
  <si>
    <t>T220923101524200VCMLEBC050</t>
  </si>
  <si>
    <t>'2022-09-23 10:15:36:739</t>
  </si>
  <si>
    <t>T220923101539026VCMLEBC050</t>
  </si>
  <si>
    <t>'2022-09-23 10:16:08:371</t>
  </si>
  <si>
    <t>'2022-09-23 10:15:58:346</t>
  </si>
  <si>
    <t>T220923101620926VCMLEBC050</t>
  </si>
  <si>
    <t>'2022-09-23 10:16:29:772</t>
  </si>
  <si>
    <t>22cb87010721</t>
  </si>
  <si>
    <t>0x5240fe6281475a03</t>
  </si>
  <si>
    <t>AS2C3461D3H0A6B2B221032133</t>
  </si>
  <si>
    <t>AJ9C353441A1F2B3A638</t>
  </si>
  <si>
    <t>DNA22233142820K06A</t>
  </si>
  <si>
    <t>T220923101632437VCMLEBC050</t>
  </si>
  <si>
    <t>'2022-09-23 10:16:44:966</t>
  </si>
  <si>
    <t>T220923101647263VCMLEBC050</t>
  </si>
  <si>
    <t>'2022-09-23 10:17:06:371</t>
  </si>
  <si>
    <t>'2022-09-23 10:17:16:395</t>
  </si>
  <si>
    <t>T220923101726885VCMLEBC050</t>
  </si>
  <si>
    <t>'2022-09-23 10:17:36:223</t>
  </si>
  <si>
    <t>22cc65220202</t>
  </si>
  <si>
    <t>0x5240f562535b8703</t>
  </si>
  <si>
    <t>AS4C3451B65CA4B2A244008110</t>
  </si>
  <si>
    <t>AJ9C3523C37MF3B3A631</t>
  </si>
  <si>
    <t>DNA22243020510A11A</t>
  </si>
  <si>
    <t>T220923101738930VCMLEBC050</t>
  </si>
  <si>
    <t>'2022-09-23 10:17:51:462</t>
  </si>
  <si>
    <t>T220923101753691VCMLEBC050</t>
  </si>
  <si>
    <t>'2022-09-23 10:18:13:033</t>
  </si>
  <si>
    <t>'2022-09-23 10:18:23:056</t>
  </si>
  <si>
    <t>T220923101835054VCMLEBC050</t>
  </si>
  <si>
    <t>'2022-09-23 10:18:44:011</t>
  </si>
  <si>
    <t>22cc65220253</t>
  </si>
  <si>
    <t>0x5240f562535b8507</t>
  </si>
  <si>
    <t>AS4C3451A5NKA4B29240028111</t>
  </si>
  <si>
    <t>AJ9C3523A3AEF1B3A620</t>
  </si>
  <si>
    <t>DNA22236122970B06A</t>
  </si>
  <si>
    <t>T220923101846659VCMLEBC050</t>
  </si>
  <si>
    <t>'2022-09-23 10:18:59:196</t>
  </si>
  <si>
    <t>T220923101953651VCMLEBC050</t>
  </si>
  <si>
    <t>'2022-09-23 10:20:02:902</t>
  </si>
  <si>
    <t>22cb87020748</t>
  </si>
  <si>
    <t>0x5240fe6281474c07</t>
  </si>
  <si>
    <t>AS2C3461E3CDA6B2B226001004</t>
  </si>
  <si>
    <t>AJ9C3534419NF4B3A642</t>
  </si>
  <si>
    <t>DNA22245090910M08A</t>
  </si>
  <si>
    <t>T220923101901493VCMLEBC050</t>
  </si>
  <si>
    <t>'2022-09-23 10:19:31:505</t>
  </si>
  <si>
    <t>'2022-09-23 10:19:21:474</t>
  </si>
  <si>
    <t>T220923102005515VCMLEBC050</t>
  </si>
  <si>
    <t>'2022-09-23 10:20:18:050</t>
  </si>
  <si>
    <t>T220923102020346VCMLEBC050</t>
  </si>
  <si>
    <t>'2022-09-23 10:20:39:921</t>
  </si>
  <si>
    <t>'2022-09-23 10:20:49:956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</si>
</sst>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-4.5475631122999998</c:v>
                </c:pt>
                <c:pt idx="1">
                  <c:v>-3.4842407950999998</c:v>
                </c:pt>
                <c:pt idx="2">
                  <c:v>-0.13228118629999999</c:v>
                </c:pt>
                <c:pt idx="3">
                  <c:v>-4.5984827736999998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3.5247553634000002</c:v>
                </c:pt>
                <c:pt idx="1">
                  <c:v>-2.2599976824999999</c:v>
                </c:pt>
                <c:pt idx="2">
                  <c:v>4.5823997448</c:v>
                </c:pt>
                <c:pt idx="3">
                  <c:v>5.4578448497999998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-2.7213616979000004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1.9490524752333336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24672"/>
        <c:axId val="121326208"/>
      </c:scatterChart>
      <c:valAx>
        <c:axId val="1213246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1326208"/>
        <c:crosses val="autoZero"/>
        <c:crossBetween val="midCat"/>
        <c:majorUnit val="10"/>
      </c:valAx>
      <c:valAx>
        <c:axId val="1213262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132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-6.9625783815000002</c:v>
                </c:pt>
                <c:pt idx="1">
                  <c:v>-4.9748862621000001</c:v>
                </c:pt>
                <c:pt idx="2">
                  <c:v>-3.7249000297000001</c:v>
                </c:pt>
                <c:pt idx="3">
                  <c:v>-4.0647550404999997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3.1949974179999998</c:v>
                </c:pt>
                <c:pt idx="1">
                  <c:v>4.1320439627000001</c:v>
                </c:pt>
                <c:pt idx="2">
                  <c:v>4.1911715375999998</c:v>
                </c:pt>
                <c:pt idx="3">
                  <c:v>0.83263585120000005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-5.5119824724333339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4.2616287435000002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41440"/>
        <c:axId val="123351424"/>
      </c:scatterChart>
      <c:valAx>
        <c:axId val="1233414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51424"/>
        <c:crosses val="autoZero"/>
        <c:crossBetween val="midCat"/>
        <c:majorUnit val="10"/>
      </c:valAx>
      <c:valAx>
        <c:axId val="123351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4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-2.2681836050999999</c:v>
                </c:pt>
                <c:pt idx="1">
                  <c:v>2.5579177442000001</c:v>
                </c:pt>
                <c:pt idx="2">
                  <c:v>-3.5530919446999998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0.7728405263</c:v>
                </c:pt>
                <c:pt idx="1">
                  <c:v>3.2801643943999998</c:v>
                </c:pt>
                <c:pt idx="2">
                  <c:v>1.0319854454000001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-3.3526128917666669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1.9322159716999998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80096"/>
        <c:axId val="123381632"/>
      </c:scatterChart>
      <c:valAx>
        <c:axId val="1233800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81632"/>
        <c:crosses val="autoZero"/>
        <c:crossBetween val="midCat"/>
        <c:majorUnit val="10"/>
      </c:valAx>
      <c:valAx>
        <c:axId val="1233816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8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6.8818259705999996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-6.3913149386000008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1.9622172567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-0.69305503293333359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48992"/>
        <c:axId val="124550528"/>
      </c:scatterChart>
      <c:valAx>
        <c:axId val="1245489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550528"/>
        <c:crosses val="autoZero"/>
        <c:crossBetween val="midCat"/>
        <c:majorUnit val="10"/>
      </c:valAx>
      <c:valAx>
        <c:axId val="124550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54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81.864803130599995</c:v>
                </c:pt>
                <c:pt idx="1">
                  <c:v>86.981453852100003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84.783102001966668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87392"/>
        <c:axId val="124613760"/>
      </c:scatterChart>
      <c:valAx>
        <c:axId val="12458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13760"/>
        <c:crosses val="autoZero"/>
        <c:crossBetween val="midCat"/>
      </c:valAx>
      <c:valAx>
        <c:axId val="1246137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587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85.503049023200006</c:v>
                </c:pt>
                <c:pt idx="1">
                  <c:v>85.3616297218</c:v>
                </c:pt>
                <c:pt idx="2">
                  <c:v>85.593233144899997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88.057113550333341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46528"/>
        <c:axId val="124648064"/>
      </c:scatterChart>
      <c:valAx>
        <c:axId val="12464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48064"/>
        <c:crosses val="autoZero"/>
        <c:crossBetween val="midCat"/>
      </c:valAx>
      <c:valAx>
        <c:axId val="1246480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46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93.216477784299997</c:v>
                </c:pt>
                <c:pt idx="1">
                  <c:v>91.264318849700004</c:v>
                </c:pt>
                <c:pt idx="2">
                  <c:v>85.767453364999994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87.035792998299996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93120"/>
        <c:axId val="124699008"/>
      </c:scatterChart>
      <c:valAx>
        <c:axId val="12469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99008"/>
        <c:crosses val="autoZero"/>
        <c:crossBetween val="midCat"/>
      </c:valAx>
      <c:valAx>
        <c:axId val="1246990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9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84.075606780200005</c:v>
                </c:pt>
                <c:pt idx="1">
                  <c:v>93.0717054574</c:v>
                </c:pt>
                <c:pt idx="2">
                  <c:v>88.473605234299995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86.908075484233336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2832"/>
        <c:axId val="124794368"/>
      </c:scatterChart>
      <c:valAx>
        <c:axId val="12479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94368"/>
        <c:crosses val="autoZero"/>
        <c:crossBetween val="midCat"/>
      </c:valAx>
      <c:valAx>
        <c:axId val="12479436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792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2.1674818990000002</c:v>
                </c:pt>
                <c:pt idx="1">
                  <c:v>-2.7124869820000002</c:v>
                </c:pt>
                <c:pt idx="2">
                  <c:v>4.1372394559999996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1.3514223100000002</c:v>
                </c:pt>
                <c:pt idx="1">
                  <c:v>0.90821599999999991</c:v>
                </c:pt>
                <c:pt idx="2">
                  <c:v>5.4989013670000002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1.1974114576666666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2.5861798923333335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17952"/>
        <c:axId val="125119488"/>
      </c:scatterChart>
      <c:valAx>
        <c:axId val="1251179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19488"/>
        <c:crosses val="autoZero"/>
        <c:crossBetween val="midCat"/>
        <c:majorUnit val="10"/>
      </c:valAx>
      <c:valAx>
        <c:axId val="1251194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1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-11.395816326</c:v>
                </c:pt>
                <c:pt idx="1">
                  <c:v>0.84077119799999966</c:v>
                </c:pt>
                <c:pt idx="2">
                  <c:v>-2.70236206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-2.5896807910000001</c:v>
                </c:pt>
                <c:pt idx="1">
                  <c:v>0.57951903299999996</c:v>
                </c:pt>
                <c:pt idx="2">
                  <c:v>9.9125957499999995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-4.4191357293333331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2.6341446639999995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60448"/>
        <c:axId val="125178624"/>
      </c:scatterChart>
      <c:valAx>
        <c:axId val="1251604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78624"/>
        <c:crosses val="autoZero"/>
        <c:crossBetween val="midCat"/>
        <c:majorUnit val="10"/>
      </c:valAx>
      <c:valAx>
        <c:axId val="1251786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6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-5.3313282728000004</c:v>
                </c:pt>
                <c:pt idx="1">
                  <c:v>-2.6705918311999999</c:v>
                </c:pt>
                <c:pt idx="2">
                  <c:v>0.44655084610000007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2.8471755980999998</c:v>
                </c:pt>
                <c:pt idx="1">
                  <c:v>0.71936535840000015</c:v>
                </c:pt>
                <c:pt idx="2">
                  <c:v>7.8848638535000006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-2.5184564193000001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3.8171349366666667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07296"/>
        <c:axId val="125208832"/>
      </c:scatterChart>
      <c:valAx>
        <c:axId val="1252072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08832"/>
        <c:crosses val="autoZero"/>
        <c:crossBetween val="midCat"/>
        <c:majorUnit val="10"/>
      </c:valAx>
      <c:valAx>
        <c:axId val="1252088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0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-5.0843076710000004</c:v>
                </c:pt>
                <c:pt idx="1">
                  <c:v>-4.8949940200000004</c:v>
                </c:pt>
                <c:pt idx="2">
                  <c:v>-6.8241128920000005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0.47864747099999994</c:v>
                </c:pt>
                <c:pt idx="1">
                  <c:v>-1.312976599</c:v>
                </c:pt>
                <c:pt idx="2">
                  <c:v>5.3616132739999998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-5.6011381943333332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1.5090947153333332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04576"/>
        <c:axId val="126906368"/>
      </c:scatterChart>
      <c:valAx>
        <c:axId val="1269045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906368"/>
        <c:crosses val="autoZero"/>
        <c:crossBetween val="midCat"/>
        <c:majorUnit val="10"/>
      </c:valAx>
      <c:valAx>
        <c:axId val="1269063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690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D:\EVMS\TP\LOG\VSY841ZN9NAV_2022092310_D50_ON_OC.csv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D:\EVMS\TP\LOG\VSY841ZN9NAV_2022092310_FPDC_INFD_normal.csv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D:\EVMS\TP\LOG\VSY841ZN9NAV_2022092310_INFDMargin_IPQC.csv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D:\EVMS\TP\LOG\VSY841ZN9NAV_2022092310_VCM_MEASURE.csv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T49" sqref="T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227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22cc65220151</v>
      </c>
      <c r="C34" s="44">
        <f>IPQC!S2+VLOOKUP($R$31,$AD$38:$AK$42,6,FALSE)+VLOOKUP('File location'!$B$1,'Tester offset'!$A$2:$D$4,2,FALSE)</f>
        <v>81.864803130599995</v>
      </c>
      <c r="D34" s="44">
        <f>IPQC!Z2+VLOOKUP($R$31,$AD$38:$AK$42,6,FALSE)</f>
        <v>66.031880866700007</v>
      </c>
      <c r="E34" s="44">
        <f>VCM!HU2-'Summary(3pcs)'!C34-'Summary(3pcs)'!$D$32</f>
        <v>162.6795257651379</v>
      </c>
      <c r="F34" s="90">
        <f>AVERAGEIF($A$34:$A$45,1,$C$34:$C$45)</f>
        <v>84.783102001966668</v>
      </c>
      <c r="G34" s="91">
        <f>AVERAGEIF($A$34:$A$45,1,$D$34:$D$45)</f>
        <v>69.807353557333329</v>
      </c>
      <c r="H34" s="91">
        <f>AVERAGEIF($A$34:$A$45,1,$E$34:$E$45)</f>
        <v>159.85106349963789</v>
      </c>
      <c r="I34" s="91">
        <f>85-F34</f>
        <v>0.21689799803333187</v>
      </c>
      <c r="J34"/>
      <c r="K34" s="79">
        <f>T34</f>
        <v>1</v>
      </c>
      <c r="L34" s="80" t="str">
        <f>OC!J2</f>
        <v>22cc65220151</v>
      </c>
      <c r="M34" s="44">
        <f>OC!S2+VLOOKUP($R$31,$AD$38:$AK$42,4,FALSE)</f>
        <v>-4.5475631122999998</v>
      </c>
      <c r="N34" s="44">
        <f>OC!T2+VLOOKUP($R$31,$AD$38:$AK$42,5,FALSE)</f>
        <v>3.5247553634000002</v>
      </c>
      <c r="O34" s="92">
        <f>AVERAGEIF($K$34:$K$45,1,$M$34:$M$45)</f>
        <v>-2.7213616979000004</v>
      </c>
      <c r="P34" s="92">
        <f>AVERAGEIF($K$34:$K$45,1,$N$34:$N$45)</f>
        <v>1.9490524752333336</v>
      </c>
      <c r="Q34" s="90">
        <f>P34*0.001</f>
        <v>1.9490524752333335E-3</v>
      </c>
      <c r="R34" s="90">
        <f>O34*0.001</f>
        <v>-2.7213616979000006E-3</v>
      </c>
      <c r="T34" s="79">
        <v>1</v>
      </c>
      <c r="U34" s="80" t="str">
        <f>FPDC!J2</f>
        <v>22cc65220151</v>
      </c>
      <c r="V34" s="75">
        <f>FPDC!R2+VLOOKUP($R$31,$AD$38:$AK$42,2,FALSE)+VLOOKUP($R$31,$AD$38:$AK$42,7,FALSE)+VLOOKUP('File location'!$B$1,'Tester offset'!$A$2:$D$4,3,FALSE)</f>
        <v>-5.0843076710000004</v>
      </c>
      <c r="W34" s="76">
        <f>FPDC!S2+VLOOKUP($R$31,$AD$38:$AK$42,3,FALSE)+VLOOKUP($R$31,$AD$38:$AK$42,8,FALSE)+VLOOKUP('File location'!$B$1,'Tester offset'!$A$2:$D$4,4,FALSE)</f>
        <v>0.47864747099999994</v>
      </c>
      <c r="X34" s="92">
        <f>AVERAGEIF($T$34:$T$45,1,$V$34:$V$45)</f>
        <v>-5.6011381943333332</v>
      </c>
      <c r="Y34" s="92">
        <f>AVERAGEIF($T$34:$T$45,1,$W$34:$W$45)</f>
        <v>1.5090947153333332</v>
      </c>
      <c r="Z34" s="90">
        <f>(X34*-0.01)/4</f>
        <v>1.4002845485833334E-2</v>
      </c>
      <c r="AA34" s="90">
        <f>(Y34*-0.01)/4</f>
        <v>-3.7727367883333331E-3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22cc65220040</v>
      </c>
      <c r="C35" s="44">
        <f>IPQC!S3+VLOOKUP($R$31,$AD$38:$AK$42,6,FALSE)+VLOOKUP('File location'!$B$1,'Tester offset'!$A$2:$D$4,2,FALSE)</f>
        <v>86.981453852100003</v>
      </c>
      <c r="D35" s="44">
        <f>IPQC!Z3+VLOOKUP($R$31,$AD$38:$AK$42,6,FALSE)</f>
        <v>71.7829872585</v>
      </c>
      <c r="E35" s="44">
        <f>VCM!HU3-'Summary(3pcs)'!C35-'Summary(3pcs)'!$D$32</f>
        <v>161.36280090693788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22cc65220040</v>
      </c>
      <c r="M35" s="44">
        <f>OC!S3+VLOOKUP($R$31,$AD$38:$AK$42,4,FALSE)</f>
        <v>-3.4842407950999998</v>
      </c>
      <c r="N35" s="44">
        <f>OC!T3+VLOOKUP($R$31,$AD$38:$AK$42,5,FALSE)</f>
        <v>-2.2599976824999999</v>
      </c>
      <c r="O35" s="92"/>
      <c r="P35" s="92"/>
      <c r="Q35" s="90"/>
      <c r="R35" s="90"/>
      <c r="T35" s="79">
        <v>1</v>
      </c>
      <c r="U35" s="80" t="str">
        <f>FPDC!J3</f>
        <v>22cc65220040</v>
      </c>
      <c r="V35" s="75">
        <f>FPDC!R3+VLOOKUP($R$31,$AD$38:$AK$42,2,FALSE)+VLOOKUP($R$31,$AD$38:$AK$42,7,FALSE)+VLOOKUP('File location'!$B$1,'Tester offset'!$A$2:$D$4,3,FALSE)</f>
        <v>-4.8949940200000004</v>
      </c>
      <c r="W35" s="76">
        <f>FPDC!S3+VLOOKUP($R$31,$AD$38:$AK$42,3,FALSE)+VLOOKUP($R$31,$AD$38:$AK$42,8,FALSE)+VLOOKUP('File location'!$B$1,'Tester offset'!$A$2:$D$4,4,FALSE)</f>
        <v>-1.312976599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22cc65210192</v>
      </c>
      <c r="C36" s="44">
        <f>IPQC!S4+VLOOKUP($R$31,$AD$38:$AK$42,6,FALSE)+VLOOKUP('File location'!$B$1,'Tester offset'!$A$2:$D$4,2,FALSE)</f>
        <v>85.503049023200006</v>
      </c>
      <c r="D36" s="44">
        <f>IPQC!Z4+VLOOKUP($R$31,$AD$38:$AK$42,6,FALSE)</f>
        <v>71.607192546799993</v>
      </c>
      <c r="E36" s="44">
        <f>VCM!HU4-'Summary(3pcs)'!C36-'Summary(3pcs)'!$D$32</f>
        <v>155.51086382683792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22cc65210192</v>
      </c>
      <c r="M36" s="44">
        <f>OC!S4+VLOOKUP($R$31,$AD$38:$AK$42,4,FALSE)</f>
        <v>-0.13228118629999999</v>
      </c>
      <c r="N36" s="44">
        <f>OC!T4+VLOOKUP($R$31,$AD$38:$AK$42,5,FALSE)</f>
        <v>4.5823997448</v>
      </c>
      <c r="O36" s="92"/>
      <c r="P36" s="92"/>
      <c r="Q36" s="90"/>
      <c r="R36" s="90"/>
      <c r="T36" s="79">
        <v>1</v>
      </c>
      <c r="U36" s="80" t="str">
        <f>FPDC!J4</f>
        <v>22cc65210192</v>
      </c>
      <c r="V36" s="75">
        <f>FPDC!R4+VLOOKUP($R$31,$AD$38:$AK$42,2,FALSE)+VLOOKUP($R$31,$AD$38:$AK$42,7,FALSE)+VLOOKUP('File location'!$B$1,'Tester offset'!$A$2:$D$4,3,FALSE)</f>
        <v>-6.8241128920000005</v>
      </c>
      <c r="W36" s="76">
        <f>FPDC!S4+VLOOKUP($R$31,$AD$38:$AK$42,3,FALSE)+VLOOKUP($R$31,$AD$38:$AK$42,8,FALSE)+VLOOKUP('File location'!$B$1,'Tester offset'!$A$2:$D$4,4,FALSE)</f>
        <v>5.3616132739999998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22cc65220722</v>
      </c>
      <c r="C37" s="44">
        <f>IPQC!S5+VLOOKUP($R$31,$AD$38:$AK$42,6,FALSE)+VLOOKUP('File location'!$B$1,'Tester offset'!$A$2:$D$4,2,FALSE)</f>
        <v>85.3616297218</v>
      </c>
      <c r="D37" s="44">
        <f>IPQC!Z5+VLOOKUP($R$31,$AD$38:$AK$42,6,FALSE)</f>
        <v>67.642053469999993</v>
      </c>
      <c r="E37" s="44">
        <f>VCM!HU5-'Summary(3pcs)'!C37-'Summary(3pcs)'!$D$32</f>
        <v>161.11991487513791</v>
      </c>
      <c r="F37" s="90">
        <f>AVERAGEIF($A$34:$A$45,2,$C$34:$C$45)</f>
        <v>88.057113550333341</v>
      </c>
      <c r="G37" s="91">
        <f>AVERAGEIF($A$34:$A$45,2,$D$34:$D$45)</f>
        <v>69.775769659266658</v>
      </c>
      <c r="H37" s="91">
        <f>AVERAGEIF($A$34:$A$45,2,$E$34:$E$45)</f>
        <v>158.63184276057123</v>
      </c>
      <c r="I37" s="91">
        <f>85-F37</f>
        <v>-3.0571135503333409</v>
      </c>
      <c r="J37"/>
      <c r="K37" s="79">
        <f t="shared" si="1"/>
        <v>2</v>
      </c>
      <c r="L37" s="80" t="str">
        <f>OC!J5</f>
        <v>22cc65220722</v>
      </c>
      <c r="M37" s="44">
        <f>OC!S5+VLOOKUP($R$31,$AD$38:$AK$42,4,FALSE)</f>
        <v>-4.5984827736999998</v>
      </c>
      <c r="N37" s="44">
        <f>OC!T5+VLOOKUP($R$31,$AD$38:$AK$42,5,FALSE)</f>
        <v>5.4578448497999998</v>
      </c>
      <c r="O37" s="92">
        <f>AVERAGEIF($K$34:$K$45,2,$M$34:$M$45)</f>
        <v>-5.5119824724333339</v>
      </c>
      <c r="P37" s="92">
        <f>AVERAGEIF($K$34:$K$45,2,$N$34:$N$45)</f>
        <v>4.2616287435000002</v>
      </c>
      <c r="Q37" s="90">
        <f>P37*0.001</f>
        <v>4.2616287435000002E-3</v>
      </c>
      <c r="R37" s="90">
        <f>O37*0.001</f>
        <v>-5.5119824724333341E-3</v>
      </c>
      <c r="T37" s="79">
        <v>2</v>
      </c>
      <c r="U37" s="80" t="str">
        <f>FPDC!J5</f>
        <v>22cc65220722</v>
      </c>
      <c r="V37" s="75">
        <f>FPDC!R5+VLOOKUP($R$31,$AD$38:$AK$42,2,FALSE)+VLOOKUP($R$31,$AD$38:$AK$42,7,FALSE)+VLOOKUP('File location'!$B$1,'Tester offset'!$A$2:$D$4,3,FALSE)</f>
        <v>2.1674818990000002</v>
      </c>
      <c r="W37" s="76">
        <f>FPDC!S5+VLOOKUP($R$31,$AD$38:$AK$42,3,FALSE)+VLOOKUP($R$31,$AD$38:$AK$42,8,FALSE)+VLOOKUP('File location'!$B$1,'Tester offset'!$A$2:$D$4,4,FALSE)</f>
        <v>1.3514223100000002</v>
      </c>
      <c r="X37" s="92">
        <f>AVERAGEIF($T$34:$T$45,2,$V$34:$V$45)</f>
        <v>1.1974114576666666</v>
      </c>
      <c r="Y37" s="92">
        <f>AVERAGEIF($T$34:$T$45,2,$W$34:$W$45)</f>
        <v>2.5861798923333335</v>
      </c>
      <c r="Z37" s="90">
        <f>(X37*-0.01)/4</f>
        <v>-2.9935286441666667E-3</v>
      </c>
      <c r="AA37" s="90">
        <f>(Y37*-0.01)/4</f>
        <v>-6.4654497308333338E-3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22cc65220455</v>
      </c>
      <c r="C38" s="44">
        <f>IPQC!S6+VLOOKUP($R$31,$AD$38:$AK$42,6,FALSE)+VLOOKUP('File location'!$B$1,'Tester offset'!$A$2:$D$4,2,FALSE)</f>
        <v>85.593233144899997</v>
      </c>
      <c r="D38" s="44">
        <f>IPQC!Z6+VLOOKUP($R$31,$AD$38:$AK$42,6,FALSE)</f>
        <v>64.570749740500005</v>
      </c>
      <c r="E38" s="44">
        <f>VCM!HU6-'Summary(3pcs)'!C38-'Summary(3pcs)'!$D$32</f>
        <v>163.69680524213788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22cc65220455</v>
      </c>
      <c r="M38" s="44">
        <f>OC!S6+VLOOKUP($R$31,$AD$38:$AK$42,4,FALSE)</f>
        <v>-6.9625783815000002</v>
      </c>
      <c r="N38" s="44">
        <f>OC!T6+VLOOKUP($R$31,$AD$38:$AK$42,5,FALSE)</f>
        <v>3.1949974179999998</v>
      </c>
      <c r="O38" s="92"/>
      <c r="P38" s="92"/>
      <c r="Q38" s="90"/>
      <c r="R38" s="90"/>
      <c r="T38" s="79">
        <v>2</v>
      </c>
      <c r="U38" s="80" t="str">
        <f>FPDC!J6</f>
        <v>22cc65220455</v>
      </c>
      <c r="V38" s="75">
        <f>FPDC!R6+VLOOKUP($R$31,$AD$38:$AK$42,2,FALSE)+VLOOKUP($R$31,$AD$38:$AK$42,7,FALSE)+VLOOKUP('File location'!$B$1,'Tester offset'!$A$2:$D$4,3,FALSE)</f>
        <v>-2.7124869820000002</v>
      </c>
      <c r="W38" s="76">
        <f>FPDC!S6+VLOOKUP($R$31,$AD$38:$AK$42,3,FALSE)+VLOOKUP($R$31,$AD$38:$AK$42,8,FALSE)+VLOOKUP('File location'!$B$1,'Tester offset'!$A$2:$D$4,4,FALSE)</f>
        <v>0.90821599999999991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22cc65220279</v>
      </c>
      <c r="C39" s="44">
        <f>IPQC!S7+VLOOKUP($R$31,$AD$38:$AK$42,6,FALSE)+VLOOKUP('File location'!$B$1,'Tester offset'!$A$2:$D$4,2,FALSE)</f>
        <v>93.216477784299997</v>
      </c>
      <c r="D39" s="44">
        <f>IPQC!Z7+VLOOKUP($R$31,$AD$38:$AK$42,6,FALSE)</f>
        <v>77.114505767300003</v>
      </c>
      <c r="E39" s="44">
        <f>VCM!HU7-'Summary(3pcs)'!C39-'Summary(3pcs)'!$D$32</f>
        <v>151.07880816443787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22cc65220279</v>
      </c>
      <c r="M39" s="44">
        <f>OC!S7+VLOOKUP($R$31,$AD$38:$AK$42,4,FALSE)</f>
        <v>-4.9748862621000001</v>
      </c>
      <c r="N39" s="44">
        <f>OC!T7+VLOOKUP($R$31,$AD$38:$AK$42,5,FALSE)</f>
        <v>4.1320439627000001</v>
      </c>
      <c r="O39" s="92"/>
      <c r="P39" s="92"/>
      <c r="Q39" s="90"/>
      <c r="R39" s="90"/>
      <c r="T39" s="79">
        <v>2</v>
      </c>
      <c r="U39" s="80" t="str">
        <f>FPDC!J7</f>
        <v>22cc65220279</v>
      </c>
      <c r="V39" s="75">
        <f>FPDC!R7+VLOOKUP($R$31,$AD$38:$AK$42,2,FALSE)+VLOOKUP($R$31,$AD$38:$AK$42,7,FALSE)+VLOOKUP('File location'!$B$1,'Tester offset'!$A$2:$D$4,3,FALSE)</f>
        <v>4.1372394559999996</v>
      </c>
      <c r="W39" s="76">
        <f>FPDC!S7+VLOOKUP($R$31,$AD$38:$AK$42,3,FALSE)+VLOOKUP($R$31,$AD$38:$AK$42,8,FALSE)+VLOOKUP('File location'!$B$1,'Tester offset'!$A$2:$D$4,4,FALSE)</f>
        <v>5.4989013670000002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22cc65220750</v>
      </c>
      <c r="C40" s="44">
        <f>IPQC!S8+VLOOKUP($R$31,$AD$38:$AK$42,6,FALSE)+VLOOKUP('File location'!$B$1,'Tester offset'!$A$2:$D$4,2,FALSE)</f>
        <v>91.264318849700004</v>
      </c>
      <c r="D40" s="44">
        <f>IPQC!Z8+VLOOKUP($R$31,$AD$38:$AK$42,6,FALSE)</f>
        <v>69.849339136899999</v>
      </c>
      <c r="E40" s="44">
        <f>VCM!HU8-'Summary(3pcs)'!C40-'Summary(3pcs)'!$D$32</f>
        <v>157.05058192103786</v>
      </c>
      <c r="F40" s="90">
        <f>AVERAGEIF($A$34:$A$45,3,$C$34:$C$45)</f>
        <v>87.035792998299996</v>
      </c>
      <c r="G40" s="91">
        <f>AVERAGEIF($A$34:$A$45,3,$D$34:$D$45)</f>
        <v>67.890192129066662</v>
      </c>
      <c r="H40" s="91">
        <f>AVERAGEIF($A$34:$A$45,3,$E$34:$E$45)</f>
        <v>153.43767853500455</v>
      </c>
      <c r="I40" s="91">
        <f>85-F40</f>
        <v>-2.0357929982999963</v>
      </c>
      <c r="J40"/>
      <c r="K40" s="79">
        <f t="shared" si="1"/>
        <v>3</v>
      </c>
      <c r="L40" s="80" t="str">
        <f>OC!J8</f>
        <v>22cc65220750</v>
      </c>
      <c r="M40" s="44">
        <f>OC!S8+VLOOKUP($R$31,$AD$38:$AK$42,4,FALSE)</f>
        <v>-3.7249000297000001</v>
      </c>
      <c r="N40" s="44">
        <f>OC!T8+VLOOKUP($R$31,$AD$38:$AK$42,5,FALSE)</f>
        <v>4.1911715375999998</v>
      </c>
      <c r="O40" s="92">
        <f>AVERAGEIF($K$34:$K$45,3,$M$34:$M$45)</f>
        <v>-3.3526128917666669</v>
      </c>
      <c r="P40" s="92">
        <f>AVERAGEIF($K$34:$K$45,3,$N$34:$N$45)</f>
        <v>1.9322159716999998</v>
      </c>
      <c r="Q40" s="90">
        <f>P40*0.001</f>
        <v>1.9322159716999999E-3</v>
      </c>
      <c r="R40" s="90">
        <f>O40*0.001</f>
        <v>-3.3526128917666671E-3</v>
      </c>
      <c r="T40" s="79">
        <v>3</v>
      </c>
      <c r="U40" s="80" t="str">
        <f>FPDC!J8</f>
        <v>22cc65220750</v>
      </c>
      <c r="V40" s="75">
        <f>FPDC!R8+VLOOKUP($R$31,$AD$38:$AK$42,2,FALSE)+VLOOKUP($R$31,$AD$38:$AK$42,7,FALSE)+VLOOKUP('File location'!$B$1,'Tester offset'!$A$2:$D$4,3,FALSE)</f>
        <v>-11.395816326</v>
      </c>
      <c r="W40" s="76">
        <f>FPDC!S8+VLOOKUP($R$31,$AD$38:$AK$42,3,FALSE)+VLOOKUP($R$31,$AD$38:$AK$42,8,FALSE)+VLOOKUP('File location'!$B$1,'Tester offset'!$A$2:$D$4,4,FALSE)</f>
        <v>-2.5896807910000001</v>
      </c>
      <c r="X40" s="92">
        <f>AVERAGEIF($T$34:$T$45,3,$V$34:$V$45)</f>
        <v>-4.4191357293333331</v>
      </c>
      <c r="Y40" s="92">
        <f>AVERAGEIF($T$34:$T$45,3,$W$34:$W$45)</f>
        <v>2.6341446639999995</v>
      </c>
      <c r="Z40" s="90">
        <f>(X40*-0.01)/4</f>
        <v>1.1047839323333333E-2</v>
      </c>
      <c r="AA40" s="90">
        <f>(Y40*-0.01)/4</f>
        <v>-6.5853616599999987E-3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22cb87010693</v>
      </c>
      <c r="C41" s="44">
        <f>IPQC!S9+VLOOKUP($R$31,$AD$38:$AK$42,6,FALSE)+VLOOKUP('File location'!$B$1,'Tester offset'!$A$2:$D$4,2,FALSE)</f>
        <v>85.767453364999994</v>
      </c>
      <c r="D41" s="44">
        <f>IPQC!Z9+VLOOKUP($R$31,$AD$38:$AK$42,6,FALSE)</f>
        <v>69.978600832599994</v>
      </c>
      <c r="E41" s="44">
        <f>VCM!HU9-'Summary(3pcs)'!C41-'Summary(3pcs)'!$D$32</f>
        <v>149.65047229713792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22cb87010693</v>
      </c>
      <c r="M41" s="44">
        <f>OC!S9+VLOOKUP($R$31,$AD$38:$AK$42,4,FALSE)</f>
        <v>-4.0647550404999997</v>
      </c>
      <c r="N41" s="44">
        <f>OC!T9+VLOOKUP($R$31,$AD$38:$AK$42,5,FALSE)</f>
        <v>0.83263585120000005</v>
      </c>
      <c r="O41" s="92"/>
      <c r="P41" s="92"/>
      <c r="Q41" s="90"/>
      <c r="R41" s="90"/>
      <c r="T41" s="79">
        <v>3</v>
      </c>
      <c r="U41" s="80" t="str">
        <f>FPDC!J9</f>
        <v>22cb87010693</v>
      </c>
      <c r="V41" s="75">
        <f>FPDC!R9+VLOOKUP($R$31,$AD$38:$AK$42,2,FALSE)+VLOOKUP($R$31,$AD$38:$AK$42,7,FALSE)+VLOOKUP('File location'!$B$1,'Tester offset'!$A$2:$D$4,3,FALSE)</f>
        <v>0.84077119799999966</v>
      </c>
      <c r="W41" s="76">
        <f>FPDC!S9+VLOOKUP($R$31,$AD$38:$AK$42,3,FALSE)+VLOOKUP($R$31,$AD$38:$AK$42,8,FALSE)+VLOOKUP('File location'!$B$1,'Tester offset'!$A$2:$D$4,4,FALSE)</f>
        <v>0.57951903299999996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22cb87010721</v>
      </c>
      <c r="C42" s="44">
        <f>IPQC!S10+VLOOKUP($R$31,$AD$38:$AK$42,6,FALSE)+VLOOKUP('File location'!$B$1,'Tester offset'!$A$2:$D$4,2,FALSE)</f>
        <v>84.075606780200005</v>
      </c>
      <c r="D42" s="44">
        <f>IPQC!Z10+VLOOKUP($R$31,$AD$38:$AK$42,6,FALSE)</f>
        <v>63.8426364177</v>
      </c>
      <c r="E42" s="44">
        <f>VCM!HU10-'Summary(3pcs)'!C42-'Summary(3pcs)'!$D$32</f>
        <v>153.6119813868379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22cb87010721</v>
      </c>
      <c r="M42" s="44">
        <f>OC!S10+VLOOKUP($R$31,$AD$38:$AK$42,4,FALSE)</f>
        <v>-2.2681836050999999</v>
      </c>
      <c r="N42" s="44">
        <f>OC!T10+VLOOKUP($R$31,$AD$38:$AK$42,5,FALSE)</f>
        <v>0.7728405263</v>
      </c>
      <c r="O42" s="92"/>
      <c r="P42" s="92"/>
      <c r="Q42" s="90"/>
      <c r="R42" s="90"/>
      <c r="T42" s="79">
        <v>3</v>
      </c>
      <c r="U42" s="80" t="str">
        <f>FPDC!J10</f>
        <v>22cb87010721</v>
      </c>
      <c r="V42" s="75">
        <f>FPDC!R10+VLOOKUP($R$31,$AD$38:$AK$42,2,FALSE)+VLOOKUP($R$31,$AD$38:$AK$42,7,FALSE)+VLOOKUP('File location'!$B$1,'Tester offset'!$A$2:$D$4,3,FALSE)</f>
        <v>-2.70236206</v>
      </c>
      <c r="W42" s="76">
        <f>FPDC!S10+VLOOKUP($R$31,$AD$38:$AK$42,3,FALSE)+VLOOKUP($R$31,$AD$38:$AK$42,8,FALSE)+VLOOKUP('File location'!$B$1,'Tester offset'!$A$2:$D$4,4,FALSE)</f>
        <v>9.9125957499999995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22cc65220202</v>
      </c>
      <c r="C43" s="44">
        <f>IPQC!S11+VLOOKUP($R$31,$AD$38:$AK$42,6,FALSE)+VLOOKUP('File location'!$B$1,'Tester offset'!$A$2:$D$4,2,FALSE)</f>
        <v>93.0717054574</v>
      </c>
      <c r="D43" s="44">
        <f>IPQC!Z11+VLOOKUP($R$31,$AD$38:$AK$42,6,FALSE)</f>
        <v>69.7064450763</v>
      </c>
      <c r="E43" s="44">
        <f>VCM!HU11-'Summary(3pcs)'!C43-'Summary(3pcs)'!$D$32</f>
        <v>152.40538011783792</v>
      </c>
      <c r="F43" s="90">
        <f>AVERAGEIF($A$34:$A$45,4,$C$34:$C$45)</f>
        <v>86.908075484233336</v>
      </c>
      <c r="G43" s="91">
        <f>AVERAGEIF($A$34:$A$45,4,$D$34:$D$45)</f>
        <v>66.623512725699996</v>
      </c>
      <c r="H43" s="91">
        <f>AVERAGEIF($A$34:$A$45,4,$E$34:$E$45)</f>
        <v>153.09190215830458</v>
      </c>
      <c r="I43" s="91">
        <f>85-F43</f>
        <v>-1.9080754842333363</v>
      </c>
      <c r="J43"/>
      <c r="K43" s="79">
        <f t="shared" si="1"/>
        <v>4</v>
      </c>
      <c r="L43" s="80" t="str">
        <f>OC!J11</f>
        <v>22cc65220202</v>
      </c>
      <c r="M43" s="44">
        <f>OC!S11+VLOOKUP($R$31,$AD$38:$AK$42,4,FALSE)</f>
        <v>2.5579177442000001</v>
      </c>
      <c r="N43" s="44">
        <f>OC!T11+VLOOKUP($R$31,$AD$38:$AK$42,5,FALSE)</f>
        <v>3.2801643943999998</v>
      </c>
      <c r="O43" s="92">
        <f>AVERAGEIF($K$34:$K$45,4,$M$34:$M$45)</f>
        <v>1.9622172567</v>
      </c>
      <c r="P43" s="92">
        <f>AVERAGEIF($K$34:$K$45,4,$N$34:$N$45)</f>
        <v>-0.69305503293333359</v>
      </c>
      <c r="Q43" s="90">
        <f>P43*0.001</f>
        <v>-6.9305503293333362E-4</v>
      </c>
      <c r="R43" s="90">
        <f>O43*0.001</f>
        <v>1.9622172567000003E-3</v>
      </c>
      <c r="T43" s="79">
        <v>4</v>
      </c>
      <c r="U43" s="80" t="str">
        <f>FPDC!J11</f>
        <v>22cc65220202</v>
      </c>
      <c r="V43" s="75">
        <f>FPDC!R11+VLOOKUP($R$31,$AD$38:$AK$42,2,FALSE)+VLOOKUP($R$31,$AD$38:$AK$42,7,FALSE)+VLOOKUP('File location'!$B$1,'Tester offset'!$A$2:$D$4,3,FALSE)</f>
        <v>-5.3313282728000004</v>
      </c>
      <c r="W43" s="76">
        <f>FPDC!S11+VLOOKUP($R$31,$AD$38:$AK$42,3,FALSE)+VLOOKUP($R$31,$AD$38:$AK$42,8,FALSE)+VLOOKUP('File location'!$B$1,'Tester offset'!$A$2:$D$4,4,FALSE)</f>
        <v>2.8471755980999998</v>
      </c>
      <c r="X43" s="92">
        <f>AVERAGEIF($T$34:$T$45,4,$V$34:$V$45)</f>
        <v>-2.5184564193000001</v>
      </c>
      <c r="Y43" s="92">
        <f>AVERAGEIF($T$34:$T$45,4,$W$34:$W$45)</f>
        <v>3.8171349366666667</v>
      </c>
      <c r="Z43" s="90">
        <f>(X43*-0.01)/4</f>
        <v>6.2961410482500002E-3</v>
      </c>
      <c r="AA43" s="90">
        <f>(Y43*-0.01)/4</f>
        <v>-9.5428373416666674E-3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22cc65220253</v>
      </c>
      <c r="C44" s="44">
        <f>IPQC!S12+VLOOKUP($R$31,$AD$38:$AK$42,6,FALSE)+VLOOKUP('File location'!$B$1,'Tester offset'!$A$2:$D$4,2,FALSE)</f>
        <v>88.473605234299995</v>
      </c>
      <c r="D44" s="44">
        <f>IPQC!Z12+VLOOKUP($R$31,$AD$38:$AK$42,6,FALSE)</f>
        <v>68.955892527700001</v>
      </c>
      <c r="E44" s="44">
        <f>VCM!HU12-'Summary(3pcs)'!C44-'Summary(3pcs)'!$D$32</f>
        <v>160.88367591513787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22cc65220253</v>
      </c>
      <c r="M44" s="44">
        <f>OC!S12+VLOOKUP($R$31,$AD$38:$AK$42,4,FALSE)</f>
        <v>-3.5530919446999998</v>
      </c>
      <c r="N44" s="44">
        <f>OC!T12+VLOOKUP($R$31,$AD$38:$AK$42,5,FALSE)</f>
        <v>1.0319854454000001</v>
      </c>
      <c r="O44" s="92"/>
      <c r="P44" s="92"/>
      <c r="Q44" s="90"/>
      <c r="R44" s="90"/>
      <c r="T44" s="79">
        <v>4</v>
      </c>
      <c r="U44" s="80" t="str">
        <f>FPDC!J12</f>
        <v>22cc65220253</v>
      </c>
      <c r="V44" s="75">
        <f>FPDC!R12+VLOOKUP($R$31,$AD$38:$AK$42,2,FALSE)+VLOOKUP($R$31,$AD$38:$AK$42,7,FALSE)+VLOOKUP('File location'!$B$1,'Tester offset'!$A$2:$D$4,3,FALSE)</f>
        <v>-2.6705918311999999</v>
      </c>
      <c r="W44" s="76">
        <f>FPDC!S12+VLOOKUP($R$31,$AD$38:$AK$42,3,FALSE)+VLOOKUP($R$31,$AD$38:$AK$42,8,FALSE)+VLOOKUP('File location'!$B$1,'Tester offset'!$A$2:$D$4,4,FALSE)</f>
        <v>0.71936535840000015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22cb87020748</v>
      </c>
      <c r="C45" s="44">
        <f>IPQC!S13+VLOOKUP($R$31,$AD$38:$AK$42,6,FALSE)+VLOOKUP('File location'!$B$1,'Tester offset'!$A$2:$D$4,2,FALSE)</f>
        <v>79.178915760999999</v>
      </c>
      <c r="D45" s="44">
        <f>IPQC!Z13+VLOOKUP($R$31,$AD$38:$AK$42,6,FALSE)</f>
        <v>61.208200573100001</v>
      </c>
      <c r="E45" s="44">
        <f>VCM!HU13-'Summary(3pcs)'!C45-'Summary(3pcs)'!$D$32</f>
        <v>145.98665044193791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22cb87020748</v>
      </c>
      <c r="M45" s="44">
        <f>OC!S13+VLOOKUP($R$31,$AD$38:$AK$42,4,FALSE)</f>
        <v>6.8818259705999996</v>
      </c>
      <c r="N45" s="44">
        <f>OC!T13+VLOOKUP($R$31,$AD$38:$AK$42,5,FALSE)</f>
        <v>-6.3913149386000008</v>
      </c>
      <c r="O45" s="92"/>
      <c r="P45" s="92"/>
      <c r="Q45" s="90"/>
      <c r="R45" s="90"/>
      <c r="T45" s="79">
        <v>4</v>
      </c>
      <c r="U45" s="80" t="str">
        <f>FPDC!J13</f>
        <v>22cb87020748</v>
      </c>
      <c r="V45" s="75">
        <f>FPDC!R13+VLOOKUP($R$31,$AD$38:$AK$42,2,FALSE)+VLOOKUP($R$31,$AD$38:$AK$42,7,FALSE)+VLOOKUP('File location'!$B$1,'Tester offset'!$A$2:$D$4,3,FALSE)</f>
        <v>0.44655084610000007</v>
      </c>
      <c r="W45" s="76">
        <f>FPDC!S13+VLOOKUP($R$31,$AD$38:$AK$42,3,FALSE)+VLOOKUP($R$31,$AD$38:$AK$42,8,FALSE)+VLOOKUP('File location'!$B$1,'Tester offset'!$A$2:$D$4,4,FALSE)</f>
        <v>7.8848638535000006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81.864803130599995</v>
      </c>
      <c r="L54" s="49">
        <f t="shared" ref="L54:L65" si="4">D34</f>
        <v>66.031880866700007</v>
      </c>
      <c r="M54" s="49">
        <f t="shared" ref="M54:M65" si="5">E34</f>
        <v>162.6795257651379</v>
      </c>
      <c r="N54" s="49">
        <f t="shared" ref="N54:O65" si="6">M34</f>
        <v>-4.5475631122999998</v>
      </c>
      <c r="O54" s="49">
        <f t="shared" si="6"/>
        <v>3.5247553634000002</v>
      </c>
      <c r="P54" s="49">
        <f t="shared" ref="P54:P65" si="7">V34</f>
        <v>-5.0843076710000004</v>
      </c>
      <c r="Q54" s="50">
        <f t="shared" ref="Q54:Q65" si="8">W34</f>
        <v>0.47864747099999994</v>
      </c>
    </row>
    <row r="55" spans="6:27" ht="19.5">
      <c r="I55" s="47">
        <f t="shared" si="2"/>
        <v>1</v>
      </c>
      <c r="J55" s="46"/>
      <c r="K55" s="51">
        <f t="shared" si="3"/>
        <v>86.981453852100003</v>
      </c>
      <c r="L55" s="52">
        <f t="shared" si="4"/>
        <v>71.7829872585</v>
      </c>
      <c r="M55" s="52">
        <f t="shared" si="5"/>
        <v>161.36280090693788</v>
      </c>
      <c r="N55" s="52">
        <f t="shared" si="6"/>
        <v>-3.4842407950999998</v>
      </c>
      <c r="O55" s="52">
        <f t="shared" si="6"/>
        <v>-2.2599976824999999</v>
      </c>
      <c r="P55" s="52">
        <f t="shared" si="7"/>
        <v>-4.8949940200000004</v>
      </c>
      <c r="Q55" s="53">
        <f t="shared" si="8"/>
        <v>-1.312976599</v>
      </c>
    </row>
    <row r="56" spans="6:27" ht="19.5">
      <c r="I56" s="47">
        <f t="shared" si="2"/>
        <v>1</v>
      </c>
      <c r="J56" s="46"/>
      <c r="K56" s="54">
        <f t="shared" si="3"/>
        <v>85.503049023200006</v>
      </c>
      <c r="L56" s="55">
        <f t="shared" si="4"/>
        <v>71.607192546799993</v>
      </c>
      <c r="M56" s="55">
        <f t="shared" si="5"/>
        <v>155.51086382683792</v>
      </c>
      <c r="N56" s="55">
        <f t="shared" si="6"/>
        <v>-0.13228118629999999</v>
      </c>
      <c r="O56" s="55">
        <f t="shared" si="6"/>
        <v>4.5823997448</v>
      </c>
      <c r="P56" s="55">
        <f t="shared" si="7"/>
        <v>-6.8241128920000005</v>
      </c>
      <c r="Q56" s="56">
        <f t="shared" si="8"/>
        <v>5.3616132739999998</v>
      </c>
    </row>
    <row r="57" spans="6:27" ht="19.5">
      <c r="I57" s="47">
        <f t="shared" si="2"/>
        <v>2</v>
      </c>
      <c r="J57" s="46"/>
      <c r="K57" s="57">
        <f t="shared" si="3"/>
        <v>85.3616297218</v>
      </c>
      <c r="L57" s="58">
        <f t="shared" si="4"/>
        <v>67.642053469999993</v>
      </c>
      <c r="M57" s="58">
        <f t="shared" si="5"/>
        <v>161.11991487513791</v>
      </c>
      <c r="N57" s="58">
        <f t="shared" si="6"/>
        <v>-4.5984827736999998</v>
      </c>
      <c r="O57" s="58">
        <f t="shared" si="6"/>
        <v>5.4578448497999998</v>
      </c>
      <c r="P57" s="58">
        <f t="shared" si="7"/>
        <v>2.1674818990000002</v>
      </c>
      <c r="Q57" s="59">
        <f t="shared" si="8"/>
        <v>1.3514223100000002</v>
      </c>
    </row>
    <row r="58" spans="6:27" ht="19.5">
      <c r="I58" s="47">
        <f t="shared" si="2"/>
        <v>2</v>
      </c>
      <c r="J58" s="46"/>
      <c r="K58" s="57">
        <f t="shared" si="3"/>
        <v>85.593233144899997</v>
      </c>
      <c r="L58" s="58">
        <f t="shared" si="4"/>
        <v>64.570749740500005</v>
      </c>
      <c r="M58" s="58">
        <f t="shared" si="5"/>
        <v>163.69680524213788</v>
      </c>
      <c r="N58" s="58">
        <f t="shared" si="6"/>
        <v>-6.9625783815000002</v>
      </c>
      <c r="O58" s="58">
        <f t="shared" si="6"/>
        <v>3.1949974179999998</v>
      </c>
      <c r="P58" s="58">
        <f t="shared" si="7"/>
        <v>-2.7124869820000002</v>
      </c>
      <c r="Q58" s="59">
        <f t="shared" si="8"/>
        <v>0.90821599999999991</v>
      </c>
    </row>
    <row r="59" spans="6:27" ht="19.5">
      <c r="I59" s="47">
        <f t="shared" si="2"/>
        <v>2</v>
      </c>
      <c r="J59" s="46"/>
      <c r="K59" s="57">
        <f t="shared" si="3"/>
        <v>93.216477784299997</v>
      </c>
      <c r="L59" s="58">
        <f t="shared" si="4"/>
        <v>77.114505767300003</v>
      </c>
      <c r="M59" s="58">
        <f t="shared" si="5"/>
        <v>151.07880816443787</v>
      </c>
      <c r="N59" s="58">
        <f t="shared" si="6"/>
        <v>-4.9748862621000001</v>
      </c>
      <c r="O59" s="58">
        <f t="shared" si="6"/>
        <v>4.1320439627000001</v>
      </c>
      <c r="P59" s="58">
        <f t="shared" si="7"/>
        <v>4.1372394559999996</v>
      </c>
      <c r="Q59" s="59">
        <f t="shared" si="8"/>
        <v>5.4989013670000002</v>
      </c>
    </row>
    <row r="60" spans="6:27" ht="19.5">
      <c r="I60" s="47">
        <f t="shared" si="2"/>
        <v>3</v>
      </c>
      <c r="J60" s="46"/>
      <c r="K60" s="60">
        <f t="shared" si="3"/>
        <v>91.264318849700004</v>
      </c>
      <c r="L60" s="61">
        <f t="shared" si="4"/>
        <v>69.849339136899999</v>
      </c>
      <c r="M60" s="61">
        <f t="shared" si="5"/>
        <v>157.05058192103786</v>
      </c>
      <c r="N60" s="61">
        <f t="shared" si="6"/>
        <v>-3.7249000297000001</v>
      </c>
      <c r="O60" s="61">
        <f t="shared" si="6"/>
        <v>4.1911715375999998</v>
      </c>
      <c r="P60" s="61">
        <f t="shared" si="7"/>
        <v>-11.395816326</v>
      </c>
      <c r="Q60" s="62">
        <f t="shared" si="8"/>
        <v>-2.5896807910000001</v>
      </c>
    </row>
    <row r="61" spans="6:27" ht="19.5">
      <c r="I61" s="47">
        <f t="shared" si="2"/>
        <v>3</v>
      </c>
      <c r="J61" s="46"/>
      <c r="K61" s="63">
        <f t="shared" si="3"/>
        <v>85.767453364999994</v>
      </c>
      <c r="L61" s="64">
        <f t="shared" si="4"/>
        <v>69.978600832599994</v>
      </c>
      <c r="M61" s="64">
        <f t="shared" si="5"/>
        <v>149.65047229713792</v>
      </c>
      <c r="N61" s="64">
        <f t="shared" si="6"/>
        <v>-4.0647550404999997</v>
      </c>
      <c r="O61" s="64">
        <f t="shared" si="6"/>
        <v>0.83263585120000005</v>
      </c>
      <c r="P61" s="64">
        <f t="shared" si="7"/>
        <v>0.84077119799999966</v>
      </c>
      <c r="Q61" s="65">
        <f t="shared" si="8"/>
        <v>0.57951903299999996</v>
      </c>
    </row>
    <row r="62" spans="6:27" ht="19.5">
      <c r="I62" s="47">
        <f t="shared" si="2"/>
        <v>3</v>
      </c>
      <c r="J62" s="46"/>
      <c r="K62" s="66">
        <f t="shared" si="3"/>
        <v>84.075606780200005</v>
      </c>
      <c r="L62" s="67">
        <f t="shared" si="4"/>
        <v>63.8426364177</v>
      </c>
      <c r="M62" s="67">
        <f t="shared" si="5"/>
        <v>153.6119813868379</v>
      </c>
      <c r="N62" s="67">
        <f t="shared" si="6"/>
        <v>-2.2681836050999999</v>
      </c>
      <c r="O62" s="67">
        <f t="shared" si="6"/>
        <v>0.7728405263</v>
      </c>
      <c r="P62" s="67">
        <f t="shared" si="7"/>
        <v>-2.70236206</v>
      </c>
      <c r="Q62" s="68">
        <f t="shared" si="8"/>
        <v>9.9125957499999995</v>
      </c>
    </row>
    <row r="63" spans="6:27" ht="19.5">
      <c r="I63" s="47">
        <f t="shared" si="2"/>
        <v>4</v>
      </c>
      <c r="J63" s="46"/>
      <c r="K63" s="57">
        <f t="shared" si="3"/>
        <v>93.0717054574</v>
      </c>
      <c r="L63" s="58">
        <f t="shared" si="4"/>
        <v>69.7064450763</v>
      </c>
      <c r="M63" s="58">
        <f t="shared" si="5"/>
        <v>152.40538011783792</v>
      </c>
      <c r="N63" s="58">
        <f t="shared" si="6"/>
        <v>2.5579177442000001</v>
      </c>
      <c r="O63" s="58">
        <f t="shared" si="6"/>
        <v>3.2801643943999998</v>
      </c>
      <c r="P63" s="58">
        <f t="shared" si="7"/>
        <v>-5.3313282728000004</v>
      </c>
      <c r="Q63" s="59">
        <f t="shared" si="8"/>
        <v>2.8471755980999998</v>
      </c>
    </row>
    <row r="64" spans="6:27" ht="19.5">
      <c r="I64" s="47">
        <f t="shared" si="2"/>
        <v>4</v>
      </c>
      <c r="J64" s="46"/>
      <c r="K64" s="57">
        <f t="shared" si="3"/>
        <v>88.473605234299995</v>
      </c>
      <c r="L64" s="58">
        <f t="shared" si="4"/>
        <v>68.955892527700001</v>
      </c>
      <c r="M64" s="58">
        <f t="shared" si="5"/>
        <v>160.88367591513787</v>
      </c>
      <c r="N64" s="58">
        <f t="shared" si="6"/>
        <v>-3.5530919446999998</v>
      </c>
      <c r="O64" s="58">
        <f t="shared" si="6"/>
        <v>1.0319854454000001</v>
      </c>
      <c r="P64" s="58">
        <f t="shared" si="7"/>
        <v>-2.6705918311999999</v>
      </c>
      <c r="Q64" s="59">
        <f t="shared" si="8"/>
        <v>0.71936535840000015</v>
      </c>
    </row>
    <row r="65" spans="9:17" ht="20.25" thickBot="1">
      <c r="I65" s="47">
        <f t="shared" si="2"/>
        <v>4</v>
      </c>
      <c r="J65" s="46"/>
      <c r="K65" s="69">
        <f t="shared" si="3"/>
        <v>79.178915760999999</v>
      </c>
      <c r="L65" s="70">
        <f t="shared" si="4"/>
        <v>61.208200573100001</v>
      </c>
      <c r="M65" s="70">
        <f t="shared" si="5"/>
        <v>145.98665044193791</v>
      </c>
      <c r="N65" s="70">
        <f t="shared" si="6"/>
        <v>6.8818259705999996</v>
      </c>
      <c r="O65" s="70">
        <f t="shared" si="6"/>
        <v>-6.3913149386000008</v>
      </c>
      <c r="P65" s="70">
        <f t="shared" si="7"/>
        <v>0.44655084610000007</v>
      </c>
      <c r="Q65" s="71">
        <f t="shared" si="8"/>
        <v>7.8848638535000006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2107.9524368877001</v>
      </c>
      <c r="R2">
        <v>1512.9752446366001</v>
      </c>
      <c r="S2">
        <v>-4.5475631122999998</v>
      </c>
      <c r="T2">
        <v>-0.47524463659999999</v>
      </c>
      <c r="U2">
        <v>4.5723284795000003</v>
      </c>
      <c r="V2">
        <v>742.7876</v>
      </c>
      <c r="W2">
        <v>393.45830000000001</v>
      </c>
      <c r="X2">
        <v>391.72469999999998</v>
      </c>
      <c r="Y2">
        <v>391.18880000000001</v>
      </c>
      <c r="Z2">
        <v>393.29520000000002</v>
      </c>
      <c r="AA2">
        <v>567.60217499999999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539</v>
      </c>
      <c r="B3" t="s">
        <v>540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2109.0157592049</v>
      </c>
      <c r="R3">
        <v>1518.7599976824999</v>
      </c>
      <c r="S3">
        <v>-3.4842407950999998</v>
      </c>
      <c r="T3">
        <v>-6.2599976824999999</v>
      </c>
      <c r="U3">
        <v>7.1643216638</v>
      </c>
      <c r="V3">
        <v>744.47249999999997</v>
      </c>
      <c r="W3">
        <v>393.10059999999999</v>
      </c>
      <c r="X3">
        <v>396.00150000000002</v>
      </c>
      <c r="Y3">
        <v>392.17189999999999</v>
      </c>
      <c r="Z3">
        <v>392.2774</v>
      </c>
      <c r="AA3">
        <v>568.93017499999996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551</v>
      </c>
      <c r="B4" t="s">
        <v>552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2112.3677188136999</v>
      </c>
      <c r="R4">
        <v>1511.9176002551999</v>
      </c>
      <c r="S4">
        <v>-0.13228118629999999</v>
      </c>
      <c r="T4">
        <v>0.58239974480000001</v>
      </c>
      <c r="U4">
        <v>0.59723343419999997</v>
      </c>
      <c r="V4">
        <v>737.54060000000004</v>
      </c>
      <c r="W4">
        <v>394.34030000000001</v>
      </c>
      <c r="X4">
        <v>390.75540000000001</v>
      </c>
      <c r="Y4">
        <v>388.28460000000001</v>
      </c>
      <c r="Z4">
        <v>392.04520000000002</v>
      </c>
      <c r="AA4">
        <v>564.44848750000006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563</v>
      </c>
      <c r="B5" t="s">
        <v>564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2107.9015172262998</v>
      </c>
      <c r="R5">
        <v>1511.0421551502</v>
      </c>
      <c r="S5">
        <v>-4.5984827736999998</v>
      </c>
      <c r="T5">
        <v>1.4578448498000001</v>
      </c>
      <c r="U5">
        <v>4.8240393267000004</v>
      </c>
      <c r="V5">
        <v>736.79930000000002</v>
      </c>
      <c r="W5">
        <v>389.97340000000003</v>
      </c>
      <c r="X5">
        <v>389.79020000000003</v>
      </c>
      <c r="Y5">
        <v>389.1533</v>
      </c>
      <c r="Z5">
        <v>386.98509999999999</v>
      </c>
      <c r="AA5">
        <v>562.88739999999996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574</v>
      </c>
      <c r="B6" t="s">
        <v>575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2105.5374216185</v>
      </c>
      <c r="R6">
        <v>1513.305002582</v>
      </c>
      <c r="S6">
        <v>-6.9625783815000002</v>
      </c>
      <c r="T6">
        <v>-0.80500258199999997</v>
      </c>
      <c r="U6">
        <v>7.0089604703999999</v>
      </c>
      <c r="V6">
        <v>735.41880000000003</v>
      </c>
      <c r="W6">
        <v>389.80079999999998</v>
      </c>
      <c r="X6">
        <v>389.85210000000001</v>
      </c>
      <c r="Y6">
        <v>390.80770000000001</v>
      </c>
      <c r="Z6">
        <v>387.22309999999999</v>
      </c>
      <c r="AA6">
        <v>562.41986250000002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587</v>
      </c>
      <c r="B7" t="s">
        <v>588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2107.5251137379</v>
      </c>
      <c r="R7">
        <v>1512.3679560373</v>
      </c>
      <c r="S7">
        <v>-4.9748862621000001</v>
      </c>
      <c r="T7">
        <v>0.13204396269999999</v>
      </c>
      <c r="U7">
        <v>4.9766383160999998</v>
      </c>
      <c r="V7">
        <v>724.49850000000004</v>
      </c>
      <c r="W7">
        <v>387.64890000000003</v>
      </c>
      <c r="X7">
        <v>385.48660000000001</v>
      </c>
      <c r="Y7">
        <v>384.48419999999999</v>
      </c>
      <c r="Z7">
        <v>382.88440000000003</v>
      </c>
      <c r="AA7">
        <v>554.81226249999997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599</v>
      </c>
      <c r="B8" t="s">
        <v>600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2108.7750999702998</v>
      </c>
      <c r="R8">
        <v>1512.3088284624</v>
      </c>
      <c r="S8">
        <v>-3.7249000297000001</v>
      </c>
      <c r="T8">
        <v>0.1911715376</v>
      </c>
      <c r="U8">
        <v>3.7298025133000001</v>
      </c>
      <c r="V8">
        <v>732.10770000000002</v>
      </c>
      <c r="W8">
        <v>387.16899999999998</v>
      </c>
      <c r="X8">
        <v>389.62959999999998</v>
      </c>
      <c r="Y8">
        <v>387.61930000000001</v>
      </c>
      <c r="Z8">
        <v>386.56509999999997</v>
      </c>
      <c r="AA8">
        <v>559.92672500000003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608</v>
      </c>
      <c r="B9" t="s">
        <v>609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2108.4352449594999</v>
      </c>
      <c r="R9">
        <v>1515.6673641488001</v>
      </c>
      <c r="S9">
        <v>-4.0647550404999997</v>
      </c>
      <c r="T9">
        <v>-3.1673641487999999</v>
      </c>
      <c r="U9">
        <v>5.1530989890000001</v>
      </c>
      <c r="V9">
        <v>734.73080000000004</v>
      </c>
      <c r="W9">
        <v>392.13420000000002</v>
      </c>
      <c r="X9">
        <v>394.6703</v>
      </c>
      <c r="Y9">
        <v>390.64</v>
      </c>
      <c r="Z9">
        <v>391.34699999999998</v>
      </c>
      <c r="AA9">
        <v>563.46433750000006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623</v>
      </c>
      <c r="B10" t="s">
        <v>624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2110.2318163948999</v>
      </c>
      <c r="R10">
        <v>1515.7271594737001</v>
      </c>
      <c r="S10">
        <v>-2.2681836050999999</v>
      </c>
      <c r="T10">
        <v>-3.2271594737</v>
      </c>
      <c r="U10">
        <v>3.9445170978999999</v>
      </c>
      <c r="V10">
        <v>728.75909999999999</v>
      </c>
      <c r="W10">
        <v>390.65460000000002</v>
      </c>
      <c r="X10">
        <v>390.2278</v>
      </c>
      <c r="Y10">
        <v>387.78590000000003</v>
      </c>
      <c r="Z10">
        <v>386.34969999999998</v>
      </c>
      <c r="AA10">
        <v>558.7568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635</v>
      </c>
      <c r="B11" t="s">
        <v>636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2115.0579177442</v>
      </c>
      <c r="R11">
        <v>1513.2198356056001</v>
      </c>
      <c r="S11">
        <v>2.5579177442000001</v>
      </c>
      <c r="T11">
        <v>-0.71983560560000004</v>
      </c>
      <c r="U11">
        <v>2.6572742585000002</v>
      </c>
      <c r="V11">
        <v>734.51149999999996</v>
      </c>
      <c r="W11">
        <v>389.45600000000002</v>
      </c>
      <c r="X11">
        <v>389.67320000000001</v>
      </c>
      <c r="Y11">
        <v>386.84660000000002</v>
      </c>
      <c r="Z11">
        <v>388.29300000000001</v>
      </c>
      <c r="AA11">
        <v>561.53935000000001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647</v>
      </c>
      <c r="B12" t="s">
        <v>648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2108.9469080552999</v>
      </c>
      <c r="R12">
        <v>1515.4680145545999</v>
      </c>
      <c r="S12">
        <v>-3.5530919446999998</v>
      </c>
      <c r="T12">
        <v>-2.9680145545999999</v>
      </c>
      <c r="U12">
        <v>4.6296406733</v>
      </c>
      <c r="V12">
        <v>732.00810000000001</v>
      </c>
      <c r="W12">
        <v>388.47480000000002</v>
      </c>
      <c r="X12">
        <v>387.8845</v>
      </c>
      <c r="Y12">
        <v>385.87</v>
      </c>
      <c r="Z12">
        <v>386.61489999999998</v>
      </c>
      <c r="AA12">
        <v>559.60957499999995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656</v>
      </c>
      <c r="B13" t="s">
        <v>657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2119.3818259705999</v>
      </c>
      <c r="R13">
        <v>1522.8913149386001</v>
      </c>
      <c r="S13">
        <v>6.8818259705999996</v>
      </c>
      <c r="T13">
        <v>-10.391314938600001</v>
      </c>
      <c r="U13">
        <v>12.4635049181</v>
      </c>
      <c r="V13">
        <v>734.64760000000001</v>
      </c>
      <c r="W13">
        <v>389.84660000000002</v>
      </c>
      <c r="X13">
        <v>395.49059999999997</v>
      </c>
      <c r="Y13">
        <v>387.36399999999998</v>
      </c>
      <c r="Z13">
        <v>392.13060000000002</v>
      </c>
      <c r="AA13">
        <v>562.927775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206</v>
      </c>
      <c r="AW1" t="s">
        <v>207</v>
      </c>
      <c r="AX1" t="s">
        <v>208</v>
      </c>
    </row>
    <row r="2" spans="1:50">
      <c r="A2" t="s">
        <v>259</v>
      </c>
      <c r="B2" t="s">
        <v>260</v>
      </c>
      <c r="C2" t="s">
        <v>211</v>
      </c>
      <c r="D2">
        <v>3</v>
      </c>
      <c r="E2" t="s">
        <v>212</v>
      </c>
      <c r="F2" t="s">
        <v>213</v>
      </c>
      <c r="G2" t="s">
        <v>261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2.1696100000000001E-5</v>
      </c>
      <c r="R2">
        <v>-8.4307671000000001E-2</v>
      </c>
      <c r="S2">
        <v>3.4786474709999999</v>
      </c>
      <c r="T2">
        <v>1.0185761449999999</v>
      </c>
      <c r="U2">
        <v>3.8959693909999999</v>
      </c>
      <c r="V2">
        <v>-2.4175310140000001</v>
      </c>
      <c r="W2">
        <v>0.70836573800000002</v>
      </c>
      <c r="X2">
        <v>-1.2825976610000001</v>
      </c>
      <c r="Y2">
        <v>1.3517291549999999</v>
      </c>
      <c r="Z2">
        <v>1.560346842</v>
      </c>
      <c r="AA2">
        <v>-0.17162179999999999</v>
      </c>
      <c r="AB2">
        <v>-1.373232842</v>
      </c>
      <c r="AC2">
        <v>0.50971621300000003</v>
      </c>
      <c r="AD2">
        <v>-0.147092432</v>
      </c>
      <c r="AE2">
        <v>0.25411605799999998</v>
      </c>
      <c r="AF2">
        <v>-0.91459637900000001</v>
      </c>
      <c r="AG2">
        <v>-0.217179388</v>
      </c>
      <c r="AH2">
        <v>0.35063397899999998</v>
      </c>
      <c r="AI2">
        <v>-1.0022724869999999</v>
      </c>
      <c r="AJ2">
        <v>0.34732493800000003</v>
      </c>
      <c r="AK2">
        <v>1.9804299999999999E-4</v>
      </c>
      <c r="AL2">
        <v>4.5610189000000002E-2</v>
      </c>
      <c r="AM2">
        <v>6.3837796000000002E-2</v>
      </c>
      <c r="AN2">
        <v>8.3084062E-2</v>
      </c>
      <c r="AO2">
        <v>0.123520777</v>
      </c>
      <c r="AP2">
        <v>0.123520777</v>
      </c>
      <c r="AQ2">
        <v>3.4796689509999998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546</v>
      </c>
      <c r="B3" t="s">
        <v>550</v>
      </c>
      <c r="C3" t="s">
        <v>211</v>
      </c>
      <c r="D3">
        <v>3</v>
      </c>
      <c r="E3" t="s">
        <v>212</v>
      </c>
      <c r="F3" t="s">
        <v>213</v>
      </c>
      <c r="G3" t="s">
        <v>261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-8.5830999999999992E-6</v>
      </c>
      <c r="R3">
        <v>0.10500598</v>
      </c>
      <c r="S3">
        <v>1.687023401</v>
      </c>
      <c r="T3">
        <v>3.4874062540000001</v>
      </c>
      <c r="U3">
        <v>5.9610209469999997</v>
      </c>
      <c r="V3">
        <v>-5.9862565989999998</v>
      </c>
      <c r="W3">
        <v>-1.392459989</v>
      </c>
      <c r="X3">
        <v>-1.5266253949999999</v>
      </c>
      <c r="Y3">
        <v>1.1031609769999999</v>
      </c>
      <c r="Z3">
        <v>0.21738147699999999</v>
      </c>
      <c r="AA3">
        <v>0.78807628200000002</v>
      </c>
      <c r="AB3">
        <v>-2.7578737740000001</v>
      </c>
      <c r="AC3">
        <v>1.063728333</v>
      </c>
      <c r="AD3">
        <v>0.79212403300000001</v>
      </c>
      <c r="AE3">
        <v>0.716889322</v>
      </c>
      <c r="AF3">
        <v>-1.042601109</v>
      </c>
      <c r="AG3">
        <v>-0.71779394200000002</v>
      </c>
      <c r="AH3">
        <v>-0.89619642499999996</v>
      </c>
      <c r="AI3">
        <v>8.7129593000000005E-2</v>
      </c>
      <c r="AJ3">
        <v>0.48724538099999998</v>
      </c>
      <c r="AK3">
        <v>1.8165999999999999E-4</v>
      </c>
      <c r="AL3">
        <v>4.5165854999999998E-2</v>
      </c>
      <c r="AM3">
        <v>8.8296227000000005E-2</v>
      </c>
      <c r="AN3">
        <v>9.8718315000000001E-2</v>
      </c>
      <c r="AO3">
        <v>0.154770255</v>
      </c>
      <c r="AP3">
        <v>0.154770255</v>
      </c>
      <c r="AQ3">
        <v>1.690288204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558</v>
      </c>
      <c r="B4" t="s">
        <v>562</v>
      </c>
      <c r="C4" t="s">
        <v>211</v>
      </c>
      <c r="D4">
        <v>3</v>
      </c>
      <c r="E4" t="s">
        <v>212</v>
      </c>
      <c r="F4" t="s">
        <v>213</v>
      </c>
      <c r="G4" t="s">
        <v>261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-2.4914700000000001E-5</v>
      </c>
      <c r="R4">
        <v>-1.824112892</v>
      </c>
      <c r="S4">
        <v>8.3616132739999998</v>
      </c>
      <c r="T4">
        <v>1.77551949</v>
      </c>
      <c r="U4">
        <v>9.2724037169999995</v>
      </c>
      <c r="V4">
        <v>4.7462749479999999</v>
      </c>
      <c r="W4">
        <v>2.3683906000000001E-2</v>
      </c>
      <c r="X4">
        <v>-1.304233432</v>
      </c>
      <c r="Y4">
        <v>1.7289340499999999</v>
      </c>
      <c r="Z4">
        <v>1.187557459</v>
      </c>
      <c r="AA4">
        <v>0.53635013099999995</v>
      </c>
      <c r="AB4">
        <v>-2.544322014</v>
      </c>
      <c r="AC4">
        <v>-1.382923007</v>
      </c>
      <c r="AD4">
        <v>-4.8824549000000002E-2</v>
      </c>
      <c r="AE4">
        <v>-1.4809370000000001E-2</v>
      </c>
      <c r="AF4">
        <v>-0.75694626600000003</v>
      </c>
      <c r="AG4">
        <v>0.393974304</v>
      </c>
      <c r="AH4">
        <v>-3.5872698000000001E-2</v>
      </c>
      <c r="AI4">
        <v>-0.36689919199999999</v>
      </c>
      <c r="AJ4">
        <v>0.111089855</v>
      </c>
      <c r="AK4">
        <v>1.69703E-4</v>
      </c>
      <c r="AL4">
        <v>4.2184989999999999E-2</v>
      </c>
      <c r="AM4">
        <v>9.1016008999999995E-2</v>
      </c>
      <c r="AN4">
        <v>0.18106383100000001</v>
      </c>
      <c r="AO4">
        <v>0.24173441500000001</v>
      </c>
      <c r="AP4">
        <v>0.24173441500000001</v>
      </c>
      <c r="AQ4">
        <v>8.5582687719999999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581</v>
      </c>
      <c r="C5" t="s">
        <v>211</v>
      </c>
      <c r="D5">
        <v>3</v>
      </c>
      <c r="E5" t="s">
        <v>212</v>
      </c>
      <c r="F5" t="s">
        <v>213</v>
      </c>
      <c r="G5" t="s">
        <v>261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1.1801699999999999E-5</v>
      </c>
      <c r="R5">
        <v>7.1674818990000002</v>
      </c>
      <c r="S5">
        <v>4.3514223100000002</v>
      </c>
      <c r="T5">
        <v>-1.2948693040000001</v>
      </c>
      <c r="U5">
        <v>3.4794144629999999</v>
      </c>
      <c r="V5">
        <v>-8.4619846340000002</v>
      </c>
      <c r="W5">
        <v>-1.735594273</v>
      </c>
      <c r="X5">
        <v>2.643005133</v>
      </c>
      <c r="Y5">
        <v>2.129849911</v>
      </c>
      <c r="Z5">
        <v>0.18027103</v>
      </c>
      <c r="AA5">
        <v>0.99785125299999999</v>
      </c>
      <c r="AB5">
        <v>-1.4520554539999999</v>
      </c>
      <c r="AC5">
        <v>1.6597450970000001</v>
      </c>
      <c r="AD5">
        <v>0.2280536</v>
      </c>
      <c r="AE5">
        <v>-1.5946204660000001</v>
      </c>
      <c r="AF5">
        <v>-1.1766867640000001</v>
      </c>
      <c r="AG5">
        <v>-0.30045449699999999</v>
      </c>
      <c r="AH5">
        <v>0.59676969099999999</v>
      </c>
      <c r="AI5">
        <v>-0.65169358300000002</v>
      </c>
      <c r="AJ5">
        <v>-0.118558496</v>
      </c>
      <c r="AK5">
        <v>1.9355800000000001E-4</v>
      </c>
      <c r="AL5">
        <v>4.6714876000000002E-2</v>
      </c>
      <c r="AM5">
        <v>0.18799945700000001</v>
      </c>
      <c r="AN5">
        <v>0.17180952399999999</v>
      </c>
      <c r="AO5">
        <v>0.18799945700000001</v>
      </c>
      <c r="AP5">
        <v>0.190548509</v>
      </c>
      <c r="AQ5">
        <v>8.3849670780000007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582</v>
      </c>
      <c r="B6" t="s">
        <v>583</v>
      </c>
      <c r="C6" t="s">
        <v>211</v>
      </c>
      <c r="D6">
        <v>3</v>
      </c>
      <c r="E6" t="s">
        <v>212</v>
      </c>
      <c r="F6" t="s">
        <v>213</v>
      </c>
      <c r="G6" t="s">
        <v>261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-1.13547E-5</v>
      </c>
      <c r="R6">
        <v>2.2875130179999998</v>
      </c>
      <c r="S6">
        <v>3.9082159999999999</v>
      </c>
      <c r="T6">
        <v>-1.0219382050000001</v>
      </c>
      <c r="U6">
        <v>2.6199045179999998</v>
      </c>
      <c r="V6">
        <v>-6.6299843789999997</v>
      </c>
      <c r="W6">
        <v>-0.41536638100000001</v>
      </c>
      <c r="X6">
        <v>-2.7688741999999999E-2</v>
      </c>
      <c r="Y6">
        <v>2.6352427010000001</v>
      </c>
      <c r="Z6">
        <v>-0.35381662899999999</v>
      </c>
      <c r="AA6">
        <v>0.502200007</v>
      </c>
      <c r="AB6">
        <v>-1.3468058110000001</v>
      </c>
      <c r="AC6">
        <v>1.229043484</v>
      </c>
      <c r="AD6">
        <v>-9.3736738E-2</v>
      </c>
      <c r="AE6">
        <v>-0.272117734</v>
      </c>
      <c r="AF6">
        <v>-1.1426272390000001</v>
      </c>
      <c r="AG6">
        <v>-0.52674478300000005</v>
      </c>
      <c r="AH6">
        <v>0.45746505300000001</v>
      </c>
      <c r="AI6">
        <v>0.22085437199999999</v>
      </c>
      <c r="AJ6">
        <v>0.187401235</v>
      </c>
      <c r="AK6">
        <v>1.67221E-4</v>
      </c>
      <c r="AL6">
        <v>4.1940942000000002E-2</v>
      </c>
      <c r="AM6">
        <v>0.12295945699999999</v>
      </c>
      <c r="AN6">
        <v>0.14169791300000001</v>
      </c>
      <c r="AO6">
        <v>0.14169791300000001</v>
      </c>
      <c r="AP6">
        <v>0.149513692</v>
      </c>
      <c r="AQ6">
        <v>4.5284509609999999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596</v>
      </c>
      <c r="B7" t="s">
        <v>597</v>
      </c>
      <c r="C7" t="s">
        <v>211</v>
      </c>
      <c r="D7">
        <v>3</v>
      </c>
      <c r="E7" t="s">
        <v>212</v>
      </c>
      <c r="F7" t="s">
        <v>213</v>
      </c>
      <c r="G7" t="s">
        <v>261</v>
      </c>
      <c r="H7" t="s">
        <v>215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-1.0728999999999999E-6</v>
      </c>
      <c r="R7">
        <v>9.1372394559999996</v>
      </c>
      <c r="S7">
        <v>8.4989013670000002</v>
      </c>
      <c r="T7">
        <v>3.0403411390000001</v>
      </c>
      <c r="U7">
        <v>11.8409996</v>
      </c>
      <c r="V7">
        <v>-7.8196153639999997</v>
      </c>
      <c r="W7">
        <v>0.40408253700000002</v>
      </c>
      <c r="X7">
        <v>-2.3941776749999999</v>
      </c>
      <c r="Y7">
        <v>1.0760149960000001</v>
      </c>
      <c r="Z7">
        <v>-2.167537212</v>
      </c>
      <c r="AA7">
        <v>-4.5113921000000001E-2</v>
      </c>
      <c r="AB7">
        <v>-3.4801912310000001</v>
      </c>
      <c r="AC7">
        <v>1.8114068510000001</v>
      </c>
      <c r="AD7">
        <v>-0.73260408600000004</v>
      </c>
      <c r="AE7">
        <v>0.94642776299999998</v>
      </c>
      <c r="AF7">
        <v>-1.127392054</v>
      </c>
      <c r="AG7">
        <v>1.02208364</v>
      </c>
      <c r="AH7">
        <v>3.4171340000000001E-3</v>
      </c>
      <c r="AI7">
        <v>0.54082560499999999</v>
      </c>
      <c r="AJ7">
        <v>4.4101267999999999E-2</v>
      </c>
      <c r="AK7">
        <v>1.5936999999999999E-4</v>
      </c>
      <c r="AL7">
        <v>4.0087096000000003E-2</v>
      </c>
      <c r="AM7">
        <v>0.220373124</v>
      </c>
      <c r="AN7">
        <v>0.217287913</v>
      </c>
      <c r="AO7">
        <v>0.34919297700000002</v>
      </c>
      <c r="AP7">
        <v>0.34919297700000002</v>
      </c>
      <c r="AQ7">
        <v>12.4788008</v>
      </c>
      <c r="AR7" t="s">
        <v>262</v>
      </c>
      <c r="AS7" t="s">
        <v>263</v>
      </c>
      <c r="AT7">
        <v>4</v>
      </c>
      <c r="AU7">
        <v>2.9</v>
      </c>
      <c r="AX7">
        <v>1</v>
      </c>
    </row>
    <row r="8" spans="1:50">
      <c r="A8" t="s">
        <v>615</v>
      </c>
      <c r="B8" t="s">
        <v>616</v>
      </c>
      <c r="C8" t="s">
        <v>211</v>
      </c>
      <c r="D8">
        <v>3</v>
      </c>
      <c r="E8" t="s">
        <v>212</v>
      </c>
      <c r="F8" t="s">
        <v>213</v>
      </c>
      <c r="G8" t="s">
        <v>261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-1.24574E-5</v>
      </c>
      <c r="R8">
        <v>-6.3958163260000003</v>
      </c>
      <c r="S8">
        <v>0.41031920900000002</v>
      </c>
      <c r="T8">
        <v>-1.368073463</v>
      </c>
      <c r="U8">
        <v>4.6147813800000002</v>
      </c>
      <c r="V8">
        <v>-6.8364582059999996</v>
      </c>
      <c r="W8">
        <v>1.8163797859999999</v>
      </c>
      <c r="X8">
        <v>1.056786537</v>
      </c>
      <c r="Y8">
        <v>2.681348324</v>
      </c>
      <c r="Z8">
        <v>-0.378342927</v>
      </c>
      <c r="AA8">
        <v>8.5134982999999997E-2</v>
      </c>
      <c r="AB8">
        <v>-1.4799618720000001</v>
      </c>
      <c r="AC8">
        <v>1.324976921</v>
      </c>
      <c r="AD8">
        <v>-0.33943194199999999</v>
      </c>
      <c r="AE8">
        <v>-0.49718236900000001</v>
      </c>
      <c r="AF8">
        <v>-1.3946769240000001</v>
      </c>
      <c r="AG8">
        <v>0.29440999000000001</v>
      </c>
      <c r="AH8">
        <v>-0.32322493200000002</v>
      </c>
      <c r="AI8">
        <v>0.118109882</v>
      </c>
      <c r="AJ8">
        <v>-9.6737354999999997E-2</v>
      </c>
      <c r="AK8">
        <v>1.59758E-4</v>
      </c>
      <c r="AL8">
        <v>4.2369120000000003E-2</v>
      </c>
      <c r="AM8">
        <v>0.15750542300000001</v>
      </c>
      <c r="AN8">
        <v>9.4652623000000005E-2</v>
      </c>
      <c r="AO8">
        <v>0.15750542300000001</v>
      </c>
      <c r="AP8">
        <v>0.16103583599999999</v>
      </c>
      <c r="AQ8">
        <v>6.4089646849999999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620</v>
      </c>
      <c r="B9" t="s">
        <v>621</v>
      </c>
      <c r="C9" t="s">
        <v>211</v>
      </c>
      <c r="D9">
        <v>3</v>
      </c>
      <c r="E9" t="s">
        <v>212</v>
      </c>
      <c r="F9" t="s">
        <v>213</v>
      </c>
      <c r="G9" t="s">
        <v>261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3.5166700000000003E-5</v>
      </c>
      <c r="R9">
        <v>5.8407711979999997</v>
      </c>
      <c r="S9">
        <v>3.579519033</v>
      </c>
      <c r="T9">
        <v>-1.2877275939999999</v>
      </c>
      <c r="U9">
        <v>6.318455696</v>
      </c>
      <c r="V9">
        <v>-2.2508158680000001</v>
      </c>
      <c r="W9">
        <v>1.9274339000000001E-2</v>
      </c>
      <c r="X9">
        <v>0.796817899</v>
      </c>
      <c r="Y9">
        <v>2.6667823789999998</v>
      </c>
      <c r="Z9">
        <v>0.346746147</v>
      </c>
      <c r="AA9">
        <v>0.46745994699999999</v>
      </c>
      <c r="AB9">
        <v>-2.6048951150000001</v>
      </c>
      <c r="AC9">
        <v>0.217032909</v>
      </c>
      <c r="AD9">
        <v>0.142912388</v>
      </c>
      <c r="AE9">
        <v>-0.16424286399999999</v>
      </c>
      <c r="AF9">
        <v>-1.028811455</v>
      </c>
      <c r="AG9">
        <v>-0.35849925900000001</v>
      </c>
      <c r="AH9">
        <v>0.69134348599999995</v>
      </c>
      <c r="AI9">
        <v>-0.38017582900000002</v>
      </c>
      <c r="AJ9">
        <v>-0.34468913099999998</v>
      </c>
      <c r="AK9">
        <v>2.40907E-4</v>
      </c>
      <c r="AL9">
        <v>5.0696109000000003E-2</v>
      </c>
      <c r="AM9">
        <v>7.5559108999999999E-2</v>
      </c>
      <c r="AN9">
        <v>7.1011499000000006E-2</v>
      </c>
      <c r="AO9">
        <v>0.15563149800000001</v>
      </c>
      <c r="AP9">
        <v>0.16622936699999999</v>
      </c>
      <c r="AQ9">
        <v>5.2501885589999997</v>
      </c>
      <c r="AR9" t="s">
        <v>262</v>
      </c>
      <c r="AS9" t="s">
        <v>263</v>
      </c>
      <c r="AT9">
        <v>3</v>
      </c>
      <c r="AU9">
        <v>2.9</v>
      </c>
      <c r="AX9">
        <v>1</v>
      </c>
    </row>
    <row r="10" spans="1:50">
      <c r="A10" t="s">
        <v>632</v>
      </c>
      <c r="B10" t="s">
        <v>634</v>
      </c>
      <c r="C10" t="s">
        <v>211</v>
      </c>
      <c r="D10">
        <v>3</v>
      </c>
      <c r="E10" t="s">
        <v>212</v>
      </c>
      <c r="F10" t="s">
        <v>213</v>
      </c>
      <c r="G10" t="s">
        <v>261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3.0636799999999998E-5</v>
      </c>
      <c r="R10">
        <v>2.29763794</v>
      </c>
      <c r="S10">
        <v>12.912595749999999</v>
      </c>
      <c r="T10">
        <v>2.828267098</v>
      </c>
      <c r="U10">
        <v>9.6317176819999997</v>
      </c>
      <c r="V10">
        <v>-5.8887076379999996</v>
      </c>
      <c r="W10">
        <v>1.579091072</v>
      </c>
      <c r="X10">
        <v>-2.360498905</v>
      </c>
      <c r="Y10">
        <v>1.924065232</v>
      </c>
      <c r="Z10">
        <v>-0.97684347599999999</v>
      </c>
      <c r="AA10">
        <v>1.240679979</v>
      </c>
      <c r="AB10">
        <v>-4.0038909909999996</v>
      </c>
      <c r="AC10">
        <v>0.44537949599999999</v>
      </c>
      <c r="AD10">
        <v>-0.50903004399999996</v>
      </c>
      <c r="AE10">
        <v>-0.19661814</v>
      </c>
      <c r="AF10">
        <v>-1.2921296360000001</v>
      </c>
      <c r="AG10">
        <v>-0.39782145600000002</v>
      </c>
      <c r="AH10">
        <v>0.19106078200000001</v>
      </c>
      <c r="AI10">
        <v>0.33414339999999998</v>
      </c>
      <c r="AJ10">
        <v>0.57136601200000003</v>
      </c>
      <c r="AK10">
        <v>2.7267200000000001E-4</v>
      </c>
      <c r="AL10">
        <v>5.3494542999999999E-2</v>
      </c>
      <c r="AM10">
        <v>9.2538826000000005E-2</v>
      </c>
      <c r="AN10">
        <v>0.24998769200000001</v>
      </c>
      <c r="AO10">
        <v>0.301086515</v>
      </c>
      <c r="AP10">
        <v>0.301086515</v>
      </c>
      <c r="AQ10">
        <v>13.115421039999999</v>
      </c>
      <c r="AR10" t="s">
        <v>262</v>
      </c>
      <c r="AS10" t="s">
        <v>263</v>
      </c>
      <c r="AT10">
        <v>4</v>
      </c>
      <c r="AU10">
        <v>2.9</v>
      </c>
      <c r="AX10">
        <v>1</v>
      </c>
    </row>
    <row r="11" spans="1:50">
      <c r="A11" t="s">
        <v>644</v>
      </c>
      <c r="B11" t="s">
        <v>646</v>
      </c>
      <c r="C11" t="s">
        <v>211</v>
      </c>
      <c r="D11">
        <v>3</v>
      </c>
      <c r="E11" t="s">
        <v>212</v>
      </c>
      <c r="F11" t="s">
        <v>213</v>
      </c>
      <c r="G11" t="s">
        <v>261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3.3497800000000003E-5</v>
      </c>
      <c r="R11">
        <v>-0.33132827279999999</v>
      </c>
      <c r="S11">
        <v>5.8471755980999998</v>
      </c>
      <c r="T11">
        <v>1.4504690170000001</v>
      </c>
      <c r="U11">
        <v>6.3848934173999998</v>
      </c>
      <c r="V11">
        <v>-6.0836544036999998</v>
      </c>
      <c r="W11">
        <v>-1.73541158E-2</v>
      </c>
      <c r="X11">
        <v>1.2357892989999999</v>
      </c>
      <c r="Y11">
        <v>1.2680121660000001</v>
      </c>
      <c r="Z11">
        <v>-0.3037516475</v>
      </c>
      <c r="AA11">
        <v>1.2378802299</v>
      </c>
      <c r="AB11">
        <v>-1.9124320745000001</v>
      </c>
      <c r="AC11">
        <v>2.0510191917</v>
      </c>
      <c r="AD11">
        <v>9.8056376000000001E-2</v>
      </c>
      <c r="AE11">
        <v>-1.3058457375000001</v>
      </c>
      <c r="AF11">
        <v>-1.1091732979</v>
      </c>
      <c r="AG11">
        <v>0.23432064059999999</v>
      </c>
      <c r="AH11">
        <v>4.1678786299999999E-2</v>
      </c>
      <c r="AI11">
        <v>5.7650923700000002E-2</v>
      </c>
      <c r="AJ11">
        <v>-0.36459723109999997</v>
      </c>
      <c r="AK11">
        <v>1.69223E-4</v>
      </c>
      <c r="AL11">
        <v>4.24495228E-2</v>
      </c>
      <c r="AM11">
        <v>9.9520608799999993E-2</v>
      </c>
      <c r="AN11">
        <v>0.18400236959999999</v>
      </c>
      <c r="AO11">
        <v>0.18400236959999999</v>
      </c>
      <c r="AP11">
        <v>0.18400236959999999</v>
      </c>
      <c r="AQ11">
        <v>5.8565553784000004</v>
      </c>
      <c r="AR11" t="s">
        <v>262</v>
      </c>
      <c r="AS11" t="s">
        <v>263</v>
      </c>
      <c r="AT11">
        <v>3</v>
      </c>
      <c r="AU11">
        <v>2.9</v>
      </c>
      <c r="AX11">
        <v>1</v>
      </c>
    </row>
    <row r="12" spans="1:50">
      <c r="A12" t="s">
        <v>663</v>
      </c>
      <c r="B12" t="s">
        <v>664</v>
      </c>
      <c r="C12" t="s">
        <v>211</v>
      </c>
      <c r="D12">
        <v>3</v>
      </c>
      <c r="E12" t="s">
        <v>212</v>
      </c>
      <c r="F12" t="s">
        <v>213</v>
      </c>
      <c r="G12" t="s">
        <v>261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2.5034000000000001E-5</v>
      </c>
      <c r="R12">
        <v>2.3294081688000001</v>
      </c>
      <c r="S12">
        <v>3.7193653584000002</v>
      </c>
      <c r="T12">
        <v>4.3903465271000002</v>
      </c>
      <c r="U12">
        <v>7.3298358917000002</v>
      </c>
      <c r="V12">
        <v>-1.8159270287</v>
      </c>
      <c r="W12">
        <v>-1.8890612124999999</v>
      </c>
      <c r="X12">
        <v>1.0434262753000001</v>
      </c>
      <c r="Y12">
        <v>0.48056095840000002</v>
      </c>
      <c r="Z12">
        <v>0.3388370275</v>
      </c>
      <c r="AA12">
        <v>0.83975446220000005</v>
      </c>
      <c r="AB12">
        <v>-2.3262157440000002</v>
      </c>
      <c r="AC12">
        <v>0.3188951015</v>
      </c>
      <c r="AD12">
        <v>0.47887530919999999</v>
      </c>
      <c r="AE12">
        <v>-0.36327174309999999</v>
      </c>
      <c r="AF12">
        <v>-0.46904969219999998</v>
      </c>
      <c r="AG12">
        <v>-0.22468745709999999</v>
      </c>
      <c r="AH12">
        <v>0.21109297869999999</v>
      </c>
      <c r="AI12">
        <v>0.12540233140000001</v>
      </c>
      <c r="AJ12">
        <v>0.17508411409999999</v>
      </c>
      <c r="AK12">
        <v>1.9560080000000001E-4</v>
      </c>
      <c r="AL12">
        <v>4.4272497299999998E-2</v>
      </c>
      <c r="AM12">
        <v>6.0443870699999999E-2</v>
      </c>
      <c r="AN12">
        <v>6.8250574199999997E-2</v>
      </c>
      <c r="AO12">
        <v>0.1960507333</v>
      </c>
      <c r="AP12">
        <v>0.1960507333</v>
      </c>
      <c r="AQ12">
        <v>4.3886012676000004</v>
      </c>
      <c r="AR12" t="s">
        <v>262</v>
      </c>
      <c r="AS12" t="s">
        <v>263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670</v>
      </c>
      <c r="C13" t="s">
        <v>211</v>
      </c>
      <c r="D13">
        <v>3</v>
      </c>
      <c r="E13" t="s">
        <v>212</v>
      </c>
      <c r="F13" t="s">
        <v>213</v>
      </c>
      <c r="G13" t="s">
        <v>261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-1.07288E-5</v>
      </c>
      <c r="R13">
        <v>5.4465508461000001</v>
      </c>
      <c r="S13">
        <v>10.884863853500001</v>
      </c>
      <c r="T13">
        <v>4.9506325722</v>
      </c>
      <c r="U13">
        <v>10.100227356</v>
      </c>
      <c r="V13">
        <v>-4.6010646819999996</v>
      </c>
      <c r="W13">
        <v>1.3912813663000001</v>
      </c>
      <c r="X13">
        <v>-2.7249605656</v>
      </c>
      <c r="Y13">
        <v>1.6119375228999999</v>
      </c>
      <c r="Z13">
        <v>0.34134292599999999</v>
      </c>
      <c r="AA13">
        <v>0.79838943480000002</v>
      </c>
      <c r="AB13">
        <v>-3.9217467307999998</v>
      </c>
      <c r="AC13">
        <v>0.115472436</v>
      </c>
      <c r="AD13">
        <v>-1.2736518382999999</v>
      </c>
      <c r="AE13">
        <v>0.59851264950000005</v>
      </c>
      <c r="AF13">
        <v>-1.4791834354</v>
      </c>
      <c r="AG13">
        <v>-0.52876555920000001</v>
      </c>
      <c r="AH13">
        <v>-0.1079930067</v>
      </c>
      <c r="AI13">
        <v>-0.3792257309</v>
      </c>
      <c r="AJ13">
        <v>0.1184321344</v>
      </c>
      <c r="AK13">
        <v>1.8912120000000001E-4</v>
      </c>
      <c r="AL13">
        <v>4.4557906699999997E-2</v>
      </c>
      <c r="AM13">
        <v>0.10134933140000001</v>
      </c>
      <c r="AN13">
        <v>0.19977667930000001</v>
      </c>
      <c r="AO13">
        <v>0.342158556</v>
      </c>
      <c r="AP13">
        <v>0.342158556</v>
      </c>
      <c r="AQ13">
        <v>12.171490345400001</v>
      </c>
      <c r="AR13" t="s">
        <v>262</v>
      </c>
      <c r="AS13" t="s">
        <v>263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206</v>
      </c>
      <c r="AE1" t="s">
        <v>207</v>
      </c>
      <c r="AF1" t="s">
        <v>208</v>
      </c>
    </row>
    <row r="2" spans="1:32">
      <c r="A2" t="s">
        <v>259</v>
      </c>
      <c r="B2" t="s">
        <v>277</v>
      </c>
      <c r="C2" t="s">
        <v>211</v>
      </c>
      <c r="D2">
        <v>3</v>
      </c>
      <c r="E2" t="s">
        <v>212</v>
      </c>
      <c r="F2" t="s">
        <v>213</v>
      </c>
      <c r="G2" t="s">
        <v>261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-1.1730205279000001</v>
      </c>
      <c r="R2">
        <v>-8</v>
      </c>
      <c r="S2">
        <v>81.864803130599995</v>
      </c>
      <c r="T2">
        <v>86.431952859899994</v>
      </c>
      <c r="U2">
        <v>3.9000656020000002</v>
      </c>
      <c r="V2">
        <v>5.5133787E-3</v>
      </c>
      <c r="W2">
        <v>-7.49658E-5</v>
      </c>
      <c r="X2">
        <v>3.8730234954</v>
      </c>
      <c r="Y2">
        <v>80.247262941599999</v>
      </c>
      <c r="Z2">
        <v>66.031880866700007</v>
      </c>
      <c r="AA2">
        <v>342.18263135529997</v>
      </c>
      <c r="AB2">
        <v>369.0695835679</v>
      </c>
      <c r="AC2">
        <v>1</v>
      </c>
      <c r="AF2">
        <v>1</v>
      </c>
    </row>
    <row r="3" spans="1:32">
      <c r="A3" t="s">
        <v>546</v>
      </c>
      <c r="B3" t="s">
        <v>547</v>
      </c>
      <c r="C3" t="s">
        <v>211</v>
      </c>
      <c r="D3">
        <v>3</v>
      </c>
      <c r="E3" t="s">
        <v>212</v>
      </c>
      <c r="F3" t="s">
        <v>213</v>
      </c>
      <c r="G3" t="s">
        <v>261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-1.1730205279000001</v>
      </c>
      <c r="R3">
        <v>-8</v>
      </c>
      <c r="S3">
        <v>86.981453852100003</v>
      </c>
      <c r="T3">
        <v>91.420429868900001</v>
      </c>
      <c r="U3">
        <v>3.7903929449999998</v>
      </c>
      <c r="V3">
        <v>5.1738874000000004E-3</v>
      </c>
      <c r="W3">
        <v>-7.0360599999999999E-5</v>
      </c>
      <c r="X3">
        <v>3.7538026010999999</v>
      </c>
      <c r="Y3">
        <v>86.575320227700004</v>
      </c>
      <c r="Z3">
        <v>71.7829872585</v>
      </c>
      <c r="AA3">
        <v>340.86590649700003</v>
      </c>
      <c r="AB3">
        <v>365.71913760410001</v>
      </c>
      <c r="AC3">
        <v>1</v>
      </c>
      <c r="AF3">
        <v>1</v>
      </c>
    </row>
    <row r="4" spans="1:32">
      <c r="A4" t="s">
        <v>558</v>
      </c>
      <c r="B4" t="s">
        <v>559</v>
      </c>
      <c r="C4" t="s">
        <v>211</v>
      </c>
      <c r="D4">
        <v>3</v>
      </c>
      <c r="E4" t="s">
        <v>212</v>
      </c>
      <c r="F4" t="s">
        <v>213</v>
      </c>
      <c r="G4" t="s">
        <v>261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-3.5190615836000001</v>
      </c>
      <c r="R4">
        <v>-24</v>
      </c>
      <c r="S4">
        <v>85.503049023200006</v>
      </c>
      <c r="T4">
        <v>98.928955666999997</v>
      </c>
      <c r="U4">
        <v>3.8390890482</v>
      </c>
      <c r="V4">
        <v>6.5033775E-3</v>
      </c>
      <c r="W4">
        <v>-8.1406800000000001E-5</v>
      </c>
      <c r="X4">
        <v>3.8603056371000002</v>
      </c>
      <c r="Y4">
        <v>85.199138781399995</v>
      </c>
      <c r="Z4">
        <v>71.607192546799993</v>
      </c>
      <c r="AA4">
        <v>335.01396941690001</v>
      </c>
      <c r="AB4">
        <v>358.88914160109999</v>
      </c>
      <c r="AC4">
        <v>1</v>
      </c>
      <c r="AF4">
        <v>1</v>
      </c>
    </row>
    <row r="5" spans="1:32">
      <c r="A5" t="s">
        <v>570</v>
      </c>
      <c r="B5" t="s">
        <v>571</v>
      </c>
      <c r="C5" t="s">
        <v>211</v>
      </c>
      <c r="D5">
        <v>3</v>
      </c>
      <c r="E5" t="s">
        <v>212</v>
      </c>
      <c r="F5" t="s">
        <v>213</v>
      </c>
      <c r="G5" t="s">
        <v>261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</v>
      </c>
      <c r="S5">
        <v>85.3616297218</v>
      </c>
      <c r="T5">
        <v>85.3616297218</v>
      </c>
      <c r="U5">
        <v>3.7401507199999999</v>
      </c>
      <c r="V5">
        <v>5.0403456999999997E-3</v>
      </c>
      <c r="W5">
        <v>-6.6404599999999998E-5</v>
      </c>
      <c r="X5">
        <v>3.7063525837000002</v>
      </c>
      <c r="Y5">
        <v>85.248884191800002</v>
      </c>
      <c r="Z5">
        <v>67.642053469999993</v>
      </c>
      <c r="AA5">
        <v>340.6230204652</v>
      </c>
      <c r="AB5">
        <v>363.77449916749998</v>
      </c>
      <c r="AC5">
        <v>1</v>
      </c>
      <c r="AF5">
        <v>1</v>
      </c>
    </row>
    <row r="6" spans="1:32">
      <c r="A6" t="s">
        <v>582</v>
      </c>
      <c r="B6" t="s">
        <v>584</v>
      </c>
      <c r="C6" t="s">
        <v>211</v>
      </c>
      <c r="D6">
        <v>3</v>
      </c>
      <c r="E6" t="s">
        <v>212</v>
      </c>
      <c r="F6" t="s">
        <v>213</v>
      </c>
      <c r="G6" t="s">
        <v>261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-3.5190615836000001</v>
      </c>
      <c r="R6">
        <v>-24</v>
      </c>
      <c r="S6">
        <v>85.593233144899997</v>
      </c>
      <c r="T6">
        <v>99.0884440385</v>
      </c>
      <c r="U6">
        <v>3.8502599614999999</v>
      </c>
      <c r="V6">
        <v>4.1376798000000003E-3</v>
      </c>
      <c r="W6">
        <v>-6.5417400000000002E-5</v>
      </c>
      <c r="X6">
        <v>3.7803575213</v>
      </c>
      <c r="Y6">
        <v>84.444228901200006</v>
      </c>
      <c r="Z6">
        <v>64.570749740500005</v>
      </c>
      <c r="AA6">
        <v>343.19991083219998</v>
      </c>
      <c r="AB6">
        <v>367.29471984230003</v>
      </c>
      <c r="AC6">
        <v>1</v>
      </c>
      <c r="AF6">
        <v>1</v>
      </c>
    </row>
    <row r="7" spans="1:32">
      <c r="A7" t="s">
        <v>596</v>
      </c>
      <c r="B7" t="s">
        <v>598</v>
      </c>
      <c r="C7" t="s">
        <v>211</v>
      </c>
      <c r="D7">
        <v>3</v>
      </c>
      <c r="E7" t="s">
        <v>212</v>
      </c>
      <c r="F7" t="s">
        <v>213</v>
      </c>
      <c r="G7" t="s">
        <v>261</v>
      </c>
      <c r="H7" t="s">
        <v>215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-2.3460410557000002</v>
      </c>
      <c r="R7">
        <v>-16</v>
      </c>
      <c r="S7">
        <v>93.216477784299997</v>
      </c>
      <c r="T7">
        <v>102.2046754439</v>
      </c>
      <c r="U7">
        <v>3.8425271049999998</v>
      </c>
      <c r="V7">
        <v>4.6497463999999999E-3</v>
      </c>
      <c r="W7">
        <v>-7.25587E-5</v>
      </c>
      <c r="X7">
        <v>3.7808303718</v>
      </c>
      <c r="Y7">
        <v>91.1037092487</v>
      </c>
      <c r="Z7">
        <v>77.114505767300003</v>
      </c>
      <c r="AA7">
        <v>330.58191375450002</v>
      </c>
      <c r="AB7">
        <v>355.99157553790002</v>
      </c>
      <c r="AC7">
        <v>1</v>
      </c>
      <c r="AF7">
        <v>1</v>
      </c>
    </row>
    <row r="8" spans="1:32">
      <c r="A8" t="s">
        <v>615</v>
      </c>
      <c r="B8" t="s">
        <v>617</v>
      </c>
      <c r="C8" t="s">
        <v>211</v>
      </c>
      <c r="D8">
        <v>3</v>
      </c>
      <c r="E8" t="s">
        <v>212</v>
      </c>
      <c r="F8" t="s">
        <v>213</v>
      </c>
      <c r="G8" t="s">
        <v>261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-2.3460410557000002</v>
      </c>
      <c r="R8">
        <v>-16</v>
      </c>
      <c r="S8">
        <v>91.264318849700004</v>
      </c>
      <c r="T8">
        <v>100.4345481039</v>
      </c>
      <c r="U8">
        <v>3.9202575032000002</v>
      </c>
      <c r="V8">
        <v>4.7054677000000003E-3</v>
      </c>
      <c r="W8">
        <v>-7.4140600000000006E-5</v>
      </c>
      <c r="X8">
        <v>3.8543455031999998</v>
      </c>
      <c r="Y8">
        <v>90.078783155599993</v>
      </c>
      <c r="Z8">
        <v>69.849339136899999</v>
      </c>
      <c r="AA8">
        <v>336.55368751110001</v>
      </c>
      <c r="AB8">
        <v>362.63867489969999</v>
      </c>
      <c r="AC8">
        <v>1</v>
      </c>
      <c r="AF8">
        <v>1</v>
      </c>
    </row>
    <row r="9" spans="1:32">
      <c r="A9" t="s">
        <v>620</v>
      </c>
      <c r="B9" t="s">
        <v>622</v>
      </c>
      <c r="C9" t="s">
        <v>211</v>
      </c>
      <c r="D9">
        <v>3</v>
      </c>
      <c r="E9" t="s">
        <v>212</v>
      </c>
      <c r="F9" t="s">
        <v>213</v>
      </c>
      <c r="G9" t="s">
        <v>261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-5.8651026392999999</v>
      </c>
      <c r="R9">
        <v>-40</v>
      </c>
      <c r="S9">
        <v>85.767453364999994</v>
      </c>
      <c r="T9">
        <v>107.4939840239</v>
      </c>
      <c r="U9">
        <v>3.7359214654000001</v>
      </c>
      <c r="V9">
        <v>4.9563228999999999E-3</v>
      </c>
      <c r="W9">
        <v>-7.20548E-5</v>
      </c>
      <c r="X9">
        <v>3.7037961244000002</v>
      </c>
      <c r="Y9">
        <v>85.461586277500004</v>
      </c>
      <c r="Z9">
        <v>69.978600832599994</v>
      </c>
      <c r="AA9">
        <v>329.15357788710003</v>
      </c>
      <c r="AB9">
        <v>354.81605109020001</v>
      </c>
      <c r="AC9">
        <v>1</v>
      </c>
      <c r="AF9">
        <v>1</v>
      </c>
    </row>
    <row r="10" spans="1:32">
      <c r="A10" t="s">
        <v>632</v>
      </c>
      <c r="B10" t="s">
        <v>633</v>
      </c>
      <c r="C10" t="s">
        <v>211</v>
      </c>
      <c r="D10">
        <v>3</v>
      </c>
      <c r="E10" t="s">
        <v>212</v>
      </c>
      <c r="F10" t="s">
        <v>213</v>
      </c>
      <c r="G10" t="s">
        <v>261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-5.8651026392999999</v>
      </c>
      <c r="R10">
        <v>-40</v>
      </c>
      <c r="S10">
        <v>84.075606780200005</v>
      </c>
      <c r="T10">
        <v>106.3369939339</v>
      </c>
      <c r="U10">
        <v>3.8212819185</v>
      </c>
      <c r="V10">
        <v>3.9892516000000003E-3</v>
      </c>
      <c r="W10">
        <v>-6.7385999999999995E-5</v>
      </c>
      <c r="X10">
        <v>3.7538119379000001</v>
      </c>
      <c r="Y10">
        <v>82.524686260899998</v>
      </c>
      <c r="Z10">
        <v>63.8426364177</v>
      </c>
      <c r="AA10">
        <v>333.11508697689999</v>
      </c>
      <c r="AB10">
        <v>358.39655307570001</v>
      </c>
      <c r="AC10">
        <v>1</v>
      </c>
      <c r="AF10">
        <v>1</v>
      </c>
    </row>
    <row r="11" spans="1:32">
      <c r="A11" t="s">
        <v>644</v>
      </c>
      <c r="B11" t="s">
        <v>645</v>
      </c>
      <c r="C11" t="s">
        <v>211</v>
      </c>
      <c r="D11">
        <v>3</v>
      </c>
      <c r="E11" t="s">
        <v>212</v>
      </c>
      <c r="F11" t="s">
        <v>213</v>
      </c>
      <c r="G11" t="s">
        <v>261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-2.3460410557000002</v>
      </c>
      <c r="R11">
        <v>-16</v>
      </c>
      <c r="S11">
        <v>93.0717054574</v>
      </c>
      <c r="T11">
        <v>102.2283224434</v>
      </c>
      <c r="U11">
        <v>3.9158440617000001</v>
      </c>
      <c r="V11">
        <v>5.2932785E-3</v>
      </c>
      <c r="W11">
        <v>-7.5913800000000005E-5</v>
      </c>
      <c r="X11">
        <v>3.8902215571999998</v>
      </c>
      <c r="Y11">
        <v>91.400644152599995</v>
      </c>
      <c r="Z11">
        <v>69.7064450763</v>
      </c>
      <c r="AA11">
        <v>331.90848570790001</v>
      </c>
      <c r="AB11">
        <v>355.96614336729999</v>
      </c>
      <c r="AC11">
        <v>1</v>
      </c>
      <c r="AF11">
        <v>1</v>
      </c>
    </row>
    <row r="12" spans="1:32">
      <c r="A12" t="s">
        <v>663</v>
      </c>
      <c r="B12" t="s">
        <v>665</v>
      </c>
      <c r="C12" t="s">
        <v>211</v>
      </c>
      <c r="D12">
        <v>3</v>
      </c>
      <c r="E12" t="s">
        <v>212</v>
      </c>
      <c r="F12" t="s">
        <v>213</v>
      </c>
      <c r="G12" t="s">
        <v>261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</v>
      </c>
      <c r="R12">
        <v>0</v>
      </c>
      <c r="S12">
        <v>88.473605234299995</v>
      </c>
      <c r="T12">
        <v>88.473605234299995</v>
      </c>
      <c r="U12">
        <v>3.8579428472999999</v>
      </c>
      <c r="V12">
        <v>5.9978236000000004E-3</v>
      </c>
      <c r="W12">
        <v>-8.1595500000000002E-5</v>
      </c>
      <c r="X12">
        <v>3.8154135937999998</v>
      </c>
      <c r="Y12">
        <v>87.543461588699998</v>
      </c>
      <c r="Z12">
        <v>68.955892527700001</v>
      </c>
      <c r="AA12">
        <v>340.38678150530001</v>
      </c>
      <c r="AB12">
        <v>363.65378702999999</v>
      </c>
      <c r="AC12">
        <v>1</v>
      </c>
      <c r="AF12">
        <v>1</v>
      </c>
    </row>
    <row r="13" spans="1:32">
      <c r="A13" t="s">
        <v>668</v>
      </c>
      <c r="B13" t="s">
        <v>669</v>
      </c>
      <c r="C13" t="s">
        <v>211</v>
      </c>
      <c r="D13">
        <v>3</v>
      </c>
      <c r="E13" t="s">
        <v>212</v>
      </c>
      <c r="F13" t="s">
        <v>213</v>
      </c>
      <c r="G13" t="s">
        <v>261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-5.8651026392999999</v>
      </c>
      <c r="R13">
        <v>-40</v>
      </c>
      <c r="S13">
        <v>79.178915760999999</v>
      </c>
      <c r="T13">
        <v>100.65423527279999</v>
      </c>
      <c r="U13">
        <v>3.6908742282000002</v>
      </c>
      <c r="V13">
        <v>4.6039729000000003E-3</v>
      </c>
      <c r="W13">
        <v>-6.7718499999999999E-5</v>
      </c>
      <c r="X13">
        <v>3.6593666533000002</v>
      </c>
      <c r="Y13">
        <v>79.172303431700001</v>
      </c>
      <c r="Z13">
        <v>61.208200573100001</v>
      </c>
      <c r="AA13">
        <v>325.489756032</v>
      </c>
      <c r="AB13">
        <v>352.79757373429999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206</v>
      </c>
      <c r="JP1" t="s">
        <v>207</v>
      </c>
      <c r="JQ1" t="s">
        <v>208</v>
      </c>
    </row>
    <row r="2" spans="1:277">
      <c r="A2" t="s">
        <v>535</v>
      </c>
      <c r="B2" t="s">
        <v>536</v>
      </c>
      <c r="C2" t="s">
        <v>211</v>
      </c>
      <c r="D2">
        <v>3</v>
      </c>
      <c r="E2" t="s">
        <v>212</v>
      </c>
      <c r="F2" t="s">
        <v>213</v>
      </c>
      <c r="G2" t="s">
        <v>537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</v>
      </c>
      <c r="R2">
        <v>0.59999999940000004</v>
      </c>
      <c r="S2">
        <v>0.7000000005</v>
      </c>
      <c r="T2">
        <v>0.79999999980000003</v>
      </c>
      <c r="U2">
        <v>0.79999999980000003</v>
      </c>
      <c r="V2">
        <v>0.79999999980000003</v>
      </c>
      <c r="W2">
        <v>0.79999999980000003</v>
      </c>
      <c r="X2">
        <v>0.79999999980000003</v>
      </c>
      <c r="Y2">
        <v>0.89999999909999995</v>
      </c>
      <c r="Z2">
        <v>1.0000000002</v>
      </c>
      <c r="AA2">
        <v>1.0000000002</v>
      </c>
      <c r="AB2">
        <v>1.0999999995</v>
      </c>
      <c r="AC2">
        <v>1.0999999995</v>
      </c>
      <c r="AD2">
        <v>1.1999999988000001</v>
      </c>
      <c r="AE2">
        <v>1.1999999988000001</v>
      </c>
      <c r="AF2">
        <v>1.2999999999</v>
      </c>
      <c r="AG2">
        <v>1.2999999999</v>
      </c>
      <c r="AH2">
        <v>1.3999999992000001</v>
      </c>
      <c r="AI2">
        <v>1.5000000003</v>
      </c>
      <c r="AJ2">
        <v>1.5000000003</v>
      </c>
      <c r="AK2">
        <v>1.5999999996000001</v>
      </c>
      <c r="AL2">
        <v>1.8999999993000001</v>
      </c>
      <c r="AM2">
        <v>3.3000000002999998</v>
      </c>
      <c r="AN2">
        <v>7.7000000001000002</v>
      </c>
      <c r="AO2">
        <v>14.9000000001</v>
      </c>
      <c r="AP2">
        <v>23.299999998899999</v>
      </c>
      <c r="AQ2">
        <v>31.6000000003</v>
      </c>
      <c r="AR2">
        <v>39.699999999399999</v>
      </c>
      <c r="AS2">
        <v>47.800000000300003</v>
      </c>
      <c r="AT2">
        <v>56.099999999799998</v>
      </c>
      <c r="AU2">
        <v>64.3</v>
      </c>
      <c r="AV2">
        <v>73.199999998899997</v>
      </c>
      <c r="AW2">
        <v>82.599999999700003</v>
      </c>
      <c r="AX2">
        <v>92.099999999800005</v>
      </c>
      <c r="AY2">
        <v>101.09999999990001</v>
      </c>
      <c r="AZ2">
        <v>109.8000000002</v>
      </c>
      <c r="BA2">
        <v>118.199999999</v>
      </c>
      <c r="BB2">
        <v>127.6999999991</v>
      </c>
      <c r="BC2">
        <v>136.89999999950001</v>
      </c>
      <c r="BD2">
        <v>145.80000000019999</v>
      </c>
      <c r="BE2">
        <v>154.39999999939999</v>
      </c>
      <c r="BF2">
        <v>163.00000000049999</v>
      </c>
      <c r="BG2">
        <v>171.89999999939999</v>
      </c>
      <c r="BH2">
        <v>181.59999999990001</v>
      </c>
      <c r="BI2">
        <v>190.59999999990001</v>
      </c>
      <c r="BJ2">
        <v>199.39999999950001</v>
      </c>
      <c r="BK2">
        <v>208.09999999979999</v>
      </c>
      <c r="BL2">
        <v>216.8000000001</v>
      </c>
      <c r="BM2">
        <v>225.59999999979999</v>
      </c>
      <c r="BN2">
        <v>234.89999999950001</v>
      </c>
      <c r="BO2">
        <v>243.80000000019999</v>
      </c>
      <c r="BP2">
        <v>252.39999999939999</v>
      </c>
      <c r="BQ2">
        <v>261.0999999997</v>
      </c>
      <c r="BR2">
        <v>269.50000000030002</v>
      </c>
      <c r="BS2">
        <v>278.50000000030002</v>
      </c>
      <c r="BT2">
        <v>287.50000000040001</v>
      </c>
      <c r="BU2">
        <v>296.19999999890001</v>
      </c>
      <c r="BV2">
        <v>304.50000000019998</v>
      </c>
      <c r="BW2">
        <v>312.89999999899999</v>
      </c>
      <c r="BX2">
        <v>320.59999999910002</v>
      </c>
      <c r="BY2">
        <v>329.59999999910002</v>
      </c>
      <c r="BZ2">
        <v>338.20000000009998</v>
      </c>
      <c r="CA2">
        <v>346.40000000039998</v>
      </c>
      <c r="CB2">
        <v>354.49999999950001</v>
      </c>
      <c r="CC2">
        <v>362.29999999889998</v>
      </c>
      <c r="CD2">
        <v>369.80000000040002</v>
      </c>
      <c r="CE2">
        <v>377.3000000001</v>
      </c>
      <c r="CF2">
        <v>385.8</v>
      </c>
      <c r="CG2">
        <v>393.59999999939998</v>
      </c>
      <c r="CH2">
        <v>401.39999999880001</v>
      </c>
      <c r="CI2">
        <v>408.7999999992</v>
      </c>
      <c r="CJ2">
        <v>415.79999999889998</v>
      </c>
      <c r="CK2">
        <v>422.89999999960003</v>
      </c>
      <c r="CL2">
        <v>430.50000000040001</v>
      </c>
      <c r="CM2">
        <v>438.29999999979998</v>
      </c>
      <c r="CN2">
        <v>445.40000000049997</v>
      </c>
      <c r="CO2">
        <v>451.1000000002</v>
      </c>
      <c r="CP2">
        <v>453.49999999959999</v>
      </c>
      <c r="CQ2">
        <v>453.59999999889999</v>
      </c>
      <c r="CR2">
        <v>453.79999999929998</v>
      </c>
      <c r="CS2">
        <v>453.79999999929998</v>
      </c>
      <c r="CT2">
        <v>453.90000000039998</v>
      </c>
      <c r="CU2">
        <v>453.90000000039998</v>
      </c>
      <c r="CV2">
        <v>453.90000000039998</v>
      </c>
      <c r="CW2">
        <v>453.99999999969998</v>
      </c>
      <c r="CX2">
        <v>453.90000000039998</v>
      </c>
      <c r="CY2">
        <v>453.90000000039998</v>
      </c>
      <c r="CZ2">
        <v>453.99999999969998</v>
      </c>
      <c r="DA2">
        <v>453.99999999969998</v>
      </c>
      <c r="DB2">
        <v>453.99999999969998</v>
      </c>
      <c r="DC2">
        <v>453.99999999969998</v>
      </c>
      <c r="DD2">
        <v>454.09999999899998</v>
      </c>
      <c r="DE2">
        <v>454.09999999899998</v>
      </c>
      <c r="DF2">
        <v>454.09999999899998</v>
      </c>
      <c r="DG2">
        <v>0.39999999899999999</v>
      </c>
      <c r="DH2">
        <v>1.3999999992000001</v>
      </c>
      <c r="DI2">
        <v>1.5999999996000001</v>
      </c>
      <c r="DJ2">
        <v>1.6999999989000001</v>
      </c>
      <c r="DK2">
        <v>1.6999999989000001</v>
      </c>
      <c r="DL2">
        <v>1.6999999989000001</v>
      </c>
      <c r="DM2">
        <v>1.8999999993000001</v>
      </c>
      <c r="DN2">
        <v>1.8999999993000001</v>
      </c>
      <c r="DO2">
        <v>2.0000000004</v>
      </c>
      <c r="DP2">
        <v>2.0999999997000001</v>
      </c>
      <c r="DQ2">
        <v>2.0999999997000001</v>
      </c>
      <c r="DR2">
        <v>2.0999999997000001</v>
      </c>
      <c r="DS2">
        <v>2.1999999990000001</v>
      </c>
      <c r="DT2">
        <v>2.3000000000999998</v>
      </c>
      <c r="DU2">
        <v>2.3000000000999998</v>
      </c>
      <c r="DV2">
        <v>2.3000000000999998</v>
      </c>
      <c r="DW2">
        <v>2.3000000000999998</v>
      </c>
      <c r="DX2">
        <v>2.3000000000999998</v>
      </c>
      <c r="DY2">
        <v>2.5000000005</v>
      </c>
      <c r="DZ2">
        <v>3.0999999999000001</v>
      </c>
      <c r="EA2">
        <v>4.3000000004999999</v>
      </c>
      <c r="EB2">
        <v>8.7000000002999993</v>
      </c>
      <c r="EC2">
        <v>16.599999999000001</v>
      </c>
      <c r="ED2">
        <v>24.9000000003</v>
      </c>
      <c r="EE2">
        <v>32.699999999699997</v>
      </c>
      <c r="EF2">
        <v>40.799999998899999</v>
      </c>
      <c r="EG2">
        <v>48.699999999399999</v>
      </c>
      <c r="EH2">
        <v>56.699999999200003</v>
      </c>
      <c r="EI2">
        <v>64.899999999399995</v>
      </c>
      <c r="EJ2">
        <v>74.199999999100001</v>
      </c>
      <c r="EK2">
        <v>83.000000000499995</v>
      </c>
      <c r="EL2">
        <v>92.000000000599996</v>
      </c>
      <c r="EM2">
        <v>101.3999999996</v>
      </c>
      <c r="EN2">
        <v>109.99999999880001</v>
      </c>
      <c r="EO2">
        <v>119.1999999992</v>
      </c>
      <c r="EP2">
        <v>128.49999999889999</v>
      </c>
      <c r="EQ2">
        <v>137.3999999996</v>
      </c>
      <c r="ER2">
        <v>146.3000000003</v>
      </c>
      <c r="ES2">
        <v>155.1999999992</v>
      </c>
      <c r="ET2">
        <v>163.8000000003</v>
      </c>
      <c r="EU2">
        <v>173.19999999929999</v>
      </c>
      <c r="EV2">
        <v>182.69999999940001</v>
      </c>
      <c r="EW2">
        <v>191.8999999998</v>
      </c>
      <c r="EX2">
        <v>200.80000000050001</v>
      </c>
      <c r="EY2">
        <v>209.19999999929999</v>
      </c>
      <c r="EZ2">
        <v>218.19999999929999</v>
      </c>
      <c r="FA2">
        <v>227.99999999920001</v>
      </c>
      <c r="FB2">
        <v>237.29999999890001</v>
      </c>
      <c r="FC2">
        <v>246.29999999890001</v>
      </c>
      <c r="FD2">
        <v>255.19999999960001</v>
      </c>
      <c r="FE2">
        <v>263.69999999949999</v>
      </c>
      <c r="FF2">
        <v>272.69999999949999</v>
      </c>
      <c r="FG2">
        <v>282.19999999959998</v>
      </c>
      <c r="FH2">
        <v>290.99999999929997</v>
      </c>
      <c r="FI2">
        <v>299.89999999999998</v>
      </c>
      <c r="FJ2">
        <v>308.49999999919999</v>
      </c>
      <c r="FK2">
        <v>316.60000000010001</v>
      </c>
      <c r="FL2">
        <v>325.30000000040002</v>
      </c>
      <c r="FM2">
        <v>334.30000000040002</v>
      </c>
      <c r="FN2">
        <v>342.49999999879998</v>
      </c>
      <c r="FO2">
        <v>350.69999999909999</v>
      </c>
      <c r="FP2">
        <v>358.8</v>
      </c>
      <c r="FQ2">
        <v>366.29999999969999</v>
      </c>
      <c r="FR2">
        <v>373.79999999939997</v>
      </c>
      <c r="FS2">
        <v>382.29999999929998</v>
      </c>
      <c r="FT2">
        <v>390.40000000020001</v>
      </c>
      <c r="FU2">
        <v>398.10000000029999</v>
      </c>
      <c r="FV2">
        <v>405.6</v>
      </c>
      <c r="FW2">
        <v>412.19999999880002</v>
      </c>
      <c r="FX2">
        <v>418.70000000020002</v>
      </c>
      <c r="FY2">
        <v>425.40000000010002</v>
      </c>
      <c r="FZ2">
        <v>432.8999999998</v>
      </c>
      <c r="GA2">
        <v>440.30000000019999</v>
      </c>
      <c r="GB2">
        <v>446.20000000030001</v>
      </c>
      <c r="GC2">
        <v>451.19999999949999</v>
      </c>
      <c r="GD2">
        <v>453.59999999889999</v>
      </c>
      <c r="GE2">
        <v>453.59999999889999</v>
      </c>
      <c r="GF2">
        <v>453.7</v>
      </c>
      <c r="GG2">
        <v>453.79999999929998</v>
      </c>
      <c r="GH2">
        <v>453.79999999929998</v>
      </c>
      <c r="GI2">
        <v>453.79999999929998</v>
      </c>
      <c r="GJ2">
        <v>453.90000000039998</v>
      </c>
      <c r="GK2">
        <v>453.90000000039998</v>
      </c>
      <c r="GL2">
        <v>453.90000000039998</v>
      </c>
      <c r="GM2">
        <v>453.90000000039998</v>
      </c>
      <c r="GN2">
        <v>453.90000000039998</v>
      </c>
      <c r="GO2">
        <v>453.79999999929998</v>
      </c>
      <c r="GP2">
        <v>453.90000000039998</v>
      </c>
      <c r="GQ2">
        <v>453.90000000039998</v>
      </c>
      <c r="GR2">
        <v>453.90000000039998</v>
      </c>
      <c r="GS2">
        <v>453.99999999969998</v>
      </c>
      <c r="GT2">
        <v>453.99999999969998</v>
      </c>
      <c r="GU2">
        <v>453.99999999969998</v>
      </c>
      <c r="GV2">
        <v>454.09999999899998</v>
      </c>
      <c r="GW2">
        <v>1</v>
      </c>
      <c r="GX2">
        <v>90.399999999100004</v>
      </c>
      <c r="GY2">
        <v>82.599999999700003</v>
      </c>
      <c r="GZ2">
        <v>82.599999999700003</v>
      </c>
      <c r="HA2">
        <v>101.3999999996</v>
      </c>
      <c r="HB2">
        <v>86.408852675299997</v>
      </c>
      <c r="HC2">
        <v>-18.799999999800001</v>
      </c>
      <c r="HD2">
        <v>454.09999999899998</v>
      </c>
      <c r="HE2">
        <v>337.6385818105</v>
      </c>
      <c r="HF2">
        <v>70.575930411399995</v>
      </c>
      <c r="HG2">
        <v>454.09999999899998</v>
      </c>
      <c r="HH2">
        <v>454.09999999899998</v>
      </c>
      <c r="HI2">
        <v>454.09999999899998</v>
      </c>
      <c r="HJ2">
        <v>454.09999999899998</v>
      </c>
      <c r="HK2">
        <v>100.87976539589999</v>
      </c>
      <c r="HL2">
        <v>3.8730234954</v>
      </c>
      <c r="HM2">
        <v>3.6896559990000002</v>
      </c>
      <c r="HN2">
        <v>3.7298658291</v>
      </c>
      <c r="HO2">
        <v>3.6138916614999999</v>
      </c>
      <c r="HP2">
        <v>3.9000656020000002</v>
      </c>
      <c r="HQ2">
        <v>3.0956919099000002</v>
      </c>
      <c r="HR2">
        <v>15.8329222639</v>
      </c>
      <c r="HS2">
        <v>-18.7683284457</v>
      </c>
      <c r="HT2">
        <v>-128</v>
      </c>
      <c r="HU2">
        <v>424.04743448580001</v>
      </c>
      <c r="HV2">
        <v>89.149560117299998</v>
      </c>
      <c r="HW2">
        <v>608</v>
      </c>
      <c r="HX2">
        <v>15.8329222639</v>
      </c>
      <c r="HY2">
        <v>-18.7683284457</v>
      </c>
      <c r="HZ2">
        <v>-128</v>
      </c>
      <c r="IA2">
        <v>424.04743448580001</v>
      </c>
      <c r="IB2">
        <v>89.149560117299998</v>
      </c>
      <c r="IC2">
        <v>608</v>
      </c>
      <c r="ID2">
        <v>30.052565513200001</v>
      </c>
      <c r="IE2">
        <v>1.6175401890000001</v>
      </c>
      <c r="IF2">
        <v>-28.152492668600001</v>
      </c>
      <c r="IG2">
        <v>-192</v>
      </c>
      <c r="IH2">
        <v>450.93438669850002</v>
      </c>
      <c r="II2">
        <v>98.533724340199996</v>
      </c>
      <c r="IJ2">
        <v>672</v>
      </c>
      <c r="IK2">
        <v>408.21451222190001</v>
      </c>
      <c r="IL2">
        <v>107.91788856300001</v>
      </c>
      <c r="IM2">
        <v>435.84643250379997</v>
      </c>
      <c r="IN2">
        <v>117.3020527859</v>
      </c>
      <c r="IO2">
        <v>8.3999999988000003</v>
      </c>
      <c r="IP2">
        <v>7.7999999993999998</v>
      </c>
      <c r="IQ2">
        <v>9.7999999998000007</v>
      </c>
      <c r="IR2">
        <v>3.0073634898999999</v>
      </c>
      <c r="IS2">
        <v>3.0073634898999999</v>
      </c>
      <c r="IT2">
        <v>17.799999999600001</v>
      </c>
      <c r="IU2">
        <v>-18.7683284457</v>
      </c>
      <c r="IV2">
        <v>21.8999999997</v>
      </c>
      <c r="IW2">
        <v>63.3431085044</v>
      </c>
      <c r="IX2">
        <v>15.699999999899999</v>
      </c>
      <c r="IY2">
        <v>96.187683284499997</v>
      </c>
      <c r="IZ2">
        <v>-23.203705574699999</v>
      </c>
      <c r="JA2">
        <v>0.28341591350000001</v>
      </c>
      <c r="JB2">
        <v>-1.998286E-4</v>
      </c>
      <c r="JC2">
        <v>3.6310000000000002E-7</v>
      </c>
      <c r="JD2">
        <v>0.25819621320000002</v>
      </c>
      <c r="JE2">
        <v>0.41557920110000002</v>
      </c>
      <c r="JF2">
        <v>0.1343975778</v>
      </c>
      <c r="JG2">
        <v>86.431952859899994</v>
      </c>
      <c r="JH2">
        <v>3.9000656020000002</v>
      </c>
      <c r="JI2">
        <v>5.5133787E-3</v>
      </c>
      <c r="JJ2">
        <v>-7.49658E-5</v>
      </c>
      <c r="JK2">
        <v>3.8730234954</v>
      </c>
      <c r="JL2">
        <v>0.92871597610000001</v>
      </c>
      <c r="JM2">
        <v>0.3811103897</v>
      </c>
      <c r="JN2" t="s">
        <v>538</v>
      </c>
      <c r="JQ2">
        <v>1</v>
      </c>
    </row>
    <row r="3" spans="1:277">
      <c r="A3" t="s">
        <v>548</v>
      </c>
      <c r="B3" t="s">
        <v>549</v>
      </c>
      <c r="C3" t="s">
        <v>211</v>
      </c>
      <c r="D3">
        <v>3</v>
      </c>
      <c r="E3" t="s">
        <v>212</v>
      </c>
      <c r="F3" t="s">
        <v>213</v>
      </c>
      <c r="G3" t="s">
        <v>537</v>
      </c>
      <c r="H3" t="s">
        <v>215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0.59999999940000004</v>
      </c>
      <c r="R3">
        <v>1.0999999995</v>
      </c>
      <c r="S3">
        <v>1.0999999995</v>
      </c>
      <c r="T3">
        <v>1.1999999988000001</v>
      </c>
      <c r="U3">
        <v>1.1999999988000001</v>
      </c>
      <c r="V3">
        <v>1.1999999988000001</v>
      </c>
      <c r="W3">
        <v>1.2999999999</v>
      </c>
      <c r="X3">
        <v>1.2999999999</v>
      </c>
      <c r="Y3">
        <v>1.2999999999</v>
      </c>
      <c r="Z3">
        <v>1.3999999992000001</v>
      </c>
      <c r="AA3">
        <v>1.2999999999</v>
      </c>
      <c r="AB3">
        <v>1.3999999992000001</v>
      </c>
      <c r="AC3">
        <v>1.3999999992000001</v>
      </c>
      <c r="AD3">
        <v>1.4999999985000001</v>
      </c>
      <c r="AE3">
        <v>1.4999999985000001</v>
      </c>
      <c r="AF3">
        <v>1.5999999996000001</v>
      </c>
      <c r="AG3">
        <v>1.4999999985000001</v>
      </c>
      <c r="AH3">
        <v>1.1999999988000001</v>
      </c>
      <c r="AI3">
        <v>0.79999999980000003</v>
      </c>
      <c r="AJ3">
        <v>0.39999999899999999</v>
      </c>
      <c r="AK3">
        <v>0</v>
      </c>
      <c r="AL3">
        <v>1.6999999989000001</v>
      </c>
      <c r="AM3">
        <v>7.0999999989000004</v>
      </c>
      <c r="AN3">
        <v>14.4</v>
      </c>
      <c r="AO3">
        <v>22.299999998699999</v>
      </c>
      <c r="AP3">
        <v>29.599999999800001</v>
      </c>
      <c r="AQ3">
        <v>37.3999999993</v>
      </c>
      <c r="AR3">
        <v>45.199999998700001</v>
      </c>
      <c r="AS3">
        <v>53.199999998499997</v>
      </c>
      <c r="AT3">
        <v>61.499999999800004</v>
      </c>
      <c r="AU3">
        <v>70.399999998699997</v>
      </c>
      <c r="AV3">
        <v>78.7</v>
      </c>
      <c r="AW3">
        <v>87.199999999900001</v>
      </c>
      <c r="AX3">
        <v>96.099999998800001</v>
      </c>
      <c r="AY3">
        <v>104.99999999960001</v>
      </c>
      <c r="AZ3">
        <v>113.89999999849999</v>
      </c>
      <c r="BA3">
        <v>122.99999999960001</v>
      </c>
      <c r="BB3">
        <v>131.5999999988</v>
      </c>
      <c r="BC3">
        <v>140.09999999870001</v>
      </c>
      <c r="BD3">
        <v>148.4</v>
      </c>
      <c r="BE3">
        <v>157.19999999960001</v>
      </c>
      <c r="BF3">
        <v>165.9999999993</v>
      </c>
      <c r="BG3">
        <v>175.29999999899999</v>
      </c>
      <c r="BH3">
        <v>183.9999999993</v>
      </c>
      <c r="BI3">
        <v>192.49999999920001</v>
      </c>
      <c r="BJ3">
        <v>200.8999999998</v>
      </c>
      <c r="BK3">
        <v>209.49999999900001</v>
      </c>
      <c r="BL3">
        <v>218.6000000002</v>
      </c>
      <c r="BM3">
        <v>227.4999999991</v>
      </c>
      <c r="BN3">
        <v>236.10000000010001</v>
      </c>
      <c r="BO3">
        <v>244.3999999996</v>
      </c>
      <c r="BP3">
        <v>252.69999999909999</v>
      </c>
      <c r="BQ3">
        <v>261.0999999997</v>
      </c>
      <c r="BR3">
        <v>269.89999999930001</v>
      </c>
      <c r="BS3">
        <v>278.59999999960002</v>
      </c>
      <c r="BT3">
        <v>286.99999999840003</v>
      </c>
      <c r="BU3">
        <v>295.09999999939998</v>
      </c>
      <c r="BV3">
        <v>303.09999999920001</v>
      </c>
      <c r="BW3">
        <v>311.20000000009998</v>
      </c>
      <c r="BX3">
        <v>319.59999999889999</v>
      </c>
      <c r="BY3">
        <v>327.99999999950001</v>
      </c>
      <c r="BZ3">
        <v>336.09999999860003</v>
      </c>
      <c r="CA3">
        <v>343.9999999991</v>
      </c>
      <c r="CB3">
        <v>351.69999999930002</v>
      </c>
      <c r="CC3">
        <v>359.3000000001</v>
      </c>
      <c r="CD3">
        <v>366.69999999869998</v>
      </c>
      <c r="CE3">
        <v>374.8999999989</v>
      </c>
      <c r="CF3">
        <v>382.99999999980002</v>
      </c>
      <c r="CG3">
        <v>390.49999999950001</v>
      </c>
      <c r="CH3">
        <v>397.79999999879999</v>
      </c>
      <c r="CI3">
        <v>404.79999999839998</v>
      </c>
      <c r="CJ3">
        <v>411.99999999840003</v>
      </c>
      <c r="CK3">
        <v>418.69999999840002</v>
      </c>
      <c r="CL3">
        <v>426.39999999849999</v>
      </c>
      <c r="CM3">
        <v>433.29999999879999</v>
      </c>
      <c r="CN3">
        <v>439.5999999997</v>
      </c>
      <c r="CO3">
        <v>446.69999999859999</v>
      </c>
      <c r="CP3">
        <v>452.49999999940002</v>
      </c>
      <c r="CQ3">
        <v>454.99999999990001</v>
      </c>
      <c r="CR3">
        <v>456.00000000009999</v>
      </c>
      <c r="CS3">
        <v>456.39999999909998</v>
      </c>
      <c r="CT3">
        <v>456.49999999840003</v>
      </c>
      <c r="CU3">
        <v>456.49999999840003</v>
      </c>
      <c r="CV3">
        <v>456.59999999950003</v>
      </c>
      <c r="CW3">
        <v>456.49999999840003</v>
      </c>
      <c r="CX3">
        <v>456.49999999840003</v>
      </c>
      <c r="CY3">
        <v>456.49999999840003</v>
      </c>
      <c r="CZ3">
        <v>456.39999999909998</v>
      </c>
      <c r="DA3">
        <v>456.39999999909998</v>
      </c>
      <c r="DB3">
        <v>456.39999999909998</v>
      </c>
      <c r="DC3">
        <v>456.49999999840003</v>
      </c>
      <c r="DD3">
        <v>456.49999999840003</v>
      </c>
      <c r="DE3">
        <v>456.49999999840003</v>
      </c>
      <c r="DF3">
        <v>456.49999999840003</v>
      </c>
      <c r="DG3">
        <v>0.79999999980000003</v>
      </c>
      <c r="DH3">
        <v>1.6999999989000001</v>
      </c>
      <c r="DI3">
        <v>1.8</v>
      </c>
      <c r="DJ3">
        <v>1.6999999989000001</v>
      </c>
      <c r="DK3">
        <v>1.8</v>
      </c>
      <c r="DL3">
        <v>1.8</v>
      </c>
      <c r="DM3">
        <v>1.8999999993000001</v>
      </c>
      <c r="DN3">
        <v>1.8999999993000001</v>
      </c>
      <c r="DO3">
        <v>1.8999999993000001</v>
      </c>
      <c r="DP3">
        <v>1.8999999993000001</v>
      </c>
      <c r="DQ3">
        <v>1.8999999993000001</v>
      </c>
      <c r="DR3">
        <v>1.8999999993000001</v>
      </c>
      <c r="DS3">
        <v>1.9999999986000001</v>
      </c>
      <c r="DT3">
        <v>1.9999999986000001</v>
      </c>
      <c r="DU3">
        <v>1.9999999986000001</v>
      </c>
      <c r="DV3">
        <v>1.8999999993000001</v>
      </c>
      <c r="DW3">
        <v>1.5999999996000001</v>
      </c>
      <c r="DX3">
        <v>1.1999999988000001</v>
      </c>
      <c r="DY3">
        <v>0.69999999869999996</v>
      </c>
      <c r="DZ3">
        <v>2.3999999993999999</v>
      </c>
      <c r="EA3">
        <v>8.2999999995000007</v>
      </c>
      <c r="EB3">
        <v>15.8999999985</v>
      </c>
      <c r="EC3">
        <v>23.4</v>
      </c>
      <c r="ED3">
        <v>30.6</v>
      </c>
      <c r="EE3">
        <v>38.299999998300002</v>
      </c>
      <c r="EF3">
        <v>45.899999999199999</v>
      </c>
      <c r="EG3">
        <v>53.899999999000002</v>
      </c>
      <c r="EH3">
        <v>62.199999998499997</v>
      </c>
      <c r="EI3">
        <v>70.899999998799998</v>
      </c>
      <c r="EJ3">
        <v>79.200000000100005</v>
      </c>
      <c r="EK3">
        <v>87.299999999199997</v>
      </c>
      <c r="EL3">
        <v>95.899999998400006</v>
      </c>
      <c r="EM3">
        <v>104.99999999960001</v>
      </c>
      <c r="EN3">
        <v>114.2</v>
      </c>
      <c r="EO3">
        <v>123.2999999993</v>
      </c>
      <c r="EP3">
        <v>131.99999999959999</v>
      </c>
      <c r="EQ3">
        <v>140.39999999840001</v>
      </c>
      <c r="ER3">
        <v>148.90000000009999</v>
      </c>
      <c r="ES3">
        <v>157.79999999899999</v>
      </c>
      <c r="ET3">
        <v>166.79999999910001</v>
      </c>
      <c r="EU3">
        <v>176.0999999988</v>
      </c>
      <c r="EV3">
        <v>184.89999999840001</v>
      </c>
      <c r="EW3">
        <v>193.49999999939999</v>
      </c>
      <c r="EX3">
        <v>202.0999999986</v>
      </c>
      <c r="EY3">
        <v>210.9</v>
      </c>
      <c r="EZ3">
        <v>220.29999999899999</v>
      </c>
      <c r="FA3">
        <v>229.39999999829999</v>
      </c>
      <c r="FB3">
        <v>237.99999999939999</v>
      </c>
      <c r="FC3">
        <v>246.4</v>
      </c>
      <c r="FD3">
        <v>254.89999999989999</v>
      </c>
      <c r="FE3">
        <v>263.69999999949999</v>
      </c>
      <c r="FF3">
        <v>272.89999999989999</v>
      </c>
      <c r="FG3">
        <v>281.59999999839999</v>
      </c>
      <c r="FH3">
        <v>290.19999999949999</v>
      </c>
      <c r="FI3">
        <v>298.49999999900001</v>
      </c>
      <c r="FJ3">
        <v>306.59999999989998</v>
      </c>
      <c r="FK3">
        <v>315.09999999979999</v>
      </c>
      <c r="FL3">
        <v>323.8000000001</v>
      </c>
      <c r="FM3">
        <v>332.19999999890001</v>
      </c>
      <c r="FN3">
        <v>340.19999999869998</v>
      </c>
      <c r="FO3">
        <v>348</v>
      </c>
      <c r="FP3">
        <v>355.59999999899998</v>
      </c>
      <c r="FQ3">
        <v>363.19999999980001</v>
      </c>
      <c r="FR3">
        <v>371.09999999849998</v>
      </c>
      <c r="FS3">
        <v>379.3999999998</v>
      </c>
      <c r="FT3">
        <v>386.89999999949998</v>
      </c>
      <c r="FU3">
        <v>394.39999999920002</v>
      </c>
      <c r="FV3">
        <v>401.39999999880001</v>
      </c>
      <c r="FW3">
        <v>408.29999999910001</v>
      </c>
      <c r="FX3">
        <v>414.9999999991</v>
      </c>
      <c r="FY3">
        <v>422.19999999909999</v>
      </c>
      <c r="FZ3">
        <v>429.19999999869998</v>
      </c>
      <c r="GA3">
        <v>434.89999999840001</v>
      </c>
      <c r="GB3">
        <v>440.89999999960003</v>
      </c>
      <c r="GC3">
        <v>447.69999999880002</v>
      </c>
      <c r="GD3">
        <v>452.99999999950001</v>
      </c>
      <c r="GE3">
        <v>455.09999999920001</v>
      </c>
      <c r="GF3">
        <v>455.79999999969999</v>
      </c>
      <c r="GG3">
        <v>456.29999999979998</v>
      </c>
      <c r="GH3">
        <v>456.39999999909998</v>
      </c>
      <c r="GI3">
        <v>456.39999999909998</v>
      </c>
      <c r="GJ3">
        <v>456.39999999909998</v>
      </c>
      <c r="GK3">
        <v>456.39999999909998</v>
      </c>
      <c r="GL3">
        <v>456.39999999909998</v>
      </c>
      <c r="GM3">
        <v>456.39999999909998</v>
      </c>
      <c r="GN3">
        <v>456.49999999840003</v>
      </c>
      <c r="GO3">
        <v>456.49999999840003</v>
      </c>
      <c r="GP3">
        <v>456.49999999840003</v>
      </c>
      <c r="GQ3">
        <v>456.39999999909998</v>
      </c>
      <c r="GR3">
        <v>456.49999999840003</v>
      </c>
      <c r="GS3">
        <v>456.49999999840003</v>
      </c>
      <c r="GT3">
        <v>456.49999999840003</v>
      </c>
      <c r="GU3">
        <v>456.49999999840003</v>
      </c>
      <c r="GV3">
        <v>456.49999999840003</v>
      </c>
      <c r="GW3">
        <v>1</v>
      </c>
      <c r="GX3">
        <v>93.799999998700002</v>
      </c>
      <c r="GY3">
        <v>87.199999999900001</v>
      </c>
      <c r="GZ3">
        <v>87.199999999900001</v>
      </c>
      <c r="HA3">
        <v>104.99999999960001</v>
      </c>
      <c r="HB3">
        <v>90.9471631981</v>
      </c>
      <c r="HC3">
        <v>-17.799999999600001</v>
      </c>
      <c r="HD3">
        <v>456.49999999840003</v>
      </c>
      <c r="HE3">
        <v>336.90019715099999</v>
      </c>
      <c r="HF3">
        <v>75.748696604399996</v>
      </c>
      <c r="HG3">
        <v>456.59999999950003</v>
      </c>
      <c r="HH3">
        <v>456.49999999840003</v>
      </c>
      <c r="HI3">
        <v>456.59999999950003</v>
      </c>
      <c r="HJ3">
        <v>456.49999999840003</v>
      </c>
      <c r="HK3">
        <v>105.57184750730001</v>
      </c>
      <c r="HL3">
        <v>3.7538026010999999</v>
      </c>
      <c r="HM3">
        <v>3.5835011086000002</v>
      </c>
      <c r="HN3">
        <v>3.6209301018</v>
      </c>
      <c r="HO3">
        <v>3.4778024303000001</v>
      </c>
      <c r="HP3">
        <v>3.7903929449999998</v>
      </c>
      <c r="HQ3">
        <v>2.9701090939000001</v>
      </c>
      <c r="HR3">
        <v>15.198466593699999</v>
      </c>
      <c r="HS3">
        <v>-21.114369501500001</v>
      </c>
      <c r="HT3">
        <v>-144</v>
      </c>
      <c r="HU3">
        <v>427.84736034909997</v>
      </c>
      <c r="HV3">
        <v>91.495601172999997</v>
      </c>
      <c r="HW3">
        <v>624</v>
      </c>
      <c r="HX3">
        <v>15.198466593699999</v>
      </c>
      <c r="HY3">
        <v>-21.114369501500001</v>
      </c>
      <c r="HZ3">
        <v>-144</v>
      </c>
      <c r="IA3">
        <v>427.84736034909997</v>
      </c>
      <c r="IB3">
        <v>91.495601172999997</v>
      </c>
      <c r="IC3">
        <v>624</v>
      </c>
      <c r="ID3">
        <v>28.652639649299999</v>
      </c>
      <c r="IE3">
        <v>0.4061336244</v>
      </c>
      <c r="IF3">
        <v>-30.4985337243</v>
      </c>
      <c r="IG3">
        <v>-208</v>
      </c>
      <c r="IH3">
        <v>452.7005914563</v>
      </c>
      <c r="II3">
        <v>100.87976539589999</v>
      </c>
      <c r="IJ3">
        <v>688</v>
      </c>
      <c r="IK3">
        <v>412.64889375540002</v>
      </c>
      <c r="IL3">
        <v>112.6099706745</v>
      </c>
      <c r="IM3">
        <v>438.20047097550002</v>
      </c>
      <c r="IN3">
        <v>121.9941348974</v>
      </c>
      <c r="IO3">
        <v>7.5999999989999996</v>
      </c>
      <c r="IP3">
        <v>7.0999999989000004</v>
      </c>
      <c r="IQ3">
        <v>9.3999999990000003</v>
      </c>
      <c r="IR3">
        <v>2.9309903868</v>
      </c>
      <c r="IS3">
        <v>2.9309903868</v>
      </c>
      <c r="IT3">
        <v>16.300000001099999</v>
      </c>
      <c r="IU3">
        <v>-23.460410557199999</v>
      </c>
      <c r="IV3">
        <v>20.9999999988</v>
      </c>
      <c r="IW3">
        <v>60.997067448700001</v>
      </c>
      <c r="IX3">
        <v>14.4</v>
      </c>
      <c r="IY3">
        <v>98.533724340199996</v>
      </c>
      <c r="IZ3">
        <v>-25.3439716064</v>
      </c>
      <c r="JA3">
        <v>0.29420246</v>
      </c>
      <c r="JB3">
        <v>-2.1617960000000001E-4</v>
      </c>
      <c r="JC3">
        <v>3.883E-7</v>
      </c>
      <c r="JD3">
        <v>0.26639653340000002</v>
      </c>
      <c r="JE3">
        <v>0.2073119997</v>
      </c>
      <c r="JF3">
        <v>0.10663653350000001</v>
      </c>
      <c r="JG3">
        <v>91.420429868900001</v>
      </c>
      <c r="JH3">
        <v>3.7903929449999998</v>
      </c>
      <c r="JI3">
        <v>5.1738874000000004E-3</v>
      </c>
      <c r="JJ3">
        <v>-7.0360599999999999E-5</v>
      </c>
      <c r="JK3">
        <v>3.7538026010999999</v>
      </c>
      <c r="JL3">
        <v>0.84087507819999996</v>
      </c>
      <c r="JM3">
        <v>0.34417080700000002</v>
      </c>
      <c r="JN3" t="s">
        <v>538</v>
      </c>
      <c r="JQ3">
        <v>1</v>
      </c>
    </row>
    <row r="4" spans="1:277">
      <c r="A4" t="s">
        <v>560</v>
      </c>
      <c r="B4" t="s">
        <v>561</v>
      </c>
      <c r="C4" t="s">
        <v>211</v>
      </c>
      <c r="D4">
        <v>3</v>
      </c>
      <c r="E4" t="s">
        <v>212</v>
      </c>
      <c r="F4" t="s">
        <v>213</v>
      </c>
      <c r="G4" t="s">
        <v>537</v>
      </c>
      <c r="H4" t="s">
        <v>215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</v>
      </c>
      <c r="R4">
        <v>0.20000000039999999</v>
      </c>
      <c r="S4">
        <v>0.1000000011</v>
      </c>
      <c r="T4">
        <v>0.20000000039999999</v>
      </c>
      <c r="U4">
        <v>0.1000000011</v>
      </c>
      <c r="V4">
        <v>0.1000000011</v>
      </c>
      <c r="W4">
        <v>0.1000000011</v>
      </c>
      <c r="X4">
        <v>0.1000000011</v>
      </c>
      <c r="Y4">
        <v>0.20000000039999999</v>
      </c>
      <c r="Z4">
        <v>0.1000000011</v>
      </c>
      <c r="AA4">
        <v>0.20000000039999999</v>
      </c>
      <c r="AB4">
        <v>0.1000000011</v>
      </c>
      <c r="AC4">
        <v>0.1000000011</v>
      </c>
      <c r="AD4">
        <v>0.1000000011</v>
      </c>
      <c r="AE4">
        <v>0.20000000039999999</v>
      </c>
      <c r="AF4">
        <v>0.1000000011</v>
      </c>
      <c r="AG4">
        <v>0.20000000039999999</v>
      </c>
      <c r="AH4">
        <v>0.20000000039999999</v>
      </c>
      <c r="AI4">
        <v>0.29999999970000002</v>
      </c>
      <c r="AJ4">
        <v>0.29999999970000002</v>
      </c>
      <c r="AK4">
        <v>1.2999999999</v>
      </c>
      <c r="AL4">
        <v>5.9000000001000004</v>
      </c>
      <c r="AM4">
        <v>13.1000000001</v>
      </c>
      <c r="AN4">
        <v>20.700000000900001</v>
      </c>
      <c r="AO4">
        <v>28.500000000299998</v>
      </c>
      <c r="AP4">
        <v>36.4000000009</v>
      </c>
      <c r="AQ4">
        <v>43.999999999899998</v>
      </c>
      <c r="AR4">
        <v>51.999999999700002</v>
      </c>
      <c r="AS4">
        <v>60.400000000299997</v>
      </c>
      <c r="AT4">
        <v>68.999999999500005</v>
      </c>
      <c r="AU4">
        <v>77.400000000099993</v>
      </c>
      <c r="AV4">
        <v>86.100000000400001</v>
      </c>
      <c r="AW4">
        <v>94.600000000400001</v>
      </c>
      <c r="AX4">
        <v>103.3000000007</v>
      </c>
      <c r="AY4">
        <v>112.4</v>
      </c>
      <c r="AZ4">
        <v>121.50000000110001</v>
      </c>
      <c r="BA4">
        <v>130.30000000070001</v>
      </c>
      <c r="BB4">
        <v>139.19999999960001</v>
      </c>
      <c r="BC4">
        <v>147.69999999949999</v>
      </c>
      <c r="BD4">
        <v>156.30000000059999</v>
      </c>
      <c r="BE4">
        <v>165.39999999989999</v>
      </c>
      <c r="BF4">
        <v>174.50000000099999</v>
      </c>
      <c r="BG4">
        <v>183.39999999989999</v>
      </c>
      <c r="BH4">
        <v>192.39999999989999</v>
      </c>
      <c r="BI4">
        <v>201.0000000009</v>
      </c>
      <c r="BJ4">
        <v>209.80000000050001</v>
      </c>
      <c r="BK4">
        <v>219.00000000099999</v>
      </c>
      <c r="BL4">
        <v>228.10000000030001</v>
      </c>
      <c r="BM4">
        <v>236.69999999949999</v>
      </c>
      <c r="BN4">
        <v>245.5000000009</v>
      </c>
      <c r="BO4">
        <v>254.10000000010001</v>
      </c>
      <c r="BP4">
        <v>262.89999999970001</v>
      </c>
      <c r="BQ4">
        <v>271.89999999970001</v>
      </c>
      <c r="BR4">
        <v>280.70000000120001</v>
      </c>
      <c r="BS4">
        <v>289.20000000110002</v>
      </c>
      <c r="BT4">
        <v>297.70000000099998</v>
      </c>
      <c r="BU4">
        <v>306.09999999979999</v>
      </c>
      <c r="BV4">
        <v>314.7000000008</v>
      </c>
      <c r="BW4">
        <v>323.40000000110001</v>
      </c>
      <c r="BX4">
        <v>331.90000000100002</v>
      </c>
      <c r="BY4">
        <v>340.10000000129997</v>
      </c>
      <c r="BZ4">
        <v>348.2000000004</v>
      </c>
      <c r="CA4">
        <v>356.20000000020002</v>
      </c>
      <c r="CB4">
        <v>364.49999999969998</v>
      </c>
      <c r="CC4">
        <v>372.49999999950001</v>
      </c>
      <c r="CD4">
        <v>380.4</v>
      </c>
      <c r="CE4">
        <v>388.20000000120001</v>
      </c>
      <c r="CF4">
        <v>395.70000000089999</v>
      </c>
      <c r="CG4">
        <v>403.09999999950003</v>
      </c>
      <c r="CH4">
        <v>410.79999999969999</v>
      </c>
      <c r="CI4">
        <v>418.30000000119998</v>
      </c>
      <c r="CJ4">
        <v>425.99999999950001</v>
      </c>
      <c r="CK4">
        <v>432.60000000010001</v>
      </c>
      <c r="CL4">
        <v>438.29999999979998</v>
      </c>
      <c r="CM4">
        <v>443.60000000050002</v>
      </c>
      <c r="CN4">
        <v>445.79999999950002</v>
      </c>
      <c r="CO4">
        <v>446.79999999969999</v>
      </c>
      <c r="CP4">
        <v>447.90000000100002</v>
      </c>
      <c r="CQ4">
        <v>449.09999999979999</v>
      </c>
      <c r="CR4">
        <v>449.50000000059998</v>
      </c>
      <c r="CS4">
        <v>449.50000000059998</v>
      </c>
      <c r="CT4">
        <v>449.70000000099998</v>
      </c>
      <c r="CU4">
        <v>449.70000000099998</v>
      </c>
      <c r="CV4">
        <v>449.70000000099998</v>
      </c>
      <c r="CW4">
        <v>449.80000000029997</v>
      </c>
      <c r="CX4">
        <v>449.80000000029997</v>
      </c>
      <c r="CY4">
        <v>449.89999999960003</v>
      </c>
      <c r="CZ4">
        <v>450.00000000070003</v>
      </c>
      <c r="DA4">
        <v>450.00000000070003</v>
      </c>
      <c r="DB4">
        <v>450.00000000070003</v>
      </c>
      <c r="DC4">
        <v>450.1</v>
      </c>
      <c r="DD4">
        <v>450.1</v>
      </c>
      <c r="DE4">
        <v>450.1</v>
      </c>
      <c r="DF4">
        <v>450.1</v>
      </c>
      <c r="DG4">
        <v>0.7000000005</v>
      </c>
      <c r="DH4">
        <v>0.90000000089999999</v>
      </c>
      <c r="DI4">
        <v>0.79999999980000003</v>
      </c>
      <c r="DJ4">
        <v>0.7000000005</v>
      </c>
      <c r="DK4">
        <v>0.90000000089999999</v>
      </c>
      <c r="DL4">
        <v>0.90000000089999999</v>
      </c>
      <c r="DM4">
        <v>0.90000000089999999</v>
      </c>
      <c r="DN4">
        <v>0.90000000089999999</v>
      </c>
      <c r="DO4">
        <v>1.0000000002</v>
      </c>
      <c r="DP4">
        <v>0.90000000089999999</v>
      </c>
      <c r="DQ4">
        <v>0.90000000089999999</v>
      </c>
      <c r="DR4">
        <v>0.90000000089999999</v>
      </c>
      <c r="DS4">
        <v>0.90000000089999999</v>
      </c>
      <c r="DT4">
        <v>0.79999999980000003</v>
      </c>
      <c r="DU4">
        <v>0.79999999980000003</v>
      </c>
      <c r="DV4">
        <v>0.90000000089999999</v>
      </c>
      <c r="DW4">
        <v>0.79999999980000003</v>
      </c>
      <c r="DX4">
        <v>0.79999999980000003</v>
      </c>
      <c r="DY4">
        <v>1.9000000011</v>
      </c>
      <c r="DZ4">
        <v>6.9999999996</v>
      </c>
      <c r="EA4">
        <v>14.5000000011</v>
      </c>
      <c r="EB4">
        <v>22.0000000008</v>
      </c>
      <c r="EC4">
        <v>29.800000000299999</v>
      </c>
      <c r="ED4">
        <v>37.5000000004</v>
      </c>
      <c r="EE4">
        <v>45.100000001200002</v>
      </c>
      <c r="EF4">
        <v>52.900000000600002</v>
      </c>
      <c r="EG4">
        <v>61.4000000005</v>
      </c>
      <c r="EH4">
        <v>69.800000001100003</v>
      </c>
      <c r="EI4">
        <v>78.199999999900001</v>
      </c>
      <c r="EJ4">
        <v>86.600000000500003</v>
      </c>
      <c r="EK4">
        <v>95.000000001199993</v>
      </c>
      <c r="EL4">
        <v>103.4</v>
      </c>
      <c r="EM4">
        <v>112.8000000008</v>
      </c>
      <c r="EN4">
        <v>122.00000000119999</v>
      </c>
      <c r="EO4">
        <v>130.6999999997</v>
      </c>
      <c r="EP4">
        <v>139.6000000004</v>
      </c>
      <c r="EQ4">
        <v>148.19999999960001</v>
      </c>
      <c r="ER4">
        <v>157.00000000110001</v>
      </c>
      <c r="ES4">
        <v>166.3000000008</v>
      </c>
      <c r="ET4">
        <v>175.60000000049999</v>
      </c>
      <c r="EU4">
        <v>184.50000000119999</v>
      </c>
      <c r="EV4">
        <v>193.60000000049999</v>
      </c>
      <c r="EW4">
        <v>202.50000000119999</v>
      </c>
      <c r="EX4">
        <v>211.50000000130001</v>
      </c>
      <c r="EY4">
        <v>220.6999999999</v>
      </c>
      <c r="EZ4">
        <v>229.99999999959999</v>
      </c>
      <c r="FA4">
        <v>238.99999999959999</v>
      </c>
      <c r="FB4">
        <v>247.9000000003</v>
      </c>
      <c r="FC4">
        <v>256.6999999999</v>
      </c>
      <c r="FD4">
        <v>265.800000001</v>
      </c>
      <c r="FE4">
        <v>274.99999999959999</v>
      </c>
      <c r="FF4">
        <v>283.99999999969998</v>
      </c>
      <c r="FG4">
        <v>292.60000000069999</v>
      </c>
      <c r="FH4">
        <v>301.300000001</v>
      </c>
      <c r="FI4">
        <v>309.99999999950001</v>
      </c>
      <c r="FJ4">
        <v>318.69999999980001</v>
      </c>
      <c r="FK4">
        <v>327.50000000120002</v>
      </c>
      <c r="FL4">
        <v>336.00000000109998</v>
      </c>
      <c r="FM4">
        <v>344.30000000069998</v>
      </c>
      <c r="FN4">
        <v>352.5000000009</v>
      </c>
      <c r="FO4">
        <v>360.70000000110002</v>
      </c>
      <c r="FP4">
        <v>368.89999999949998</v>
      </c>
      <c r="FQ4">
        <v>377.00000000040001</v>
      </c>
      <c r="FR4">
        <v>384.79999999979998</v>
      </c>
      <c r="FS4">
        <v>392.49999999990001</v>
      </c>
      <c r="FT4">
        <v>399.9000000003</v>
      </c>
      <c r="FU4">
        <v>407.19999999959998</v>
      </c>
      <c r="FV4">
        <v>414.80000000050001</v>
      </c>
      <c r="FW4">
        <v>422.09999999979999</v>
      </c>
      <c r="FX4">
        <v>429.10000000119999</v>
      </c>
      <c r="FY4">
        <v>434.50000000120002</v>
      </c>
      <c r="FZ4">
        <v>440.00000000049999</v>
      </c>
      <c r="GA4">
        <v>444.7</v>
      </c>
      <c r="GB4">
        <v>446.2999999996</v>
      </c>
      <c r="GC4">
        <v>447.29999999979998</v>
      </c>
      <c r="GD4">
        <v>448.40000000110001</v>
      </c>
      <c r="GE4">
        <v>449.30000000019999</v>
      </c>
      <c r="GF4">
        <v>449.70000000099998</v>
      </c>
      <c r="GG4">
        <v>449.80000000029997</v>
      </c>
      <c r="GH4">
        <v>449.80000000029997</v>
      </c>
      <c r="GI4">
        <v>449.89999999960003</v>
      </c>
      <c r="GJ4">
        <v>449.89999999960003</v>
      </c>
      <c r="GK4">
        <v>449.89999999960003</v>
      </c>
      <c r="GL4">
        <v>449.89999999960003</v>
      </c>
      <c r="GM4">
        <v>449.89999999960003</v>
      </c>
      <c r="GN4">
        <v>449.89999999960003</v>
      </c>
      <c r="GO4">
        <v>450.00000000070003</v>
      </c>
      <c r="GP4">
        <v>450.00000000070003</v>
      </c>
      <c r="GQ4">
        <v>450.00000000070003</v>
      </c>
      <c r="GR4">
        <v>450.00000000070003</v>
      </c>
      <c r="GS4">
        <v>450.1</v>
      </c>
      <c r="GT4">
        <v>450.00000000070003</v>
      </c>
      <c r="GU4">
        <v>450.00000000070003</v>
      </c>
      <c r="GV4">
        <v>450.1</v>
      </c>
      <c r="GW4">
        <v>1</v>
      </c>
      <c r="GX4">
        <v>102.0000000008</v>
      </c>
      <c r="GY4">
        <v>94.600000000400001</v>
      </c>
      <c r="GZ4">
        <v>94.600000000400001</v>
      </c>
      <c r="HA4">
        <v>112.8000000008</v>
      </c>
      <c r="HB4">
        <v>98.793157076699998</v>
      </c>
      <c r="HC4">
        <v>-18.200000000399999</v>
      </c>
      <c r="HD4">
        <v>450.1</v>
      </c>
      <c r="HE4">
        <v>321.72386136339998</v>
      </c>
      <c r="HF4">
        <v>84.897300600199998</v>
      </c>
      <c r="HG4">
        <v>450.1</v>
      </c>
      <c r="HH4">
        <v>450.1</v>
      </c>
      <c r="HI4">
        <v>450.1</v>
      </c>
      <c r="HJ4">
        <v>450.1</v>
      </c>
      <c r="HK4">
        <v>103.22580645159999</v>
      </c>
      <c r="HL4">
        <v>3.8603056371000002</v>
      </c>
      <c r="HM4">
        <v>3.6784745712000002</v>
      </c>
      <c r="HN4">
        <v>3.7245907308000001</v>
      </c>
      <c r="HO4">
        <v>3.3995286389000001</v>
      </c>
      <c r="HP4">
        <v>3.8390890482</v>
      </c>
      <c r="HQ4">
        <v>3.1955676504000001</v>
      </c>
      <c r="HR4">
        <v>13.895856476500001</v>
      </c>
      <c r="HS4">
        <v>-23.460410557199999</v>
      </c>
      <c r="HT4">
        <v>-160</v>
      </c>
      <c r="HU4">
        <v>420.5170184401</v>
      </c>
      <c r="HV4">
        <v>84.457478005900001</v>
      </c>
      <c r="HW4">
        <v>576</v>
      </c>
      <c r="HX4">
        <v>13.895856476500001</v>
      </c>
      <c r="HY4">
        <v>-23.460410557199999</v>
      </c>
      <c r="HZ4">
        <v>-160</v>
      </c>
      <c r="IA4">
        <v>420.5170184401</v>
      </c>
      <c r="IB4">
        <v>84.457478005900001</v>
      </c>
      <c r="IC4">
        <v>576</v>
      </c>
      <c r="ID4">
        <v>29.582981559899999</v>
      </c>
      <c r="IE4">
        <v>0.30391024189999999</v>
      </c>
      <c r="IF4">
        <v>-32.844574780099997</v>
      </c>
      <c r="IG4">
        <v>-224</v>
      </c>
      <c r="IH4">
        <v>444.39219062429999</v>
      </c>
      <c r="II4">
        <v>93.841642228699996</v>
      </c>
      <c r="IJ4">
        <v>640</v>
      </c>
      <c r="IK4">
        <v>406.6211619636</v>
      </c>
      <c r="IL4">
        <v>107.91788856300001</v>
      </c>
      <c r="IM4">
        <v>432.11530771069999</v>
      </c>
      <c r="IN4">
        <v>117.3020527859</v>
      </c>
      <c r="IO4">
        <v>7.6000000007999997</v>
      </c>
      <c r="IP4">
        <v>7.0000000014000001</v>
      </c>
      <c r="IQ4">
        <v>9.4000000008000004</v>
      </c>
      <c r="IR4">
        <v>2.2715170949000001</v>
      </c>
      <c r="IS4">
        <v>2.2715170949000001</v>
      </c>
      <c r="IT4">
        <v>16.700000000100001</v>
      </c>
      <c r="IU4">
        <v>-23.460410557199999</v>
      </c>
      <c r="IV4">
        <v>21.400000001399999</v>
      </c>
      <c r="IW4">
        <v>56.304985337200002</v>
      </c>
      <c r="IX4">
        <v>14.000000001</v>
      </c>
      <c r="IY4">
        <v>91.495601172999997</v>
      </c>
      <c r="IZ4">
        <v>-27.401525051299998</v>
      </c>
      <c r="JA4">
        <v>0.296885173</v>
      </c>
      <c r="JB4">
        <v>-2.382695E-4</v>
      </c>
      <c r="JC4">
        <v>3.904E-7</v>
      </c>
      <c r="JD4">
        <v>0.259046846</v>
      </c>
      <c r="JE4">
        <v>0.16072888969999999</v>
      </c>
      <c r="JF4">
        <v>7.67814317E-2</v>
      </c>
      <c r="JG4">
        <v>98.928955666999997</v>
      </c>
      <c r="JH4">
        <v>3.8390890482</v>
      </c>
      <c r="JI4">
        <v>6.5033775E-3</v>
      </c>
      <c r="JJ4">
        <v>-8.1406800000000001E-5</v>
      </c>
      <c r="JK4">
        <v>3.8603056371000002</v>
      </c>
      <c r="JL4">
        <v>0.5134993243</v>
      </c>
      <c r="JM4">
        <v>0.20791913309999999</v>
      </c>
      <c r="JN4" t="s">
        <v>538</v>
      </c>
      <c r="JQ4">
        <v>1</v>
      </c>
    </row>
    <row r="5" spans="1:277">
      <c r="A5" t="s">
        <v>572</v>
      </c>
      <c r="B5" t="s">
        <v>573</v>
      </c>
      <c r="C5" t="s">
        <v>211</v>
      </c>
      <c r="D5">
        <v>3</v>
      </c>
      <c r="E5" t="s">
        <v>212</v>
      </c>
      <c r="F5" t="s">
        <v>213</v>
      </c>
      <c r="G5" t="s">
        <v>537</v>
      </c>
      <c r="H5" t="s">
        <v>215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0.19999999860000001</v>
      </c>
      <c r="R5">
        <v>9.9999999300000003E-2</v>
      </c>
      <c r="S5">
        <v>0.19999999860000001</v>
      </c>
      <c r="T5">
        <v>9.9999999300000003E-2</v>
      </c>
      <c r="U5">
        <v>9.9999999300000003E-2</v>
      </c>
      <c r="V5">
        <v>0.19999999860000001</v>
      </c>
      <c r="W5">
        <v>9.9999999300000003E-2</v>
      </c>
      <c r="X5">
        <v>9.9999999300000003E-2</v>
      </c>
      <c r="Y5">
        <v>9.9999999300000003E-2</v>
      </c>
      <c r="Z5">
        <v>9.9999999300000003E-2</v>
      </c>
      <c r="AA5">
        <v>9.9999999300000003E-2</v>
      </c>
      <c r="AB5">
        <v>9.9999999300000003E-2</v>
      </c>
      <c r="AC5">
        <v>9.9999999300000003E-2</v>
      </c>
      <c r="AD5">
        <v>9.9999999300000003E-2</v>
      </c>
      <c r="AE5">
        <v>9.9999999300000003E-2</v>
      </c>
      <c r="AF5">
        <v>0</v>
      </c>
      <c r="AG5">
        <v>9.9999999300000003E-2</v>
      </c>
      <c r="AH5">
        <v>9.9999999300000003E-2</v>
      </c>
      <c r="AI5">
        <v>9.9999999300000003E-2</v>
      </c>
      <c r="AJ5">
        <v>9.9999999300000003E-2</v>
      </c>
      <c r="AK5">
        <v>9.9999999300000003E-2</v>
      </c>
      <c r="AL5">
        <v>0.19999999860000001</v>
      </c>
      <c r="AM5">
        <v>2.8999999994999999</v>
      </c>
      <c r="AN5">
        <v>9.3999999990000003</v>
      </c>
      <c r="AO5">
        <v>16.799999999400001</v>
      </c>
      <c r="AP5">
        <v>24.599999998800001</v>
      </c>
      <c r="AQ5">
        <v>32.4000000001</v>
      </c>
      <c r="AR5">
        <v>40.199999999500001</v>
      </c>
      <c r="AS5">
        <v>48.199999999299997</v>
      </c>
      <c r="AT5">
        <v>56.699999999200003</v>
      </c>
      <c r="AU5">
        <v>65.199999999100001</v>
      </c>
      <c r="AV5">
        <v>73.399999999299993</v>
      </c>
      <c r="AW5">
        <v>81.899999999200006</v>
      </c>
      <c r="AX5">
        <v>90.299999999799994</v>
      </c>
      <c r="AY5">
        <v>98.699999998600006</v>
      </c>
      <c r="AZ5">
        <v>107.5999999994</v>
      </c>
      <c r="BA5">
        <v>116.29999999970001</v>
      </c>
      <c r="BB5">
        <v>124.6999999985</v>
      </c>
      <c r="BC5">
        <v>133.29999999949999</v>
      </c>
      <c r="BD5">
        <v>141.7999999994</v>
      </c>
      <c r="BE5">
        <v>150.19999999999999</v>
      </c>
      <c r="BF5">
        <v>159.2000000001</v>
      </c>
      <c r="BG5">
        <v>168.099999999</v>
      </c>
      <c r="BH5">
        <v>176.7</v>
      </c>
      <c r="BI5">
        <v>185.2999999992</v>
      </c>
      <c r="BJ5">
        <v>193.79999999910001</v>
      </c>
      <c r="BK5">
        <v>202.1999999997</v>
      </c>
      <c r="BL5">
        <v>211.0999999986</v>
      </c>
      <c r="BM5">
        <v>219.79999999890001</v>
      </c>
      <c r="BN5">
        <v>228.4</v>
      </c>
      <c r="BO5">
        <v>236.79999999879999</v>
      </c>
      <c r="BP5">
        <v>245.19999999940001</v>
      </c>
      <c r="BQ5">
        <v>253.3999999996</v>
      </c>
      <c r="BR5">
        <v>261.89999999949998</v>
      </c>
      <c r="BS5">
        <v>270.39999999939999</v>
      </c>
      <c r="BT5">
        <v>278.8</v>
      </c>
      <c r="BU5">
        <v>287.09999999960002</v>
      </c>
      <c r="BV5">
        <v>295.19999999869998</v>
      </c>
      <c r="BW5">
        <v>303.1999999985</v>
      </c>
      <c r="BX5">
        <v>311.09999999899998</v>
      </c>
      <c r="BY5">
        <v>319.2999999992</v>
      </c>
      <c r="BZ5">
        <v>327.40000000010002</v>
      </c>
      <c r="CA5">
        <v>335.49999999919999</v>
      </c>
      <c r="CB5">
        <v>343.29999999860001</v>
      </c>
      <c r="CC5">
        <v>350.89999999949998</v>
      </c>
      <c r="CD5">
        <v>358.29999999990002</v>
      </c>
      <c r="CE5">
        <v>366.0999999993</v>
      </c>
      <c r="CF5">
        <v>373.79999999939997</v>
      </c>
      <c r="CG5">
        <v>381.40000000020001</v>
      </c>
      <c r="CH5">
        <v>388.69999999949999</v>
      </c>
      <c r="CI5">
        <v>395.99999999879998</v>
      </c>
      <c r="CJ5">
        <v>403.00000000019998</v>
      </c>
      <c r="CK5">
        <v>409.99999999990001</v>
      </c>
      <c r="CL5">
        <v>417.0999999988</v>
      </c>
      <c r="CM5">
        <v>424.19999999949999</v>
      </c>
      <c r="CN5">
        <v>431.09999999979999</v>
      </c>
      <c r="CO5">
        <v>437.1999999985</v>
      </c>
      <c r="CP5">
        <v>443.29999999900002</v>
      </c>
      <c r="CQ5">
        <v>449.19999999909999</v>
      </c>
      <c r="CR5">
        <v>452.49999999940002</v>
      </c>
      <c r="CS5">
        <v>452.79999999910001</v>
      </c>
      <c r="CT5">
        <v>452.90000000020001</v>
      </c>
      <c r="CU5">
        <v>452.90000000020001</v>
      </c>
      <c r="CV5">
        <v>452.90000000020001</v>
      </c>
      <c r="CW5">
        <v>452.99999999950001</v>
      </c>
      <c r="CX5">
        <v>452.99999999950001</v>
      </c>
      <c r="CY5">
        <v>452.99999999950001</v>
      </c>
      <c r="CZ5">
        <v>452.99999999950001</v>
      </c>
      <c r="DA5">
        <v>452.99999999950001</v>
      </c>
      <c r="DB5">
        <v>452.99999999950001</v>
      </c>
      <c r="DC5">
        <v>453.0999999988</v>
      </c>
      <c r="DD5">
        <v>453.0999999988</v>
      </c>
      <c r="DE5">
        <v>453.0999999988</v>
      </c>
      <c r="DF5">
        <v>453.0999999988</v>
      </c>
      <c r="DG5">
        <v>0.50000000010000001</v>
      </c>
      <c r="DH5">
        <v>0.69999999869999996</v>
      </c>
      <c r="DI5">
        <v>0.69999999869999996</v>
      </c>
      <c r="DJ5">
        <v>0.69999999869999996</v>
      </c>
      <c r="DK5">
        <v>0.69999999869999996</v>
      </c>
      <c r="DL5">
        <v>0.69999999869999996</v>
      </c>
      <c r="DM5">
        <v>0.69999999869999996</v>
      </c>
      <c r="DN5">
        <v>0.69999999869999996</v>
      </c>
      <c r="DO5">
        <v>0.59999999940000004</v>
      </c>
      <c r="DP5">
        <v>0.59999999940000004</v>
      </c>
      <c r="DQ5">
        <v>0.59999999940000004</v>
      </c>
      <c r="DR5">
        <v>0.59999999940000004</v>
      </c>
      <c r="DS5">
        <v>0.59999999940000004</v>
      </c>
      <c r="DT5">
        <v>0.59999999940000004</v>
      </c>
      <c r="DU5">
        <v>0.59999999940000004</v>
      </c>
      <c r="DV5">
        <v>0.59999999940000004</v>
      </c>
      <c r="DW5">
        <v>0.59999999940000004</v>
      </c>
      <c r="DX5">
        <v>0.59999999940000004</v>
      </c>
      <c r="DY5">
        <v>0.69999999869999996</v>
      </c>
      <c r="DZ5">
        <v>0.69999999869999996</v>
      </c>
      <c r="EA5">
        <v>3.3999999995999999</v>
      </c>
      <c r="EB5">
        <v>10.4999999985</v>
      </c>
      <c r="EC5">
        <v>17.799999999600001</v>
      </c>
      <c r="ED5">
        <v>25.599999999000001</v>
      </c>
      <c r="EE5">
        <v>33.399999998399998</v>
      </c>
      <c r="EF5">
        <v>41.099999998599998</v>
      </c>
      <c r="EG5">
        <v>48.999999999099998</v>
      </c>
      <c r="EH5">
        <v>57.3999999997</v>
      </c>
      <c r="EI5">
        <v>65.599999999900007</v>
      </c>
      <c r="EJ5">
        <v>73.800000000099999</v>
      </c>
      <c r="EK5">
        <v>82.3</v>
      </c>
      <c r="EL5">
        <v>90.500000000200004</v>
      </c>
      <c r="EM5">
        <v>98.899999999000002</v>
      </c>
      <c r="EN5">
        <v>107.69999999869999</v>
      </c>
      <c r="EO5">
        <v>116.5999999994</v>
      </c>
      <c r="EP5">
        <v>125</v>
      </c>
      <c r="EQ5">
        <v>133.6999999985</v>
      </c>
      <c r="ER5">
        <v>142.20000000019999</v>
      </c>
      <c r="ES5">
        <v>150.8999999987</v>
      </c>
      <c r="ET5">
        <v>159.70000000019999</v>
      </c>
      <c r="EU5">
        <v>168.70000000019999</v>
      </c>
      <c r="EV5">
        <v>177.59999999909999</v>
      </c>
      <c r="EW5">
        <v>186.3999999987</v>
      </c>
      <c r="EX5">
        <v>194.99999999970001</v>
      </c>
      <c r="EY5">
        <v>203.59999999889999</v>
      </c>
      <c r="EZ5">
        <v>212.49999999959999</v>
      </c>
      <c r="FA5">
        <v>221.49999999970001</v>
      </c>
      <c r="FB5">
        <v>230.29999999930001</v>
      </c>
      <c r="FC5">
        <v>238.99999999959999</v>
      </c>
      <c r="FD5">
        <v>247.49999999950001</v>
      </c>
      <c r="FE5">
        <v>255.90000000009999</v>
      </c>
      <c r="FF5">
        <v>264.59999999860003</v>
      </c>
      <c r="FG5">
        <v>273.39999999999998</v>
      </c>
      <c r="FH5">
        <v>282.09999999849998</v>
      </c>
      <c r="FI5">
        <v>290.39999999989999</v>
      </c>
      <c r="FJ5">
        <v>298.60000000010001</v>
      </c>
      <c r="FK5">
        <v>306.69999999919997</v>
      </c>
      <c r="FL5">
        <v>314.99999999869999</v>
      </c>
      <c r="FM5">
        <v>323.39999999930001</v>
      </c>
      <c r="FN5">
        <v>331.59999999950003</v>
      </c>
      <c r="FO5">
        <v>339.5999999993</v>
      </c>
      <c r="FP5">
        <v>347.29999999939997</v>
      </c>
      <c r="FQ5">
        <v>354.99999999959999</v>
      </c>
      <c r="FR5">
        <v>362.59999999860003</v>
      </c>
      <c r="FS5">
        <v>370.2999999987</v>
      </c>
      <c r="FT5">
        <v>377.99999999879998</v>
      </c>
      <c r="FU5">
        <v>385.49999999850002</v>
      </c>
      <c r="FV5">
        <v>392.7999999996</v>
      </c>
      <c r="FW5">
        <v>399.7999999992</v>
      </c>
      <c r="FX5">
        <v>406.69999999949999</v>
      </c>
      <c r="FY5">
        <v>413.49999999869999</v>
      </c>
      <c r="FZ5">
        <v>420.50000000019998</v>
      </c>
      <c r="GA5">
        <v>427.29999999939997</v>
      </c>
      <c r="GB5">
        <v>433.1000000002</v>
      </c>
      <c r="GC5">
        <v>438.69999999880002</v>
      </c>
      <c r="GD5">
        <v>444.2999999992</v>
      </c>
      <c r="GE5">
        <v>449.39999999949998</v>
      </c>
      <c r="GF5">
        <v>452.49999999940002</v>
      </c>
      <c r="GG5">
        <v>452.79999999910001</v>
      </c>
      <c r="GH5">
        <v>452.90000000020001</v>
      </c>
      <c r="GI5">
        <v>452.90000000020001</v>
      </c>
      <c r="GJ5">
        <v>452.90000000020001</v>
      </c>
      <c r="GK5">
        <v>452.90000000020001</v>
      </c>
      <c r="GL5">
        <v>452.99999999950001</v>
      </c>
      <c r="GM5">
        <v>452.99999999950001</v>
      </c>
      <c r="GN5">
        <v>452.99999999950001</v>
      </c>
      <c r="GO5">
        <v>452.99999999950001</v>
      </c>
      <c r="GP5">
        <v>452.99999999950001</v>
      </c>
      <c r="GQ5">
        <v>452.99999999950001</v>
      </c>
      <c r="GR5">
        <v>452.99999999950001</v>
      </c>
      <c r="GS5">
        <v>453.0999999988</v>
      </c>
      <c r="GT5">
        <v>452.99999999950001</v>
      </c>
      <c r="GU5">
        <v>453.0999999988</v>
      </c>
      <c r="GV5">
        <v>453.0999999988</v>
      </c>
      <c r="GW5">
        <v>1</v>
      </c>
      <c r="GX5">
        <v>88.300000001300006</v>
      </c>
      <c r="GY5">
        <v>81.899999999200006</v>
      </c>
      <c r="GZ5">
        <v>81.899999999200006</v>
      </c>
      <c r="HA5">
        <v>98.899999999000002</v>
      </c>
      <c r="HB5">
        <v>85.291745750700002</v>
      </c>
      <c r="HC5">
        <v>-16.9999999998</v>
      </c>
      <c r="HD5">
        <v>453.0999999988</v>
      </c>
      <c r="HE5">
        <v>340.6929044364</v>
      </c>
      <c r="HF5">
        <v>67.572169498799994</v>
      </c>
      <c r="HG5">
        <v>453.0999999988</v>
      </c>
      <c r="HH5">
        <v>453.0999999988</v>
      </c>
      <c r="HI5">
        <v>453.0999999988</v>
      </c>
      <c r="HJ5">
        <v>453.0999999988</v>
      </c>
      <c r="HK5">
        <v>105.57184750730001</v>
      </c>
      <c r="HL5">
        <v>3.7063525837000002</v>
      </c>
      <c r="HM5">
        <v>3.5373233823999999</v>
      </c>
      <c r="HN5">
        <v>3.5867796399</v>
      </c>
      <c r="HO5">
        <v>3.4807799405000002</v>
      </c>
      <c r="HP5">
        <v>3.7401507199999999</v>
      </c>
      <c r="HQ5">
        <v>2.9318130280000001</v>
      </c>
      <c r="HR5">
        <v>17.7195762518</v>
      </c>
      <c r="HS5">
        <v>-18.7683284457</v>
      </c>
      <c r="HT5">
        <v>-128</v>
      </c>
      <c r="HU5">
        <v>425.984650187</v>
      </c>
      <c r="HV5">
        <v>93.841642228699996</v>
      </c>
      <c r="HW5">
        <v>640</v>
      </c>
      <c r="HX5">
        <v>17.7195762518</v>
      </c>
      <c r="HY5">
        <v>-18.7683284457</v>
      </c>
      <c r="HZ5">
        <v>-128</v>
      </c>
      <c r="IA5">
        <v>425.984650187</v>
      </c>
      <c r="IB5">
        <v>93.841642228699996</v>
      </c>
      <c r="IC5">
        <v>640</v>
      </c>
      <c r="ID5">
        <v>27.115349811800002</v>
      </c>
      <c r="IE5">
        <v>0.1127455301</v>
      </c>
      <c r="IF5">
        <v>-28.152492668600001</v>
      </c>
      <c r="IG5">
        <v>-192</v>
      </c>
      <c r="IH5">
        <v>449.13612888940003</v>
      </c>
      <c r="II5">
        <v>103.22580645159999</v>
      </c>
      <c r="IJ5">
        <v>704</v>
      </c>
      <c r="IK5">
        <v>408.26507393520001</v>
      </c>
      <c r="IL5">
        <v>112.6099706745</v>
      </c>
      <c r="IM5">
        <v>434.76680644380002</v>
      </c>
      <c r="IN5">
        <v>121.9941348974</v>
      </c>
      <c r="IO5">
        <v>7.4000000004000004</v>
      </c>
      <c r="IP5">
        <v>6.1000000004999997</v>
      </c>
      <c r="IQ5">
        <v>9</v>
      </c>
      <c r="IR5">
        <v>3.1331105199999998</v>
      </c>
      <c r="IS5">
        <v>3.1331105199999998</v>
      </c>
      <c r="IT5">
        <v>16.2</v>
      </c>
      <c r="IU5">
        <v>-21.114369501500001</v>
      </c>
      <c r="IV5">
        <v>20.500000000499998</v>
      </c>
      <c r="IW5">
        <v>63.3431085044</v>
      </c>
      <c r="IX5">
        <v>13.199999999399999</v>
      </c>
      <c r="IY5">
        <v>100.87976539589999</v>
      </c>
      <c r="IZ5">
        <v>-23.908561430300001</v>
      </c>
      <c r="JA5">
        <v>0.2958106277</v>
      </c>
      <c r="JB5">
        <v>-2.1176849999999999E-4</v>
      </c>
      <c r="JC5">
        <v>3.883E-7</v>
      </c>
      <c r="JD5">
        <v>0.2698070347</v>
      </c>
      <c r="JE5">
        <v>0.1509279036</v>
      </c>
      <c r="JF5">
        <v>6.4001576000000004E-2</v>
      </c>
      <c r="JG5">
        <v>85.3616297218</v>
      </c>
      <c r="JH5">
        <v>3.7401507199999999</v>
      </c>
      <c r="JI5">
        <v>5.0403456999999997E-3</v>
      </c>
      <c r="JJ5">
        <v>-6.6404599999999998E-5</v>
      </c>
      <c r="JK5">
        <v>3.7063525837000002</v>
      </c>
      <c r="JL5">
        <v>0.37710251309999998</v>
      </c>
      <c r="JM5">
        <v>0.13608925520000001</v>
      </c>
      <c r="JN5" t="s">
        <v>538</v>
      </c>
      <c r="JQ5">
        <v>1</v>
      </c>
    </row>
    <row r="6" spans="1:277">
      <c r="A6" t="s">
        <v>585</v>
      </c>
      <c r="B6" t="s">
        <v>586</v>
      </c>
      <c r="C6" t="s">
        <v>211</v>
      </c>
      <c r="D6">
        <v>3</v>
      </c>
      <c r="E6" t="s">
        <v>212</v>
      </c>
      <c r="F6" t="s">
        <v>213</v>
      </c>
      <c r="G6" t="s">
        <v>537</v>
      </c>
      <c r="H6" t="s">
        <v>215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0</v>
      </c>
      <c r="R6">
        <v>0.29999999970000002</v>
      </c>
      <c r="S6">
        <v>0.29999999970000002</v>
      </c>
      <c r="T6">
        <v>0.29999999970000002</v>
      </c>
      <c r="U6">
        <v>0.40000000079999998</v>
      </c>
      <c r="V6">
        <v>0.40000000079999998</v>
      </c>
      <c r="W6">
        <v>0.40000000079999998</v>
      </c>
      <c r="X6">
        <v>0.50000000010000001</v>
      </c>
      <c r="Y6">
        <v>0.50000000010000001</v>
      </c>
      <c r="Z6">
        <v>0.59999999940000004</v>
      </c>
      <c r="AA6">
        <v>0.59999999940000004</v>
      </c>
      <c r="AB6">
        <v>0.59999999940000004</v>
      </c>
      <c r="AC6">
        <v>0.7000000005</v>
      </c>
      <c r="AD6">
        <v>0.59999999940000004</v>
      </c>
      <c r="AE6">
        <v>0.7000000005</v>
      </c>
      <c r="AF6">
        <v>0.7000000005</v>
      </c>
      <c r="AG6">
        <v>0.79999999980000003</v>
      </c>
      <c r="AH6">
        <v>0.90000000089999999</v>
      </c>
      <c r="AI6">
        <v>1.0000000002</v>
      </c>
      <c r="AJ6">
        <v>1.0999999995</v>
      </c>
      <c r="AK6">
        <v>2.3999999993999999</v>
      </c>
      <c r="AL6">
        <v>6.4000000002000004</v>
      </c>
      <c r="AM6">
        <v>12.699999999299999</v>
      </c>
      <c r="AN6">
        <v>20.0000000004</v>
      </c>
      <c r="AO6">
        <v>27.599999999400001</v>
      </c>
      <c r="AP6">
        <v>35.200000000300001</v>
      </c>
      <c r="AQ6">
        <v>43.999999999899998</v>
      </c>
      <c r="AR6">
        <v>52.799999999500002</v>
      </c>
      <c r="AS6">
        <v>60.7</v>
      </c>
      <c r="AT6">
        <v>68.499999999400004</v>
      </c>
      <c r="AU6">
        <v>76.900000000000006</v>
      </c>
      <c r="AV6">
        <v>85.000000000900002</v>
      </c>
      <c r="AW6">
        <v>94.4999999992</v>
      </c>
      <c r="AX6">
        <v>104.49999999950001</v>
      </c>
      <c r="AY6">
        <v>113.1999999998</v>
      </c>
      <c r="AZ6">
        <v>121.4999999993</v>
      </c>
      <c r="BA6">
        <v>130.19999999960001</v>
      </c>
      <c r="BB6">
        <v>138.5000000009</v>
      </c>
      <c r="BC6">
        <v>148.19999999960001</v>
      </c>
      <c r="BD6">
        <v>157.3000000008</v>
      </c>
      <c r="BE6">
        <v>165.60000000030001</v>
      </c>
      <c r="BF6">
        <v>174.1000000002</v>
      </c>
      <c r="BG6">
        <v>183.0000000009</v>
      </c>
      <c r="BH6">
        <v>191.80000000050001</v>
      </c>
      <c r="BI6">
        <v>201.0000000009</v>
      </c>
      <c r="BJ6">
        <v>209.69999999940001</v>
      </c>
      <c r="BK6">
        <v>218.1</v>
      </c>
      <c r="BL6">
        <v>226.69999999929999</v>
      </c>
      <c r="BM6">
        <v>235.5000000007</v>
      </c>
      <c r="BN6">
        <v>244.3000000003</v>
      </c>
      <c r="BO6">
        <v>253.1999999992</v>
      </c>
      <c r="BP6">
        <v>261.80000000019999</v>
      </c>
      <c r="BQ6">
        <v>269.8</v>
      </c>
      <c r="BR6">
        <v>278.09999999950003</v>
      </c>
      <c r="BS6">
        <v>286.79999999990002</v>
      </c>
      <c r="BT6">
        <v>295.40000000089998</v>
      </c>
      <c r="BU6">
        <v>303.79999999969999</v>
      </c>
      <c r="BV6">
        <v>311.90000000060002</v>
      </c>
      <c r="BW6">
        <v>319.7</v>
      </c>
      <c r="BX6">
        <v>327.90000000020001</v>
      </c>
      <c r="BY6">
        <v>336.30000000080003</v>
      </c>
      <c r="BZ6">
        <v>344.60000000039997</v>
      </c>
      <c r="CA6">
        <v>352.6000000002</v>
      </c>
      <c r="CB6">
        <v>360.30000000029997</v>
      </c>
      <c r="CC6">
        <v>367.70000000070002</v>
      </c>
      <c r="CD6">
        <v>375.0999999993</v>
      </c>
      <c r="CE6">
        <v>382.90000000049997</v>
      </c>
      <c r="CF6">
        <v>390.7999999992</v>
      </c>
      <c r="CG6">
        <v>398.49999999929997</v>
      </c>
      <c r="CH6">
        <v>405.89999999970001</v>
      </c>
      <c r="CI6">
        <v>413.09999999979999</v>
      </c>
      <c r="CJ6">
        <v>420.09999999939998</v>
      </c>
      <c r="CK6">
        <v>427.10000000079998</v>
      </c>
      <c r="CL6">
        <v>434.30000000080003</v>
      </c>
      <c r="CM6">
        <v>441.39999999970001</v>
      </c>
      <c r="CN6">
        <v>447.20000000049998</v>
      </c>
      <c r="CO6">
        <v>452.69999999980001</v>
      </c>
      <c r="CP6">
        <v>458.00000000049999</v>
      </c>
      <c r="CQ6">
        <v>459.60000000010001</v>
      </c>
      <c r="CR6">
        <v>459.60000000010001</v>
      </c>
      <c r="CS6">
        <v>459.60000000010001</v>
      </c>
      <c r="CT6">
        <v>459.50000000080001</v>
      </c>
      <c r="CU6">
        <v>459.50000000080001</v>
      </c>
      <c r="CV6">
        <v>459.50000000080001</v>
      </c>
      <c r="CW6">
        <v>459.30000000040002</v>
      </c>
      <c r="CX6">
        <v>459.30000000040002</v>
      </c>
      <c r="CY6">
        <v>459.39999999970001</v>
      </c>
      <c r="CZ6">
        <v>459.30000000040002</v>
      </c>
      <c r="DA6">
        <v>459.30000000040002</v>
      </c>
      <c r="DB6">
        <v>459.30000000040002</v>
      </c>
      <c r="DC6">
        <v>459.30000000040002</v>
      </c>
      <c r="DD6">
        <v>459.30000000040002</v>
      </c>
      <c r="DE6">
        <v>459.19999999930002</v>
      </c>
      <c r="DF6">
        <v>459.1</v>
      </c>
      <c r="DG6">
        <v>1.2000000006</v>
      </c>
      <c r="DH6">
        <v>1.5999999996000001</v>
      </c>
      <c r="DI6">
        <v>1.5000000003</v>
      </c>
      <c r="DJ6">
        <v>1.3999999992000001</v>
      </c>
      <c r="DK6">
        <v>1.2999999999</v>
      </c>
      <c r="DL6">
        <v>1.2999999999</v>
      </c>
      <c r="DM6">
        <v>1.0999999995</v>
      </c>
      <c r="DN6">
        <v>1.2999999999</v>
      </c>
      <c r="DO6">
        <v>1.0999999995</v>
      </c>
      <c r="DP6">
        <v>1.2999999999</v>
      </c>
      <c r="DQ6">
        <v>1.2999999999</v>
      </c>
      <c r="DR6">
        <v>1.5000000003</v>
      </c>
      <c r="DS6">
        <v>1.5000000003</v>
      </c>
      <c r="DT6">
        <v>1.7000000007</v>
      </c>
      <c r="DU6">
        <v>1.8</v>
      </c>
      <c r="DV6">
        <v>1.8</v>
      </c>
      <c r="DW6">
        <v>1.8999999993000001</v>
      </c>
      <c r="DX6">
        <v>2.0000000004</v>
      </c>
      <c r="DY6">
        <v>2.5999999998000001</v>
      </c>
      <c r="DZ6">
        <v>6.7999999991999998</v>
      </c>
      <c r="EA6">
        <v>13.699999999499999</v>
      </c>
      <c r="EB6">
        <v>21.0999999999</v>
      </c>
      <c r="EC6">
        <v>28.500000000299998</v>
      </c>
      <c r="ED6">
        <v>36.5999999995</v>
      </c>
      <c r="EE6">
        <v>45.299999999800001</v>
      </c>
      <c r="EF6">
        <v>53.400000000699997</v>
      </c>
      <c r="EG6">
        <v>61.200000000099998</v>
      </c>
      <c r="EH6">
        <v>69.100000000600005</v>
      </c>
      <c r="EI6">
        <v>77.100000000400001</v>
      </c>
      <c r="EJ6">
        <v>85.300000000599994</v>
      </c>
      <c r="EK6">
        <v>94.699999999599996</v>
      </c>
      <c r="EL6">
        <v>103.9999999994</v>
      </c>
      <c r="EM6">
        <v>113.1000000005</v>
      </c>
      <c r="EN6">
        <v>121.90000000009999</v>
      </c>
      <c r="EO6">
        <v>130.4</v>
      </c>
      <c r="EP6">
        <v>139.4</v>
      </c>
      <c r="EQ6">
        <v>148.6999999997</v>
      </c>
      <c r="ER6">
        <v>157.6999999997</v>
      </c>
      <c r="ES6">
        <v>166.1999999997</v>
      </c>
      <c r="ET6">
        <v>174.69999999960001</v>
      </c>
      <c r="EU6">
        <v>183.80000000070001</v>
      </c>
      <c r="EV6">
        <v>192.9999999993</v>
      </c>
      <c r="EW6">
        <v>201.9999999993</v>
      </c>
      <c r="EX6">
        <v>210.9</v>
      </c>
      <c r="EY6">
        <v>219.30000000070001</v>
      </c>
      <c r="EZ6">
        <v>228.19999999960001</v>
      </c>
      <c r="FA6">
        <v>237.4</v>
      </c>
      <c r="FB6">
        <v>246.4</v>
      </c>
      <c r="FC6">
        <v>255.30000000070001</v>
      </c>
      <c r="FD6">
        <v>263.99999999919999</v>
      </c>
      <c r="FE6">
        <v>272.10000000010001</v>
      </c>
      <c r="FF6">
        <v>280.80000000050001</v>
      </c>
      <c r="FG6">
        <v>289.69999999940001</v>
      </c>
      <c r="FH6">
        <v>298.50000000080001</v>
      </c>
      <c r="FI6">
        <v>307.19999999930002</v>
      </c>
      <c r="FJ6">
        <v>315.30000000019999</v>
      </c>
      <c r="FK6">
        <v>323.20000000070002</v>
      </c>
      <c r="FL6">
        <v>331.59999999950003</v>
      </c>
      <c r="FM6">
        <v>340.09999999939998</v>
      </c>
      <c r="FN6">
        <v>348.40000000079999</v>
      </c>
      <c r="FO6">
        <v>356.40000000060002</v>
      </c>
      <c r="FP6">
        <v>364.2</v>
      </c>
      <c r="FQ6">
        <v>371.69999999970003</v>
      </c>
      <c r="FR6">
        <v>379.19999999940001</v>
      </c>
      <c r="FS6">
        <v>387.09999999989998</v>
      </c>
      <c r="FT6">
        <v>394.89999999930001</v>
      </c>
      <c r="FU6">
        <v>402.40000000089998</v>
      </c>
      <c r="FV6">
        <v>409.60000000090002</v>
      </c>
      <c r="FW6">
        <v>416.60000000050002</v>
      </c>
      <c r="FX6">
        <v>423.30000000040002</v>
      </c>
      <c r="FY6">
        <v>430.20000000070002</v>
      </c>
      <c r="FZ6">
        <v>437.2999999996</v>
      </c>
      <c r="GA6">
        <v>443.30000000080003</v>
      </c>
      <c r="GB6">
        <v>448.00000000030002</v>
      </c>
      <c r="GC6">
        <v>453.1999999999</v>
      </c>
      <c r="GD6">
        <v>458.00000000049999</v>
      </c>
      <c r="GE6">
        <v>459.30000000040002</v>
      </c>
      <c r="GF6">
        <v>459.39999999970001</v>
      </c>
      <c r="GG6">
        <v>459.30000000040002</v>
      </c>
      <c r="GH6">
        <v>459.30000000040002</v>
      </c>
      <c r="GI6">
        <v>459.30000000040002</v>
      </c>
      <c r="GJ6">
        <v>459.19999999930002</v>
      </c>
      <c r="GK6">
        <v>459.19999999930002</v>
      </c>
      <c r="GL6">
        <v>459.19999999930002</v>
      </c>
      <c r="GM6">
        <v>459.19999999930002</v>
      </c>
      <c r="GN6">
        <v>459.1</v>
      </c>
      <c r="GO6">
        <v>459.1</v>
      </c>
      <c r="GP6">
        <v>459.1</v>
      </c>
      <c r="GQ6">
        <v>459.00000000070003</v>
      </c>
      <c r="GR6">
        <v>459.00000000070003</v>
      </c>
      <c r="GS6">
        <v>459.1</v>
      </c>
      <c r="GT6">
        <v>459.00000000070003</v>
      </c>
      <c r="GU6">
        <v>459.1</v>
      </c>
      <c r="GV6">
        <v>459.1</v>
      </c>
      <c r="GW6">
        <v>1</v>
      </c>
      <c r="GX6">
        <v>102.7000000013</v>
      </c>
      <c r="GY6">
        <v>94.4999999992</v>
      </c>
      <c r="GZ6">
        <v>94.4999999992</v>
      </c>
      <c r="HA6">
        <v>113.1000000005</v>
      </c>
      <c r="HB6">
        <v>98.702154749800002</v>
      </c>
      <c r="HC6">
        <v>-18.600000001200002</v>
      </c>
      <c r="HD6">
        <v>459.1</v>
      </c>
      <c r="HE6">
        <v>330.09098922729999</v>
      </c>
      <c r="HF6">
        <v>77.679671345299994</v>
      </c>
      <c r="HG6">
        <v>459.60000000010001</v>
      </c>
      <c r="HH6">
        <v>459.39771465860002</v>
      </c>
      <c r="HI6">
        <v>459.60000000010001</v>
      </c>
      <c r="HJ6">
        <v>459.39999999970001</v>
      </c>
      <c r="HK6">
        <v>103.22580645159999</v>
      </c>
      <c r="HL6">
        <v>3.7803575213</v>
      </c>
      <c r="HM6">
        <v>3.6086519448000001</v>
      </c>
      <c r="HN6">
        <v>3.6466490876000002</v>
      </c>
      <c r="HO6">
        <v>3.588038445</v>
      </c>
      <c r="HP6">
        <v>3.8502599614999999</v>
      </c>
      <c r="HQ6">
        <v>3.0282614887000001</v>
      </c>
      <c r="HR6">
        <v>21.022483404399999</v>
      </c>
      <c r="HS6">
        <v>-21.114369501500001</v>
      </c>
      <c r="HT6">
        <v>-144</v>
      </c>
      <c r="HU6">
        <v>428.79314397709999</v>
      </c>
      <c r="HV6">
        <v>89.149560117299998</v>
      </c>
      <c r="HW6">
        <v>608</v>
      </c>
      <c r="HX6">
        <v>21.022483404399999</v>
      </c>
      <c r="HY6">
        <v>-21.114369501500001</v>
      </c>
      <c r="HZ6">
        <v>-144</v>
      </c>
      <c r="IA6">
        <v>428.79314397709999</v>
      </c>
      <c r="IB6">
        <v>89.149560117299998</v>
      </c>
      <c r="IC6">
        <v>608</v>
      </c>
      <c r="ID6">
        <v>30.6045706815</v>
      </c>
      <c r="IE6">
        <v>1.1490042437000001</v>
      </c>
      <c r="IF6">
        <v>-30.4985337243</v>
      </c>
      <c r="IG6">
        <v>-208</v>
      </c>
      <c r="IH6">
        <v>452.88795298719998</v>
      </c>
      <c r="II6">
        <v>98.533724340199996</v>
      </c>
      <c r="IJ6">
        <v>672</v>
      </c>
      <c r="IK6">
        <v>407.77066057270002</v>
      </c>
      <c r="IL6">
        <v>110.26392961880001</v>
      </c>
      <c r="IM6">
        <v>435.6050277512</v>
      </c>
      <c r="IN6">
        <v>119.6480938416</v>
      </c>
      <c r="IO6">
        <v>7.4000000004000004</v>
      </c>
      <c r="IP6">
        <v>7.0999999989000004</v>
      </c>
      <c r="IQ6">
        <v>10.0000000002</v>
      </c>
      <c r="IR6">
        <v>3.2212605862000001</v>
      </c>
      <c r="IS6">
        <v>3.2212605862000001</v>
      </c>
      <c r="IT6">
        <v>15.800000001000001</v>
      </c>
      <c r="IU6">
        <v>-23.460410557199999</v>
      </c>
      <c r="IV6">
        <v>20.500000000499998</v>
      </c>
      <c r="IW6">
        <v>63.3431085044</v>
      </c>
      <c r="IX6">
        <v>13.699999999499999</v>
      </c>
      <c r="IY6">
        <v>96.187683284499997</v>
      </c>
      <c r="IZ6">
        <v>-26.9241248718</v>
      </c>
      <c r="JA6">
        <v>0.28774347160000002</v>
      </c>
      <c r="JB6">
        <v>-1.9225589999999999E-4</v>
      </c>
      <c r="JC6">
        <v>3.5320000000000001E-7</v>
      </c>
      <c r="JD6">
        <v>0.26452524509999997</v>
      </c>
      <c r="JE6">
        <v>0.26691493370000002</v>
      </c>
      <c r="JF6">
        <v>0.10275759869999999</v>
      </c>
      <c r="JG6">
        <v>99.0884440385</v>
      </c>
      <c r="JH6">
        <v>3.8502599614999999</v>
      </c>
      <c r="JI6">
        <v>4.1376798000000003E-3</v>
      </c>
      <c r="JJ6">
        <v>-6.5417400000000002E-5</v>
      </c>
      <c r="JK6">
        <v>3.7803575213</v>
      </c>
      <c r="JL6">
        <v>1.1712608015999999</v>
      </c>
      <c r="JM6">
        <v>0.3525761234</v>
      </c>
      <c r="JN6" t="s">
        <v>538</v>
      </c>
      <c r="JQ6">
        <v>1</v>
      </c>
    </row>
    <row r="7" spans="1:277">
      <c r="A7" t="s">
        <v>594</v>
      </c>
      <c r="B7" t="s">
        <v>595</v>
      </c>
      <c r="C7" t="s">
        <v>211</v>
      </c>
      <c r="D7">
        <v>3</v>
      </c>
      <c r="E7" t="s">
        <v>212</v>
      </c>
      <c r="F7" t="s">
        <v>213</v>
      </c>
      <c r="G7" t="s">
        <v>537</v>
      </c>
      <c r="H7" t="s">
        <v>215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0</v>
      </c>
      <c r="R7">
        <v>1.0000000002</v>
      </c>
      <c r="S7">
        <v>1.0000000002</v>
      </c>
      <c r="T7">
        <v>1.1000000013</v>
      </c>
      <c r="U7">
        <v>1.1000000013</v>
      </c>
      <c r="V7">
        <v>1.2000000006</v>
      </c>
      <c r="W7">
        <v>1.2000000006</v>
      </c>
      <c r="X7">
        <v>1.2999999999</v>
      </c>
      <c r="Y7">
        <v>1.400000001</v>
      </c>
      <c r="Z7">
        <v>1.400000001</v>
      </c>
      <c r="AA7">
        <v>1.5000000003</v>
      </c>
      <c r="AB7">
        <v>1.5000000003</v>
      </c>
      <c r="AC7">
        <v>1.6000000014</v>
      </c>
      <c r="AD7">
        <v>1.7000000007</v>
      </c>
      <c r="AE7">
        <v>1.7000000007</v>
      </c>
      <c r="AF7">
        <v>1.8</v>
      </c>
      <c r="AG7">
        <v>1.9000000011</v>
      </c>
      <c r="AH7">
        <v>2.0999999997000001</v>
      </c>
      <c r="AI7">
        <v>2.0999999997000001</v>
      </c>
      <c r="AJ7">
        <v>2.2000000007999998</v>
      </c>
      <c r="AK7">
        <v>3.6</v>
      </c>
      <c r="AL7">
        <v>7.9999999998</v>
      </c>
      <c r="AM7">
        <v>15.199999999799999</v>
      </c>
      <c r="AN7">
        <v>23.300000000699999</v>
      </c>
      <c r="AO7">
        <v>31.6000000003</v>
      </c>
      <c r="AP7">
        <v>38.800000000300003</v>
      </c>
      <c r="AQ7">
        <v>46.5000000004</v>
      </c>
      <c r="AR7">
        <v>54.700000000599999</v>
      </c>
      <c r="AS7">
        <v>63.200000000499998</v>
      </c>
      <c r="AT7">
        <v>71.799999999700006</v>
      </c>
      <c r="AU7">
        <v>80.799999999700006</v>
      </c>
      <c r="AV7">
        <v>89.200000000299994</v>
      </c>
      <c r="AW7">
        <v>97.499999999899998</v>
      </c>
      <c r="AX7">
        <v>106.4000000006</v>
      </c>
      <c r="AY7">
        <v>115.4999999999</v>
      </c>
      <c r="AZ7">
        <v>124.80000000139999</v>
      </c>
      <c r="BA7">
        <v>134</v>
      </c>
      <c r="BB7">
        <v>142.30000000129999</v>
      </c>
      <c r="BC7">
        <v>150.7000000001</v>
      </c>
      <c r="BD7">
        <v>159.2000000001</v>
      </c>
      <c r="BE7">
        <v>168.10000000080001</v>
      </c>
      <c r="BF7">
        <v>177.6000000009</v>
      </c>
      <c r="BG7">
        <v>186.70000000019999</v>
      </c>
      <c r="BH7">
        <v>195.10000000080001</v>
      </c>
      <c r="BI7">
        <v>203.5000000014</v>
      </c>
      <c r="BJ7">
        <v>211.90000000020001</v>
      </c>
      <c r="BK7">
        <v>221.30000000109999</v>
      </c>
      <c r="BL7">
        <v>230.7000000001</v>
      </c>
      <c r="BM7">
        <v>239.10000000069999</v>
      </c>
      <c r="BN7">
        <v>247.30000000090001</v>
      </c>
      <c r="BO7">
        <v>255.8000000008</v>
      </c>
      <c r="BP7">
        <v>263.89999999989999</v>
      </c>
      <c r="BQ7">
        <v>272.89999999989999</v>
      </c>
      <c r="BR7">
        <v>282.00000000109998</v>
      </c>
      <c r="BS7">
        <v>290.30000000059999</v>
      </c>
      <c r="BT7">
        <v>298.30000000040002</v>
      </c>
      <c r="BU7">
        <v>306.50000000059998</v>
      </c>
      <c r="BV7">
        <v>314.7000000008</v>
      </c>
      <c r="BW7">
        <v>323.10000000140002</v>
      </c>
      <c r="BX7">
        <v>331.50000000019998</v>
      </c>
      <c r="BY7">
        <v>339.40000000079999</v>
      </c>
      <c r="BZ7">
        <v>346.90000000049997</v>
      </c>
      <c r="CA7">
        <v>354.800000001</v>
      </c>
      <c r="CB7">
        <v>362.80000000080003</v>
      </c>
      <c r="CC7">
        <v>370.7000000013</v>
      </c>
      <c r="CD7">
        <v>378.50000000070003</v>
      </c>
      <c r="CE7">
        <v>385.90000000110001</v>
      </c>
      <c r="CF7">
        <v>392.9000000007</v>
      </c>
      <c r="CG7">
        <v>400.49999999969998</v>
      </c>
      <c r="CH7">
        <v>408.10000000060001</v>
      </c>
      <c r="CI7">
        <v>415.39999999989999</v>
      </c>
      <c r="CJ7">
        <v>422.80000000029997</v>
      </c>
      <c r="CK7">
        <v>430.00000000030002</v>
      </c>
      <c r="CL7">
        <v>436.99999999990001</v>
      </c>
      <c r="CM7">
        <v>443.40000000010002</v>
      </c>
      <c r="CN7">
        <v>449.59999999989998</v>
      </c>
      <c r="CO7">
        <v>453.1999999999</v>
      </c>
      <c r="CP7">
        <v>453.7</v>
      </c>
      <c r="CQ7">
        <v>453.60000000069999</v>
      </c>
      <c r="CR7">
        <v>453.7</v>
      </c>
      <c r="CS7">
        <v>453.7</v>
      </c>
      <c r="CT7">
        <v>453.80000000109999</v>
      </c>
      <c r="CU7">
        <v>453.80000000109999</v>
      </c>
      <c r="CV7">
        <v>453.7</v>
      </c>
      <c r="CW7">
        <v>453.80000000109999</v>
      </c>
      <c r="CX7">
        <v>453.80000000109999</v>
      </c>
      <c r="CY7">
        <v>453.80000000109999</v>
      </c>
      <c r="CZ7">
        <v>453.80000000109999</v>
      </c>
      <c r="DA7">
        <v>453.80000000109999</v>
      </c>
      <c r="DB7">
        <v>453.80000000109999</v>
      </c>
      <c r="DC7">
        <v>453.80000000109999</v>
      </c>
      <c r="DD7">
        <v>453.90000000039998</v>
      </c>
      <c r="DE7">
        <v>453.90000000039998</v>
      </c>
      <c r="DF7">
        <v>453.80000000109999</v>
      </c>
      <c r="DG7">
        <v>0.79999999980000003</v>
      </c>
      <c r="DH7">
        <v>2.2000000007999998</v>
      </c>
      <c r="DI7">
        <v>2.2000000007999998</v>
      </c>
      <c r="DJ7">
        <v>2.2000000007999998</v>
      </c>
      <c r="DK7">
        <v>2.2000000007999998</v>
      </c>
      <c r="DL7">
        <v>2.2000000007999998</v>
      </c>
      <c r="DM7">
        <v>2.3000000000999998</v>
      </c>
      <c r="DN7">
        <v>2.4000000012</v>
      </c>
      <c r="DO7">
        <v>2.5999999998000001</v>
      </c>
      <c r="DP7">
        <v>2.7000000008999998</v>
      </c>
      <c r="DQ7">
        <v>2.8000000001999998</v>
      </c>
      <c r="DR7">
        <v>3.0000000006</v>
      </c>
      <c r="DS7">
        <v>3.0000000006</v>
      </c>
      <c r="DT7">
        <v>3.0999999999000001</v>
      </c>
      <c r="DU7">
        <v>3.0000000006</v>
      </c>
      <c r="DV7">
        <v>3.0999999999000001</v>
      </c>
      <c r="DW7">
        <v>3.0999999999000001</v>
      </c>
      <c r="DX7">
        <v>3.2000000009999998</v>
      </c>
      <c r="DY7">
        <v>4.0000000008000001</v>
      </c>
      <c r="DZ7">
        <v>8.8000000014000008</v>
      </c>
      <c r="EA7">
        <v>16.2</v>
      </c>
      <c r="EB7">
        <v>24.300000000899999</v>
      </c>
      <c r="EC7">
        <v>32.4000000001</v>
      </c>
      <c r="ED7">
        <v>39.600000000100003</v>
      </c>
      <c r="EE7">
        <v>47.099999999799998</v>
      </c>
      <c r="EF7">
        <v>55.3</v>
      </c>
      <c r="EG7">
        <v>63.600000001300003</v>
      </c>
      <c r="EH7">
        <v>72.400000000899993</v>
      </c>
      <c r="EI7">
        <v>81.200000000499998</v>
      </c>
      <c r="EJ7">
        <v>88.999999999899998</v>
      </c>
      <c r="EK7">
        <v>96.9000000005</v>
      </c>
      <c r="EL7">
        <v>105.9000000005</v>
      </c>
      <c r="EM7">
        <v>115.30000000130001</v>
      </c>
      <c r="EN7">
        <v>125</v>
      </c>
      <c r="EO7">
        <v>134.2000000004</v>
      </c>
      <c r="EP7">
        <v>142.30000000129999</v>
      </c>
      <c r="EQ7">
        <v>150.60000000080001</v>
      </c>
      <c r="ER7">
        <v>159.4999999998</v>
      </c>
      <c r="ES7">
        <v>168.90000000059999</v>
      </c>
      <c r="ET7">
        <v>178.5</v>
      </c>
      <c r="EU7">
        <v>187.20000000030001</v>
      </c>
      <c r="EV7">
        <v>195.80000000129999</v>
      </c>
      <c r="EW7">
        <v>204.4999999998</v>
      </c>
      <c r="EX7">
        <v>212.99999999970001</v>
      </c>
      <c r="EY7">
        <v>222.49999999990001</v>
      </c>
      <c r="EZ7">
        <v>231.80000000140001</v>
      </c>
      <c r="FA7">
        <v>240.49999999990001</v>
      </c>
      <c r="FB7">
        <v>248.9999999998</v>
      </c>
      <c r="FC7">
        <v>257.40000000039998</v>
      </c>
      <c r="FD7">
        <v>266.2</v>
      </c>
      <c r="FE7">
        <v>275.49999999969998</v>
      </c>
      <c r="FF7">
        <v>284.20000000009998</v>
      </c>
      <c r="FG7">
        <v>292.60000000069999</v>
      </c>
      <c r="FH7">
        <v>300.90000000020001</v>
      </c>
      <c r="FI7">
        <v>309.50000000120002</v>
      </c>
      <c r="FJ7">
        <v>317.89999999999998</v>
      </c>
      <c r="FK7">
        <v>326.30000000059999</v>
      </c>
      <c r="FL7">
        <v>334.60000000010001</v>
      </c>
      <c r="FM7">
        <v>342.40000000139997</v>
      </c>
      <c r="FN7">
        <v>350.3000000001</v>
      </c>
      <c r="FO7">
        <v>358.40000000100002</v>
      </c>
      <c r="FP7">
        <v>366.2000000004</v>
      </c>
      <c r="FQ7">
        <v>374.20000000020002</v>
      </c>
      <c r="FR7">
        <v>382.0000000014</v>
      </c>
      <c r="FS7">
        <v>389.10000000029999</v>
      </c>
      <c r="FT7">
        <v>396.09999999989998</v>
      </c>
      <c r="FU7">
        <v>403.60000000150001</v>
      </c>
      <c r="FV7">
        <v>411.00000000009999</v>
      </c>
      <c r="FW7">
        <v>418.10000000079998</v>
      </c>
      <c r="FX7">
        <v>425.19999999970003</v>
      </c>
      <c r="FY7">
        <v>431.70000000099998</v>
      </c>
      <c r="FZ7">
        <v>437.90000000079999</v>
      </c>
      <c r="GA7">
        <v>444.00000000130001</v>
      </c>
      <c r="GB7">
        <v>449.50000000059998</v>
      </c>
      <c r="GC7">
        <v>452.90000000020001</v>
      </c>
      <c r="GD7">
        <v>453.5000000014</v>
      </c>
      <c r="GE7">
        <v>453.60000000069999</v>
      </c>
      <c r="GF7">
        <v>453.60000000069999</v>
      </c>
      <c r="GG7">
        <v>453.60000000069999</v>
      </c>
      <c r="GH7">
        <v>453.7</v>
      </c>
      <c r="GI7">
        <v>453.7</v>
      </c>
      <c r="GJ7">
        <v>453.7</v>
      </c>
      <c r="GK7">
        <v>453.7</v>
      </c>
      <c r="GL7">
        <v>453.7</v>
      </c>
      <c r="GM7">
        <v>453.7</v>
      </c>
      <c r="GN7">
        <v>453.7</v>
      </c>
      <c r="GO7">
        <v>453.7</v>
      </c>
      <c r="GP7">
        <v>453.80000000109999</v>
      </c>
      <c r="GQ7">
        <v>453.80000000109999</v>
      </c>
      <c r="GR7">
        <v>453.80000000109999</v>
      </c>
      <c r="GS7">
        <v>453.80000000109999</v>
      </c>
      <c r="GT7">
        <v>453.80000000109999</v>
      </c>
      <c r="GU7">
        <v>453.80000000109999</v>
      </c>
      <c r="GV7">
        <v>453.90000000039998</v>
      </c>
      <c r="GW7">
        <v>1</v>
      </c>
      <c r="GX7">
        <v>104.6999999999</v>
      </c>
      <c r="GY7">
        <v>97.499999999899998</v>
      </c>
      <c r="GZ7">
        <v>97.499999999899998</v>
      </c>
      <c r="HA7">
        <v>115.30000000130001</v>
      </c>
      <c r="HB7">
        <v>101.6730087035</v>
      </c>
      <c r="HC7">
        <v>-17.800000001400001</v>
      </c>
      <c r="HD7">
        <v>453.90000000039998</v>
      </c>
      <c r="HE7">
        <v>322.1253828353</v>
      </c>
      <c r="HF7">
        <v>85.571036686499994</v>
      </c>
      <c r="HG7">
        <v>453.90000000039998</v>
      </c>
      <c r="HH7">
        <v>453.90000000039998</v>
      </c>
      <c r="HI7">
        <v>453.90000000039998</v>
      </c>
      <c r="HJ7">
        <v>453.90000000039998</v>
      </c>
      <c r="HK7">
        <v>100.87976539589999</v>
      </c>
      <c r="HL7">
        <v>3.7808303718</v>
      </c>
      <c r="HM7">
        <v>3.6129471939000002</v>
      </c>
      <c r="HN7">
        <v>3.6471950765000001</v>
      </c>
      <c r="HO7">
        <v>3.5045501939000001</v>
      </c>
      <c r="HP7">
        <v>3.8425271049999998</v>
      </c>
      <c r="HQ7">
        <v>3.0095980809</v>
      </c>
      <c r="HR7">
        <v>16.101972017000001</v>
      </c>
      <c r="HS7">
        <v>-23.460410557199999</v>
      </c>
      <c r="HT7">
        <v>-160</v>
      </c>
      <c r="HU7">
        <v>423.79839153879999</v>
      </c>
      <c r="HV7">
        <v>86.803519061599999</v>
      </c>
      <c r="HW7">
        <v>592</v>
      </c>
      <c r="HX7">
        <v>16.101972017000001</v>
      </c>
      <c r="HY7">
        <v>-23.460410557199999</v>
      </c>
      <c r="HZ7">
        <v>-160</v>
      </c>
      <c r="IA7">
        <v>423.79839153879999</v>
      </c>
      <c r="IB7">
        <v>86.803519061599999</v>
      </c>
      <c r="IC7">
        <v>592</v>
      </c>
      <c r="ID7">
        <v>30.101608461600001</v>
      </c>
      <c r="IE7">
        <v>2.1127685355999999</v>
      </c>
      <c r="IF7">
        <v>-32.844574780099997</v>
      </c>
      <c r="IG7">
        <v>-224</v>
      </c>
      <c r="IH7">
        <v>449.20805332219999</v>
      </c>
      <c r="II7">
        <v>96.187683284499997</v>
      </c>
      <c r="IJ7">
        <v>656</v>
      </c>
      <c r="IK7">
        <v>407.69641952180001</v>
      </c>
      <c r="IL7">
        <v>110.26392961880001</v>
      </c>
      <c r="IM7">
        <v>433.24328522719998</v>
      </c>
      <c r="IN7">
        <v>119.6480938416</v>
      </c>
      <c r="IO7">
        <v>8.1000000008999997</v>
      </c>
      <c r="IP7">
        <v>6.9999999996</v>
      </c>
      <c r="IQ7">
        <v>9.6999999986999992</v>
      </c>
      <c r="IR7">
        <v>3.1744811726000002</v>
      </c>
      <c r="IS7">
        <v>3.1744811726000002</v>
      </c>
      <c r="IT7">
        <v>17.200000000199999</v>
      </c>
      <c r="IU7">
        <v>-23.460410557199999</v>
      </c>
      <c r="IV7">
        <v>20.300000000099999</v>
      </c>
      <c r="IW7">
        <v>44.5747800587</v>
      </c>
      <c r="IX7">
        <v>14.000000001</v>
      </c>
      <c r="IY7">
        <v>93.841642228699996</v>
      </c>
      <c r="IZ7">
        <v>-28.004491098199999</v>
      </c>
      <c r="JA7">
        <v>0.29241113520000001</v>
      </c>
      <c r="JB7">
        <v>-2.1559920000000001E-4</v>
      </c>
      <c r="JC7">
        <v>3.8860000000000003E-7</v>
      </c>
      <c r="JD7">
        <v>0.26449216219999999</v>
      </c>
      <c r="JE7">
        <v>0.1887791976</v>
      </c>
      <c r="JF7">
        <v>8.8273724299999995E-2</v>
      </c>
      <c r="JG7">
        <v>102.2046754439</v>
      </c>
      <c r="JH7">
        <v>3.8425271049999998</v>
      </c>
      <c r="JI7">
        <v>4.6497463999999999E-3</v>
      </c>
      <c r="JJ7">
        <v>-7.25587E-5</v>
      </c>
      <c r="JK7">
        <v>3.7808303718</v>
      </c>
      <c r="JL7">
        <v>0.73945617809999997</v>
      </c>
      <c r="JM7">
        <v>0.33399252909999999</v>
      </c>
      <c r="JN7" t="s">
        <v>538</v>
      </c>
      <c r="JQ7">
        <v>1</v>
      </c>
    </row>
    <row r="8" spans="1:277">
      <c r="A8" t="s">
        <v>606</v>
      </c>
      <c r="B8" t="s">
        <v>607</v>
      </c>
      <c r="C8" t="s">
        <v>211</v>
      </c>
      <c r="D8">
        <v>3</v>
      </c>
      <c r="E8" t="s">
        <v>212</v>
      </c>
      <c r="F8" t="s">
        <v>213</v>
      </c>
      <c r="G8" t="s">
        <v>537</v>
      </c>
      <c r="H8" t="s">
        <v>215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</v>
      </c>
      <c r="R8">
        <v>0.39999999899999999</v>
      </c>
      <c r="S8">
        <v>0.39999999899999999</v>
      </c>
      <c r="T8">
        <v>0.39999999899999999</v>
      </c>
      <c r="U8">
        <v>0.50000000010000001</v>
      </c>
      <c r="V8">
        <v>0.50000000010000001</v>
      </c>
      <c r="W8">
        <v>0.50000000010000001</v>
      </c>
      <c r="X8">
        <v>0.59999999940000004</v>
      </c>
      <c r="Y8">
        <v>0.50000000010000001</v>
      </c>
      <c r="Z8">
        <v>0.50000000010000001</v>
      </c>
      <c r="AA8">
        <v>0.50000000010000001</v>
      </c>
      <c r="AB8">
        <v>0.59999999940000004</v>
      </c>
      <c r="AC8">
        <v>0.59999999940000004</v>
      </c>
      <c r="AD8">
        <v>0.59999999940000004</v>
      </c>
      <c r="AE8">
        <v>0.59999999940000004</v>
      </c>
      <c r="AF8">
        <v>0.7000000005</v>
      </c>
      <c r="AG8">
        <v>0.7000000005</v>
      </c>
      <c r="AH8">
        <v>0.79999999980000003</v>
      </c>
      <c r="AI8">
        <v>0.89999999909999995</v>
      </c>
      <c r="AJ8">
        <v>1.0999999995</v>
      </c>
      <c r="AK8">
        <v>2.3999999993999999</v>
      </c>
      <c r="AL8">
        <v>6.5999999988000004</v>
      </c>
      <c r="AM8">
        <v>13.1000000001</v>
      </c>
      <c r="AN8">
        <v>20.300000000099999</v>
      </c>
      <c r="AO8">
        <v>27.799999999800001</v>
      </c>
      <c r="AP8">
        <v>35.5</v>
      </c>
      <c r="AQ8">
        <v>43.700000000199999</v>
      </c>
      <c r="AR8">
        <v>52.5999999991</v>
      </c>
      <c r="AS8">
        <v>61.299999999400001</v>
      </c>
      <c r="AT8">
        <v>69.499999999600007</v>
      </c>
      <c r="AU8">
        <v>77.799999999099995</v>
      </c>
      <c r="AV8">
        <v>86.299999998999994</v>
      </c>
      <c r="AW8">
        <v>95.299999998999994</v>
      </c>
      <c r="AX8">
        <v>105.49999999969999</v>
      </c>
      <c r="AY8">
        <v>114.7999999994</v>
      </c>
      <c r="AZ8">
        <v>123.4000000004</v>
      </c>
      <c r="BA8">
        <v>131.7999999992</v>
      </c>
      <c r="BB8">
        <v>140.40000000020001</v>
      </c>
      <c r="BC8">
        <v>149.9000000003</v>
      </c>
      <c r="BD8">
        <v>159.4000000005</v>
      </c>
      <c r="BE8">
        <v>168.2000000001</v>
      </c>
      <c r="BF8">
        <v>176.79999999930001</v>
      </c>
      <c r="BG8">
        <v>185.4000000003</v>
      </c>
      <c r="BH8">
        <v>194.0999999988</v>
      </c>
      <c r="BI8">
        <v>203.49999999959999</v>
      </c>
      <c r="BJ8">
        <v>212.7</v>
      </c>
      <c r="BK8">
        <v>221.59999999889999</v>
      </c>
      <c r="BL8">
        <v>230.2</v>
      </c>
      <c r="BM8">
        <v>238.6999999999</v>
      </c>
      <c r="BN8">
        <v>247.29999999910001</v>
      </c>
      <c r="BO8">
        <v>256.6999999999</v>
      </c>
      <c r="BP8">
        <v>265.7999999992</v>
      </c>
      <c r="BQ8">
        <v>274.29999999910001</v>
      </c>
      <c r="BR8">
        <v>282.69999999970003</v>
      </c>
      <c r="BS8">
        <v>290.99999999929997</v>
      </c>
      <c r="BT8">
        <v>299.60000000029999</v>
      </c>
      <c r="BU8">
        <v>308.69999999959998</v>
      </c>
      <c r="BV8">
        <v>317.1000000002</v>
      </c>
      <c r="BW8">
        <v>325.39999999970001</v>
      </c>
      <c r="BX8">
        <v>333.39999999949998</v>
      </c>
      <c r="BY8">
        <v>341.19999999890001</v>
      </c>
      <c r="BZ8">
        <v>349.39999999920002</v>
      </c>
      <c r="CA8">
        <v>358.00000000019998</v>
      </c>
      <c r="CB8">
        <v>366.0999999993</v>
      </c>
      <c r="CC8">
        <v>373.79999999939997</v>
      </c>
      <c r="CD8">
        <v>381.19999999980001</v>
      </c>
      <c r="CE8">
        <v>388.3999999998</v>
      </c>
      <c r="CF8">
        <v>395.80000000019999</v>
      </c>
      <c r="CG8">
        <v>403.8</v>
      </c>
      <c r="CH8">
        <v>411.50000000019998</v>
      </c>
      <c r="CI8">
        <v>418.79999999950002</v>
      </c>
      <c r="CJ8">
        <v>425.99999999950001</v>
      </c>
      <c r="CK8">
        <v>432.8999999998</v>
      </c>
      <c r="CL8">
        <v>439.39999999930001</v>
      </c>
      <c r="CM8">
        <v>447.00000000009999</v>
      </c>
      <c r="CN8">
        <v>453.49999999959999</v>
      </c>
      <c r="CO8">
        <v>455.7000000004</v>
      </c>
      <c r="CP8">
        <v>455.89999999899999</v>
      </c>
      <c r="CQ8">
        <v>455.89999999899999</v>
      </c>
      <c r="CR8">
        <v>455.89999999899999</v>
      </c>
      <c r="CS8">
        <v>455.89999999899999</v>
      </c>
      <c r="CT8">
        <v>455.79999999969999</v>
      </c>
      <c r="CU8">
        <v>455.89999999899999</v>
      </c>
      <c r="CV8">
        <v>455.89999999899999</v>
      </c>
      <c r="CW8">
        <v>455.89999999899999</v>
      </c>
      <c r="CX8">
        <v>455.89999999899999</v>
      </c>
      <c r="CY8">
        <v>455.89999999899999</v>
      </c>
      <c r="CZ8">
        <v>455.89999999899999</v>
      </c>
      <c r="DA8">
        <v>456.00000000009999</v>
      </c>
      <c r="DB8">
        <v>455.89999999899999</v>
      </c>
      <c r="DC8">
        <v>455.89999999899999</v>
      </c>
      <c r="DD8">
        <v>455.89999999899999</v>
      </c>
      <c r="DE8">
        <v>455.89999999899999</v>
      </c>
      <c r="DF8">
        <v>455.89999999899999</v>
      </c>
      <c r="DG8">
        <v>0.79999999980000003</v>
      </c>
      <c r="DH8">
        <v>1.2999999999</v>
      </c>
      <c r="DI8">
        <v>1.2999999999</v>
      </c>
      <c r="DJ8">
        <v>1.2999999999</v>
      </c>
      <c r="DK8">
        <v>1.3999999992000001</v>
      </c>
      <c r="DL8">
        <v>1.3999999992000001</v>
      </c>
      <c r="DM8">
        <v>1.5000000003</v>
      </c>
      <c r="DN8">
        <v>1.5000000003</v>
      </c>
      <c r="DO8">
        <v>1.5000000003</v>
      </c>
      <c r="DP8">
        <v>1.5999999996000001</v>
      </c>
      <c r="DQ8">
        <v>1.5999999996000001</v>
      </c>
      <c r="DR8">
        <v>1.5999999996000001</v>
      </c>
      <c r="DS8">
        <v>1.6999999989000001</v>
      </c>
      <c r="DT8">
        <v>1.6999999989000001</v>
      </c>
      <c r="DU8">
        <v>1.6999999989000001</v>
      </c>
      <c r="DV8">
        <v>1.8999999993000001</v>
      </c>
      <c r="DW8">
        <v>2.0000000004</v>
      </c>
      <c r="DX8">
        <v>2.9999999987999999</v>
      </c>
      <c r="DY8">
        <v>4.7999999987999997</v>
      </c>
      <c r="DZ8">
        <v>8.8999999989000003</v>
      </c>
      <c r="EA8">
        <v>15.799999999200001</v>
      </c>
      <c r="EB8">
        <v>22.600000000200001</v>
      </c>
      <c r="EC8">
        <v>29.699999999100001</v>
      </c>
      <c r="ED8">
        <v>37.800000000099999</v>
      </c>
      <c r="EE8">
        <v>46.5000000004</v>
      </c>
      <c r="EF8">
        <v>54.799999999900002</v>
      </c>
      <c r="EG8">
        <v>63.000000000100002</v>
      </c>
      <c r="EH8">
        <v>70.999999999899998</v>
      </c>
      <c r="EI8">
        <v>78.799999999299999</v>
      </c>
      <c r="EJ8">
        <v>87.199999999900001</v>
      </c>
      <c r="EK8">
        <v>96.400000000399999</v>
      </c>
      <c r="EL8">
        <v>105.9999999998</v>
      </c>
      <c r="EM8">
        <v>115.4000000006</v>
      </c>
      <c r="EN8">
        <v>124.2999999995</v>
      </c>
      <c r="EO8">
        <v>132.7000000001</v>
      </c>
      <c r="EP8">
        <v>141.7000000001</v>
      </c>
      <c r="EQ8">
        <v>151.09999999909999</v>
      </c>
      <c r="ER8">
        <v>160.2999999996</v>
      </c>
      <c r="ES8">
        <v>169.20000000030001</v>
      </c>
      <c r="ET8">
        <v>177.70000000019999</v>
      </c>
      <c r="EU8">
        <v>186.2999999994</v>
      </c>
      <c r="EV8">
        <v>195.99999999990001</v>
      </c>
      <c r="EW8">
        <v>205.5999999993</v>
      </c>
      <c r="EX8">
        <v>214.79999999969999</v>
      </c>
      <c r="EY8">
        <v>223.50000000009999</v>
      </c>
      <c r="EZ8">
        <v>232.0999999993</v>
      </c>
      <c r="FA8">
        <v>241.0999999993</v>
      </c>
      <c r="FB8">
        <v>250.79999999980001</v>
      </c>
      <c r="FC8">
        <v>259.79999999979998</v>
      </c>
      <c r="FD8">
        <v>268.79999999979998</v>
      </c>
      <c r="FE8">
        <v>277.50000000009999</v>
      </c>
      <c r="FF8">
        <v>285.7000000004</v>
      </c>
      <c r="FG8">
        <v>294.5</v>
      </c>
      <c r="FH8">
        <v>303.7000000004</v>
      </c>
      <c r="FI8">
        <v>312.5</v>
      </c>
      <c r="FJ8">
        <v>320.99999999990001</v>
      </c>
      <c r="FK8">
        <v>329.09999999899998</v>
      </c>
      <c r="FL8">
        <v>336.99999999950001</v>
      </c>
      <c r="FM8">
        <v>345.29999999900002</v>
      </c>
      <c r="FN8">
        <v>353.99999999940002</v>
      </c>
      <c r="FO8">
        <v>362.10000000029999</v>
      </c>
      <c r="FP8">
        <v>370.10000000010001</v>
      </c>
      <c r="FQ8">
        <v>377.80000000019999</v>
      </c>
      <c r="FR8">
        <v>385.00000000019998</v>
      </c>
      <c r="FS8">
        <v>392.20000000020002</v>
      </c>
      <c r="FT8">
        <v>400.2</v>
      </c>
      <c r="FU8">
        <v>407.99999999940002</v>
      </c>
      <c r="FV8">
        <v>415.30000000059999</v>
      </c>
      <c r="FW8">
        <v>422.50000000059998</v>
      </c>
      <c r="FX8">
        <v>429.20000000049998</v>
      </c>
      <c r="FY8">
        <v>435.7</v>
      </c>
      <c r="FZ8">
        <v>441.80000000050001</v>
      </c>
      <c r="GA8">
        <v>448.699999999</v>
      </c>
      <c r="GB8">
        <v>454.20000000009998</v>
      </c>
      <c r="GC8">
        <v>455.79999999969999</v>
      </c>
      <c r="GD8">
        <v>455.89999999899999</v>
      </c>
      <c r="GE8">
        <v>455.89999999899999</v>
      </c>
      <c r="GF8">
        <v>455.89999999899999</v>
      </c>
      <c r="GG8">
        <v>455.89999999899999</v>
      </c>
      <c r="GH8">
        <v>455.89999999899999</v>
      </c>
      <c r="GI8">
        <v>455.89999999899999</v>
      </c>
      <c r="GJ8">
        <v>455.79999999969999</v>
      </c>
      <c r="GK8">
        <v>455.79999999969999</v>
      </c>
      <c r="GL8">
        <v>455.7000000004</v>
      </c>
      <c r="GM8">
        <v>455.7000000004</v>
      </c>
      <c r="GN8">
        <v>455.79999999969999</v>
      </c>
      <c r="GO8">
        <v>455.89999999899999</v>
      </c>
      <c r="GP8">
        <v>455.89999999899999</v>
      </c>
      <c r="GQ8">
        <v>455.89999999899999</v>
      </c>
      <c r="GR8">
        <v>455.89999999899999</v>
      </c>
      <c r="GS8">
        <v>455.89999999899999</v>
      </c>
      <c r="GT8">
        <v>455.89999999899999</v>
      </c>
      <c r="GU8">
        <v>455.89999999899999</v>
      </c>
      <c r="GV8">
        <v>455.89999999899999</v>
      </c>
      <c r="GW8">
        <v>1</v>
      </c>
      <c r="GX8">
        <v>104.00000000119999</v>
      </c>
      <c r="GY8">
        <v>95.299999998999994</v>
      </c>
      <c r="GZ8">
        <v>95.299999998999994</v>
      </c>
      <c r="HA8">
        <v>115.4000000006</v>
      </c>
      <c r="HB8">
        <v>99.94422634</v>
      </c>
      <c r="HC8">
        <v>-20.1000000015</v>
      </c>
      <c r="HD8">
        <v>455.89999999899999</v>
      </c>
      <c r="HE8">
        <v>327.87378002079998</v>
      </c>
      <c r="HF8">
        <v>78.529246627199996</v>
      </c>
      <c r="HG8">
        <v>456.00000000009999</v>
      </c>
      <c r="HH8">
        <v>455.89999999899999</v>
      </c>
      <c r="HI8">
        <v>456.00000000009999</v>
      </c>
      <c r="HJ8">
        <v>455.89999999899999</v>
      </c>
      <c r="HK8">
        <v>98.533724340199996</v>
      </c>
      <c r="HL8">
        <v>3.8543455031999998</v>
      </c>
      <c r="HM8">
        <v>3.6753232269999998</v>
      </c>
      <c r="HN8">
        <v>3.7053216581999999</v>
      </c>
      <c r="HO8">
        <v>3.6223921568000002</v>
      </c>
      <c r="HP8">
        <v>3.9202575032000002</v>
      </c>
      <c r="HQ8">
        <v>3.0612438511</v>
      </c>
      <c r="HR8">
        <v>21.414979712800001</v>
      </c>
      <c r="HS8">
        <v>-21.114369501500001</v>
      </c>
      <c r="HT8">
        <v>-144</v>
      </c>
      <c r="HU8">
        <v>427.81800636079998</v>
      </c>
      <c r="HV8">
        <v>86.803519061599999</v>
      </c>
      <c r="HW8">
        <v>592</v>
      </c>
      <c r="HX8">
        <v>21.414979712800001</v>
      </c>
      <c r="HY8">
        <v>-21.114369501500001</v>
      </c>
      <c r="HZ8">
        <v>-144</v>
      </c>
      <c r="IA8">
        <v>427.81800636079998</v>
      </c>
      <c r="IB8">
        <v>86.803519061599999</v>
      </c>
      <c r="IC8">
        <v>592</v>
      </c>
      <c r="ID8">
        <v>28.0819936382</v>
      </c>
      <c r="IE8">
        <v>1.1855356941999999</v>
      </c>
      <c r="IF8">
        <v>-30.4985337243</v>
      </c>
      <c r="IG8">
        <v>-208</v>
      </c>
      <c r="IH8">
        <v>453.90299374940003</v>
      </c>
      <c r="II8">
        <v>96.187683284499997</v>
      </c>
      <c r="IJ8">
        <v>656</v>
      </c>
      <c r="IK8">
        <v>406.40302664799998</v>
      </c>
      <c r="IL8">
        <v>107.91788856300001</v>
      </c>
      <c r="IM8">
        <v>433.92356618219998</v>
      </c>
      <c r="IN8">
        <v>117.3020527859</v>
      </c>
      <c r="IO8">
        <v>7.2</v>
      </c>
      <c r="IP8">
        <v>7.6000000007999997</v>
      </c>
      <c r="IQ8">
        <v>10.200000000599999</v>
      </c>
      <c r="IR8">
        <v>3.0134701918000002</v>
      </c>
      <c r="IS8">
        <v>3.0134701918000002</v>
      </c>
      <c r="IT8">
        <v>16.599999999000001</v>
      </c>
      <c r="IU8">
        <v>-23.460410557199999</v>
      </c>
      <c r="IV8">
        <v>21.500000000699998</v>
      </c>
      <c r="IW8">
        <v>39.8826979472</v>
      </c>
      <c r="IX8">
        <v>15.799999999200001</v>
      </c>
      <c r="IY8">
        <v>93.841642228699996</v>
      </c>
      <c r="IZ8">
        <v>-26.9251823333</v>
      </c>
      <c r="JA8">
        <v>0.28536458450000002</v>
      </c>
      <c r="JB8">
        <v>-2.047595E-4</v>
      </c>
      <c r="JC8">
        <v>3.7010000000000001E-7</v>
      </c>
      <c r="JD8">
        <v>0.2594474209</v>
      </c>
      <c r="JE8">
        <v>0.2313509171</v>
      </c>
      <c r="JF8">
        <v>9.7292552199999993E-2</v>
      </c>
      <c r="JG8">
        <v>100.4345481039</v>
      </c>
      <c r="JH8">
        <v>3.9202575032000002</v>
      </c>
      <c r="JI8">
        <v>4.7054677000000003E-3</v>
      </c>
      <c r="JJ8">
        <v>-7.4140600000000006E-5</v>
      </c>
      <c r="JK8">
        <v>3.8543455031999998</v>
      </c>
      <c r="JL8">
        <v>0.95852554700000003</v>
      </c>
      <c r="JM8">
        <v>0.34450444819999998</v>
      </c>
      <c r="JN8" t="s">
        <v>538</v>
      </c>
      <c r="JQ8">
        <v>1</v>
      </c>
    </row>
    <row r="9" spans="1:277">
      <c r="A9" t="s">
        <v>618</v>
      </c>
      <c r="B9" t="s">
        <v>619</v>
      </c>
      <c r="C9" t="s">
        <v>211</v>
      </c>
      <c r="D9">
        <v>3</v>
      </c>
      <c r="E9" t="s">
        <v>212</v>
      </c>
      <c r="F9" t="s">
        <v>213</v>
      </c>
      <c r="G9" t="s">
        <v>537</v>
      </c>
      <c r="H9" t="s">
        <v>215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9.9999999300000003E-2</v>
      </c>
      <c r="R9">
        <v>0</v>
      </c>
      <c r="S9">
        <v>0</v>
      </c>
      <c r="T9">
        <v>9.9999999300000003E-2</v>
      </c>
      <c r="U9">
        <v>0</v>
      </c>
      <c r="V9">
        <v>0</v>
      </c>
      <c r="W9">
        <v>0</v>
      </c>
      <c r="X9">
        <v>0</v>
      </c>
      <c r="Y9">
        <v>0</v>
      </c>
      <c r="Z9">
        <v>9.9999999300000003E-2</v>
      </c>
      <c r="AA9">
        <v>9.9999999300000003E-2</v>
      </c>
      <c r="AB9">
        <v>9.9999999300000003E-2</v>
      </c>
      <c r="AC9">
        <v>9.9999999300000003E-2</v>
      </c>
      <c r="AD9">
        <v>0.19999999860000001</v>
      </c>
      <c r="AE9">
        <v>0.19999999860000001</v>
      </c>
      <c r="AF9">
        <v>0.29999999970000002</v>
      </c>
      <c r="AG9">
        <v>0.29999999970000002</v>
      </c>
      <c r="AH9">
        <v>0.29999999970000002</v>
      </c>
      <c r="AI9">
        <v>0.39999999899999999</v>
      </c>
      <c r="AJ9">
        <v>2.3000000000999998</v>
      </c>
      <c r="AK9">
        <v>7.5999999989999996</v>
      </c>
      <c r="AL9">
        <v>14.9999999994</v>
      </c>
      <c r="AM9">
        <v>22.600000000200001</v>
      </c>
      <c r="AN9">
        <v>30.199999999199999</v>
      </c>
      <c r="AO9">
        <v>38.199999999100001</v>
      </c>
      <c r="AP9">
        <v>45.799999999900002</v>
      </c>
      <c r="AQ9">
        <v>53.5</v>
      </c>
      <c r="AR9">
        <v>61.5999999991</v>
      </c>
      <c r="AS9">
        <v>69.899999998599995</v>
      </c>
      <c r="AT9">
        <v>78.299999999199997</v>
      </c>
      <c r="AU9">
        <v>86.799999999099995</v>
      </c>
      <c r="AV9">
        <v>95.199999999699997</v>
      </c>
      <c r="AW9">
        <v>103.1999999996</v>
      </c>
      <c r="AX9">
        <v>111.6000000002</v>
      </c>
      <c r="AY9">
        <v>120.1000000001</v>
      </c>
      <c r="AZ9">
        <v>128.99999999900001</v>
      </c>
      <c r="BA9">
        <v>137.79999999859999</v>
      </c>
      <c r="BB9">
        <v>146.2999999985</v>
      </c>
      <c r="BC9">
        <v>154.59999999979999</v>
      </c>
      <c r="BD9">
        <v>163.30000000019999</v>
      </c>
      <c r="BE9">
        <v>172.09999999979999</v>
      </c>
      <c r="BF9">
        <v>180.89999999939999</v>
      </c>
      <c r="BG9">
        <v>189.89999999939999</v>
      </c>
      <c r="BH9">
        <v>198.4999999986</v>
      </c>
      <c r="BI9">
        <v>206.6999999988</v>
      </c>
      <c r="BJ9">
        <v>215.29999999980001</v>
      </c>
      <c r="BK9">
        <v>224.0000000002</v>
      </c>
      <c r="BL9">
        <v>232.79999999980001</v>
      </c>
      <c r="BM9">
        <v>241.59999999940001</v>
      </c>
      <c r="BN9">
        <v>250</v>
      </c>
      <c r="BO9">
        <v>258.20000000020002</v>
      </c>
      <c r="BP9">
        <v>266.49999999969998</v>
      </c>
      <c r="BQ9">
        <v>274.99999999959999</v>
      </c>
      <c r="BR9">
        <v>283.49999999950001</v>
      </c>
      <c r="BS9">
        <v>291.99999999950001</v>
      </c>
      <c r="BT9">
        <v>300.29999999900002</v>
      </c>
      <c r="BU9">
        <v>308.1000000002</v>
      </c>
      <c r="BV9">
        <v>315.99999999890002</v>
      </c>
      <c r="BW9">
        <v>324.09999999979999</v>
      </c>
      <c r="BX9">
        <v>332.3</v>
      </c>
      <c r="BY9">
        <v>340.39999999909998</v>
      </c>
      <c r="BZ9">
        <v>348.1999999985</v>
      </c>
      <c r="CA9">
        <v>355.79999999939997</v>
      </c>
      <c r="CB9">
        <v>363.29999999910001</v>
      </c>
      <c r="CC9">
        <v>370.89999999989999</v>
      </c>
      <c r="CD9">
        <v>378.6</v>
      </c>
      <c r="CE9">
        <v>386.199999999</v>
      </c>
      <c r="CF9">
        <v>393.69999999869998</v>
      </c>
      <c r="CG9">
        <v>400.99999999980002</v>
      </c>
      <c r="CH9">
        <v>407.99999999940002</v>
      </c>
      <c r="CI9">
        <v>414.9999999991</v>
      </c>
      <c r="CJ9">
        <v>421.99999999869999</v>
      </c>
      <c r="CK9">
        <v>429.09999999939998</v>
      </c>
      <c r="CL9">
        <v>435.99999999969998</v>
      </c>
      <c r="CM9">
        <v>441.39999999970001</v>
      </c>
      <c r="CN9">
        <v>442.9</v>
      </c>
      <c r="CO9">
        <v>442.99999999929997</v>
      </c>
      <c r="CP9">
        <v>442.99999999929997</v>
      </c>
      <c r="CQ9">
        <v>442.9</v>
      </c>
      <c r="CR9">
        <v>442.9</v>
      </c>
      <c r="CS9">
        <v>442.99999999929997</v>
      </c>
      <c r="CT9">
        <v>443.19999999970003</v>
      </c>
      <c r="CU9">
        <v>443.09999999860003</v>
      </c>
      <c r="CV9">
        <v>443.09999999860003</v>
      </c>
      <c r="CW9">
        <v>442.99999999929997</v>
      </c>
      <c r="CX9">
        <v>442.99999999929997</v>
      </c>
      <c r="CY9">
        <v>443.09999999860003</v>
      </c>
      <c r="CZ9">
        <v>443.09999999860003</v>
      </c>
      <c r="DA9">
        <v>443.19999999970003</v>
      </c>
      <c r="DB9">
        <v>443.09999999860003</v>
      </c>
      <c r="DC9">
        <v>442.99999999929997</v>
      </c>
      <c r="DD9">
        <v>443.09999999860003</v>
      </c>
      <c r="DE9">
        <v>442.99999999929997</v>
      </c>
      <c r="DF9">
        <v>443.09999999860003</v>
      </c>
      <c r="DG9">
        <v>0.59999999940000004</v>
      </c>
      <c r="DH9">
        <v>1.0000000002</v>
      </c>
      <c r="DI9">
        <v>0.89999999909999995</v>
      </c>
      <c r="DJ9">
        <v>0.79999999980000003</v>
      </c>
      <c r="DK9">
        <v>0.79999999980000003</v>
      </c>
      <c r="DL9">
        <v>0.79999999980000003</v>
      </c>
      <c r="DM9">
        <v>0.89999999909999995</v>
      </c>
      <c r="DN9">
        <v>0.89999999909999995</v>
      </c>
      <c r="DO9">
        <v>0.89999999909999995</v>
      </c>
      <c r="DP9">
        <v>1.0000000002</v>
      </c>
      <c r="DQ9">
        <v>1.0000000002</v>
      </c>
      <c r="DR9">
        <v>1.0000000002</v>
      </c>
      <c r="DS9">
        <v>1.0999999995</v>
      </c>
      <c r="DT9">
        <v>1.0999999995</v>
      </c>
      <c r="DU9">
        <v>1.0999999995</v>
      </c>
      <c r="DV9">
        <v>1.0999999995</v>
      </c>
      <c r="DW9">
        <v>1.0999999995</v>
      </c>
      <c r="DX9">
        <v>2.3000000000999998</v>
      </c>
      <c r="DY9">
        <v>7.7999999993999998</v>
      </c>
      <c r="DZ9">
        <v>15.299999999100001</v>
      </c>
      <c r="EA9">
        <v>22.799999998800001</v>
      </c>
      <c r="EB9">
        <v>30.399999999599999</v>
      </c>
      <c r="EC9">
        <v>38.399999999499997</v>
      </c>
      <c r="ED9">
        <v>45.999999998500002</v>
      </c>
      <c r="EE9">
        <v>53.599999999300003</v>
      </c>
      <c r="EF9">
        <v>61.499999999800004</v>
      </c>
      <c r="EG9">
        <v>69.7</v>
      </c>
      <c r="EH9">
        <v>78.099999998800001</v>
      </c>
      <c r="EI9">
        <v>86.499999999400004</v>
      </c>
      <c r="EJ9">
        <v>94.599999998499996</v>
      </c>
      <c r="EK9">
        <v>102.69999999949999</v>
      </c>
      <c r="EL9">
        <v>110.8999999997</v>
      </c>
      <c r="EM9">
        <v>119.3999999996</v>
      </c>
      <c r="EN9">
        <v>128.09999999990001</v>
      </c>
      <c r="EO9">
        <v>136.99999999880001</v>
      </c>
      <c r="EP9">
        <v>145.39999999939999</v>
      </c>
      <c r="EQ9">
        <v>153.69999999890001</v>
      </c>
      <c r="ER9">
        <v>162.1999999988</v>
      </c>
      <c r="ES9">
        <v>171.09999999959999</v>
      </c>
      <c r="ET9">
        <v>179.99999999849999</v>
      </c>
      <c r="EU9">
        <v>188.99999999849999</v>
      </c>
      <c r="EV9">
        <v>197.6999999988</v>
      </c>
      <c r="EW9">
        <v>206.09999999940001</v>
      </c>
      <c r="EX9">
        <v>214.79999999969999</v>
      </c>
      <c r="EY9">
        <v>223.69999999859999</v>
      </c>
      <c r="EZ9">
        <v>232.69999999870001</v>
      </c>
      <c r="FA9">
        <v>241.50000000009999</v>
      </c>
      <c r="FB9">
        <v>250.0999999993</v>
      </c>
      <c r="FC9">
        <v>258.29999999950002</v>
      </c>
      <c r="FD9">
        <v>266.89999999870003</v>
      </c>
      <c r="FE9">
        <v>275.59999999899998</v>
      </c>
      <c r="FF9">
        <v>284.20000000009998</v>
      </c>
      <c r="FG9">
        <v>292.7</v>
      </c>
      <c r="FH9">
        <v>301.0999999988</v>
      </c>
      <c r="FI9">
        <v>309.09999999860003</v>
      </c>
      <c r="FJ9">
        <v>317.1000000002</v>
      </c>
      <c r="FK9">
        <v>325.29999999860001</v>
      </c>
      <c r="FL9">
        <v>333.59999999989998</v>
      </c>
      <c r="FM9">
        <v>341.89999999939999</v>
      </c>
      <c r="FN9">
        <v>349.8</v>
      </c>
      <c r="FO9">
        <v>357.29999999969999</v>
      </c>
      <c r="FP9">
        <v>364.89999999870003</v>
      </c>
      <c r="FQ9">
        <v>372.5999999988</v>
      </c>
      <c r="FR9">
        <v>380.29999999889998</v>
      </c>
      <c r="FS9">
        <v>387.89999999970001</v>
      </c>
      <c r="FT9">
        <v>395.3000000001</v>
      </c>
      <c r="FU9">
        <v>402.59999999939998</v>
      </c>
      <c r="FV9">
        <v>409.39999999859998</v>
      </c>
      <c r="FW9">
        <v>416.09999999860003</v>
      </c>
      <c r="FX9">
        <v>422.89999999960003</v>
      </c>
      <c r="FY9">
        <v>429.69999999880002</v>
      </c>
      <c r="FZ9">
        <v>435.89999999859998</v>
      </c>
      <c r="GA9">
        <v>440.79999999850003</v>
      </c>
      <c r="GB9">
        <v>442.9</v>
      </c>
      <c r="GC9">
        <v>442.9</v>
      </c>
      <c r="GD9">
        <v>442.9</v>
      </c>
      <c r="GE9">
        <v>442.9</v>
      </c>
      <c r="GF9">
        <v>442.99999999929997</v>
      </c>
      <c r="GG9">
        <v>442.99999999929997</v>
      </c>
      <c r="GH9">
        <v>443.09999999860003</v>
      </c>
      <c r="GI9">
        <v>443.09999999860003</v>
      </c>
      <c r="GJ9">
        <v>442.99999999929997</v>
      </c>
      <c r="GK9">
        <v>442.99999999929997</v>
      </c>
      <c r="GL9">
        <v>442.99999999929997</v>
      </c>
      <c r="GM9">
        <v>442.99999999929997</v>
      </c>
      <c r="GN9">
        <v>442.99999999929997</v>
      </c>
      <c r="GO9">
        <v>442.99999999929997</v>
      </c>
      <c r="GP9">
        <v>442.99999999929997</v>
      </c>
      <c r="GQ9">
        <v>443.09999999860003</v>
      </c>
      <c r="GR9">
        <v>443.09999999860003</v>
      </c>
      <c r="GS9">
        <v>442.99999999929997</v>
      </c>
      <c r="GT9">
        <v>442.99999999929997</v>
      </c>
      <c r="GU9">
        <v>443.09999999860003</v>
      </c>
      <c r="GV9">
        <v>443.09999999860003</v>
      </c>
      <c r="GW9">
        <v>1</v>
      </c>
      <c r="GX9">
        <v>109.8000000002</v>
      </c>
      <c r="GY9">
        <v>103.1999999996</v>
      </c>
      <c r="GZ9">
        <v>103.1999999996</v>
      </c>
      <c r="HA9">
        <v>119.3999999996</v>
      </c>
      <c r="HB9">
        <v>107.2687351908</v>
      </c>
      <c r="HC9">
        <v>-16.2</v>
      </c>
      <c r="HD9">
        <v>443.09999999860003</v>
      </c>
      <c r="HE9">
        <v>307.65229606140002</v>
      </c>
      <c r="HF9">
        <v>91.479882658400001</v>
      </c>
      <c r="HG9">
        <v>443.19999999970003</v>
      </c>
      <c r="HH9">
        <v>443.09999999860003</v>
      </c>
      <c r="HI9">
        <v>443.19999999970003</v>
      </c>
      <c r="HJ9">
        <v>443.09999999860003</v>
      </c>
      <c r="HK9">
        <v>96.187683284499997</v>
      </c>
      <c r="HL9">
        <v>3.7037961244000002</v>
      </c>
      <c r="HM9">
        <v>3.5528413384999999</v>
      </c>
      <c r="HN9">
        <v>3.5726115606</v>
      </c>
      <c r="HO9">
        <v>3.3361515284999999</v>
      </c>
      <c r="HP9">
        <v>3.7359214654000001</v>
      </c>
      <c r="HQ9">
        <v>3.0312028468999999</v>
      </c>
      <c r="HR9">
        <v>15.7888525324</v>
      </c>
      <c r="HS9">
        <v>-25.806451612899998</v>
      </c>
      <c r="HT9">
        <v>-176</v>
      </c>
      <c r="HU9">
        <v>414.92103125220001</v>
      </c>
      <c r="HV9">
        <v>84.457478005900001</v>
      </c>
      <c r="HW9">
        <v>576</v>
      </c>
      <c r="HX9">
        <v>15.7888525324</v>
      </c>
      <c r="HY9">
        <v>-25.806451612899998</v>
      </c>
      <c r="HZ9">
        <v>-176</v>
      </c>
      <c r="IA9">
        <v>414.92103125220001</v>
      </c>
      <c r="IB9">
        <v>84.457478005900001</v>
      </c>
      <c r="IC9">
        <v>576</v>
      </c>
      <c r="ID9">
        <v>28.178968746399999</v>
      </c>
      <c r="IE9">
        <v>0.30586708759999998</v>
      </c>
      <c r="IF9">
        <v>-35.190615835800003</v>
      </c>
      <c r="IG9">
        <v>-240</v>
      </c>
      <c r="IH9">
        <v>440.5835044552</v>
      </c>
      <c r="II9">
        <v>93.841642228699996</v>
      </c>
      <c r="IJ9">
        <v>640</v>
      </c>
      <c r="IK9">
        <v>399.13217871979998</v>
      </c>
      <c r="IL9">
        <v>110.26392961880001</v>
      </c>
      <c r="IM9">
        <v>426.45187859510003</v>
      </c>
      <c r="IN9">
        <v>119.6480938416</v>
      </c>
      <c r="IO9">
        <v>7.4999999997</v>
      </c>
      <c r="IP9">
        <v>7.1000000006999997</v>
      </c>
      <c r="IQ9">
        <v>9</v>
      </c>
      <c r="IR9">
        <v>2.4664266858000001</v>
      </c>
      <c r="IS9">
        <v>2.4664266858000001</v>
      </c>
      <c r="IT9">
        <v>15.199999999799999</v>
      </c>
      <c r="IU9">
        <v>-28.152492668600001</v>
      </c>
      <c r="IV9">
        <v>17.799999999600001</v>
      </c>
      <c r="IW9">
        <v>60.997067448700001</v>
      </c>
      <c r="IX9">
        <v>13.8999999999</v>
      </c>
      <c r="IY9">
        <v>91.495601172999997</v>
      </c>
      <c r="IZ9">
        <v>-30.523752310999999</v>
      </c>
      <c r="JA9">
        <v>0.30516117469999998</v>
      </c>
      <c r="JB9">
        <v>-2.3882760000000001E-4</v>
      </c>
      <c r="JC9">
        <v>4.1059999999999998E-7</v>
      </c>
      <c r="JD9">
        <v>0.26999326270000001</v>
      </c>
      <c r="JE9">
        <v>0.1503382137</v>
      </c>
      <c r="JF9">
        <v>4.6887325200000003E-2</v>
      </c>
      <c r="JG9">
        <v>107.4939840239</v>
      </c>
      <c r="JH9">
        <v>3.7359214654000001</v>
      </c>
      <c r="JI9">
        <v>4.9563228999999999E-3</v>
      </c>
      <c r="JJ9">
        <v>-7.20548E-5</v>
      </c>
      <c r="JK9">
        <v>3.7037961244000002</v>
      </c>
      <c r="JL9">
        <v>0.33840091369999997</v>
      </c>
      <c r="JM9">
        <v>0.1656377228</v>
      </c>
      <c r="JN9" t="s">
        <v>538</v>
      </c>
      <c r="JQ9">
        <v>1</v>
      </c>
    </row>
    <row r="10" spans="1:277">
      <c r="A10" t="s">
        <v>630</v>
      </c>
      <c r="B10" t="s">
        <v>631</v>
      </c>
      <c r="C10" t="s">
        <v>211</v>
      </c>
      <c r="D10">
        <v>3</v>
      </c>
      <c r="E10" t="s">
        <v>212</v>
      </c>
      <c r="F10" t="s">
        <v>213</v>
      </c>
      <c r="G10" t="s">
        <v>537</v>
      </c>
      <c r="H10" t="s">
        <v>215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</v>
      </c>
      <c r="R10">
        <v>0.29999999970000002</v>
      </c>
      <c r="S10">
        <v>0.29999999970000002</v>
      </c>
      <c r="T10">
        <v>0.29999999970000002</v>
      </c>
      <c r="U10">
        <v>0.29999999970000002</v>
      </c>
      <c r="V10">
        <v>0.39999999899999999</v>
      </c>
      <c r="W10">
        <v>0.39999999899999999</v>
      </c>
      <c r="X10">
        <v>0.39999999899999999</v>
      </c>
      <c r="Y10">
        <v>0.39999999899999999</v>
      </c>
      <c r="Z10">
        <v>0.39999999899999999</v>
      </c>
      <c r="AA10">
        <v>0.39999999899999999</v>
      </c>
      <c r="AB10">
        <v>0.39999999899999999</v>
      </c>
      <c r="AC10">
        <v>0.50000000010000001</v>
      </c>
      <c r="AD10">
        <v>0.50000000010000001</v>
      </c>
      <c r="AE10">
        <v>0.59999999940000004</v>
      </c>
      <c r="AF10">
        <v>0.59999999940000004</v>
      </c>
      <c r="AG10">
        <v>0.69999999869999996</v>
      </c>
      <c r="AH10">
        <v>0.79999999980000003</v>
      </c>
      <c r="AI10">
        <v>1.4999999985000001</v>
      </c>
      <c r="AJ10">
        <v>3.3999999995999999</v>
      </c>
      <c r="AK10">
        <v>6.4000000002000004</v>
      </c>
      <c r="AL10">
        <v>11.699999999099999</v>
      </c>
      <c r="AM10">
        <v>19.199999998799999</v>
      </c>
      <c r="AN10">
        <v>27.0999999993</v>
      </c>
      <c r="AO10">
        <v>35.200000000300001</v>
      </c>
      <c r="AP10">
        <v>43.299999999400001</v>
      </c>
      <c r="AQ10">
        <v>51.400000000299997</v>
      </c>
      <c r="AR10">
        <v>59.199999999699997</v>
      </c>
      <c r="AS10">
        <v>67.299999998800004</v>
      </c>
      <c r="AT10">
        <v>75.600000000099996</v>
      </c>
      <c r="AU10">
        <v>84.199999999300005</v>
      </c>
      <c r="AV10">
        <v>92.999999998899995</v>
      </c>
      <c r="AW10">
        <v>101.999999999</v>
      </c>
      <c r="AX10">
        <v>110.8999999997</v>
      </c>
      <c r="AY10">
        <v>119.6999999993</v>
      </c>
      <c r="AZ10">
        <v>128.6</v>
      </c>
      <c r="BA10">
        <v>137.3999999996</v>
      </c>
      <c r="BB10">
        <v>146.1999999992</v>
      </c>
      <c r="BC10">
        <v>155.09999999990001</v>
      </c>
      <c r="BD10">
        <v>163.39999999950001</v>
      </c>
      <c r="BE10">
        <v>171.8000000001</v>
      </c>
      <c r="BF10">
        <v>180.8000000001</v>
      </c>
      <c r="BG10">
        <v>189.8000000001</v>
      </c>
      <c r="BH10">
        <v>198.8000000001</v>
      </c>
      <c r="BI10">
        <v>207.5999999997</v>
      </c>
      <c r="BJ10">
        <v>215.89999999919999</v>
      </c>
      <c r="BK10">
        <v>224.2999999999</v>
      </c>
      <c r="BL10">
        <v>233.2999999999</v>
      </c>
      <c r="BM10">
        <v>242.0000000002</v>
      </c>
      <c r="BN10">
        <v>250.69999999870001</v>
      </c>
      <c r="BO10">
        <v>259.29999999969999</v>
      </c>
      <c r="BP10">
        <v>267.39999999880001</v>
      </c>
      <c r="BQ10">
        <v>275.59999999899998</v>
      </c>
      <c r="BR10">
        <v>284.29999999929998</v>
      </c>
      <c r="BS10">
        <v>292.79999999929998</v>
      </c>
      <c r="BT10">
        <v>301.2999999992</v>
      </c>
      <c r="BU10">
        <v>309.59999999870001</v>
      </c>
      <c r="BV10">
        <v>317.49999999919999</v>
      </c>
      <c r="BW10">
        <v>325.29999999860001</v>
      </c>
      <c r="BX10">
        <v>333.59999999989998</v>
      </c>
      <c r="BY10">
        <v>341.4999999986</v>
      </c>
      <c r="BZ10">
        <v>349.50000000030002</v>
      </c>
      <c r="CA10">
        <v>357.59999999939998</v>
      </c>
      <c r="CB10">
        <v>365.39999999880001</v>
      </c>
      <c r="CC10">
        <v>372.5999999988</v>
      </c>
      <c r="CD10">
        <v>379.99999999919999</v>
      </c>
      <c r="CE10">
        <v>387.29999999850003</v>
      </c>
      <c r="CF10">
        <v>394.89999999930001</v>
      </c>
      <c r="CG10">
        <v>402.89999999909998</v>
      </c>
      <c r="CH10">
        <v>410.09999999910002</v>
      </c>
      <c r="CI10">
        <v>417.2999999992</v>
      </c>
      <c r="CJ10">
        <v>423.8999999998</v>
      </c>
      <c r="CK10">
        <v>430.89999999939999</v>
      </c>
      <c r="CL10">
        <v>437.5</v>
      </c>
      <c r="CM10">
        <v>443.09999999860003</v>
      </c>
      <c r="CN10">
        <v>445.39999999870003</v>
      </c>
      <c r="CO10">
        <v>445.29999999939997</v>
      </c>
      <c r="CP10">
        <v>445.29999999939997</v>
      </c>
      <c r="CQ10">
        <v>445.29999999939997</v>
      </c>
      <c r="CR10">
        <v>445.39999999870003</v>
      </c>
      <c r="CS10">
        <v>445.29999999939997</v>
      </c>
      <c r="CT10">
        <v>445.39999999870003</v>
      </c>
      <c r="CU10">
        <v>445.39999999870003</v>
      </c>
      <c r="CV10">
        <v>445.39999999870003</v>
      </c>
      <c r="CW10">
        <v>445.39999999870003</v>
      </c>
      <c r="CX10">
        <v>445.39999999870003</v>
      </c>
      <c r="CY10">
        <v>445.39999999870003</v>
      </c>
      <c r="CZ10">
        <v>445.39999999870003</v>
      </c>
      <c r="DA10">
        <v>445.39999999870003</v>
      </c>
      <c r="DB10">
        <v>445.39999999870003</v>
      </c>
      <c r="DC10">
        <v>445.29999999939997</v>
      </c>
      <c r="DD10">
        <v>445.29999999939997</v>
      </c>
      <c r="DE10">
        <v>445.29999999939997</v>
      </c>
      <c r="DF10">
        <v>445.29999999939997</v>
      </c>
      <c r="DG10">
        <v>0.89999999909999995</v>
      </c>
      <c r="DH10">
        <v>1.2999999999</v>
      </c>
      <c r="DI10">
        <v>1.3999999992000001</v>
      </c>
      <c r="DJ10">
        <v>1.3999999992000001</v>
      </c>
      <c r="DK10">
        <v>1.3999999992000001</v>
      </c>
      <c r="DL10">
        <v>1.3999999992000001</v>
      </c>
      <c r="DM10">
        <v>1.3999999992000001</v>
      </c>
      <c r="DN10">
        <v>1.3999999992000001</v>
      </c>
      <c r="DO10">
        <v>1.3999999992000001</v>
      </c>
      <c r="DP10">
        <v>1.3999999992000001</v>
      </c>
      <c r="DQ10">
        <v>1.3999999992000001</v>
      </c>
      <c r="DR10">
        <v>1.4999999985000001</v>
      </c>
      <c r="DS10">
        <v>1.4999999985000001</v>
      </c>
      <c r="DT10">
        <v>1.5999999996000001</v>
      </c>
      <c r="DU10">
        <v>1.5999999996000001</v>
      </c>
      <c r="DV10">
        <v>1.6999999989000001</v>
      </c>
      <c r="DW10">
        <v>1.9999999986000001</v>
      </c>
      <c r="DX10">
        <v>3.7999999986000002</v>
      </c>
      <c r="DY10">
        <v>6.8999999985000002</v>
      </c>
      <c r="DZ10">
        <v>12.6</v>
      </c>
      <c r="EA10">
        <v>20.199999998999999</v>
      </c>
      <c r="EB10">
        <v>27.8999999991</v>
      </c>
      <c r="EC10">
        <v>35.8999999989</v>
      </c>
      <c r="ED10">
        <v>43.799999999500002</v>
      </c>
      <c r="EE10">
        <v>51.899999998600002</v>
      </c>
      <c r="EF10">
        <v>59.499999999400004</v>
      </c>
      <c r="EG10">
        <v>67.299999998800004</v>
      </c>
      <c r="EH10">
        <v>75.799999998700002</v>
      </c>
      <c r="EI10">
        <v>84.199999999300005</v>
      </c>
      <c r="EJ10">
        <v>92.599999999900007</v>
      </c>
      <c r="EK10">
        <v>101.09999999990001</v>
      </c>
      <c r="EL10">
        <v>109.8000000002</v>
      </c>
      <c r="EM10">
        <v>118.6999999991</v>
      </c>
      <c r="EN10">
        <v>127.99999999880001</v>
      </c>
      <c r="EO10">
        <v>136.80000000019999</v>
      </c>
      <c r="EP10">
        <v>145.59999999979999</v>
      </c>
      <c r="EQ10">
        <v>154.39999999939999</v>
      </c>
      <c r="ER10">
        <v>162.89999999939999</v>
      </c>
      <c r="ES10">
        <v>171.39999999930001</v>
      </c>
      <c r="ET10">
        <v>180.4999999986</v>
      </c>
      <c r="EU10">
        <v>189.39999999930001</v>
      </c>
      <c r="EV10">
        <v>198.39999999930001</v>
      </c>
      <c r="EW10">
        <v>207.3</v>
      </c>
      <c r="EX10">
        <v>215.6999999988</v>
      </c>
      <c r="EY10">
        <v>224.2999999999</v>
      </c>
      <c r="EZ10">
        <v>233.2999999999</v>
      </c>
      <c r="FA10">
        <v>242.1999999988</v>
      </c>
      <c r="FB10">
        <v>251.0000000002</v>
      </c>
      <c r="FC10">
        <v>259.69999999869998</v>
      </c>
      <c r="FD10">
        <v>268</v>
      </c>
      <c r="FE10">
        <v>276.39999999880001</v>
      </c>
      <c r="FF10">
        <v>285.2999999996</v>
      </c>
      <c r="FG10">
        <v>293.79999999950002</v>
      </c>
      <c r="FH10">
        <v>302.29999999939997</v>
      </c>
      <c r="FI10">
        <v>310.79999999929998</v>
      </c>
      <c r="FJ10">
        <v>318.79999999910001</v>
      </c>
      <c r="FK10">
        <v>326.79999999889998</v>
      </c>
      <c r="FL10">
        <v>335.19999999949999</v>
      </c>
      <c r="FM10">
        <v>343.39999999970001</v>
      </c>
      <c r="FN10">
        <v>351.49999999890002</v>
      </c>
      <c r="FO10">
        <v>359.39999999939999</v>
      </c>
      <c r="FP10">
        <v>367.09999999950003</v>
      </c>
      <c r="FQ10">
        <v>374.39999999880001</v>
      </c>
      <c r="FR10">
        <v>382.09999999889999</v>
      </c>
      <c r="FS10">
        <v>389.09999999849998</v>
      </c>
      <c r="FT10">
        <v>396.69999999930002</v>
      </c>
      <c r="FU10">
        <v>404.39999999939999</v>
      </c>
      <c r="FV10">
        <v>411.59999999950003</v>
      </c>
      <c r="FW10">
        <v>418.39999999870003</v>
      </c>
      <c r="FX10">
        <v>424.60000000029999</v>
      </c>
      <c r="FY10">
        <v>430.99999999869999</v>
      </c>
      <c r="FZ10">
        <v>437.2999999996</v>
      </c>
      <c r="GA10">
        <v>442.69999999959998</v>
      </c>
      <c r="GB10">
        <v>445.39999999870003</v>
      </c>
      <c r="GC10">
        <v>445.39999999870003</v>
      </c>
      <c r="GD10">
        <v>445.39999999870003</v>
      </c>
      <c r="GE10">
        <v>445.39999999870003</v>
      </c>
      <c r="GF10">
        <v>445.29999999939997</v>
      </c>
      <c r="GG10">
        <v>445.39999999870003</v>
      </c>
      <c r="GH10">
        <v>445.39999999870003</v>
      </c>
      <c r="GI10">
        <v>445.39999999870003</v>
      </c>
      <c r="GJ10">
        <v>445.29999999939997</v>
      </c>
      <c r="GK10">
        <v>445.39999999870003</v>
      </c>
      <c r="GL10">
        <v>445.29999999939997</v>
      </c>
      <c r="GM10">
        <v>445.39999999870003</v>
      </c>
      <c r="GN10">
        <v>445.29999999939997</v>
      </c>
      <c r="GO10">
        <v>445.29999999939997</v>
      </c>
      <c r="GP10">
        <v>445.29999999939997</v>
      </c>
      <c r="GQ10">
        <v>445.29999999939997</v>
      </c>
      <c r="GR10">
        <v>445.29999999939997</v>
      </c>
      <c r="GS10">
        <v>445.20000000009998</v>
      </c>
      <c r="GT10">
        <v>445.20000000009998</v>
      </c>
      <c r="GU10">
        <v>445.20000000009998</v>
      </c>
      <c r="GV10">
        <v>445.20000000009998</v>
      </c>
      <c r="GW10">
        <v>1</v>
      </c>
      <c r="GX10">
        <v>109.0999999997</v>
      </c>
      <c r="GY10">
        <v>101.999999999</v>
      </c>
      <c r="GZ10">
        <v>101.999999999</v>
      </c>
      <c r="HA10">
        <v>118.6999999991</v>
      </c>
      <c r="HB10">
        <v>106.1375056119</v>
      </c>
      <c r="HC10">
        <v>-16.700000000100001</v>
      </c>
      <c r="HD10">
        <v>445.20003367769999</v>
      </c>
      <c r="HE10">
        <v>311.05318814520001</v>
      </c>
      <c r="HF10">
        <v>85.904535249399999</v>
      </c>
      <c r="HG10">
        <v>445.39999999870003</v>
      </c>
      <c r="HH10">
        <v>445.39999999870003</v>
      </c>
      <c r="HI10">
        <v>445.39999999870003</v>
      </c>
      <c r="HJ10">
        <v>445.39999999870003</v>
      </c>
      <c r="HK10">
        <v>96.187683284499997</v>
      </c>
      <c r="HL10">
        <v>3.7538119379000001</v>
      </c>
      <c r="HM10">
        <v>3.5982546172999998</v>
      </c>
      <c r="HN10">
        <v>3.6176620408</v>
      </c>
      <c r="HO10">
        <v>3.5228371001999998</v>
      </c>
      <c r="HP10">
        <v>3.8212819185</v>
      </c>
      <c r="HQ10">
        <v>3.0531206602999998</v>
      </c>
      <c r="HR10">
        <v>20.232970362500001</v>
      </c>
      <c r="HS10">
        <v>-23.460410557199999</v>
      </c>
      <c r="HT10">
        <v>-160</v>
      </c>
      <c r="HU10">
        <v>417.19069375710001</v>
      </c>
      <c r="HV10">
        <v>84.457478005900001</v>
      </c>
      <c r="HW10">
        <v>576</v>
      </c>
      <c r="HX10">
        <v>20.232970362500001</v>
      </c>
      <c r="HY10">
        <v>-23.460410557199999</v>
      </c>
      <c r="HZ10">
        <v>-160</v>
      </c>
      <c r="IA10">
        <v>417.19069375710001</v>
      </c>
      <c r="IB10">
        <v>84.457478005900001</v>
      </c>
      <c r="IC10">
        <v>576</v>
      </c>
      <c r="ID10">
        <v>28.2093062416</v>
      </c>
      <c r="IE10">
        <v>1.5509205193</v>
      </c>
      <c r="IF10">
        <v>-32.844574780099997</v>
      </c>
      <c r="IG10">
        <v>-224</v>
      </c>
      <c r="IH10">
        <v>442.47215985589997</v>
      </c>
      <c r="II10">
        <v>93.841642228699996</v>
      </c>
      <c r="IJ10">
        <v>640</v>
      </c>
      <c r="IK10">
        <v>396.95772339460001</v>
      </c>
      <c r="IL10">
        <v>107.91788856300001</v>
      </c>
      <c r="IM10">
        <v>423.53429501430003</v>
      </c>
      <c r="IN10">
        <v>117.3020527859</v>
      </c>
      <c r="IO10">
        <v>7.5999999989999996</v>
      </c>
      <c r="IP10">
        <v>6.9999999996</v>
      </c>
      <c r="IQ10">
        <v>9.2999999997000007</v>
      </c>
      <c r="IR10">
        <v>2.8341957853999999</v>
      </c>
      <c r="IS10">
        <v>2.8341957853999999</v>
      </c>
      <c r="IT10">
        <v>16.2</v>
      </c>
      <c r="IU10">
        <v>-25.806451612899998</v>
      </c>
      <c r="IV10">
        <v>18.200000000399999</v>
      </c>
      <c r="IW10">
        <v>46.920821114399999</v>
      </c>
      <c r="IX10">
        <v>13.3999999998</v>
      </c>
      <c r="IY10">
        <v>91.495601172999997</v>
      </c>
      <c r="IZ10">
        <v>-29.2006922325</v>
      </c>
      <c r="JA10">
        <v>0.29227520439999999</v>
      </c>
      <c r="JB10">
        <v>-2.0213990000000001E-4</v>
      </c>
      <c r="JC10">
        <v>3.6969999999999998E-7</v>
      </c>
      <c r="JD10">
        <v>0.26639587079999999</v>
      </c>
      <c r="JE10">
        <v>0.2029229102</v>
      </c>
      <c r="JF10">
        <v>8.3429219900000004E-2</v>
      </c>
      <c r="JG10">
        <v>106.3369939339</v>
      </c>
      <c r="JH10">
        <v>3.8212819185</v>
      </c>
      <c r="JI10">
        <v>3.9892516000000003E-3</v>
      </c>
      <c r="JJ10">
        <v>-6.7385999999999995E-5</v>
      </c>
      <c r="JK10">
        <v>3.7538119379000001</v>
      </c>
      <c r="JL10">
        <v>0.85351884219999996</v>
      </c>
      <c r="JM10">
        <v>0.31617462390000001</v>
      </c>
      <c r="JN10" t="s">
        <v>538</v>
      </c>
      <c r="JQ10">
        <v>1</v>
      </c>
    </row>
    <row r="11" spans="1:277">
      <c r="A11" t="s">
        <v>642</v>
      </c>
      <c r="B11" t="s">
        <v>643</v>
      </c>
      <c r="C11" t="s">
        <v>211</v>
      </c>
      <c r="D11">
        <v>3</v>
      </c>
      <c r="E11" t="s">
        <v>212</v>
      </c>
      <c r="F11" t="s">
        <v>213</v>
      </c>
      <c r="G11" t="s">
        <v>537</v>
      </c>
      <c r="H11" t="s">
        <v>215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</v>
      </c>
      <c r="R11">
        <v>0.50000000010000001</v>
      </c>
      <c r="S11">
        <v>0.50000000010000001</v>
      </c>
      <c r="T11">
        <v>0.50000000010000001</v>
      </c>
      <c r="U11">
        <v>0.50000000010000001</v>
      </c>
      <c r="V11">
        <v>0.59999999940000004</v>
      </c>
      <c r="W11">
        <v>0.69999999869999996</v>
      </c>
      <c r="X11">
        <v>0.69999999869999996</v>
      </c>
      <c r="Y11">
        <v>0.69999999869999996</v>
      </c>
      <c r="Z11">
        <v>0.79999999980000003</v>
      </c>
      <c r="AA11">
        <v>0.79999999980000003</v>
      </c>
      <c r="AB11">
        <v>0.79999999980000003</v>
      </c>
      <c r="AC11">
        <v>0.89999999909999995</v>
      </c>
      <c r="AD11">
        <v>0.89999999909999995</v>
      </c>
      <c r="AE11">
        <v>1.0000000002</v>
      </c>
      <c r="AF11">
        <v>1.0999999995</v>
      </c>
      <c r="AG11">
        <v>1.1999999988000001</v>
      </c>
      <c r="AH11">
        <v>1.1999999988000001</v>
      </c>
      <c r="AI11">
        <v>1.2999999999</v>
      </c>
      <c r="AJ11">
        <v>1.5999999996000001</v>
      </c>
      <c r="AK11">
        <v>3.6</v>
      </c>
      <c r="AL11">
        <v>7.9999999998</v>
      </c>
      <c r="AM11">
        <v>14.5999999986</v>
      </c>
      <c r="AN11">
        <v>22.299999998699999</v>
      </c>
      <c r="AO11">
        <v>29.699999999100001</v>
      </c>
      <c r="AP11">
        <v>37.599999999700003</v>
      </c>
      <c r="AQ11">
        <v>46.199999998899997</v>
      </c>
      <c r="AR11">
        <v>54.699999998800003</v>
      </c>
      <c r="AS11">
        <v>63.099999999399998</v>
      </c>
      <c r="AT11">
        <v>71.799999999700006</v>
      </c>
      <c r="AU11">
        <v>79.899999998799998</v>
      </c>
      <c r="AV11">
        <v>88.399999998699997</v>
      </c>
      <c r="AW11">
        <v>97.799999999600004</v>
      </c>
      <c r="AX11">
        <v>107.29999999970001</v>
      </c>
      <c r="AY11">
        <v>116.399999999</v>
      </c>
      <c r="AZ11">
        <v>125.399999999</v>
      </c>
      <c r="BA11">
        <v>133.7999999996</v>
      </c>
      <c r="BB11">
        <v>142.59999999920001</v>
      </c>
      <c r="BC11">
        <v>152</v>
      </c>
      <c r="BD11">
        <v>161.19999999859999</v>
      </c>
      <c r="BE11">
        <v>170.09999999940001</v>
      </c>
      <c r="BF11">
        <v>179.00000000009999</v>
      </c>
      <c r="BG11">
        <v>187.5999999993</v>
      </c>
      <c r="BH11">
        <v>196.69999999859999</v>
      </c>
      <c r="BI11">
        <v>206.09999999940001</v>
      </c>
      <c r="BJ11">
        <v>215.00000000009999</v>
      </c>
      <c r="BK11">
        <v>224.19999999870001</v>
      </c>
      <c r="BL11">
        <v>232.8999999991</v>
      </c>
      <c r="BM11">
        <v>241.50000000009999</v>
      </c>
      <c r="BN11">
        <v>250.69999999870001</v>
      </c>
      <c r="BO11">
        <v>259.69999999869998</v>
      </c>
      <c r="BP11">
        <v>268.39999999899999</v>
      </c>
      <c r="BQ11">
        <v>277.29999999969999</v>
      </c>
      <c r="BR11">
        <v>285.6999999985</v>
      </c>
      <c r="BS11">
        <v>294.2999999996</v>
      </c>
      <c r="BT11">
        <v>303.2999999996</v>
      </c>
      <c r="BU11">
        <v>311.99999999990001</v>
      </c>
      <c r="BV11">
        <v>320.29999999939997</v>
      </c>
      <c r="BW11">
        <v>328.89999999859998</v>
      </c>
      <c r="BX11">
        <v>336.99999999950001</v>
      </c>
      <c r="BY11">
        <v>345.19999999970003</v>
      </c>
      <c r="BZ11">
        <v>353.79999999900002</v>
      </c>
      <c r="CA11">
        <v>361.99999999919999</v>
      </c>
      <c r="CB11">
        <v>369.99999999900001</v>
      </c>
      <c r="CC11">
        <v>377.99999999879998</v>
      </c>
      <c r="CD11">
        <v>385.59999999960002</v>
      </c>
      <c r="CE11">
        <v>393.19999999859999</v>
      </c>
      <c r="CF11">
        <v>400.99999999980002</v>
      </c>
      <c r="CG11">
        <v>409.09999999889999</v>
      </c>
      <c r="CH11">
        <v>416.59999999870001</v>
      </c>
      <c r="CI11">
        <v>424.1000000002</v>
      </c>
      <c r="CJ11">
        <v>431.59999999989998</v>
      </c>
      <c r="CK11">
        <v>438.59999999950003</v>
      </c>
      <c r="CL11">
        <v>444.59999999889999</v>
      </c>
      <c r="CM11">
        <v>449.30000000019999</v>
      </c>
      <c r="CN11">
        <v>451.59999999849998</v>
      </c>
      <c r="CO11">
        <v>452.99999999950001</v>
      </c>
      <c r="CP11">
        <v>454.09999999899998</v>
      </c>
      <c r="CQ11">
        <v>454.70000000020002</v>
      </c>
      <c r="CR11">
        <v>454.89999999880001</v>
      </c>
      <c r="CS11">
        <v>454.89999999880001</v>
      </c>
      <c r="CT11">
        <v>454.89999999880001</v>
      </c>
      <c r="CU11">
        <v>454.99999999990001</v>
      </c>
      <c r="CV11">
        <v>454.89999999880001</v>
      </c>
      <c r="CW11">
        <v>454.99999999990001</v>
      </c>
      <c r="CX11">
        <v>454.99999999990001</v>
      </c>
      <c r="CY11">
        <v>454.99999999990001</v>
      </c>
      <c r="CZ11">
        <v>455.09999999920001</v>
      </c>
      <c r="DA11">
        <v>454.99999999990001</v>
      </c>
      <c r="DB11">
        <v>454.99999999990001</v>
      </c>
      <c r="DC11">
        <v>454.99999999990001</v>
      </c>
      <c r="DD11">
        <v>455.09999999920001</v>
      </c>
      <c r="DE11">
        <v>455.09999999920001</v>
      </c>
      <c r="DF11">
        <v>455.09999999920001</v>
      </c>
      <c r="DG11">
        <v>0.69999999869999996</v>
      </c>
      <c r="DH11">
        <v>1.3999999992000001</v>
      </c>
      <c r="DI11">
        <v>1.3999999992000001</v>
      </c>
      <c r="DJ11">
        <v>1.3999999992000001</v>
      </c>
      <c r="DK11">
        <v>1.3999999992000001</v>
      </c>
      <c r="DL11">
        <v>1.4999999985000001</v>
      </c>
      <c r="DM11">
        <v>1.5999999996000001</v>
      </c>
      <c r="DN11">
        <v>1.6999999989000001</v>
      </c>
      <c r="DO11">
        <v>1.6999999989000001</v>
      </c>
      <c r="DP11">
        <v>1.6999999989000001</v>
      </c>
      <c r="DQ11">
        <v>1.6999999989000001</v>
      </c>
      <c r="DR11">
        <v>1.6999999989000001</v>
      </c>
      <c r="DS11">
        <v>1.6999999989000001</v>
      </c>
      <c r="DT11">
        <v>1.8</v>
      </c>
      <c r="DU11">
        <v>1.8</v>
      </c>
      <c r="DV11">
        <v>1.8999999993000001</v>
      </c>
      <c r="DW11">
        <v>1.8999999993000001</v>
      </c>
      <c r="DX11">
        <v>2.0999999997000001</v>
      </c>
      <c r="DY11">
        <v>3.6999999993000001</v>
      </c>
      <c r="DZ11">
        <v>8.2000000001999993</v>
      </c>
      <c r="EA11">
        <v>15.299999999100001</v>
      </c>
      <c r="EB11">
        <v>22.9999999992</v>
      </c>
      <c r="EC11">
        <v>30.399999999599999</v>
      </c>
      <c r="ED11">
        <v>38.300000000200001</v>
      </c>
      <c r="EE11">
        <v>46.800000000099999</v>
      </c>
      <c r="EF11">
        <v>55.3</v>
      </c>
      <c r="EG11">
        <v>63.399999999099997</v>
      </c>
      <c r="EH11">
        <v>72.099999999399998</v>
      </c>
      <c r="EI11">
        <v>80.099999999199994</v>
      </c>
      <c r="EJ11">
        <v>88.399999998699997</v>
      </c>
      <c r="EK11">
        <v>97.499999999899998</v>
      </c>
      <c r="EL11">
        <v>106.6999999985</v>
      </c>
      <c r="EM11">
        <v>115.8999999989</v>
      </c>
      <c r="EN11">
        <v>125.19999999860001</v>
      </c>
      <c r="EO11">
        <v>133.6999999985</v>
      </c>
      <c r="EP11">
        <v>142.49999999990001</v>
      </c>
      <c r="EQ11">
        <v>152</v>
      </c>
      <c r="ER11">
        <v>161.29999999980001</v>
      </c>
      <c r="ES11">
        <v>170.3999999991</v>
      </c>
      <c r="ET11">
        <v>179.29999999980001</v>
      </c>
      <c r="EU11">
        <v>188.00000000009999</v>
      </c>
      <c r="EV11">
        <v>197.5000000002</v>
      </c>
      <c r="EW11">
        <v>206.89999999919999</v>
      </c>
      <c r="EX11">
        <v>215.89999999919999</v>
      </c>
      <c r="EY11">
        <v>225.0999999997</v>
      </c>
      <c r="EZ11">
        <v>233.89999999930001</v>
      </c>
      <c r="FA11">
        <v>242.89999999930001</v>
      </c>
      <c r="FB11">
        <v>252.199999999</v>
      </c>
      <c r="FC11">
        <v>261.39999999939999</v>
      </c>
      <c r="FD11">
        <v>270.39999999939999</v>
      </c>
      <c r="FE11">
        <v>279.39999999939999</v>
      </c>
      <c r="FF11">
        <v>287.89999999939999</v>
      </c>
      <c r="FG11">
        <v>296.699999999</v>
      </c>
      <c r="FH11">
        <v>305.89999999939999</v>
      </c>
      <c r="FI11">
        <v>314.89999999939999</v>
      </c>
      <c r="FJ11">
        <v>323.39999999930001</v>
      </c>
      <c r="FK11">
        <v>331.89999999920002</v>
      </c>
      <c r="FL11">
        <v>340.00000000009999</v>
      </c>
      <c r="FM11">
        <v>348.3999999989</v>
      </c>
      <c r="FN11">
        <v>357</v>
      </c>
      <c r="FO11">
        <v>365.39999999880001</v>
      </c>
      <c r="FP11">
        <v>373.39999999859998</v>
      </c>
      <c r="FQ11">
        <v>381.29999999910001</v>
      </c>
      <c r="FR11">
        <v>388.79999999879999</v>
      </c>
      <c r="FS11">
        <v>396.39999999960003</v>
      </c>
      <c r="FT11">
        <v>404.3000000001</v>
      </c>
      <c r="FU11">
        <v>412.09999999960002</v>
      </c>
      <c r="FV11">
        <v>419.1999999985</v>
      </c>
      <c r="FW11">
        <v>426.39999999849999</v>
      </c>
      <c r="FX11">
        <v>433.39999999989999</v>
      </c>
      <c r="FY11">
        <v>439.39999999930001</v>
      </c>
      <c r="FZ11">
        <v>444.79999999929998</v>
      </c>
      <c r="GA11">
        <v>449.30000000019999</v>
      </c>
      <c r="GB11">
        <v>451.99999999929997</v>
      </c>
      <c r="GC11">
        <v>453.2999999992</v>
      </c>
      <c r="GD11">
        <v>453.99999999969998</v>
      </c>
      <c r="GE11">
        <v>454.59999999910002</v>
      </c>
      <c r="GF11">
        <v>454.79999999950002</v>
      </c>
      <c r="GG11">
        <v>454.89999999880001</v>
      </c>
      <c r="GH11">
        <v>454.89999999880001</v>
      </c>
      <c r="GI11">
        <v>454.89999999880001</v>
      </c>
      <c r="GJ11">
        <v>454.89999999880001</v>
      </c>
      <c r="GK11">
        <v>454.89999999880001</v>
      </c>
      <c r="GL11">
        <v>454.89999999880001</v>
      </c>
      <c r="GM11">
        <v>454.89999999880001</v>
      </c>
      <c r="GN11">
        <v>454.99999999990001</v>
      </c>
      <c r="GO11">
        <v>454.99999999990001</v>
      </c>
      <c r="GP11">
        <v>454.99999999990001</v>
      </c>
      <c r="GQ11">
        <v>454.99999999990001</v>
      </c>
      <c r="GR11">
        <v>454.99999999990001</v>
      </c>
      <c r="GS11">
        <v>454.99999999990001</v>
      </c>
      <c r="GT11">
        <v>455.09999999920001</v>
      </c>
      <c r="GU11">
        <v>455.09999999920001</v>
      </c>
      <c r="GV11">
        <v>455.09999999920001</v>
      </c>
      <c r="GW11">
        <v>1</v>
      </c>
      <c r="GX11">
        <v>105.7999999994</v>
      </c>
      <c r="GY11">
        <v>97.799999999600004</v>
      </c>
      <c r="GZ11">
        <v>97.799999999600004</v>
      </c>
      <c r="HA11">
        <v>115.8999999989</v>
      </c>
      <c r="HB11">
        <v>102.0495825087</v>
      </c>
      <c r="HC11">
        <v>-18.0999999993</v>
      </c>
      <c r="HD11">
        <v>455.09999999920001</v>
      </c>
      <c r="HE11">
        <v>322.93060865659999</v>
      </c>
      <c r="HF11">
        <v>78.684322127599998</v>
      </c>
      <c r="HG11">
        <v>455.09999999920001</v>
      </c>
      <c r="HH11">
        <v>455.09999999920001</v>
      </c>
      <c r="HI11">
        <v>455.09999999920001</v>
      </c>
      <c r="HJ11">
        <v>455.09999999920001</v>
      </c>
      <c r="HK11">
        <v>103.22580645159999</v>
      </c>
      <c r="HL11">
        <v>3.8902215571999998</v>
      </c>
      <c r="HM11">
        <v>3.7140085147000002</v>
      </c>
      <c r="HN11">
        <v>3.7589601497</v>
      </c>
      <c r="HO11">
        <v>3.5907846750000001</v>
      </c>
      <c r="HP11">
        <v>3.9158440617000001</v>
      </c>
      <c r="HQ11">
        <v>3.1854634361</v>
      </c>
      <c r="HR11">
        <v>23.365260381100001</v>
      </c>
      <c r="HS11">
        <v>-21.114369501500001</v>
      </c>
      <c r="HT11">
        <v>-144</v>
      </c>
      <c r="HU11">
        <v>424.98019116530003</v>
      </c>
      <c r="HV11">
        <v>84.457478005900001</v>
      </c>
      <c r="HW11">
        <v>576</v>
      </c>
      <c r="HX11">
        <v>23.365260381100001</v>
      </c>
      <c r="HY11">
        <v>-21.114369501500001</v>
      </c>
      <c r="HZ11">
        <v>-144</v>
      </c>
      <c r="IA11">
        <v>424.98019116530003</v>
      </c>
      <c r="IB11">
        <v>84.457478005900001</v>
      </c>
      <c r="IC11">
        <v>576</v>
      </c>
      <c r="ID11">
        <v>30.119808834000001</v>
      </c>
      <c r="IE11">
        <v>1.6710613048</v>
      </c>
      <c r="IF11">
        <v>-30.4985337243</v>
      </c>
      <c r="IG11">
        <v>-208</v>
      </c>
      <c r="IH11">
        <v>449.03784882470001</v>
      </c>
      <c r="II11">
        <v>93.841642228699996</v>
      </c>
      <c r="IJ11">
        <v>640</v>
      </c>
      <c r="IK11">
        <v>401.61493078410001</v>
      </c>
      <c r="IL11">
        <v>105.57184750730001</v>
      </c>
      <c r="IM11">
        <v>430.1041199732</v>
      </c>
      <c r="IN11">
        <v>114.9560117302</v>
      </c>
      <c r="IO11">
        <v>7.7000000001000002</v>
      </c>
      <c r="IP11">
        <v>7.0000000014000001</v>
      </c>
      <c r="IQ11">
        <v>9.5000000001</v>
      </c>
      <c r="IR11">
        <v>2.6263398331999999</v>
      </c>
      <c r="IS11">
        <v>2.6263398331999999</v>
      </c>
      <c r="IT11">
        <v>15.800000001000001</v>
      </c>
      <c r="IU11">
        <v>-23.460410557199999</v>
      </c>
      <c r="IV11">
        <v>20.599999999800001</v>
      </c>
      <c r="IW11">
        <v>51.612903225799997</v>
      </c>
      <c r="IX11">
        <v>13.199999999399999</v>
      </c>
      <c r="IY11">
        <v>91.495601172999997</v>
      </c>
      <c r="IZ11">
        <v>-27.5318431659</v>
      </c>
      <c r="JA11">
        <v>0.28713094080000001</v>
      </c>
      <c r="JB11">
        <v>-2.080571E-4</v>
      </c>
      <c r="JC11">
        <v>3.5709999999999999E-7</v>
      </c>
      <c r="JD11">
        <v>0.25705476799999999</v>
      </c>
      <c r="JE11">
        <v>0.18238512309999999</v>
      </c>
      <c r="JF11">
        <v>8.1764326799999995E-2</v>
      </c>
      <c r="JG11">
        <v>102.2283224434</v>
      </c>
      <c r="JH11">
        <v>3.9158440617000001</v>
      </c>
      <c r="JI11">
        <v>5.2932785E-3</v>
      </c>
      <c r="JJ11">
        <v>-7.5913800000000005E-5</v>
      </c>
      <c r="JK11">
        <v>3.8902215571999998</v>
      </c>
      <c r="JL11">
        <v>0.74912800329999996</v>
      </c>
      <c r="JM11">
        <v>0.26143182840000001</v>
      </c>
      <c r="JN11" t="s">
        <v>538</v>
      </c>
      <c r="JQ11">
        <v>1</v>
      </c>
    </row>
    <row r="12" spans="1:277">
      <c r="A12" t="s">
        <v>654</v>
      </c>
      <c r="B12" t="s">
        <v>655</v>
      </c>
      <c r="C12" t="s">
        <v>211</v>
      </c>
      <c r="D12">
        <v>3</v>
      </c>
      <c r="E12" t="s">
        <v>212</v>
      </c>
      <c r="F12" t="s">
        <v>213</v>
      </c>
      <c r="G12" t="s">
        <v>537</v>
      </c>
      <c r="H12" t="s">
        <v>215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</v>
      </c>
      <c r="R12">
        <v>0.29999999970000002</v>
      </c>
      <c r="S12">
        <v>0.29999999970000002</v>
      </c>
      <c r="T12">
        <v>0.29999999970000002</v>
      </c>
      <c r="U12">
        <v>0.39999999899999999</v>
      </c>
      <c r="V12">
        <v>0.39999999899999999</v>
      </c>
      <c r="W12">
        <v>0.39999999899999999</v>
      </c>
      <c r="X12">
        <v>0.50000000010000001</v>
      </c>
      <c r="Y12">
        <v>0.50000000010000001</v>
      </c>
      <c r="Z12">
        <v>0.59999999940000004</v>
      </c>
      <c r="AA12">
        <v>0.59999999940000004</v>
      </c>
      <c r="AB12">
        <v>0.7000000005</v>
      </c>
      <c r="AC12">
        <v>0.7000000005</v>
      </c>
      <c r="AD12">
        <v>0.7000000005</v>
      </c>
      <c r="AE12">
        <v>0.7000000005</v>
      </c>
      <c r="AF12">
        <v>0.7000000005</v>
      </c>
      <c r="AG12">
        <v>0.79999999980000003</v>
      </c>
      <c r="AH12">
        <v>0.79999999980000003</v>
      </c>
      <c r="AI12">
        <v>0.79999999980000003</v>
      </c>
      <c r="AJ12">
        <v>0.79999999980000003</v>
      </c>
      <c r="AK12">
        <v>0.89999999909999995</v>
      </c>
      <c r="AL12">
        <v>1.5000000003</v>
      </c>
      <c r="AM12">
        <v>4.9999999991999999</v>
      </c>
      <c r="AN12">
        <v>11.300000000100001</v>
      </c>
      <c r="AO12">
        <v>18.599999999400001</v>
      </c>
      <c r="AP12">
        <v>25.799999999400001</v>
      </c>
      <c r="AQ12">
        <v>33.299999999100002</v>
      </c>
      <c r="AR12">
        <v>41.799999999100002</v>
      </c>
      <c r="AS12">
        <v>50.499999999400004</v>
      </c>
      <c r="AT12">
        <v>59.199999999699997</v>
      </c>
      <c r="AU12">
        <v>67.699999999599996</v>
      </c>
      <c r="AV12">
        <v>75.999999999099998</v>
      </c>
      <c r="AW12">
        <v>84.1</v>
      </c>
      <c r="AX12">
        <v>92.999999998899995</v>
      </c>
      <c r="AY12">
        <v>102.3999999998</v>
      </c>
      <c r="AZ12">
        <v>111.6000000002</v>
      </c>
      <c r="BA12">
        <v>120.6000000002</v>
      </c>
      <c r="BB12">
        <v>128.89999999969999</v>
      </c>
      <c r="BC12">
        <v>137.1999999992</v>
      </c>
      <c r="BD12">
        <v>146.5000000007</v>
      </c>
      <c r="BE12">
        <v>155.89999999969999</v>
      </c>
      <c r="BF12">
        <v>165.1000000002</v>
      </c>
      <c r="BG12">
        <v>173.69999999940001</v>
      </c>
      <c r="BH12">
        <v>182.49999999900001</v>
      </c>
      <c r="BI12">
        <v>191.0000000007</v>
      </c>
      <c r="BJ12">
        <v>200.39999999969999</v>
      </c>
      <c r="BK12">
        <v>209.80000000050001</v>
      </c>
      <c r="BL12">
        <v>218.69999999940001</v>
      </c>
      <c r="BM12">
        <v>227.30000000050001</v>
      </c>
      <c r="BN12">
        <v>235.69999999929999</v>
      </c>
      <c r="BO12">
        <v>244.1999999992</v>
      </c>
      <c r="BP12">
        <v>253.5000000007</v>
      </c>
      <c r="BQ12">
        <v>262.60000000000002</v>
      </c>
      <c r="BR12">
        <v>271.19999999919997</v>
      </c>
      <c r="BS12">
        <v>279.69999999909999</v>
      </c>
      <c r="BT12">
        <v>287.89999999939999</v>
      </c>
      <c r="BU12">
        <v>296.00000000030002</v>
      </c>
      <c r="BV12">
        <v>304.89999999920002</v>
      </c>
      <c r="BW12">
        <v>313.70000000060003</v>
      </c>
      <c r="BX12">
        <v>322.00000000009999</v>
      </c>
      <c r="BY12">
        <v>329.90000000060002</v>
      </c>
      <c r="BZ12">
        <v>337.7</v>
      </c>
      <c r="CA12">
        <v>345.40000000020001</v>
      </c>
      <c r="CB12">
        <v>353.79999999900002</v>
      </c>
      <c r="CC12">
        <v>362.10000000029999</v>
      </c>
      <c r="CD12">
        <v>369.69999999930002</v>
      </c>
      <c r="CE12">
        <v>377.39999999939999</v>
      </c>
      <c r="CF12">
        <v>385.00000000019998</v>
      </c>
      <c r="CG12">
        <v>392.09999999910002</v>
      </c>
      <c r="CH12">
        <v>399.10000000050002</v>
      </c>
      <c r="CI12">
        <v>406.9</v>
      </c>
      <c r="CJ12">
        <v>414.39999999970001</v>
      </c>
      <c r="CK12">
        <v>421.39999999930001</v>
      </c>
      <c r="CL12">
        <v>428.5</v>
      </c>
      <c r="CM12">
        <v>433.9</v>
      </c>
      <c r="CN12">
        <v>440.00000000049999</v>
      </c>
      <c r="CO12">
        <v>447.59999999950003</v>
      </c>
      <c r="CP12">
        <v>452.19999999970003</v>
      </c>
      <c r="CQ12">
        <v>452.49999999940002</v>
      </c>
      <c r="CR12">
        <v>452.40000000010002</v>
      </c>
      <c r="CS12">
        <v>452.49999999940002</v>
      </c>
      <c r="CT12">
        <v>452.40000000010002</v>
      </c>
      <c r="CU12">
        <v>452.49999999940002</v>
      </c>
      <c r="CV12">
        <v>452.49999999940002</v>
      </c>
      <c r="CW12">
        <v>452.40000000010002</v>
      </c>
      <c r="CX12">
        <v>452.40000000010002</v>
      </c>
      <c r="CY12">
        <v>452.49999999940002</v>
      </c>
      <c r="CZ12">
        <v>452.40000000010002</v>
      </c>
      <c r="DA12">
        <v>452.40000000010002</v>
      </c>
      <c r="DB12">
        <v>452.40000000010002</v>
      </c>
      <c r="DC12">
        <v>452.40000000010002</v>
      </c>
      <c r="DD12">
        <v>452.40000000010002</v>
      </c>
      <c r="DE12">
        <v>452.40000000010002</v>
      </c>
      <c r="DF12">
        <v>452.40000000010002</v>
      </c>
      <c r="DG12">
        <v>0.20000000039999999</v>
      </c>
      <c r="DH12">
        <v>1.0000000002</v>
      </c>
      <c r="DI12">
        <v>1.0000000002</v>
      </c>
      <c r="DJ12">
        <v>1.0000000002</v>
      </c>
      <c r="DK12">
        <v>1.0999999995</v>
      </c>
      <c r="DL12">
        <v>1.0999999995</v>
      </c>
      <c r="DM12">
        <v>1.2000000006</v>
      </c>
      <c r="DN12">
        <v>1.2000000006</v>
      </c>
      <c r="DO12">
        <v>1.2000000006</v>
      </c>
      <c r="DP12">
        <v>1.2000000006</v>
      </c>
      <c r="DQ12">
        <v>1.2000000006</v>
      </c>
      <c r="DR12">
        <v>1.2000000006</v>
      </c>
      <c r="DS12">
        <v>1.2000000006</v>
      </c>
      <c r="DT12">
        <v>1.2000000006</v>
      </c>
      <c r="DU12">
        <v>1.2999999999</v>
      </c>
      <c r="DV12">
        <v>1.2999999999</v>
      </c>
      <c r="DW12">
        <v>1.2999999999</v>
      </c>
      <c r="DX12">
        <v>1.7000000007</v>
      </c>
      <c r="DY12">
        <v>2.3000000000999998</v>
      </c>
      <c r="DZ12">
        <v>2.5000000005</v>
      </c>
      <c r="EA12">
        <v>5.3000000006999999</v>
      </c>
      <c r="EB12">
        <v>12.0999999999</v>
      </c>
      <c r="EC12">
        <v>19.500000000299998</v>
      </c>
      <c r="ED12">
        <v>26.8999999989</v>
      </c>
      <c r="EE12">
        <v>34.299999999299999</v>
      </c>
      <c r="EF12">
        <v>42.799999999299999</v>
      </c>
      <c r="EG12">
        <v>51.400000000299997</v>
      </c>
      <c r="EH12">
        <v>59.999999999499998</v>
      </c>
      <c r="EI12">
        <v>68.400000000099993</v>
      </c>
      <c r="EJ12">
        <v>76.4999999992</v>
      </c>
      <c r="EK12">
        <v>84.499999998999996</v>
      </c>
      <c r="EL12">
        <v>93.300000000500006</v>
      </c>
      <c r="EM12">
        <v>102.6000000002</v>
      </c>
      <c r="EN12">
        <v>111.8999999999</v>
      </c>
      <c r="EO12">
        <v>120.80000000059999</v>
      </c>
      <c r="EP12">
        <v>129.19999999940001</v>
      </c>
      <c r="EQ12">
        <v>137.69999999929999</v>
      </c>
      <c r="ER12">
        <v>147.10000000010001</v>
      </c>
      <c r="ES12">
        <v>156.4999999991</v>
      </c>
      <c r="ET12">
        <v>165.60000000030001</v>
      </c>
      <c r="EU12">
        <v>174.49999999920001</v>
      </c>
      <c r="EV12">
        <v>183.30000000059999</v>
      </c>
      <c r="EW12">
        <v>192.30000000059999</v>
      </c>
      <c r="EX12">
        <v>201.69999999960001</v>
      </c>
      <c r="EY12">
        <v>210.9999999993</v>
      </c>
      <c r="EZ12">
        <v>220.1999999997</v>
      </c>
      <c r="FA12">
        <v>228.99999999939999</v>
      </c>
      <c r="FB12">
        <v>237.4999999993</v>
      </c>
      <c r="FC12">
        <v>246.30000000070001</v>
      </c>
      <c r="FD12">
        <v>255.79999999899999</v>
      </c>
      <c r="FE12">
        <v>264.60000000039997</v>
      </c>
      <c r="FF12">
        <v>273.49999999929997</v>
      </c>
      <c r="FG12">
        <v>282.19999999959998</v>
      </c>
      <c r="FH12">
        <v>290.39999999989999</v>
      </c>
      <c r="FI12">
        <v>299.19999999949999</v>
      </c>
      <c r="FJ12">
        <v>308.30000000059999</v>
      </c>
      <c r="FK12">
        <v>316.80000000050001</v>
      </c>
      <c r="FL12">
        <v>325.10000000000002</v>
      </c>
      <c r="FM12">
        <v>333.39999999949998</v>
      </c>
      <c r="FN12">
        <v>341.09999999960002</v>
      </c>
      <c r="FO12">
        <v>349.20000000060003</v>
      </c>
      <c r="FP12">
        <v>357.70000000049998</v>
      </c>
      <c r="FQ12">
        <v>365.59999999920001</v>
      </c>
      <c r="FR12">
        <v>373.2</v>
      </c>
      <c r="FS12">
        <v>380.90000000010002</v>
      </c>
      <c r="FT12">
        <v>388.30000000050001</v>
      </c>
      <c r="FU12">
        <v>395.39999999939999</v>
      </c>
      <c r="FV12">
        <v>402.79999999979998</v>
      </c>
      <c r="FW12">
        <v>410.4000000007</v>
      </c>
      <c r="FX12">
        <v>417.1999999999</v>
      </c>
      <c r="FY12">
        <v>423.60000000010001</v>
      </c>
      <c r="FZ12">
        <v>429.89999999920002</v>
      </c>
      <c r="GA12">
        <v>434.99999999950001</v>
      </c>
      <c r="GB12">
        <v>440.89999999960003</v>
      </c>
      <c r="GC12">
        <v>448.00000000030002</v>
      </c>
      <c r="GD12">
        <v>452.29999999900002</v>
      </c>
      <c r="GE12">
        <v>452.49999999940002</v>
      </c>
      <c r="GF12">
        <v>452.49999999940002</v>
      </c>
      <c r="GG12">
        <v>452.49999999940002</v>
      </c>
      <c r="GH12">
        <v>452.49999999940002</v>
      </c>
      <c r="GI12">
        <v>452.49999999940002</v>
      </c>
      <c r="GJ12">
        <v>452.49999999940002</v>
      </c>
      <c r="GK12">
        <v>452.40000000010002</v>
      </c>
      <c r="GL12">
        <v>452.49999999940002</v>
      </c>
      <c r="GM12">
        <v>452.40000000010002</v>
      </c>
      <c r="GN12">
        <v>452.40000000010002</v>
      </c>
      <c r="GO12">
        <v>452.40000000010002</v>
      </c>
      <c r="GP12">
        <v>452.40000000010002</v>
      </c>
      <c r="GQ12">
        <v>452.40000000010002</v>
      </c>
      <c r="GR12">
        <v>452.40000000010002</v>
      </c>
      <c r="GS12">
        <v>452.40000000010002</v>
      </c>
      <c r="GT12">
        <v>452.40000000010002</v>
      </c>
      <c r="GU12">
        <v>452.40000000010002</v>
      </c>
      <c r="GV12">
        <v>452.29999999900002</v>
      </c>
      <c r="GW12">
        <v>1</v>
      </c>
      <c r="GX12">
        <v>91.599999999700003</v>
      </c>
      <c r="GY12">
        <v>84.1</v>
      </c>
      <c r="GZ12">
        <v>84.1</v>
      </c>
      <c r="HA12">
        <v>102.6000000002</v>
      </c>
      <c r="HB12">
        <v>87.916519337099999</v>
      </c>
      <c r="HC12">
        <v>-18.500000000099998</v>
      </c>
      <c r="HD12">
        <v>452.30003314819999</v>
      </c>
      <c r="HE12">
        <v>340.94386740250002</v>
      </c>
      <c r="HF12">
        <v>68.398806630500005</v>
      </c>
      <c r="HG12">
        <v>452.49999999940002</v>
      </c>
      <c r="HH12">
        <v>452.49999999940002</v>
      </c>
      <c r="HI12">
        <v>452.49999999940002</v>
      </c>
      <c r="HJ12">
        <v>452.49999999940002</v>
      </c>
      <c r="HK12">
        <v>100.87976539589999</v>
      </c>
      <c r="HL12">
        <v>3.8154135937999998</v>
      </c>
      <c r="HM12">
        <v>3.6449952580999998</v>
      </c>
      <c r="HN12">
        <v>3.6754396399</v>
      </c>
      <c r="HO12">
        <v>3.5465784794999999</v>
      </c>
      <c r="HP12">
        <v>3.8579428472999999</v>
      </c>
      <c r="HQ12">
        <v>2.9062741536000001</v>
      </c>
      <c r="HR12">
        <v>19.517712706600001</v>
      </c>
      <c r="HS12">
        <v>-18.7683284457</v>
      </c>
      <c r="HT12">
        <v>-128</v>
      </c>
      <c r="HU12">
        <v>428.86038673949997</v>
      </c>
      <c r="HV12">
        <v>91.495601172999997</v>
      </c>
      <c r="HW12">
        <v>624</v>
      </c>
      <c r="HX12">
        <v>19.517712706600001</v>
      </c>
      <c r="HY12">
        <v>-18.7683284457</v>
      </c>
      <c r="HZ12">
        <v>-128</v>
      </c>
      <c r="IA12">
        <v>428.86038673949997</v>
      </c>
      <c r="IB12">
        <v>91.495601172999997</v>
      </c>
      <c r="IC12">
        <v>624</v>
      </c>
      <c r="ID12">
        <v>23.639613259899999</v>
      </c>
      <c r="IE12">
        <v>0.93014364549999995</v>
      </c>
      <c r="IF12">
        <v>-28.152492668600001</v>
      </c>
      <c r="IG12">
        <v>-192</v>
      </c>
      <c r="IH12">
        <v>452.12739226420001</v>
      </c>
      <c r="II12">
        <v>100.87976539589999</v>
      </c>
      <c r="IJ12">
        <v>688</v>
      </c>
      <c r="IK12">
        <v>409.34267403299998</v>
      </c>
      <c r="IL12">
        <v>110.26392961880001</v>
      </c>
      <c r="IM12">
        <v>435.01967955840001</v>
      </c>
      <c r="IN12">
        <v>119.6480938416</v>
      </c>
      <c r="IO12">
        <v>7.4000000004000004</v>
      </c>
      <c r="IP12">
        <v>7.5999999989999996</v>
      </c>
      <c r="IQ12">
        <v>9.4999999982999999</v>
      </c>
      <c r="IR12">
        <v>3.4864730766999998</v>
      </c>
      <c r="IS12">
        <v>3.4864730766999998</v>
      </c>
      <c r="IT12">
        <v>15.5999999988</v>
      </c>
      <c r="IU12">
        <v>-21.114369501500001</v>
      </c>
      <c r="IV12">
        <v>20.800000000200001</v>
      </c>
      <c r="IW12">
        <v>56.304985337200002</v>
      </c>
      <c r="IX12">
        <v>14.1000000003</v>
      </c>
      <c r="IY12">
        <v>98.533724340199996</v>
      </c>
      <c r="IZ12">
        <v>-24.2310024053</v>
      </c>
      <c r="JA12">
        <v>0.29218821299999997</v>
      </c>
      <c r="JB12">
        <v>-2.382691E-4</v>
      </c>
      <c r="JC12">
        <v>4.2969999999999999E-7</v>
      </c>
      <c r="JD12">
        <v>0.26209478349999998</v>
      </c>
      <c r="JE12">
        <v>0.35203157839999999</v>
      </c>
      <c r="JF12">
        <v>0.10430892260000001</v>
      </c>
      <c r="JG12">
        <v>88.473605234299995</v>
      </c>
      <c r="JH12">
        <v>3.8579428472999999</v>
      </c>
      <c r="JI12">
        <v>5.9978236000000004E-3</v>
      </c>
      <c r="JJ12">
        <v>-8.1595500000000002E-5</v>
      </c>
      <c r="JK12">
        <v>3.8154135937999998</v>
      </c>
      <c r="JL12">
        <v>0.79907162040000002</v>
      </c>
      <c r="JM12">
        <v>0.25031493049999998</v>
      </c>
      <c r="JN12" t="s">
        <v>538</v>
      </c>
      <c r="JQ12">
        <v>1</v>
      </c>
    </row>
    <row r="13" spans="1:277">
      <c r="A13" t="s">
        <v>666</v>
      </c>
      <c r="B13" t="s">
        <v>667</v>
      </c>
      <c r="C13" t="s">
        <v>211</v>
      </c>
      <c r="D13">
        <v>3</v>
      </c>
      <c r="E13" t="s">
        <v>212</v>
      </c>
      <c r="F13" t="s">
        <v>213</v>
      </c>
      <c r="G13" t="s">
        <v>537</v>
      </c>
      <c r="H13" t="s">
        <v>215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1.2999999999</v>
      </c>
      <c r="R13">
        <v>0.69999999869999996</v>
      </c>
      <c r="S13">
        <v>0.69999999869999996</v>
      </c>
      <c r="T13">
        <v>0.69999999869999996</v>
      </c>
      <c r="U13">
        <v>0.69999999869999996</v>
      </c>
      <c r="V13">
        <v>0.69999999869999996</v>
      </c>
      <c r="W13">
        <v>0.59999999940000004</v>
      </c>
      <c r="X13">
        <v>0.59999999940000004</v>
      </c>
      <c r="Y13">
        <v>0.59999999940000004</v>
      </c>
      <c r="Z13">
        <v>0.59999999940000004</v>
      </c>
      <c r="AA13">
        <v>0.50000000010000001</v>
      </c>
      <c r="AB13">
        <v>0.50000000010000001</v>
      </c>
      <c r="AC13">
        <v>0.39999999899999999</v>
      </c>
      <c r="AD13">
        <v>0.39999999899999999</v>
      </c>
      <c r="AE13">
        <v>0.39999999899999999</v>
      </c>
      <c r="AF13">
        <v>0.39999999899999999</v>
      </c>
      <c r="AG13">
        <v>0.29999999970000002</v>
      </c>
      <c r="AH13">
        <v>0.19999999860000001</v>
      </c>
      <c r="AI13">
        <v>0</v>
      </c>
      <c r="AJ13">
        <v>0</v>
      </c>
      <c r="AK13">
        <v>2.9999999987999999</v>
      </c>
      <c r="AL13">
        <v>9.5999999993999996</v>
      </c>
      <c r="AM13">
        <v>17.200000000199999</v>
      </c>
      <c r="AN13">
        <v>24.799999999200001</v>
      </c>
      <c r="AO13">
        <v>31.699999999500001</v>
      </c>
      <c r="AP13">
        <v>39.499999999000003</v>
      </c>
      <c r="AQ13">
        <v>47.699999999200003</v>
      </c>
      <c r="AR13">
        <v>55.699999998999999</v>
      </c>
      <c r="AS13">
        <v>64.099999999600001</v>
      </c>
      <c r="AT13">
        <v>72.5999999995</v>
      </c>
      <c r="AU13">
        <v>80.200000000299994</v>
      </c>
      <c r="AV13">
        <v>88.099999999000005</v>
      </c>
      <c r="AW13">
        <v>96.599999998900003</v>
      </c>
      <c r="AX13">
        <v>105.0999999989</v>
      </c>
      <c r="AY13">
        <v>113.6999999999</v>
      </c>
      <c r="AZ13">
        <v>122.7999999992</v>
      </c>
      <c r="BA13">
        <v>130.6999999997</v>
      </c>
      <c r="BB13">
        <v>138.6000000002</v>
      </c>
      <c r="BC13">
        <v>147.4999999991</v>
      </c>
      <c r="BD13">
        <v>156.1000000002</v>
      </c>
      <c r="BE13">
        <v>164.8999999998</v>
      </c>
      <c r="BF13">
        <v>173.8999999998</v>
      </c>
      <c r="BG13">
        <v>182.1</v>
      </c>
      <c r="BH13">
        <v>190.19999999909999</v>
      </c>
      <c r="BI13">
        <v>199.09999999979999</v>
      </c>
      <c r="BJ13">
        <v>207.699999999</v>
      </c>
      <c r="BK13">
        <v>216.4999999986</v>
      </c>
      <c r="BL13">
        <v>225.4999999986</v>
      </c>
      <c r="BM13">
        <v>233.39999999919999</v>
      </c>
      <c r="BN13">
        <v>241.39999999899999</v>
      </c>
      <c r="BO13">
        <v>250</v>
      </c>
      <c r="BP13">
        <v>258.49999999990001</v>
      </c>
      <c r="BQ13">
        <v>266.99999999980002</v>
      </c>
      <c r="BR13">
        <v>275.79999999939997</v>
      </c>
      <c r="BS13">
        <v>283.7</v>
      </c>
      <c r="BT13">
        <v>291.49999999940002</v>
      </c>
      <c r="BU13">
        <v>299.79999999889998</v>
      </c>
      <c r="BV13">
        <v>307.9999999991</v>
      </c>
      <c r="BW13">
        <v>316.10000000000002</v>
      </c>
      <c r="BX13">
        <v>324.49999999879998</v>
      </c>
      <c r="BY13">
        <v>332.39999999930001</v>
      </c>
      <c r="BZ13">
        <v>339.5999999993</v>
      </c>
      <c r="CA13">
        <v>347.39999999870003</v>
      </c>
      <c r="CB13">
        <v>355.2</v>
      </c>
      <c r="CC13">
        <v>362.79999999900002</v>
      </c>
      <c r="CD13">
        <v>370.4999999991</v>
      </c>
      <c r="CE13">
        <v>378.39999999960003</v>
      </c>
      <c r="CF13">
        <v>385.50000000030002</v>
      </c>
      <c r="CG13">
        <v>392.29999999950002</v>
      </c>
      <c r="CH13">
        <v>399.5999999988</v>
      </c>
      <c r="CI13">
        <v>406.9</v>
      </c>
      <c r="CJ13">
        <v>413.99999999890002</v>
      </c>
      <c r="CK13">
        <v>421.19999999890001</v>
      </c>
      <c r="CL13">
        <v>428.09999999920001</v>
      </c>
      <c r="CM13">
        <v>433.60000000029999</v>
      </c>
      <c r="CN13">
        <v>435.7</v>
      </c>
      <c r="CO13">
        <v>435.59999999889999</v>
      </c>
      <c r="CP13">
        <v>435.49999999959999</v>
      </c>
      <c r="CQ13">
        <v>435.49999999959999</v>
      </c>
      <c r="CR13">
        <v>435.2999999992</v>
      </c>
      <c r="CS13">
        <v>435.2999999992</v>
      </c>
      <c r="CT13">
        <v>435.1999999999</v>
      </c>
      <c r="CU13">
        <v>435.1999999999</v>
      </c>
      <c r="CV13">
        <v>434.99999999950001</v>
      </c>
      <c r="CW13">
        <v>434.99999999950001</v>
      </c>
      <c r="CX13">
        <v>434.90000000020001</v>
      </c>
      <c r="CY13">
        <v>434.79999999910001</v>
      </c>
      <c r="CZ13">
        <v>434.79999999910001</v>
      </c>
      <c r="DA13">
        <v>434.69999999980001</v>
      </c>
      <c r="DB13">
        <v>434.69999999980001</v>
      </c>
      <c r="DC13">
        <v>434.59999999870001</v>
      </c>
      <c r="DD13">
        <v>434.59999999870001</v>
      </c>
      <c r="DE13">
        <v>434.49999999940002</v>
      </c>
      <c r="DF13">
        <v>434.49999999940002</v>
      </c>
      <c r="DG13">
        <v>1.1999999988000001</v>
      </c>
      <c r="DH13">
        <v>0.79999999980000003</v>
      </c>
      <c r="DI13">
        <v>0.79999999980000003</v>
      </c>
      <c r="DJ13">
        <v>0.69999999869999996</v>
      </c>
      <c r="DK13">
        <v>0.69999999869999996</v>
      </c>
      <c r="DL13">
        <v>0.59999999940000004</v>
      </c>
      <c r="DM13">
        <v>0.59999999940000004</v>
      </c>
      <c r="DN13">
        <v>0.59999999940000004</v>
      </c>
      <c r="DO13">
        <v>0.59999999940000004</v>
      </c>
      <c r="DP13">
        <v>0.50000000010000001</v>
      </c>
      <c r="DQ13">
        <v>0.50000000010000001</v>
      </c>
      <c r="DR13">
        <v>0.39999999899999999</v>
      </c>
      <c r="DS13">
        <v>0.39999999899999999</v>
      </c>
      <c r="DT13">
        <v>0.29999999970000002</v>
      </c>
      <c r="DU13">
        <v>0.29999999970000002</v>
      </c>
      <c r="DV13">
        <v>0.29999999970000002</v>
      </c>
      <c r="DW13">
        <v>0.19999999860000001</v>
      </c>
      <c r="DX13">
        <v>0.19999999860000001</v>
      </c>
      <c r="DY13">
        <v>2.3999999993999999</v>
      </c>
      <c r="DZ13">
        <v>8.8999999989000003</v>
      </c>
      <c r="EA13">
        <v>16.499999999700002</v>
      </c>
      <c r="EB13">
        <v>24.199999999799999</v>
      </c>
      <c r="EC13">
        <v>31.100000000200001</v>
      </c>
      <c r="ED13">
        <v>38.800000000300003</v>
      </c>
      <c r="EE13">
        <v>46.800000000099999</v>
      </c>
      <c r="EF13">
        <v>54.899999999199999</v>
      </c>
      <c r="EG13">
        <v>63.099999999399998</v>
      </c>
      <c r="EH13">
        <v>71.699999998600006</v>
      </c>
      <c r="EI13">
        <v>79.299999999400001</v>
      </c>
      <c r="EJ13">
        <v>86.799999999099995</v>
      </c>
      <c r="EK13">
        <v>95.400000000199995</v>
      </c>
      <c r="EL13">
        <v>103.90000000009999</v>
      </c>
      <c r="EM13">
        <v>112.4</v>
      </c>
      <c r="EN13">
        <v>121.4</v>
      </c>
      <c r="EO13">
        <v>129.6000000002</v>
      </c>
      <c r="EP13">
        <v>137.3999999996</v>
      </c>
      <c r="EQ13">
        <v>146.09999999990001</v>
      </c>
      <c r="ER13">
        <v>154.8000000003</v>
      </c>
      <c r="ES13">
        <v>163.49999999869999</v>
      </c>
      <c r="ET13">
        <v>172.49999999880001</v>
      </c>
      <c r="EU13">
        <v>180.89999999939999</v>
      </c>
      <c r="EV13">
        <v>189.00000000029999</v>
      </c>
      <c r="EW13">
        <v>197.89999999919999</v>
      </c>
      <c r="EX13">
        <v>206.5999999995</v>
      </c>
      <c r="EY13">
        <v>215.19999999870001</v>
      </c>
      <c r="EZ13">
        <v>224.2999999999</v>
      </c>
      <c r="FA13">
        <v>232.59999999940001</v>
      </c>
      <c r="FB13">
        <v>240.49999999990001</v>
      </c>
      <c r="FC13">
        <v>249.09999999909999</v>
      </c>
      <c r="FD13">
        <v>257.59999999899998</v>
      </c>
      <c r="FE13">
        <v>266.2</v>
      </c>
      <c r="FF13">
        <v>274.99999999959999</v>
      </c>
      <c r="FG13">
        <v>283.09999999870001</v>
      </c>
      <c r="FH13">
        <v>290.79999999889998</v>
      </c>
      <c r="FI13">
        <v>299.19999999949999</v>
      </c>
      <c r="FJ13">
        <v>307.19999999930002</v>
      </c>
      <c r="FK13">
        <v>315.30000000019999</v>
      </c>
      <c r="FL13">
        <v>323.699999999</v>
      </c>
      <c r="FM13">
        <v>331.69999999880002</v>
      </c>
      <c r="FN13">
        <v>338.89999999880001</v>
      </c>
      <c r="FO13">
        <v>346.49999999969998</v>
      </c>
      <c r="FP13">
        <v>354.40000000020001</v>
      </c>
      <c r="FQ13">
        <v>362.19999999959998</v>
      </c>
      <c r="FR13">
        <v>369.79999999860001</v>
      </c>
      <c r="FS13">
        <v>377.49999999869999</v>
      </c>
      <c r="FT13">
        <v>384.69999999869998</v>
      </c>
      <c r="FU13">
        <v>391.39999999859998</v>
      </c>
      <c r="FV13">
        <v>398.59999999860003</v>
      </c>
      <c r="FW13">
        <v>405.79999999860001</v>
      </c>
      <c r="FX13">
        <v>412.8000000001</v>
      </c>
      <c r="FY13">
        <v>419.69999999859999</v>
      </c>
      <c r="FZ13">
        <v>426.49999999959999</v>
      </c>
      <c r="GA13">
        <v>432.19999999930002</v>
      </c>
      <c r="GB13">
        <v>435.0999999988</v>
      </c>
      <c r="GC13">
        <v>435.59999999889999</v>
      </c>
      <c r="GD13">
        <v>435.4000000003</v>
      </c>
      <c r="GE13">
        <v>435.4000000003</v>
      </c>
      <c r="GF13">
        <v>435.2999999992</v>
      </c>
      <c r="GG13">
        <v>435.2999999992</v>
      </c>
      <c r="GH13">
        <v>435.0999999988</v>
      </c>
      <c r="GI13">
        <v>435.0999999988</v>
      </c>
      <c r="GJ13">
        <v>434.99999999950001</v>
      </c>
      <c r="GK13">
        <v>434.99999999950001</v>
      </c>
      <c r="GL13">
        <v>434.90000000020001</v>
      </c>
      <c r="GM13">
        <v>434.79999999910001</v>
      </c>
      <c r="GN13">
        <v>434.79999999910001</v>
      </c>
      <c r="GO13">
        <v>434.69999999980001</v>
      </c>
      <c r="GP13">
        <v>434.69999999980001</v>
      </c>
      <c r="GQ13">
        <v>434.59999999870001</v>
      </c>
      <c r="GR13">
        <v>434.59999999870001</v>
      </c>
      <c r="GS13">
        <v>434.59999999870001</v>
      </c>
      <c r="GT13">
        <v>434.49999999940002</v>
      </c>
      <c r="GU13">
        <v>434.49999999940002</v>
      </c>
      <c r="GV13">
        <v>434.49999999940002</v>
      </c>
      <c r="GW13">
        <v>1</v>
      </c>
      <c r="GX13">
        <v>102.19999999940001</v>
      </c>
      <c r="GY13">
        <v>96.599999998900003</v>
      </c>
      <c r="GZ13">
        <v>96.599999998900003</v>
      </c>
      <c r="HA13">
        <v>112.4</v>
      </c>
      <c r="HB13">
        <v>100.390839168</v>
      </c>
      <c r="HC13">
        <v>-15.800000001000001</v>
      </c>
      <c r="HD13">
        <v>434.49999999940002</v>
      </c>
      <c r="HE13">
        <v>304.27783262489999</v>
      </c>
      <c r="HF13">
        <v>82.420123980100001</v>
      </c>
      <c r="HG13">
        <v>435.7</v>
      </c>
      <c r="HH13">
        <v>435.59563769829998</v>
      </c>
      <c r="HI13">
        <v>435.7</v>
      </c>
      <c r="HJ13">
        <v>435.59999999889999</v>
      </c>
      <c r="HK13">
        <v>96.187683284499997</v>
      </c>
      <c r="HL13">
        <v>3.6593666533000002</v>
      </c>
      <c r="HM13">
        <v>3.5299284820999999</v>
      </c>
      <c r="HN13">
        <v>3.5319031504999998</v>
      </c>
      <c r="HO13">
        <v>3.3630370943000001</v>
      </c>
      <c r="HP13">
        <v>3.6908742282000002</v>
      </c>
      <c r="HQ13">
        <v>3.019432391</v>
      </c>
      <c r="HR13">
        <v>17.970715187900002</v>
      </c>
      <c r="HS13">
        <v>-23.460410557199999</v>
      </c>
      <c r="HT13">
        <v>-160</v>
      </c>
      <c r="HU13">
        <v>404.66867179299999</v>
      </c>
      <c r="HV13">
        <v>84.457478005900001</v>
      </c>
      <c r="HW13">
        <v>576</v>
      </c>
      <c r="HX13">
        <v>17.970715187900002</v>
      </c>
      <c r="HY13">
        <v>-23.460410557199999</v>
      </c>
      <c r="HZ13">
        <v>-160</v>
      </c>
      <c r="IA13">
        <v>404.66867179299999</v>
      </c>
      <c r="IB13">
        <v>84.457478005900001</v>
      </c>
      <c r="IC13">
        <v>576</v>
      </c>
      <c r="ID13">
        <v>30.926965905399999</v>
      </c>
      <c r="IE13">
        <v>6.6123292000000002E-3</v>
      </c>
      <c r="IF13">
        <v>-32.844574780099997</v>
      </c>
      <c r="IG13">
        <v>-224</v>
      </c>
      <c r="IH13">
        <v>431.97648949529997</v>
      </c>
      <c r="II13">
        <v>93.841642228699996</v>
      </c>
      <c r="IJ13">
        <v>640</v>
      </c>
      <c r="IK13">
        <v>386.697956605</v>
      </c>
      <c r="IL13">
        <v>107.91788856300001</v>
      </c>
      <c r="IM13">
        <v>415.74390999870002</v>
      </c>
      <c r="IN13">
        <v>117.3020527859</v>
      </c>
      <c r="IO13">
        <v>7.6000000007999997</v>
      </c>
      <c r="IP13">
        <v>7.2</v>
      </c>
      <c r="IQ13">
        <v>9.1000000010999997</v>
      </c>
      <c r="IR13">
        <v>2.3846631306999999</v>
      </c>
      <c r="IS13">
        <v>2.3846631306999999</v>
      </c>
      <c r="IT13">
        <v>14.6000000004</v>
      </c>
      <c r="IU13">
        <v>-25.806451612899998</v>
      </c>
      <c r="IV13">
        <v>16.600000000800001</v>
      </c>
      <c r="IW13">
        <v>30.4985337243</v>
      </c>
      <c r="IX13">
        <v>12.5000000007</v>
      </c>
      <c r="IY13">
        <v>91.495601172999997</v>
      </c>
      <c r="IZ13">
        <v>-28.728870743600002</v>
      </c>
      <c r="JA13">
        <v>0.30422851150000002</v>
      </c>
      <c r="JB13">
        <v>-2.248839E-4</v>
      </c>
      <c r="JC13">
        <v>4.0530000000000001E-7</v>
      </c>
      <c r="JD13">
        <v>0.27327133209999999</v>
      </c>
      <c r="JE13">
        <v>0.1347097152</v>
      </c>
      <c r="JF13">
        <v>6.50874657E-2</v>
      </c>
      <c r="JG13">
        <v>100.65423527279999</v>
      </c>
      <c r="JH13">
        <v>3.6908742282000002</v>
      </c>
      <c r="JI13">
        <v>4.6039729000000003E-3</v>
      </c>
      <c r="JJ13">
        <v>-6.7718499999999999E-5</v>
      </c>
      <c r="JK13">
        <v>3.6593666533000002</v>
      </c>
      <c r="JL13">
        <v>0.4975118382</v>
      </c>
      <c r="JM13">
        <v>0.24096347279999999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66.031880866700007</v>
      </c>
      <c r="D16" s="9">
        <f>AVERAGE(C18:C20)</f>
        <v>67.939998585766659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71.7829872585</v>
      </c>
      <c r="D17" s="9">
        <f>AVERAGE(C21:C23)</f>
        <v>72.314148578933342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71.607192546799993</v>
      </c>
      <c r="D18" s="11">
        <f>AVERAGE(C24:C26)</f>
        <v>67.501658007233331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67.642053469999993</v>
      </c>
      <c r="D19" s="6">
        <f>AVERAGE('Summary(3pcs)'!E34:E35)</f>
        <v>162.02116333603789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64.570749740500005</v>
      </c>
      <c r="D20" s="9">
        <f>AVERAGE('Summary(3pcs)'!E36:E38)</f>
        <v>160.10919464803791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77.114505767300003</v>
      </c>
      <c r="D21" s="9">
        <f>AVERAGE('Summary(3pcs)'!E39:E41)</f>
        <v>152.59328746087121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69.849339136899999</v>
      </c>
      <c r="D22" s="11">
        <f>AVERAGE('Summary(3pcs)'!E42:E44)</f>
        <v>155.6336791399379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69.978600832599994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63.8426364177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69.7064450763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68.955892527700001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-4.5475631122999998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-3.4842407950999998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-4.5984827736999998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-6.9625783815000002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-4.9748862621000001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-4.0647550404999997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-2.2681836050999999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2.5579177442000001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-4.8982162656499995</v>
      </c>
      <c r="C39" s="5">
        <f>'Summary(3pcs)'!M34</f>
        <v>-4.5475631122999998</v>
      </c>
      <c r="D39" s="11">
        <f t="shared" si="0"/>
        <v>-3.5530919446999998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-3.4842407950999998</v>
      </c>
      <c r="D40" s="6">
        <f t="shared" si="0"/>
        <v>6.8818259705999996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-4.5984827736999998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-6.9625783815000002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-2.1874767908749995</v>
      </c>
      <c r="C43" s="8">
        <f>'Summary(3pcs)'!M39</f>
        <v>-4.9748862621000001</v>
      </c>
      <c r="D43" s="6">
        <f t="shared" ref="D43:D54" si="2">C55</f>
        <v>3.5247553634000002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-4.0647550404999997</v>
      </c>
      <c r="D44" s="9">
        <f t="shared" si="2"/>
        <v>-2.2599976824999999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-2.2681836050999999</v>
      </c>
      <c r="D45" s="11">
        <f t="shared" si="2"/>
        <v>5.4578448497999998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2.5579177442000001</v>
      </c>
      <c r="D46" s="6">
        <f t="shared" si="2"/>
        <v>3.1949974179999998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-3.5530919446999998</v>
      </c>
      <c r="D47" s="9">
        <f t="shared" si="2"/>
        <v>4.1320439627000001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6.8818259705999996</v>
      </c>
      <c r="D48" s="11">
        <f t="shared" si="2"/>
        <v>0.83263585120000005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0.7728405263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3.2801643943999998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1.0319854454000001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-6.3913149386000008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2.4793999871749999</v>
      </c>
      <c r="C55" s="5">
        <f>'Summary(3pcs)'!N34</f>
        <v>3.5247553634000002</v>
      </c>
      <c r="D55" s="6">
        <f>AVERAGE(D31:D33)</f>
        <v>-4.2100955603666668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-2.2599976824999999</v>
      </c>
      <c r="D56" s="9">
        <f>AVERAGE(D34:D36)</f>
        <v>-5.3340732280333327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5.4578448497999998</v>
      </c>
      <c r="D57" s="9">
        <f>AVERAGE(D37:D39)</f>
        <v>-1.0877859351999999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3.1949974179999998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2.2544211836499999</v>
      </c>
      <c r="C59" s="8">
        <f>'Summary(3pcs)'!N39</f>
        <v>4.1320439627000001</v>
      </c>
      <c r="D59" s="9">
        <f>AVERAGE(D43:D45)</f>
        <v>2.2408675102333331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0.83263585120000005</v>
      </c>
      <c r="D60" s="9">
        <f>AVERAGE(D46:D48)</f>
        <v>2.7198924106333333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0.7728405263</v>
      </c>
      <c r="D61" s="9">
        <f>AVERAGE(D49:D51)</f>
        <v>1.6949967886999999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3.2801643943999998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1.0319854454000001</v>
      </c>
      <c r="D63" s="6">
        <f>AVERAGE(C71:C73)</f>
        <v>-5.6011381943333332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-6.3913149386000008</v>
      </c>
      <c r="D64" s="9">
        <f>AVERAGE(C74:C76)</f>
        <v>1.1974114576666666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-4.4191357293333331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-2.5184564193000001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1.5090947153333332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2.5861798923333335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2.6341446639999995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3.8171349366666667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-5.0843076710000004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-4.8949940200000004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-6.8241128920000005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2.1674818990000002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-2.7124869820000002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4.1372394559999996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-11.395816326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0.84077119799999966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-2.70236206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-5.3313282728000004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-2.6705918311999999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0.44655084610000007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0.47864747099999994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-1.312976599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5.3616132739999998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1.3514223100000002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0.90821599999999991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5.4989013670000002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-2.5896807910000001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0.57951903299999996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9.9125957499999995</v>
      </c>
    </row>
    <row r="96" spans="1:7">
      <c r="A96" s="1" t="s">
        <v>87</v>
      </c>
      <c r="C96" s="5">
        <f>'Summary(3pcs)'!W43</f>
        <v>2.8471755980999998</v>
      </c>
    </row>
    <row r="97" spans="1:3">
      <c r="A97" s="1" t="s">
        <v>87</v>
      </c>
      <c r="C97" s="8">
        <f>'Summary(3pcs)'!W44</f>
        <v>0.71936535840000015</v>
      </c>
    </row>
    <row r="98" spans="1:3" ht="17.25" thickBot="1">
      <c r="A98" s="1" t="s">
        <v>87</v>
      </c>
      <c r="C98" s="10">
        <f>'Summary(3pcs)'!W45</f>
        <v>7.8848638535000006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