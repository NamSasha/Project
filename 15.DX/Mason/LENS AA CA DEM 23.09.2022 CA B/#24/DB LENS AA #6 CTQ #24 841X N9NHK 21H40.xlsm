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<sst xmlns="http://schemas.openxmlformats.org/spreadsheetml/2006/main" count="1419" uniqueCount="671">
  <si>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</si>
  <si>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</si>
  <si>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</si>
  <si>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</si>
  <si>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</si>
  <si>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</si>
  <si>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</si>
  <si>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</si>
  <si>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</si>
  <si>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</si>
  <si>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</si>
  <si>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</si>
  <si>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</si>
  <si>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</si>
  <si>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</si>
  <si>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</si>
  <si>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</si>
  <si>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</si>
  <si>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</si>
  <si>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</si>
  <si>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</si>
  <si>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</si>
  <si>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</si>
  <si>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</si>
  <si>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</si>
  <si>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</si>
  <si>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</si>
  <si>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</si>
  <si>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</si>
  <si>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</si>
  <si>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</si>
  <si>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</si>
  <si>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</si>
  <si>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</si>
  <si>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</si>
  <si>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</si>
  <si>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</si>
  <si>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</si>
  <si>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</si>
  <si>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</si>
  <si>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</si>
  <si>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</si>
  <si>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</si>
  <si>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</si>
  <si>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</si>
  <si>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</si>
  <si>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</si>
  <si>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</si>
  <si>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</si>
  <si>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</si>
  <si>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</si>
  <si>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</si>
  <si>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</si>
  <si>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</si>
  <si>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</si>
  <si>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</si>
  <si>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</si>
  <si>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</si>
  <si>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</si>
  <si>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</si>
  <si>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</si>
  <si>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</si>
  <si>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</si>
  <si>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</si>
  <si>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</si>
  <si>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</si>
  <si>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</si>
  <si>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</si>
  <si>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</si>
  <si>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</si>
  <si>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</si>
  <si>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</si>
  <si>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</si>
  <si>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</si>
  <si>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</si>
  <si>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</si>
  <si>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</si>
  <si>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</si>
  <si>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</si>
  <si>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</si>
  <si>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</si>
  <si>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</si>
  <si>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</si>
  <si>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</si>
  <si>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</si>
  <si>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</si>
  <si>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</si>
  <si>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</si>
  <si>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</si>
  <si>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</si>
  <si>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</si>
  <si>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</si>
  <si>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</si>
  <si>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</si>
  <si>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</si>
  <si>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</si>
  <si>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</si>
  <si>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</si>
  <si>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</si>
  <si>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</si>
  <si>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</si>
  <si>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</si>
  <si>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</si>
  <si>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</si>
  <si>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</si>
  <si>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</si>
  <si>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</si>
  <si>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</si>
  <si>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</si>
  <si>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</si>
  <si>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</si>
  <si>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</si>
  <si>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</si>
  <si>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</si>
  <si>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</si>
  <si>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</si>
  <si>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</si>
  <si>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</si>
  <si>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</si>
  <si>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</si>
  <si>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</si>
  <si>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</si>
  <si>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</si>
  <si>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</si>
  <si>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</si>
  <si>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</si>
  <si>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</si>
  <si>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</si>
  <si>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</si>
  <si>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</si>
  <si>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</si>
  <si>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</si>
  <si>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</si>
  <si>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</si>
  <si>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</si>
  <si>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</si>
  <si>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</si>
  <si>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</si>
  <si>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</si>
  <si>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</si>
  <si>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</si>
  <si>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</si>
  <si>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</si>
  <si>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</si>
  <si>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</si>
  <si>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</si>
  <si>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</si>
  <si>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</si>
  <si>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</si>
  <si>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</si>
  <si>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</si>
  <si>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</si>
  <si>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</si>
  <si>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</si>
  <si>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</si>
  <si>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</si>
  <si>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</si>
  <si>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</si>
  <si>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</si>
  <si>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</si>
  <si>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</si>
  <si>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</si>
  <si>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</si>
  <si>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</si>
  <si>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</si>
  <si>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</si>
  <si>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</si>
  <si>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</si>
  <si>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</si>
  <si>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</si>
  <si>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</si>
  <si>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</si>
  <si>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</si>
  <si>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VSY841XN9NHK_2022092319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</si>
  <si>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</si>
  <si>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</si>
  <si>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</si>
  <si>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</si>
  <si>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</si>
  <si>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</si>
  <si>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</si>
  <si>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</si>
  <si>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</si>
  <si>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</si>
  <si>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</si>
  <si>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</si>
  <si>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</si>
  <si>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</si>
  <si>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</si>
  <si>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</si>
  <si>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</si>
  <si>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</si>
  <si>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</si>
  <si>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</si>
  <si>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</si>
  <si>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</si>
  <si>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</si>
  <si>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</si>
  <si>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</si>
  <si>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</si>
  <si>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</si>
  <si>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</si>
  <si>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</si>
  <si>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</si>
  <si>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</si>
  <si>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</si>
  <si>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</si>
  <si>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</si>
  <si>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</si>
  <si>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</si>
  <si>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T220923192125391VCMLEBC060</t>
  </si>
  <si>
    <t>'2022-09-23 19:21:34:635</t>
  </si>
  <si>
    <t>VCMLEBC060A</t>
  </si>
  <si>
    <t>DB_C1001</t>
  </si>
  <si>
    <t>210615ADOE</t>
  </si>
  <si>
    <t>R13A_OC_MFG_C10_21091603_b1779c9</t>
  </si>
  <si>
    <t xml:space="preserve"> VSY841XN9NHK</t>
  </si>
  <si>
    <t>22cb87160152</t>
  </si>
  <si>
    <t>0x52800662eb6ef701</t>
  </si>
  <si>
    <t>MFEC387EB15LB3B6B135002116</t>
  </si>
  <si>
    <t>MF4C3444ABR614A7A631</t>
  </si>
  <si>
    <t>DNA22245034800M13A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</si>
  <si>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</si>
  <si>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</si>
  <si>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</si>
  <si>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</si>
  <si>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</si>
  <si>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</si>
  <si>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T220923192230635VCMLEBC060</t>
  </si>
  <si>
    <t>'2022-09-23 19:22:39:852</t>
  </si>
  <si>
    <t>22cb87160307</t>
  </si>
  <si>
    <t>0x52800662eb724601</t>
  </si>
  <si>
    <t>MFEC387EB16GB3B6B035005141</t>
  </si>
  <si>
    <t>MF4C3444ABPY14A7A634</t>
  </si>
  <si>
    <t>DNA22245034800M06A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</si>
  <si>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</si>
  <si>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</si>
  <si>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</si>
  <si>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</si>
  <si>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</si>
  <si>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</si>
  <si>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</si>
  <si>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</si>
  <si>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</si>
  <si>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</si>
  <si>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</si>
  <si>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</si>
  <si>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</si>
  <si>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</si>
  <si>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</si>
  <si>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</si>
  <si>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</si>
  <si>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</si>
  <si>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</si>
  <si>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</si>
  <si>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</si>
  <si>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</si>
  <si>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</si>
  <si>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</si>
  <si>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</si>
  <si>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</si>
  <si>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</si>
  <si>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</si>
  <si>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</si>
  <si>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</si>
  <si>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</si>
  <si>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T220923192152071VCMLEBC060</t>
  </si>
  <si>
    <t>'2022-09-23 19:22:21:689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</si>
  <si>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</si>
  <si>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</si>
  <si>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</si>
  <si>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</si>
  <si>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</si>
  <si>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</si>
  <si>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</si>
  <si>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</si>
  <si>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</si>
  <si>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</si>
  <si>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</si>
  <si>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</si>
  <si>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</si>
  <si>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</si>
  <si>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</si>
  <si>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</si>
  <si>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19:22:11:664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</si>
  <si>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</si>
  <si>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</si>
  <si>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</si>
  <si>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</si>
  <si>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</si>
  <si>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</si>
  <si>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</si>
  <si>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</si>
  <si>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</si>
  <si>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</si>
  <si>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</si>
  <si>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</si>
  <si>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</si>
  <si>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</si>
  <si>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</si>
  <si>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</si>
  <si>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</si>
  <si>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</si>
  <si>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</si>
  <si>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</si>
  <si>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</si>
  <si>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</si>
  <si>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</si>
  <si>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</si>
  <si>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</si>
  <si>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</si>
  <si>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</si>
  <si>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</si>
  <si>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</si>
  <si>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</si>
  <si>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</si>
  <si>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</si>
  <si>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</si>
  <si>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</si>
  <si>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</si>
  <si>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</si>
  <si>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</si>
  <si>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</si>
  <si>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</si>
  <si>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</si>
  <si>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</si>
  <si>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</si>
  <si>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</si>
  <si>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</si>
  <si>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</si>
  <si>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</si>
  <si>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</si>
  <si>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</si>
  <si>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</si>
  <si>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</si>
  <si>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</si>
  <si>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</si>
  <si>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</si>
  <si>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</si>
  <si>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</si>
  <si>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</si>
  <si>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</si>
  <si>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</si>
  <si>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</si>
  <si>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</si>
  <si>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</si>
  <si>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</si>
  <si>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</si>
  <si>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</si>
  <si>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</si>
  <si>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</si>
  <si>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</si>
  <si>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</si>
  <si>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</si>
  <si>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</si>
  <si>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</si>
  <si>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</si>
  <si>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</si>
  <si>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</si>
  <si>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</si>
  <si>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</si>
  <si>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</si>
  <si>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</si>
  <si>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</si>
  <si>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</si>
  <si>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</si>
  <si>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</si>
  <si>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</si>
  <si>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</si>
  <si>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</si>
  <si>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</si>
  <si>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</si>
  <si>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</si>
  <si>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</si>
  <si>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</si>
  <si>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</si>
  <si>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</si>
  <si>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</si>
  <si>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</si>
  <si>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</si>
  <si>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</si>
  <si>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</si>
  <si>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</si>
  <si>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</si>
  <si>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</si>
  <si>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</si>
  <si>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</si>
  <si>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</si>
  <si>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</si>
  <si>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</si>
  <si>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</si>
  <si>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</si>
  <si>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</si>
  <si>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</si>
  <si>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</si>
  <si>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</si>
  <si>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</si>
  <si>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</si>
  <si>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</si>
  <si>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</si>
  <si>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</si>
  <si>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</si>
  <si>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</si>
  <si>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</si>
  <si>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</si>
  <si>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</si>
  <si>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</si>
  <si>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</si>
  <si>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</si>
  <si>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</si>
  <si>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</si>
  <si>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</si>
  <si>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</si>
  <si>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</si>
  <si>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</si>
  <si>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</si>
  <si>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</si>
  <si>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</si>
  <si>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</si>
  <si>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</si>
  <si>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</si>
  <si>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</si>
  <si>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</si>
  <si>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</si>
  <si>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</si>
  <si>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</si>
  <si>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</si>
  <si>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</si>
  <si>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</si>
  <si>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</si>
  <si>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</si>
  <si>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</si>
  <si>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</si>
  <si>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</si>
  <si>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</si>
  <si>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</si>
  <si>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</si>
  <si>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</si>
  <si>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</si>
  <si>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</si>
  <si>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</si>
  <si>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</si>
  <si>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</si>
  <si>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</si>
  <si>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</si>
  <si>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</si>
  <si>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</si>
  <si>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</si>
  <si>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</si>
  <si>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</si>
  <si>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</si>
  <si>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</si>
  <si>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</si>
  <si>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</si>
  <si>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</si>
  <si>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</si>
  <si>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</si>
  <si>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</si>
  <si>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</si>
  <si>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</si>
  <si>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</si>
  <si>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</si>
  <si>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</si>
  <si>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</si>
  <si>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</si>
  <si>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</si>
  <si>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</si>
  <si>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</si>
  <si>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</si>
  <si>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</si>
  <si>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</si>
  <si>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</si>
  <si>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</si>
  <si>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</si>
  <si>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</si>
  <si>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</si>
  <si>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</si>
  <si>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</si>
  <si>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</si>
  <si>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</si>
  <si>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</si>
  <si>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</si>
  <si>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</si>
  <si>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</si>
  <si>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</si>
  <si>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</si>
  <si>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</si>
  <si>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</si>
  <si>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</si>
  <si>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</si>
  <si>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</si>
  <si>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</si>
  <si>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</si>
  <si>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</si>
  <si>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</si>
  <si>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</si>
  <si>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</si>
  <si>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</si>
  <si>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</si>
  <si>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</si>
  <si>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</si>
  <si>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</si>
  <si>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</si>
  <si>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</si>
  <si>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</si>
  <si>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</si>
  <si>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</si>
  <si>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</si>
  <si>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</si>
  <si>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</si>
  <si>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</si>
  <si>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</si>
  <si>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</si>
  <si>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</si>
  <si>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</si>
  <si>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</si>
  <si>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</si>
  <si>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</si>
  <si>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</si>
  <si>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</si>
  <si>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</si>
  <si>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</si>
  <si>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</si>
  <si>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</si>
  <si>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</si>
  <si>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</si>
  <si>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</si>
  <si>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</si>
  <si>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</si>
  <si>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</si>
  <si>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</si>
  <si>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</si>
  <si>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</si>
  <si>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</si>
  <si>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</si>
  <si>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</si>
  <si>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</si>
  <si>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</si>
  <si>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</si>
  <si>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</si>
  <si>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</si>
  <si>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</si>
  <si>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T220923192137304VCMLEBC060</t>
  </si>
  <si>
    <t>'2022-09-23 19:21:49:842</t>
  </si>
  <si>
    <t>R13A_IPQC_MFG_Laser_C10_21090805_b1779c9</t>
  </si>
  <si>
    <t>v9p4</t>
  </si>
  <si>
    <t>T220923192242531VCMLEBC060</t>
  </si>
  <si>
    <t>'2022-09-23 19:22:55:068</t>
  </si>
  <si>
    <t>T220923192257292VCMLEBC060</t>
  </si>
  <si>
    <t>'2022-09-23 19:23:16:578</t>
  </si>
  <si>
    <t>T220923192336792VCMLEBC060</t>
  </si>
  <si>
    <t>'2022-09-23 19:23:45:627</t>
  </si>
  <si>
    <t>22cc39200818</t>
  </si>
  <si>
    <t>0x52800662eb6eeb08</t>
  </si>
  <si>
    <t>MF2C3872B3P1B3B69838004113</t>
  </si>
  <si>
    <t>MF7C3547AF9J15A7A636</t>
  </si>
  <si>
    <t>DNA22252074540J11A</t>
  </si>
  <si>
    <t>T220923192442108VCMLEBC060</t>
  </si>
  <si>
    <t>'2022-09-23 19:24:51:023</t>
  </si>
  <si>
    <t>22cb87160170</t>
  </si>
  <si>
    <t>0x52800662eb6ef703</t>
  </si>
  <si>
    <t>MFEC387EB15TB3B6B135000103</t>
  </si>
  <si>
    <t>MF4C3444ABR814A7A638</t>
  </si>
  <si>
    <t>DNA22245035490L14A</t>
  </si>
  <si>
    <t>T220923192610082VCMLEBC060</t>
  </si>
  <si>
    <t>'2022-09-23 19:26:18:846</t>
  </si>
  <si>
    <t>22cb87160573</t>
  </si>
  <si>
    <t>0x52800662ea1c2e04</t>
  </si>
  <si>
    <t>MFEC387EB15PB3B6B238000139</t>
  </si>
  <si>
    <t>MF4C3444ABR014A7A634</t>
  </si>
  <si>
    <t>DNA22245034770A03A</t>
  </si>
  <si>
    <t>T220923192715113VCMLEBC060</t>
  </si>
  <si>
    <t>'2022-09-23 19:27:23:887</t>
  </si>
  <si>
    <t>22cb26100534</t>
  </si>
  <si>
    <t>0x52800662eb6f9e01</t>
  </si>
  <si>
    <t>MF3C3363A3YH14B1B246000020</t>
  </si>
  <si>
    <t>MF4C3574BCPE14A7A635</t>
  </si>
  <si>
    <t>DNA22292020750L05A</t>
  </si>
  <si>
    <t>'2022-09-23 19:23:26:608</t>
  </si>
  <si>
    <t>T220923192403107VCMLEBC060</t>
  </si>
  <si>
    <t>'2022-09-23 19:24:33:004</t>
  </si>
  <si>
    <t>T220923192508416VCMLEBC060</t>
  </si>
  <si>
    <t>'2022-09-23 19:25:37:626</t>
  </si>
  <si>
    <t>T220923192636357VCMLEBC060</t>
  </si>
  <si>
    <t>'2022-09-23 19:27:05:353</t>
  </si>
  <si>
    <t>'2022-09-23 19:24:22:978</t>
  </si>
  <si>
    <t>'2022-09-23 19:25:27:603</t>
  </si>
  <si>
    <t>'2022-09-23 19:26:55:324</t>
  </si>
  <si>
    <t>T220923192348312VCMLEBC060</t>
  </si>
  <si>
    <t>'2022-09-23 19:24:00:850</t>
  </si>
  <si>
    <t>T220923192453653VCMLEBC060</t>
  </si>
  <si>
    <t>'2022-09-23 19:25:06:193</t>
  </si>
  <si>
    <t>T220923192621577VCMLEBC060</t>
  </si>
  <si>
    <t>'2022-09-23 19:26:34:114</t>
  </si>
  <si>
    <t>T220923192726533VCMLEBC060</t>
  </si>
  <si>
    <t>'2022-09-23 19:27:39:075</t>
  </si>
  <si>
    <t>T220923192820395VCMLEBC060</t>
  </si>
  <si>
    <t>'2022-09-23 19:28:29:132</t>
  </si>
  <si>
    <t>22cb87170532</t>
  </si>
  <si>
    <t>0x52800562eea7f403</t>
  </si>
  <si>
    <t>MFEC387EB0MLB3B6B732119133</t>
  </si>
  <si>
    <t>MF4C3444ABPK14A7A639</t>
  </si>
  <si>
    <t>DNA22253113860K09A</t>
  </si>
  <si>
    <t>T220923192741294VCMLEBC060</t>
  </si>
  <si>
    <t>'2022-09-23 19:28:10:588</t>
  </si>
  <si>
    <t>'2022-09-23 19:28:00:564</t>
  </si>
  <si>
    <t>T220923192924690VCMLEBC060</t>
  </si>
  <si>
    <t>'2022-09-23 19:29:33:483</t>
  </si>
  <si>
    <t>22cb87160751</t>
  </si>
  <si>
    <t>0x52800662eb711803</t>
  </si>
  <si>
    <t>MFEC387EB174B3B6B038002110</t>
  </si>
  <si>
    <t>MF4C3444ABPV14A7A634</t>
  </si>
  <si>
    <t>DNA22245034770B01A</t>
  </si>
  <si>
    <t>T220923192846536VCMLEBC060</t>
  </si>
  <si>
    <t>'2022-09-23 19:29:15:869</t>
  </si>
  <si>
    <t>'2022-09-23 19:29:05:844</t>
  </si>
  <si>
    <t>T220923192831766VCMLEBC060</t>
  </si>
  <si>
    <t>'2022-09-23 19:28:44:337</t>
  </si>
  <si>
    <t>T220923193029954VCMLEBC060</t>
  </si>
  <si>
    <t>'2022-09-23 19:30:38:840</t>
  </si>
  <si>
    <t>22cb87160256</t>
  </si>
  <si>
    <t>0x52800662eea92603</t>
  </si>
  <si>
    <t>MF8C3638B61W42B6B940126114</t>
  </si>
  <si>
    <t>MF4C3444A8GV14A7A642</t>
  </si>
  <si>
    <t>DNA22251115120E01A</t>
  </si>
  <si>
    <t>T220923193135312VCMLEBC060</t>
  </si>
  <si>
    <t>'2022-09-23 19:31:44:154</t>
  </si>
  <si>
    <t>22cb87170651</t>
  </si>
  <si>
    <t>0x52800562ee0b1505</t>
  </si>
  <si>
    <t>MFEC387EB16RB3B6A339111003</t>
  </si>
  <si>
    <t>MF4C3444ABPR14A7A626</t>
  </si>
  <si>
    <t>DNA22245034800M03A</t>
  </si>
  <si>
    <t>T220923193240855VCMLEBC060</t>
  </si>
  <si>
    <t>'2022-09-23 19:32:49:700</t>
  </si>
  <si>
    <t>22cb87160611</t>
  </si>
  <si>
    <t>0x52800662eb724604</t>
  </si>
  <si>
    <t>MFEC387EB0UWB3B6B432000111</t>
  </si>
  <si>
    <t>MF4C3214BH4Y28A7A641</t>
  </si>
  <si>
    <t>DNA22237030430G01A</t>
  </si>
  <si>
    <t>T220923192950941VCMLEBC060</t>
  </si>
  <si>
    <t>'2022-09-23 19:30:19:925</t>
  </si>
  <si>
    <t>T220923193056279VCMLEBC060</t>
  </si>
  <si>
    <t>'2022-09-23 19:31:25:761</t>
  </si>
  <si>
    <t>T220923193201585VCMLEBC060</t>
  </si>
  <si>
    <t>'2022-09-23 19:32:31:638</t>
  </si>
  <si>
    <t>'2022-09-23 19:30:09:894</t>
  </si>
  <si>
    <t>'2022-09-23 19:31:15:736</t>
  </si>
  <si>
    <t>'2022-09-23 19:32:21:614</t>
  </si>
  <si>
    <t>T220923193307137VCMLEBC060</t>
  </si>
  <si>
    <t>'2022-09-23 19:33:26:405</t>
  </si>
  <si>
    <t>T220923192936137VCMLEBC060</t>
  </si>
  <si>
    <t>'2022-09-23 19:29:48:675</t>
  </si>
  <si>
    <t>T220923193041518VCMLEBC060</t>
  </si>
  <si>
    <t>'2022-09-23 19:30:54:053</t>
  </si>
  <si>
    <t>T220923193146813VCMLEBC060</t>
  </si>
  <si>
    <t>'2022-09-23 19:31:59:348</t>
  </si>
  <si>
    <t>T220923193252371VCMLEBC060</t>
  </si>
  <si>
    <t>'2022-09-23 19:33:04:903</t>
  </si>
  <si>
    <t>'2022-09-23 19:33:36:432</t>
  </si>
  <si>
    <t>T220923193345934VCMLEBC060</t>
  </si>
  <si>
    <t>'2022-09-23 19:33:54:767</t>
  </si>
  <si>
    <t>22cb87160754</t>
  </si>
  <si>
    <t>0x52800662ea201b06</t>
  </si>
  <si>
    <t>MF8C3638B60R42B6C138021139</t>
  </si>
  <si>
    <t>MF4C3444A8JS14A7A624</t>
  </si>
  <si>
    <t>DNA22295092140K12A</t>
  </si>
  <si>
    <t>T220923193358358VCMLEBC060</t>
  </si>
  <si>
    <t>'2022-09-23 19:34:10:890</t>
  </si>
  <si>
    <t>T220923193413119VCMLEBC060</t>
  </si>
  <si>
    <t>'2022-09-23 19:34:41:418</t>
  </si>
  <si>
    <t>'2022-09-23 19:34:31:390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</si>
</sst>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-0.1843117235</c:v>
                </c:pt>
                <c:pt idx="1">
                  <c:v>-8.7314808382999995</c:v>
                </c:pt>
                <c:pt idx="2">
                  <c:v>0.90057032510000001</c:v>
                </c:pt>
                <c:pt idx="3">
                  <c:v>0.15760457559999999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0.14808683919999988</c:v>
                </c:pt>
                <c:pt idx="1">
                  <c:v>-0.83432589199999985</c:v>
                </c:pt>
                <c:pt idx="2">
                  <c:v>0.25648109230000005</c:v>
                </c:pt>
                <c:pt idx="3">
                  <c:v>-0.76907540090000026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-2.6717407455666664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-0.14325265349999997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483968"/>
        <c:axId val="50485504"/>
      </c:scatterChart>
      <c:valAx>
        <c:axId val="504839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485504"/>
        <c:crosses val="autoZero"/>
        <c:crossBetween val="midCat"/>
        <c:majorUnit val="10"/>
      </c:valAx>
      <c:valAx>
        <c:axId val="5048550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48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1.4808360225999999</c:v>
                </c:pt>
                <c:pt idx="1">
                  <c:v>4.502491289</c:v>
                </c:pt>
                <c:pt idx="2">
                  <c:v>6.4067057934999996</c:v>
                </c:pt>
                <c:pt idx="3">
                  <c:v>-1.7746582778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3.9691070896</c:v>
                </c:pt>
                <c:pt idx="1">
                  <c:v>-5.7867791657000005</c:v>
                </c:pt>
                <c:pt idx="2">
                  <c:v>-9.0310569994000005</c:v>
                </c:pt>
                <c:pt idx="3">
                  <c:v>-6.3886051517000002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2.0469772957333334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-0.86224915900000021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26464"/>
        <c:axId val="50929664"/>
      </c:scatterChart>
      <c:valAx>
        <c:axId val="505264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929664"/>
        <c:crosses val="autoZero"/>
        <c:crossBetween val="midCat"/>
        <c:majorUnit val="10"/>
      </c:valAx>
      <c:valAx>
        <c:axId val="509296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526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0.87591035189999999</c:v>
                </c:pt>
                <c:pt idx="1">
                  <c:v>6.8973516192000002</c:v>
                </c:pt>
                <c:pt idx="2">
                  <c:v>-1.2113413709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1.2173707390000001</c:v>
                </c:pt>
                <c:pt idx="1">
                  <c:v>-6.9302488969000002</c:v>
                </c:pt>
                <c:pt idx="2">
                  <c:v>1.7396335054000001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1.8359859558666667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-4.7340971373666667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58336"/>
        <c:axId val="50959872"/>
      </c:scatterChart>
      <c:valAx>
        <c:axId val="509583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959872"/>
        <c:crosses val="autoZero"/>
        <c:crossBetween val="midCat"/>
        <c:majorUnit val="10"/>
      </c:valAx>
      <c:valAx>
        <c:axId val="509598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0958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8.5091333678000005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-1.1323804576000001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4.7317145387000004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-2.1076652830333331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90944"/>
        <c:axId val="51092480"/>
      </c:scatterChart>
      <c:valAx>
        <c:axId val="510909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092480"/>
        <c:crosses val="autoZero"/>
        <c:crossBetween val="midCat"/>
        <c:majorUnit val="10"/>
      </c:valAx>
      <c:valAx>
        <c:axId val="510924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090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91.147642910200005</c:v>
                </c:pt>
                <c:pt idx="1">
                  <c:v>97.029580308899995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93.946970480466675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04320"/>
        <c:axId val="87705856"/>
      </c:scatterChart>
      <c:valAx>
        <c:axId val="8770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705856"/>
        <c:crosses val="autoZero"/>
        <c:crossBetween val="midCat"/>
      </c:valAx>
      <c:valAx>
        <c:axId val="8770585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70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93.663688222299996</c:v>
                </c:pt>
                <c:pt idx="1">
                  <c:v>94.554160104000005</c:v>
                </c:pt>
                <c:pt idx="2">
                  <c:v>94.484143697700006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91.884575877833342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42720"/>
        <c:axId val="87748608"/>
      </c:scatterChart>
      <c:valAx>
        <c:axId val="8774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748608"/>
        <c:crosses val="autoZero"/>
        <c:crossBetween val="midCat"/>
      </c:valAx>
      <c:valAx>
        <c:axId val="8774860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742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86.615423831800001</c:v>
                </c:pt>
                <c:pt idx="1">
                  <c:v>104.2113754624</c:v>
                </c:pt>
                <c:pt idx="2">
                  <c:v>100.494800153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101.71893342560001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5440"/>
        <c:axId val="51175424"/>
      </c:scatterChart>
      <c:valAx>
        <c:axId val="5116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75424"/>
        <c:crosses val="autoZero"/>
        <c:crossBetween val="midCat"/>
      </c:valAx>
      <c:valAx>
        <c:axId val="5117542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65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100.4506246614</c:v>
                </c:pt>
                <c:pt idx="1">
                  <c:v>96.3783365699</c:v>
                </c:pt>
                <c:pt idx="2">
                  <c:v>95.901363987799996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97.099157643699996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40256"/>
        <c:axId val="133850240"/>
      </c:scatterChart>
      <c:valAx>
        <c:axId val="133840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850240"/>
        <c:crosses val="autoZero"/>
        <c:crossBetween val="midCat"/>
      </c:valAx>
      <c:valAx>
        <c:axId val="13385024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840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-21.325994491599999</c:v>
                </c:pt>
                <c:pt idx="1">
                  <c:v>-14.477039337200001</c:v>
                </c:pt>
                <c:pt idx="2">
                  <c:v>-5.2727982997999998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-13.765172958400001</c:v>
                </c:pt>
                <c:pt idx="1">
                  <c:v>-8.9251575470000013</c:v>
                </c:pt>
                <c:pt idx="2">
                  <c:v>-2.3398189545000001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-13.691944042866666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-8.3433831533000014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899392"/>
        <c:axId val="133900928"/>
      </c:scatterChart>
      <c:valAx>
        <c:axId val="1338993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900928"/>
        <c:crosses val="autoZero"/>
        <c:crossBetween val="midCat"/>
        <c:majorUnit val="10"/>
      </c:valAx>
      <c:valAx>
        <c:axId val="1339009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89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-14.500132560699999</c:v>
                </c:pt>
                <c:pt idx="1">
                  <c:v>-19.266377449</c:v>
                </c:pt>
                <c:pt idx="2">
                  <c:v>-23.414360046399999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-7.8325862884999999</c:v>
                </c:pt>
                <c:pt idx="1">
                  <c:v>-4.5827231406999998</c:v>
                </c:pt>
                <c:pt idx="2">
                  <c:v>-1.4419367313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-19.060290018699998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-4.6190820535000006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29600"/>
        <c:axId val="133943680"/>
      </c:scatterChart>
      <c:valAx>
        <c:axId val="1339296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943680"/>
        <c:crosses val="autoZero"/>
        <c:crossBetween val="midCat"/>
        <c:majorUnit val="10"/>
      </c:valAx>
      <c:valAx>
        <c:axId val="1339436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392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-9.3778276442999999</c:v>
                </c:pt>
                <c:pt idx="1">
                  <c:v>-11.094555854799999</c:v>
                </c:pt>
                <c:pt idx="2">
                  <c:v>-15.3053016663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-13.835236549399999</c:v>
                </c:pt>
                <c:pt idx="1">
                  <c:v>-7.3111844062999998</c:v>
                </c:pt>
                <c:pt idx="2">
                  <c:v>-9.6554770469999998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-11.925895055133333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-10.267299334233334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24608"/>
        <c:axId val="134326144"/>
      </c:scatterChart>
      <c:valAx>
        <c:axId val="1343246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326144"/>
        <c:crosses val="autoZero"/>
        <c:crossBetween val="midCat"/>
        <c:majorUnit val="10"/>
      </c:valAx>
      <c:valAx>
        <c:axId val="1343261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324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-2.1024594307000002</c:v>
                </c:pt>
                <c:pt idx="1">
                  <c:v>-8.9273633957000005</c:v>
                </c:pt>
                <c:pt idx="2">
                  <c:v>0.39252138139999992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0.98930573459999982</c:v>
                </c:pt>
                <c:pt idx="1">
                  <c:v>2.8970293999000001</c:v>
                </c:pt>
                <c:pt idx="2">
                  <c:v>4.2131366730000002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-3.5457671483333333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2.6998239358333334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961024"/>
        <c:axId val="134962560"/>
      </c:scatterChart>
      <c:valAx>
        <c:axId val="13496102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962560"/>
        <c:crosses val="autoZero"/>
        <c:crossBetween val="midCat"/>
        <c:majorUnit val="10"/>
      </c:valAx>
      <c:valAx>
        <c:axId val="1349625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961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VSY841XN9NHK_2022092319_D50_ON_OC.csv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VSY841XN9NHK_2022092319_FPDC_INFD_normal.csv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VSY841XN9NHK_2022092319_INFDMargin_IPQC.csv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VSY841XN9NHK_2022092319_VCM_MEASURE.csv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R49" sqref="R49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22cb87160152</v>
      </c>
      <c r="C34" s="44">
        <f>IPQC!S2+VLOOKUP($R$31,$AD$38:$AK$42,6,FALSE)+VLOOKUP('File location'!$B$1,'Tester offset'!$A$2:$D$4,2,FALSE)</f>
        <v>91.147642910200005</v>
      </c>
      <c r="D34" s="44">
        <f>IPQC!Z2+VLOOKUP($R$31,$AD$38:$AK$42,6,FALSE)</f>
        <v>81.653038982300004</v>
      </c>
      <c r="E34" s="44">
        <f>VCM!HU2-'Summary(3pcs)'!C34-'Summary(3pcs)'!$D$32</f>
        <v>162.43988391843789</v>
      </c>
      <c r="F34" s="90">
        <f>AVERAGEIF($A$34:$A$45,1,$C$34:$C$45)</f>
        <v>93.946970480466675</v>
      </c>
      <c r="G34" s="91">
        <f>AVERAGEIF($A$34:$A$45,1,$D$34:$D$45)</f>
        <v>84.508195111766668</v>
      </c>
      <c r="H34" s="91">
        <f>AVERAGEIF($A$34:$A$45,1,$E$34:$E$45)</f>
        <v>149.05524652730458</v>
      </c>
      <c r="I34" s="91">
        <f>85-F34</f>
        <v>-8.9469704804666748</v>
      </c>
      <c r="J34"/>
      <c r="K34" s="79">
        <f>T34</f>
        <v>1</v>
      </c>
      <c r="L34" s="80" t="str">
        <f>OC!J2</f>
        <v>22cb87160152</v>
      </c>
      <c r="M34" s="44">
        <f>OC!S2+VLOOKUP($R$31,$AD$38:$AK$42,4,FALSE)</f>
        <v>-0.1843117235</v>
      </c>
      <c r="N34" s="44">
        <f>OC!T2+VLOOKUP($R$31,$AD$38:$AK$42,5,FALSE)</f>
        <v>0.14808683919999988</v>
      </c>
      <c r="O34" s="92">
        <f>AVERAGEIF($K$34:$K$45,1,$M$34:$M$45)</f>
        <v>-2.6717407455666664</v>
      </c>
      <c r="P34" s="92">
        <f>AVERAGEIF($K$34:$K$45,1,$N$34:$N$45)</f>
        <v>-0.14325265349999997</v>
      </c>
      <c r="Q34" s="90">
        <f>P34*0.001</f>
        <v>-1.4325265349999998E-4</v>
      </c>
      <c r="R34" s="90">
        <f>O34*0.001</f>
        <v>-2.6717407455666663E-3</v>
      </c>
      <c r="T34" s="79">
        <v>1</v>
      </c>
      <c r="U34" s="80" t="str">
        <f>FPDC!J2</f>
        <v>22cb87160152</v>
      </c>
      <c r="V34" s="75">
        <f>FPDC!R2+VLOOKUP($R$31,$AD$38:$AK$42,2,FALSE)+VLOOKUP($R$31,$AD$38:$AK$42,7,FALSE)+VLOOKUP('File location'!$B$1,'Tester offset'!$A$2:$D$4,3,FALSE)</f>
        <v>-2.1024594307000002</v>
      </c>
      <c r="W34" s="76">
        <f>FPDC!S2+VLOOKUP($R$31,$AD$38:$AK$42,3,FALSE)+VLOOKUP($R$31,$AD$38:$AK$42,8,FALSE)+VLOOKUP('File location'!$B$1,'Tester offset'!$A$2:$D$4,4,FALSE)</f>
        <v>0.98930573459999982</v>
      </c>
      <c r="X34" s="92">
        <f>AVERAGEIF($T$34:$T$45,1,$V$34:$V$45)</f>
        <v>-3.5457671483333333</v>
      </c>
      <c r="Y34" s="92">
        <f>AVERAGEIF($T$34:$T$45,1,$W$34:$W$45)</f>
        <v>2.6998239358333334</v>
      </c>
      <c r="Z34" s="90">
        <f>(X34*-0.01)/4</f>
        <v>8.8644178708333337E-3</v>
      </c>
      <c r="AA34" s="90">
        <f>(Y34*-0.01)/4</f>
        <v>-6.7495598395833339E-3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22cb87160307</v>
      </c>
      <c r="C35" s="44">
        <f>IPQC!S3+VLOOKUP($R$31,$AD$38:$AK$42,6,FALSE)+VLOOKUP('File location'!$B$1,'Tester offset'!$A$2:$D$4,2,FALSE)</f>
        <v>97.029580308899995</v>
      </c>
      <c r="D35" s="44">
        <f>IPQC!Z3+VLOOKUP($R$31,$AD$38:$AK$42,6,FALSE)</f>
        <v>86.169058570399997</v>
      </c>
      <c r="E35" s="44">
        <f>VCM!HU3-'Summary(3pcs)'!C35-'Summary(3pcs)'!$D$32</f>
        <v>146.93027062293794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22cb87160307</v>
      </c>
      <c r="M35" s="44">
        <f>OC!S3+VLOOKUP($R$31,$AD$38:$AK$42,4,FALSE)</f>
        <v>-8.7314808382999995</v>
      </c>
      <c r="N35" s="44">
        <f>OC!T3+VLOOKUP($R$31,$AD$38:$AK$42,5,FALSE)</f>
        <v>-0.83432589199999985</v>
      </c>
      <c r="O35" s="92"/>
      <c r="P35" s="92"/>
      <c r="Q35" s="90"/>
      <c r="R35" s="90"/>
      <c r="T35" s="79">
        <v>1</v>
      </c>
      <c r="U35" s="80" t="str">
        <f>FPDC!J3</f>
        <v>22cb87160307</v>
      </c>
      <c r="V35" s="75">
        <f>FPDC!R3+VLOOKUP($R$31,$AD$38:$AK$42,2,FALSE)+VLOOKUP($R$31,$AD$38:$AK$42,7,FALSE)+VLOOKUP('File location'!$B$1,'Tester offset'!$A$2:$D$4,3,FALSE)</f>
        <v>-8.9273633957000005</v>
      </c>
      <c r="W35" s="76">
        <f>FPDC!S3+VLOOKUP($R$31,$AD$38:$AK$42,3,FALSE)+VLOOKUP($R$31,$AD$38:$AK$42,8,FALSE)+VLOOKUP('File location'!$B$1,'Tester offset'!$A$2:$D$4,4,FALSE)</f>
        <v>2.8970293999000001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22cc39200818</v>
      </c>
      <c r="C36" s="44">
        <f>IPQC!S4+VLOOKUP($R$31,$AD$38:$AK$42,6,FALSE)+VLOOKUP('File location'!$B$1,'Tester offset'!$A$2:$D$4,2,FALSE)</f>
        <v>93.663688222299996</v>
      </c>
      <c r="D36" s="44">
        <f>IPQC!Z4+VLOOKUP($R$31,$AD$38:$AK$42,6,FALSE)</f>
        <v>85.702487782600002</v>
      </c>
      <c r="E36" s="44">
        <f>VCM!HU4-'Summary(3pcs)'!C36-'Summary(3pcs)'!$D$32</f>
        <v>137.7955850405379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22cc39200818</v>
      </c>
      <c r="M36" s="44">
        <f>OC!S4+VLOOKUP($R$31,$AD$38:$AK$42,4,FALSE)</f>
        <v>0.90057032510000001</v>
      </c>
      <c r="N36" s="44">
        <f>OC!T4+VLOOKUP($R$31,$AD$38:$AK$42,5,FALSE)</f>
        <v>0.25648109230000005</v>
      </c>
      <c r="O36" s="92"/>
      <c r="P36" s="92"/>
      <c r="Q36" s="90"/>
      <c r="R36" s="90"/>
      <c r="T36" s="79">
        <v>1</v>
      </c>
      <c r="U36" s="80" t="str">
        <f>FPDC!J4</f>
        <v>22cc39200818</v>
      </c>
      <c r="V36" s="75">
        <f>FPDC!R4+VLOOKUP($R$31,$AD$38:$AK$42,2,FALSE)+VLOOKUP($R$31,$AD$38:$AK$42,7,FALSE)+VLOOKUP('File location'!$B$1,'Tester offset'!$A$2:$D$4,3,FALSE)</f>
        <v>0.39252138139999992</v>
      </c>
      <c r="W36" s="76">
        <f>FPDC!S4+VLOOKUP($R$31,$AD$38:$AK$42,3,FALSE)+VLOOKUP($R$31,$AD$38:$AK$42,8,FALSE)+VLOOKUP('File location'!$B$1,'Tester offset'!$A$2:$D$4,4,FALSE)</f>
        <v>4.2131366730000002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22cb87160170</v>
      </c>
      <c r="C37" s="44">
        <f>IPQC!S5+VLOOKUP($R$31,$AD$38:$AK$42,6,FALSE)+VLOOKUP('File location'!$B$1,'Tester offset'!$A$2:$D$4,2,FALSE)</f>
        <v>94.554160104000005</v>
      </c>
      <c r="D37" s="44">
        <f>IPQC!Z5+VLOOKUP($R$31,$AD$38:$AK$42,6,FALSE)</f>
        <v>87.342644559099995</v>
      </c>
      <c r="E37" s="44">
        <f>VCM!HU5-'Summary(3pcs)'!C37-'Summary(3pcs)'!$D$32</f>
        <v>141.06064135743793</v>
      </c>
      <c r="F37" s="90">
        <f>AVERAGEIF($A$34:$A$45,2,$C$34:$C$45)</f>
        <v>91.884575877833342</v>
      </c>
      <c r="G37" s="91">
        <f>AVERAGEIF($A$34:$A$45,2,$D$34:$D$45)</f>
        <v>82.260069031300006</v>
      </c>
      <c r="H37" s="91">
        <f>AVERAGEIF($A$34:$A$45,2,$E$34:$E$45)</f>
        <v>146.3193113974379</v>
      </c>
      <c r="I37" s="91">
        <f>85-F37</f>
        <v>-6.8845758778333419</v>
      </c>
      <c r="J37"/>
      <c r="K37" s="79">
        <f t="shared" si="1"/>
        <v>2</v>
      </c>
      <c r="L37" s="80" t="str">
        <f>OC!J5</f>
        <v>22cb87160170</v>
      </c>
      <c r="M37" s="44">
        <f>OC!S5+VLOOKUP($R$31,$AD$38:$AK$42,4,FALSE)</f>
        <v>0.15760457559999999</v>
      </c>
      <c r="N37" s="44">
        <f>OC!T5+VLOOKUP($R$31,$AD$38:$AK$42,5,FALSE)</f>
        <v>-0.76907540090000026</v>
      </c>
      <c r="O37" s="92">
        <f>AVERAGEIF($K$34:$K$45,2,$M$34:$M$45)</f>
        <v>2.0469772957333334</v>
      </c>
      <c r="P37" s="92">
        <f>AVERAGEIF($K$34:$K$45,2,$N$34:$N$45)</f>
        <v>-0.86224915900000021</v>
      </c>
      <c r="Q37" s="90">
        <f>P37*0.001</f>
        <v>-8.6224915900000028E-4</v>
      </c>
      <c r="R37" s="90">
        <f>O37*0.001</f>
        <v>2.0469772957333334E-3</v>
      </c>
      <c r="T37" s="79">
        <v>2</v>
      </c>
      <c r="U37" s="80" t="str">
        <f>FPDC!J5</f>
        <v>22cb87160170</v>
      </c>
      <c r="V37" s="75">
        <f>FPDC!R5+VLOOKUP($R$31,$AD$38:$AK$42,2,FALSE)+VLOOKUP($R$31,$AD$38:$AK$42,7,FALSE)+VLOOKUP('File location'!$B$1,'Tester offset'!$A$2:$D$4,3,FALSE)</f>
        <v>-21.325994491599999</v>
      </c>
      <c r="W37" s="76">
        <f>FPDC!S5+VLOOKUP($R$31,$AD$38:$AK$42,3,FALSE)+VLOOKUP($R$31,$AD$38:$AK$42,8,FALSE)+VLOOKUP('File location'!$B$1,'Tester offset'!$A$2:$D$4,4,FALSE)</f>
        <v>-13.765172958400001</v>
      </c>
      <c r="X37" s="92">
        <f>AVERAGEIF($T$34:$T$45,2,$V$34:$V$45)</f>
        <v>-13.691944042866666</v>
      </c>
      <c r="Y37" s="92">
        <f>AVERAGEIF($T$34:$T$45,2,$W$34:$W$45)</f>
        <v>-8.3433831533000014</v>
      </c>
      <c r="Z37" s="90">
        <f>(X37*-0.01)/4</f>
        <v>3.4229860107166665E-2</v>
      </c>
      <c r="AA37" s="90">
        <f>(Y37*-0.01)/4</f>
        <v>2.0858457883250005E-2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22cb87160573</v>
      </c>
      <c r="C38" s="44">
        <f>IPQC!S6+VLOOKUP($R$31,$AD$38:$AK$42,6,FALSE)+VLOOKUP('File location'!$B$1,'Tester offset'!$A$2:$D$4,2,FALSE)</f>
        <v>94.484143697700006</v>
      </c>
      <c r="D38" s="44">
        <f>IPQC!Z6+VLOOKUP($R$31,$AD$38:$AK$42,6,FALSE)</f>
        <v>81.945979763099999</v>
      </c>
      <c r="E38" s="44">
        <f>VCM!HU6-'Summary(3pcs)'!C38-'Summary(3pcs)'!$D$32</f>
        <v>147.68354852653789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22cb87160573</v>
      </c>
      <c r="M38" s="44">
        <f>OC!S6+VLOOKUP($R$31,$AD$38:$AK$42,4,FALSE)</f>
        <v>1.4808360225999999</v>
      </c>
      <c r="N38" s="44">
        <f>OC!T6+VLOOKUP($R$31,$AD$38:$AK$42,5,FALSE)</f>
        <v>3.9691070896</v>
      </c>
      <c r="O38" s="92"/>
      <c r="P38" s="92"/>
      <c r="Q38" s="90"/>
      <c r="R38" s="90"/>
      <c r="T38" s="79">
        <v>2</v>
      </c>
      <c r="U38" s="80" t="str">
        <f>FPDC!J6</f>
        <v>22cb87160573</v>
      </c>
      <c r="V38" s="75">
        <f>FPDC!R6+VLOOKUP($R$31,$AD$38:$AK$42,2,FALSE)+VLOOKUP($R$31,$AD$38:$AK$42,7,FALSE)+VLOOKUP('File location'!$B$1,'Tester offset'!$A$2:$D$4,3,FALSE)</f>
        <v>-14.477039337200001</v>
      </c>
      <c r="W38" s="76">
        <f>FPDC!S6+VLOOKUP($R$31,$AD$38:$AK$42,3,FALSE)+VLOOKUP($R$31,$AD$38:$AK$42,8,FALSE)+VLOOKUP('File location'!$B$1,'Tester offset'!$A$2:$D$4,4,FALSE)</f>
        <v>-8.9251575470000013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22cb26100534</v>
      </c>
      <c r="C39" s="44">
        <f>IPQC!S7+VLOOKUP($R$31,$AD$38:$AK$42,6,FALSE)+VLOOKUP('File location'!$B$1,'Tester offset'!$A$2:$D$4,2,FALSE)</f>
        <v>86.615423831800001</v>
      </c>
      <c r="D39" s="44">
        <f>IPQC!Z7+VLOOKUP($R$31,$AD$38:$AK$42,6,FALSE)</f>
        <v>77.491582771699996</v>
      </c>
      <c r="E39" s="44">
        <f>VCM!HU7-'Summary(3pcs)'!C39-'Summary(3pcs)'!$D$32</f>
        <v>150.21374430833788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22cb26100534</v>
      </c>
      <c r="M39" s="44">
        <f>OC!S7+VLOOKUP($R$31,$AD$38:$AK$42,4,FALSE)</f>
        <v>4.502491289</v>
      </c>
      <c r="N39" s="44">
        <f>OC!T7+VLOOKUP($R$31,$AD$38:$AK$42,5,FALSE)</f>
        <v>-5.7867791657000005</v>
      </c>
      <c r="O39" s="92"/>
      <c r="P39" s="92"/>
      <c r="Q39" s="90"/>
      <c r="R39" s="90"/>
      <c r="T39" s="79">
        <v>2</v>
      </c>
      <c r="U39" s="80" t="str">
        <f>FPDC!J7</f>
        <v>22cb26100534</v>
      </c>
      <c r="V39" s="75">
        <f>FPDC!R7+VLOOKUP($R$31,$AD$38:$AK$42,2,FALSE)+VLOOKUP($R$31,$AD$38:$AK$42,7,FALSE)+VLOOKUP('File location'!$B$1,'Tester offset'!$A$2:$D$4,3,FALSE)</f>
        <v>-5.2727982997999998</v>
      </c>
      <c r="W39" s="76">
        <f>FPDC!S7+VLOOKUP($R$31,$AD$38:$AK$42,3,FALSE)+VLOOKUP($R$31,$AD$38:$AK$42,8,FALSE)+VLOOKUP('File location'!$B$1,'Tester offset'!$A$2:$D$4,4,FALSE)</f>
        <v>-2.3398189545000001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22cb87170532</v>
      </c>
      <c r="C40" s="44">
        <f>IPQC!S8+VLOOKUP($R$31,$AD$38:$AK$42,6,FALSE)+VLOOKUP('File location'!$B$1,'Tester offset'!$A$2:$D$4,2,FALSE)</f>
        <v>104.2113754624</v>
      </c>
      <c r="D40" s="44">
        <f>IPQC!Z8+VLOOKUP($R$31,$AD$38:$AK$42,6,FALSE)</f>
        <v>91.484505655800007</v>
      </c>
      <c r="E40" s="44">
        <f>VCM!HU8-'Summary(3pcs)'!C40-'Summary(3pcs)'!$D$32</f>
        <v>137.45658819853793</v>
      </c>
      <c r="F40" s="90">
        <f>AVERAGEIF($A$34:$A$45,3,$C$34:$C$45)</f>
        <v>101.71893342560001</v>
      </c>
      <c r="G40" s="91">
        <f>AVERAGEIF($A$34:$A$45,3,$D$34:$D$45)</f>
        <v>89.934860679700009</v>
      </c>
      <c r="H40" s="91">
        <f>AVERAGEIF($A$34:$A$45,3,$E$34:$E$45)</f>
        <v>139.08549221357123</v>
      </c>
      <c r="I40" s="91">
        <f>85-F40</f>
        <v>-16.718933425600014</v>
      </c>
      <c r="J40"/>
      <c r="K40" s="79">
        <f t="shared" si="1"/>
        <v>3</v>
      </c>
      <c r="L40" s="80" t="str">
        <f>OC!J8</f>
        <v>22cb87170532</v>
      </c>
      <c r="M40" s="44">
        <f>OC!S8+VLOOKUP($R$31,$AD$38:$AK$42,4,FALSE)</f>
        <v>6.4067057934999996</v>
      </c>
      <c r="N40" s="44">
        <f>OC!T8+VLOOKUP($R$31,$AD$38:$AK$42,5,FALSE)</f>
        <v>-9.0310569994000005</v>
      </c>
      <c r="O40" s="92">
        <f>AVERAGEIF($K$34:$K$45,3,$M$34:$M$45)</f>
        <v>1.8359859558666667</v>
      </c>
      <c r="P40" s="92">
        <f>AVERAGEIF($K$34:$K$45,3,$N$34:$N$45)</f>
        <v>-4.7340971373666667</v>
      </c>
      <c r="Q40" s="90">
        <f>P40*0.001</f>
        <v>-4.7340971373666671E-3</v>
      </c>
      <c r="R40" s="90">
        <f>O40*0.001</f>
        <v>1.8359859558666667E-3</v>
      </c>
      <c r="T40" s="79">
        <v>3</v>
      </c>
      <c r="U40" s="80" t="str">
        <f>FPDC!J8</f>
        <v>22cb87170532</v>
      </c>
      <c r="V40" s="75">
        <f>FPDC!R8+VLOOKUP($R$31,$AD$38:$AK$42,2,FALSE)+VLOOKUP($R$31,$AD$38:$AK$42,7,FALSE)+VLOOKUP('File location'!$B$1,'Tester offset'!$A$2:$D$4,3,FALSE)</f>
        <v>-14.500132560699999</v>
      </c>
      <c r="W40" s="76">
        <f>FPDC!S8+VLOOKUP($R$31,$AD$38:$AK$42,3,FALSE)+VLOOKUP($R$31,$AD$38:$AK$42,8,FALSE)+VLOOKUP('File location'!$B$1,'Tester offset'!$A$2:$D$4,4,FALSE)</f>
        <v>-7.8325862884999999</v>
      </c>
      <c r="X40" s="92">
        <f>AVERAGEIF($T$34:$T$45,3,$V$34:$V$45)</f>
        <v>-19.060290018699998</v>
      </c>
      <c r="Y40" s="92">
        <f>AVERAGEIF($T$34:$T$45,3,$W$34:$W$45)</f>
        <v>-4.6190820535000006</v>
      </c>
      <c r="Z40" s="90">
        <f>(X40*-0.01)/4</f>
        <v>4.7650725046749998E-2</v>
      </c>
      <c r="AA40" s="90">
        <f>(Y40*-0.01)/4</f>
        <v>1.1547705133750001E-2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22cb87160751</v>
      </c>
      <c r="C41" s="44">
        <f>IPQC!S9+VLOOKUP($R$31,$AD$38:$AK$42,6,FALSE)+VLOOKUP('File location'!$B$1,'Tester offset'!$A$2:$D$4,2,FALSE)</f>
        <v>100.494800153</v>
      </c>
      <c r="D41" s="44">
        <f>IPQC!Z9+VLOOKUP($R$31,$AD$38:$AK$42,6,FALSE)</f>
        <v>91.825380924800001</v>
      </c>
      <c r="E41" s="44">
        <f>VCM!HU9-'Summary(3pcs)'!C41-'Summary(3pcs)'!$D$32</f>
        <v>140.94791072833789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22cb87160751</v>
      </c>
      <c r="M41" s="44">
        <f>OC!S9+VLOOKUP($R$31,$AD$38:$AK$42,4,FALSE)</f>
        <v>-1.7746582778</v>
      </c>
      <c r="N41" s="44">
        <f>OC!T9+VLOOKUP($R$31,$AD$38:$AK$42,5,FALSE)</f>
        <v>-6.3886051517000002</v>
      </c>
      <c r="O41" s="92"/>
      <c r="P41" s="92"/>
      <c r="Q41" s="90"/>
      <c r="R41" s="90"/>
      <c r="T41" s="79">
        <v>3</v>
      </c>
      <c r="U41" s="80" t="str">
        <f>FPDC!J9</f>
        <v>22cb87160751</v>
      </c>
      <c r="V41" s="75">
        <f>FPDC!R9+VLOOKUP($R$31,$AD$38:$AK$42,2,FALSE)+VLOOKUP($R$31,$AD$38:$AK$42,7,FALSE)+VLOOKUP('File location'!$B$1,'Tester offset'!$A$2:$D$4,3,FALSE)</f>
        <v>-19.266377449</v>
      </c>
      <c r="W41" s="76">
        <f>FPDC!S9+VLOOKUP($R$31,$AD$38:$AK$42,3,FALSE)+VLOOKUP($R$31,$AD$38:$AK$42,8,FALSE)+VLOOKUP('File location'!$B$1,'Tester offset'!$A$2:$D$4,4,FALSE)</f>
        <v>-4.5827231406999998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22cb87160256</v>
      </c>
      <c r="C42" s="44">
        <f>IPQC!S10+VLOOKUP($R$31,$AD$38:$AK$42,6,FALSE)+VLOOKUP('File location'!$B$1,'Tester offset'!$A$2:$D$4,2,FALSE)</f>
        <v>100.4506246614</v>
      </c>
      <c r="D42" s="44">
        <f>IPQC!Z10+VLOOKUP($R$31,$AD$38:$AK$42,6,FALSE)</f>
        <v>86.494695458500004</v>
      </c>
      <c r="E42" s="44">
        <f>VCM!HU10-'Summary(3pcs)'!C42-'Summary(3pcs)'!$D$32</f>
        <v>138.85197771383787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22cb87160256</v>
      </c>
      <c r="M42" s="44">
        <f>OC!S10+VLOOKUP($R$31,$AD$38:$AK$42,4,FALSE)</f>
        <v>0.87591035189999999</v>
      </c>
      <c r="N42" s="44">
        <f>OC!T10+VLOOKUP($R$31,$AD$38:$AK$42,5,FALSE)</f>
        <v>1.2173707390000001</v>
      </c>
      <c r="O42" s="92"/>
      <c r="P42" s="92"/>
      <c r="Q42" s="90"/>
      <c r="R42" s="90"/>
      <c r="T42" s="79">
        <v>3</v>
      </c>
      <c r="U42" s="80" t="str">
        <f>FPDC!J10</f>
        <v>22cb87160256</v>
      </c>
      <c r="V42" s="75">
        <f>FPDC!R10+VLOOKUP($R$31,$AD$38:$AK$42,2,FALSE)+VLOOKUP($R$31,$AD$38:$AK$42,7,FALSE)+VLOOKUP('File location'!$B$1,'Tester offset'!$A$2:$D$4,3,FALSE)</f>
        <v>-23.414360046399999</v>
      </c>
      <c r="W42" s="76">
        <f>FPDC!S10+VLOOKUP($R$31,$AD$38:$AK$42,3,FALSE)+VLOOKUP($R$31,$AD$38:$AK$42,8,FALSE)+VLOOKUP('File location'!$B$1,'Tester offset'!$A$2:$D$4,4,FALSE)</f>
        <v>-1.4419367313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22cb87170651</v>
      </c>
      <c r="C43" s="44">
        <f>IPQC!S11+VLOOKUP($R$31,$AD$38:$AK$42,6,FALSE)+VLOOKUP('File location'!$B$1,'Tester offset'!$A$2:$D$4,2,FALSE)</f>
        <v>96.3783365699</v>
      </c>
      <c r="D43" s="44">
        <f>IPQC!Z11+VLOOKUP($R$31,$AD$38:$AK$42,6,FALSE)</f>
        <v>87.028605594599995</v>
      </c>
      <c r="E43" s="44">
        <f>VCM!HU11-'Summary(3pcs)'!C43-'Summary(3pcs)'!$D$32</f>
        <v>146.51519778623793</v>
      </c>
      <c r="F43" s="90">
        <f>AVERAGEIF($A$34:$A$45,4,$C$34:$C$45)</f>
        <v>97.099157643699996</v>
      </c>
      <c r="G43" s="91">
        <f>AVERAGEIF($A$34:$A$45,4,$D$34:$D$45)</f>
        <v>84.124926236166672</v>
      </c>
      <c r="H43" s="91">
        <f>AVERAGEIF($A$34:$A$45,4,$E$34:$E$45)</f>
        <v>146.79957964313792</v>
      </c>
      <c r="I43" s="91">
        <f>85-F43</f>
        <v>-12.099157643699996</v>
      </c>
      <c r="J43"/>
      <c r="K43" s="79">
        <f t="shared" si="1"/>
        <v>4</v>
      </c>
      <c r="L43" s="80" t="str">
        <f>OC!J11</f>
        <v>22cb87170651</v>
      </c>
      <c r="M43" s="44">
        <f>OC!S11+VLOOKUP($R$31,$AD$38:$AK$42,4,FALSE)</f>
        <v>6.8973516192000002</v>
      </c>
      <c r="N43" s="44">
        <f>OC!T11+VLOOKUP($R$31,$AD$38:$AK$42,5,FALSE)</f>
        <v>-6.9302488969000002</v>
      </c>
      <c r="O43" s="92">
        <f>AVERAGEIF($K$34:$K$45,4,$M$34:$M$45)</f>
        <v>4.7317145387000004</v>
      </c>
      <c r="P43" s="92">
        <f>AVERAGEIF($K$34:$K$45,4,$N$34:$N$45)</f>
        <v>-2.1076652830333331</v>
      </c>
      <c r="Q43" s="90">
        <f>P43*0.001</f>
        <v>-2.1076652830333332E-3</v>
      </c>
      <c r="R43" s="90">
        <f>O43*0.001</f>
        <v>4.7317145387000001E-3</v>
      </c>
      <c r="T43" s="79">
        <v>4</v>
      </c>
      <c r="U43" s="80" t="str">
        <f>FPDC!J11</f>
        <v>22cb87170651</v>
      </c>
      <c r="V43" s="75">
        <f>FPDC!R11+VLOOKUP($R$31,$AD$38:$AK$42,2,FALSE)+VLOOKUP($R$31,$AD$38:$AK$42,7,FALSE)+VLOOKUP('File location'!$B$1,'Tester offset'!$A$2:$D$4,3,FALSE)</f>
        <v>-9.3778276442999999</v>
      </c>
      <c r="W43" s="76">
        <f>FPDC!S11+VLOOKUP($R$31,$AD$38:$AK$42,3,FALSE)+VLOOKUP($R$31,$AD$38:$AK$42,8,FALSE)+VLOOKUP('File location'!$B$1,'Tester offset'!$A$2:$D$4,4,FALSE)</f>
        <v>-13.835236549399999</v>
      </c>
      <c r="X43" s="92">
        <f>AVERAGEIF($T$34:$T$45,4,$V$34:$V$45)</f>
        <v>-11.925895055133333</v>
      </c>
      <c r="Y43" s="92">
        <f>AVERAGEIF($T$34:$T$45,4,$W$34:$W$45)</f>
        <v>-10.267299334233334</v>
      </c>
      <c r="Z43" s="90">
        <f>(X43*-0.01)/4</f>
        <v>2.9814737637833332E-2</v>
      </c>
      <c r="AA43" s="90">
        <f>(Y43*-0.01)/4</f>
        <v>2.5668248335583337E-2</v>
      </c>
    </row>
    <row r="44" spans="1:37" s="32" customFormat="1" ht="17.100000000000001" customHeight="1">
      <c r="A44" s="79">
        <f t="shared" si="0"/>
        <v>4</v>
      </c>
      <c r="B44" s="80" t="str">
        <f>IPQC!J12</f>
        <v>22cb87160611</v>
      </c>
      <c r="C44" s="44">
        <f>IPQC!S12+VLOOKUP($R$31,$AD$38:$AK$42,6,FALSE)+VLOOKUP('File location'!$B$1,'Tester offset'!$A$2:$D$4,2,FALSE)</f>
        <v>95.901363987799996</v>
      </c>
      <c r="D44" s="44">
        <f>IPQC!Z12+VLOOKUP($R$31,$AD$38:$AK$42,6,FALSE)</f>
        <v>83.190666314599994</v>
      </c>
      <c r="E44" s="44">
        <f>VCM!HU12-'Summary(3pcs)'!C44-'Summary(3pcs)'!$D$32</f>
        <v>155.71884031913794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22cb87160611</v>
      </c>
      <c r="M44" s="44">
        <f>OC!S12+VLOOKUP($R$31,$AD$38:$AK$42,4,FALSE)</f>
        <v>-1.2113413709</v>
      </c>
      <c r="N44" s="44">
        <f>OC!T12+VLOOKUP($R$31,$AD$38:$AK$42,5,FALSE)</f>
        <v>1.7396335054000001</v>
      </c>
      <c r="O44" s="92"/>
      <c r="P44" s="92"/>
      <c r="Q44" s="90"/>
      <c r="R44" s="90"/>
      <c r="T44" s="79">
        <v>4</v>
      </c>
      <c r="U44" s="80" t="str">
        <f>FPDC!J12</f>
        <v>22cb87160611</v>
      </c>
      <c r="V44" s="75">
        <f>FPDC!R12+VLOOKUP($R$31,$AD$38:$AK$42,2,FALSE)+VLOOKUP($R$31,$AD$38:$AK$42,7,FALSE)+VLOOKUP('File location'!$B$1,'Tester offset'!$A$2:$D$4,3,FALSE)</f>
        <v>-11.094555854799999</v>
      </c>
      <c r="W44" s="76">
        <f>FPDC!S12+VLOOKUP($R$31,$AD$38:$AK$42,3,FALSE)+VLOOKUP($R$31,$AD$38:$AK$42,8,FALSE)+VLOOKUP('File location'!$B$1,'Tester offset'!$A$2:$D$4,4,FALSE)</f>
        <v>-7.3111844062999998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22cb87160754</v>
      </c>
      <c r="C45" s="44">
        <f>IPQC!S13+VLOOKUP($R$31,$AD$38:$AK$42,6,FALSE)+VLOOKUP('File location'!$B$1,'Tester offset'!$A$2:$D$4,2,FALSE)</f>
        <v>99.017772373400007</v>
      </c>
      <c r="D45" s="44">
        <f>IPQC!Z13+VLOOKUP($R$31,$AD$38:$AK$42,6,FALSE)</f>
        <v>82.155506799299999</v>
      </c>
      <c r="E45" s="44">
        <f>VCM!HU13-'Summary(3pcs)'!C45-'Summary(3pcs)'!$D$32</f>
        <v>138.16470082403788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22cb87160754</v>
      </c>
      <c r="M45" s="44">
        <f>OC!S13+VLOOKUP($R$31,$AD$38:$AK$42,4,FALSE)</f>
        <v>8.5091333678000005</v>
      </c>
      <c r="N45" s="44">
        <f>OC!T13+VLOOKUP($R$31,$AD$38:$AK$42,5,FALSE)</f>
        <v>-1.1323804576000001</v>
      </c>
      <c r="O45" s="92"/>
      <c r="P45" s="92"/>
      <c r="Q45" s="90"/>
      <c r="R45" s="90"/>
      <c r="T45" s="79">
        <v>4</v>
      </c>
      <c r="U45" s="80" t="str">
        <f>FPDC!J13</f>
        <v>22cb87160754</v>
      </c>
      <c r="V45" s="75">
        <f>FPDC!R13+VLOOKUP($R$31,$AD$38:$AK$42,2,FALSE)+VLOOKUP($R$31,$AD$38:$AK$42,7,FALSE)+VLOOKUP('File location'!$B$1,'Tester offset'!$A$2:$D$4,3,FALSE)</f>
        <v>-15.3053016663</v>
      </c>
      <c r="W45" s="76">
        <f>FPDC!S13+VLOOKUP($R$31,$AD$38:$AK$42,3,FALSE)+VLOOKUP($R$31,$AD$38:$AK$42,8,FALSE)+VLOOKUP('File location'!$B$1,'Tester offset'!$A$2:$D$4,4,FALSE)</f>
        <v>-9.6554770469999998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91.147642910200005</v>
      </c>
      <c r="L54" s="49">
        <f t="shared" ref="L54:L65" si="4">D34</f>
        <v>81.653038982300004</v>
      </c>
      <c r="M54" s="49">
        <f t="shared" ref="M54:M65" si="5">E34</f>
        <v>162.43988391843789</v>
      </c>
      <c r="N54" s="49">
        <f t="shared" ref="N54:O65" si="6">M34</f>
        <v>-0.1843117235</v>
      </c>
      <c r="O54" s="49">
        <f t="shared" si="6"/>
        <v>0.14808683919999988</v>
      </c>
      <c r="P54" s="49">
        <f t="shared" ref="P54:P65" si="7">V34</f>
        <v>-2.1024594307000002</v>
      </c>
      <c r="Q54" s="50">
        <f t="shared" ref="Q54:Q65" si="8">W34</f>
        <v>0.98930573459999982</v>
      </c>
    </row>
    <row r="55" spans="6:27" ht="19.5">
      <c r="I55" s="47">
        <f t="shared" si="2"/>
        <v>1</v>
      </c>
      <c r="J55" s="46"/>
      <c r="K55" s="51">
        <f t="shared" si="3"/>
        <v>97.029580308899995</v>
      </c>
      <c r="L55" s="52">
        <f t="shared" si="4"/>
        <v>86.169058570399997</v>
      </c>
      <c r="M55" s="52">
        <f t="shared" si="5"/>
        <v>146.93027062293794</v>
      </c>
      <c r="N55" s="52">
        <f t="shared" si="6"/>
        <v>-8.7314808382999995</v>
      </c>
      <c r="O55" s="52">
        <f t="shared" si="6"/>
        <v>-0.83432589199999985</v>
      </c>
      <c r="P55" s="52">
        <f t="shared" si="7"/>
        <v>-8.9273633957000005</v>
      </c>
      <c r="Q55" s="53">
        <f t="shared" si="8"/>
        <v>2.8970293999000001</v>
      </c>
    </row>
    <row r="56" spans="6:27" ht="19.5">
      <c r="I56" s="47">
        <f t="shared" si="2"/>
        <v>1</v>
      </c>
      <c r="J56" s="46"/>
      <c r="K56" s="54">
        <f t="shared" si="3"/>
        <v>93.663688222299996</v>
      </c>
      <c r="L56" s="55">
        <f t="shared" si="4"/>
        <v>85.702487782600002</v>
      </c>
      <c r="M56" s="55">
        <f t="shared" si="5"/>
        <v>137.7955850405379</v>
      </c>
      <c r="N56" s="55">
        <f t="shared" si="6"/>
        <v>0.90057032510000001</v>
      </c>
      <c r="O56" s="55">
        <f t="shared" si="6"/>
        <v>0.25648109230000005</v>
      </c>
      <c r="P56" s="55">
        <f t="shared" si="7"/>
        <v>0.39252138139999992</v>
      </c>
      <c r="Q56" s="56">
        <f t="shared" si="8"/>
        <v>4.2131366730000002</v>
      </c>
    </row>
    <row r="57" spans="6:27" ht="19.5">
      <c r="I57" s="47">
        <f t="shared" si="2"/>
        <v>2</v>
      </c>
      <c r="J57" s="46"/>
      <c r="K57" s="57">
        <f t="shared" si="3"/>
        <v>94.554160104000005</v>
      </c>
      <c r="L57" s="58">
        <f t="shared" si="4"/>
        <v>87.342644559099995</v>
      </c>
      <c r="M57" s="58">
        <f t="shared" si="5"/>
        <v>141.06064135743793</v>
      </c>
      <c r="N57" s="58">
        <f t="shared" si="6"/>
        <v>0.15760457559999999</v>
      </c>
      <c r="O57" s="58">
        <f t="shared" si="6"/>
        <v>-0.76907540090000026</v>
      </c>
      <c r="P57" s="58">
        <f t="shared" si="7"/>
        <v>-21.325994491599999</v>
      </c>
      <c r="Q57" s="59">
        <f t="shared" si="8"/>
        <v>-13.765172958400001</v>
      </c>
    </row>
    <row r="58" spans="6:27" ht="19.5">
      <c r="I58" s="47">
        <f t="shared" si="2"/>
        <v>2</v>
      </c>
      <c r="J58" s="46"/>
      <c r="K58" s="57">
        <f t="shared" si="3"/>
        <v>94.484143697700006</v>
      </c>
      <c r="L58" s="58">
        <f t="shared" si="4"/>
        <v>81.945979763099999</v>
      </c>
      <c r="M58" s="58">
        <f t="shared" si="5"/>
        <v>147.68354852653789</v>
      </c>
      <c r="N58" s="58">
        <f t="shared" si="6"/>
        <v>1.4808360225999999</v>
      </c>
      <c r="O58" s="58">
        <f t="shared" si="6"/>
        <v>3.9691070896</v>
      </c>
      <c r="P58" s="58">
        <f t="shared" si="7"/>
        <v>-14.477039337200001</v>
      </c>
      <c r="Q58" s="59">
        <f t="shared" si="8"/>
        <v>-8.9251575470000013</v>
      </c>
    </row>
    <row r="59" spans="6:27" ht="19.5">
      <c r="I59" s="47">
        <f t="shared" si="2"/>
        <v>2</v>
      </c>
      <c r="J59" s="46"/>
      <c r="K59" s="57">
        <f t="shared" si="3"/>
        <v>86.615423831800001</v>
      </c>
      <c r="L59" s="58">
        <f t="shared" si="4"/>
        <v>77.491582771699996</v>
      </c>
      <c r="M59" s="58">
        <f t="shared" si="5"/>
        <v>150.21374430833788</v>
      </c>
      <c r="N59" s="58">
        <f t="shared" si="6"/>
        <v>4.502491289</v>
      </c>
      <c r="O59" s="58">
        <f t="shared" si="6"/>
        <v>-5.7867791657000005</v>
      </c>
      <c r="P59" s="58">
        <f t="shared" si="7"/>
        <v>-5.2727982997999998</v>
      </c>
      <c r="Q59" s="59">
        <f t="shared" si="8"/>
        <v>-2.3398189545000001</v>
      </c>
    </row>
    <row r="60" spans="6:27" ht="19.5">
      <c r="I60" s="47">
        <f t="shared" si="2"/>
        <v>3</v>
      </c>
      <c r="J60" s="46"/>
      <c r="K60" s="60">
        <f t="shared" si="3"/>
        <v>104.2113754624</v>
      </c>
      <c r="L60" s="61">
        <f t="shared" si="4"/>
        <v>91.484505655800007</v>
      </c>
      <c r="M60" s="61">
        <f t="shared" si="5"/>
        <v>137.45658819853793</v>
      </c>
      <c r="N60" s="61">
        <f t="shared" si="6"/>
        <v>6.4067057934999996</v>
      </c>
      <c r="O60" s="61">
        <f t="shared" si="6"/>
        <v>-9.0310569994000005</v>
      </c>
      <c r="P60" s="61">
        <f t="shared" si="7"/>
        <v>-14.500132560699999</v>
      </c>
      <c r="Q60" s="62">
        <f t="shared" si="8"/>
        <v>-7.8325862884999999</v>
      </c>
    </row>
    <row r="61" spans="6:27" ht="19.5">
      <c r="I61" s="47">
        <f t="shared" si="2"/>
        <v>3</v>
      </c>
      <c r="J61" s="46"/>
      <c r="K61" s="63">
        <f t="shared" si="3"/>
        <v>100.494800153</v>
      </c>
      <c r="L61" s="64">
        <f t="shared" si="4"/>
        <v>91.825380924800001</v>
      </c>
      <c r="M61" s="64">
        <f t="shared" si="5"/>
        <v>140.94791072833789</v>
      </c>
      <c r="N61" s="64">
        <f t="shared" si="6"/>
        <v>-1.7746582778</v>
      </c>
      <c r="O61" s="64">
        <f t="shared" si="6"/>
        <v>-6.3886051517000002</v>
      </c>
      <c r="P61" s="64">
        <f t="shared" si="7"/>
        <v>-19.266377449</v>
      </c>
      <c r="Q61" s="65">
        <f t="shared" si="8"/>
        <v>-4.5827231406999998</v>
      </c>
    </row>
    <row r="62" spans="6:27" ht="19.5">
      <c r="I62" s="47">
        <f t="shared" si="2"/>
        <v>3</v>
      </c>
      <c r="J62" s="46"/>
      <c r="K62" s="66">
        <f t="shared" si="3"/>
        <v>100.4506246614</v>
      </c>
      <c r="L62" s="67">
        <f t="shared" si="4"/>
        <v>86.494695458500004</v>
      </c>
      <c r="M62" s="67">
        <f t="shared" si="5"/>
        <v>138.85197771383787</v>
      </c>
      <c r="N62" s="67">
        <f t="shared" si="6"/>
        <v>0.87591035189999999</v>
      </c>
      <c r="O62" s="67">
        <f t="shared" si="6"/>
        <v>1.2173707390000001</v>
      </c>
      <c r="P62" s="67">
        <f t="shared" si="7"/>
        <v>-23.414360046399999</v>
      </c>
      <c r="Q62" s="68">
        <f t="shared" si="8"/>
        <v>-1.4419367313</v>
      </c>
    </row>
    <row r="63" spans="6:27" ht="19.5">
      <c r="I63" s="47">
        <f t="shared" si="2"/>
        <v>4</v>
      </c>
      <c r="J63" s="46"/>
      <c r="K63" s="57">
        <f t="shared" si="3"/>
        <v>96.3783365699</v>
      </c>
      <c r="L63" s="58">
        <f t="shared" si="4"/>
        <v>87.028605594599995</v>
      </c>
      <c r="M63" s="58">
        <f t="shared" si="5"/>
        <v>146.51519778623793</v>
      </c>
      <c r="N63" s="58">
        <f t="shared" si="6"/>
        <v>6.8973516192000002</v>
      </c>
      <c r="O63" s="58">
        <f t="shared" si="6"/>
        <v>-6.9302488969000002</v>
      </c>
      <c r="P63" s="58">
        <f t="shared" si="7"/>
        <v>-9.3778276442999999</v>
      </c>
      <c r="Q63" s="59">
        <f t="shared" si="8"/>
        <v>-13.835236549399999</v>
      </c>
    </row>
    <row r="64" spans="6:27" ht="19.5">
      <c r="I64" s="47">
        <f t="shared" si="2"/>
        <v>4</v>
      </c>
      <c r="J64" s="46"/>
      <c r="K64" s="57">
        <f t="shared" si="3"/>
        <v>95.901363987799996</v>
      </c>
      <c r="L64" s="58">
        <f t="shared" si="4"/>
        <v>83.190666314599994</v>
      </c>
      <c r="M64" s="58">
        <f t="shared" si="5"/>
        <v>155.71884031913794</v>
      </c>
      <c r="N64" s="58">
        <f t="shared" si="6"/>
        <v>-1.2113413709</v>
      </c>
      <c r="O64" s="58">
        <f t="shared" si="6"/>
        <v>1.7396335054000001</v>
      </c>
      <c r="P64" s="58">
        <f t="shared" si="7"/>
        <v>-11.094555854799999</v>
      </c>
      <c r="Q64" s="59">
        <f t="shared" si="8"/>
        <v>-7.3111844062999998</v>
      </c>
    </row>
    <row r="65" spans="9:17" ht="20.25" thickBot="1">
      <c r="I65" s="47">
        <f t="shared" si="2"/>
        <v>4</v>
      </c>
      <c r="J65" s="46"/>
      <c r="K65" s="69">
        <f t="shared" si="3"/>
        <v>99.017772373400007</v>
      </c>
      <c r="L65" s="70">
        <f t="shared" si="4"/>
        <v>82.155506799299999</v>
      </c>
      <c r="M65" s="70">
        <f t="shared" si="5"/>
        <v>138.16470082403788</v>
      </c>
      <c r="N65" s="70">
        <f t="shared" si="6"/>
        <v>8.5091333678000005</v>
      </c>
      <c r="O65" s="70">
        <f t="shared" si="6"/>
        <v>-1.1323804576000001</v>
      </c>
      <c r="P65" s="70">
        <f t="shared" si="7"/>
        <v>-15.3053016663</v>
      </c>
      <c r="Q65" s="71">
        <f t="shared" si="8"/>
        <v>-9.6554770469999998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2112.3156882765002</v>
      </c>
      <c r="R2">
        <v>1516.3519131608</v>
      </c>
      <c r="S2">
        <v>-0.1843117235</v>
      </c>
      <c r="T2">
        <v>-3.8519131608000001</v>
      </c>
      <c r="U2">
        <v>3.8563202420999998</v>
      </c>
      <c r="V2">
        <v>733.81610000000001</v>
      </c>
      <c r="W2">
        <v>395.87529999999998</v>
      </c>
      <c r="X2">
        <v>396.01569999999998</v>
      </c>
      <c r="Y2">
        <v>395.11259999999999</v>
      </c>
      <c r="Z2">
        <v>396.7518</v>
      </c>
      <c r="AA2">
        <v>564.877475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2103.7685191617002</v>
      </c>
      <c r="R3">
        <v>1517.3343258919999</v>
      </c>
      <c r="S3">
        <v>-8.7314808382999995</v>
      </c>
      <c r="T3">
        <v>-4.8343258919999998</v>
      </c>
      <c r="U3">
        <v>9.9804541208999993</v>
      </c>
      <c r="V3">
        <v>735.2568</v>
      </c>
      <c r="W3">
        <v>396.90649999999999</v>
      </c>
      <c r="X3">
        <v>398.34089999999998</v>
      </c>
      <c r="Y3">
        <v>397.40620000000001</v>
      </c>
      <c r="Z3">
        <v>396.72559999999999</v>
      </c>
      <c r="AA3">
        <v>566.30079999999998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550</v>
      </c>
      <c r="B4" t="s">
        <v>551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552</v>
      </c>
      <c r="K4" t="s">
        <v>553</v>
      </c>
      <c r="L4" t="s">
        <v>554</v>
      </c>
      <c r="M4" t="s">
        <v>555</v>
      </c>
      <c r="N4" t="s">
        <v>556</v>
      </c>
      <c r="O4">
        <v>0</v>
      </c>
      <c r="P4">
        <v>0</v>
      </c>
      <c r="Q4">
        <v>2113.4005703251</v>
      </c>
      <c r="R4">
        <v>1516.2435189077</v>
      </c>
      <c r="S4">
        <v>0.90057032510000001</v>
      </c>
      <c r="T4">
        <v>-3.7435189077</v>
      </c>
      <c r="U4">
        <v>3.8503195612000001</v>
      </c>
      <c r="V4">
        <v>735.58680000000004</v>
      </c>
      <c r="W4">
        <v>392.49689999999998</v>
      </c>
      <c r="X4">
        <v>399.3032</v>
      </c>
      <c r="Y4">
        <v>396.32749999999999</v>
      </c>
      <c r="Z4">
        <v>396.76299999999998</v>
      </c>
      <c r="AA4">
        <v>565.90472499999998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557</v>
      </c>
      <c r="B5" t="s">
        <v>558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559</v>
      </c>
      <c r="K5" t="s">
        <v>560</v>
      </c>
      <c r="L5" t="s">
        <v>561</v>
      </c>
      <c r="M5" t="s">
        <v>562</v>
      </c>
      <c r="N5" t="s">
        <v>563</v>
      </c>
      <c r="O5">
        <v>0</v>
      </c>
      <c r="P5">
        <v>0</v>
      </c>
      <c r="Q5">
        <v>2112.6576045756001</v>
      </c>
      <c r="R5">
        <v>1517.2690754009</v>
      </c>
      <c r="S5">
        <v>0.15760457559999999</v>
      </c>
      <c r="T5">
        <v>-4.7690754009000003</v>
      </c>
      <c r="U5">
        <v>4.7716788851</v>
      </c>
      <c r="V5">
        <v>720.35119999999995</v>
      </c>
      <c r="W5">
        <v>391.99400000000003</v>
      </c>
      <c r="X5">
        <v>389.28050000000002</v>
      </c>
      <c r="Y5">
        <v>388.44589999999999</v>
      </c>
      <c r="Z5">
        <v>389.59030000000001</v>
      </c>
      <c r="AA5">
        <v>555.08943750000003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564</v>
      </c>
      <c r="B6" t="s">
        <v>565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566</v>
      </c>
      <c r="K6" t="s">
        <v>567</v>
      </c>
      <c r="L6" t="s">
        <v>568</v>
      </c>
      <c r="M6" t="s">
        <v>569</v>
      </c>
      <c r="N6" t="s">
        <v>570</v>
      </c>
      <c r="O6">
        <v>0</v>
      </c>
      <c r="P6">
        <v>0</v>
      </c>
      <c r="Q6">
        <v>2113.9808360226002</v>
      </c>
      <c r="R6">
        <v>1512.5308929104001</v>
      </c>
      <c r="S6">
        <v>1.4808360225999999</v>
      </c>
      <c r="T6">
        <v>-3.0892910400000001E-2</v>
      </c>
      <c r="U6">
        <v>1.4811582284</v>
      </c>
      <c r="V6">
        <v>718.10130000000004</v>
      </c>
      <c r="W6">
        <v>388.53160000000003</v>
      </c>
      <c r="X6">
        <v>391.54599999999999</v>
      </c>
      <c r="Y6">
        <v>385.57</v>
      </c>
      <c r="Z6">
        <v>388.80070000000001</v>
      </c>
      <c r="AA6">
        <v>553.35668750000002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571</v>
      </c>
      <c r="B7" t="s">
        <v>572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573</v>
      </c>
      <c r="K7" t="s">
        <v>574</v>
      </c>
      <c r="L7" t="s">
        <v>575</v>
      </c>
      <c r="M7" t="s">
        <v>576</v>
      </c>
      <c r="N7" t="s">
        <v>577</v>
      </c>
      <c r="O7">
        <v>0</v>
      </c>
      <c r="P7">
        <v>0</v>
      </c>
      <c r="Q7">
        <v>2117.0024912889999</v>
      </c>
      <c r="R7">
        <v>1522.2867791657</v>
      </c>
      <c r="S7">
        <v>4.502491289</v>
      </c>
      <c r="T7">
        <v>-9.7867791657000005</v>
      </c>
      <c r="U7">
        <v>10.7728118078</v>
      </c>
      <c r="V7">
        <v>747.78219999999999</v>
      </c>
      <c r="W7">
        <v>402.96519999999998</v>
      </c>
      <c r="X7">
        <v>406.83679999999998</v>
      </c>
      <c r="Y7">
        <v>399.79590000000002</v>
      </c>
      <c r="Z7">
        <v>404.86520000000002</v>
      </c>
      <c r="AA7">
        <v>575.69898750000004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596</v>
      </c>
      <c r="B8" t="s">
        <v>597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2118.9067057934999</v>
      </c>
      <c r="R8">
        <v>1525.5310569994001</v>
      </c>
      <c r="S8">
        <v>6.4067057934999996</v>
      </c>
      <c r="T8">
        <v>-13.031056999400001</v>
      </c>
      <c r="U8">
        <v>14.5208238625</v>
      </c>
      <c r="V8">
        <v>730.22190000000001</v>
      </c>
      <c r="W8">
        <v>390.22899999999998</v>
      </c>
      <c r="X8">
        <v>399.7183</v>
      </c>
      <c r="Y8">
        <v>391.99639999999999</v>
      </c>
      <c r="Z8">
        <v>395.40480000000002</v>
      </c>
      <c r="AA8">
        <v>562.27951250000001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606</v>
      </c>
      <c r="B9" t="s">
        <v>607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608</v>
      </c>
      <c r="K9" t="s">
        <v>609</v>
      </c>
      <c r="L9" t="s">
        <v>610</v>
      </c>
      <c r="M9" t="s">
        <v>611</v>
      </c>
      <c r="N9" t="s">
        <v>612</v>
      </c>
      <c r="O9">
        <v>0</v>
      </c>
      <c r="P9">
        <v>0</v>
      </c>
      <c r="Q9">
        <v>2110.7253417222</v>
      </c>
      <c r="R9">
        <v>1522.8886051516999</v>
      </c>
      <c r="S9">
        <v>-1.7746582778</v>
      </c>
      <c r="T9">
        <v>-10.3886051517</v>
      </c>
      <c r="U9">
        <v>10.5390952648</v>
      </c>
      <c r="V9">
        <v>722.63739999999996</v>
      </c>
      <c r="W9">
        <v>387.012</v>
      </c>
      <c r="X9">
        <v>393.82960000000003</v>
      </c>
      <c r="Y9">
        <v>386.45249999999999</v>
      </c>
      <c r="Z9">
        <v>390.17660000000001</v>
      </c>
      <c r="AA9">
        <v>556.00253750000002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618</v>
      </c>
      <c r="B10" t="s">
        <v>619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2113.3759103519001</v>
      </c>
      <c r="R10">
        <v>1515.282629261</v>
      </c>
      <c r="S10">
        <v>0.87591035189999999</v>
      </c>
      <c r="T10">
        <v>-2.7826292609999999</v>
      </c>
      <c r="U10">
        <v>2.9172323438999999</v>
      </c>
      <c r="V10">
        <v>714.85130000000004</v>
      </c>
      <c r="W10">
        <v>387.08420000000001</v>
      </c>
      <c r="X10">
        <v>391.79079999999999</v>
      </c>
      <c r="Y10">
        <v>385.04109999999997</v>
      </c>
      <c r="Z10">
        <v>387.90280000000001</v>
      </c>
      <c r="AA10">
        <v>551.40301250000005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625</v>
      </c>
      <c r="B11" t="s">
        <v>626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627</v>
      </c>
      <c r="K11" t="s">
        <v>628</v>
      </c>
      <c r="L11" t="s">
        <v>629</v>
      </c>
      <c r="M11" t="s">
        <v>630</v>
      </c>
      <c r="N11" t="s">
        <v>631</v>
      </c>
      <c r="O11">
        <v>0</v>
      </c>
      <c r="P11">
        <v>0</v>
      </c>
      <c r="Q11">
        <v>2119.3973516192</v>
      </c>
      <c r="R11">
        <v>1523.4302488968999</v>
      </c>
      <c r="S11">
        <v>6.8973516192000002</v>
      </c>
      <c r="T11">
        <v>-10.9302488969</v>
      </c>
      <c r="U11">
        <v>12.924542556900001</v>
      </c>
      <c r="V11">
        <v>736.02930000000003</v>
      </c>
      <c r="W11">
        <v>393.58339999999998</v>
      </c>
      <c r="X11">
        <v>401.5745</v>
      </c>
      <c r="Y11">
        <v>392.78469999999999</v>
      </c>
      <c r="Z11">
        <v>397.1386</v>
      </c>
      <c r="AA11">
        <v>566.14980000000003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632</v>
      </c>
      <c r="B12" t="s">
        <v>633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634</v>
      </c>
      <c r="K12" t="s">
        <v>635</v>
      </c>
      <c r="L12" t="s">
        <v>636</v>
      </c>
      <c r="M12" t="s">
        <v>637</v>
      </c>
      <c r="N12" t="s">
        <v>638</v>
      </c>
      <c r="O12">
        <v>0</v>
      </c>
      <c r="P12">
        <v>0</v>
      </c>
      <c r="Q12">
        <v>2111.2886586291002</v>
      </c>
      <c r="R12">
        <v>1514.7603664946</v>
      </c>
      <c r="S12">
        <v>-1.2113413709</v>
      </c>
      <c r="T12">
        <v>-2.2603664945999999</v>
      </c>
      <c r="U12">
        <v>2.5644891512000001</v>
      </c>
      <c r="V12">
        <v>717.92589999999996</v>
      </c>
      <c r="W12">
        <v>388.7201</v>
      </c>
      <c r="X12">
        <v>390.45830000000001</v>
      </c>
      <c r="Y12">
        <v>389.01510000000002</v>
      </c>
      <c r="Z12">
        <v>388.17770000000002</v>
      </c>
      <c r="AA12">
        <v>553.50935000000004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659</v>
      </c>
      <c r="B13" t="s">
        <v>660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2121.0091333678001</v>
      </c>
      <c r="R13">
        <v>1517.6323804576</v>
      </c>
      <c r="S13">
        <v>8.5091333678000005</v>
      </c>
      <c r="T13">
        <v>-5.1323804576000001</v>
      </c>
      <c r="U13">
        <v>9.9371364</v>
      </c>
      <c r="V13">
        <v>720.50509999999997</v>
      </c>
      <c r="W13">
        <v>389.24889999999999</v>
      </c>
      <c r="X13">
        <v>394.69</v>
      </c>
      <c r="Y13">
        <v>387.8424</v>
      </c>
      <c r="Z13">
        <v>392.6497</v>
      </c>
      <c r="AA13">
        <v>555.80642499999999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245</v>
      </c>
      <c r="AB1" t="s">
        <v>246</v>
      </c>
      <c r="AC1" t="s">
        <v>247</v>
      </c>
      <c r="AD1" t="s">
        <v>248</v>
      </c>
      <c r="AE1" t="s">
        <v>249</v>
      </c>
      <c r="AF1" t="s">
        <v>250</v>
      </c>
      <c r="AG1" t="s">
        <v>251</v>
      </c>
      <c r="AH1" t="s">
        <v>252</v>
      </c>
      <c r="AI1" t="s">
        <v>253</v>
      </c>
      <c r="AJ1" t="s">
        <v>254</v>
      </c>
      <c r="AK1" t="s">
        <v>255</v>
      </c>
      <c r="AL1" t="s">
        <v>256</v>
      </c>
      <c r="AM1" t="s">
        <v>257</v>
      </c>
      <c r="AN1" t="s">
        <v>258</v>
      </c>
      <c r="AO1" t="s">
        <v>259</v>
      </c>
      <c r="AP1" t="s">
        <v>260</v>
      </c>
      <c r="AQ1" t="s">
        <v>261</v>
      </c>
      <c r="AR1" t="s">
        <v>262</v>
      </c>
      <c r="AS1" t="s">
        <v>263</v>
      </c>
      <c r="AT1" t="s">
        <v>264</v>
      </c>
      <c r="AU1" t="s">
        <v>265</v>
      </c>
      <c r="AV1" t="s">
        <v>207</v>
      </c>
      <c r="AW1" t="s">
        <v>208</v>
      </c>
      <c r="AX1" t="s">
        <v>209</v>
      </c>
    </row>
    <row r="2" spans="1:50">
      <c r="A2" t="s">
        <v>266</v>
      </c>
      <c r="B2" t="s">
        <v>267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4.0531000000000002E-6</v>
      </c>
      <c r="R2">
        <v>3.8975405692999998</v>
      </c>
      <c r="S2">
        <v>3.9893057345999998</v>
      </c>
      <c r="T2">
        <v>2.9654905796</v>
      </c>
      <c r="U2">
        <v>1.7774116993</v>
      </c>
      <c r="V2">
        <v>-8.6439294815000007</v>
      </c>
      <c r="W2">
        <v>2.2930669785000002</v>
      </c>
      <c r="X2">
        <v>1.1391477585000001</v>
      </c>
      <c r="Y2">
        <v>-1.0448338985000001</v>
      </c>
      <c r="Z2">
        <v>0.2396033108</v>
      </c>
      <c r="AA2">
        <v>0.34822344779999997</v>
      </c>
      <c r="AB2">
        <v>-0.88928616049999998</v>
      </c>
      <c r="AC2">
        <v>2.6821236609999999</v>
      </c>
      <c r="AD2">
        <v>-1.1390161513999999</v>
      </c>
      <c r="AE2">
        <v>-0.69585621360000005</v>
      </c>
      <c r="AF2">
        <v>0.78329867119999996</v>
      </c>
      <c r="AG2">
        <v>-0.42851340770000002</v>
      </c>
      <c r="AH2">
        <v>-0.63375729319999996</v>
      </c>
      <c r="AI2">
        <v>-0.73958587649999996</v>
      </c>
      <c r="AJ2">
        <v>-3.5794705199999999E-2</v>
      </c>
      <c r="AK2">
        <v>2.8473460000000002E-4</v>
      </c>
      <c r="AL2">
        <v>5.5693984000000002E-2</v>
      </c>
      <c r="AM2">
        <v>0.15068984029999999</v>
      </c>
      <c r="AN2">
        <v>0.18954275549999999</v>
      </c>
      <c r="AO2">
        <v>0.18954275549999999</v>
      </c>
      <c r="AP2">
        <v>0.18954275549999999</v>
      </c>
      <c r="AQ2">
        <v>5.5772199826</v>
      </c>
      <c r="AR2" t="s">
        <v>269</v>
      </c>
      <c r="AS2" t="s">
        <v>270</v>
      </c>
      <c r="AT2">
        <v>4</v>
      </c>
      <c r="AU2">
        <v>2.9</v>
      </c>
      <c r="AX2">
        <v>1</v>
      </c>
    </row>
    <row r="3" spans="1:50">
      <c r="A3" t="s">
        <v>548</v>
      </c>
      <c r="B3" t="s">
        <v>578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3.06964E-5</v>
      </c>
      <c r="R3">
        <v>-2.9273633957</v>
      </c>
      <c r="S3">
        <v>5.8970293999000001</v>
      </c>
      <c r="T3">
        <v>-1.1538739203999999</v>
      </c>
      <c r="U3">
        <v>1.4070641993999999</v>
      </c>
      <c r="V3">
        <v>-9.5652961731000001</v>
      </c>
      <c r="W3">
        <v>1.1377882957000001</v>
      </c>
      <c r="X3">
        <v>-3.2138347599999999E-2</v>
      </c>
      <c r="Y3">
        <v>0.37850570680000001</v>
      </c>
      <c r="Z3">
        <v>1.1830821037000001</v>
      </c>
      <c r="AA3">
        <v>1.2961900233999999</v>
      </c>
      <c r="AB3">
        <v>-1.2770075798</v>
      </c>
      <c r="AC3">
        <v>1.9402647018000001</v>
      </c>
      <c r="AD3">
        <v>-3.3413290999999998E-2</v>
      </c>
      <c r="AE3">
        <v>-0.63358777759999996</v>
      </c>
      <c r="AF3">
        <v>0.75695180890000002</v>
      </c>
      <c r="AG3">
        <v>-0.4471538961</v>
      </c>
      <c r="AH3">
        <v>-0.23923188449999999</v>
      </c>
      <c r="AI3">
        <v>-0.57716310019999995</v>
      </c>
      <c r="AJ3">
        <v>-0.1169983745</v>
      </c>
      <c r="AK3">
        <v>2.3689469999999999E-4</v>
      </c>
      <c r="AL3">
        <v>5.0128072500000002E-2</v>
      </c>
      <c r="AM3">
        <v>0.18031543489999999</v>
      </c>
      <c r="AN3">
        <v>0.2117725909</v>
      </c>
      <c r="AO3">
        <v>0.2117725909</v>
      </c>
      <c r="AP3">
        <v>0.2117725909</v>
      </c>
      <c r="AQ3">
        <v>6.5836473321</v>
      </c>
      <c r="AR3" t="s">
        <v>269</v>
      </c>
      <c r="AS3" t="s">
        <v>270</v>
      </c>
      <c r="AT3">
        <v>4</v>
      </c>
      <c r="AU3">
        <v>2.9</v>
      </c>
      <c r="AX3">
        <v>1</v>
      </c>
    </row>
    <row r="4" spans="1:50">
      <c r="A4" t="s">
        <v>579</v>
      </c>
      <c r="B4" t="s">
        <v>580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552</v>
      </c>
      <c r="K4" t="s">
        <v>553</v>
      </c>
      <c r="L4" t="s">
        <v>554</v>
      </c>
      <c r="M4" t="s">
        <v>555</v>
      </c>
      <c r="N4" t="s">
        <v>556</v>
      </c>
      <c r="O4">
        <v>0</v>
      </c>
      <c r="P4">
        <v>0</v>
      </c>
      <c r="Q4">
        <v>3.3974599999999998E-5</v>
      </c>
      <c r="R4">
        <v>6.3925213813999999</v>
      </c>
      <c r="S4">
        <v>7.2131366730000002</v>
      </c>
      <c r="T4">
        <v>1.5755707026000001</v>
      </c>
      <c r="U4">
        <v>-0.82692474130000004</v>
      </c>
      <c r="V4">
        <v>-2.5167236328000002</v>
      </c>
      <c r="W4">
        <v>0.65417128800000002</v>
      </c>
      <c r="X4">
        <v>-0.15643465519999999</v>
      </c>
      <c r="Y4">
        <v>-0.73404318089999998</v>
      </c>
      <c r="Z4">
        <v>-1.5607342719999999</v>
      </c>
      <c r="AA4">
        <v>1.2019698619999999</v>
      </c>
      <c r="AB4">
        <v>2.73410678E-2</v>
      </c>
      <c r="AC4">
        <v>0.1500120163</v>
      </c>
      <c r="AD4">
        <v>-0.44419068099999998</v>
      </c>
      <c r="AE4">
        <v>-8.6837172500000004E-2</v>
      </c>
      <c r="AF4">
        <v>0.20663160089999999</v>
      </c>
      <c r="AG4">
        <v>-0.60310804839999999</v>
      </c>
      <c r="AH4">
        <v>-0.71074825529999996</v>
      </c>
      <c r="AI4">
        <v>0.47528770570000001</v>
      </c>
      <c r="AJ4">
        <v>-0.17440110449999999</v>
      </c>
      <c r="AK4">
        <v>2.2957049999999999E-4</v>
      </c>
      <c r="AL4">
        <v>4.91963848E-2</v>
      </c>
      <c r="AM4">
        <v>0.1000845283</v>
      </c>
      <c r="AN4">
        <v>0.12979659439999999</v>
      </c>
      <c r="AO4">
        <v>0.16963084040000001</v>
      </c>
      <c r="AP4">
        <v>0.16963084040000001</v>
      </c>
      <c r="AQ4">
        <v>9.6381362449000001</v>
      </c>
      <c r="AR4" t="s">
        <v>269</v>
      </c>
      <c r="AS4" t="s">
        <v>270</v>
      </c>
      <c r="AT4">
        <v>3</v>
      </c>
      <c r="AU4">
        <v>2.9</v>
      </c>
      <c r="AX4">
        <v>1</v>
      </c>
    </row>
    <row r="5" spans="1:50">
      <c r="A5" t="s">
        <v>581</v>
      </c>
      <c r="B5" t="s">
        <v>582</v>
      </c>
      <c r="C5" t="s">
        <v>212</v>
      </c>
      <c r="D5">
        <v>3</v>
      </c>
      <c r="E5" t="s">
        <v>213</v>
      </c>
      <c r="F5" t="s">
        <v>214</v>
      </c>
      <c r="G5" t="s">
        <v>268</v>
      </c>
      <c r="H5" t="s">
        <v>216</v>
      </c>
      <c r="J5" t="s">
        <v>559</v>
      </c>
      <c r="K5" t="s">
        <v>560</v>
      </c>
      <c r="L5" t="s">
        <v>561</v>
      </c>
      <c r="M5" t="s">
        <v>562</v>
      </c>
      <c r="N5" t="s">
        <v>563</v>
      </c>
      <c r="O5">
        <v>0</v>
      </c>
      <c r="P5">
        <v>0</v>
      </c>
      <c r="Q5">
        <v>4.7683999999999999E-6</v>
      </c>
      <c r="R5">
        <v>-15.325994491599999</v>
      </c>
      <c r="S5">
        <v>-10.765172958400001</v>
      </c>
      <c r="T5">
        <v>0.72750759119999997</v>
      </c>
      <c r="U5">
        <v>4.1442241669</v>
      </c>
      <c r="V5">
        <v>4.2229285240000003</v>
      </c>
      <c r="W5">
        <v>4.2629427910000004</v>
      </c>
      <c r="X5">
        <v>2.7233717442000001</v>
      </c>
      <c r="Y5">
        <v>-0.46469581129999998</v>
      </c>
      <c r="Z5">
        <v>0.77948355670000002</v>
      </c>
      <c r="AA5">
        <v>-0.51393294329999994</v>
      </c>
      <c r="AB5">
        <v>-0.9230097532</v>
      </c>
      <c r="AC5">
        <v>-1.2039039135</v>
      </c>
      <c r="AD5">
        <v>-0.61619836090000002</v>
      </c>
      <c r="AE5">
        <v>-0.46674913169999999</v>
      </c>
      <c r="AF5">
        <v>0.33225303890000002</v>
      </c>
      <c r="AG5">
        <v>0.10991013049999999</v>
      </c>
      <c r="AH5">
        <v>-0.41747796539999998</v>
      </c>
      <c r="AI5">
        <v>-0.1502097845</v>
      </c>
      <c r="AJ5">
        <v>-7.6672136799999999E-2</v>
      </c>
      <c r="AK5">
        <v>2.370118E-4</v>
      </c>
      <c r="AL5">
        <v>5.0080087000000002E-2</v>
      </c>
      <c r="AM5">
        <v>0.25370198490000001</v>
      </c>
      <c r="AN5">
        <v>0.21248775719999999</v>
      </c>
      <c r="AO5">
        <v>0.3388844728</v>
      </c>
      <c r="AP5">
        <v>0.3388844728</v>
      </c>
      <c r="AQ5">
        <v>18.7289897213</v>
      </c>
      <c r="AR5" t="s">
        <v>269</v>
      </c>
      <c r="AS5" t="s">
        <v>270</v>
      </c>
      <c r="AT5">
        <v>3</v>
      </c>
      <c r="AU5">
        <v>2.9</v>
      </c>
      <c r="AX5">
        <v>1</v>
      </c>
    </row>
    <row r="6" spans="1:50">
      <c r="A6" t="s">
        <v>583</v>
      </c>
      <c r="B6" t="s">
        <v>584</v>
      </c>
      <c r="C6" t="s">
        <v>212</v>
      </c>
      <c r="D6">
        <v>3</v>
      </c>
      <c r="E6" t="s">
        <v>213</v>
      </c>
      <c r="F6" t="s">
        <v>214</v>
      </c>
      <c r="G6" t="s">
        <v>268</v>
      </c>
      <c r="H6" t="s">
        <v>216</v>
      </c>
      <c r="J6" t="s">
        <v>566</v>
      </c>
      <c r="K6" t="s">
        <v>567</v>
      </c>
      <c r="L6" t="s">
        <v>568</v>
      </c>
      <c r="M6" t="s">
        <v>569</v>
      </c>
      <c r="N6" t="s">
        <v>570</v>
      </c>
      <c r="O6">
        <v>0</v>
      </c>
      <c r="P6">
        <v>0</v>
      </c>
      <c r="Q6">
        <v>-2.7418100000000001E-5</v>
      </c>
      <c r="R6">
        <v>-8.4770393372000008</v>
      </c>
      <c r="S6">
        <v>-5.9251575470000004</v>
      </c>
      <c r="T6">
        <v>0.4747815132</v>
      </c>
      <c r="U6">
        <v>3.7144114971</v>
      </c>
      <c r="V6">
        <v>-2.5915086300000001E-2</v>
      </c>
      <c r="W6">
        <v>4.2075347900000004</v>
      </c>
      <c r="X6">
        <v>1.0712378025</v>
      </c>
      <c r="Y6">
        <v>1.3524094820000001</v>
      </c>
      <c r="Z6">
        <v>0.60117483140000005</v>
      </c>
      <c r="AA6">
        <v>5.9556484200000002E-2</v>
      </c>
      <c r="AB6">
        <v>-1.6065483092999999</v>
      </c>
      <c r="AC6">
        <v>-0.80165135860000003</v>
      </c>
      <c r="AD6">
        <v>-1.3422476053000001</v>
      </c>
      <c r="AE6">
        <v>0.37178656459999998</v>
      </c>
      <c r="AF6">
        <v>-0.54213416579999996</v>
      </c>
      <c r="AG6">
        <v>-0.70320081710000004</v>
      </c>
      <c r="AH6">
        <v>-0.1008968353</v>
      </c>
      <c r="AI6">
        <v>-0.66174709799999998</v>
      </c>
      <c r="AJ6">
        <v>-0.49250239130000001</v>
      </c>
      <c r="AK6">
        <v>1.919907E-4</v>
      </c>
      <c r="AL6">
        <v>4.4574815800000001E-2</v>
      </c>
      <c r="AM6">
        <v>0.14579515160000001</v>
      </c>
      <c r="AN6">
        <v>0.12586069110000001</v>
      </c>
      <c r="AO6">
        <v>0.2137466073</v>
      </c>
      <c r="AP6">
        <v>0.2137466073</v>
      </c>
      <c r="AQ6">
        <v>10.3425184496</v>
      </c>
      <c r="AR6" t="s">
        <v>269</v>
      </c>
      <c r="AS6" t="s">
        <v>270</v>
      </c>
      <c r="AT6">
        <v>4</v>
      </c>
      <c r="AU6">
        <v>2.9</v>
      </c>
      <c r="AX6">
        <v>1</v>
      </c>
    </row>
    <row r="7" spans="1:50">
      <c r="A7" t="s">
        <v>603</v>
      </c>
      <c r="B7" t="s">
        <v>604</v>
      </c>
      <c r="C7" t="s">
        <v>212</v>
      </c>
      <c r="D7">
        <v>3</v>
      </c>
      <c r="E7" t="s">
        <v>213</v>
      </c>
      <c r="F7" t="s">
        <v>214</v>
      </c>
      <c r="G7" t="s">
        <v>268</v>
      </c>
      <c r="H7" t="s">
        <v>216</v>
      </c>
      <c r="J7" t="s">
        <v>573</v>
      </c>
      <c r="K7" t="s">
        <v>574</v>
      </c>
      <c r="L7" t="s">
        <v>575</v>
      </c>
      <c r="M7" t="s">
        <v>576</v>
      </c>
      <c r="N7" t="s">
        <v>577</v>
      </c>
      <c r="O7">
        <v>0</v>
      </c>
      <c r="P7">
        <v>0</v>
      </c>
      <c r="Q7">
        <v>1.22786E-5</v>
      </c>
      <c r="R7">
        <v>0.72720170019999997</v>
      </c>
      <c r="S7">
        <v>0.66018104550000001</v>
      </c>
      <c r="T7">
        <v>3.6558578013999998</v>
      </c>
      <c r="U7">
        <v>4.1682586669999999</v>
      </c>
      <c r="V7">
        <v>2.4258050919</v>
      </c>
      <c r="W7">
        <v>0.4721649289</v>
      </c>
      <c r="X7">
        <v>-0.32098007200000001</v>
      </c>
      <c r="Y7">
        <v>-0.38393199439999998</v>
      </c>
      <c r="Z7">
        <v>-4.5135616999999999E-3</v>
      </c>
      <c r="AA7">
        <v>-0.476179719</v>
      </c>
      <c r="AB7">
        <v>-2.1021950244999998</v>
      </c>
      <c r="AC7">
        <v>-0.99068439009999998</v>
      </c>
      <c r="AD7">
        <v>0.1680462211</v>
      </c>
      <c r="AE7">
        <v>-0.33081805710000001</v>
      </c>
      <c r="AF7">
        <v>0.2829546034</v>
      </c>
      <c r="AG7">
        <v>-0.30940204859999998</v>
      </c>
      <c r="AH7">
        <v>0.3763831258</v>
      </c>
      <c r="AI7">
        <v>-3.0860006799999999E-2</v>
      </c>
      <c r="AJ7">
        <v>0.39876729249999998</v>
      </c>
      <c r="AK7">
        <v>1.9378E-4</v>
      </c>
      <c r="AL7">
        <v>4.5575782699999998E-2</v>
      </c>
      <c r="AM7">
        <v>4.0113627899999997E-2</v>
      </c>
      <c r="AN7">
        <v>5.2284203500000001E-2</v>
      </c>
      <c r="AO7">
        <v>0.1142425165</v>
      </c>
      <c r="AP7">
        <v>0.1142425165</v>
      </c>
      <c r="AQ7">
        <v>0.98217173940000002</v>
      </c>
      <c r="AR7" t="s">
        <v>269</v>
      </c>
      <c r="AS7" t="s">
        <v>270</v>
      </c>
      <c r="AT7">
        <v>4</v>
      </c>
      <c r="AU7">
        <v>2.9</v>
      </c>
      <c r="AX7">
        <v>1</v>
      </c>
    </row>
    <row r="8" spans="1:50">
      <c r="A8" t="s">
        <v>613</v>
      </c>
      <c r="B8" t="s">
        <v>614</v>
      </c>
      <c r="C8" t="s">
        <v>212</v>
      </c>
      <c r="D8">
        <v>3</v>
      </c>
      <c r="E8" t="s">
        <v>213</v>
      </c>
      <c r="F8" t="s">
        <v>214</v>
      </c>
      <c r="G8" t="s">
        <v>268</v>
      </c>
      <c r="H8" t="s">
        <v>216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1.16825E-5</v>
      </c>
      <c r="R8">
        <v>-8.5001325606999991</v>
      </c>
      <c r="S8">
        <v>-4.8325862884999999</v>
      </c>
      <c r="T8">
        <v>2.1005682944999999</v>
      </c>
      <c r="U8">
        <v>4.4586596489000003</v>
      </c>
      <c r="V8">
        <v>3.9393229485000001</v>
      </c>
      <c r="W8">
        <v>2.640925169</v>
      </c>
      <c r="X8">
        <v>-1.1602067947000001</v>
      </c>
      <c r="Y8">
        <v>-1.0510122775999999</v>
      </c>
      <c r="Z8">
        <v>0.72571694850000001</v>
      </c>
      <c r="AA8">
        <v>-1.0673726797</v>
      </c>
      <c r="AB8">
        <v>-1.8341488838</v>
      </c>
      <c r="AC8">
        <v>-1.7588720322</v>
      </c>
      <c r="AD8">
        <v>-0.36426842209999999</v>
      </c>
      <c r="AE8">
        <v>1.507442832</v>
      </c>
      <c r="AF8">
        <v>0.50435411929999996</v>
      </c>
      <c r="AG8">
        <v>0.35064023729999999</v>
      </c>
      <c r="AH8">
        <v>-0.78190845249999996</v>
      </c>
      <c r="AI8">
        <v>-0.30677431820000001</v>
      </c>
      <c r="AJ8">
        <v>0.1857228279</v>
      </c>
      <c r="AK8">
        <v>1.8483510000000001E-4</v>
      </c>
      <c r="AL8">
        <v>4.4280778600000001E-2</v>
      </c>
      <c r="AM8">
        <v>0.17828890680000001</v>
      </c>
      <c r="AN8">
        <v>0.14724814889999999</v>
      </c>
      <c r="AO8">
        <v>0.18589825930000001</v>
      </c>
      <c r="AP8">
        <v>0.18589825930000001</v>
      </c>
      <c r="AQ8">
        <v>9.7778394231999997</v>
      </c>
      <c r="AR8" t="s">
        <v>269</v>
      </c>
      <c r="AS8" t="s">
        <v>270</v>
      </c>
      <c r="AT8">
        <v>3</v>
      </c>
      <c r="AU8">
        <v>2.9</v>
      </c>
      <c r="AX8">
        <v>1</v>
      </c>
    </row>
    <row r="9" spans="1:50">
      <c r="A9" t="s">
        <v>639</v>
      </c>
      <c r="B9" t="s">
        <v>640</v>
      </c>
      <c r="C9" t="s">
        <v>212</v>
      </c>
      <c r="D9">
        <v>3</v>
      </c>
      <c r="E9" t="s">
        <v>213</v>
      </c>
      <c r="F9" t="s">
        <v>214</v>
      </c>
      <c r="G9" t="s">
        <v>268</v>
      </c>
      <c r="H9" t="s">
        <v>216</v>
      </c>
      <c r="J9" t="s">
        <v>608</v>
      </c>
      <c r="K9" t="s">
        <v>609</v>
      </c>
      <c r="L9" t="s">
        <v>610</v>
      </c>
      <c r="M9" t="s">
        <v>611</v>
      </c>
      <c r="N9" t="s">
        <v>612</v>
      </c>
      <c r="O9">
        <v>0</v>
      </c>
      <c r="P9">
        <v>0</v>
      </c>
      <c r="Q9">
        <v>-1.90735E-5</v>
      </c>
      <c r="R9">
        <v>-13.266377449</v>
      </c>
      <c r="S9">
        <v>-1.5827231407</v>
      </c>
      <c r="T9">
        <v>1.6273658276</v>
      </c>
      <c r="U9">
        <v>4.7904849051999996</v>
      </c>
      <c r="V9">
        <v>4.0158619881000002</v>
      </c>
      <c r="W9">
        <v>3.024569273</v>
      </c>
      <c r="X9">
        <v>-0.83323109149999997</v>
      </c>
      <c r="Y9">
        <v>9.8104357700000006E-2</v>
      </c>
      <c r="Z9">
        <v>0.1028884947</v>
      </c>
      <c r="AA9">
        <v>-1.4538931847000001</v>
      </c>
      <c r="AB9">
        <v>-1.525551796</v>
      </c>
      <c r="AC9">
        <v>-1.2977604866000001</v>
      </c>
      <c r="AD9">
        <v>-0.17512166500000001</v>
      </c>
      <c r="AE9">
        <v>-0.146150738</v>
      </c>
      <c r="AF9">
        <v>0.2634936571</v>
      </c>
      <c r="AG9">
        <v>-0.32371509079999999</v>
      </c>
      <c r="AH9">
        <v>-7.5155615800000006E-2</v>
      </c>
      <c r="AI9">
        <v>0.20410746339999999</v>
      </c>
      <c r="AJ9">
        <v>0.40791165829999998</v>
      </c>
      <c r="AK9">
        <v>2.7812710000000001E-4</v>
      </c>
      <c r="AL9">
        <v>5.5315643499999997E-2</v>
      </c>
      <c r="AM9">
        <v>0.22072634099999999</v>
      </c>
      <c r="AN9">
        <v>8.1639409100000004E-2</v>
      </c>
      <c r="AO9">
        <v>0.2242691815</v>
      </c>
      <c r="AP9">
        <v>0.2242691815</v>
      </c>
      <c r="AQ9">
        <v>13.3604559488</v>
      </c>
      <c r="AR9" t="s">
        <v>269</v>
      </c>
      <c r="AS9" t="s">
        <v>270</v>
      </c>
      <c r="AT9">
        <v>4</v>
      </c>
      <c r="AU9">
        <v>2.9</v>
      </c>
      <c r="AX9">
        <v>1</v>
      </c>
    </row>
    <row r="10" spans="1:50">
      <c r="A10" t="s">
        <v>641</v>
      </c>
      <c r="B10" t="s">
        <v>642</v>
      </c>
      <c r="C10" t="s">
        <v>212</v>
      </c>
      <c r="D10">
        <v>3</v>
      </c>
      <c r="E10" t="s">
        <v>213</v>
      </c>
      <c r="F10" t="s">
        <v>214</v>
      </c>
      <c r="G10" t="s">
        <v>268</v>
      </c>
      <c r="H10" t="s">
        <v>216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-7.1525999999999999E-6</v>
      </c>
      <c r="R10">
        <v>-17.414360046399999</v>
      </c>
      <c r="S10">
        <v>1.5580632687</v>
      </c>
      <c r="T10">
        <v>1.3702659607000001</v>
      </c>
      <c r="U10">
        <v>3.4904494285999998</v>
      </c>
      <c r="V10">
        <v>4.0924978255999998</v>
      </c>
      <c r="W10">
        <v>3.6812033653</v>
      </c>
      <c r="X10">
        <v>-1.4594322443000001</v>
      </c>
      <c r="Y10">
        <v>0.5148978233</v>
      </c>
      <c r="Z10">
        <v>2.4984159469999998</v>
      </c>
      <c r="AA10">
        <v>-0.15909111500000001</v>
      </c>
      <c r="AB10">
        <v>-1.5218814611</v>
      </c>
      <c r="AC10">
        <v>-2.3080835342000001</v>
      </c>
      <c r="AD10">
        <v>-0.36207211020000002</v>
      </c>
      <c r="AE10">
        <v>1.0090675354</v>
      </c>
      <c r="AF10">
        <v>0.27239620689999999</v>
      </c>
      <c r="AG10">
        <v>-0.79690837859999997</v>
      </c>
      <c r="AH10">
        <v>-0.65962356330000005</v>
      </c>
      <c r="AI10">
        <v>-0.47018921380000001</v>
      </c>
      <c r="AJ10">
        <v>0.48750346900000002</v>
      </c>
      <c r="AK10">
        <v>2.710705E-4</v>
      </c>
      <c r="AL10">
        <v>5.2315272400000001E-2</v>
      </c>
      <c r="AM10">
        <v>0.30163741109999997</v>
      </c>
      <c r="AN10">
        <v>8.8928960299999998E-2</v>
      </c>
      <c r="AO10">
        <v>0.30163741109999997</v>
      </c>
      <c r="AP10">
        <v>0.30163741109999997</v>
      </c>
      <c r="AQ10">
        <v>17.4839210984</v>
      </c>
      <c r="AR10" t="s">
        <v>269</v>
      </c>
      <c r="AS10" t="s">
        <v>270</v>
      </c>
      <c r="AT10">
        <v>4</v>
      </c>
      <c r="AU10">
        <v>2.9</v>
      </c>
      <c r="AX10">
        <v>1</v>
      </c>
    </row>
    <row r="11" spans="1:50">
      <c r="A11" t="s">
        <v>643</v>
      </c>
      <c r="B11" t="s">
        <v>644</v>
      </c>
      <c r="C11" t="s">
        <v>212</v>
      </c>
      <c r="D11">
        <v>3</v>
      </c>
      <c r="E11" t="s">
        <v>213</v>
      </c>
      <c r="F11" t="s">
        <v>214</v>
      </c>
      <c r="G11" t="s">
        <v>268</v>
      </c>
      <c r="H11" t="s">
        <v>216</v>
      </c>
      <c r="J11" t="s">
        <v>627</v>
      </c>
      <c r="K11" t="s">
        <v>628</v>
      </c>
      <c r="L11" t="s">
        <v>629</v>
      </c>
      <c r="M11" t="s">
        <v>630</v>
      </c>
      <c r="N11" t="s">
        <v>631</v>
      </c>
      <c r="O11">
        <v>0</v>
      </c>
      <c r="P11">
        <v>0</v>
      </c>
      <c r="Q11">
        <v>-1.0132999999999999E-6</v>
      </c>
      <c r="R11">
        <v>-3.3778276442999999</v>
      </c>
      <c r="S11">
        <v>-10.835236549399999</v>
      </c>
      <c r="T11">
        <v>-0.29665851589999997</v>
      </c>
      <c r="U11">
        <v>2.2235398292999999</v>
      </c>
      <c r="V11">
        <v>-2.6792962551000001</v>
      </c>
      <c r="W11">
        <v>0.84050881860000004</v>
      </c>
      <c r="X11">
        <v>-1.5379471779</v>
      </c>
      <c r="Y11">
        <v>-0.15812867880000001</v>
      </c>
      <c r="Z11">
        <v>-0.98529267310000002</v>
      </c>
      <c r="AA11">
        <v>-2.4251234530999999</v>
      </c>
      <c r="AB11">
        <v>-0.99927234649999996</v>
      </c>
      <c r="AC11">
        <v>0.34702801700000002</v>
      </c>
      <c r="AD11">
        <v>0.18551629780000001</v>
      </c>
      <c r="AE11">
        <v>0.62590730189999999</v>
      </c>
      <c r="AF11">
        <v>0.21988657119999999</v>
      </c>
      <c r="AG11">
        <v>0.29814332719999997</v>
      </c>
      <c r="AH11">
        <v>-0.25254046920000001</v>
      </c>
      <c r="AI11">
        <v>0.23945912720000001</v>
      </c>
      <c r="AJ11">
        <v>1.0536383389999999</v>
      </c>
      <c r="AK11">
        <v>2.0397690000000001E-4</v>
      </c>
      <c r="AL11">
        <v>4.7852259100000002E-2</v>
      </c>
      <c r="AM11">
        <v>7.1473635699999996E-2</v>
      </c>
      <c r="AN11">
        <v>0.1741651893</v>
      </c>
      <c r="AO11">
        <v>0.1741651893</v>
      </c>
      <c r="AP11">
        <v>0.1741651893</v>
      </c>
      <c r="AQ11">
        <v>11.3495405491</v>
      </c>
      <c r="AR11" t="s">
        <v>269</v>
      </c>
      <c r="AS11" t="s">
        <v>270</v>
      </c>
      <c r="AT11">
        <v>3</v>
      </c>
      <c r="AU11">
        <v>2.9</v>
      </c>
      <c r="AX11">
        <v>1</v>
      </c>
    </row>
    <row r="12" spans="1:50">
      <c r="A12" t="s">
        <v>648</v>
      </c>
      <c r="B12" t="s">
        <v>658</v>
      </c>
      <c r="C12" t="s">
        <v>212</v>
      </c>
      <c r="D12">
        <v>3</v>
      </c>
      <c r="E12" t="s">
        <v>213</v>
      </c>
      <c r="F12" t="s">
        <v>214</v>
      </c>
      <c r="G12" t="s">
        <v>268</v>
      </c>
      <c r="H12" t="s">
        <v>216</v>
      </c>
      <c r="J12" t="s">
        <v>634</v>
      </c>
      <c r="K12" t="s">
        <v>635</v>
      </c>
      <c r="L12" t="s">
        <v>636</v>
      </c>
      <c r="M12" t="s">
        <v>637</v>
      </c>
      <c r="N12" t="s">
        <v>638</v>
      </c>
      <c r="O12">
        <v>0</v>
      </c>
      <c r="P12">
        <v>0</v>
      </c>
      <c r="Q12">
        <v>-8.9410000000000005E-7</v>
      </c>
      <c r="R12">
        <v>-5.0945558548000003</v>
      </c>
      <c r="S12">
        <v>-4.3111844062999998</v>
      </c>
      <c r="T12">
        <v>-2.0915696620999999</v>
      </c>
      <c r="U12">
        <v>0.37819254400000002</v>
      </c>
      <c r="V12">
        <v>-0.1325204968</v>
      </c>
      <c r="W12">
        <v>2.5615477562</v>
      </c>
      <c r="X12">
        <v>1.6658127307999999</v>
      </c>
      <c r="Y12">
        <v>0.49353408809999999</v>
      </c>
      <c r="Z12">
        <v>-0.81421768670000005</v>
      </c>
      <c r="AA12">
        <v>-0.45791241529999999</v>
      </c>
      <c r="AB12">
        <v>-0.537650764</v>
      </c>
      <c r="AC12">
        <v>-6.3803255599999997E-2</v>
      </c>
      <c r="AD12">
        <v>-0.74501156810000002</v>
      </c>
      <c r="AE12">
        <v>-0.25396978860000002</v>
      </c>
      <c r="AF12">
        <v>0.17164316769999999</v>
      </c>
      <c r="AG12">
        <v>-0.58745807409999995</v>
      </c>
      <c r="AH12">
        <v>-0.46926689150000001</v>
      </c>
      <c r="AI12">
        <v>-0.34827631710000001</v>
      </c>
      <c r="AJ12">
        <v>-0.78311133379999998</v>
      </c>
      <c r="AK12">
        <v>1.6745209999999999E-4</v>
      </c>
      <c r="AL12">
        <v>4.2783282700000001E-2</v>
      </c>
      <c r="AM12">
        <v>0.1058889329</v>
      </c>
      <c r="AN12">
        <v>0.1009842157</v>
      </c>
      <c r="AO12">
        <v>0.11810182029999999</v>
      </c>
      <c r="AP12">
        <v>0.11810182029999999</v>
      </c>
      <c r="AQ12">
        <v>6.6738901956000003</v>
      </c>
      <c r="AR12" t="s">
        <v>269</v>
      </c>
      <c r="AS12" t="s">
        <v>270</v>
      </c>
      <c r="AT12">
        <v>4</v>
      </c>
      <c r="AU12">
        <v>2.9</v>
      </c>
      <c r="AX12">
        <v>1</v>
      </c>
    </row>
    <row r="13" spans="1:50">
      <c r="A13" t="s">
        <v>668</v>
      </c>
      <c r="B13" t="s">
        <v>669</v>
      </c>
      <c r="C13" t="s">
        <v>212</v>
      </c>
      <c r="D13">
        <v>3</v>
      </c>
      <c r="E13" t="s">
        <v>213</v>
      </c>
      <c r="F13" t="s">
        <v>214</v>
      </c>
      <c r="G13" t="s">
        <v>268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1.27554E-5</v>
      </c>
      <c r="R13">
        <v>-9.3053016663000001</v>
      </c>
      <c r="S13">
        <v>-6.6554770469999998</v>
      </c>
      <c r="T13">
        <v>0.2385864258</v>
      </c>
      <c r="U13">
        <v>1.9782030582000001</v>
      </c>
      <c r="V13">
        <v>-1.7874014378</v>
      </c>
      <c r="W13">
        <v>2.8912580013000002</v>
      </c>
      <c r="X13">
        <v>-1.0355451107</v>
      </c>
      <c r="Y13">
        <v>3.5343229800000001E-2</v>
      </c>
      <c r="Z13">
        <v>0.71958726640000004</v>
      </c>
      <c r="AA13">
        <v>-1.7644566298</v>
      </c>
      <c r="AB13">
        <v>-1.4004023075000001</v>
      </c>
      <c r="AC13">
        <v>1.0605914593000001</v>
      </c>
      <c r="AD13">
        <v>-0.84426862000000003</v>
      </c>
      <c r="AE13">
        <v>8.3362966799999993E-2</v>
      </c>
      <c r="AF13">
        <v>0.17573648689999999</v>
      </c>
      <c r="AG13">
        <v>-1.72451138E-2</v>
      </c>
      <c r="AH13">
        <v>0.81742626429999998</v>
      </c>
      <c r="AI13">
        <v>-0.20066970589999999</v>
      </c>
      <c r="AJ13">
        <v>0.65900135039999996</v>
      </c>
      <c r="AK13">
        <v>1.7401299999999999E-4</v>
      </c>
      <c r="AL13">
        <v>4.2223081000000003E-2</v>
      </c>
      <c r="AM13">
        <v>0.14992721379999999</v>
      </c>
      <c r="AN13">
        <v>0.1210256219</v>
      </c>
      <c r="AO13">
        <v>0.20259177680000001</v>
      </c>
      <c r="AP13">
        <v>0.20259177680000001</v>
      </c>
      <c r="AQ13">
        <v>11.440455140499999</v>
      </c>
      <c r="AR13" t="s">
        <v>269</v>
      </c>
      <c r="AS13" t="s">
        <v>270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271</v>
      </c>
      <c r="R1" t="s">
        <v>272</v>
      </c>
      <c r="S1" t="s">
        <v>273</v>
      </c>
      <c r="T1" t="s">
        <v>274</v>
      </c>
      <c r="U1" t="s">
        <v>275</v>
      </c>
      <c r="V1" t="s">
        <v>276</v>
      </c>
      <c r="W1" t="s">
        <v>277</v>
      </c>
      <c r="X1" t="s">
        <v>278</v>
      </c>
      <c r="Y1" t="s">
        <v>279</v>
      </c>
      <c r="Z1" t="s">
        <v>280</v>
      </c>
      <c r="AA1" t="s">
        <v>281</v>
      </c>
      <c r="AB1" t="s">
        <v>282</v>
      </c>
      <c r="AC1" t="s">
        <v>283</v>
      </c>
      <c r="AD1" t="s">
        <v>207</v>
      </c>
      <c r="AE1" t="s">
        <v>208</v>
      </c>
      <c r="AF1" t="s">
        <v>209</v>
      </c>
    </row>
    <row r="2" spans="1:32">
      <c r="A2" t="s">
        <v>266</v>
      </c>
      <c r="B2" t="s">
        <v>284</v>
      </c>
      <c r="C2" t="s">
        <v>212</v>
      </c>
      <c r="D2">
        <v>3</v>
      </c>
      <c r="E2" t="s">
        <v>213</v>
      </c>
      <c r="F2" t="s">
        <v>214</v>
      </c>
      <c r="G2" t="s">
        <v>268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-4.6920821114000004</v>
      </c>
      <c r="R2">
        <v>-32</v>
      </c>
      <c r="S2">
        <v>93.147642910200005</v>
      </c>
      <c r="T2">
        <v>109.2083559383</v>
      </c>
      <c r="U2">
        <v>3.4415356235000001</v>
      </c>
      <c r="V2">
        <v>3.6596338000000001E-3</v>
      </c>
      <c r="W2">
        <v>-6.4720200000000004E-5</v>
      </c>
      <c r="X2">
        <v>3.2692275580999999</v>
      </c>
      <c r="Y2">
        <v>92.746736371099999</v>
      </c>
      <c r="Z2">
        <v>75.653038982300004</v>
      </c>
      <c r="AA2">
        <v>339.94298950860002</v>
      </c>
      <c r="AB2">
        <v>361.6229808745</v>
      </c>
      <c r="AC2">
        <v>1</v>
      </c>
      <c r="AF2">
        <v>1</v>
      </c>
    </row>
    <row r="3" spans="1:32">
      <c r="A3" t="s">
        <v>548</v>
      </c>
      <c r="B3" t="s">
        <v>549</v>
      </c>
      <c r="C3" t="s">
        <v>212</v>
      </c>
      <c r="D3">
        <v>3</v>
      </c>
      <c r="E3" t="s">
        <v>213</v>
      </c>
      <c r="F3" t="s">
        <v>214</v>
      </c>
      <c r="G3" t="s">
        <v>268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-3.5190615836000001</v>
      </c>
      <c r="R3">
        <v>-24</v>
      </c>
      <c r="S3">
        <v>99.029580308899995</v>
      </c>
      <c r="T3">
        <v>111.3381140324</v>
      </c>
      <c r="U3">
        <v>3.5131937702</v>
      </c>
      <c r="V3">
        <v>4.1507858E-3</v>
      </c>
      <c r="W3">
        <v>-7.3636500000000006E-5</v>
      </c>
      <c r="X3">
        <v>3.3628260888999999</v>
      </c>
      <c r="Y3">
        <v>98.726895526600003</v>
      </c>
      <c r="Z3">
        <v>80.169058570399997</v>
      </c>
      <c r="AA3">
        <v>324.43337621289999</v>
      </c>
      <c r="AB3">
        <v>346.20116969089997</v>
      </c>
      <c r="AC3">
        <v>1</v>
      </c>
      <c r="AF3">
        <v>1</v>
      </c>
    </row>
    <row r="4" spans="1:32">
      <c r="A4" t="s">
        <v>579</v>
      </c>
      <c r="B4" t="s">
        <v>585</v>
      </c>
      <c r="C4" t="s">
        <v>212</v>
      </c>
      <c r="D4">
        <v>3</v>
      </c>
      <c r="E4" t="s">
        <v>213</v>
      </c>
      <c r="F4" t="s">
        <v>214</v>
      </c>
      <c r="G4" t="s">
        <v>268</v>
      </c>
      <c r="H4" t="s">
        <v>216</v>
      </c>
      <c r="J4" t="s">
        <v>552</v>
      </c>
      <c r="K4" t="s">
        <v>553</v>
      </c>
      <c r="L4" t="s">
        <v>554</v>
      </c>
      <c r="M4" t="s">
        <v>555</v>
      </c>
      <c r="N4" t="s">
        <v>556</v>
      </c>
      <c r="O4">
        <v>0</v>
      </c>
      <c r="P4">
        <v>0</v>
      </c>
      <c r="Q4">
        <v>-1.1730205279000001</v>
      </c>
      <c r="R4">
        <v>-8</v>
      </c>
      <c r="S4">
        <v>95.663688222299996</v>
      </c>
      <c r="T4">
        <v>99.674113190300005</v>
      </c>
      <c r="U4">
        <v>3.4231049777</v>
      </c>
      <c r="V4">
        <v>3.5205153999999998E-3</v>
      </c>
      <c r="W4">
        <v>-6.3995E-5</v>
      </c>
      <c r="X4">
        <v>3.2713393149000001</v>
      </c>
      <c r="Y4">
        <v>95.462630954999995</v>
      </c>
      <c r="Z4">
        <v>79.702487782600002</v>
      </c>
      <c r="AA4">
        <v>315.29869063059999</v>
      </c>
      <c r="AB4">
        <v>336.81420825279997</v>
      </c>
      <c r="AC4">
        <v>1</v>
      </c>
      <c r="AF4">
        <v>1</v>
      </c>
    </row>
    <row r="5" spans="1:32">
      <c r="A5" t="s">
        <v>581</v>
      </c>
      <c r="B5" t="s">
        <v>586</v>
      </c>
      <c r="C5" t="s">
        <v>212</v>
      </c>
      <c r="D5">
        <v>3</v>
      </c>
      <c r="E5" t="s">
        <v>213</v>
      </c>
      <c r="F5" t="s">
        <v>214</v>
      </c>
      <c r="G5" t="s">
        <v>268</v>
      </c>
      <c r="H5" t="s">
        <v>216</v>
      </c>
      <c r="J5" t="s">
        <v>559</v>
      </c>
      <c r="K5" t="s">
        <v>560</v>
      </c>
      <c r="L5" t="s">
        <v>561</v>
      </c>
      <c r="M5" t="s">
        <v>562</v>
      </c>
      <c r="N5" t="s">
        <v>563</v>
      </c>
      <c r="O5">
        <v>0</v>
      </c>
      <c r="P5">
        <v>0</v>
      </c>
      <c r="Q5">
        <v>-4.6920821114000004</v>
      </c>
      <c r="R5">
        <v>-32</v>
      </c>
      <c r="S5">
        <v>96.554160104000005</v>
      </c>
      <c r="T5">
        <v>112.6056760508</v>
      </c>
      <c r="U5">
        <v>3.4447251769</v>
      </c>
      <c r="V5">
        <v>4.7023626000000001E-3</v>
      </c>
      <c r="W5">
        <v>-7.6398799999999998E-5</v>
      </c>
      <c r="X5">
        <v>3.3289071494</v>
      </c>
      <c r="Y5">
        <v>95.852567643300006</v>
      </c>
      <c r="Z5">
        <v>81.342644559099995</v>
      </c>
      <c r="AA5">
        <v>318.56374694760001</v>
      </c>
      <c r="AB5">
        <v>341.0289619847</v>
      </c>
      <c r="AC5">
        <v>1</v>
      </c>
      <c r="AF5">
        <v>1</v>
      </c>
    </row>
    <row r="6" spans="1:32">
      <c r="A6" t="s">
        <v>583</v>
      </c>
      <c r="B6" t="s">
        <v>587</v>
      </c>
      <c r="C6" t="s">
        <v>212</v>
      </c>
      <c r="D6">
        <v>3</v>
      </c>
      <c r="E6" t="s">
        <v>213</v>
      </c>
      <c r="F6" t="s">
        <v>214</v>
      </c>
      <c r="G6" t="s">
        <v>268</v>
      </c>
      <c r="H6" t="s">
        <v>216</v>
      </c>
      <c r="J6" t="s">
        <v>566</v>
      </c>
      <c r="K6" t="s">
        <v>567</v>
      </c>
      <c r="L6" t="s">
        <v>568</v>
      </c>
      <c r="M6" t="s">
        <v>569</v>
      </c>
      <c r="N6" t="s">
        <v>570</v>
      </c>
      <c r="O6">
        <v>0</v>
      </c>
      <c r="P6">
        <v>0</v>
      </c>
      <c r="Q6">
        <v>-4.6920821114000004</v>
      </c>
      <c r="R6">
        <v>-32</v>
      </c>
      <c r="S6">
        <v>96.484143697700006</v>
      </c>
      <c r="T6">
        <v>112.7009850881</v>
      </c>
      <c r="U6">
        <v>3.4762888774</v>
      </c>
      <c r="V6">
        <v>3.9459029999999997E-3</v>
      </c>
      <c r="W6">
        <v>-7.0861199999999998E-5</v>
      </c>
      <c r="X6">
        <v>3.3282923835</v>
      </c>
      <c r="Y6">
        <v>95.4733349543</v>
      </c>
      <c r="Z6">
        <v>75.945979763099999</v>
      </c>
      <c r="AA6">
        <v>325.18665411659998</v>
      </c>
      <c r="AB6">
        <v>346.68276340620002</v>
      </c>
      <c r="AC6">
        <v>1</v>
      </c>
      <c r="AF6">
        <v>1</v>
      </c>
    </row>
    <row r="7" spans="1:32">
      <c r="A7" t="s">
        <v>603</v>
      </c>
      <c r="B7" t="s">
        <v>605</v>
      </c>
      <c r="C7" t="s">
        <v>212</v>
      </c>
      <c r="D7">
        <v>3</v>
      </c>
      <c r="E7" t="s">
        <v>213</v>
      </c>
      <c r="F7" t="s">
        <v>214</v>
      </c>
      <c r="G7" t="s">
        <v>268</v>
      </c>
      <c r="H7" t="s">
        <v>216</v>
      </c>
      <c r="J7" t="s">
        <v>573</v>
      </c>
      <c r="K7" t="s">
        <v>574</v>
      </c>
      <c r="L7" t="s">
        <v>575</v>
      </c>
      <c r="M7" t="s">
        <v>576</v>
      </c>
      <c r="N7" t="s">
        <v>577</v>
      </c>
      <c r="O7">
        <v>0</v>
      </c>
      <c r="P7">
        <v>0</v>
      </c>
      <c r="Q7">
        <v>-5.8651026392999999</v>
      </c>
      <c r="R7">
        <v>-40</v>
      </c>
      <c r="S7">
        <v>88.615423831800001</v>
      </c>
      <c r="T7">
        <v>110.6371473265</v>
      </c>
      <c r="U7">
        <v>3.7753861675999998</v>
      </c>
      <c r="V7">
        <v>3.0617612000000002E-3</v>
      </c>
      <c r="W7">
        <v>-7.9209700000000002E-5</v>
      </c>
      <c r="X7">
        <v>3.5676314403</v>
      </c>
      <c r="Y7">
        <v>88.0129955763</v>
      </c>
      <c r="Z7">
        <v>71.491582771699996</v>
      </c>
      <c r="AA7">
        <v>327.71684989840003</v>
      </c>
      <c r="AB7">
        <v>350.4088035419</v>
      </c>
      <c r="AC7">
        <v>1</v>
      </c>
      <c r="AF7">
        <v>1</v>
      </c>
    </row>
    <row r="8" spans="1:32">
      <c r="A8" t="s">
        <v>613</v>
      </c>
      <c r="B8" t="s">
        <v>615</v>
      </c>
      <c r="C8" t="s">
        <v>212</v>
      </c>
      <c r="D8">
        <v>3</v>
      </c>
      <c r="E8" t="s">
        <v>213</v>
      </c>
      <c r="F8" t="s">
        <v>214</v>
      </c>
      <c r="G8" t="s">
        <v>268</v>
      </c>
      <c r="H8" t="s">
        <v>216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-4.6920821114000004</v>
      </c>
      <c r="R8">
        <v>-32</v>
      </c>
      <c r="S8">
        <v>106.2113754624</v>
      </c>
      <c r="T8">
        <v>122.80852383360001</v>
      </c>
      <c r="U8">
        <v>3.5556076098</v>
      </c>
      <c r="V8">
        <v>3.5544265E-3</v>
      </c>
      <c r="W8">
        <v>-7.5523699999999997E-5</v>
      </c>
      <c r="X8">
        <v>3.3866703332000001</v>
      </c>
      <c r="Y8">
        <v>104.2022341878</v>
      </c>
      <c r="Z8">
        <v>85.484505655800007</v>
      </c>
      <c r="AA8">
        <v>314.95969378860002</v>
      </c>
      <c r="AB8">
        <v>336.55025334650003</v>
      </c>
      <c r="AC8">
        <v>1</v>
      </c>
      <c r="AF8">
        <v>1</v>
      </c>
    </row>
    <row r="9" spans="1:32">
      <c r="A9" t="s">
        <v>639</v>
      </c>
      <c r="B9" t="s">
        <v>645</v>
      </c>
      <c r="C9" t="s">
        <v>212</v>
      </c>
      <c r="D9">
        <v>3</v>
      </c>
      <c r="E9" t="s">
        <v>213</v>
      </c>
      <c r="F9" t="s">
        <v>214</v>
      </c>
      <c r="G9" t="s">
        <v>268</v>
      </c>
      <c r="H9" t="s">
        <v>216</v>
      </c>
      <c r="J9" t="s">
        <v>608</v>
      </c>
      <c r="K9" t="s">
        <v>609</v>
      </c>
      <c r="L9" t="s">
        <v>610</v>
      </c>
      <c r="M9" t="s">
        <v>611</v>
      </c>
      <c r="N9" t="s">
        <v>612</v>
      </c>
      <c r="O9">
        <v>0</v>
      </c>
      <c r="P9">
        <v>0</v>
      </c>
      <c r="Q9">
        <v>-2.3460410557000002</v>
      </c>
      <c r="R9">
        <v>-16</v>
      </c>
      <c r="S9">
        <v>102.494800153</v>
      </c>
      <c r="T9">
        <v>110.7488377606</v>
      </c>
      <c r="U9">
        <v>3.5272404550999998</v>
      </c>
      <c r="V9">
        <v>3.6505484000000001E-3</v>
      </c>
      <c r="W9">
        <v>-7.1328999999999994E-5</v>
      </c>
      <c r="X9">
        <v>3.3564003451</v>
      </c>
      <c r="Y9">
        <v>101.99322517749999</v>
      </c>
      <c r="Z9">
        <v>85.825380924800001</v>
      </c>
      <c r="AA9">
        <v>318.45101631839998</v>
      </c>
      <c r="AB9">
        <v>341.157534967</v>
      </c>
      <c r="AC9">
        <v>1</v>
      </c>
      <c r="AF9">
        <v>1</v>
      </c>
    </row>
    <row r="10" spans="1:32">
      <c r="A10" t="s">
        <v>641</v>
      </c>
      <c r="B10" t="s">
        <v>646</v>
      </c>
      <c r="C10" t="s">
        <v>212</v>
      </c>
      <c r="D10">
        <v>3</v>
      </c>
      <c r="E10" t="s">
        <v>213</v>
      </c>
      <c r="F10" t="s">
        <v>214</v>
      </c>
      <c r="G10" t="s">
        <v>268</v>
      </c>
      <c r="H10" t="s">
        <v>216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-5.8651026392999999</v>
      </c>
      <c r="R10">
        <v>-40</v>
      </c>
      <c r="S10">
        <v>102.4506246614</v>
      </c>
      <c r="T10">
        <v>122.76997637940001</v>
      </c>
      <c r="U10">
        <v>3.4821408106999998</v>
      </c>
      <c r="V10">
        <v>2.6285826000000002E-3</v>
      </c>
      <c r="W10">
        <v>-6.6118399999999994E-5</v>
      </c>
      <c r="X10">
        <v>3.2906290190999998</v>
      </c>
      <c r="Y10">
        <v>98.143423333399994</v>
      </c>
      <c r="Z10">
        <v>80.494695458500004</v>
      </c>
      <c r="AA10">
        <v>316.35508330390002</v>
      </c>
      <c r="AB10">
        <v>337.65031560429998</v>
      </c>
      <c r="AC10">
        <v>1</v>
      </c>
      <c r="AF10">
        <v>1</v>
      </c>
    </row>
    <row r="11" spans="1:32">
      <c r="A11" t="s">
        <v>643</v>
      </c>
      <c r="B11" t="s">
        <v>647</v>
      </c>
      <c r="C11" t="s">
        <v>212</v>
      </c>
      <c r="D11">
        <v>3</v>
      </c>
      <c r="E11" t="s">
        <v>213</v>
      </c>
      <c r="F11" t="s">
        <v>214</v>
      </c>
      <c r="G11" t="s">
        <v>268</v>
      </c>
      <c r="H11" t="s">
        <v>216</v>
      </c>
      <c r="J11" t="s">
        <v>627</v>
      </c>
      <c r="K11" t="s">
        <v>628</v>
      </c>
      <c r="L11" t="s">
        <v>629</v>
      </c>
      <c r="M11" t="s">
        <v>630</v>
      </c>
      <c r="N11" t="s">
        <v>631</v>
      </c>
      <c r="O11">
        <v>0</v>
      </c>
      <c r="P11">
        <v>0</v>
      </c>
      <c r="Q11">
        <v>-1.1730205279000001</v>
      </c>
      <c r="R11">
        <v>-8</v>
      </c>
      <c r="S11">
        <v>98.3783365699</v>
      </c>
      <c r="T11">
        <v>102.44011705760001</v>
      </c>
      <c r="U11">
        <v>3.466681661</v>
      </c>
      <c r="V11">
        <v>3.3479504999999999E-3</v>
      </c>
      <c r="W11">
        <v>-6.29229E-5</v>
      </c>
      <c r="X11">
        <v>3.2950257271000001</v>
      </c>
      <c r="Y11">
        <v>97.775920846299996</v>
      </c>
      <c r="Z11">
        <v>81.028605594599995</v>
      </c>
      <c r="AA11">
        <v>324.01830337630003</v>
      </c>
      <c r="AB11">
        <v>345.4093212752</v>
      </c>
      <c r="AC11">
        <v>1</v>
      </c>
      <c r="AF11">
        <v>1</v>
      </c>
    </row>
    <row r="12" spans="1:32">
      <c r="A12" t="s">
        <v>648</v>
      </c>
      <c r="B12" t="s">
        <v>649</v>
      </c>
      <c r="C12" t="s">
        <v>212</v>
      </c>
      <c r="D12">
        <v>3</v>
      </c>
      <c r="E12" t="s">
        <v>213</v>
      </c>
      <c r="F12" t="s">
        <v>214</v>
      </c>
      <c r="G12" t="s">
        <v>268</v>
      </c>
      <c r="H12" t="s">
        <v>216</v>
      </c>
      <c r="J12" t="s">
        <v>634</v>
      </c>
      <c r="K12" t="s">
        <v>635</v>
      </c>
      <c r="L12" t="s">
        <v>636</v>
      </c>
      <c r="M12" t="s">
        <v>637</v>
      </c>
      <c r="N12" t="s">
        <v>638</v>
      </c>
      <c r="O12">
        <v>0</v>
      </c>
      <c r="P12">
        <v>0</v>
      </c>
      <c r="Q12">
        <v>-4.6920821114000004</v>
      </c>
      <c r="R12">
        <v>-32</v>
      </c>
      <c r="S12">
        <v>97.901363987799996</v>
      </c>
      <c r="T12">
        <v>114.3567176546</v>
      </c>
      <c r="U12">
        <v>3.5248291136000001</v>
      </c>
      <c r="V12">
        <v>3.4673229E-3</v>
      </c>
      <c r="W12">
        <v>-6.8719299999999998E-5</v>
      </c>
      <c r="X12">
        <v>3.3420746067999998</v>
      </c>
      <c r="Y12">
        <v>97.199773940399993</v>
      </c>
      <c r="Z12">
        <v>77.190666314599994</v>
      </c>
      <c r="AA12">
        <v>333.22194590930002</v>
      </c>
      <c r="AB12">
        <v>355.07567224690001</v>
      </c>
      <c r="AC12">
        <v>1</v>
      </c>
      <c r="AF12">
        <v>1</v>
      </c>
    </row>
    <row r="13" spans="1:32">
      <c r="A13" t="s">
        <v>668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268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-7.0381231672000002</v>
      </c>
      <c r="R13">
        <v>-48</v>
      </c>
      <c r="S13">
        <v>101.01777237340001</v>
      </c>
      <c r="T13">
        <v>125.3592402454</v>
      </c>
      <c r="U13">
        <v>3.4830654097</v>
      </c>
      <c r="V13">
        <v>2.9954943000000001E-3</v>
      </c>
      <c r="W13">
        <v>-6.9967600000000004E-5</v>
      </c>
      <c r="X13">
        <v>3.3084133053000002</v>
      </c>
      <c r="Y13">
        <v>98.872687225999996</v>
      </c>
      <c r="Z13">
        <v>76.155506799299999</v>
      </c>
      <c r="AA13">
        <v>315.66780641410003</v>
      </c>
      <c r="AB13">
        <v>338.24397584730002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297</v>
      </c>
      <c r="AD1" t="s">
        <v>298</v>
      </c>
      <c r="AE1" t="s">
        <v>299</v>
      </c>
      <c r="AF1" t="s">
        <v>300</v>
      </c>
      <c r="AG1" t="s">
        <v>301</v>
      </c>
      <c r="AH1" t="s">
        <v>302</v>
      </c>
      <c r="AI1" t="s">
        <v>303</v>
      </c>
      <c r="AJ1" t="s">
        <v>304</v>
      </c>
      <c r="AK1" t="s">
        <v>305</v>
      </c>
      <c r="AL1" t="s">
        <v>306</v>
      </c>
      <c r="AM1" t="s">
        <v>307</v>
      </c>
      <c r="AN1" t="s">
        <v>308</v>
      </c>
      <c r="AO1" t="s">
        <v>309</v>
      </c>
      <c r="AP1" t="s">
        <v>310</v>
      </c>
      <c r="AQ1" t="s">
        <v>311</v>
      </c>
      <c r="AR1" t="s">
        <v>312</v>
      </c>
      <c r="AS1" t="s">
        <v>313</v>
      </c>
      <c r="AT1" t="s">
        <v>314</v>
      </c>
      <c r="AU1" t="s">
        <v>315</v>
      </c>
      <c r="AV1" t="s">
        <v>316</v>
      </c>
      <c r="AW1" t="s">
        <v>317</v>
      </c>
      <c r="AX1" t="s">
        <v>318</v>
      </c>
      <c r="AY1" t="s">
        <v>319</v>
      </c>
      <c r="AZ1" t="s">
        <v>320</v>
      </c>
      <c r="BA1" t="s">
        <v>321</v>
      </c>
      <c r="BB1" t="s">
        <v>322</v>
      </c>
      <c r="BC1" t="s">
        <v>323</v>
      </c>
      <c r="BD1" t="s">
        <v>324</v>
      </c>
      <c r="BE1" t="s">
        <v>325</v>
      </c>
      <c r="BF1" t="s">
        <v>326</v>
      </c>
      <c r="BG1" t="s">
        <v>327</v>
      </c>
      <c r="BH1" t="s">
        <v>328</v>
      </c>
      <c r="BI1" t="s">
        <v>329</v>
      </c>
      <c r="BJ1" t="s">
        <v>330</v>
      </c>
      <c r="BK1" t="s">
        <v>331</v>
      </c>
      <c r="BL1" t="s">
        <v>332</v>
      </c>
      <c r="BM1" t="s">
        <v>333</v>
      </c>
      <c r="BN1" t="s">
        <v>334</v>
      </c>
      <c r="BO1" t="s">
        <v>335</v>
      </c>
      <c r="BP1" t="s">
        <v>336</v>
      </c>
      <c r="BQ1" t="s">
        <v>337</v>
      </c>
      <c r="BR1" t="s">
        <v>338</v>
      </c>
      <c r="BS1" t="s">
        <v>339</v>
      </c>
      <c r="BT1" t="s">
        <v>340</v>
      </c>
      <c r="BU1" t="s">
        <v>341</v>
      </c>
      <c r="BV1" t="s">
        <v>342</v>
      </c>
      <c r="BW1" t="s">
        <v>343</v>
      </c>
      <c r="BX1" t="s">
        <v>344</v>
      </c>
      <c r="BY1" t="s">
        <v>345</v>
      </c>
      <c r="BZ1" t="s">
        <v>346</v>
      </c>
      <c r="CA1" t="s">
        <v>347</v>
      </c>
      <c r="CB1" t="s">
        <v>348</v>
      </c>
      <c r="CC1" t="s">
        <v>349</v>
      </c>
      <c r="CD1" t="s">
        <v>350</v>
      </c>
      <c r="CE1" t="s">
        <v>351</v>
      </c>
      <c r="CF1" t="s">
        <v>352</v>
      </c>
      <c r="CG1" t="s">
        <v>353</v>
      </c>
      <c r="CH1" t="s">
        <v>354</v>
      </c>
      <c r="CI1" t="s">
        <v>355</v>
      </c>
      <c r="CJ1" t="s">
        <v>356</v>
      </c>
      <c r="CK1" t="s">
        <v>357</v>
      </c>
      <c r="CL1" t="s">
        <v>358</v>
      </c>
      <c r="CM1" t="s">
        <v>359</v>
      </c>
      <c r="CN1" t="s">
        <v>360</v>
      </c>
      <c r="CO1" t="s">
        <v>361</v>
      </c>
      <c r="CP1" t="s">
        <v>362</v>
      </c>
      <c r="CQ1" t="s">
        <v>363</v>
      </c>
      <c r="CR1" t="s">
        <v>364</v>
      </c>
      <c r="CS1" t="s">
        <v>365</v>
      </c>
      <c r="CT1" t="s">
        <v>366</v>
      </c>
      <c r="CU1" t="s">
        <v>367</v>
      </c>
      <c r="CV1" t="s">
        <v>368</v>
      </c>
      <c r="CW1" t="s">
        <v>369</v>
      </c>
      <c r="CX1" t="s">
        <v>370</v>
      </c>
      <c r="CY1" t="s">
        <v>371</v>
      </c>
      <c r="CZ1" t="s">
        <v>372</v>
      </c>
      <c r="DA1" t="s">
        <v>373</v>
      </c>
      <c r="DB1" t="s">
        <v>374</v>
      </c>
      <c r="DC1" t="s">
        <v>375</v>
      </c>
      <c r="DD1" t="s">
        <v>376</v>
      </c>
      <c r="DE1" t="s">
        <v>377</v>
      </c>
      <c r="DF1" t="s">
        <v>378</v>
      </c>
      <c r="DG1" t="s">
        <v>379</v>
      </c>
      <c r="DH1" t="s">
        <v>380</v>
      </c>
      <c r="DI1" t="s">
        <v>381</v>
      </c>
      <c r="DJ1" t="s">
        <v>382</v>
      </c>
      <c r="DK1" t="s">
        <v>383</v>
      </c>
      <c r="DL1" t="s">
        <v>384</v>
      </c>
      <c r="DM1" t="s">
        <v>385</v>
      </c>
      <c r="DN1" t="s">
        <v>386</v>
      </c>
      <c r="DO1" t="s">
        <v>387</v>
      </c>
      <c r="DP1" t="s">
        <v>388</v>
      </c>
      <c r="DQ1" t="s">
        <v>389</v>
      </c>
      <c r="DR1" t="s">
        <v>390</v>
      </c>
      <c r="DS1" t="s">
        <v>391</v>
      </c>
      <c r="DT1" t="s">
        <v>392</v>
      </c>
      <c r="DU1" t="s">
        <v>393</v>
      </c>
      <c r="DV1" t="s">
        <v>394</v>
      </c>
      <c r="DW1" t="s">
        <v>395</v>
      </c>
      <c r="DX1" t="s">
        <v>396</v>
      </c>
      <c r="DY1" t="s">
        <v>397</v>
      </c>
      <c r="DZ1" t="s">
        <v>398</v>
      </c>
      <c r="EA1" t="s">
        <v>399</v>
      </c>
      <c r="EB1" t="s">
        <v>400</v>
      </c>
      <c r="EC1" t="s">
        <v>401</v>
      </c>
      <c r="ED1" t="s">
        <v>402</v>
      </c>
      <c r="EE1" t="s">
        <v>403</v>
      </c>
      <c r="EF1" t="s">
        <v>404</v>
      </c>
      <c r="EG1" t="s">
        <v>405</v>
      </c>
      <c r="EH1" t="s">
        <v>406</v>
      </c>
      <c r="EI1" t="s">
        <v>407</v>
      </c>
      <c r="EJ1" t="s">
        <v>408</v>
      </c>
      <c r="EK1" t="s">
        <v>409</v>
      </c>
      <c r="EL1" t="s">
        <v>410</v>
      </c>
      <c r="EM1" t="s">
        <v>411</v>
      </c>
      <c r="EN1" t="s">
        <v>412</v>
      </c>
      <c r="EO1" t="s">
        <v>413</v>
      </c>
      <c r="EP1" t="s">
        <v>414</v>
      </c>
      <c r="EQ1" t="s">
        <v>415</v>
      </c>
      <c r="ER1" t="s">
        <v>416</v>
      </c>
      <c r="ES1" t="s">
        <v>417</v>
      </c>
      <c r="ET1" t="s">
        <v>418</v>
      </c>
      <c r="EU1" t="s">
        <v>419</v>
      </c>
      <c r="EV1" t="s">
        <v>420</v>
      </c>
      <c r="EW1" t="s">
        <v>421</v>
      </c>
      <c r="EX1" t="s">
        <v>422</v>
      </c>
      <c r="EY1" t="s">
        <v>423</v>
      </c>
      <c r="EZ1" t="s">
        <v>424</v>
      </c>
      <c r="FA1" t="s">
        <v>425</v>
      </c>
      <c r="FB1" t="s">
        <v>426</v>
      </c>
      <c r="FC1" t="s">
        <v>427</v>
      </c>
      <c r="FD1" t="s">
        <v>428</v>
      </c>
      <c r="FE1" t="s">
        <v>429</v>
      </c>
      <c r="FF1" t="s">
        <v>430</v>
      </c>
      <c r="FG1" t="s">
        <v>431</v>
      </c>
      <c r="FH1" t="s">
        <v>432</v>
      </c>
      <c r="FI1" t="s">
        <v>433</v>
      </c>
      <c r="FJ1" t="s">
        <v>434</v>
      </c>
      <c r="FK1" t="s">
        <v>435</v>
      </c>
      <c r="FL1" t="s">
        <v>436</v>
      </c>
      <c r="FM1" t="s">
        <v>437</v>
      </c>
      <c r="FN1" t="s">
        <v>438</v>
      </c>
      <c r="FO1" t="s">
        <v>439</v>
      </c>
      <c r="FP1" t="s">
        <v>440</v>
      </c>
      <c r="FQ1" t="s">
        <v>441</v>
      </c>
      <c r="FR1" t="s">
        <v>442</v>
      </c>
      <c r="FS1" t="s">
        <v>443</v>
      </c>
      <c r="FT1" t="s">
        <v>444</v>
      </c>
      <c r="FU1" t="s">
        <v>445</v>
      </c>
      <c r="FV1" t="s">
        <v>446</v>
      </c>
      <c r="FW1" t="s">
        <v>447</v>
      </c>
      <c r="FX1" t="s">
        <v>448</v>
      </c>
      <c r="FY1" t="s">
        <v>449</v>
      </c>
      <c r="FZ1" t="s">
        <v>450</v>
      </c>
      <c r="GA1" t="s">
        <v>451</v>
      </c>
      <c r="GB1" t="s">
        <v>452</v>
      </c>
      <c r="GC1" t="s">
        <v>453</v>
      </c>
      <c r="GD1" t="s">
        <v>454</v>
      </c>
      <c r="GE1" t="s">
        <v>455</v>
      </c>
      <c r="GF1" t="s">
        <v>456</v>
      </c>
      <c r="GG1" t="s">
        <v>457</v>
      </c>
      <c r="GH1" t="s">
        <v>458</v>
      </c>
      <c r="GI1" t="s">
        <v>459</v>
      </c>
      <c r="GJ1" t="s">
        <v>460</v>
      </c>
      <c r="GK1" t="s">
        <v>461</v>
      </c>
      <c r="GL1" t="s">
        <v>462</v>
      </c>
      <c r="GM1" t="s">
        <v>463</v>
      </c>
      <c r="GN1" t="s">
        <v>464</v>
      </c>
      <c r="GO1" t="s">
        <v>465</v>
      </c>
      <c r="GP1" t="s">
        <v>466</v>
      </c>
      <c r="GQ1" t="s">
        <v>467</v>
      </c>
      <c r="GR1" t="s">
        <v>468</v>
      </c>
      <c r="GS1" t="s">
        <v>469</v>
      </c>
      <c r="GT1" t="s">
        <v>470</v>
      </c>
      <c r="GU1" t="s">
        <v>471</v>
      </c>
      <c r="GV1" t="s">
        <v>472</v>
      </c>
      <c r="GW1" t="s">
        <v>473</v>
      </c>
      <c r="GX1" t="s">
        <v>474</v>
      </c>
      <c r="GY1" t="s">
        <v>475</v>
      </c>
      <c r="GZ1" t="s">
        <v>476</v>
      </c>
      <c r="HA1" t="s">
        <v>477</v>
      </c>
      <c r="HB1" t="s">
        <v>478</v>
      </c>
      <c r="HC1" t="s">
        <v>479</v>
      </c>
      <c r="HD1" t="s">
        <v>480</v>
      </c>
      <c r="HE1" t="s">
        <v>481</v>
      </c>
      <c r="HF1" t="s">
        <v>482</v>
      </c>
      <c r="HG1" t="s">
        <v>483</v>
      </c>
      <c r="HH1" t="s">
        <v>484</v>
      </c>
      <c r="HI1" t="s">
        <v>485</v>
      </c>
      <c r="HJ1" t="s">
        <v>486</v>
      </c>
      <c r="HK1" t="s">
        <v>487</v>
      </c>
      <c r="HL1" t="s">
        <v>488</v>
      </c>
      <c r="HM1" t="s">
        <v>489</v>
      </c>
      <c r="HN1" t="s">
        <v>490</v>
      </c>
      <c r="HO1" t="s">
        <v>491</v>
      </c>
      <c r="HP1" t="s">
        <v>492</v>
      </c>
      <c r="HQ1" t="s">
        <v>493</v>
      </c>
      <c r="HR1" t="s">
        <v>494</v>
      </c>
      <c r="HS1" t="s">
        <v>495</v>
      </c>
      <c r="HT1" t="s">
        <v>496</v>
      </c>
      <c r="HU1" t="s">
        <v>497</v>
      </c>
      <c r="HV1" t="s">
        <v>498</v>
      </c>
      <c r="HW1" t="s">
        <v>499</v>
      </c>
      <c r="HX1" t="s">
        <v>500</v>
      </c>
      <c r="HY1" t="s">
        <v>501</v>
      </c>
      <c r="HZ1" t="s">
        <v>502</v>
      </c>
      <c r="IA1" t="s">
        <v>503</v>
      </c>
      <c r="IB1" t="s">
        <v>504</v>
      </c>
      <c r="IC1" t="s">
        <v>505</v>
      </c>
      <c r="ID1" t="s">
        <v>506</v>
      </c>
      <c r="IE1" t="s">
        <v>507</v>
      </c>
      <c r="IF1" t="s">
        <v>508</v>
      </c>
      <c r="IG1" t="s">
        <v>509</v>
      </c>
      <c r="IH1" t="s">
        <v>510</v>
      </c>
      <c r="II1" t="s">
        <v>511</v>
      </c>
      <c r="IJ1" t="s">
        <v>512</v>
      </c>
      <c r="IK1" t="s">
        <v>513</v>
      </c>
      <c r="IL1" t="s">
        <v>514</v>
      </c>
      <c r="IM1" t="s">
        <v>515</v>
      </c>
      <c r="IN1" t="s">
        <v>516</v>
      </c>
      <c r="IO1" t="s">
        <v>517</v>
      </c>
      <c r="IP1" t="s">
        <v>518</v>
      </c>
      <c r="IQ1" t="s">
        <v>519</v>
      </c>
      <c r="IR1" t="s">
        <v>520</v>
      </c>
      <c r="IS1" t="s">
        <v>521</v>
      </c>
      <c r="IT1" t="s">
        <v>522</v>
      </c>
      <c r="IU1" t="s">
        <v>523</v>
      </c>
      <c r="IV1" t="s">
        <v>524</v>
      </c>
      <c r="IW1" t="s">
        <v>525</v>
      </c>
      <c r="IX1" t="s">
        <v>526</v>
      </c>
      <c r="IY1" t="s">
        <v>527</v>
      </c>
      <c r="IZ1" t="s">
        <v>528</v>
      </c>
      <c r="JA1" t="s">
        <v>529</v>
      </c>
      <c r="JB1" t="s">
        <v>530</v>
      </c>
      <c r="JC1" t="s">
        <v>531</v>
      </c>
      <c r="JD1" t="s">
        <v>532</v>
      </c>
      <c r="JE1" t="s">
        <v>533</v>
      </c>
      <c r="JF1" t="s">
        <v>534</v>
      </c>
      <c r="JG1" t="s">
        <v>535</v>
      </c>
      <c r="JH1" t="s">
        <v>536</v>
      </c>
      <c r="JI1" t="s">
        <v>537</v>
      </c>
      <c r="JJ1" t="s">
        <v>538</v>
      </c>
      <c r="JK1" t="s">
        <v>278</v>
      </c>
      <c r="JL1" t="s">
        <v>539</v>
      </c>
      <c r="JM1" t="s">
        <v>540</v>
      </c>
      <c r="JN1" t="s">
        <v>541</v>
      </c>
      <c r="JO1" t="s">
        <v>207</v>
      </c>
      <c r="JP1" t="s">
        <v>208</v>
      </c>
      <c r="JQ1" t="s">
        <v>209</v>
      </c>
    </row>
    <row r="2" spans="1:277">
      <c r="A2" t="s">
        <v>542</v>
      </c>
      <c r="B2" t="s">
        <v>543</v>
      </c>
      <c r="C2" t="s">
        <v>212</v>
      </c>
      <c r="D2">
        <v>3</v>
      </c>
      <c r="E2" t="s">
        <v>213</v>
      </c>
      <c r="F2" t="s">
        <v>214</v>
      </c>
      <c r="G2" t="s">
        <v>544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1.0999999995</v>
      </c>
      <c r="R2">
        <v>0.19999999860000001</v>
      </c>
      <c r="S2">
        <v>0</v>
      </c>
      <c r="T2">
        <v>9.9999999300000003E-2</v>
      </c>
      <c r="U2">
        <v>9.9999999300000003E-2</v>
      </c>
      <c r="V2">
        <v>0.50000000010000001</v>
      </c>
      <c r="W2">
        <v>0.29999999970000002</v>
      </c>
      <c r="X2">
        <v>9.9999999300000003E-2</v>
      </c>
      <c r="Y2">
        <v>9.9999999300000003E-2</v>
      </c>
      <c r="Z2">
        <v>0.29999999970000002</v>
      </c>
      <c r="AA2">
        <v>0.19999999860000001</v>
      </c>
      <c r="AB2">
        <v>0.19999999860000001</v>
      </c>
      <c r="AC2">
        <v>0.19999999860000001</v>
      </c>
      <c r="AD2">
        <v>0.19999999860000001</v>
      </c>
      <c r="AE2">
        <v>0.50000000010000001</v>
      </c>
      <c r="AF2">
        <v>0.19999999860000001</v>
      </c>
      <c r="AG2">
        <v>0.39999999899999999</v>
      </c>
      <c r="AH2">
        <v>0.99999999839999998</v>
      </c>
      <c r="AI2">
        <v>5.2999999988999997</v>
      </c>
      <c r="AJ2">
        <v>10.5999999996</v>
      </c>
      <c r="AK2">
        <v>17.299999999499999</v>
      </c>
      <c r="AL2">
        <v>24.0999999987</v>
      </c>
      <c r="AM2">
        <v>31.0999999983</v>
      </c>
      <c r="AN2">
        <v>39.1</v>
      </c>
      <c r="AO2">
        <v>46.099999999600001</v>
      </c>
      <c r="AP2">
        <v>53.599999999300003</v>
      </c>
      <c r="AQ2">
        <v>60.7</v>
      </c>
      <c r="AR2">
        <v>67.799999998900006</v>
      </c>
      <c r="AS2">
        <v>75.099999999999994</v>
      </c>
      <c r="AT2">
        <v>83.099999999800005</v>
      </c>
      <c r="AU2">
        <v>91.699999998999999</v>
      </c>
      <c r="AV2">
        <v>99.599999999600001</v>
      </c>
      <c r="AW2">
        <v>107.69999999869999</v>
      </c>
      <c r="AX2">
        <v>115.59999999919999</v>
      </c>
      <c r="AY2">
        <v>123.49999999969999</v>
      </c>
      <c r="AZ2">
        <v>131.39999999840001</v>
      </c>
      <c r="BA2">
        <v>139.79999999899999</v>
      </c>
      <c r="BB2">
        <v>147.99999999920001</v>
      </c>
      <c r="BC2">
        <v>156.2999999987</v>
      </c>
      <c r="BD2">
        <v>164.1</v>
      </c>
      <c r="BE2">
        <v>172.09999999979999</v>
      </c>
      <c r="BF2">
        <v>180.3</v>
      </c>
      <c r="BG2">
        <v>188.89999999919999</v>
      </c>
      <c r="BH2">
        <v>197.6999999988</v>
      </c>
      <c r="BI2">
        <v>205.5</v>
      </c>
      <c r="BJ2">
        <v>212.99999999970001</v>
      </c>
      <c r="BK2">
        <v>220.79999999910001</v>
      </c>
      <c r="BL2">
        <v>228.99999999939999</v>
      </c>
      <c r="BM2">
        <v>236.4999999991</v>
      </c>
      <c r="BN2">
        <v>244.99999999900001</v>
      </c>
      <c r="BO2">
        <v>252.69999999909999</v>
      </c>
      <c r="BP2">
        <v>260.8</v>
      </c>
      <c r="BQ2">
        <v>268.39999999899999</v>
      </c>
      <c r="BR2">
        <v>275.99999999980002</v>
      </c>
      <c r="BS2">
        <v>283.49999999950001</v>
      </c>
      <c r="BT2">
        <v>291.19999999970003</v>
      </c>
      <c r="BU2">
        <v>298.69999999940001</v>
      </c>
      <c r="BV2">
        <v>305.89999999939999</v>
      </c>
      <c r="BW2">
        <v>313.29999999979998</v>
      </c>
      <c r="BX2">
        <v>320.20000000009998</v>
      </c>
      <c r="BY2">
        <v>326.89999999999998</v>
      </c>
      <c r="BZ2">
        <v>333.99999999890002</v>
      </c>
      <c r="CA2">
        <v>341.09999999960002</v>
      </c>
      <c r="CB2">
        <v>348.3999999989</v>
      </c>
      <c r="CC2">
        <v>354.7999999992</v>
      </c>
      <c r="CD2">
        <v>361.59999999839999</v>
      </c>
      <c r="CE2">
        <v>367.8</v>
      </c>
      <c r="CF2">
        <v>373.99999999980002</v>
      </c>
      <c r="CG2">
        <v>380.09999999849998</v>
      </c>
      <c r="CH2">
        <v>386.3000000001</v>
      </c>
      <c r="CI2">
        <v>392.6999999985</v>
      </c>
      <c r="CJ2">
        <v>399.29999999910001</v>
      </c>
      <c r="CK2">
        <v>405.29999999850003</v>
      </c>
      <c r="CL2">
        <v>411.29999999979998</v>
      </c>
      <c r="CM2">
        <v>416.59999999870001</v>
      </c>
      <c r="CN2">
        <v>422.29999999839998</v>
      </c>
      <c r="CO2">
        <v>427.69999999840002</v>
      </c>
      <c r="CP2">
        <v>432.9999999991</v>
      </c>
      <c r="CQ2">
        <v>438.19999999869998</v>
      </c>
      <c r="CR2">
        <v>443.99999999950001</v>
      </c>
      <c r="CS2">
        <v>449.49999999879998</v>
      </c>
      <c r="CT2">
        <v>455.5</v>
      </c>
      <c r="CU2">
        <v>459.9999999991</v>
      </c>
      <c r="CV2">
        <v>462.99999999969998</v>
      </c>
      <c r="CW2">
        <v>462.79999999929998</v>
      </c>
      <c r="CX2">
        <v>462.79999999929998</v>
      </c>
      <c r="CY2">
        <v>462.99999999969998</v>
      </c>
      <c r="CZ2">
        <v>462.79999999929998</v>
      </c>
      <c r="DA2">
        <v>463.19999999829997</v>
      </c>
      <c r="DB2">
        <v>463.29999999939997</v>
      </c>
      <c r="DC2">
        <v>463.19999999829997</v>
      </c>
      <c r="DD2">
        <v>463.29999999939997</v>
      </c>
      <c r="DE2">
        <v>463.29999999939997</v>
      </c>
      <c r="DF2">
        <v>463.19999999829997</v>
      </c>
      <c r="DG2">
        <v>1.4999999985000001</v>
      </c>
      <c r="DH2">
        <v>1.1999999988000001</v>
      </c>
      <c r="DI2">
        <v>0.99999999839999998</v>
      </c>
      <c r="DJ2">
        <v>0.89999999909999995</v>
      </c>
      <c r="DK2">
        <v>0.89999999909999995</v>
      </c>
      <c r="DL2">
        <v>0.89999999909999995</v>
      </c>
      <c r="DM2">
        <v>1.0999999995</v>
      </c>
      <c r="DN2">
        <v>0.89999999909999995</v>
      </c>
      <c r="DO2">
        <v>1.0999999995</v>
      </c>
      <c r="DP2">
        <v>1.0999999995</v>
      </c>
      <c r="DQ2">
        <v>1.0999999995</v>
      </c>
      <c r="DR2">
        <v>1.0999999995</v>
      </c>
      <c r="DS2">
        <v>0.89999999909999995</v>
      </c>
      <c r="DT2">
        <v>0.89999999909999995</v>
      </c>
      <c r="DU2">
        <v>0.79999999980000003</v>
      </c>
      <c r="DV2">
        <v>0.79999999980000003</v>
      </c>
      <c r="DW2">
        <v>0.99999999839999998</v>
      </c>
      <c r="DX2">
        <v>3.7999999986000002</v>
      </c>
      <c r="DY2">
        <v>8.1999999983999992</v>
      </c>
      <c r="DZ2">
        <v>14.9999999994</v>
      </c>
      <c r="EA2">
        <v>21.8999999997</v>
      </c>
      <c r="EB2">
        <v>28.9999999986</v>
      </c>
      <c r="EC2">
        <v>36.699999998700001</v>
      </c>
      <c r="ED2">
        <v>43.999999999899998</v>
      </c>
      <c r="EE2">
        <v>51.299999999199997</v>
      </c>
      <c r="EF2">
        <v>58.399999999899997</v>
      </c>
      <c r="EG2">
        <v>65.399999999499997</v>
      </c>
      <c r="EH2">
        <v>72.999999998500002</v>
      </c>
      <c r="EI2">
        <v>80.699999998600006</v>
      </c>
      <c r="EJ2">
        <v>88.999999999899998</v>
      </c>
      <c r="EK2">
        <v>96.999999999799996</v>
      </c>
      <c r="EL2">
        <v>105.2999999993</v>
      </c>
      <c r="EM2">
        <v>113.0999999987</v>
      </c>
      <c r="EN2">
        <v>121.0999999985</v>
      </c>
      <c r="EO2">
        <v>129.2999999987</v>
      </c>
      <c r="EP2">
        <v>137.49999999889999</v>
      </c>
      <c r="EQ2">
        <v>145.79999999840001</v>
      </c>
      <c r="ER2">
        <v>153.89999999930001</v>
      </c>
      <c r="ES2">
        <v>161.9999999984</v>
      </c>
      <c r="ET2">
        <v>170.09999999940001</v>
      </c>
      <c r="EU2">
        <v>178.09999999920001</v>
      </c>
      <c r="EV2">
        <v>186.79999999949999</v>
      </c>
      <c r="EW2">
        <v>195.59999999909999</v>
      </c>
      <c r="EX2">
        <v>203.7</v>
      </c>
      <c r="EY2">
        <v>211.49999999939999</v>
      </c>
      <c r="EZ2">
        <v>219.4</v>
      </c>
      <c r="FA2">
        <v>227.3999999998</v>
      </c>
      <c r="FB2">
        <v>235.2999999985</v>
      </c>
      <c r="FC2">
        <v>243.89999999950001</v>
      </c>
      <c r="FD2">
        <v>251.9999999986</v>
      </c>
      <c r="FE2">
        <v>260.09999999950003</v>
      </c>
      <c r="FF2">
        <v>268</v>
      </c>
      <c r="FG2">
        <v>275.49999999969998</v>
      </c>
      <c r="FH2">
        <v>282.89999999830002</v>
      </c>
      <c r="FI2">
        <v>290.49999999919999</v>
      </c>
      <c r="FJ2">
        <v>298.60000000010001</v>
      </c>
      <c r="FK2">
        <v>306.09999999979999</v>
      </c>
      <c r="FL2">
        <v>313.09999999939998</v>
      </c>
      <c r="FM2">
        <v>320.29999999939997</v>
      </c>
      <c r="FN2">
        <v>327.19999999970003</v>
      </c>
      <c r="FO2">
        <v>334.29999999860001</v>
      </c>
      <c r="FP2">
        <v>341.4999999986</v>
      </c>
      <c r="FQ2">
        <v>348.69999999859999</v>
      </c>
      <c r="FR2">
        <v>355.59999999899998</v>
      </c>
      <c r="FS2">
        <v>362.09999999849998</v>
      </c>
      <c r="FT2">
        <v>368.3000000001</v>
      </c>
      <c r="FU2">
        <v>374.6999999985</v>
      </c>
      <c r="FV2">
        <v>380.90000000010002</v>
      </c>
      <c r="FW2">
        <v>387.19999999919997</v>
      </c>
      <c r="FX2">
        <v>393.89999999909998</v>
      </c>
      <c r="FY2">
        <v>400.2</v>
      </c>
      <c r="FZ2">
        <v>406.2999999987</v>
      </c>
      <c r="GA2">
        <v>412.3</v>
      </c>
      <c r="GB2">
        <v>417.2999999992</v>
      </c>
      <c r="GC2">
        <v>422.79999999850003</v>
      </c>
      <c r="GD2">
        <v>428.1999999985</v>
      </c>
      <c r="GE2">
        <v>433.49999999919999</v>
      </c>
      <c r="GF2">
        <v>439.09999999960002</v>
      </c>
      <c r="GG2">
        <v>444.2999999992</v>
      </c>
      <c r="GH2">
        <v>450.1</v>
      </c>
      <c r="GI2">
        <v>454.89999999880001</v>
      </c>
      <c r="GJ2">
        <v>459.29999999860001</v>
      </c>
      <c r="GK2">
        <v>462.49999999959999</v>
      </c>
      <c r="GL2">
        <v>462.59999999889999</v>
      </c>
      <c r="GM2">
        <v>462.79999999929998</v>
      </c>
      <c r="GN2">
        <v>462.99999999969998</v>
      </c>
      <c r="GO2">
        <v>463.09999999899998</v>
      </c>
      <c r="GP2">
        <v>463.09999999899998</v>
      </c>
      <c r="GQ2">
        <v>463.19999999829997</v>
      </c>
      <c r="GR2">
        <v>463.19999999829997</v>
      </c>
      <c r="GS2">
        <v>463.09999999899998</v>
      </c>
      <c r="GT2">
        <v>463.29999999939997</v>
      </c>
      <c r="GU2">
        <v>463.19999999829997</v>
      </c>
      <c r="GV2">
        <v>463.09999999899998</v>
      </c>
      <c r="GW2">
        <v>1</v>
      </c>
      <c r="GX2">
        <v>108.6999999989</v>
      </c>
      <c r="GY2">
        <v>107.69999999869999</v>
      </c>
      <c r="GZ2">
        <v>107.69999999869999</v>
      </c>
      <c r="HA2">
        <v>113.0999999987</v>
      </c>
      <c r="HB2">
        <v>108.9867688309</v>
      </c>
      <c r="HC2">
        <v>-5.4</v>
      </c>
      <c r="HD2">
        <v>463.10003237550001</v>
      </c>
      <c r="HE2">
        <v>324.10386358779999</v>
      </c>
      <c r="HF2">
        <v>91.492164903100004</v>
      </c>
      <c r="HG2">
        <v>463.29999999939997</v>
      </c>
      <c r="HH2">
        <v>463.29999999939997</v>
      </c>
      <c r="HI2">
        <v>463.29999999939997</v>
      </c>
      <c r="HJ2">
        <v>463.29999999939997</v>
      </c>
      <c r="HK2">
        <v>117.3020527859</v>
      </c>
      <c r="HL2">
        <v>3.2692275580999999</v>
      </c>
      <c r="HM2">
        <v>3.2062984174000002</v>
      </c>
      <c r="HN2">
        <v>3.2374532553000002</v>
      </c>
      <c r="HO2">
        <v>3.0815954339</v>
      </c>
      <c r="HP2">
        <v>3.4415356235000001</v>
      </c>
      <c r="HQ2">
        <v>2.1281804758999998</v>
      </c>
      <c r="HR2">
        <v>17.494603927899998</v>
      </c>
      <c r="HS2">
        <v>-28.152492668600001</v>
      </c>
      <c r="HT2">
        <v>-192</v>
      </c>
      <c r="HU2">
        <v>433.09063241870001</v>
      </c>
      <c r="HV2">
        <v>103.22580645159999</v>
      </c>
      <c r="HW2">
        <v>704</v>
      </c>
      <c r="HX2">
        <v>17.494603927899998</v>
      </c>
      <c r="HY2">
        <v>-28.152492668600001</v>
      </c>
      <c r="HZ2">
        <v>-192</v>
      </c>
      <c r="IA2">
        <v>433.09063241870001</v>
      </c>
      <c r="IB2">
        <v>103.22580645159999</v>
      </c>
      <c r="IC2">
        <v>704</v>
      </c>
      <c r="ID2">
        <v>30.2093675807</v>
      </c>
      <c r="IE2">
        <v>0.40090653900000001</v>
      </c>
      <c r="IF2">
        <v>-37.536656891500002</v>
      </c>
      <c r="IG2">
        <v>-256</v>
      </c>
      <c r="IH2">
        <v>454.77062378469998</v>
      </c>
      <c r="II2">
        <v>112.6099706745</v>
      </c>
      <c r="IJ2">
        <v>768</v>
      </c>
      <c r="IK2">
        <v>415.59602849079999</v>
      </c>
      <c r="IL2">
        <v>131.37829912020001</v>
      </c>
      <c r="IM2">
        <v>438.66742931179999</v>
      </c>
      <c r="IN2">
        <v>140.76246334309999</v>
      </c>
      <c r="IO2">
        <v>6.8000000009999999</v>
      </c>
      <c r="IP2">
        <v>6.0000000012000001</v>
      </c>
      <c r="IQ2">
        <v>8.7999999996000007</v>
      </c>
      <c r="IR2">
        <v>6.3648009279000002</v>
      </c>
      <c r="IS2">
        <v>6.3648009279000002</v>
      </c>
      <c r="IT2">
        <v>4.3999999998000003</v>
      </c>
      <c r="IU2">
        <v>-30.4985337243</v>
      </c>
      <c r="IV2">
        <v>7.5999999989999996</v>
      </c>
      <c r="IW2">
        <v>70.381231671600005</v>
      </c>
      <c r="IX2">
        <v>6.1000000004999997</v>
      </c>
      <c r="IY2">
        <v>107.91788856300001</v>
      </c>
      <c r="IZ2">
        <v>-34.087710529900001</v>
      </c>
      <c r="JA2">
        <v>0.34543913939999998</v>
      </c>
      <c r="JB2">
        <v>-3.6488820000000002E-4</v>
      </c>
      <c r="JC2">
        <v>6.8709999999999995E-7</v>
      </c>
      <c r="JD2">
        <v>0.30588265339999998</v>
      </c>
      <c r="JE2">
        <v>0.33596028690000002</v>
      </c>
      <c r="JF2">
        <v>0.1205024022</v>
      </c>
      <c r="JG2">
        <v>109.2083559383</v>
      </c>
      <c r="JH2">
        <v>3.4415356235000001</v>
      </c>
      <c r="JI2">
        <v>3.6596338000000001E-3</v>
      </c>
      <c r="JJ2">
        <v>-6.4720200000000004E-5</v>
      </c>
      <c r="JK2">
        <v>3.2692275580999999</v>
      </c>
      <c r="JL2">
        <v>1.2465885603</v>
      </c>
      <c r="JM2">
        <v>0.52001174080000001</v>
      </c>
      <c r="JN2" t="s">
        <v>545</v>
      </c>
      <c r="JQ2">
        <v>1</v>
      </c>
    </row>
    <row r="3" spans="1:277">
      <c r="A3" t="s">
        <v>546</v>
      </c>
      <c r="B3" t="s">
        <v>547</v>
      </c>
      <c r="C3" t="s">
        <v>212</v>
      </c>
      <c r="D3">
        <v>3</v>
      </c>
      <c r="E3" t="s">
        <v>213</v>
      </c>
      <c r="F3" t="s">
        <v>214</v>
      </c>
      <c r="G3" t="s">
        <v>544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0.89999999909999995</v>
      </c>
      <c r="R3">
        <v>0.7000000005</v>
      </c>
      <c r="S3">
        <v>0.29999999970000002</v>
      </c>
      <c r="T3">
        <v>0.20000000039999999</v>
      </c>
      <c r="U3">
        <v>9.9999999300000003E-2</v>
      </c>
      <c r="V3">
        <v>9.9999999300000003E-2</v>
      </c>
      <c r="W3">
        <v>0.29999999970000002</v>
      </c>
      <c r="X3">
        <v>0</v>
      </c>
      <c r="Y3">
        <v>9.9999999300000003E-2</v>
      </c>
      <c r="Z3">
        <v>0.29999999970000002</v>
      </c>
      <c r="AA3">
        <v>0.20000000039999999</v>
      </c>
      <c r="AB3">
        <v>0.29999999970000002</v>
      </c>
      <c r="AC3">
        <v>0.20000000039999999</v>
      </c>
      <c r="AD3">
        <v>0.20000000039999999</v>
      </c>
      <c r="AE3">
        <v>0.20000000039999999</v>
      </c>
      <c r="AF3">
        <v>9.9999999300000003E-2</v>
      </c>
      <c r="AG3">
        <v>0.29999999970000002</v>
      </c>
      <c r="AH3">
        <v>3.4999999988999999</v>
      </c>
      <c r="AI3">
        <v>7.9000000005000004</v>
      </c>
      <c r="AJ3">
        <v>12.6</v>
      </c>
      <c r="AK3">
        <v>18.599999999400001</v>
      </c>
      <c r="AL3">
        <v>25.2</v>
      </c>
      <c r="AM3">
        <v>32.100000000400001</v>
      </c>
      <c r="AN3">
        <v>38.800000000300003</v>
      </c>
      <c r="AO3">
        <v>46.3</v>
      </c>
      <c r="AP3">
        <v>54.099999999399998</v>
      </c>
      <c r="AQ3">
        <v>61.799999999500002</v>
      </c>
      <c r="AR3">
        <v>69.900000000399999</v>
      </c>
      <c r="AS3">
        <v>77.400000000099993</v>
      </c>
      <c r="AT3">
        <v>84.800000000500006</v>
      </c>
      <c r="AU3">
        <v>92.300000000300003</v>
      </c>
      <c r="AV3">
        <v>100.39999999939999</v>
      </c>
      <c r="AW3">
        <v>109.00000000039999</v>
      </c>
      <c r="AX3">
        <v>118.199999999</v>
      </c>
      <c r="AY3">
        <v>127.00000000039999</v>
      </c>
      <c r="AZ3">
        <v>134.8999999991</v>
      </c>
      <c r="BA3">
        <v>142.20000000019999</v>
      </c>
      <c r="BB3">
        <v>150.599999999</v>
      </c>
      <c r="BC3">
        <v>158.99999999970001</v>
      </c>
      <c r="BD3">
        <v>167.49999999959999</v>
      </c>
      <c r="BE3">
        <v>176.59999999889999</v>
      </c>
      <c r="BF3">
        <v>183.79999999890001</v>
      </c>
      <c r="BG3">
        <v>191.9999999991</v>
      </c>
      <c r="BH3">
        <v>200.39999999969999</v>
      </c>
      <c r="BI3">
        <v>208.99999999889999</v>
      </c>
      <c r="BJ3">
        <v>217.59999999990001</v>
      </c>
      <c r="BK3">
        <v>225.89999999950001</v>
      </c>
      <c r="BL3">
        <v>233.8</v>
      </c>
      <c r="BM3">
        <v>241.59999999940001</v>
      </c>
      <c r="BN3">
        <v>248.7999999994</v>
      </c>
      <c r="BO3">
        <v>257.09999999889999</v>
      </c>
      <c r="BP3">
        <v>265.19999999980001</v>
      </c>
      <c r="BQ3">
        <v>273.39999999999998</v>
      </c>
      <c r="BR3">
        <v>280.80000000050001</v>
      </c>
      <c r="BS3">
        <v>289.19999999930002</v>
      </c>
      <c r="BT3">
        <v>296.19999999890001</v>
      </c>
      <c r="BU3">
        <v>303.3999999989</v>
      </c>
      <c r="BV3">
        <v>310.90000000039998</v>
      </c>
      <c r="BW3">
        <v>317.89999999999998</v>
      </c>
      <c r="BX3">
        <v>325.69999999940001</v>
      </c>
      <c r="BY3">
        <v>332.39999999930001</v>
      </c>
      <c r="BZ3">
        <v>339.20000000030001</v>
      </c>
      <c r="CA3">
        <v>346.10000000069999</v>
      </c>
      <c r="CB3">
        <v>353.19999999959998</v>
      </c>
      <c r="CC3">
        <v>360.49999999890002</v>
      </c>
      <c r="CD3">
        <v>366.89999999909998</v>
      </c>
      <c r="CE3">
        <v>373.40000000039998</v>
      </c>
      <c r="CF3">
        <v>380.10000000029999</v>
      </c>
      <c r="CG3">
        <v>385.69999999890001</v>
      </c>
      <c r="CH3">
        <v>391.79999999939997</v>
      </c>
      <c r="CI3">
        <v>398.10000000029999</v>
      </c>
      <c r="CJ3">
        <v>404.199999999</v>
      </c>
      <c r="CK3">
        <v>411.20000000049998</v>
      </c>
      <c r="CL3">
        <v>416.69999999980001</v>
      </c>
      <c r="CM3">
        <v>422.39999999949998</v>
      </c>
      <c r="CN3">
        <v>428.20000000030001</v>
      </c>
      <c r="CO3">
        <v>433.49999999919999</v>
      </c>
      <c r="CP3">
        <v>438.59999999950003</v>
      </c>
      <c r="CQ3">
        <v>443.99999999950001</v>
      </c>
      <c r="CR3">
        <v>449.50000000059998</v>
      </c>
      <c r="CS3">
        <v>454.90000000060002</v>
      </c>
      <c r="CT3">
        <v>458.89999999960003</v>
      </c>
      <c r="CU3">
        <v>459.80000000050001</v>
      </c>
      <c r="CV3">
        <v>459.9999999991</v>
      </c>
      <c r="CW3">
        <v>459.80000000050001</v>
      </c>
      <c r="CX3">
        <v>459.69999999940001</v>
      </c>
      <c r="CY3">
        <v>459.60000000010001</v>
      </c>
      <c r="CZ3">
        <v>459.60000000010001</v>
      </c>
      <c r="DA3">
        <v>459.39999999970001</v>
      </c>
      <c r="DB3">
        <v>459.49999999900001</v>
      </c>
      <c r="DC3">
        <v>459.49999999900001</v>
      </c>
      <c r="DD3">
        <v>459.69999999940001</v>
      </c>
      <c r="DE3">
        <v>459.80000000050001</v>
      </c>
      <c r="DF3">
        <v>460.1000000002</v>
      </c>
      <c r="DG3">
        <v>1.6999999989000001</v>
      </c>
      <c r="DH3">
        <v>1.2000000006</v>
      </c>
      <c r="DI3">
        <v>1.2000000006</v>
      </c>
      <c r="DJ3">
        <v>1.2000000006</v>
      </c>
      <c r="DK3">
        <v>1.2000000006</v>
      </c>
      <c r="DL3">
        <v>1.5000000003</v>
      </c>
      <c r="DM3">
        <v>1.0999999995</v>
      </c>
      <c r="DN3">
        <v>1.0999999995</v>
      </c>
      <c r="DO3">
        <v>1.2000000006</v>
      </c>
      <c r="DP3">
        <v>1.2000000006</v>
      </c>
      <c r="DQ3">
        <v>1.0999999995</v>
      </c>
      <c r="DR3">
        <v>1.2000000006</v>
      </c>
      <c r="DS3">
        <v>1.2000000006</v>
      </c>
      <c r="DT3">
        <v>1.2000000006</v>
      </c>
      <c r="DU3">
        <v>1.3999999992000001</v>
      </c>
      <c r="DV3">
        <v>1.0000000002</v>
      </c>
      <c r="DW3">
        <v>1.5999999996000001</v>
      </c>
      <c r="DX3">
        <v>6.1999999998000002</v>
      </c>
      <c r="DY3">
        <v>11.0999999997</v>
      </c>
      <c r="DZ3">
        <v>17.599999999200001</v>
      </c>
      <c r="EA3">
        <v>24.199999999799999</v>
      </c>
      <c r="EB3">
        <v>29.699999999100001</v>
      </c>
      <c r="EC3">
        <v>37.099999999600001</v>
      </c>
      <c r="ED3">
        <v>44.299999999599997</v>
      </c>
      <c r="EE3">
        <v>52.5999999991</v>
      </c>
      <c r="EF3">
        <v>59.799999999100002</v>
      </c>
      <c r="EG3">
        <v>68.600000000500003</v>
      </c>
      <c r="EH3">
        <v>75.3999999997</v>
      </c>
      <c r="EI3">
        <v>82.500000000399993</v>
      </c>
      <c r="EJ3">
        <v>90.700000000700001</v>
      </c>
      <c r="EK3">
        <v>98.500000000100002</v>
      </c>
      <c r="EL3">
        <v>106.70000000029999</v>
      </c>
      <c r="EM3">
        <v>115.20000000020001</v>
      </c>
      <c r="EN3">
        <v>124.8999999989</v>
      </c>
      <c r="EO3">
        <v>131.99999999959999</v>
      </c>
      <c r="EP3">
        <v>140.19999999980001</v>
      </c>
      <c r="EQ3">
        <v>148.6000000004</v>
      </c>
      <c r="ER3">
        <v>157.40000000009999</v>
      </c>
      <c r="ES3">
        <v>166.1000000004</v>
      </c>
      <c r="ET3">
        <v>175.29999999899999</v>
      </c>
      <c r="EU3">
        <v>182.49999999900001</v>
      </c>
      <c r="EV3">
        <v>190.09999999979999</v>
      </c>
      <c r="EW3">
        <v>198.89999999939999</v>
      </c>
      <c r="EX3">
        <v>207.8000000001</v>
      </c>
      <c r="EY3">
        <v>216.09999999959999</v>
      </c>
      <c r="EZ3">
        <v>225.80000000019999</v>
      </c>
      <c r="FA3">
        <v>233.2999999999</v>
      </c>
      <c r="FB3">
        <v>240.8999999989</v>
      </c>
      <c r="FC3">
        <v>248.7999999994</v>
      </c>
      <c r="FD3">
        <v>256.99999999959999</v>
      </c>
      <c r="FE3">
        <v>264.99999999940002</v>
      </c>
      <c r="FF3">
        <v>273.39999999999998</v>
      </c>
      <c r="FG3">
        <v>281.69999999949999</v>
      </c>
      <c r="FH3">
        <v>288.80000000029997</v>
      </c>
      <c r="FI3">
        <v>296.5999999997</v>
      </c>
      <c r="FJ3">
        <v>304.39999999909998</v>
      </c>
      <c r="FK3">
        <v>311.99999999990001</v>
      </c>
      <c r="FL3">
        <v>319.79999999929998</v>
      </c>
      <c r="FM3">
        <v>327.29999999900002</v>
      </c>
      <c r="FN3">
        <v>333.80000000029997</v>
      </c>
      <c r="FO3">
        <v>340.29999999979998</v>
      </c>
      <c r="FP3">
        <v>347.59999999910002</v>
      </c>
      <c r="FQ3">
        <v>354.49999999950001</v>
      </c>
      <c r="FR3">
        <v>361.80000000059999</v>
      </c>
      <c r="FS3">
        <v>368.69999999909999</v>
      </c>
      <c r="FT3">
        <v>375.59999999939998</v>
      </c>
      <c r="FU3">
        <v>381.99999999959999</v>
      </c>
      <c r="FV3">
        <v>387.99999999900001</v>
      </c>
      <c r="FW3">
        <v>394.20000000060003</v>
      </c>
      <c r="FX3">
        <v>400.2</v>
      </c>
      <c r="FY3">
        <v>406.30000000059999</v>
      </c>
      <c r="FZ3">
        <v>412.20000000070002</v>
      </c>
      <c r="GA3">
        <v>418.09999999899998</v>
      </c>
      <c r="GB3">
        <v>424.1000000002</v>
      </c>
      <c r="GC3">
        <v>430.09999999960002</v>
      </c>
      <c r="GD3">
        <v>435.1999999999</v>
      </c>
      <c r="GE3">
        <v>440.39999999949998</v>
      </c>
      <c r="GF3">
        <v>445.49999999980002</v>
      </c>
      <c r="GG3">
        <v>450.39999999970001</v>
      </c>
      <c r="GH3">
        <v>455.20000000030001</v>
      </c>
      <c r="GI3">
        <v>458.30000000019999</v>
      </c>
      <c r="GJ3">
        <v>459.39999999970001</v>
      </c>
      <c r="GK3">
        <v>459.49999999900001</v>
      </c>
      <c r="GL3">
        <v>459.60000000010001</v>
      </c>
      <c r="GM3">
        <v>459.80000000050001</v>
      </c>
      <c r="GN3">
        <v>459.8999999998</v>
      </c>
      <c r="GO3">
        <v>459.80000000050001</v>
      </c>
      <c r="GP3">
        <v>459.69999999940001</v>
      </c>
      <c r="GQ3">
        <v>459.39999999970001</v>
      </c>
      <c r="GR3">
        <v>459.49999999900001</v>
      </c>
      <c r="GS3">
        <v>459.60000000010001</v>
      </c>
      <c r="GT3">
        <v>459.60000000010001</v>
      </c>
      <c r="GU3">
        <v>459.80000000050001</v>
      </c>
      <c r="GV3">
        <v>459.8999999998</v>
      </c>
      <c r="GW3">
        <v>1</v>
      </c>
      <c r="GX3">
        <v>110.8999999997</v>
      </c>
      <c r="GY3">
        <v>109.00000000039999</v>
      </c>
      <c r="GZ3">
        <v>109.00000000039999</v>
      </c>
      <c r="HA3">
        <v>115.20000000020001</v>
      </c>
      <c r="HB3">
        <v>110.5109130438</v>
      </c>
      <c r="HC3">
        <v>-6.1999999998000002</v>
      </c>
      <c r="HD3">
        <v>459.8999999998</v>
      </c>
      <c r="HE3">
        <v>312.95204347809999</v>
      </c>
      <c r="HF3">
        <v>91.650391305200003</v>
      </c>
      <c r="HG3">
        <v>460.1000000002</v>
      </c>
      <c r="HH3">
        <v>459.8999999998</v>
      </c>
      <c r="HI3">
        <v>460.1000000002</v>
      </c>
      <c r="HJ3">
        <v>459.8999999998</v>
      </c>
      <c r="HK3">
        <v>114.9560117302</v>
      </c>
      <c r="HL3">
        <v>3.3628260888999999</v>
      </c>
      <c r="HM3">
        <v>3.2733385912999999</v>
      </c>
      <c r="HN3">
        <v>3.3391825472000001</v>
      </c>
      <c r="HO3">
        <v>3.1043991504999999</v>
      </c>
      <c r="HP3">
        <v>3.5131937702</v>
      </c>
      <c r="HQ3">
        <v>2.2678322125000001</v>
      </c>
      <c r="HR3">
        <v>18.860521738599999</v>
      </c>
      <c r="HS3">
        <v>-28.152492668600001</v>
      </c>
      <c r="HT3">
        <v>-192</v>
      </c>
      <c r="HU3">
        <v>423.46295652190003</v>
      </c>
      <c r="HV3">
        <v>96.187683284499997</v>
      </c>
      <c r="HW3">
        <v>656</v>
      </c>
      <c r="HX3">
        <v>18.860521738599999</v>
      </c>
      <c r="HY3">
        <v>-28.152492668600001</v>
      </c>
      <c r="HZ3">
        <v>-192</v>
      </c>
      <c r="IA3">
        <v>423.46295652190003</v>
      </c>
      <c r="IB3">
        <v>96.187683284499997</v>
      </c>
      <c r="IC3">
        <v>656</v>
      </c>
      <c r="ID3">
        <v>36.437043478</v>
      </c>
      <c r="IE3">
        <v>0.30268478230000001</v>
      </c>
      <c r="IF3">
        <v>-37.536656891500002</v>
      </c>
      <c r="IG3">
        <v>-256</v>
      </c>
      <c r="IH3">
        <v>445.23074999980003</v>
      </c>
      <c r="II3">
        <v>105.57184750730001</v>
      </c>
      <c r="IJ3">
        <v>720</v>
      </c>
      <c r="IK3">
        <v>404.6024347833</v>
      </c>
      <c r="IL3">
        <v>124.3401759531</v>
      </c>
      <c r="IM3">
        <v>426.80326086899998</v>
      </c>
      <c r="IN3">
        <v>133.724340176</v>
      </c>
      <c r="IO3">
        <v>6.6000000005999997</v>
      </c>
      <c r="IP3">
        <v>5.9999999994</v>
      </c>
      <c r="IQ3">
        <v>9.7000000004999993</v>
      </c>
      <c r="IR3">
        <v>5.3485036708999996</v>
      </c>
      <c r="IS3">
        <v>5.3485036708999996</v>
      </c>
      <c r="IT3">
        <v>5.6000000003999997</v>
      </c>
      <c r="IU3">
        <v>-28.152492668600001</v>
      </c>
      <c r="IV3">
        <v>9.3999999990000003</v>
      </c>
      <c r="IW3">
        <v>60.997067448700001</v>
      </c>
      <c r="IX3">
        <v>6.9000000003000004</v>
      </c>
      <c r="IY3">
        <v>103.22580645159999</v>
      </c>
      <c r="IZ3">
        <v>-34.154793654099997</v>
      </c>
      <c r="JA3">
        <v>0.3401848334</v>
      </c>
      <c r="JB3">
        <v>-3.6423009999999998E-4</v>
      </c>
      <c r="JC3">
        <v>6.793E-7</v>
      </c>
      <c r="JD3">
        <v>0.29736893120000002</v>
      </c>
      <c r="JE3">
        <v>0.28875607339999998</v>
      </c>
      <c r="JF3">
        <v>0.13183208799999999</v>
      </c>
      <c r="JG3">
        <v>111.3381140324</v>
      </c>
      <c r="JH3">
        <v>3.5131937702</v>
      </c>
      <c r="JI3">
        <v>4.1507858E-3</v>
      </c>
      <c r="JJ3">
        <v>-7.3636500000000006E-5</v>
      </c>
      <c r="JK3">
        <v>3.3628260888999999</v>
      </c>
      <c r="JL3">
        <v>1.4947875084</v>
      </c>
      <c r="JM3">
        <v>0.61259358149999998</v>
      </c>
      <c r="JN3" t="s">
        <v>545</v>
      </c>
      <c r="JQ3">
        <v>1</v>
      </c>
    </row>
    <row r="4" spans="1:277">
      <c r="A4" t="s">
        <v>588</v>
      </c>
      <c r="B4" t="s">
        <v>589</v>
      </c>
      <c r="C4" t="s">
        <v>212</v>
      </c>
      <c r="D4">
        <v>3</v>
      </c>
      <c r="E4" t="s">
        <v>213</v>
      </c>
      <c r="F4" t="s">
        <v>214</v>
      </c>
      <c r="G4" t="s">
        <v>544</v>
      </c>
      <c r="H4" t="s">
        <v>216</v>
      </c>
      <c r="J4" t="s">
        <v>552</v>
      </c>
      <c r="K4" t="s">
        <v>553</v>
      </c>
      <c r="L4" t="s">
        <v>554</v>
      </c>
      <c r="M4" t="s">
        <v>555</v>
      </c>
      <c r="N4" t="s">
        <v>556</v>
      </c>
      <c r="O4">
        <v>0</v>
      </c>
      <c r="P4">
        <v>0</v>
      </c>
      <c r="Q4">
        <v>0.99999999839999998</v>
      </c>
      <c r="R4">
        <v>0.49999999830000003</v>
      </c>
      <c r="S4">
        <v>0.59999999940000004</v>
      </c>
      <c r="T4">
        <v>0.59999999940000004</v>
      </c>
      <c r="U4">
        <v>0.59999999940000004</v>
      </c>
      <c r="V4">
        <v>0.39999999899999999</v>
      </c>
      <c r="W4">
        <v>0.59999999940000004</v>
      </c>
      <c r="X4">
        <v>0.39999999899999999</v>
      </c>
      <c r="Y4">
        <v>0.29999999970000002</v>
      </c>
      <c r="Z4">
        <v>0.29999999970000002</v>
      </c>
      <c r="AA4">
        <v>0.19999999860000001</v>
      </c>
      <c r="AB4">
        <v>0.29999999970000002</v>
      </c>
      <c r="AC4">
        <v>0.29999999970000002</v>
      </c>
      <c r="AD4">
        <v>0.39999999899999999</v>
      </c>
      <c r="AE4">
        <v>0.39999999899999999</v>
      </c>
      <c r="AF4">
        <v>0</v>
      </c>
      <c r="AG4">
        <v>0.19999999860000001</v>
      </c>
      <c r="AH4">
        <v>0.19999999860000001</v>
      </c>
      <c r="AI4">
        <v>0.19999999860000001</v>
      </c>
      <c r="AJ4">
        <v>3.6999999993000001</v>
      </c>
      <c r="AK4">
        <v>9.4999999982999999</v>
      </c>
      <c r="AL4">
        <v>15.799999999200001</v>
      </c>
      <c r="AM4">
        <v>21.999999999</v>
      </c>
      <c r="AN4">
        <v>29.0999999997</v>
      </c>
      <c r="AO4">
        <v>36.899999999199999</v>
      </c>
      <c r="AP4">
        <v>44.599999999300003</v>
      </c>
      <c r="AQ4">
        <v>51.999999999700002</v>
      </c>
      <c r="AR4">
        <v>59.5999999987</v>
      </c>
      <c r="AS4">
        <v>66.499999998999996</v>
      </c>
      <c r="AT4">
        <v>73.599999999700003</v>
      </c>
      <c r="AU4">
        <v>81.399999999100004</v>
      </c>
      <c r="AV4">
        <v>89.799999999700006</v>
      </c>
      <c r="AW4">
        <v>98</v>
      </c>
      <c r="AX4">
        <v>106.7999999996</v>
      </c>
      <c r="AY4">
        <v>114.8999999987</v>
      </c>
      <c r="AZ4">
        <v>122.49999999950001</v>
      </c>
      <c r="BA4">
        <v>129.89999999989999</v>
      </c>
      <c r="BB4">
        <v>137.99999999900001</v>
      </c>
      <c r="BC4">
        <v>146.79999999859999</v>
      </c>
      <c r="BD4">
        <v>154.79999999840001</v>
      </c>
      <c r="BE4">
        <v>162.89999999939999</v>
      </c>
      <c r="BF4">
        <v>170.7999999999</v>
      </c>
      <c r="BG4">
        <v>178.5</v>
      </c>
      <c r="BH4">
        <v>186.69999999839999</v>
      </c>
      <c r="BI4">
        <v>195.1999999983</v>
      </c>
      <c r="BJ4">
        <v>203.0999999988</v>
      </c>
      <c r="BK4">
        <v>211.29999999899999</v>
      </c>
      <c r="BL4">
        <v>219.4</v>
      </c>
      <c r="BM4">
        <v>226.7999999985</v>
      </c>
      <c r="BN4">
        <v>234.39999999939999</v>
      </c>
      <c r="BO4">
        <v>242.39999999919999</v>
      </c>
      <c r="BP4">
        <v>250.8999999991</v>
      </c>
      <c r="BQ4">
        <v>258.39999999880001</v>
      </c>
      <c r="BR4">
        <v>266.2</v>
      </c>
      <c r="BS4">
        <v>273.79999999900002</v>
      </c>
      <c r="BT4">
        <v>280.69999999930002</v>
      </c>
      <c r="BU4">
        <v>287.79999999820001</v>
      </c>
      <c r="BV4">
        <v>295.39999999909998</v>
      </c>
      <c r="BW4">
        <v>302.89999999880001</v>
      </c>
      <c r="BX4">
        <v>310.0999999988</v>
      </c>
      <c r="BY4">
        <v>317.19999999949999</v>
      </c>
      <c r="BZ4">
        <v>323.699999999</v>
      </c>
      <c r="CA4">
        <v>330.2999999996</v>
      </c>
      <c r="CB4">
        <v>336.89999999840001</v>
      </c>
      <c r="CC4">
        <v>343.7999999987</v>
      </c>
      <c r="CD4">
        <v>350.7999999983</v>
      </c>
      <c r="CE4">
        <v>357.59999999939998</v>
      </c>
      <c r="CF4">
        <v>363.99999999959999</v>
      </c>
      <c r="CG4">
        <v>369.79999999860001</v>
      </c>
      <c r="CH4">
        <v>376.29999999990002</v>
      </c>
      <c r="CI4">
        <v>382.59999999899998</v>
      </c>
      <c r="CJ4">
        <v>388.4999999991</v>
      </c>
      <c r="CK4">
        <v>394.39999999920002</v>
      </c>
      <c r="CL4">
        <v>400.39999999859998</v>
      </c>
      <c r="CM4">
        <v>406.09999999830001</v>
      </c>
      <c r="CN4">
        <v>411.89999999920002</v>
      </c>
      <c r="CO4">
        <v>417.39999999849999</v>
      </c>
      <c r="CP4">
        <v>423.29999999860001</v>
      </c>
      <c r="CQ4">
        <v>428.3999999989</v>
      </c>
      <c r="CR4">
        <v>433.69999999959998</v>
      </c>
      <c r="CS4">
        <v>438.49999999840003</v>
      </c>
      <c r="CT4">
        <v>443.59999999870001</v>
      </c>
      <c r="CU4">
        <v>448.39999999930001</v>
      </c>
      <c r="CV4">
        <v>451.79999999889998</v>
      </c>
      <c r="CW4">
        <v>453.7</v>
      </c>
      <c r="CX4">
        <v>453.99999999969998</v>
      </c>
      <c r="CY4">
        <v>453.89999999859998</v>
      </c>
      <c r="CZ4">
        <v>453.99999999969998</v>
      </c>
      <c r="DA4">
        <v>453.89999999859998</v>
      </c>
      <c r="DB4">
        <v>453.99999999969998</v>
      </c>
      <c r="DC4">
        <v>453.99999999969998</v>
      </c>
      <c r="DD4">
        <v>453.89999999859998</v>
      </c>
      <c r="DE4">
        <v>453.89999999859998</v>
      </c>
      <c r="DF4">
        <v>453.99999999969998</v>
      </c>
      <c r="DG4">
        <v>1.4999999985000001</v>
      </c>
      <c r="DH4">
        <v>1.3999999992000001</v>
      </c>
      <c r="DI4">
        <v>1.4999999985000001</v>
      </c>
      <c r="DJ4">
        <v>1.5999999996000001</v>
      </c>
      <c r="DK4">
        <v>1.4999999985000001</v>
      </c>
      <c r="DL4">
        <v>1.3999999992000001</v>
      </c>
      <c r="DM4">
        <v>1.4999999985000001</v>
      </c>
      <c r="DN4">
        <v>1.3999999992000001</v>
      </c>
      <c r="DO4">
        <v>1.2999999999</v>
      </c>
      <c r="DP4">
        <v>1.4999999985000001</v>
      </c>
      <c r="DQ4">
        <v>1.2999999999</v>
      </c>
      <c r="DR4">
        <v>1.3999999992000001</v>
      </c>
      <c r="DS4">
        <v>1.0999999995</v>
      </c>
      <c r="DT4">
        <v>1.3999999992000001</v>
      </c>
      <c r="DU4">
        <v>1.1999999988000001</v>
      </c>
      <c r="DV4">
        <v>1.1999999988000001</v>
      </c>
      <c r="DW4">
        <v>1.2999999999</v>
      </c>
      <c r="DX4">
        <v>0.99999999839999998</v>
      </c>
      <c r="DY4">
        <v>1.2999999999</v>
      </c>
      <c r="DZ4">
        <v>6.5999999988000004</v>
      </c>
      <c r="EA4">
        <v>13.3999999998</v>
      </c>
      <c r="EB4">
        <v>19.8999999993</v>
      </c>
      <c r="EC4">
        <v>26.699999998500001</v>
      </c>
      <c r="ED4">
        <v>34.099999998900003</v>
      </c>
      <c r="EE4">
        <v>42.099999998800001</v>
      </c>
      <c r="EF4">
        <v>49.099999998400001</v>
      </c>
      <c r="EG4">
        <v>56.899999999599999</v>
      </c>
      <c r="EH4">
        <v>64.399999999299993</v>
      </c>
      <c r="EI4">
        <v>71.299999999600004</v>
      </c>
      <c r="EJ4">
        <v>78.599999998900003</v>
      </c>
      <c r="EK4">
        <v>86.699999999799999</v>
      </c>
      <c r="EL4">
        <v>95.299999998999994</v>
      </c>
      <c r="EM4">
        <v>103.79999999899999</v>
      </c>
      <c r="EN4">
        <v>111.9999999992</v>
      </c>
      <c r="EO4">
        <v>119.999999999</v>
      </c>
      <c r="EP4">
        <v>127.6999999991</v>
      </c>
      <c r="EQ4">
        <v>135.59999999959999</v>
      </c>
      <c r="ER4">
        <v>144.0999999995</v>
      </c>
      <c r="ES4">
        <v>152.29999999969999</v>
      </c>
      <c r="ET4">
        <v>160.59999999920001</v>
      </c>
      <c r="EU4">
        <v>168.4999999998</v>
      </c>
      <c r="EV4">
        <v>176.2999999992</v>
      </c>
      <c r="EW4">
        <v>184.39999999829999</v>
      </c>
      <c r="EX4">
        <v>192.9</v>
      </c>
      <c r="EY4">
        <v>200.9999999991</v>
      </c>
      <c r="EZ4">
        <v>209.29999999859999</v>
      </c>
      <c r="FA4">
        <v>217.59999999990001</v>
      </c>
      <c r="FB4">
        <v>225.0999999997</v>
      </c>
      <c r="FC4">
        <v>232.69999999870001</v>
      </c>
      <c r="FD4">
        <v>240.7999999996</v>
      </c>
      <c r="FE4">
        <v>249.09999999909999</v>
      </c>
      <c r="FF4">
        <v>256.6999999999</v>
      </c>
      <c r="FG4">
        <v>264.59999999860003</v>
      </c>
      <c r="FH4">
        <v>272.2999999987</v>
      </c>
      <c r="FI4">
        <v>279.59999999979999</v>
      </c>
      <c r="FJ4">
        <v>287.09999999960002</v>
      </c>
      <c r="FK4">
        <v>294.2999999996</v>
      </c>
      <c r="FL4">
        <v>301.99999999969998</v>
      </c>
      <c r="FM4">
        <v>309.29999999900002</v>
      </c>
      <c r="FN4">
        <v>316.49999999900001</v>
      </c>
      <c r="FO4">
        <v>323.3</v>
      </c>
      <c r="FP4">
        <v>329.79999999950002</v>
      </c>
      <c r="FQ4">
        <v>336.49999999940002</v>
      </c>
      <c r="FR4">
        <v>343.49999999900001</v>
      </c>
      <c r="FS4">
        <v>350.69999999909999</v>
      </c>
      <c r="FT4">
        <v>357.0999999993</v>
      </c>
      <c r="FU4">
        <v>363.39999999840001</v>
      </c>
      <c r="FV4">
        <v>369.99999999900001</v>
      </c>
      <c r="FW4">
        <v>376.19999999880002</v>
      </c>
      <c r="FX4">
        <v>382.09999999889999</v>
      </c>
      <c r="FY4">
        <v>387.69999999930002</v>
      </c>
      <c r="FZ4">
        <v>393.89999999909998</v>
      </c>
      <c r="GA4">
        <v>400.2</v>
      </c>
      <c r="GB4">
        <v>405.89999999970001</v>
      </c>
      <c r="GC4">
        <v>411.49999999829998</v>
      </c>
      <c r="GD4">
        <v>417.1999999999</v>
      </c>
      <c r="GE4">
        <v>422.59999999989998</v>
      </c>
      <c r="GF4">
        <v>427.79999999950002</v>
      </c>
      <c r="GG4">
        <v>432.69999999940001</v>
      </c>
      <c r="GH4">
        <v>437.89999999899999</v>
      </c>
      <c r="GI4">
        <v>442.99999999929997</v>
      </c>
      <c r="GJ4">
        <v>446.99999999829998</v>
      </c>
      <c r="GK4">
        <v>450.1</v>
      </c>
      <c r="GL4">
        <v>453.59999999889999</v>
      </c>
      <c r="GM4">
        <v>453.7</v>
      </c>
      <c r="GN4">
        <v>453.99999999969998</v>
      </c>
      <c r="GO4">
        <v>453.79999999929998</v>
      </c>
      <c r="GP4">
        <v>453.59999999889999</v>
      </c>
      <c r="GQ4">
        <v>453.7</v>
      </c>
      <c r="GR4">
        <v>453.59999999889999</v>
      </c>
      <c r="GS4">
        <v>453.79999999929998</v>
      </c>
      <c r="GT4">
        <v>454.09999999899998</v>
      </c>
      <c r="GU4">
        <v>453.99999999969998</v>
      </c>
      <c r="GV4">
        <v>453.79999999929998</v>
      </c>
      <c r="GW4">
        <v>1</v>
      </c>
      <c r="GX4">
        <v>99.700000000700001</v>
      </c>
      <c r="GY4">
        <v>98</v>
      </c>
      <c r="GZ4">
        <v>98</v>
      </c>
      <c r="HA4">
        <v>103.79999999899999</v>
      </c>
      <c r="HB4">
        <v>99.289030836699993</v>
      </c>
      <c r="HC4">
        <v>-5.7999999989999997</v>
      </c>
      <c r="HD4">
        <v>453.80004405220001</v>
      </c>
      <c r="HE4">
        <v>311.67334801620001</v>
      </c>
      <c r="HF4">
        <v>83.327830397</v>
      </c>
      <c r="HG4">
        <v>454.09999999899998</v>
      </c>
      <c r="HH4">
        <v>454.09999999899998</v>
      </c>
      <c r="HI4">
        <v>453.99999999969998</v>
      </c>
      <c r="HJ4">
        <v>454.09999999899998</v>
      </c>
      <c r="HK4">
        <v>119.6480938416</v>
      </c>
      <c r="HL4">
        <v>3.2713393149000001</v>
      </c>
      <c r="HM4">
        <v>3.2157394841000002</v>
      </c>
      <c r="HN4">
        <v>3.2517115304000002</v>
      </c>
      <c r="HO4">
        <v>3.1135442079</v>
      </c>
      <c r="HP4">
        <v>3.4231049777</v>
      </c>
      <c r="HQ4">
        <v>2.2529227856</v>
      </c>
      <c r="HR4">
        <v>15.961200439700001</v>
      </c>
      <c r="HS4">
        <v>-25.806451612899998</v>
      </c>
      <c r="HT4">
        <v>-176</v>
      </c>
      <c r="HU4">
        <v>410.96237885289997</v>
      </c>
      <c r="HV4">
        <v>98.533724340199996</v>
      </c>
      <c r="HW4">
        <v>672</v>
      </c>
      <c r="HX4">
        <v>15.961200439700001</v>
      </c>
      <c r="HY4">
        <v>-25.806451612899998</v>
      </c>
      <c r="HZ4">
        <v>-176</v>
      </c>
      <c r="IA4">
        <v>410.96237885289997</v>
      </c>
      <c r="IB4">
        <v>98.533724340199996</v>
      </c>
      <c r="IC4">
        <v>672</v>
      </c>
      <c r="ID4">
        <v>43.137621146100003</v>
      </c>
      <c r="IE4">
        <v>0.20105726730000001</v>
      </c>
      <c r="IF4">
        <v>-35.190615835800003</v>
      </c>
      <c r="IG4">
        <v>-240</v>
      </c>
      <c r="IH4">
        <v>432.47789647510001</v>
      </c>
      <c r="II4">
        <v>107.91788856300001</v>
      </c>
      <c r="IJ4">
        <v>736</v>
      </c>
      <c r="IK4">
        <v>395.00117841320002</v>
      </c>
      <c r="IL4">
        <v>124.3401759531</v>
      </c>
      <c r="IM4">
        <v>418.47767621190002</v>
      </c>
      <c r="IN4">
        <v>133.724340176</v>
      </c>
      <c r="IO4">
        <v>6.8000000009999999</v>
      </c>
      <c r="IP4">
        <v>5.9000000001000004</v>
      </c>
      <c r="IQ4">
        <v>8.7999999996000007</v>
      </c>
      <c r="IR4">
        <v>5.7382216234000003</v>
      </c>
      <c r="IS4">
        <v>5.7382216234000003</v>
      </c>
      <c r="IT4">
        <v>3.9000000015</v>
      </c>
      <c r="IU4">
        <v>-28.152492668600001</v>
      </c>
      <c r="IV4">
        <v>6.9000000003000004</v>
      </c>
      <c r="IW4">
        <v>75.073313783000003</v>
      </c>
      <c r="IX4">
        <v>5.2000000014000003</v>
      </c>
      <c r="IY4">
        <v>103.22580645159999</v>
      </c>
      <c r="IZ4">
        <v>-30.945793621300002</v>
      </c>
      <c r="JA4">
        <v>0.33819166810000001</v>
      </c>
      <c r="JB4">
        <v>-3.307165E-4</v>
      </c>
      <c r="JC4">
        <v>6.6670000000000001E-7</v>
      </c>
      <c r="JD4">
        <v>0.3056851961</v>
      </c>
      <c r="JE4">
        <v>0.29084858889999998</v>
      </c>
      <c r="JF4">
        <v>0.110387437</v>
      </c>
      <c r="JG4">
        <v>99.674113190300005</v>
      </c>
      <c r="JH4">
        <v>3.4231049777</v>
      </c>
      <c r="JI4">
        <v>3.5205153999999998E-3</v>
      </c>
      <c r="JJ4">
        <v>-6.3995E-5</v>
      </c>
      <c r="JK4">
        <v>3.2713393149000001</v>
      </c>
      <c r="JL4">
        <v>1.3404732387</v>
      </c>
      <c r="JM4">
        <v>0.51103950310000001</v>
      </c>
      <c r="JN4" t="s">
        <v>545</v>
      </c>
      <c r="JQ4">
        <v>1</v>
      </c>
    </row>
    <row r="5" spans="1:277">
      <c r="A5" t="s">
        <v>590</v>
      </c>
      <c r="B5" t="s">
        <v>591</v>
      </c>
      <c r="C5" t="s">
        <v>212</v>
      </c>
      <c r="D5">
        <v>3</v>
      </c>
      <c r="E5" t="s">
        <v>213</v>
      </c>
      <c r="F5" t="s">
        <v>214</v>
      </c>
      <c r="G5" t="s">
        <v>544</v>
      </c>
      <c r="H5" t="s">
        <v>216</v>
      </c>
      <c r="J5" t="s">
        <v>559</v>
      </c>
      <c r="K5" t="s">
        <v>560</v>
      </c>
      <c r="L5" t="s">
        <v>561</v>
      </c>
      <c r="M5" t="s">
        <v>562</v>
      </c>
      <c r="N5" t="s">
        <v>563</v>
      </c>
      <c r="O5">
        <v>0</v>
      </c>
      <c r="P5">
        <v>0</v>
      </c>
      <c r="Q5">
        <v>9.9999999300000003E-2</v>
      </c>
      <c r="R5">
        <v>0</v>
      </c>
      <c r="S5">
        <v>0.20000000039999999</v>
      </c>
      <c r="T5">
        <v>0</v>
      </c>
      <c r="U5">
        <v>0</v>
      </c>
      <c r="V5">
        <v>0.20000000039999999</v>
      </c>
      <c r="W5">
        <v>0.39999999899999999</v>
      </c>
      <c r="X5">
        <v>0.20000000039999999</v>
      </c>
      <c r="Y5">
        <v>0.50000000010000001</v>
      </c>
      <c r="Z5">
        <v>0.50000000010000001</v>
      </c>
      <c r="AA5">
        <v>0.20000000039999999</v>
      </c>
      <c r="AB5">
        <v>0.50000000010000001</v>
      </c>
      <c r="AC5">
        <v>0.7000000005</v>
      </c>
      <c r="AD5">
        <v>0.79999999980000003</v>
      </c>
      <c r="AE5">
        <v>0.79999999980000003</v>
      </c>
      <c r="AF5">
        <v>0.7000000005</v>
      </c>
      <c r="AG5">
        <v>0.7000000005</v>
      </c>
      <c r="AH5">
        <v>2.3000000000999998</v>
      </c>
      <c r="AI5">
        <v>7.4999999997</v>
      </c>
      <c r="AJ5">
        <v>14.9999999994</v>
      </c>
      <c r="AK5">
        <v>21.699999999300001</v>
      </c>
      <c r="AL5">
        <v>28.200000000700001</v>
      </c>
      <c r="AM5">
        <v>34.700000000199999</v>
      </c>
      <c r="AN5">
        <v>41.900000000200002</v>
      </c>
      <c r="AO5">
        <v>48.199999999299997</v>
      </c>
      <c r="AP5">
        <v>55.899999999400002</v>
      </c>
      <c r="AQ5">
        <v>64.500000000399993</v>
      </c>
      <c r="AR5">
        <v>72.200000000499998</v>
      </c>
      <c r="AS5">
        <v>79.499999999799996</v>
      </c>
      <c r="AT5">
        <v>86.799999999099995</v>
      </c>
      <c r="AU5">
        <v>94.699999999599996</v>
      </c>
      <c r="AV5">
        <v>102.1000000001</v>
      </c>
      <c r="AW5">
        <v>110.3000000003</v>
      </c>
      <c r="AX5">
        <v>119.1999999992</v>
      </c>
      <c r="AY5">
        <v>127.50000000049999</v>
      </c>
      <c r="AZ5">
        <v>135.39999999919999</v>
      </c>
      <c r="BA5">
        <v>143.39999999899999</v>
      </c>
      <c r="BB5">
        <v>150.7999999994</v>
      </c>
      <c r="BC5">
        <v>158.99999999970001</v>
      </c>
      <c r="BD5">
        <v>168.4000000005</v>
      </c>
      <c r="BE5">
        <v>176.2999999992</v>
      </c>
      <c r="BF5">
        <v>184.29999999899999</v>
      </c>
      <c r="BG5">
        <v>192.1000000002</v>
      </c>
      <c r="BH5">
        <v>200.30000000039999</v>
      </c>
      <c r="BI5">
        <v>208.09999999979999</v>
      </c>
      <c r="BJ5">
        <v>217.19999999909999</v>
      </c>
      <c r="BK5">
        <v>225.50000000049999</v>
      </c>
      <c r="BL5">
        <v>233.2000000006</v>
      </c>
      <c r="BM5">
        <v>240.70000000030001</v>
      </c>
      <c r="BN5">
        <v>248.40000000040001</v>
      </c>
      <c r="BO5">
        <v>255.79999999899999</v>
      </c>
      <c r="BP5">
        <v>264.10000000029999</v>
      </c>
      <c r="BQ5">
        <v>272.30000000050001</v>
      </c>
      <c r="BR5">
        <v>280.19999999919997</v>
      </c>
      <c r="BS5">
        <v>287.5999999997</v>
      </c>
      <c r="BT5">
        <v>295.00000000009999</v>
      </c>
      <c r="BU5">
        <v>301.7</v>
      </c>
      <c r="BV5">
        <v>308.39999999989999</v>
      </c>
      <c r="BW5">
        <v>316.8999999998</v>
      </c>
      <c r="BX5">
        <v>324.19999999909999</v>
      </c>
      <c r="BY5">
        <v>331.39999999909998</v>
      </c>
      <c r="BZ5">
        <v>337.90000000039998</v>
      </c>
      <c r="CA5">
        <v>344.79999999889998</v>
      </c>
      <c r="CB5">
        <v>351.30000000029997</v>
      </c>
      <c r="CC5">
        <v>357.89999999909998</v>
      </c>
      <c r="CD5">
        <v>364.29999999929998</v>
      </c>
      <c r="CE5">
        <v>371.19999999959998</v>
      </c>
      <c r="CF5">
        <v>377.50000000049999</v>
      </c>
      <c r="CG5">
        <v>384</v>
      </c>
      <c r="CH5">
        <v>389.90000000010002</v>
      </c>
      <c r="CI5">
        <v>396.09999999989998</v>
      </c>
      <c r="CJ5">
        <v>401.8999999989</v>
      </c>
      <c r="CK5">
        <v>407.79999999900002</v>
      </c>
      <c r="CL5">
        <v>413.00000000049999</v>
      </c>
      <c r="CM5">
        <v>419.2999999996</v>
      </c>
      <c r="CN5">
        <v>425.49999999940002</v>
      </c>
      <c r="CO5">
        <v>430.89999999939999</v>
      </c>
      <c r="CP5">
        <v>436.49999999980002</v>
      </c>
      <c r="CQ5">
        <v>441.8999999998</v>
      </c>
      <c r="CR5">
        <v>447.09999999939998</v>
      </c>
      <c r="CS5">
        <v>451.60000000029999</v>
      </c>
      <c r="CT5">
        <v>456.59999999950003</v>
      </c>
      <c r="CU5">
        <v>461.49999999940002</v>
      </c>
      <c r="CV5">
        <v>461.40000000010002</v>
      </c>
      <c r="CW5">
        <v>461.69999999980001</v>
      </c>
      <c r="CX5">
        <v>461.60000000050002</v>
      </c>
      <c r="CY5">
        <v>461.69999999980001</v>
      </c>
      <c r="CZ5">
        <v>461.69999999980001</v>
      </c>
      <c r="DA5">
        <v>461.29999999900002</v>
      </c>
      <c r="DB5">
        <v>461.40000000010002</v>
      </c>
      <c r="DC5">
        <v>461.49999999940002</v>
      </c>
      <c r="DD5">
        <v>461.69999999980001</v>
      </c>
      <c r="DE5">
        <v>461.69999999980001</v>
      </c>
      <c r="DF5">
        <v>461.60000000050002</v>
      </c>
      <c r="DG5">
        <v>0.50000000010000001</v>
      </c>
      <c r="DH5">
        <v>1.3999999992000001</v>
      </c>
      <c r="DI5">
        <v>1.3999999992000001</v>
      </c>
      <c r="DJ5">
        <v>1.6999999989000001</v>
      </c>
      <c r="DK5">
        <v>1.2000000006</v>
      </c>
      <c r="DL5">
        <v>1.2999999999</v>
      </c>
      <c r="DM5">
        <v>1.2000000006</v>
      </c>
      <c r="DN5">
        <v>1.3999999992000001</v>
      </c>
      <c r="DO5">
        <v>1.3999999992000001</v>
      </c>
      <c r="DP5">
        <v>1.2999999999</v>
      </c>
      <c r="DQ5">
        <v>1.5000000003</v>
      </c>
      <c r="DR5">
        <v>1.5000000003</v>
      </c>
      <c r="DS5">
        <v>1.5999999996000001</v>
      </c>
      <c r="DT5">
        <v>1.5999999996000001</v>
      </c>
      <c r="DU5">
        <v>1.5999999996000001</v>
      </c>
      <c r="DV5">
        <v>1.3999999992000001</v>
      </c>
      <c r="DW5">
        <v>1.8</v>
      </c>
      <c r="DX5">
        <v>6.4999999995</v>
      </c>
      <c r="DY5">
        <v>13.3999999998</v>
      </c>
      <c r="DZ5">
        <v>20.500000000499998</v>
      </c>
      <c r="EA5">
        <v>27</v>
      </c>
      <c r="EB5">
        <v>33.499999999499998</v>
      </c>
      <c r="EC5">
        <v>40.4999999992</v>
      </c>
      <c r="ED5">
        <v>47.000000000500002</v>
      </c>
      <c r="EE5">
        <v>54.5999999995</v>
      </c>
      <c r="EF5">
        <v>63.000000000100002</v>
      </c>
      <c r="EG5">
        <v>70.499999999799996</v>
      </c>
      <c r="EH5">
        <v>77.999999999500005</v>
      </c>
      <c r="EI5">
        <v>85.100000000199998</v>
      </c>
      <c r="EJ5">
        <v>92.800000000400004</v>
      </c>
      <c r="EK5">
        <v>100.3000000001</v>
      </c>
      <c r="EL5">
        <v>109.0999999997</v>
      </c>
      <c r="EM5">
        <v>117.50000000030001</v>
      </c>
      <c r="EN5">
        <v>125.8999999991</v>
      </c>
      <c r="EO5">
        <v>133.49999999990001</v>
      </c>
      <c r="EP5">
        <v>141.49999999970001</v>
      </c>
      <c r="EQ5">
        <v>149.10000000049999</v>
      </c>
      <c r="ER5">
        <v>157.90000000020001</v>
      </c>
      <c r="ES5">
        <v>166.99999999950001</v>
      </c>
      <c r="ET5">
        <v>175.1000000004</v>
      </c>
      <c r="EU5">
        <v>182.80000000050001</v>
      </c>
      <c r="EV5">
        <v>190.50000000060001</v>
      </c>
      <c r="EW5">
        <v>198.699999999</v>
      </c>
      <c r="EX5">
        <v>207.00000000029999</v>
      </c>
      <c r="EY5">
        <v>216.19999999890001</v>
      </c>
      <c r="EZ5">
        <v>224.70000000069999</v>
      </c>
      <c r="FA5">
        <v>232.70000000050001</v>
      </c>
      <c r="FB5">
        <v>240.49999999990001</v>
      </c>
      <c r="FC5">
        <v>247.99999999959999</v>
      </c>
      <c r="FD5">
        <v>255.4999999993</v>
      </c>
      <c r="FE5">
        <v>264.49999999929997</v>
      </c>
      <c r="FF5">
        <v>272.4999999991</v>
      </c>
      <c r="FG5">
        <v>280.80000000050001</v>
      </c>
      <c r="FH5">
        <v>288.19999999909999</v>
      </c>
      <c r="FI5">
        <v>295.79999999990002</v>
      </c>
      <c r="FJ5">
        <v>303.09999999920001</v>
      </c>
      <c r="FK5">
        <v>309.90000000020001</v>
      </c>
      <c r="FL5">
        <v>317.99999999929997</v>
      </c>
      <c r="FM5">
        <v>325.39999999970001</v>
      </c>
      <c r="FN5">
        <v>332.699999999</v>
      </c>
      <c r="FO5">
        <v>339.5</v>
      </c>
      <c r="FP5">
        <v>346.49999999969998</v>
      </c>
      <c r="FQ5">
        <v>353.4</v>
      </c>
      <c r="FR5">
        <v>359.3000000001</v>
      </c>
      <c r="FS5">
        <v>366.59999999939998</v>
      </c>
      <c r="FT5">
        <v>373.29999999929998</v>
      </c>
      <c r="FU5">
        <v>379.99999999919999</v>
      </c>
      <c r="FV5">
        <v>386.39999999939999</v>
      </c>
      <c r="FW5">
        <v>392.29999999950002</v>
      </c>
      <c r="FX5">
        <v>398.49999999929997</v>
      </c>
      <c r="FY5">
        <v>404.0999999997</v>
      </c>
      <c r="FZ5">
        <v>410.20000000030001</v>
      </c>
      <c r="GA5">
        <v>415.99999999929997</v>
      </c>
      <c r="GB5">
        <v>421.8000000001</v>
      </c>
      <c r="GC5">
        <v>427.40000000049997</v>
      </c>
      <c r="GD5">
        <v>433.30000000059999</v>
      </c>
      <c r="GE5">
        <v>438.00000000009999</v>
      </c>
      <c r="GF5">
        <v>443.19999999970003</v>
      </c>
      <c r="GG5">
        <v>448.00000000030002</v>
      </c>
      <c r="GH5">
        <v>452.69999999980001</v>
      </c>
      <c r="GI5">
        <v>457.3</v>
      </c>
      <c r="GJ5">
        <v>461.19999999970003</v>
      </c>
      <c r="GK5">
        <v>461.60000000050002</v>
      </c>
      <c r="GL5">
        <v>461.29999999900002</v>
      </c>
      <c r="GM5">
        <v>461.40000000010002</v>
      </c>
      <c r="GN5">
        <v>461.19999999970003</v>
      </c>
      <c r="GO5">
        <v>461.10000000039997</v>
      </c>
      <c r="GP5">
        <v>461.19999999970003</v>
      </c>
      <c r="GQ5">
        <v>461.49999999940002</v>
      </c>
      <c r="GR5">
        <v>461.60000000050002</v>
      </c>
      <c r="GS5">
        <v>461.49999999940002</v>
      </c>
      <c r="GT5">
        <v>461.29999999900002</v>
      </c>
      <c r="GU5">
        <v>461.29999999900002</v>
      </c>
      <c r="GV5">
        <v>461.29999999900002</v>
      </c>
      <c r="GW5">
        <v>1</v>
      </c>
      <c r="GX5">
        <v>113.99999999960001</v>
      </c>
      <c r="GY5">
        <v>110.3000000003</v>
      </c>
      <c r="GZ5">
        <v>110.3000000003</v>
      </c>
      <c r="HA5">
        <v>117.50000000030001</v>
      </c>
      <c r="HB5">
        <v>112.0767955804</v>
      </c>
      <c r="HC5">
        <v>-7.2</v>
      </c>
      <c r="HD5">
        <v>461.3000649974</v>
      </c>
      <c r="HE5">
        <v>303.04111147110001</v>
      </c>
      <c r="HF5">
        <v>96.865280035500007</v>
      </c>
      <c r="HG5">
        <v>461.69999999980001</v>
      </c>
      <c r="HH5">
        <v>461.60000000050002</v>
      </c>
      <c r="HI5">
        <v>461.69999999980001</v>
      </c>
      <c r="HJ5">
        <v>461.60000000050002</v>
      </c>
      <c r="HK5">
        <v>114.9560117302</v>
      </c>
      <c r="HL5">
        <v>3.3289071494</v>
      </c>
      <c r="HM5">
        <v>3.2290399112000001</v>
      </c>
      <c r="HN5">
        <v>3.2913942459999999</v>
      </c>
      <c r="HO5">
        <v>2.9447052656000001</v>
      </c>
      <c r="HP5">
        <v>3.4447251769</v>
      </c>
      <c r="HQ5">
        <v>2.3089171506000001</v>
      </c>
      <c r="HR5">
        <v>15.211515544899999</v>
      </c>
      <c r="HS5">
        <v>-30.4985337243</v>
      </c>
      <c r="HT5">
        <v>-208</v>
      </c>
      <c r="HU5">
        <v>415.11790705150003</v>
      </c>
      <c r="HV5">
        <v>93.841642228699996</v>
      </c>
      <c r="HW5">
        <v>640</v>
      </c>
      <c r="HX5">
        <v>15.211515544899999</v>
      </c>
      <c r="HY5">
        <v>-30.4985337243</v>
      </c>
      <c r="HZ5">
        <v>-208</v>
      </c>
      <c r="IA5">
        <v>415.11790705150003</v>
      </c>
      <c r="IB5">
        <v>93.841642228699996</v>
      </c>
      <c r="IC5">
        <v>640</v>
      </c>
      <c r="ID5">
        <v>46.482092948999998</v>
      </c>
      <c r="IE5">
        <v>0.70159246070000003</v>
      </c>
      <c r="IF5">
        <v>-39.8826979472</v>
      </c>
      <c r="IG5">
        <v>-272</v>
      </c>
      <c r="IH5">
        <v>437.58312208870001</v>
      </c>
      <c r="II5">
        <v>103.22580645159999</v>
      </c>
      <c r="IJ5">
        <v>704</v>
      </c>
      <c r="IK5">
        <v>399.90639150660002</v>
      </c>
      <c r="IL5">
        <v>124.3401759531</v>
      </c>
      <c r="IM5">
        <v>424.38956776110001</v>
      </c>
      <c r="IN5">
        <v>133.724340176</v>
      </c>
      <c r="IO5">
        <v>7.4999999997</v>
      </c>
      <c r="IP5">
        <v>5.9000000001000004</v>
      </c>
      <c r="IQ5">
        <v>9.4000000008000004</v>
      </c>
      <c r="IR5">
        <v>4.6544539776000002</v>
      </c>
      <c r="IS5">
        <v>4.6544539776000002</v>
      </c>
      <c r="IT5">
        <v>5.9000000001000004</v>
      </c>
      <c r="IU5">
        <v>-32.844574780099997</v>
      </c>
      <c r="IV5">
        <v>9.5999999993999996</v>
      </c>
      <c r="IW5">
        <v>58.651026393000002</v>
      </c>
      <c r="IX5">
        <v>7.1000000006999997</v>
      </c>
      <c r="IY5">
        <v>103.22580645159999</v>
      </c>
      <c r="IZ5">
        <v>-35.48274335</v>
      </c>
      <c r="JA5">
        <v>0.35109332900000001</v>
      </c>
      <c r="JB5">
        <v>-3.9052990000000001E-4</v>
      </c>
      <c r="JC5">
        <v>7.0989999999999997E-7</v>
      </c>
      <c r="JD5">
        <v>0.30039888619999999</v>
      </c>
      <c r="JE5">
        <v>0.39272920960000002</v>
      </c>
      <c r="JF5">
        <v>0.1330929958</v>
      </c>
      <c r="JG5">
        <v>112.6056760508</v>
      </c>
      <c r="JH5">
        <v>3.4447251769</v>
      </c>
      <c r="JI5">
        <v>4.7023626000000001E-3</v>
      </c>
      <c r="JJ5">
        <v>-7.6398799999999998E-5</v>
      </c>
      <c r="JK5">
        <v>3.3289071494</v>
      </c>
      <c r="JL5">
        <v>1.2027056036999999</v>
      </c>
      <c r="JM5">
        <v>0.53602797489999998</v>
      </c>
      <c r="JN5" t="s">
        <v>545</v>
      </c>
      <c r="JQ5">
        <v>1</v>
      </c>
    </row>
    <row r="6" spans="1:277">
      <c r="A6" t="s">
        <v>592</v>
      </c>
      <c r="B6" t="s">
        <v>593</v>
      </c>
      <c r="C6" t="s">
        <v>212</v>
      </c>
      <c r="D6">
        <v>3</v>
      </c>
      <c r="E6" t="s">
        <v>213</v>
      </c>
      <c r="F6" t="s">
        <v>214</v>
      </c>
      <c r="G6" t="s">
        <v>544</v>
      </c>
      <c r="H6" t="s">
        <v>216</v>
      </c>
      <c r="J6" t="s">
        <v>566</v>
      </c>
      <c r="K6" t="s">
        <v>567</v>
      </c>
      <c r="L6" t="s">
        <v>568</v>
      </c>
      <c r="M6" t="s">
        <v>569</v>
      </c>
      <c r="N6" t="s">
        <v>570</v>
      </c>
      <c r="O6">
        <v>0</v>
      </c>
      <c r="P6">
        <v>0</v>
      </c>
      <c r="Q6">
        <v>0.40000000079999998</v>
      </c>
      <c r="R6">
        <v>0.29999999970000002</v>
      </c>
      <c r="S6">
        <v>0.40000000079999998</v>
      </c>
      <c r="T6">
        <v>0.40000000079999998</v>
      </c>
      <c r="U6">
        <v>0.29999999970000002</v>
      </c>
      <c r="V6">
        <v>0.40000000079999998</v>
      </c>
      <c r="W6">
        <v>0.29999999970000002</v>
      </c>
      <c r="X6">
        <v>0</v>
      </c>
      <c r="Y6">
        <v>0</v>
      </c>
      <c r="Z6">
        <v>9.9999999300000003E-2</v>
      </c>
      <c r="AA6">
        <v>0.29999999970000002</v>
      </c>
      <c r="AB6">
        <v>0.40000000079999998</v>
      </c>
      <c r="AC6">
        <v>0.29999999970000002</v>
      </c>
      <c r="AD6">
        <v>0.40000000079999998</v>
      </c>
      <c r="AE6">
        <v>0.40000000079999998</v>
      </c>
      <c r="AF6">
        <v>0.50000000010000001</v>
      </c>
      <c r="AG6">
        <v>1.0000000002</v>
      </c>
      <c r="AH6">
        <v>4.4999999990999999</v>
      </c>
      <c r="AI6">
        <v>8.4000000006000004</v>
      </c>
      <c r="AJ6">
        <v>13.699999999499999</v>
      </c>
      <c r="AK6">
        <v>20.300000000099999</v>
      </c>
      <c r="AL6">
        <v>27.0999999993</v>
      </c>
      <c r="AM6">
        <v>34.200000000099998</v>
      </c>
      <c r="AN6">
        <v>41.4000000001</v>
      </c>
      <c r="AO6">
        <v>48.999999999099998</v>
      </c>
      <c r="AP6">
        <v>56.000000000500002</v>
      </c>
      <c r="AQ6">
        <v>63.399999999099997</v>
      </c>
      <c r="AR6">
        <v>70.900000000600002</v>
      </c>
      <c r="AS6">
        <v>78.7</v>
      </c>
      <c r="AT6">
        <v>86.699999999799999</v>
      </c>
      <c r="AU6">
        <v>94.699999999599996</v>
      </c>
      <c r="AV6">
        <v>102.8999999999</v>
      </c>
      <c r="AW6">
        <v>110.8999999997</v>
      </c>
      <c r="AX6">
        <v>118.8000000002</v>
      </c>
      <c r="AY6">
        <v>127.00000000039999</v>
      </c>
      <c r="AZ6">
        <v>135.2000000006</v>
      </c>
      <c r="BA6">
        <v>143.79999999980001</v>
      </c>
      <c r="BB6">
        <v>152.0999999993</v>
      </c>
      <c r="BC6">
        <v>160.4000000007</v>
      </c>
      <c r="BD6">
        <v>168.70000000019999</v>
      </c>
      <c r="BE6">
        <v>176.2999999992</v>
      </c>
      <c r="BF6">
        <v>184.1999999997</v>
      </c>
      <c r="BG6">
        <v>193.1000000004</v>
      </c>
      <c r="BH6">
        <v>201.39999999989999</v>
      </c>
      <c r="BI6">
        <v>209.39999999969999</v>
      </c>
      <c r="BJ6">
        <v>217.8999999996</v>
      </c>
      <c r="BK6">
        <v>225.50000000049999</v>
      </c>
      <c r="BL6">
        <v>233.50000000029999</v>
      </c>
      <c r="BM6">
        <v>241.29999999969999</v>
      </c>
      <c r="BN6">
        <v>249.49999999990001</v>
      </c>
      <c r="BO6">
        <v>257.60000000079998</v>
      </c>
      <c r="BP6">
        <v>265.40000000020001</v>
      </c>
      <c r="BQ6">
        <v>273.10000000029999</v>
      </c>
      <c r="BR6">
        <v>280.50000000080001</v>
      </c>
      <c r="BS6">
        <v>288.00000000049999</v>
      </c>
      <c r="BT6">
        <v>295.70000000060003</v>
      </c>
      <c r="BU6">
        <v>302.79999999950002</v>
      </c>
      <c r="BV6">
        <v>310.49999999959999</v>
      </c>
      <c r="BW6">
        <v>317.89999999999998</v>
      </c>
      <c r="BX6">
        <v>324.89999999960003</v>
      </c>
      <c r="BY6">
        <v>331.70000000060003</v>
      </c>
      <c r="BZ6">
        <v>338.49999999980002</v>
      </c>
      <c r="CA6">
        <v>345.19999999970003</v>
      </c>
      <c r="CB6">
        <v>352.30000000050001</v>
      </c>
      <c r="CC6">
        <v>358.89999999930001</v>
      </c>
      <c r="CD6">
        <v>365.59999999920001</v>
      </c>
      <c r="CE6">
        <v>372.29999999910001</v>
      </c>
      <c r="CF6">
        <v>378.39999999960003</v>
      </c>
      <c r="CG6">
        <v>384.79999999979998</v>
      </c>
      <c r="CH6">
        <v>390.9000000003</v>
      </c>
      <c r="CI6">
        <v>397.10000000010001</v>
      </c>
      <c r="CJ6">
        <v>403.00000000019998</v>
      </c>
      <c r="CK6">
        <v>408.99999999969998</v>
      </c>
      <c r="CL6">
        <v>414.8999999998</v>
      </c>
      <c r="CM6">
        <v>420.89999999920002</v>
      </c>
      <c r="CN6">
        <v>426.4000000003</v>
      </c>
      <c r="CO6">
        <v>431.80000000029997</v>
      </c>
      <c r="CP6">
        <v>437.20000000030001</v>
      </c>
      <c r="CQ6">
        <v>442.60000000029999</v>
      </c>
      <c r="CR6">
        <v>448.20000000070002</v>
      </c>
      <c r="CS6">
        <v>453.4000000003</v>
      </c>
      <c r="CT6">
        <v>457.20000000070002</v>
      </c>
      <c r="CU6">
        <v>457.20000000070002</v>
      </c>
      <c r="CV6">
        <v>457.3</v>
      </c>
      <c r="CW6">
        <v>457.39999999930001</v>
      </c>
      <c r="CX6">
        <v>457.39999999930001</v>
      </c>
      <c r="CY6">
        <v>457.50000000040001</v>
      </c>
      <c r="CZ6">
        <v>457.39999999930001</v>
      </c>
      <c r="DA6">
        <v>457.50000000040001</v>
      </c>
      <c r="DB6">
        <v>457.50000000040001</v>
      </c>
      <c r="DC6">
        <v>457.39999999930001</v>
      </c>
      <c r="DD6">
        <v>457.50000000040001</v>
      </c>
      <c r="DE6">
        <v>457.50000000040001</v>
      </c>
      <c r="DF6">
        <v>457.39999999930001</v>
      </c>
      <c r="DG6">
        <v>1.3999999992000001</v>
      </c>
      <c r="DH6">
        <v>1.3999999992000001</v>
      </c>
      <c r="DI6">
        <v>1.2999999999</v>
      </c>
      <c r="DJ6">
        <v>1.3999999992000001</v>
      </c>
      <c r="DK6">
        <v>1.2999999999</v>
      </c>
      <c r="DL6">
        <v>1.3999999992000001</v>
      </c>
      <c r="DM6">
        <v>1.2999999999</v>
      </c>
      <c r="DN6">
        <v>1.2000000006</v>
      </c>
      <c r="DO6">
        <v>1.3999999992000001</v>
      </c>
      <c r="DP6">
        <v>1.3999999992000001</v>
      </c>
      <c r="DQ6">
        <v>1.3999999992000001</v>
      </c>
      <c r="DR6">
        <v>1.2999999999</v>
      </c>
      <c r="DS6">
        <v>1.2999999999</v>
      </c>
      <c r="DT6">
        <v>1.3999999992000001</v>
      </c>
      <c r="DU6">
        <v>1.2999999999</v>
      </c>
      <c r="DV6">
        <v>1.3999999992000001</v>
      </c>
      <c r="DW6">
        <v>3.3000000002999998</v>
      </c>
      <c r="DX6">
        <v>7.4000000004000004</v>
      </c>
      <c r="DY6">
        <v>11.5000000005</v>
      </c>
      <c r="DZ6">
        <v>17.9000000007</v>
      </c>
      <c r="EA6">
        <v>25.1000000007</v>
      </c>
      <c r="EB6">
        <v>31.699999999500001</v>
      </c>
      <c r="EC6">
        <v>39.3999999997</v>
      </c>
      <c r="ED6">
        <v>46.800000000099999</v>
      </c>
      <c r="EE6">
        <v>54.399999999099997</v>
      </c>
      <c r="EF6">
        <v>61.499999999800004</v>
      </c>
      <c r="EG6">
        <v>68.900000000199995</v>
      </c>
      <c r="EH6">
        <v>76.6000000003</v>
      </c>
      <c r="EI6">
        <v>84.699999999400006</v>
      </c>
      <c r="EJ6">
        <v>92.099999999800005</v>
      </c>
      <c r="EK6">
        <v>100.39999999939999</v>
      </c>
      <c r="EL6">
        <v>108.2999999999</v>
      </c>
      <c r="EM6">
        <v>116.7000000005</v>
      </c>
      <c r="EN6">
        <v>124.70000000029999</v>
      </c>
      <c r="EO6">
        <v>133.09999999909999</v>
      </c>
      <c r="EP6">
        <v>141.40000000040001</v>
      </c>
      <c r="EQ6">
        <v>149.6999999999</v>
      </c>
      <c r="ER6">
        <v>157.99999999939999</v>
      </c>
      <c r="ES6">
        <v>166.40000000009999</v>
      </c>
      <c r="ET6">
        <v>174.39999999989999</v>
      </c>
      <c r="EU6">
        <v>182.8999999998</v>
      </c>
      <c r="EV6">
        <v>191.1</v>
      </c>
      <c r="EW6">
        <v>199.30000000019999</v>
      </c>
      <c r="EX6">
        <v>208.09999999979999</v>
      </c>
      <c r="EY6">
        <v>216.3</v>
      </c>
      <c r="EZ6">
        <v>224.2999999999</v>
      </c>
      <c r="FA6">
        <v>232.59999999940001</v>
      </c>
      <c r="FB6">
        <v>240.7999999996</v>
      </c>
      <c r="FC6">
        <v>248.7000000001</v>
      </c>
      <c r="FD6">
        <v>256.7999999992</v>
      </c>
      <c r="FE6">
        <v>264.60000000039997</v>
      </c>
      <c r="FF6">
        <v>272.80000000059999</v>
      </c>
      <c r="FG6">
        <v>280.30000000040002</v>
      </c>
      <c r="FH6">
        <v>288.30000000019999</v>
      </c>
      <c r="FI6">
        <v>295.79999999990002</v>
      </c>
      <c r="FJ6">
        <v>303.5</v>
      </c>
      <c r="FK6">
        <v>310.90000000039998</v>
      </c>
      <c r="FL6">
        <v>318.30000000080003</v>
      </c>
      <c r="FM6">
        <v>325.50000000080001</v>
      </c>
      <c r="FN6">
        <v>332.5999999997</v>
      </c>
      <c r="FO6">
        <v>339.5999999993</v>
      </c>
      <c r="FP6">
        <v>346.60000000079998</v>
      </c>
      <c r="FQ6">
        <v>353.69999999970003</v>
      </c>
      <c r="FR6">
        <v>360.50000000070003</v>
      </c>
      <c r="FS6">
        <v>367.09999999950003</v>
      </c>
      <c r="FT6">
        <v>373.70000000009998</v>
      </c>
      <c r="FU6">
        <v>380.10000000029999</v>
      </c>
      <c r="FV6">
        <v>386.3000000001</v>
      </c>
      <c r="FW6">
        <v>392.29999999950002</v>
      </c>
      <c r="FX6">
        <v>398.69999999970003</v>
      </c>
      <c r="FY6">
        <v>404.69999999909999</v>
      </c>
      <c r="FZ6">
        <v>410.79999999969999</v>
      </c>
      <c r="GA6">
        <v>416.60000000050002</v>
      </c>
      <c r="GB6">
        <v>422.30000000019999</v>
      </c>
      <c r="GC6">
        <v>427.70000000020002</v>
      </c>
      <c r="GD6">
        <v>433.19999999949999</v>
      </c>
      <c r="GE6">
        <v>438.39999999909998</v>
      </c>
      <c r="GF6">
        <v>443.40000000010002</v>
      </c>
      <c r="GG6">
        <v>448.7000000008</v>
      </c>
      <c r="GH6">
        <v>453.7</v>
      </c>
      <c r="GI6">
        <v>457.20000000070002</v>
      </c>
      <c r="GJ6">
        <v>457.20000000070002</v>
      </c>
      <c r="GK6">
        <v>457.20000000070002</v>
      </c>
      <c r="GL6">
        <v>457.3</v>
      </c>
      <c r="GM6">
        <v>457.3</v>
      </c>
      <c r="GN6">
        <v>457.39999999930001</v>
      </c>
      <c r="GO6">
        <v>457.3</v>
      </c>
      <c r="GP6">
        <v>457.3</v>
      </c>
      <c r="GQ6">
        <v>457.39999999930001</v>
      </c>
      <c r="GR6">
        <v>457.50000000040001</v>
      </c>
      <c r="GS6">
        <v>457.50000000040001</v>
      </c>
      <c r="GT6">
        <v>457.50000000040001</v>
      </c>
      <c r="GU6">
        <v>457.39999999930001</v>
      </c>
      <c r="GV6">
        <v>457.50000000040001</v>
      </c>
      <c r="GW6">
        <v>1</v>
      </c>
      <c r="GX6">
        <v>112.50000000110001</v>
      </c>
      <c r="GY6">
        <v>110.8999999997</v>
      </c>
      <c r="GZ6">
        <v>110.8999999997</v>
      </c>
      <c r="HA6">
        <v>116.7000000005</v>
      </c>
      <c r="HB6">
        <v>112.3427103824</v>
      </c>
      <c r="HC6">
        <v>-5.8000000007999999</v>
      </c>
      <c r="HD6">
        <v>457.49998907150001</v>
      </c>
      <c r="HE6">
        <v>309.32808743200002</v>
      </c>
      <c r="HF6">
        <v>91.804546447800007</v>
      </c>
      <c r="HG6">
        <v>457.50000000040001</v>
      </c>
      <c r="HH6">
        <v>457.50000000040001</v>
      </c>
      <c r="HI6">
        <v>457.50000000040001</v>
      </c>
      <c r="HJ6">
        <v>457.50000000040001</v>
      </c>
      <c r="HK6">
        <v>112.6099706745</v>
      </c>
      <c r="HL6">
        <v>3.3282923835</v>
      </c>
      <c r="HM6">
        <v>3.2431710526000002</v>
      </c>
      <c r="HN6">
        <v>3.3077259957999998</v>
      </c>
      <c r="HO6">
        <v>3.0856288976999999</v>
      </c>
      <c r="HP6">
        <v>3.4762888774</v>
      </c>
      <c r="HQ6">
        <v>2.268543722</v>
      </c>
      <c r="HR6">
        <v>20.5381639346</v>
      </c>
      <c r="HS6">
        <v>-28.152492668600001</v>
      </c>
      <c r="HT6">
        <v>-192</v>
      </c>
      <c r="HU6">
        <v>421.67079781429999</v>
      </c>
      <c r="HV6">
        <v>96.187683284499997</v>
      </c>
      <c r="HW6">
        <v>656</v>
      </c>
      <c r="HX6">
        <v>20.5381639346</v>
      </c>
      <c r="HY6">
        <v>-28.152492668600001</v>
      </c>
      <c r="HZ6">
        <v>-192</v>
      </c>
      <c r="IA6">
        <v>421.67079781429999</v>
      </c>
      <c r="IB6">
        <v>96.187683284499997</v>
      </c>
      <c r="IC6">
        <v>656</v>
      </c>
      <c r="ID6">
        <v>35.829202186099998</v>
      </c>
      <c r="IE6">
        <v>1.0108087433999999</v>
      </c>
      <c r="IF6">
        <v>-37.536656891500002</v>
      </c>
      <c r="IG6">
        <v>-256</v>
      </c>
      <c r="IH6">
        <v>443.16690710389997</v>
      </c>
      <c r="II6">
        <v>105.57184750730001</v>
      </c>
      <c r="IJ6">
        <v>720</v>
      </c>
      <c r="IK6">
        <v>401.13263387969999</v>
      </c>
      <c r="IL6">
        <v>124.3401759531</v>
      </c>
      <c r="IM6">
        <v>424.32086338689999</v>
      </c>
      <c r="IN6">
        <v>133.724340176</v>
      </c>
      <c r="IO6">
        <v>6.6000000005999997</v>
      </c>
      <c r="IP6">
        <v>5.6000000003999997</v>
      </c>
      <c r="IQ6">
        <v>8.9000000007000004</v>
      </c>
      <c r="IR6">
        <v>5.2106037559000002</v>
      </c>
      <c r="IS6">
        <v>5.2106037559000002</v>
      </c>
      <c r="IT6">
        <v>4.2000000012000003</v>
      </c>
      <c r="IU6">
        <v>-30.4985337243</v>
      </c>
      <c r="IV6">
        <v>8.4999999999</v>
      </c>
      <c r="IW6">
        <v>70.381231671600005</v>
      </c>
      <c r="IX6">
        <v>6.5999999988000004</v>
      </c>
      <c r="IY6">
        <v>103.22580645159999</v>
      </c>
      <c r="IZ6">
        <v>-34.930524497100002</v>
      </c>
      <c r="JA6">
        <v>0.34361414689999997</v>
      </c>
      <c r="JB6">
        <v>-3.6462529999999998E-4</v>
      </c>
      <c r="JC6">
        <v>6.8019999999999996E-7</v>
      </c>
      <c r="JD6">
        <v>0.30045437260000002</v>
      </c>
      <c r="JE6">
        <v>0.1511003813</v>
      </c>
      <c r="JF6">
        <v>6.3327349899999996E-2</v>
      </c>
      <c r="JG6">
        <v>112.7009850881</v>
      </c>
      <c r="JH6">
        <v>3.4762888774</v>
      </c>
      <c r="JI6">
        <v>3.9459029999999997E-3</v>
      </c>
      <c r="JJ6">
        <v>-7.0861199999999998E-5</v>
      </c>
      <c r="JK6">
        <v>3.3282923835</v>
      </c>
      <c r="JL6">
        <v>1.1477845762000001</v>
      </c>
      <c r="JM6">
        <v>0.46529180869999998</v>
      </c>
      <c r="JN6" t="s">
        <v>545</v>
      </c>
      <c r="JQ6">
        <v>1</v>
      </c>
    </row>
    <row r="7" spans="1:277">
      <c r="A7" t="s">
        <v>594</v>
      </c>
      <c r="B7" t="s">
        <v>595</v>
      </c>
      <c r="C7" t="s">
        <v>212</v>
      </c>
      <c r="D7">
        <v>3</v>
      </c>
      <c r="E7" t="s">
        <v>213</v>
      </c>
      <c r="F7" t="s">
        <v>214</v>
      </c>
      <c r="G7" t="s">
        <v>544</v>
      </c>
      <c r="H7" t="s">
        <v>216</v>
      </c>
      <c r="J7" t="s">
        <v>573</v>
      </c>
      <c r="K7" t="s">
        <v>574</v>
      </c>
      <c r="L7" t="s">
        <v>575</v>
      </c>
      <c r="M7" t="s">
        <v>576</v>
      </c>
      <c r="N7" t="s">
        <v>577</v>
      </c>
      <c r="O7">
        <v>0</v>
      </c>
      <c r="P7">
        <v>0</v>
      </c>
      <c r="Q7">
        <v>0.59999999940000004</v>
      </c>
      <c r="R7">
        <v>0.20000000039999999</v>
      </c>
      <c r="S7">
        <v>0.20000000039999999</v>
      </c>
      <c r="T7">
        <v>0</v>
      </c>
      <c r="U7">
        <v>0</v>
      </c>
      <c r="V7">
        <v>0.39999999899999999</v>
      </c>
      <c r="W7">
        <v>0.39999999899999999</v>
      </c>
      <c r="X7">
        <v>0.59999999940000004</v>
      </c>
      <c r="Y7">
        <v>0.39999999899999999</v>
      </c>
      <c r="Z7">
        <v>0.29999999970000002</v>
      </c>
      <c r="AA7">
        <v>0.29999999970000002</v>
      </c>
      <c r="AB7">
        <v>0.29999999970000002</v>
      </c>
      <c r="AC7">
        <v>0.29999999970000002</v>
      </c>
      <c r="AD7">
        <v>0.20000000039999999</v>
      </c>
      <c r="AE7">
        <v>0.79999999980000003</v>
      </c>
      <c r="AF7">
        <v>0.7000000005</v>
      </c>
      <c r="AG7">
        <v>0.7000000005</v>
      </c>
      <c r="AH7">
        <v>0.59999999940000004</v>
      </c>
      <c r="AI7">
        <v>1.3999999992000001</v>
      </c>
      <c r="AJ7">
        <v>2.8999999994999999</v>
      </c>
      <c r="AK7">
        <v>9.3999999990000003</v>
      </c>
      <c r="AL7">
        <v>16.9000000005</v>
      </c>
      <c r="AM7">
        <v>24.9999999996</v>
      </c>
      <c r="AN7">
        <v>33.100000000599998</v>
      </c>
      <c r="AO7">
        <v>41.299999999000001</v>
      </c>
      <c r="AP7">
        <v>49.399999999899997</v>
      </c>
      <c r="AQ7">
        <v>56.699999999200003</v>
      </c>
      <c r="AR7">
        <v>65.500000000599996</v>
      </c>
      <c r="AS7">
        <v>74.199999999100001</v>
      </c>
      <c r="AT7">
        <v>83.099999999800005</v>
      </c>
      <c r="AU7">
        <v>91.3</v>
      </c>
      <c r="AV7">
        <v>100.1999999989</v>
      </c>
      <c r="AW7">
        <v>108.39999999920001</v>
      </c>
      <c r="AX7">
        <v>117.5999999996</v>
      </c>
      <c r="AY7">
        <v>126.8</v>
      </c>
      <c r="AZ7">
        <v>135.89999999930001</v>
      </c>
      <c r="BA7">
        <v>144.80000000000001</v>
      </c>
      <c r="BB7">
        <v>153.2999999999</v>
      </c>
      <c r="BC7">
        <v>161.5999999995</v>
      </c>
      <c r="BD7">
        <v>170.7000000006</v>
      </c>
      <c r="BE7">
        <v>180.00000000029999</v>
      </c>
      <c r="BF7">
        <v>189.20000000069999</v>
      </c>
      <c r="BG7">
        <v>198.20000000069999</v>
      </c>
      <c r="BH7">
        <v>206.09999999940001</v>
      </c>
      <c r="BI7">
        <v>214.79999999969999</v>
      </c>
      <c r="BJ7">
        <v>223.3999999989</v>
      </c>
      <c r="BK7">
        <v>232.39999999899999</v>
      </c>
      <c r="BL7">
        <v>241</v>
      </c>
      <c r="BM7">
        <v>249.7999999996</v>
      </c>
      <c r="BN7">
        <v>257.40000000039998</v>
      </c>
      <c r="BO7">
        <v>265.7999999992</v>
      </c>
      <c r="BP7">
        <v>273.79999999900002</v>
      </c>
      <c r="BQ7">
        <v>281.99999999919999</v>
      </c>
      <c r="BR7">
        <v>290.19999999949999</v>
      </c>
      <c r="BS7">
        <v>298.30000000040002</v>
      </c>
      <c r="BT7">
        <v>306.00000000049999</v>
      </c>
      <c r="BU7">
        <v>313.20000000049998</v>
      </c>
      <c r="BV7">
        <v>320.90000000060002</v>
      </c>
      <c r="BW7">
        <v>327.99999999950001</v>
      </c>
      <c r="BX7">
        <v>335.69999999959998</v>
      </c>
      <c r="BY7">
        <v>343.19999999930002</v>
      </c>
      <c r="BZ7">
        <v>350.89999999949998</v>
      </c>
      <c r="CA7">
        <v>357.29999999969999</v>
      </c>
      <c r="CB7">
        <v>364.10000000069999</v>
      </c>
      <c r="CC7">
        <v>370.80000000059999</v>
      </c>
      <c r="CD7">
        <v>377.199999999</v>
      </c>
      <c r="CE7">
        <v>385.09999999950003</v>
      </c>
      <c r="CF7">
        <v>390.60000000060001</v>
      </c>
      <c r="CG7">
        <v>397.4999999991</v>
      </c>
      <c r="CH7">
        <v>403.39999999920002</v>
      </c>
      <c r="CI7">
        <v>409.40000000049997</v>
      </c>
      <c r="CJ7">
        <v>415.69999999959998</v>
      </c>
      <c r="CK7">
        <v>421.8000000001</v>
      </c>
      <c r="CL7">
        <v>427.40000000049997</v>
      </c>
      <c r="CM7">
        <v>434.29999999900002</v>
      </c>
      <c r="CN7">
        <v>439.39999999930001</v>
      </c>
      <c r="CO7">
        <v>444.79999999929998</v>
      </c>
      <c r="CP7">
        <v>449.30000000019999</v>
      </c>
      <c r="CQ7">
        <v>452.60000000050002</v>
      </c>
      <c r="CR7">
        <v>452.99999999950001</v>
      </c>
      <c r="CS7">
        <v>453.10000000060001</v>
      </c>
      <c r="CT7">
        <v>453.10000000060001</v>
      </c>
      <c r="CU7">
        <v>452.90000000020001</v>
      </c>
      <c r="CV7">
        <v>452.90000000020001</v>
      </c>
      <c r="CW7">
        <v>452.90000000020001</v>
      </c>
      <c r="CX7">
        <v>452.79999999910001</v>
      </c>
      <c r="CY7">
        <v>453.10000000060001</v>
      </c>
      <c r="CZ7">
        <v>453.2999999992</v>
      </c>
      <c r="DA7">
        <v>453.10000000060001</v>
      </c>
      <c r="DB7">
        <v>452.99999999950001</v>
      </c>
      <c r="DC7">
        <v>452.99999999950001</v>
      </c>
      <c r="DD7">
        <v>452.99999999950001</v>
      </c>
      <c r="DE7">
        <v>452.90000000020001</v>
      </c>
      <c r="DF7">
        <v>453.10000000060001</v>
      </c>
      <c r="DG7">
        <v>1.5000000003</v>
      </c>
      <c r="DH7">
        <v>1.2999999999</v>
      </c>
      <c r="DI7">
        <v>1.3999999992000001</v>
      </c>
      <c r="DJ7">
        <v>1.3999999992000001</v>
      </c>
      <c r="DK7">
        <v>1.2000000006</v>
      </c>
      <c r="DL7">
        <v>1.0999999995</v>
      </c>
      <c r="DM7">
        <v>1.0000000002</v>
      </c>
      <c r="DN7">
        <v>1.2999999999</v>
      </c>
      <c r="DO7">
        <v>1.5000000003</v>
      </c>
      <c r="DP7">
        <v>1.0999999995</v>
      </c>
      <c r="DQ7">
        <v>1.2999999999</v>
      </c>
      <c r="DR7">
        <v>1.2999999999</v>
      </c>
      <c r="DS7">
        <v>1.2999999999</v>
      </c>
      <c r="DT7">
        <v>1.3999999992000001</v>
      </c>
      <c r="DU7">
        <v>1.2000000006</v>
      </c>
      <c r="DV7">
        <v>1.5999999996000001</v>
      </c>
      <c r="DW7">
        <v>1.5999999996000001</v>
      </c>
      <c r="DX7">
        <v>1.5999999996000001</v>
      </c>
      <c r="DY7">
        <v>2.8000000001999998</v>
      </c>
      <c r="DZ7">
        <v>6.1999999998000002</v>
      </c>
      <c r="EA7">
        <v>14.199999999599999</v>
      </c>
      <c r="EB7">
        <v>22.1000000001</v>
      </c>
      <c r="EC7">
        <v>30.6</v>
      </c>
      <c r="ED7">
        <v>39.3999999997</v>
      </c>
      <c r="EE7">
        <v>47.099999999799998</v>
      </c>
      <c r="EF7">
        <v>54.000000000100002</v>
      </c>
      <c r="EG7">
        <v>62.099999999200001</v>
      </c>
      <c r="EH7">
        <v>70.4000000005</v>
      </c>
      <c r="EI7">
        <v>79.700000000200006</v>
      </c>
      <c r="EJ7">
        <v>88.299999999400001</v>
      </c>
      <c r="EK7">
        <v>97.499999999899998</v>
      </c>
      <c r="EL7">
        <v>104.9000000003</v>
      </c>
      <c r="EM7">
        <v>113.7999999992</v>
      </c>
      <c r="EN7">
        <v>122.60000000060001</v>
      </c>
      <c r="EO7">
        <v>131.9000000003</v>
      </c>
      <c r="EP7">
        <v>141.40000000040001</v>
      </c>
      <c r="EQ7">
        <v>150.7000000001</v>
      </c>
      <c r="ER7">
        <v>158.60000000069999</v>
      </c>
      <c r="ES7">
        <v>167.60000000069999</v>
      </c>
      <c r="ET7">
        <v>176.1999999999</v>
      </c>
      <c r="EU7">
        <v>185.49999999959999</v>
      </c>
      <c r="EV7">
        <v>194.49999999959999</v>
      </c>
      <c r="EW7">
        <v>203.59999999889999</v>
      </c>
      <c r="EX7">
        <v>212.7</v>
      </c>
      <c r="EY7">
        <v>220.99999999950001</v>
      </c>
      <c r="EZ7">
        <v>229.7999999992</v>
      </c>
      <c r="FA7">
        <v>238.6999999999</v>
      </c>
      <c r="FB7">
        <v>247.60000000060001</v>
      </c>
      <c r="FC7">
        <v>255.6999999997</v>
      </c>
      <c r="FD7">
        <v>264.10000000029999</v>
      </c>
      <c r="FE7">
        <v>272.4999999991</v>
      </c>
      <c r="FF7">
        <v>280.99999999900001</v>
      </c>
      <c r="FG7">
        <v>289.10000000000002</v>
      </c>
      <c r="FH7">
        <v>297.39999999949998</v>
      </c>
      <c r="FI7">
        <v>305.00000000030002</v>
      </c>
      <c r="FJ7">
        <v>312.89999999899999</v>
      </c>
      <c r="FK7">
        <v>320.79999999950002</v>
      </c>
      <c r="FL7">
        <v>328.4000000003</v>
      </c>
      <c r="FM7">
        <v>336.29999999900002</v>
      </c>
      <c r="FN7">
        <v>343.49999999900001</v>
      </c>
      <c r="FO7">
        <v>350.89999999949998</v>
      </c>
      <c r="FP7">
        <v>357.59999999939998</v>
      </c>
      <c r="FQ7">
        <v>364.59999999899998</v>
      </c>
      <c r="FR7">
        <v>371.90000000010002</v>
      </c>
      <c r="FS7">
        <v>378.50000000070003</v>
      </c>
      <c r="FT7">
        <v>386.0999999997</v>
      </c>
      <c r="FU7">
        <v>391.70000000009998</v>
      </c>
      <c r="FV7">
        <v>398.29999999889998</v>
      </c>
      <c r="FW7">
        <v>404.89999999949998</v>
      </c>
      <c r="FX7">
        <v>410.8999999989</v>
      </c>
      <c r="FY7">
        <v>416.99999999950001</v>
      </c>
      <c r="FZ7">
        <v>422.80000000029997</v>
      </c>
      <c r="GA7">
        <v>428.20000000030001</v>
      </c>
      <c r="GB7">
        <v>434.60000000050002</v>
      </c>
      <c r="GC7">
        <v>439.20000000070002</v>
      </c>
      <c r="GD7">
        <v>444.49999999959999</v>
      </c>
      <c r="GE7">
        <v>449.00000000049999</v>
      </c>
      <c r="GF7">
        <v>452.60000000050002</v>
      </c>
      <c r="GG7">
        <v>452.60000000050002</v>
      </c>
      <c r="GH7">
        <v>452.49999999940002</v>
      </c>
      <c r="GI7">
        <v>452.69999999980001</v>
      </c>
      <c r="GJ7">
        <v>452.69999999980001</v>
      </c>
      <c r="GK7">
        <v>452.90000000020001</v>
      </c>
      <c r="GL7">
        <v>452.90000000020001</v>
      </c>
      <c r="GM7">
        <v>452.99999999950001</v>
      </c>
      <c r="GN7">
        <v>452.90000000020001</v>
      </c>
      <c r="GO7">
        <v>452.69999999980001</v>
      </c>
      <c r="GP7">
        <v>452.69999999980001</v>
      </c>
      <c r="GQ7">
        <v>452.69999999980001</v>
      </c>
      <c r="GR7">
        <v>452.69999999980001</v>
      </c>
      <c r="GS7">
        <v>452.79999999910001</v>
      </c>
      <c r="GT7">
        <v>452.90000000020001</v>
      </c>
      <c r="GU7">
        <v>452.99999999950001</v>
      </c>
      <c r="GV7">
        <v>452.90000000020001</v>
      </c>
      <c r="GW7">
        <v>1</v>
      </c>
      <c r="GX7">
        <v>110.1999999992</v>
      </c>
      <c r="GY7">
        <v>108.39999999920001</v>
      </c>
      <c r="GZ7">
        <v>108.39999999920001</v>
      </c>
      <c r="HA7">
        <v>113.7999999992</v>
      </c>
      <c r="HB7">
        <v>109.7243708601</v>
      </c>
      <c r="HC7">
        <v>-5.4</v>
      </c>
      <c r="HD7">
        <v>452.90000000020001</v>
      </c>
      <c r="HE7">
        <v>306.60790287010002</v>
      </c>
      <c r="HF7">
        <v>92.600529800000004</v>
      </c>
      <c r="HG7">
        <v>453.2999999992</v>
      </c>
      <c r="HH7">
        <v>452.99998896199997</v>
      </c>
      <c r="HI7">
        <v>453.2999999992</v>
      </c>
      <c r="HJ7">
        <v>452.99999999950001</v>
      </c>
      <c r="HK7">
        <v>105.57184750730001</v>
      </c>
      <c r="HL7">
        <v>3.5676314403</v>
      </c>
      <c r="HM7">
        <v>3.4730368181000002</v>
      </c>
      <c r="HN7">
        <v>3.5337166515999998</v>
      </c>
      <c r="HO7">
        <v>3.4591052561</v>
      </c>
      <c r="HP7">
        <v>3.7753861675999998</v>
      </c>
      <c r="HQ7">
        <v>2.4327042908999998</v>
      </c>
      <c r="HR7">
        <v>17.123841060099998</v>
      </c>
      <c r="HS7">
        <v>-25.806451612899998</v>
      </c>
      <c r="HT7">
        <v>-176</v>
      </c>
      <c r="HU7">
        <v>416.33227373019997</v>
      </c>
      <c r="HV7">
        <v>89.149560117299998</v>
      </c>
      <c r="HW7">
        <v>608</v>
      </c>
      <c r="HX7">
        <v>17.123841060099998</v>
      </c>
      <c r="HY7">
        <v>-25.806451612899998</v>
      </c>
      <c r="HZ7">
        <v>-176</v>
      </c>
      <c r="IA7">
        <v>416.33227373019997</v>
      </c>
      <c r="IB7">
        <v>89.149560117299998</v>
      </c>
      <c r="IC7">
        <v>608</v>
      </c>
      <c r="ID7">
        <v>36.667715231800003</v>
      </c>
      <c r="IE7">
        <v>0.60242825550000001</v>
      </c>
      <c r="IF7">
        <v>-35.190615835800003</v>
      </c>
      <c r="IG7">
        <v>-240</v>
      </c>
      <c r="IH7">
        <v>439.0242273737</v>
      </c>
      <c r="II7">
        <v>98.533724340199996</v>
      </c>
      <c r="IJ7">
        <v>672</v>
      </c>
      <c r="IK7">
        <v>399.20843267010002</v>
      </c>
      <c r="IL7">
        <v>114.9560117302</v>
      </c>
      <c r="IM7">
        <v>424.8712693164</v>
      </c>
      <c r="IN7">
        <v>124.3401759531</v>
      </c>
      <c r="IO7">
        <v>7.9999999998</v>
      </c>
      <c r="IP7">
        <v>6.8999999985000002</v>
      </c>
      <c r="IQ7">
        <v>9.5000000001</v>
      </c>
      <c r="IR7">
        <v>6.3573079919</v>
      </c>
      <c r="IS7">
        <v>6.3573079919</v>
      </c>
      <c r="IT7">
        <v>4.8000000005999999</v>
      </c>
      <c r="IU7">
        <v>-28.152492668600001</v>
      </c>
      <c r="IV7">
        <v>8.9000000007000004</v>
      </c>
      <c r="IW7">
        <v>77.419354838700002</v>
      </c>
      <c r="IX7">
        <v>7.2</v>
      </c>
      <c r="IY7">
        <v>96.187683284499997</v>
      </c>
      <c r="IZ7">
        <v>-31.047346960599999</v>
      </c>
      <c r="JA7">
        <v>0.30691538369999999</v>
      </c>
      <c r="JB7">
        <v>-2.9257110000000002E-4</v>
      </c>
      <c r="JC7">
        <v>5.9579999999999997E-7</v>
      </c>
      <c r="JD7">
        <v>0.28029801189999998</v>
      </c>
      <c r="JE7">
        <v>0.22483938849999999</v>
      </c>
      <c r="JF7">
        <v>7.9946060900000004E-2</v>
      </c>
      <c r="JG7">
        <v>110.6371473265</v>
      </c>
      <c r="JH7">
        <v>3.7753861675999998</v>
      </c>
      <c r="JI7">
        <v>3.0617612000000002E-3</v>
      </c>
      <c r="JJ7">
        <v>-7.9209700000000002E-5</v>
      </c>
      <c r="JK7">
        <v>3.5676314403</v>
      </c>
      <c r="JL7">
        <v>0.91338365089999995</v>
      </c>
      <c r="JM7">
        <v>0.46505725590000002</v>
      </c>
      <c r="JN7" t="s">
        <v>545</v>
      </c>
      <c r="JQ7">
        <v>1</v>
      </c>
    </row>
    <row r="8" spans="1:277">
      <c r="A8" t="s">
        <v>616</v>
      </c>
      <c r="B8" t="s">
        <v>617</v>
      </c>
      <c r="C8" t="s">
        <v>212</v>
      </c>
      <c r="D8">
        <v>3</v>
      </c>
      <c r="E8" t="s">
        <v>213</v>
      </c>
      <c r="F8" t="s">
        <v>214</v>
      </c>
      <c r="G8" t="s">
        <v>544</v>
      </c>
      <c r="H8" t="s">
        <v>216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0</v>
      </c>
      <c r="R8">
        <v>0.89999999909999995</v>
      </c>
      <c r="S8">
        <v>1.0000000002</v>
      </c>
      <c r="T8">
        <v>0.79999999980000003</v>
      </c>
      <c r="U8">
        <v>0.7000000005</v>
      </c>
      <c r="V8">
        <v>0.79999999980000003</v>
      </c>
      <c r="W8">
        <v>1.0000000002</v>
      </c>
      <c r="X8">
        <v>0.89999999909999995</v>
      </c>
      <c r="Y8">
        <v>1.1999999988000001</v>
      </c>
      <c r="Z8">
        <v>1.1999999988000001</v>
      </c>
      <c r="AA8">
        <v>1.3999999992000001</v>
      </c>
      <c r="AB8">
        <v>1.3999999992000001</v>
      </c>
      <c r="AC8">
        <v>1.2999999999</v>
      </c>
      <c r="AD8">
        <v>1.1999999988000001</v>
      </c>
      <c r="AE8">
        <v>1.2999999999</v>
      </c>
      <c r="AF8">
        <v>2.0000000004</v>
      </c>
      <c r="AG8">
        <v>5.1999999996000001</v>
      </c>
      <c r="AH8">
        <v>9.7000000004999993</v>
      </c>
      <c r="AI8">
        <v>14.4</v>
      </c>
      <c r="AJ8">
        <v>20.500000000499998</v>
      </c>
      <c r="AK8">
        <v>27.399999998999998</v>
      </c>
      <c r="AL8">
        <v>34.999999999899998</v>
      </c>
      <c r="AM8">
        <v>42.4999999996</v>
      </c>
      <c r="AN8">
        <v>49.299999998799997</v>
      </c>
      <c r="AO8">
        <v>56.800000000300003</v>
      </c>
      <c r="AP8">
        <v>64.000000000300005</v>
      </c>
      <c r="AQ8">
        <v>72.200000000499998</v>
      </c>
      <c r="AR8">
        <v>79.700000000200006</v>
      </c>
      <c r="AS8">
        <v>88.599999999100007</v>
      </c>
      <c r="AT8">
        <v>96.099999998800001</v>
      </c>
      <c r="AU8">
        <v>104.4000000002</v>
      </c>
      <c r="AV8">
        <v>112.1000000003</v>
      </c>
      <c r="AW8">
        <v>120.6000000002</v>
      </c>
      <c r="AX8">
        <v>129.69999999949999</v>
      </c>
      <c r="AY8">
        <v>137.80000000039999</v>
      </c>
      <c r="AZ8">
        <v>146.89999999969999</v>
      </c>
      <c r="BA8">
        <v>154.39999999939999</v>
      </c>
      <c r="BB8">
        <v>162.89999999939999</v>
      </c>
      <c r="BC8">
        <v>171.09999999959999</v>
      </c>
      <c r="BD8">
        <v>179.29999999980001</v>
      </c>
      <c r="BE8">
        <v>188.29999999980001</v>
      </c>
      <c r="BF8">
        <v>196.20000000030001</v>
      </c>
      <c r="BG8">
        <v>204.89999999880001</v>
      </c>
      <c r="BH8">
        <v>212.90000000040001</v>
      </c>
      <c r="BI8">
        <v>221.2999999992</v>
      </c>
      <c r="BJ8">
        <v>229.5999999988</v>
      </c>
      <c r="BK8">
        <v>237.6999999997</v>
      </c>
      <c r="BL8">
        <v>245.79999999879999</v>
      </c>
      <c r="BM8">
        <v>253.69999999929999</v>
      </c>
      <c r="BN8">
        <v>261.69999999909999</v>
      </c>
      <c r="BO8">
        <v>269.69999999890001</v>
      </c>
      <c r="BP8">
        <v>277.50000000009999</v>
      </c>
      <c r="BQ8">
        <v>285.20000000030001</v>
      </c>
      <c r="BR8">
        <v>292.1999999999</v>
      </c>
      <c r="BS8">
        <v>300.60000000050002</v>
      </c>
      <c r="BT8">
        <v>307.80000000050001</v>
      </c>
      <c r="BU8">
        <v>315.39999999949998</v>
      </c>
      <c r="BV8">
        <v>322.50000000019998</v>
      </c>
      <c r="BW8">
        <v>329.89999999880001</v>
      </c>
      <c r="BX8">
        <v>337.0999999988</v>
      </c>
      <c r="BY8">
        <v>343.49999999900001</v>
      </c>
      <c r="BZ8">
        <v>351.09999999989998</v>
      </c>
      <c r="CA8">
        <v>357.39999999899999</v>
      </c>
      <c r="CB8">
        <v>364.29999999929998</v>
      </c>
      <c r="CC8">
        <v>370.89999999989999</v>
      </c>
      <c r="CD8">
        <v>377.50000000049999</v>
      </c>
      <c r="CE8">
        <v>384.0999999993</v>
      </c>
      <c r="CF8">
        <v>389.29999999889998</v>
      </c>
      <c r="CG8">
        <v>395.99999999879998</v>
      </c>
      <c r="CH8">
        <v>402.39999999899999</v>
      </c>
      <c r="CI8">
        <v>409.20000000009998</v>
      </c>
      <c r="CJ8">
        <v>414.49999999900001</v>
      </c>
      <c r="CK8">
        <v>420.59999999950003</v>
      </c>
      <c r="CL8">
        <v>426.0999999988</v>
      </c>
      <c r="CM8">
        <v>431.49999999879998</v>
      </c>
      <c r="CN8">
        <v>437.2999999996</v>
      </c>
      <c r="CO8">
        <v>442.19999999949999</v>
      </c>
      <c r="CP8">
        <v>448.09999999960002</v>
      </c>
      <c r="CQ8">
        <v>449.59999999989998</v>
      </c>
      <c r="CR8">
        <v>450.80000000050001</v>
      </c>
      <c r="CS8">
        <v>451.1000000002</v>
      </c>
      <c r="CT8">
        <v>450.8999999998</v>
      </c>
      <c r="CU8">
        <v>451.29999999879999</v>
      </c>
      <c r="CV8">
        <v>450.9999999991</v>
      </c>
      <c r="CW8">
        <v>451.19999999949999</v>
      </c>
      <c r="CX8">
        <v>451.1000000002</v>
      </c>
      <c r="CY8">
        <v>451.19999999949999</v>
      </c>
      <c r="CZ8">
        <v>451.29999999879999</v>
      </c>
      <c r="DA8">
        <v>451.19999999949999</v>
      </c>
      <c r="DB8">
        <v>451.19999999949999</v>
      </c>
      <c r="DC8">
        <v>450.9999999991</v>
      </c>
      <c r="DD8">
        <v>451.19999999949999</v>
      </c>
      <c r="DE8">
        <v>451.1000000002</v>
      </c>
      <c r="DF8">
        <v>451.19999999949999</v>
      </c>
      <c r="DG8">
        <v>0.89999999909999995</v>
      </c>
      <c r="DH8">
        <v>2.0000000004</v>
      </c>
      <c r="DI8">
        <v>1.8999999993000001</v>
      </c>
      <c r="DJ8">
        <v>1.8999999993000001</v>
      </c>
      <c r="DK8">
        <v>2.0999999997000001</v>
      </c>
      <c r="DL8">
        <v>2.0999999997000001</v>
      </c>
      <c r="DM8">
        <v>2.3999999993999999</v>
      </c>
      <c r="DN8">
        <v>2.3999999993999999</v>
      </c>
      <c r="DO8">
        <v>2.3000000000999998</v>
      </c>
      <c r="DP8">
        <v>2.3000000000999998</v>
      </c>
      <c r="DQ8">
        <v>2.3999999993999999</v>
      </c>
      <c r="DR8">
        <v>2.3999999993999999</v>
      </c>
      <c r="DS8">
        <v>2.3999999993999999</v>
      </c>
      <c r="DT8">
        <v>2.5999999998000001</v>
      </c>
      <c r="DU8">
        <v>2.8000000001999998</v>
      </c>
      <c r="DV8">
        <v>3.4999999988999999</v>
      </c>
      <c r="DW8">
        <v>7.7999999993999998</v>
      </c>
      <c r="DX8">
        <v>12.6</v>
      </c>
      <c r="DY8">
        <v>17.700000000300001</v>
      </c>
      <c r="DZ8">
        <v>24.9999999996</v>
      </c>
      <c r="EA8">
        <v>32.4000000001</v>
      </c>
      <c r="EB8">
        <v>39.699999999399999</v>
      </c>
      <c r="EC8">
        <v>47.399999999499997</v>
      </c>
      <c r="ED8">
        <v>54.299999999800001</v>
      </c>
      <c r="EE8">
        <v>62.099999999200001</v>
      </c>
      <c r="EF8">
        <v>69.599999998900003</v>
      </c>
      <c r="EG8">
        <v>77.199999999699997</v>
      </c>
      <c r="EH8">
        <v>85.399999999900004</v>
      </c>
      <c r="EI8">
        <v>93.499999998999996</v>
      </c>
      <c r="EJ8">
        <v>101.8000000004</v>
      </c>
      <c r="EK8">
        <v>109.39999999939999</v>
      </c>
      <c r="EL8">
        <v>117.5999999996</v>
      </c>
      <c r="EM8">
        <v>126.0999999995</v>
      </c>
      <c r="EN8">
        <v>135.2999999999</v>
      </c>
      <c r="EO8">
        <v>143.50000000009999</v>
      </c>
      <c r="EP8">
        <v>151.70000000030001</v>
      </c>
      <c r="EQ8">
        <v>160.09999999909999</v>
      </c>
      <c r="ER8">
        <v>168.79999999949999</v>
      </c>
      <c r="ES8">
        <v>177.2000000001</v>
      </c>
      <c r="ET8">
        <v>185.79999999930001</v>
      </c>
      <c r="EU8">
        <v>193.99999999950001</v>
      </c>
      <c r="EV8">
        <v>202.49999999939999</v>
      </c>
      <c r="EW8">
        <v>211.1000000004</v>
      </c>
      <c r="EX8">
        <v>219.6000000004</v>
      </c>
      <c r="EY8">
        <v>227.69999999949999</v>
      </c>
      <c r="EZ8">
        <v>236.10000000010001</v>
      </c>
      <c r="FA8">
        <v>244.6</v>
      </c>
      <c r="FB8">
        <v>252.89999999950001</v>
      </c>
      <c r="FC8">
        <v>260.8</v>
      </c>
      <c r="FD8">
        <v>268.89999999909998</v>
      </c>
      <c r="FE8">
        <v>276.20000000020002</v>
      </c>
      <c r="FF8">
        <v>284.40000000049997</v>
      </c>
      <c r="FG8">
        <v>292.0999999988</v>
      </c>
      <c r="FH8">
        <v>299.99999999929997</v>
      </c>
      <c r="FI8">
        <v>307.8999999998</v>
      </c>
      <c r="FJ8">
        <v>315.30000000019999</v>
      </c>
      <c r="FK8">
        <v>323.00000000030002</v>
      </c>
      <c r="FL8">
        <v>330.2999999996</v>
      </c>
      <c r="FM8">
        <v>337.59999999889999</v>
      </c>
      <c r="FN8">
        <v>344.69999999959998</v>
      </c>
      <c r="FO8">
        <v>351.80000000040002</v>
      </c>
      <c r="FP8">
        <v>358.39999999920002</v>
      </c>
      <c r="FQ8">
        <v>365.20000000020002</v>
      </c>
      <c r="FR8">
        <v>372.40000000020001</v>
      </c>
      <c r="FS8">
        <v>378.69999999930002</v>
      </c>
      <c r="FT8">
        <v>385.00000000019998</v>
      </c>
      <c r="FU8">
        <v>390.7999999992</v>
      </c>
      <c r="FV8">
        <v>397.19999999940001</v>
      </c>
      <c r="FW8">
        <v>404.199999999</v>
      </c>
      <c r="FX8">
        <v>409.89999999870003</v>
      </c>
      <c r="FY8">
        <v>416.10000000039997</v>
      </c>
      <c r="FZ8">
        <v>421.699999999</v>
      </c>
      <c r="GA8">
        <v>427.40000000049997</v>
      </c>
      <c r="GB8">
        <v>432.80000000050001</v>
      </c>
      <c r="GC8">
        <v>438.09999999939998</v>
      </c>
      <c r="GD8">
        <v>442.9</v>
      </c>
      <c r="GE8">
        <v>448.00000000030002</v>
      </c>
      <c r="GF8">
        <v>449.19999999909999</v>
      </c>
      <c r="GG8">
        <v>450.39999999970001</v>
      </c>
      <c r="GH8">
        <v>450.80000000050001</v>
      </c>
      <c r="GI8">
        <v>450.9999999991</v>
      </c>
      <c r="GJ8">
        <v>450.8999999998</v>
      </c>
      <c r="GK8">
        <v>451.1000000002</v>
      </c>
      <c r="GL8">
        <v>450.8999999998</v>
      </c>
      <c r="GM8">
        <v>451.1000000002</v>
      </c>
      <c r="GN8">
        <v>450.9999999991</v>
      </c>
      <c r="GO8">
        <v>451.1000000002</v>
      </c>
      <c r="GP8">
        <v>450.9999999991</v>
      </c>
      <c r="GQ8">
        <v>450.9999999991</v>
      </c>
      <c r="GR8">
        <v>450.8999999998</v>
      </c>
      <c r="GS8">
        <v>450.8999999998</v>
      </c>
      <c r="GT8">
        <v>451.29999999879999</v>
      </c>
      <c r="GU8">
        <v>451.19999999949999</v>
      </c>
      <c r="GV8">
        <v>451.19999999949999</v>
      </c>
      <c r="GW8">
        <v>1</v>
      </c>
      <c r="GX8">
        <v>122.4000000002</v>
      </c>
      <c r="GY8">
        <v>120.6000000002</v>
      </c>
      <c r="GZ8">
        <v>120.6000000002</v>
      </c>
      <c r="HA8">
        <v>126.0999999995</v>
      </c>
      <c r="HB8">
        <v>122.10343490309999</v>
      </c>
      <c r="HC8">
        <v>-5.4999999992999999</v>
      </c>
      <c r="HD8">
        <v>451.19999999949999</v>
      </c>
      <c r="HE8">
        <v>299.06763434800001</v>
      </c>
      <c r="HF8">
        <v>101.3765650965</v>
      </c>
      <c r="HG8">
        <v>451.29999999879999</v>
      </c>
      <c r="HH8">
        <v>451.29999999879999</v>
      </c>
      <c r="HI8">
        <v>451.29999999879999</v>
      </c>
      <c r="HJ8">
        <v>451.29999999879999</v>
      </c>
      <c r="HK8">
        <v>107.91788856300001</v>
      </c>
      <c r="HL8">
        <v>3.3866703332000001</v>
      </c>
      <c r="HM8">
        <v>3.3135734277000002</v>
      </c>
      <c r="HN8">
        <v>3.3668818994</v>
      </c>
      <c r="HO8">
        <v>3.1280505328000001</v>
      </c>
      <c r="HP8">
        <v>3.5556076098</v>
      </c>
      <c r="HQ8">
        <v>2.3093090518000001</v>
      </c>
      <c r="HR8">
        <v>20.7268698066</v>
      </c>
      <c r="HS8">
        <v>-30.4985337243</v>
      </c>
      <c r="HT8">
        <v>-208</v>
      </c>
      <c r="HU8">
        <v>421.17106925100001</v>
      </c>
      <c r="HV8">
        <v>91.495601172999997</v>
      </c>
      <c r="HW8">
        <v>624</v>
      </c>
      <c r="HX8">
        <v>20.7268698066</v>
      </c>
      <c r="HY8">
        <v>-30.4985337243</v>
      </c>
      <c r="HZ8">
        <v>-208</v>
      </c>
      <c r="IA8">
        <v>421.17106925100001</v>
      </c>
      <c r="IB8">
        <v>91.495601172999997</v>
      </c>
      <c r="IC8">
        <v>624</v>
      </c>
      <c r="ID8">
        <v>30.128930747799998</v>
      </c>
      <c r="IE8">
        <v>2.0091412746000001</v>
      </c>
      <c r="IF8">
        <v>-39.8826979472</v>
      </c>
      <c r="IG8">
        <v>-272</v>
      </c>
      <c r="IH8">
        <v>442.76162880890001</v>
      </c>
      <c r="II8">
        <v>100.87976539589999</v>
      </c>
      <c r="IJ8">
        <v>688</v>
      </c>
      <c r="IK8">
        <v>400.4441994444</v>
      </c>
      <c r="IL8">
        <v>121.9941348974</v>
      </c>
      <c r="IM8">
        <v>422.70466481990002</v>
      </c>
      <c r="IN8">
        <v>131.37829912020001</v>
      </c>
      <c r="IO8">
        <v>7.2999999992999998</v>
      </c>
      <c r="IP8">
        <v>5.9000000001000004</v>
      </c>
      <c r="IQ8">
        <v>9.2000000003999993</v>
      </c>
      <c r="IR8">
        <v>5.7415247129000004</v>
      </c>
      <c r="IS8">
        <v>5.7415247129000004</v>
      </c>
      <c r="IT8">
        <v>3.3000000002999998</v>
      </c>
      <c r="IU8">
        <v>-32.844574780099997</v>
      </c>
      <c r="IV8">
        <v>8.3000000013000008</v>
      </c>
      <c r="IW8">
        <v>65.689149560100006</v>
      </c>
      <c r="IX8">
        <v>6.7000000017000003</v>
      </c>
      <c r="IY8">
        <v>96.187683284499997</v>
      </c>
      <c r="IZ8">
        <v>-37.265050486299998</v>
      </c>
      <c r="JA8">
        <v>0.33891435869999997</v>
      </c>
      <c r="JB8">
        <v>-3.6324380000000002E-4</v>
      </c>
      <c r="JC8">
        <v>6.7449999999999996E-7</v>
      </c>
      <c r="JD8">
        <v>0.2952752709</v>
      </c>
      <c r="JE8">
        <v>0.22068757899999999</v>
      </c>
      <c r="JF8">
        <v>9.4971366400000007E-2</v>
      </c>
      <c r="JG8">
        <v>122.80852383360001</v>
      </c>
      <c r="JH8">
        <v>3.5556076098</v>
      </c>
      <c r="JI8">
        <v>3.5544265E-3</v>
      </c>
      <c r="JJ8">
        <v>-7.5523699999999997E-5</v>
      </c>
      <c r="JK8">
        <v>3.3866703332000001</v>
      </c>
      <c r="JL8">
        <v>1.1318061308</v>
      </c>
      <c r="JM8">
        <v>0.52983410230000005</v>
      </c>
      <c r="JN8" t="s">
        <v>545</v>
      </c>
      <c r="JQ8">
        <v>1</v>
      </c>
    </row>
    <row r="9" spans="1:277">
      <c r="A9" t="s">
        <v>650</v>
      </c>
      <c r="B9" t="s">
        <v>651</v>
      </c>
      <c r="C9" t="s">
        <v>212</v>
      </c>
      <c r="D9">
        <v>3</v>
      </c>
      <c r="E9" t="s">
        <v>213</v>
      </c>
      <c r="F9" t="s">
        <v>214</v>
      </c>
      <c r="G9" t="s">
        <v>544</v>
      </c>
      <c r="H9" t="s">
        <v>216</v>
      </c>
      <c r="J9" t="s">
        <v>608</v>
      </c>
      <c r="K9" t="s">
        <v>609</v>
      </c>
      <c r="L9" t="s">
        <v>610</v>
      </c>
      <c r="M9" t="s">
        <v>611</v>
      </c>
      <c r="N9" t="s">
        <v>612</v>
      </c>
      <c r="O9">
        <v>0</v>
      </c>
      <c r="P9">
        <v>0</v>
      </c>
      <c r="Q9">
        <v>0.20000000039999999</v>
      </c>
      <c r="R9">
        <v>0.29999999970000002</v>
      </c>
      <c r="S9">
        <v>0.29999999970000002</v>
      </c>
      <c r="T9">
        <v>0.20000000039999999</v>
      </c>
      <c r="U9">
        <v>0</v>
      </c>
      <c r="V9">
        <v>0.20000000039999999</v>
      </c>
      <c r="W9">
        <v>0.20000000039999999</v>
      </c>
      <c r="X9">
        <v>0.29999999970000002</v>
      </c>
      <c r="Y9">
        <v>0.39999999899999999</v>
      </c>
      <c r="Z9">
        <v>0.20000000039999999</v>
      </c>
      <c r="AA9">
        <v>0.29999999970000002</v>
      </c>
      <c r="AB9">
        <v>0.39999999899999999</v>
      </c>
      <c r="AC9">
        <v>0.39999999899999999</v>
      </c>
      <c r="AD9">
        <v>0.20000000039999999</v>
      </c>
      <c r="AE9">
        <v>0.20000000039999999</v>
      </c>
      <c r="AF9">
        <v>0.29999999970000002</v>
      </c>
      <c r="AG9">
        <v>0.50000000010000001</v>
      </c>
      <c r="AH9">
        <v>0.7000000005</v>
      </c>
      <c r="AI9">
        <v>4.3000000004999999</v>
      </c>
      <c r="AJ9">
        <v>9.7000000004999993</v>
      </c>
      <c r="AK9">
        <v>16.400000000399999</v>
      </c>
      <c r="AL9">
        <v>24.299999999099999</v>
      </c>
      <c r="AM9">
        <v>31.399999999799999</v>
      </c>
      <c r="AN9">
        <v>38.300000000200001</v>
      </c>
      <c r="AO9">
        <v>45.500000000199996</v>
      </c>
      <c r="AP9">
        <v>52.799999999500002</v>
      </c>
      <c r="AQ9">
        <v>60.199999999900001</v>
      </c>
      <c r="AR9">
        <v>68.100000000400001</v>
      </c>
      <c r="AS9">
        <v>76.799999998900006</v>
      </c>
      <c r="AT9">
        <v>84.300000000400004</v>
      </c>
      <c r="AU9">
        <v>91.899999999399995</v>
      </c>
      <c r="AV9">
        <v>99.700000000700001</v>
      </c>
      <c r="AW9">
        <v>107.8999999991</v>
      </c>
      <c r="AX9">
        <v>117.2000000006</v>
      </c>
      <c r="AY9">
        <v>126.39999999920001</v>
      </c>
      <c r="AZ9">
        <v>134.59999999940001</v>
      </c>
      <c r="BA9">
        <v>142.40000000059999</v>
      </c>
      <c r="BB9">
        <v>150.9000000005</v>
      </c>
      <c r="BC9">
        <v>158.69999999999999</v>
      </c>
      <c r="BD9">
        <v>166.60000000049999</v>
      </c>
      <c r="BE9">
        <v>174.9</v>
      </c>
      <c r="BF9">
        <v>184.1000000004</v>
      </c>
      <c r="BG9">
        <v>192.30000000059999</v>
      </c>
      <c r="BH9">
        <v>200.69999999940001</v>
      </c>
      <c r="BI9">
        <v>208.09999999979999</v>
      </c>
      <c r="BJ9">
        <v>216.00000000029999</v>
      </c>
      <c r="BK9">
        <v>224.39999999919999</v>
      </c>
      <c r="BL9">
        <v>233.2000000006</v>
      </c>
      <c r="BM9">
        <v>241.0999999993</v>
      </c>
      <c r="BN9">
        <v>248.7000000001</v>
      </c>
      <c r="BO9">
        <v>256.6999999999</v>
      </c>
      <c r="BP9">
        <v>263.99999999919999</v>
      </c>
      <c r="BQ9">
        <v>271.80000000040002</v>
      </c>
      <c r="BR9">
        <v>279.80000000029997</v>
      </c>
      <c r="BS9">
        <v>288.00000000049999</v>
      </c>
      <c r="BT9">
        <v>295.20000000049998</v>
      </c>
      <c r="BU9">
        <v>302.49999999980002</v>
      </c>
      <c r="BV9">
        <v>309.29999999900002</v>
      </c>
      <c r="BW9">
        <v>316.60000000010001</v>
      </c>
      <c r="BX9">
        <v>323.8000000001</v>
      </c>
      <c r="BY9">
        <v>331.20000000049998</v>
      </c>
      <c r="BZ9">
        <v>338.70000000020002</v>
      </c>
      <c r="CA9">
        <v>345.49999999940002</v>
      </c>
      <c r="CB9">
        <v>351.99999999900001</v>
      </c>
      <c r="CC9">
        <v>358.20000000060003</v>
      </c>
      <c r="CD9">
        <v>364.79999999939997</v>
      </c>
      <c r="CE9">
        <v>370.99999999919999</v>
      </c>
      <c r="CF9">
        <v>377.59999999979999</v>
      </c>
      <c r="CG9">
        <v>384.39999999899999</v>
      </c>
      <c r="CH9">
        <v>390.9000000003</v>
      </c>
      <c r="CI9">
        <v>396.99999999900001</v>
      </c>
      <c r="CJ9">
        <v>403.00000000019998</v>
      </c>
      <c r="CK9">
        <v>408.60000000069999</v>
      </c>
      <c r="CL9">
        <v>414.00000000070003</v>
      </c>
      <c r="CM9">
        <v>418.99999999990001</v>
      </c>
      <c r="CN9">
        <v>425.10000000039997</v>
      </c>
      <c r="CO9">
        <v>430.699999999</v>
      </c>
      <c r="CP9">
        <v>437.09999999920001</v>
      </c>
      <c r="CQ9">
        <v>442.79999999889998</v>
      </c>
      <c r="CR9">
        <v>447.70000000060003</v>
      </c>
      <c r="CS9">
        <v>452.29999999900002</v>
      </c>
      <c r="CT9">
        <v>456.59999999950003</v>
      </c>
      <c r="CU9">
        <v>457.00000000030002</v>
      </c>
      <c r="CV9">
        <v>456.89999999920002</v>
      </c>
      <c r="CW9">
        <v>457.00000000030002</v>
      </c>
      <c r="CX9">
        <v>456.89999999920002</v>
      </c>
      <c r="CY9">
        <v>457.09999999960002</v>
      </c>
      <c r="CZ9">
        <v>457.00000000030002</v>
      </c>
      <c r="DA9">
        <v>457.00000000030002</v>
      </c>
      <c r="DB9">
        <v>457.19999999890001</v>
      </c>
      <c r="DC9">
        <v>457.09999999960002</v>
      </c>
      <c r="DD9">
        <v>457.19999999890001</v>
      </c>
      <c r="DE9">
        <v>457.3</v>
      </c>
      <c r="DF9">
        <v>457.00000000030002</v>
      </c>
      <c r="DG9">
        <v>1.5000000003</v>
      </c>
      <c r="DH9">
        <v>1.0000000002</v>
      </c>
      <c r="DI9">
        <v>0.89999999909999995</v>
      </c>
      <c r="DJ9">
        <v>1.0000000002</v>
      </c>
      <c r="DK9">
        <v>1.0999999995</v>
      </c>
      <c r="DL9">
        <v>1.2999999999</v>
      </c>
      <c r="DM9">
        <v>1.0000000002</v>
      </c>
      <c r="DN9">
        <v>1.0999999995</v>
      </c>
      <c r="DO9">
        <v>0.89999999909999995</v>
      </c>
      <c r="DP9">
        <v>1.0999999995</v>
      </c>
      <c r="DQ9">
        <v>1.0999999995</v>
      </c>
      <c r="DR9">
        <v>1.0000000002</v>
      </c>
      <c r="DS9">
        <v>1.3999999992000001</v>
      </c>
      <c r="DT9">
        <v>1.2999999999</v>
      </c>
      <c r="DU9">
        <v>1.5000000003</v>
      </c>
      <c r="DV9">
        <v>1.2000000006</v>
      </c>
      <c r="DW9">
        <v>1.2999999999</v>
      </c>
      <c r="DX9">
        <v>2.1999999990000001</v>
      </c>
      <c r="DY9">
        <v>7.4000000004000004</v>
      </c>
      <c r="DZ9">
        <v>14.799999999000001</v>
      </c>
      <c r="EA9">
        <v>22.699999999500001</v>
      </c>
      <c r="EB9">
        <v>30.000000000699998</v>
      </c>
      <c r="EC9">
        <v>36.899999999199999</v>
      </c>
      <c r="ED9">
        <v>44.200000000300001</v>
      </c>
      <c r="EE9">
        <v>51.199999999900001</v>
      </c>
      <c r="EF9">
        <v>57.999999999099998</v>
      </c>
      <c r="EG9">
        <v>65.899999999599999</v>
      </c>
      <c r="EH9">
        <v>74.599999999900007</v>
      </c>
      <c r="EI9">
        <v>82.599999999700003</v>
      </c>
      <c r="EJ9">
        <v>90.099999999399998</v>
      </c>
      <c r="EK9">
        <v>98.200000000399996</v>
      </c>
      <c r="EL9">
        <v>105.7999999994</v>
      </c>
      <c r="EM9">
        <v>114.4000000004</v>
      </c>
      <c r="EN9">
        <v>124.2999999995</v>
      </c>
      <c r="EO9">
        <v>132.9999999998</v>
      </c>
      <c r="EP9">
        <v>140.6999999999</v>
      </c>
      <c r="EQ9">
        <v>148.6999999997</v>
      </c>
      <c r="ER9">
        <v>156.60000000030001</v>
      </c>
      <c r="ES9">
        <v>164.80000000050001</v>
      </c>
      <c r="ET9">
        <v>173.80000000050001</v>
      </c>
      <c r="EU9">
        <v>182.69999999940001</v>
      </c>
      <c r="EV9">
        <v>190.8999999996</v>
      </c>
      <c r="EW9">
        <v>199.19999999909999</v>
      </c>
      <c r="EX9">
        <v>207.19999999890001</v>
      </c>
      <c r="EY9">
        <v>214.79999999969999</v>
      </c>
      <c r="EZ9">
        <v>223.50000000009999</v>
      </c>
      <c r="FA9">
        <v>232.59999999940001</v>
      </c>
      <c r="FB9">
        <v>240.7999999996</v>
      </c>
      <c r="FC9">
        <v>248.40000000040001</v>
      </c>
      <c r="FD9">
        <v>256.60000000060001</v>
      </c>
      <c r="FE9">
        <v>263.99999999919999</v>
      </c>
      <c r="FF9">
        <v>272.30000000050001</v>
      </c>
      <c r="FG9">
        <v>280.80000000050001</v>
      </c>
      <c r="FH9">
        <v>288.50000000059998</v>
      </c>
      <c r="FI9">
        <v>296.09999999960002</v>
      </c>
      <c r="FJ9">
        <v>303.7000000004</v>
      </c>
      <c r="FK9">
        <v>310.7</v>
      </c>
      <c r="FL9">
        <v>317.60000000029999</v>
      </c>
      <c r="FM9">
        <v>325.10000000000002</v>
      </c>
      <c r="FN9">
        <v>333.19999999909999</v>
      </c>
      <c r="FO9">
        <v>340.50000000019998</v>
      </c>
      <c r="FP9">
        <v>347.09999999899998</v>
      </c>
      <c r="FQ9">
        <v>354.29999999910001</v>
      </c>
      <c r="FR9">
        <v>360.50000000070003</v>
      </c>
      <c r="FS9">
        <v>366.50000000009999</v>
      </c>
      <c r="FT9">
        <v>373.29999999929998</v>
      </c>
      <c r="FU9">
        <v>379.80000000059999</v>
      </c>
      <c r="FV9">
        <v>387.19999999919997</v>
      </c>
      <c r="FW9">
        <v>393.0999999993</v>
      </c>
      <c r="FX9">
        <v>398.90000000010002</v>
      </c>
      <c r="FY9">
        <v>405.09999999989998</v>
      </c>
      <c r="FZ9">
        <v>410.79999999969999</v>
      </c>
      <c r="GA9">
        <v>416.10000000039997</v>
      </c>
      <c r="GB9">
        <v>421.5999999997</v>
      </c>
      <c r="GC9">
        <v>427.40000000049997</v>
      </c>
      <c r="GD9">
        <v>433.69999999959998</v>
      </c>
      <c r="GE9">
        <v>438.70000000060003</v>
      </c>
      <c r="GF9">
        <v>443.90000000020001</v>
      </c>
      <c r="GG9">
        <v>448.39999999930001</v>
      </c>
      <c r="GH9">
        <v>452.99999999950001</v>
      </c>
      <c r="GI9">
        <v>456.59999999950003</v>
      </c>
      <c r="GJ9">
        <v>457.00000000030002</v>
      </c>
      <c r="GK9">
        <v>457.00000000030002</v>
      </c>
      <c r="GL9">
        <v>456.89999999920002</v>
      </c>
      <c r="GM9">
        <v>456.89999999920002</v>
      </c>
      <c r="GN9">
        <v>457.00000000030002</v>
      </c>
      <c r="GO9">
        <v>457.09999999960002</v>
      </c>
      <c r="GP9">
        <v>457.09999999960002</v>
      </c>
      <c r="GQ9">
        <v>456.89999999920002</v>
      </c>
      <c r="GR9">
        <v>456.89999999920002</v>
      </c>
      <c r="GS9">
        <v>457.00000000030002</v>
      </c>
      <c r="GT9">
        <v>457.00000000030002</v>
      </c>
      <c r="GU9">
        <v>457.00000000030002</v>
      </c>
      <c r="GV9">
        <v>456.89999999920002</v>
      </c>
      <c r="GW9">
        <v>1</v>
      </c>
      <c r="GX9">
        <v>110.5000000007</v>
      </c>
      <c r="GY9">
        <v>107.8999999991</v>
      </c>
      <c r="GZ9">
        <v>107.8999999991</v>
      </c>
      <c r="HA9">
        <v>114.4000000004</v>
      </c>
      <c r="HB9">
        <v>109.4803893683</v>
      </c>
      <c r="HC9">
        <v>-6.5000000013000001</v>
      </c>
      <c r="HD9">
        <v>456.90004374850002</v>
      </c>
      <c r="HE9">
        <v>311.46542710310001</v>
      </c>
      <c r="HF9">
        <v>92.810970140099997</v>
      </c>
      <c r="HG9">
        <v>457.3</v>
      </c>
      <c r="HH9">
        <v>457.09999999960002</v>
      </c>
      <c r="HI9">
        <v>457.3</v>
      </c>
      <c r="HJ9">
        <v>457.09999999960002</v>
      </c>
      <c r="HK9">
        <v>112.6099706745</v>
      </c>
      <c r="HL9">
        <v>3.3564003451</v>
      </c>
      <c r="HM9">
        <v>3.2638513158000002</v>
      </c>
      <c r="HN9">
        <v>3.3200815476000001</v>
      </c>
      <c r="HO9">
        <v>3.1520982010999998</v>
      </c>
      <c r="HP9">
        <v>3.5272404550999998</v>
      </c>
      <c r="HQ9">
        <v>2.2496928662000002</v>
      </c>
      <c r="HR9">
        <v>16.669419228199999</v>
      </c>
      <c r="HS9">
        <v>-28.152492668600001</v>
      </c>
      <c r="HT9">
        <v>-192</v>
      </c>
      <c r="HU9">
        <v>420.94581647140001</v>
      </c>
      <c r="HV9">
        <v>96.187683284499997</v>
      </c>
      <c r="HW9">
        <v>656</v>
      </c>
      <c r="HX9">
        <v>16.669419228199999</v>
      </c>
      <c r="HY9">
        <v>-28.152492668600001</v>
      </c>
      <c r="HZ9">
        <v>-192</v>
      </c>
      <c r="IA9">
        <v>420.94581647140001</v>
      </c>
      <c r="IB9">
        <v>96.187683284499997</v>
      </c>
      <c r="IC9">
        <v>656</v>
      </c>
      <c r="ID9">
        <v>36.154183528300003</v>
      </c>
      <c r="IE9">
        <v>0.50157497549999996</v>
      </c>
      <c r="IF9">
        <v>-37.536656891500002</v>
      </c>
      <c r="IG9">
        <v>-256</v>
      </c>
      <c r="IH9">
        <v>443.65233511989999</v>
      </c>
      <c r="II9">
        <v>105.57184750730001</v>
      </c>
      <c r="IJ9">
        <v>720</v>
      </c>
      <c r="IK9">
        <v>404.27639724319999</v>
      </c>
      <c r="IL9">
        <v>124.3401759531</v>
      </c>
      <c r="IM9">
        <v>428.83829158830002</v>
      </c>
      <c r="IN9">
        <v>133.724340176</v>
      </c>
      <c r="IO9">
        <v>7.3999999986000002</v>
      </c>
      <c r="IP9">
        <v>6.4000000002000004</v>
      </c>
      <c r="IQ9">
        <v>9.8999999991000003</v>
      </c>
      <c r="IR9">
        <v>5.9009698331999996</v>
      </c>
      <c r="IS9">
        <v>5.9009698331999996</v>
      </c>
      <c r="IT9">
        <v>5.0999999985000004</v>
      </c>
      <c r="IU9">
        <v>-30.4985337243</v>
      </c>
      <c r="IV9">
        <v>9.5999999993999996</v>
      </c>
      <c r="IW9">
        <v>82.1114369501</v>
      </c>
      <c r="IX9">
        <v>8.0000000016000001</v>
      </c>
      <c r="IY9">
        <v>103.22580645159999</v>
      </c>
      <c r="IZ9">
        <v>-33.636270146299999</v>
      </c>
      <c r="JA9">
        <v>0.33545144329999999</v>
      </c>
      <c r="JB9">
        <v>-3.4871529999999998E-4</v>
      </c>
      <c r="JC9">
        <v>6.7159999999999995E-7</v>
      </c>
      <c r="JD9">
        <v>0.29793823660000002</v>
      </c>
      <c r="JE9">
        <v>0.38054795299999999</v>
      </c>
      <c r="JF9">
        <v>0.15758925330000001</v>
      </c>
      <c r="JG9">
        <v>110.7488377606</v>
      </c>
      <c r="JH9">
        <v>3.5272404550999998</v>
      </c>
      <c r="JI9">
        <v>3.6505484000000001E-3</v>
      </c>
      <c r="JJ9">
        <v>-7.1328999999999994E-5</v>
      </c>
      <c r="JK9">
        <v>3.3564003451</v>
      </c>
      <c r="JL9">
        <v>1.4237512627</v>
      </c>
      <c r="JM9">
        <v>0.6249986287</v>
      </c>
      <c r="JN9" t="s">
        <v>545</v>
      </c>
      <c r="JQ9">
        <v>1</v>
      </c>
    </row>
    <row r="10" spans="1:277">
      <c r="A10" t="s">
        <v>652</v>
      </c>
      <c r="B10" t="s">
        <v>653</v>
      </c>
      <c r="C10" t="s">
        <v>212</v>
      </c>
      <c r="D10">
        <v>3</v>
      </c>
      <c r="E10" t="s">
        <v>213</v>
      </c>
      <c r="F10" t="s">
        <v>214</v>
      </c>
      <c r="G10" t="s">
        <v>544</v>
      </c>
      <c r="H10" t="s">
        <v>216</v>
      </c>
      <c r="J10" t="s">
        <v>620</v>
      </c>
      <c r="K10" t="s">
        <v>621</v>
      </c>
      <c r="L10" t="s">
        <v>622</v>
      </c>
      <c r="M10" t="s">
        <v>623</v>
      </c>
      <c r="N10" t="s">
        <v>624</v>
      </c>
      <c r="O10">
        <v>0</v>
      </c>
      <c r="P10">
        <v>0</v>
      </c>
      <c r="Q10">
        <v>0</v>
      </c>
      <c r="R10">
        <v>1.5000000003</v>
      </c>
      <c r="S10">
        <v>1.5999999996000001</v>
      </c>
      <c r="T10">
        <v>1.5000000003</v>
      </c>
      <c r="U10">
        <v>1.5000000003</v>
      </c>
      <c r="V10">
        <v>1.5000000003</v>
      </c>
      <c r="W10">
        <v>1.7000000007</v>
      </c>
      <c r="X10">
        <v>1.7000000007</v>
      </c>
      <c r="Y10">
        <v>1.8999999993000001</v>
      </c>
      <c r="Z10">
        <v>2.0999999997000001</v>
      </c>
      <c r="AA10">
        <v>2.1999999990000001</v>
      </c>
      <c r="AB10">
        <v>2.1999999990000001</v>
      </c>
      <c r="AC10">
        <v>2.1999999990000001</v>
      </c>
      <c r="AD10">
        <v>2.3999999993999999</v>
      </c>
      <c r="AE10">
        <v>3.0999999999000001</v>
      </c>
      <c r="AF10">
        <v>4.3000000004999999</v>
      </c>
      <c r="AG10">
        <v>5.1999999996000001</v>
      </c>
      <c r="AH10">
        <v>9.2000000003999993</v>
      </c>
      <c r="AI10">
        <v>14.4999999993</v>
      </c>
      <c r="AJ10">
        <v>21.699999999300001</v>
      </c>
      <c r="AK10">
        <v>28.8</v>
      </c>
      <c r="AL10">
        <v>35.700000000400003</v>
      </c>
      <c r="AM10">
        <v>43.099999998999998</v>
      </c>
      <c r="AN10">
        <v>50.4000000001</v>
      </c>
      <c r="AO10">
        <v>57.499999999000003</v>
      </c>
      <c r="AP10">
        <v>64.599999999700003</v>
      </c>
      <c r="AQ10">
        <v>72.799999999899995</v>
      </c>
      <c r="AR10">
        <v>81.000000000100002</v>
      </c>
      <c r="AS10">
        <v>88.900000000600002</v>
      </c>
      <c r="AT10">
        <v>96.799999999299999</v>
      </c>
      <c r="AU10">
        <v>104.4000000002</v>
      </c>
      <c r="AV10">
        <v>111.69999999949999</v>
      </c>
      <c r="AW10">
        <v>119.8999999997</v>
      </c>
      <c r="AX10">
        <v>129.10000000010001</v>
      </c>
      <c r="AY10">
        <v>137.69999999929999</v>
      </c>
      <c r="AZ10">
        <v>146.09999999990001</v>
      </c>
      <c r="BA10">
        <v>153.69999999890001</v>
      </c>
      <c r="BB10">
        <v>161.29999999980001</v>
      </c>
      <c r="BC10">
        <v>169.20000000030001</v>
      </c>
      <c r="BD10">
        <v>177.90000000059999</v>
      </c>
      <c r="BE10">
        <v>186.2999999994</v>
      </c>
      <c r="BF10">
        <v>194.49999999959999</v>
      </c>
      <c r="BG10">
        <v>203.10000000060001</v>
      </c>
      <c r="BH10">
        <v>210.39999999989999</v>
      </c>
      <c r="BI10">
        <v>218.1</v>
      </c>
      <c r="BJ10">
        <v>226.5000000007</v>
      </c>
      <c r="BK10">
        <v>234.39999999939999</v>
      </c>
      <c r="BL10">
        <v>242.59999999959999</v>
      </c>
      <c r="BM10">
        <v>250.2000000004</v>
      </c>
      <c r="BN10">
        <v>257.99999999980002</v>
      </c>
      <c r="BO10">
        <v>265.29999999910001</v>
      </c>
      <c r="BP10">
        <v>272.89999999989999</v>
      </c>
      <c r="BQ10">
        <v>280.80000000050001</v>
      </c>
      <c r="BR10">
        <v>288.39999999949998</v>
      </c>
      <c r="BS10">
        <v>295.70000000060003</v>
      </c>
      <c r="BT10">
        <v>303.20000000030001</v>
      </c>
      <c r="BU10">
        <v>309.99999999950001</v>
      </c>
      <c r="BV10">
        <v>316.8999999998</v>
      </c>
      <c r="BW10">
        <v>323.699999999</v>
      </c>
      <c r="BX10">
        <v>331.00000000009999</v>
      </c>
      <c r="BY10">
        <v>337.90000000039998</v>
      </c>
      <c r="BZ10">
        <v>344.90000000010002</v>
      </c>
      <c r="CA10">
        <v>351.30000000029997</v>
      </c>
      <c r="CB10">
        <v>357.89999999909998</v>
      </c>
      <c r="CC10">
        <v>363.9000000003</v>
      </c>
      <c r="CD10">
        <v>369.89999999970001</v>
      </c>
      <c r="CE10">
        <v>376.00000000019998</v>
      </c>
      <c r="CF10">
        <v>382.99999999980002</v>
      </c>
      <c r="CG10">
        <v>388.99999999919999</v>
      </c>
      <c r="CH10">
        <v>395.199999999</v>
      </c>
      <c r="CI10">
        <v>400.90000000049997</v>
      </c>
      <c r="CJ10">
        <v>406.9</v>
      </c>
      <c r="CK10">
        <v>412.00000000030002</v>
      </c>
      <c r="CL10">
        <v>417.49999999959999</v>
      </c>
      <c r="CM10">
        <v>422.80000000029997</v>
      </c>
      <c r="CN10">
        <v>428.5</v>
      </c>
      <c r="CO10">
        <v>434.19999999970003</v>
      </c>
      <c r="CP10">
        <v>439.5999999997</v>
      </c>
      <c r="CQ10">
        <v>444.7</v>
      </c>
      <c r="CR10">
        <v>449.30000000019999</v>
      </c>
      <c r="CS10">
        <v>451.49999999919999</v>
      </c>
      <c r="CT10">
        <v>451.60000000029999</v>
      </c>
      <c r="CU10">
        <v>451.60000000029999</v>
      </c>
      <c r="CV10">
        <v>451.69999999959998</v>
      </c>
      <c r="CW10">
        <v>451.9</v>
      </c>
      <c r="CX10">
        <v>451.9</v>
      </c>
      <c r="CY10">
        <v>451.99999999929997</v>
      </c>
      <c r="CZ10">
        <v>451.80000000069998</v>
      </c>
      <c r="DA10">
        <v>451.80000000069998</v>
      </c>
      <c r="DB10">
        <v>451.69999999959998</v>
      </c>
      <c r="DC10">
        <v>451.69999999959998</v>
      </c>
      <c r="DD10">
        <v>451.9</v>
      </c>
      <c r="DE10">
        <v>451.99999999929997</v>
      </c>
      <c r="DF10">
        <v>451.99999999929997</v>
      </c>
      <c r="DG10">
        <v>0.79999999980000003</v>
      </c>
      <c r="DH10">
        <v>2.3999999993999999</v>
      </c>
      <c r="DI10">
        <v>2.3000000000999998</v>
      </c>
      <c r="DJ10">
        <v>2.0999999997000001</v>
      </c>
      <c r="DK10">
        <v>2.1999999990000001</v>
      </c>
      <c r="DL10">
        <v>2.1999999990000001</v>
      </c>
      <c r="DM10">
        <v>2.5999999998000001</v>
      </c>
      <c r="DN10">
        <v>2.3999999993999999</v>
      </c>
      <c r="DO10">
        <v>2.5999999998000001</v>
      </c>
      <c r="DP10">
        <v>2.5999999998000001</v>
      </c>
      <c r="DQ10">
        <v>2.3000000000999998</v>
      </c>
      <c r="DR10">
        <v>2.5000000005</v>
      </c>
      <c r="DS10">
        <v>2.8000000001999998</v>
      </c>
      <c r="DT10">
        <v>3.0999999999000001</v>
      </c>
      <c r="DU10">
        <v>3.8999999996999999</v>
      </c>
      <c r="DV10">
        <v>4.9999999991999999</v>
      </c>
      <c r="DW10">
        <v>6.9999999996</v>
      </c>
      <c r="DX10">
        <v>12.199999999199999</v>
      </c>
      <c r="DY10">
        <v>19.0000000002</v>
      </c>
      <c r="DZ10">
        <v>26.499999999900002</v>
      </c>
      <c r="EA10">
        <v>33.900000000399999</v>
      </c>
      <c r="EB10">
        <v>41.199999999699997</v>
      </c>
      <c r="EC10">
        <v>48.499999999000003</v>
      </c>
      <c r="ED10">
        <v>55.5000000004</v>
      </c>
      <c r="EE10">
        <v>62.899999999000002</v>
      </c>
      <c r="EF10">
        <v>70.200000000100005</v>
      </c>
      <c r="EG10">
        <v>79.099999999000005</v>
      </c>
      <c r="EH10">
        <v>87.199999999900001</v>
      </c>
      <c r="EI10">
        <v>95.100000000500003</v>
      </c>
      <c r="EJ10">
        <v>102.8999999999</v>
      </c>
      <c r="EK10">
        <v>110.5000000007</v>
      </c>
      <c r="EL10">
        <v>117.89999999929999</v>
      </c>
      <c r="EM10">
        <v>126.50000000030001</v>
      </c>
      <c r="EN10">
        <v>135.59999999959999</v>
      </c>
      <c r="EO10">
        <v>143.8999999991</v>
      </c>
      <c r="EP10">
        <v>151.7999999996</v>
      </c>
      <c r="EQ10">
        <v>159.70000000019999</v>
      </c>
      <c r="ER10">
        <v>167.4000000003</v>
      </c>
      <c r="ES10">
        <v>176.2999999992</v>
      </c>
      <c r="ET10">
        <v>184.60000000049999</v>
      </c>
      <c r="EU10">
        <v>193.1000000004</v>
      </c>
      <c r="EV10">
        <v>200.8999999998</v>
      </c>
      <c r="EW10">
        <v>209.19999999929999</v>
      </c>
      <c r="EX10">
        <v>216.89999999939999</v>
      </c>
      <c r="EY10">
        <v>224.89999999930001</v>
      </c>
      <c r="EZ10">
        <v>233.59999999959999</v>
      </c>
      <c r="FA10">
        <v>241.50000000009999</v>
      </c>
      <c r="FB10">
        <v>249.9000000007</v>
      </c>
      <c r="FC10">
        <v>256.99999999959999</v>
      </c>
      <c r="FD10">
        <v>264.79999999900002</v>
      </c>
      <c r="FE10">
        <v>272.30000000050001</v>
      </c>
      <c r="FF10">
        <v>280.19999999919997</v>
      </c>
      <c r="FG10">
        <v>288.39999999949998</v>
      </c>
      <c r="FH10">
        <v>295.59999999950003</v>
      </c>
      <c r="FI10">
        <v>303.5999999993</v>
      </c>
      <c r="FJ10">
        <v>310.49999999959999</v>
      </c>
      <c r="FK10">
        <v>317.1000000002</v>
      </c>
      <c r="FL10">
        <v>324.19999999909999</v>
      </c>
      <c r="FM10">
        <v>331.39999999909998</v>
      </c>
      <c r="FN10">
        <v>338.90000000060002</v>
      </c>
      <c r="FO10">
        <v>345.6999999999</v>
      </c>
      <c r="FP10">
        <v>352.69999999949999</v>
      </c>
      <c r="FQ10">
        <v>359.69999999909999</v>
      </c>
      <c r="FR10">
        <v>365.09999999910002</v>
      </c>
      <c r="FS10">
        <v>371.4</v>
      </c>
      <c r="FT10">
        <v>377.69999999909999</v>
      </c>
      <c r="FU10">
        <v>384.39999999899999</v>
      </c>
      <c r="FV10">
        <v>390.60000000060001</v>
      </c>
      <c r="FW10">
        <v>397.19999999940001</v>
      </c>
      <c r="FX10">
        <v>402.59999999939998</v>
      </c>
      <c r="FY10">
        <v>408.99999999969998</v>
      </c>
      <c r="FZ10">
        <v>413.89999999960003</v>
      </c>
      <c r="GA10">
        <v>419.4000000007</v>
      </c>
      <c r="GB10">
        <v>424.30000000059999</v>
      </c>
      <c r="GC10">
        <v>429.79999999990002</v>
      </c>
      <c r="GD10">
        <v>435.10000000060001</v>
      </c>
      <c r="GE10">
        <v>440.30000000019999</v>
      </c>
      <c r="GF10">
        <v>445.20000000009998</v>
      </c>
      <c r="GG10">
        <v>449.09999999979999</v>
      </c>
      <c r="GH10">
        <v>451.69999999959998</v>
      </c>
      <c r="GI10">
        <v>451.60000000029999</v>
      </c>
      <c r="GJ10">
        <v>451.49999999919999</v>
      </c>
      <c r="GK10">
        <v>451.39999999989999</v>
      </c>
      <c r="GL10">
        <v>451.60000000029999</v>
      </c>
      <c r="GM10">
        <v>451.69999999959998</v>
      </c>
      <c r="GN10">
        <v>451.80000000069998</v>
      </c>
      <c r="GO10">
        <v>451.9</v>
      </c>
      <c r="GP10">
        <v>451.80000000069998</v>
      </c>
      <c r="GQ10">
        <v>451.9</v>
      </c>
      <c r="GR10">
        <v>451.80000000069998</v>
      </c>
      <c r="GS10">
        <v>451.69999999959998</v>
      </c>
      <c r="GT10">
        <v>451.69999999959998</v>
      </c>
      <c r="GU10">
        <v>451.99999999929997</v>
      </c>
      <c r="GV10">
        <v>451.9</v>
      </c>
      <c r="GW10">
        <v>1</v>
      </c>
      <c r="GX10">
        <v>122.99999999960001</v>
      </c>
      <c r="GY10">
        <v>119.8999999997</v>
      </c>
      <c r="GZ10">
        <v>119.8999999997</v>
      </c>
      <c r="HA10">
        <v>126.50000000030001</v>
      </c>
      <c r="HB10">
        <v>121.69893805300001</v>
      </c>
      <c r="HC10">
        <v>-6.6000000005999997</v>
      </c>
      <c r="HD10">
        <v>451.90001106199998</v>
      </c>
      <c r="HE10">
        <v>297.10676991230002</v>
      </c>
      <c r="HF10">
        <v>99.743008850099997</v>
      </c>
      <c r="HG10">
        <v>451.99999999929997</v>
      </c>
      <c r="HH10">
        <v>451.99999999929997</v>
      </c>
      <c r="HI10">
        <v>451.99999999929997</v>
      </c>
      <c r="HJ10">
        <v>451.99999999929997</v>
      </c>
      <c r="HK10">
        <v>110.26392961880001</v>
      </c>
      <c r="HL10">
        <v>3.2906290190999998</v>
      </c>
      <c r="HM10">
        <v>3.2049658834999999</v>
      </c>
      <c r="HN10">
        <v>3.2693951781999999</v>
      </c>
      <c r="HO10">
        <v>3.1373027471000001</v>
      </c>
      <c r="HP10">
        <v>3.4821408106999998</v>
      </c>
      <c r="HQ10">
        <v>2.2287151554000002</v>
      </c>
      <c r="HR10">
        <v>21.955929202899998</v>
      </c>
      <c r="HS10">
        <v>-30.4985337243</v>
      </c>
      <c r="HT10">
        <v>-208</v>
      </c>
      <c r="HU10">
        <v>418.80570796529997</v>
      </c>
      <c r="HV10">
        <v>93.841642228699996</v>
      </c>
      <c r="HW10">
        <v>640</v>
      </c>
      <c r="HX10">
        <v>21.955929202899998</v>
      </c>
      <c r="HY10">
        <v>-30.4985337243</v>
      </c>
      <c r="HZ10">
        <v>-208</v>
      </c>
      <c r="IA10">
        <v>418.80570796529997</v>
      </c>
      <c r="IB10">
        <v>93.841642228699996</v>
      </c>
      <c r="IC10">
        <v>640</v>
      </c>
      <c r="ID10">
        <v>33.194292034100002</v>
      </c>
      <c r="IE10">
        <v>4.3072013278999997</v>
      </c>
      <c r="IF10">
        <v>-39.8826979472</v>
      </c>
      <c r="IG10">
        <v>-272</v>
      </c>
      <c r="IH10">
        <v>440.10094026569999</v>
      </c>
      <c r="II10">
        <v>103.22580645159999</v>
      </c>
      <c r="IJ10">
        <v>704</v>
      </c>
      <c r="IK10">
        <v>396.84977876239998</v>
      </c>
      <c r="IL10">
        <v>124.3401759531</v>
      </c>
      <c r="IM10">
        <v>420.1309734509</v>
      </c>
      <c r="IN10">
        <v>133.724340176</v>
      </c>
      <c r="IO10">
        <v>7.2</v>
      </c>
      <c r="IP10">
        <v>5.6999999997000002</v>
      </c>
      <c r="IQ10">
        <v>9.2000000003999993</v>
      </c>
      <c r="IR10">
        <v>6.2910519963000002</v>
      </c>
      <c r="IS10">
        <v>6.2910519963000002</v>
      </c>
      <c r="IT10">
        <v>4.5000000009000001</v>
      </c>
      <c r="IU10">
        <v>-32.844574780099997</v>
      </c>
      <c r="IV10">
        <v>8.3999999988000003</v>
      </c>
      <c r="IW10">
        <v>70.381231671600005</v>
      </c>
      <c r="IX10">
        <v>6.6000000005999997</v>
      </c>
      <c r="IY10">
        <v>100.87976539589999</v>
      </c>
      <c r="IZ10">
        <v>-37.708939235000003</v>
      </c>
      <c r="JA10">
        <v>0.3410014428</v>
      </c>
      <c r="JB10">
        <v>-3.4996659999999999E-4</v>
      </c>
      <c r="JC10">
        <v>6.7919999999999999E-7</v>
      </c>
      <c r="JD10">
        <v>0.3038932661</v>
      </c>
      <c r="JE10">
        <v>0.28138323589999997</v>
      </c>
      <c r="JF10">
        <v>0.12792237309999999</v>
      </c>
      <c r="JG10">
        <v>122.76997637940001</v>
      </c>
      <c r="JH10">
        <v>3.4821408106999998</v>
      </c>
      <c r="JI10">
        <v>2.6285826000000002E-3</v>
      </c>
      <c r="JJ10">
        <v>-6.6118399999999994E-5</v>
      </c>
      <c r="JK10">
        <v>3.2906290190999998</v>
      </c>
      <c r="JL10">
        <v>1.3413620366000001</v>
      </c>
      <c r="JM10">
        <v>0.58196251060000004</v>
      </c>
      <c r="JN10" t="s">
        <v>545</v>
      </c>
      <c r="JQ10">
        <v>1</v>
      </c>
    </row>
    <row r="11" spans="1:277">
      <c r="A11" t="s">
        <v>654</v>
      </c>
      <c r="B11" t="s">
        <v>655</v>
      </c>
      <c r="C11" t="s">
        <v>212</v>
      </c>
      <c r="D11">
        <v>3</v>
      </c>
      <c r="E11" t="s">
        <v>213</v>
      </c>
      <c r="F11" t="s">
        <v>214</v>
      </c>
      <c r="G11" t="s">
        <v>544</v>
      </c>
      <c r="H11" t="s">
        <v>216</v>
      </c>
      <c r="J11" t="s">
        <v>627</v>
      </c>
      <c r="K11" t="s">
        <v>628</v>
      </c>
      <c r="L11" t="s">
        <v>629</v>
      </c>
      <c r="M11" t="s">
        <v>630</v>
      </c>
      <c r="N11" t="s">
        <v>631</v>
      </c>
      <c r="O11">
        <v>0</v>
      </c>
      <c r="P11">
        <v>0</v>
      </c>
      <c r="Q11">
        <v>0</v>
      </c>
      <c r="R11">
        <v>0.19999999860000001</v>
      </c>
      <c r="S11">
        <v>9.9999999300000003E-2</v>
      </c>
      <c r="T11">
        <v>0.29999999970000002</v>
      </c>
      <c r="U11">
        <v>0.39999999899999999</v>
      </c>
      <c r="V11">
        <v>0.29999999970000002</v>
      </c>
      <c r="W11">
        <v>0.50000000010000001</v>
      </c>
      <c r="X11">
        <v>0.39999999899999999</v>
      </c>
      <c r="Y11">
        <v>0.50000000010000001</v>
      </c>
      <c r="Z11">
        <v>0.50000000010000001</v>
      </c>
      <c r="AA11">
        <v>0.29999999970000002</v>
      </c>
      <c r="AB11">
        <v>0.29999999970000002</v>
      </c>
      <c r="AC11">
        <v>0.29999999970000002</v>
      </c>
      <c r="AD11">
        <v>0.39999999899999999</v>
      </c>
      <c r="AE11">
        <v>0.50000000010000001</v>
      </c>
      <c r="AF11">
        <v>0.50000000010000001</v>
      </c>
      <c r="AG11">
        <v>0.59999999940000004</v>
      </c>
      <c r="AH11">
        <v>0.59999999940000004</v>
      </c>
      <c r="AI11">
        <v>0.59999999940000004</v>
      </c>
      <c r="AJ11">
        <v>4.1000000000999997</v>
      </c>
      <c r="AK11">
        <v>10.199999998799999</v>
      </c>
      <c r="AL11">
        <v>17.0999999991</v>
      </c>
      <c r="AM11">
        <v>24.299999999099999</v>
      </c>
      <c r="AN11">
        <v>31.599999998400001</v>
      </c>
      <c r="AO11">
        <v>38.999999998900002</v>
      </c>
      <c r="AP11">
        <v>46.3999999993</v>
      </c>
      <c r="AQ11">
        <v>53.299999999599997</v>
      </c>
      <c r="AR11">
        <v>60.299999999199997</v>
      </c>
      <c r="AS11">
        <v>68.099999998599998</v>
      </c>
      <c r="AT11">
        <v>76.099999998399994</v>
      </c>
      <c r="AU11">
        <v>83.999999998899995</v>
      </c>
      <c r="AV11">
        <v>91.999999998700005</v>
      </c>
      <c r="AW11">
        <v>100.4999999986</v>
      </c>
      <c r="AX11">
        <v>109.3000000001</v>
      </c>
      <c r="AY11">
        <v>117.0999999995</v>
      </c>
      <c r="AZ11">
        <v>124.8999999989</v>
      </c>
      <c r="BA11">
        <v>133.39999999880001</v>
      </c>
      <c r="BB11">
        <v>141.7999999994</v>
      </c>
      <c r="BC11">
        <v>149.89999999849999</v>
      </c>
      <c r="BD11">
        <v>157.99999999939999</v>
      </c>
      <c r="BE11">
        <v>165.59999999839999</v>
      </c>
      <c r="BF11">
        <v>173.7999999987</v>
      </c>
      <c r="BG11">
        <v>182.19999999929999</v>
      </c>
      <c r="BH11">
        <v>190.6999999992</v>
      </c>
      <c r="BI11">
        <v>198.89999999939999</v>
      </c>
      <c r="BJ11">
        <v>206.6999999988</v>
      </c>
      <c r="BK11">
        <v>214.1999999985</v>
      </c>
      <c r="BL11">
        <v>222.3999999987</v>
      </c>
      <c r="BM11">
        <v>229.99999999959999</v>
      </c>
      <c r="BN11">
        <v>238.49999999950001</v>
      </c>
      <c r="BO11">
        <v>246.4999999993</v>
      </c>
      <c r="BP11">
        <v>253.89999999969999</v>
      </c>
      <c r="BQ11">
        <v>261.69999999909999</v>
      </c>
      <c r="BR11">
        <v>268.89999999909998</v>
      </c>
      <c r="BS11">
        <v>276.39999999880001</v>
      </c>
      <c r="BT11">
        <v>283.89999999849999</v>
      </c>
      <c r="BU11">
        <v>291.89999999830002</v>
      </c>
      <c r="BV11">
        <v>299.39999999989999</v>
      </c>
      <c r="BW11">
        <v>305.89999999939999</v>
      </c>
      <c r="BX11">
        <v>313.39999999909998</v>
      </c>
      <c r="BY11">
        <v>319.99999999969998</v>
      </c>
      <c r="BZ11">
        <v>326.99999999929997</v>
      </c>
      <c r="CA11">
        <v>333.89999999960003</v>
      </c>
      <c r="CB11">
        <v>340.89999999920002</v>
      </c>
      <c r="CC11">
        <v>347.89999999880001</v>
      </c>
      <c r="CD11">
        <v>353.99999999940002</v>
      </c>
      <c r="CE11">
        <v>360.69999999930002</v>
      </c>
      <c r="CF11">
        <v>366.99999999840003</v>
      </c>
      <c r="CG11">
        <v>372.89999999849999</v>
      </c>
      <c r="CH11">
        <v>379.2999999987</v>
      </c>
      <c r="CI11">
        <v>385.09999999950003</v>
      </c>
      <c r="CJ11">
        <v>391.79999999939997</v>
      </c>
      <c r="CK11">
        <v>398.09999999849998</v>
      </c>
      <c r="CL11">
        <v>403.8</v>
      </c>
      <c r="CM11">
        <v>409.89999999870003</v>
      </c>
      <c r="CN11">
        <v>415.39999999989999</v>
      </c>
      <c r="CO11">
        <v>420.89999999920002</v>
      </c>
      <c r="CP11">
        <v>426.2999999992</v>
      </c>
      <c r="CQ11">
        <v>431.69999999919997</v>
      </c>
      <c r="CR11">
        <v>437.3999999989</v>
      </c>
      <c r="CS11">
        <v>442.79999999889998</v>
      </c>
      <c r="CT11">
        <v>448.39999999930001</v>
      </c>
      <c r="CU11">
        <v>452.19999999970003</v>
      </c>
      <c r="CV11">
        <v>454.89999999880001</v>
      </c>
      <c r="CW11">
        <v>454.79999999950002</v>
      </c>
      <c r="CX11">
        <v>454.69999999840002</v>
      </c>
      <c r="CY11">
        <v>454.69999999840002</v>
      </c>
      <c r="CZ11">
        <v>454.89999999880001</v>
      </c>
      <c r="DA11">
        <v>455.09999999920001</v>
      </c>
      <c r="DB11">
        <v>455.2999999996</v>
      </c>
      <c r="DC11">
        <v>455.3999999989</v>
      </c>
      <c r="DD11">
        <v>455.3999999989</v>
      </c>
      <c r="DE11">
        <v>455.2999999996</v>
      </c>
      <c r="DF11">
        <v>454.99999999990001</v>
      </c>
      <c r="DG11">
        <v>0.79999999980000003</v>
      </c>
      <c r="DH11">
        <v>1.8</v>
      </c>
      <c r="DI11">
        <v>1.8</v>
      </c>
      <c r="DJ11">
        <v>1.8</v>
      </c>
      <c r="DK11">
        <v>1.8</v>
      </c>
      <c r="DL11">
        <v>1.4999999985000001</v>
      </c>
      <c r="DM11">
        <v>1.6999999989000001</v>
      </c>
      <c r="DN11">
        <v>1.5999999996000001</v>
      </c>
      <c r="DO11">
        <v>1.6999999989000001</v>
      </c>
      <c r="DP11">
        <v>1.6999999989000001</v>
      </c>
      <c r="DQ11">
        <v>1.8</v>
      </c>
      <c r="DR11">
        <v>1.6999999989000001</v>
      </c>
      <c r="DS11">
        <v>1.8</v>
      </c>
      <c r="DT11">
        <v>1.6999999989000001</v>
      </c>
      <c r="DU11">
        <v>1.5999999996000001</v>
      </c>
      <c r="DV11">
        <v>1.6999999989000001</v>
      </c>
      <c r="DW11">
        <v>1.6999999989000001</v>
      </c>
      <c r="DX11">
        <v>1.5999999996000001</v>
      </c>
      <c r="DY11">
        <v>2.0999999997000001</v>
      </c>
      <c r="DZ11">
        <v>8.5999999991999996</v>
      </c>
      <c r="EA11">
        <v>15.699999999899999</v>
      </c>
      <c r="EB11">
        <v>22.799999998800001</v>
      </c>
      <c r="EC11">
        <v>29.799999998400001</v>
      </c>
      <c r="ED11">
        <v>37.199999998800003</v>
      </c>
      <c r="EE11">
        <v>44.799999999699999</v>
      </c>
      <c r="EF11">
        <v>51.599999998900003</v>
      </c>
      <c r="EG11">
        <v>58.799999998899999</v>
      </c>
      <c r="EH11">
        <v>66.299999998600001</v>
      </c>
      <c r="EI11">
        <v>74.399999999499997</v>
      </c>
      <c r="EJ11">
        <v>82.099999999600001</v>
      </c>
      <c r="EK11">
        <v>90.099999999399998</v>
      </c>
      <c r="EL11">
        <v>98.199999998500004</v>
      </c>
      <c r="EM11">
        <v>106.59999999919999</v>
      </c>
      <c r="EN11">
        <v>114.9999999998</v>
      </c>
      <c r="EO11">
        <v>123.0999999989</v>
      </c>
      <c r="EP11">
        <v>131.6999999999</v>
      </c>
      <c r="EQ11">
        <v>139.99999999939999</v>
      </c>
      <c r="ER11">
        <v>148.29999999890001</v>
      </c>
      <c r="ES11">
        <v>156.2999999987</v>
      </c>
      <c r="ET11">
        <v>164.19999999929999</v>
      </c>
      <c r="EU11">
        <v>172.49999999880001</v>
      </c>
      <c r="EV11">
        <v>180.99999999869999</v>
      </c>
      <c r="EW11">
        <v>189.39999999930001</v>
      </c>
      <c r="EX11">
        <v>197.5999999995</v>
      </c>
      <c r="EY11">
        <v>205.5</v>
      </c>
      <c r="EZ11">
        <v>213.69999999839999</v>
      </c>
      <c r="FA11">
        <v>221.89999999860001</v>
      </c>
      <c r="FB11">
        <v>229.6999999999</v>
      </c>
      <c r="FC11">
        <v>238.19999999980001</v>
      </c>
      <c r="FD11">
        <v>246.4999999993</v>
      </c>
      <c r="FE11">
        <v>253.99999999900001</v>
      </c>
      <c r="FF11">
        <v>262.09999999989998</v>
      </c>
      <c r="FG11">
        <v>269.39999999920002</v>
      </c>
      <c r="FH11">
        <v>277.0999999993</v>
      </c>
      <c r="FI11">
        <v>284.69999999829997</v>
      </c>
      <c r="FJ11">
        <v>292.89999999859998</v>
      </c>
      <c r="FK11">
        <v>300.09999999860003</v>
      </c>
      <c r="FL11">
        <v>307.49999999900001</v>
      </c>
      <c r="FM11">
        <v>315.09999999979999</v>
      </c>
      <c r="FN11">
        <v>321.89999999899999</v>
      </c>
      <c r="FO11">
        <v>328.79999999929998</v>
      </c>
      <c r="FP11">
        <v>335.9</v>
      </c>
      <c r="FQ11">
        <v>343.49999999900001</v>
      </c>
      <c r="FR11">
        <v>349.99999999850002</v>
      </c>
      <c r="FS11">
        <v>356.19999999840002</v>
      </c>
      <c r="FT11">
        <v>363.29999999910001</v>
      </c>
      <c r="FU11">
        <v>369.29999999850003</v>
      </c>
      <c r="FV11">
        <v>375.89999999909998</v>
      </c>
      <c r="FW11">
        <v>381.99999999959999</v>
      </c>
      <c r="FX11">
        <v>388.2999999987</v>
      </c>
      <c r="FY11">
        <v>394.89999999930001</v>
      </c>
      <c r="FZ11">
        <v>400.49999999969998</v>
      </c>
      <c r="GA11">
        <v>406.2999999987</v>
      </c>
      <c r="GB11">
        <v>412.19999999880002</v>
      </c>
      <c r="GC11">
        <v>417.99999999969998</v>
      </c>
      <c r="GD11">
        <v>422.99999999890002</v>
      </c>
      <c r="GE11">
        <v>428.2999999996</v>
      </c>
      <c r="GF11">
        <v>433.49999999919999</v>
      </c>
      <c r="GG11">
        <v>438.89999999920002</v>
      </c>
      <c r="GH11">
        <v>443.99999999950001</v>
      </c>
      <c r="GI11">
        <v>449.09999999979999</v>
      </c>
      <c r="GJ11">
        <v>452.29999999900002</v>
      </c>
      <c r="GK11">
        <v>454.69999999840002</v>
      </c>
      <c r="GL11">
        <v>454.59999999910002</v>
      </c>
      <c r="GM11">
        <v>454.79999999950002</v>
      </c>
      <c r="GN11">
        <v>454.89999999880001</v>
      </c>
      <c r="GO11">
        <v>455.1999999985</v>
      </c>
      <c r="GP11">
        <v>455.2999999996</v>
      </c>
      <c r="GQ11">
        <v>455.3999999989</v>
      </c>
      <c r="GR11">
        <v>455.3999999989</v>
      </c>
      <c r="GS11">
        <v>455.09999999920001</v>
      </c>
      <c r="GT11">
        <v>454.89999999880001</v>
      </c>
      <c r="GU11">
        <v>454.99999999990001</v>
      </c>
      <c r="GV11">
        <v>454.89999999880001</v>
      </c>
      <c r="GW11">
        <v>1</v>
      </c>
      <c r="GX11">
        <v>102.3999999998</v>
      </c>
      <c r="GY11">
        <v>100.4999999986</v>
      </c>
      <c r="GZ11">
        <v>100.4999999986</v>
      </c>
      <c r="HA11">
        <v>106.59999999919999</v>
      </c>
      <c r="HB11">
        <v>101.8871856801</v>
      </c>
      <c r="HC11">
        <v>-6.1000000004999997</v>
      </c>
      <c r="HD11">
        <v>454.90008784330001</v>
      </c>
      <c r="HE11">
        <v>320.50945426610002</v>
      </c>
      <c r="HF11">
        <v>84.537454704799998</v>
      </c>
      <c r="HG11">
        <v>455.3999999989</v>
      </c>
      <c r="HH11">
        <v>455.3999999989</v>
      </c>
      <c r="HI11">
        <v>455.3999999989</v>
      </c>
      <c r="HJ11">
        <v>455.3999999989</v>
      </c>
      <c r="HK11">
        <v>117.3020527859</v>
      </c>
      <c r="HL11">
        <v>3.2950257271000001</v>
      </c>
      <c r="HM11">
        <v>3.2023923791</v>
      </c>
      <c r="HN11">
        <v>3.2993200390999999</v>
      </c>
      <c r="HO11">
        <v>3.1681693327999998</v>
      </c>
      <c r="HP11">
        <v>3.466681661</v>
      </c>
      <c r="HQ11">
        <v>2.2211145282000002</v>
      </c>
      <c r="HR11">
        <v>17.349730975300002</v>
      </c>
      <c r="HS11">
        <v>-25.806451612899998</v>
      </c>
      <c r="HT11">
        <v>-176</v>
      </c>
      <c r="HU11">
        <v>422.39663994620003</v>
      </c>
      <c r="HV11">
        <v>100.87976539589999</v>
      </c>
      <c r="HW11">
        <v>688</v>
      </c>
      <c r="HX11">
        <v>17.349730975300002</v>
      </c>
      <c r="HY11">
        <v>-25.806451612899998</v>
      </c>
      <c r="HZ11">
        <v>-176</v>
      </c>
      <c r="IA11">
        <v>422.39663994620003</v>
      </c>
      <c r="IB11">
        <v>100.87976539589999</v>
      </c>
      <c r="IC11">
        <v>688</v>
      </c>
      <c r="ID11">
        <v>33.003360052700003</v>
      </c>
      <c r="IE11">
        <v>0.60241572359999995</v>
      </c>
      <c r="IF11">
        <v>-35.190615835800003</v>
      </c>
      <c r="IG11">
        <v>-240</v>
      </c>
      <c r="IH11">
        <v>443.7876578451</v>
      </c>
      <c r="II11">
        <v>110.26392961880001</v>
      </c>
      <c r="IJ11">
        <v>752</v>
      </c>
      <c r="IK11">
        <v>405.04690897099999</v>
      </c>
      <c r="IL11">
        <v>126.6862170088</v>
      </c>
      <c r="IM11">
        <v>428.93483034939999</v>
      </c>
      <c r="IN11">
        <v>136.0703812317</v>
      </c>
      <c r="IO11">
        <v>7.1000000006999997</v>
      </c>
      <c r="IP11">
        <v>5.8000000007999999</v>
      </c>
      <c r="IQ11">
        <v>8.8000000014000008</v>
      </c>
      <c r="IR11">
        <v>6.2573816293000002</v>
      </c>
      <c r="IS11">
        <v>6.2573816293000002</v>
      </c>
      <c r="IT11">
        <v>5.5000000011000001</v>
      </c>
      <c r="IU11">
        <v>-28.152492668600001</v>
      </c>
      <c r="IV11">
        <v>9.7999999998000007</v>
      </c>
      <c r="IW11">
        <v>89.149560117299998</v>
      </c>
      <c r="IX11">
        <v>7.2</v>
      </c>
      <c r="IY11">
        <v>107.91788856300001</v>
      </c>
      <c r="IZ11">
        <v>-31.4325029028</v>
      </c>
      <c r="JA11">
        <v>0.33509650210000003</v>
      </c>
      <c r="JB11">
        <v>-3.2728679999999998E-4</v>
      </c>
      <c r="JC11">
        <v>6.4909999999999996E-7</v>
      </c>
      <c r="JD11">
        <v>0.30348776700000002</v>
      </c>
      <c r="JE11">
        <v>0.29137349670000001</v>
      </c>
      <c r="JF11">
        <v>0.11353483339999999</v>
      </c>
      <c r="JG11">
        <v>102.44011705760001</v>
      </c>
      <c r="JH11">
        <v>3.466681661</v>
      </c>
      <c r="JI11">
        <v>3.3479504999999999E-3</v>
      </c>
      <c r="JJ11">
        <v>-6.29229E-5</v>
      </c>
      <c r="JK11">
        <v>3.2950257271000001</v>
      </c>
      <c r="JL11">
        <v>1.2033769141999999</v>
      </c>
      <c r="JM11">
        <v>0.55406033160000001</v>
      </c>
      <c r="JN11" t="s">
        <v>545</v>
      </c>
      <c r="JQ11">
        <v>1</v>
      </c>
    </row>
    <row r="12" spans="1:277">
      <c r="A12" t="s">
        <v>656</v>
      </c>
      <c r="B12" t="s">
        <v>657</v>
      </c>
      <c r="C12" t="s">
        <v>212</v>
      </c>
      <c r="D12">
        <v>3</v>
      </c>
      <c r="E12" t="s">
        <v>213</v>
      </c>
      <c r="F12" t="s">
        <v>214</v>
      </c>
      <c r="G12" t="s">
        <v>544</v>
      </c>
      <c r="H12" t="s">
        <v>216</v>
      </c>
      <c r="J12" t="s">
        <v>634</v>
      </c>
      <c r="K12" t="s">
        <v>635</v>
      </c>
      <c r="L12" t="s">
        <v>636</v>
      </c>
      <c r="M12" t="s">
        <v>637</v>
      </c>
      <c r="N12" t="s">
        <v>638</v>
      </c>
      <c r="O12">
        <v>0</v>
      </c>
      <c r="P12">
        <v>0</v>
      </c>
      <c r="Q12">
        <v>0.29999999970000002</v>
      </c>
      <c r="R12">
        <v>0</v>
      </c>
      <c r="S12">
        <v>0.59999999940000004</v>
      </c>
      <c r="T12">
        <v>9.9999999300000003E-2</v>
      </c>
      <c r="U12">
        <v>9.9999999300000003E-2</v>
      </c>
      <c r="V12">
        <v>0.19999999860000001</v>
      </c>
      <c r="W12">
        <v>0.39999999899999999</v>
      </c>
      <c r="X12">
        <v>0.29999999970000002</v>
      </c>
      <c r="Y12">
        <v>0.19999999860000001</v>
      </c>
      <c r="Z12">
        <v>0.39999999899999999</v>
      </c>
      <c r="AA12">
        <v>0.50000000010000001</v>
      </c>
      <c r="AB12">
        <v>0.50000000010000001</v>
      </c>
      <c r="AC12">
        <v>0.39999999899999999</v>
      </c>
      <c r="AD12">
        <v>0.50000000010000001</v>
      </c>
      <c r="AE12">
        <v>0.29999999970000002</v>
      </c>
      <c r="AF12">
        <v>0.50000000010000001</v>
      </c>
      <c r="AG12">
        <v>0.69999999869999996</v>
      </c>
      <c r="AH12">
        <v>2.7999999984000001</v>
      </c>
      <c r="AI12">
        <v>6.9999999996</v>
      </c>
      <c r="AJ12">
        <v>12.8999999997</v>
      </c>
      <c r="AK12">
        <v>20.499999998700002</v>
      </c>
      <c r="AL12">
        <v>27.699999998700001</v>
      </c>
      <c r="AM12">
        <v>34.499999999800004</v>
      </c>
      <c r="AN12">
        <v>41.999999999499998</v>
      </c>
      <c r="AO12">
        <v>49.199999999500001</v>
      </c>
      <c r="AP12">
        <v>56.4999999988</v>
      </c>
      <c r="AQ12">
        <v>63.999999998500002</v>
      </c>
      <c r="AR12">
        <v>72.4999999984</v>
      </c>
      <c r="AS12">
        <v>80.3999999989</v>
      </c>
      <c r="AT12">
        <v>87.899999998599995</v>
      </c>
      <c r="AU12">
        <v>95.5999999987</v>
      </c>
      <c r="AV12">
        <v>103.29999999890001</v>
      </c>
      <c r="AW12">
        <v>111.7999999988</v>
      </c>
      <c r="AX12">
        <v>121.4999999993</v>
      </c>
      <c r="AY12">
        <v>130.09999999850001</v>
      </c>
      <c r="AZ12">
        <v>138.2999999987</v>
      </c>
      <c r="BA12">
        <v>146.6</v>
      </c>
      <c r="BB12">
        <v>154.2999999983</v>
      </c>
      <c r="BC12">
        <v>162.30000000000001</v>
      </c>
      <c r="BD12">
        <v>170.3999999991</v>
      </c>
      <c r="BE12">
        <v>179.6999999988</v>
      </c>
      <c r="BF12">
        <v>187.69999999859999</v>
      </c>
      <c r="BG12">
        <v>195.99999999990001</v>
      </c>
      <c r="BH12">
        <v>204.099999999</v>
      </c>
      <c r="BI12">
        <v>212.2999999992</v>
      </c>
      <c r="BJ12">
        <v>220.29999999899999</v>
      </c>
      <c r="BK12">
        <v>229.29999999910001</v>
      </c>
      <c r="BL12">
        <v>237.4</v>
      </c>
      <c r="BM12">
        <v>244.99999999900001</v>
      </c>
      <c r="BN12">
        <v>253.09999999990001</v>
      </c>
      <c r="BO12">
        <v>260.8</v>
      </c>
      <c r="BP12">
        <v>268.29999999969999</v>
      </c>
      <c r="BQ12">
        <v>276.59999999920001</v>
      </c>
      <c r="BR12">
        <v>284.69999999829997</v>
      </c>
      <c r="BS12">
        <v>292.0999999988</v>
      </c>
      <c r="BT12">
        <v>299.99999999929997</v>
      </c>
      <c r="BU12">
        <v>307.10000000000002</v>
      </c>
      <c r="BV12">
        <v>314.39999999930001</v>
      </c>
      <c r="BW12">
        <v>320.89999999880001</v>
      </c>
      <c r="BX12">
        <v>329.09999999899998</v>
      </c>
      <c r="BY12">
        <v>336.39999999830002</v>
      </c>
      <c r="BZ12">
        <v>343.39999999970001</v>
      </c>
      <c r="CA12">
        <v>350.39999999939999</v>
      </c>
      <c r="CB12">
        <v>356.7999999996</v>
      </c>
      <c r="CC12">
        <v>363.49999999950001</v>
      </c>
      <c r="CD12">
        <v>369.39999999960003</v>
      </c>
      <c r="CE12">
        <v>375.79999999979998</v>
      </c>
      <c r="CF12">
        <v>383.39999999880001</v>
      </c>
      <c r="CG12">
        <v>389.69999999970003</v>
      </c>
      <c r="CH12">
        <v>395.69999999909999</v>
      </c>
      <c r="CI12">
        <v>401.7999999996</v>
      </c>
      <c r="CJ12">
        <v>407.99999999940002</v>
      </c>
      <c r="CK12">
        <v>413.89999999960003</v>
      </c>
      <c r="CL12">
        <v>419.3999999989</v>
      </c>
      <c r="CM12">
        <v>425.09999999860003</v>
      </c>
      <c r="CN12">
        <v>431.39999999949998</v>
      </c>
      <c r="CO12">
        <v>437.3999999989</v>
      </c>
      <c r="CP12">
        <v>442.59999999849998</v>
      </c>
      <c r="CQ12">
        <v>448.19999999890001</v>
      </c>
      <c r="CR12">
        <v>453.1999999999</v>
      </c>
      <c r="CS12">
        <v>458.39999999949998</v>
      </c>
      <c r="CT12">
        <v>461.79999999910001</v>
      </c>
      <c r="CU12">
        <v>462.1999999999</v>
      </c>
      <c r="CV12">
        <v>462.0999999988</v>
      </c>
      <c r="CW12">
        <v>461.69999999980001</v>
      </c>
      <c r="CX12">
        <v>461.79999999910001</v>
      </c>
      <c r="CY12">
        <v>461.89999999840001</v>
      </c>
      <c r="CZ12">
        <v>462.0999999988</v>
      </c>
      <c r="DA12">
        <v>462.39999999849999</v>
      </c>
      <c r="DB12">
        <v>462.49999999959999</v>
      </c>
      <c r="DC12">
        <v>462.0999999988</v>
      </c>
      <c r="DD12">
        <v>462.1999999999</v>
      </c>
      <c r="DE12">
        <v>462.0999999988</v>
      </c>
      <c r="DF12">
        <v>462.0999999988</v>
      </c>
      <c r="DG12">
        <v>0.99999999839999998</v>
      </c>
      <c r="DH12">
        <v>1.1999999988000001</v>
      </c>
      <c r="DI12">
        <v>1.2999999999</v>
      </c>
      <c r="DJ12">
        <v>1.2999999999</v>
      </c>
      <c r="DK12">
        <v>1.1999999988000001</v>
      </c>
      <c r="DL12">
        <v>1.0999999995</v>
      </c>
      <c r="DM12">
        <v>1.2999999999</v>
      </c>
      <c r="DN12">
        <v>1.1999999988000001</v>
      </c>
      <c r="DO12">
        <v>1.0999999995</v>
      </c>
      <c r="DP12">
        <v>1.2999999999</v>
      </c>
      <c r="DQ12">
        <v>1.4999999985000001</v>
      </c>
      <c r="DR12">
        <v>1.2999999999</v>
      </c>
      <c r="DS12">
        <v>1.2999999999</v>
      </c>
      <c r="DT12">
        <v>1.4999999985000001</v>
      </c>
      <c r="DU12">
        <v>1.4999999985000001</v>
      </c>
      <c r="DV12">
        <v>1.2999999999</v>
      </c>
      <c r="DW12">
        <v>1.3999999992000001</v>
      </c>
      <c r="DX12">
        <v>4.8999999999000003</v>
      </c>
      <c r="DY12">
        <v>9.5000000001</v>
      </c>
      <c r="DZ12">
        <v>17.299999999499999</v>
      </c>
      <c r="EA12">
        <v>24.799999999200001</v>
      </c>
      <c r="EB12">
        <v>32.099999998500003</v>
      </c>
      <c r="EC12">
        <v>39.3999999997</v>
      </c>
      <c r="ED12">
        <v>46.599999999700003</v>
      </c>
      <c r="EE12">
        <v>54.000000000100002</v>
      </c>
      <c r="EF12">
        <v>60.799999999299999</v>
      </c>
      <c r="EG12">
        <v>68.199999999699997</v>
      </c>
      <c r="EH12">
        <v>77.099999998599998</v>
      </c>
      <c r="EI12">
        <v>84.799999998700002</v>
      </c>
      <c r="EJ12">
        <v>92.599999999900007</v>
      </c>
      <c r="EK12">
        <v>100.39999999939999</v>
      </c>
      <c r="EL12">
        <v>108.39999999920001</v>
      </c>
      <c r="EM12">
        <v>116.9999999984</v>
      </c>
      <c r="EN12">
        <v>127.0999999997</v>
      </c>
      <c r="EO12">
        <v>135.1999999988</v>
      </c>
      <c r="EP12">
        <v>143.49999999830001</v>
      </c>
      <c r="EQ12">
        <v>151.49999999990001</v>
      </c>
      <c r="ER12">
        <v>159.4999999998</v>
      </c>
      <c r="ES12">
        <v>167.49999999959999</v>
      </c>
      <c r="ET12">
        <v>176.59999999889999</v>
      </c>
      <c r="EU12">
        <v>184.99999999950001</v>
      </c>
      <c r="EV12">
        <v>193.69999999980001</v>
      </c>
      <c r="EW12">
        <v>201.9999999993</v>
      </c>
      <c r="EX12">
        <v>210.29999999879999</v>
      </c>
      <c r="EY12">
        <v>217.99999999889999</v>
      </c>
      <c r="EZ12">
        <v>226.89999999969999</v>
      </c>
      <c r="FA12">
        <v>234.99999999880001</v>
      </c>
      <c r="FB12">
        <v>243.3000000001</v>
      </c>
      <c r="FC12">
        <v>251.2999999999</v>
      </c>
      <c r="FD12">
        <v>259.29999999969999</v>
      </c>
      <c r="FE12">
        <v>266.79999999939997</v>
      </c>
      <c r="FF12">
        <v>275.2</v>
      </c>
      <c r="FG12">
        <v>283.39999999840001</v>
      </c>
      <c r="FH12">
        <v>291.19999999970003</v>
      </c>
      <c r="FI12">
        <v>298.7999999987</v>
      </c>
      <c r="FJ12">
        <v>306.39999999949998</v>
      </c>
      <c r="FK12">
        <v>313.59999999950003</v>
      </c>
      <c r="FL12">
        <v>320.39999999870003</v>
      </c>
      <c r="FM12">
        <v>328.49999999959999</v>
      </c>
      <c r="FN12">
        <v>336.09999999860003</v>
      </c>
      <c r="FO12">
        <v>342.69999999919997</v>
      </c>
      <c r="FP12">
        <v>349.89999999930001</v>
      </c>
      <c r="FQ12">
        <v>356.8999999989</v>
      </c>
      <c r="FR12">
        <v>363.6999999999</v>
      </c>
      <c r="FS12">
        <v>369.49999999890002</v>
      </c>
      <c r="FT12">
        <v>376.59999999960002</v>
      </c>
      <c r="FU12">
        <v>383.7999999996</v>
      </c>
      <c r="FV12">
        <v>390.09999999870001</v>
      </c>
      <c r="FW12">
        <v>396.09999999989998</v>
      </c>
      <c r="FX12">
        <v>402.19999999859999</v>
      </c>
      <c r="FY12">
        <v>408.1999999999</v>
      </c>
      <c r="FZ12">
        <v>413.79999999839998</v>
      </c>
      <c r="GA12">
        <v>419.5999999993</v>
      </c>
      <c r="GB12">
        <v>425.19999999970003</v>
      </c>
      <c r="GC12">
        <v>431.59999999989998</v>
      </c>
      <c r="GD12">
        <v>437.5</v>
      </c>
      <c r="GE12">
        <v>442.49999999919999</v>
      </c>
      <c r="GF12">
        <v>448.09999999960002</v>
      </c>
      <c r="GG12">
        <v>453.0999999988</v>
      </c>
      <c r="GH12">
        <v>457.5999999997</v>
      </c>
      <c r="GI12">
        <v>461.39999999830002</v>
      </c>
      <c r="GJ12">
        <v>461.69999999980001</v>
      </c>
      <c r="GK12">
        <v>461.69999999980001</v>
      </c>
      <c r="GL12">
        <v>461.69999999980001</v>
      </c>
      <c r="GM12">
        <v>461.89999999840001</v>
      </c>
      <c r="GN12">
        <v>462.0999999988</v>
      </c>
      <c r="GO12">
        <v>461.89999999840001</v>
      </c>
      <c r="GP12">
        <v>462.1999999999</v>
      </c>
      <c r="GQ12">
        <v>462.0999999988</v>
      </c>
      <c r="GR12">
        <v>461.99999999950001</v>
      </c>
      <c r="GS12">
        <v>461.79999999910001</v>
      </c>
      <c r="GT12">
        <v>461.89999999840001</v>
      </c>
      <c r="GU12">
        <v>462.0999999988</v>
      </c>
      <c r="GV12">
        <v>461.99999999950001</v>
      </c>
      <c r="GW12">
        <v>1</v>
      </c>
      <c r="GX12">
        <v>113.6999999999</v>
      </c>
      <c r="GY12">
        <v>111.7999999988</v>
      </c>
      <c r="GZ12">
        <v>111.7999999988</v>
      </c>
      <c r="HA12">
        <v>116.9999999984</v>
      </c>
      <c r="HB12">
        <v>113.08692265960001</v>
      </c>
      <c r="HC12">
        <v>-5.1999999996000001</v>
      </c>
      <c r="HD12">
        <v>462.00004326620001</v>
      </c>
      <c r="HE12">
        <v>318.03638723749998</v>
      </c>
      <c r="HF12">
        <v>92.376224986400004</v>
      </c>
      <c r="HG12">
        <v>462.49999999959999</v>
      </c>
      <c r="HH12">
        <v>462.19997836660002</v>
      </c>
      <c r="HI12">
        <v>462.49999999959999</v>
      </c>
      <c r="HJ12">
        <v>462.1999999999</v>
      </c>
      <c r="HK12">
        <v>112.6099706745</v>
      </c>
      <c r="HL12">
        <v>3.3420746067999998</v>
      </c>
      <c r="HM12">
        <v>3.2797941729</v>
      </c>
      <c r="HN12">
        <v>3.3269489086999999</v>
      </c>
      <c r="HO12">
        <v>3.1662083966000001</v>
      </c>
      <c r="HP12">
        <v>3.5248291136000001</v>
      </c>
      <c r="HQ12">
        <v>2.2065594857000002</v>
      </c>
      <c r="HR12">
        <v>20.710697673199999</v>
      </c>
      <c r="HS12">
        <v>-28.152492668600001</v>
      </c>
      <c r="HT12">
        <v>-192</v>
      </c>
      <c r="HU12">
        <v>431.12330989700001</v>
      </c>
      <c r="HV12">
        <v>98.533724340199996</v>
      </c>
      <c r="HW12">
        <v>672</v>
      </c>
      <c r="HX12">
        <v>20.710697673199999</v>
      </c>
      <c r="HY12">
        <v>-28.152492668600001</v>
      </c>
      <c r="HZ12">
        <v>-192</v>
      </c>
      <c r="IA12">
        <v>431.12330989700001</v>
      </c>
      <c r="IB12">
        <v>98.533724340199996</v>
      </c>
      <c r="IC12">
        <v>672</v>
      </c>
      <c r="ID12">
        <v>31.076668469600001</v>
      </c>
      <c r="IE12">
        <v>0.70159004739999997</v>
      </c>
      <c r="IF12">
        <v>-37.536656891500002</v>
      </c>
      <c r="IG12">
        <v>-256</v>
      </c>
      <c r="IH12">
        <v>452.97703623460001</v>
      </c>
      <c r="II12">
        <v>107.91788856300001</v>
      </c>
      <c r="IJ12">
        <v>736</v>
      </c>
      <c r="IK12">
        <v>410.4126122239</v>
      </c>
      <c r="IL12">
        <v>126.6862170088</v>
      </c>
      <c r="IM12">
        <v>435.2093455918</v>
      </c>
      <c r="IN12">
        <v>136.0703812317</v>
      </c>
      <c r="IO12">
        <v>7.7999999993999998</v>
      </c>
      <c r="IP12">
        <v>5.9000000001000004</v>
      </c>
      <c r="IQ12">
        <v>10.1000000013</v>
      </c>
      <c r="IR12">
        <v>6.0978555892999999</v>
      </c>
      <c r="IS12">
        <v>6.0978555892999999</v>
      </c>
      <c r="IT12">
        <v>4.3999999998000003</v>
      </c>
      <c r="IU12">
        <v>-30.4985337243</v>
      </c>
      <c r="IV12">
        <v>7.9999999998</v>
      </c>
      <c r="IW12">
        <v>79.765395894400001</v>
      </c>
      <c r="IX12">
        <v>5.5000000011000001</v>
      </c>
      <c r="IY12">
        <v>105.57184750730001</v>
      </c>
      <c r="IZ12">
        <v>-34.839753577499998</v>
      </c>
      <c r="JA12">
        <v>0.33784965950000001</v>
      </c>
      <c r="JB12">
        <v>-3.538724E-4</v>
      </c>
      <c r="JC12">
        <v>6.6759999999999997E-7</v>
      </c>
      <c r="JD12">
        <v>0.29921534309999998</v>
      </c>
      <c r="JE12">
        <v>0.3120712538</v>
      </c>
      <c r="JF12">
        <v>0.13843375629999999</v>
      </c>
      <c r="JG12">
        <v>114.3567176546</v>
      </c>
      <c r="JH12">
        <v>3.5248291136000001</v>
      </c>
      <c r="JI12">
        <v>3.4673229E-3</v>
      </c>
      <c r="JJ12">
        <v>-6.8719299999999998E-5</v>
      </c>
      <c r="JK12">
        <v>3.3420746067999998</v>
      </c>
      <c r="JL12">
        <v>1.6394529237</v>
      </c>
      <c r="JM12">
        <v>0.63908251220000001</v>
      </c>
      <c r="JN12" t="s">
        <v>545</v>
      </c>
      <c r="JQ12">
        <v>1</v>
      </c>
    </row>
    <row r="13" spans="1:277">
      <c r="A13" t="s">
        <v>666</v>
      </c>
      <c r="B13" t="s">
        <v>667</v>
      </c>
      <c r="C13" t="s">
        <v>212</v>
      </c>
      <c r="D13">
        <v>3</v>
      </c>
      <c r="E13" t="s">
        <v>213</v>
      </c>
      <c r="F13" t="s">
        <v>214</v>
      </c>
      <c r="G13" t="s">
        <v>544</v>
      </c>
      <c r="H13" t="s">
        <v>216</v>
      </c>
      <c r="J13" t="s">
        <v>661</v>
      </c>
      <c r="K13" t="s">
        <v>662</v>
      </c>
      <c r="L13" t="s">
        <v>663</v>
      </c>
      <c r="M13" t="s">
        <v>664</v>
      </c>
      <c r="N13" t="s">
        <v>665</v>
      </c>
      <c r="O13">
        <v>0</v>
      </c>
      <c r="P13">
        <v>0</v>
      </c>
      <c r="Q13">
        <v>0.39999999899999999</v>
      </c>
      <c r="R13">
        <v>0.79999999980000003</v>
      </c>
      <c r="S13">
        <v>0.29999999970000002</v>
      </c>
      <c r="T13">
        <v>0</v>
      </c>
      <c r="U13">
        <v>0.19999999860000001</v>
      </c>
      <c r="V13">
        <v>0.39999999899999999</v>
      </c>
      <c r="W13">
        <v>0.49999999830000003</v>
      </c>
      <c r="X13">
        <v>0.59999999940000004</v>
      </c>
      <c r="Y13">
        <v>0.99999999839999998</v>
      </c>
      <c r="Z13">
        <v>0.89999999909999995</v>
      </c>
      <c r="AA13">
        <v>0.79999999980000003</v>
      </c>
      <c r="AB13">
        <v>0.99999999839999998</v>
      </c>
      <c r="AC13">
        <v>0.89999999909999995</v>
      </c>
      <c r="AD13">
        <v>0.39999999899999999</v>
      </c>
      <c r="AE13">
        <v>0.59999999940000004</v>
      </c>
      <c r="AF13">
        <v>2.0999999997000001</v>
      </c>
      <c r="AG13">
        <v>8.3999999988000003</v>
      </c>
      <c r="AH13">
        <v>13.8999999999</v>
      </c>
      <c r="AI13">
        <v>18.399999998999998</v>
      </c>
      <c r="AJ13">
        <v>24.499999999500002</v>
      </c>
      <c r="AK13">
        <v>31.199999999399999</v>
      </c>
      <c r="AL13">
        <v>38.399999999499997</v>
      </c>
      <c r="AM13">
        <v>44.5</v>
      </c>
      <c r="AN13">
        <v>53.099999999200001</v>
      </c>
      <c r="AO13">
        <v>60.599999998900003</v>
      </c>
      <c r="AP13">
        <v>68.699999999799999</v>
      </c>
      <c r="AQ13">
        <v>75.499999998999996</v>
      </c>
      <c r="AR13">
        <v>83.499999998800007</v>
      </c>
      <c r="AS13">
        <v>91.499999998600003</v>
      </c>
      <c r="AT13">
        <v>98.899999999000002</v>
      </c>
      <c r="AU13">
        <v>107.29999999970001</v>
      </c>
      <c r="AV13">
        <v>115.7999999996</v>
      </c>
      <c r="AW13">
        <v>123.2</v>
      </c>
      <c r="AX13">
        <v>130.99999999939999</v>
      </c>
      <c r="AY13">
        <v>139.5999999986</v>
      </c>
      <c r="AZ13">
        <v>147.19999999940001</v>
      </c>
      <c r="BA13">
        <v>155.69999999929999</v>
      </c>
      <c r="BB13">
        <v>164.9999999991</v>
      </c>
      <c r="BC13">
        <v>173.29999999859999</v>
      </c>
      <c r="BD13">
        <v>180.4999999986</v>
      </c>
      <c r="BE13">
        <v>188.7999999999</v>
      </c>
      <c r="BF13">
        <v>196.2999999996</v>
      </c>
      <c r="BG13">
        <v>204.2999999994</v>
      </c>
      <c r="BH13">
        <v>213.099999999</v>
      </c>
      <c r="BI13">
        <v>221.49999999970001</v>
      </c>
      <c r="BJ13">
        <v>228.6999999997</v>
      </c>
      <c r="BK13">
        <v>236.79999999879999</v>
      </c>
      <c r="BL13">
        <v>244.49999999889999</v>
      </c>
      <c r="BM13">
        <v>252.69999999909999</v>
      </c>
      <c r="BN13">
        <v>260.59999999960002</v>
      </c>
      <c r="BO13">
        <v>268.79999999979998</v>
      </c>
      <c r="BP13">
        <v>276.39999999880001</v>
      </c>
      <c r="BQ13">
        <v>282.79999999900002</v>
      </c>
      <c r="BR13">
        <v>290.59999999839999</v>
      </c>
      <c r="BS13">
        <v>297.99999999890002</v>
      </c>
      <c r="BT13">
        <v>305.09999999960002</v>
      </c>
      <c r="BU13">
        <v>312.79999999969999</v>
      </c>
      <c r="BV13">
        <v>320.79999999950002</v>
      </c>
      <c r="BW13">
        <v>328.0999999988</v>
      </c>
      <c r="BX13">
        <v>334.29999999860001</v>
      </c>
      <c r="BY13">
        <v>340.79999999990002</v>
      </c>
      <c r="BZ13">
        <v>346.59999999889999</v>
      </c>
      <c r="CA13">
        <v>353.4</v>
      </c>
      <c r="CB13">
        <v>359.89999999949998</v>
      </c>
      <c r="CC13">
        <v>366.89999999909998</v>
      </c>
      <c r="CD13">
        <v>374.29999999950002</v>
      </c>
      <c r="CE13">
        <v>380.4</v>
      </c>
      <c r="CF13">
        <v>386.0999999997</v>
      </c>
      <c r="CG13">
        <v>392.19999999840002</v>
      </c>
      <c r="CH13">
        <v>397.79999999879999</v>
      </c>
      <c r="CI13">
        <v>403.49999999850002</v>
      </c>
      <c r="CJ13">
        <v>409.20000000009998</v>
      </c>
      <c r="CK13">
        <v>414.79999999860001</v>
      </c>
      <c r="CL13">
        <v>421.09999999960002</v>
      </c>
      <c r="CM13">
        <v>426.89999999859998</v>
      </c>
      <c r="CN13">
        <v>432.39999999970001</v>
      </c>
      <c r="CO13">
        <v>437.1999999985</v>
      </c>
      <c r="CP13">
        <v>442.59999999849998</v>
      </c>
      <c r="CQ13">
        <v>447.89999999920002</v>
      </c>
      <c r="CR13">
        <v>452.99999999950001</v>
      </c>
      <c r="CS13">
        <v>457.99999999869999</v>
      </c>
      <c r="CT13">
        <v>462.79999999929998</v>
      </c>
      <c r="CU13">
        <v>463.69999999840002</v>
      </c>
      <c r="CV13">
        <v>463.59999999910002</v>
      </c>
      <c r="CW13">
        <v>463.59999999910002</v>
      </c>
      <c r="CX13">
        <v>463.49999999980002</v>
      </c>
      <c r="CY13">
        <v>463.69999999840002</v>
      </c>
      <c r="CZ13">
        <v>463.79999999950002</v>
      </c>
      <c r="DA13">
        <v>463.99999999990001</v>
      </c>
      <c r="DB13">
        <v>463.99999999990001</v>
      </c>
      <c r="DC13">
        <v>464.09999999920001</v>
      </c>
      <c r="DD13">
        <v>463.89999999880001</v>
      </c>
      <c r="DE13">
        <v>463.69999999840002</v>
      </c>
      <c r="DF13">
        <v>463.79999999950002</v>
      </c>
      <c r="DG13">
        <v>0.99999999839999998</v>
      </c>
      <c r="DH13">
        <v>1.4999999985000001</v>
      </c>
      <c r="DI13">
        <v>1.8999999993000001</v>
      </c>
      <c r="DJ13">
        <v>2.0999999997000001</v>
      </c>
      <c r="DK13">
        <v>2.1999999990000001</v>
      </c>
      <c r="DL13">
        <v>1.6999999989000001</v>
      </c>
      <c r="DM13">
        <v>1.4999999985000001</v>
      </c>
      <c r="DN13">
        <v>1.3999999992000001</v>
      </c>
      <c r="DO13">
        <v>1.5999999996000001</v>
      </c>
      <c r="DP13">
        <v>1.4999999985000001</v>
      </c>
      <c r="DQ13">
        <v>1.9999999986000001</v>
      </c>
      <c r="DR13">
        <v>2.1999999990000001</v>
      </c>
      <c r="DS13">
        <v>2.2999999983000001</v>
      </c>
      <c r="DT13">
        <v>2.0999999997000001</v>
      </c>
      <c r="DU13">
        <v>1.5999999996000001</v>
      </c>
      <c r="DV13">
        <v>6.7999999991999998</v>
      </c>
      <c r="DW13">
        <v>12.299999998500001</v>
      </c>
      <c r="DX13">
        <v>17.199999998399999</v>
      </c>
      <c r="DY13">
        <v>22.799999998800001</v>
      </c>
      <c r="DZ13">
        <v>30.6</v>
      </c>
      <c r="EA13">
        <v>37.699999998899997</v>
      </c>
      <c r="EB13">
        <v>44.5</v>
      </c>
      <c r="EC13">
        <v>52.199999998300001</v>
      </c>
      <c r="ED13">
        <v>59.799999999100002</v>
      </c>
      <c r="EE13">
        <v>67.799999998900006</v>
      </c>
      <c r="EF13">
        <v>73.699999998999999</v>
      </c>
      <c r="EG13">
        <v>81.399999999100004</v>
      </c>
      <c r="EH13">
        <v>89.299999999600004</v>
      </c>
      <c r="EI13">
        <v>96.700000000100005</v>
      </c>
      <c r="EJ13">
        <v>105.49999999969999</v>
      </c>
      <c r="EK13">
        <v>114.2999999993</v>
      </c>
      <c r="EL13">
        <v>122.0999999987</v>
      </c>
      <c r="EM13">
        <v>129.69999999949999</v>
      </c>
      <c r="EN13">
        <v>138.4999999991</v>
      </c>
      <c r="EO13">
        <v>145.69999999909999</v>
      </c>
      <c r="EP13">
        <v>154.199999999</v>
      </c>
      <c r="EQ13">
        <v>162.89999999939999</v>
      </c>
      <c r="ER13">
        <v>171.09999999959999</v>
      </c>
      <c r="ES13">
        <v>178.5999999993</v>
      </c>
      <c r="ET13">
        <v>187.1999999985</v>
      </c>
      <c r="EU13">
        <v>195.2999999994</v>
      </c>
      <c r="EV13">
        <v>203.7</v>
      </c>
      <c r="EW13">
        <v>212.59999999889999</v>
      </c>
      <c r="EX13">
        <v>221.2</v>
      </c>
      <c r="EY13">
        <v>228.4</v>
      </c>
      <c r="EZ13">
        <v>236.09999999830001</v>
      </c>
      <c r="FA13">
        <v>243.59999999979999</v>
      </c>
      <c r="FB13">
        <v>251.69999999890001</v>
      </c>
      <c r="FC13">
        <v>259.89999999909998</v>
      </c>
      <c r="FD13">
        <v>268.79999999979998</v>
      </c>
      <c r="FE13">
        <v>276.39999999880001</v>
      </c>
      <c r="FF13">
        <v>283.7999999992</v>
      </c>
      <c r="FG13">
        <v>291.69999999980001</v>
      </c>
      <c r="FH13">
        <v>298.7999999987</v>
      </c>
      <c r="FI13">
        <v>305.99999999869999</v>
      </c>
      <c r="FJ13">
        <v>313.59999999950003</v>
      </c>
      <c r="FK13">
        <v>321.1999999985</v>
      </c>
      <c r="FL13">
        <v>328.0999999988</v>
      </c>
      <c r="FM13">
        <v>334.7999999987</v>
      </c>
      <c r="FN13">
        <v>341.89999999939999</v>
      </c>
      <c r="FO13">
        <v>348.69999999859999</v>
      </c>
      <c r="FP13">
        <v>355.39999999859998</v>
      </c>
      <c r="FQ13">
        <v>362.19999999959998</v>
      </c>
      <c r="FR13">
        <v>369.79999999860001</v>
      </c>
      <c r="FS13">
        <v>376.49999999850002</v>
      </c>
      <c r="FT13">
        <v>382.09999999889999</v>
      </c>
      <c r="FU13">
        <v>387.99999999900001</v>
      </c>
      <c r="FV13">
        <v>393.39999999899999</v>
      </c>
      <c r="FW13">
        <v>399.29999999910001</v>
      </c>
      <c r="FX13">
        <v>405.29999999850003</v>
      </c>
      <c r="FY13">
        <v>411.59999999950003</v>
      </c>
      <c r="FZ13">
        <v>417.59999999889999</v>
      </c>
      <c r="GA13">
        <v>423.9999999991</v>
      </c>
      <c r="GB13">
        <v>429.19999999869998</v>
      </c>
      <c r="GC13">
        <v>434.39999999830002</v>
      </c>
      <c r="GD13">
        <v>439.699999999</v>
      </c>
      <c r="GE13">
        <v>443.99999999950001</v>
      </c>
      <c r="GF13">
        <v>448.99999999869999</v>
      </c>
      <c r="GG13">
        <v>453.7</v>
      </c>
      <c r="GH13">
        <v>458.09999999979999</v>
      </c>
      <c r="GI13">
        <v>462.39999999849999</v>
      </c>
      <c r="GJ13">
        <v>463.39999999870003</v>
      </c>
      <c r="GK13">
        <v>463.29999999939997</v>
      </c>
      <c r="GL13">
        <v>463.49999999980002</v>
      </c>
      <c r="GM13">
        <v>463.59999999910002</v>
      </c>
      <c r="GN13">
        <v>463.49999999980002</v>
      </c>
      <c r="GO13">
        <v>463.89999999880001</v>
      </c>
      <c r="GP13">
        <v>463.69999999840002</v>
      </c>
      <c r="GQ13">
        <v>463.69999999840002</v>
      </c>
      <c r="GR13">
        <v>463.59999999910002</v>
      </c>
      <c r="GS13">
        <v>463.69999999840002</v>
      </c>
      <c r="GT13">
        <v>463.49999999980002</v>
      </c>
      <c r="GU13">
        <v>463.79999999950002</v>
      </c>
      <c r="GV13">
        <v>463.39999999870003</v>
      </c>
      <c r="GW13">
        <v>1</v>
      </c>
      <c r="GX13">
        <v>124.7999999996</v>
      </c>
      <c r="GY13">
        <v>123.2</v>
      </c>
      <c r="GZ13">
        <v>123.2</v>
      </c>
      <c r="HA13">
        <v>129.69999999949999</v>
      </c>
      <c r="HB13">
        <v>124.97177193349999</v>
      </c>
      <c r="HC13">
        <v>-6.4999999995</v>
      </c>
      <c r="HD13">
        <v>463.40025867520001</v>
      </c>
      <c r="HE13">
        <v>291.71380685410003</v>
      </c>
      <c r="HF13">
        <v>100.1095063594</v>
      </c>
      <c r="HG13">
        <v>464.09999999920001</v>
      </c>
      <c r="HH13">
        <v>463.89995688609997</v>
      </c>
      <c r="HI13">
        <v>464.09999999920001</v>
      </c>
      <c r="HJ13">
        <v>463.89999999880001</v>
      </c>
      <c r="HK13">
        <v>114.9560117302</v>
      </c>
      <c r="HL13">
        <v>3.3084133053000002</v>
      </c>
      <c r="HM13">
        <v>3.2351148322999999</v>
      </c>
      <c r="HN13">
        <v>3.2815338452999998</v>
      </c>
      <c r="HO13">
        <v>3.1051057022999999</v>
      </c>
      <c r="HP13">
        <v>3.4830654097</v>
      </c>
      <c r="HQ13">
        <v>2.2740244881999998</v>
      </c>
      <c r="HR13">
        <v>24.862265573999998</v>
      </c>
      <c r="HS13">
        <v>-30.4985337243</v>
      </c>
      <c r="HT13">
        <v>-208</v>
      </c>
      <c r="HU13">
        <v>416.68557878749999</v>
      </c>
      <c r="HV13">
        <v>91.495601172999997</v>
      </c>
      <c r="HW13">
        <v>624</v>
      </c>
      <c r="HX13">
        <v>24.862265573999998</v>
      </c>
      <c r="HY13">
        <v>-30.4985337243</v>
      </c>
      <c r="HZ13">
        <v>-208</v>
      </c>
      <c r="IA13">
        <v>416.68557878749999</v>
      </c>
      <c r="IB13">
        <v>91.495601172999997</v>
      </c>
      <c r="IC13">
        <v>624</v>
      </c>
      <c r="ID13">
        <v>47.214378098600001</v>
      </c>
      <c r="IE13">
        <v>2.1450851474000001</v>
      </c>
      <c r="IF13">
        <v>-39.8826979472</v>
      </c>
      <c r="IG13">
        <v>-272</v>
      </c>
      <c r="IH13">
        <v>439.2617482206</v>
      </c>
      <c r="II13">
        <v>100.87976539589999</v>
      </c>
      <c r="IJ13">
        <v>688</v>
      </c>
      <c r="IK13">
        <v>391.8233132135</v>
      </c>
      <c r="IL13">
        <v>121.9941348974</v>
      </c>
      <c r="IM13">
        <v>414.51278292619998</v>
      </c>
      <c r="IN13">
        <v>131.37829912020001</v>
      </c>
      <c r="IO13">
        <v>6.2999999990999997</v>
      </c>
      <c r="IP13">
        <v>6.4000000002000004</v>
      </c>
      <c r="IQ13">
        <v>9.2999999997000007</v>
      </c>
      <c r="IR13">
        <v>4.8252092426999997</v>
      </c>
      <c r="IS13">
        <v>4.8252092426999997</v>
      </c>
      <c r="IT13">
        <v>4.6999999995000001</v>
      </c>
      <c r="IU13">
        <v>-39.8826979472</v>
      </c>
      <c r="IV13">
        <v>9.8999999991000003</v>
      </c>
      <c r="IW13">
        <v>72.727272727300004</v>
      </c>
      <c r="IX13">
        <v>8.0999999990999996</v>
      </c>
      <c r="IY13">
        <v>96.187683284499997</v>
      </c>
      <c r="IZ13">
        <v>-38.733269570600001</v>
      </c>
      <c r="JA13">
        <v>0.34485763990000001</v>
      </c>
      <c r="JB13">
        <v>-3.6487629999999997E-4</v>
      </c>
      <c r="JC13">
        <v>6.8899999999999999E-7</v>
      </c>
      <c r="JD13">
        <v>0.30225969600000002</v>
      </c>
      <c r="JE13">
        <v>0.39326347080000001</v>
      </c>
      <c r="JF13">
        <v>0.13325651629999999</v>
      </c>
      <c r="JG13">
        <v>125.3592402454</v>
      </c>
      <c r="JH13">
        <v>3.4830654097</v>
      </c>
      <c r="JI13">
        <v>2.9954943000000001E-3</v>
      </c>
      <c r="JJ13">
        <v>-6.9967600000000004E-5</v>
      </c>
      <c r="JK13">
        <v>3.3084133053000002</v>
      </c>
      <c r="JL13">
        <v>1.1562782034000001</v>
      </c>
      <c r="JM13">
        <v>0.47349410689999999</v>
      </c>
      <c r="JN13" t="s">
        <v>545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81.653038982300004</v>
      </c>
      <c r="D16" s="9">
        <f>AVERAGE(C18:C20)</f>
        <v>84.99703736826666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86.169058570399997</v>
      </c>
      <c r="D17" s="9">
        <f>AVERAGE(C21:C23)</f>
        <v>86.933823117433334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85.702487782600002</v>
      </c>
      <c r="D18" s="11">
        <f>AVERAGE(C24:C26)</f>
        <v>85.571322455899988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87.342644559099995</v>
      </c>
      <c r="D19" s="6">
        <f>AVERAGE('Summary(3pcs)'!E34:E35)</f>
        <v>154.68507727068791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81.945979763099999</v>
      </c>
      <c r="D20" s="9">
        <f>AVERAGE('Summary(3pcs)'!E36:E38)</f>
        <v>142.17992497483792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77.491582771699996</v>
      </c>
      <c r="D21" s="9">
        <f>AVERAGE('Summary(3pcs)'!E39:E41)</f>
        <v>142.87274774507122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91.484505655800007</v>
      </c>
      <c r="D22" s="11">
        <f>AVERAGE('Summary(3pcs)'!E42:E44)</f>
        <v>147.0286719397379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91.825380924800001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86.494695458500004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87.028605594599995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83.190666314599994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-0.1843117235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-8.7314808382999995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0.15760457559999999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1.4808360225999999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4.502491289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-1.7746582778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0.87591035189999999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6.8973516192000002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-1.8193379908999998</v>
      </c>
      <c r="C39" s="5">
        <f>'Summary(3pcs)'!M34</f>
        <v>-0.1843117235</v>
      </c>
      <c r="D39" s="11">
        <f t="shared" si="0"/>
        <v>-1.2113413709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-8.7314808382999995</v>
      </c>
      <c r="D40" s="6">
        <f t="shared" si="0"/>
        <v>8.5091333678000005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0.15760457559999999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1.4808360225999999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2.6252737455749999</v>
      </c>
      <c r="C43" s="8">
        <f>'Summary(3pcs)'!M39</f>
        <v>4.502491289</v>
      </c>
      <c r="D43" s="6">
        <f t="shared" ref="D43:D54" si="2">C55</f>
        <v>0.14808683919999988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-1.7746582778</v>
      </c>
      <c r="D44" s="9">
        <f t="shared" si="2"/>
        <v>-0.83432589199999985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0.87591035189999999</v>
      </c>
      <c r="D45" s="11">
        <f t="shared" si="2"/>
        <v>-0.76907540090000026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6.8973516192000002</v>
      </c>
      <c r="D46" s="6">
        <f t="shared" si="2"/>
        <v>3.9691070896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-1.2113413709</v>
      </c>
      <c r="D47" s="9">
        <f t="shared" si="2"/>
        <v>-5.7867791657000005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8.5091333678000005</v>
      </c>
      <c r="D48" s="11">
        <f t="shared" si="2"/>
        <v>-6.3886051517000002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1.2173707390000001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-6.9302488969000002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1.7396335054000001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-1.1323804576000001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0.62844815897499995</v>
      </c>
      <c r="C55" s="5">
        <f>'Summary(3pcs)'!N34</f>
        <v>0.14808683919999988</v>
      </c>
      <c r="D55" s="6">
        <f>AVERAGE(D31:D33)</f>
        <v>-2.9193959953999999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-0.83432589199999985</v>
      </c>
      <c r="D56" s="9">
        <f>AVERAGE(D34:D36)</f>
        <v>1.4028896779333333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-0.76907540090000026</v>
      </c>
      <c r="D57" s="9">
        <f>AVERAGE(D37:D39)</f>
        <v>2.1873068667333335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3.9691070896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-4.4720656188250008</v>
      </c>
      <c r="C59" s="8">
        <f>'Summary(3pcs)'!N39</f>
        <v>-5.7867791657000005</v>
      </c>
      <c r="D59" s="9">
        <f>AVERAGE(D43:D45)</f>
        <v>-0.4851048179000001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-6.3886051517000002</v>
      </c>
      <c r="D60" s="9">
        <f>AVERAGE(D46:D48)</f>
        <v>-2.7354257426000004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1.2173707390000001</v>
      </c>
      <c r="D61" s="9">
        <f>AVERAGE(D49:D51)</f>
        <v>-1.3244148841666668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-6.9302488969000002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1.7396335054000001</v>
      </c>
      <c r="D63" s="6">
        <f>AVERAGE(C71:C73)</f>
        <v>-3.5457671483333333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-1.1323804576000001</v>
      </c>
      <c r="D64" s="9">
        <f>AVERAGE(C74:C76)</f>
        <v>-13.691944042866666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-19.060290018699998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-11.925895055133333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2.6998239358333334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-8.3433831533000014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-4.6190820535000006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-10.267299334233334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-2.1024594307000002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-8.9273633957000005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0.39252138139999992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-21.325994491599999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-14.477039337200001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-5.2727982997999998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-14.500132560699999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-19.266377449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-23.414360046399999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-9.3778276442999999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-11.094555854799999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-15.3053016663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0.98930573459999982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2.8970293999000001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4.2131366730000002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-13.765172958400001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-8.9251575470000013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-2.3398189545000001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-7.8325862884999999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-4.5827231406999998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-1.4419367313</v>
      </c>
    </row>
    <row r="96" spans="1:7">
      <c r="A96" s="1" t="s">
        <v>87</v>
      </c>
      <c r="C96" s="5">
        <f>'Summary(3pcs)'!W43</f>
        <v>-13.835236549399999</v>
      </c>
    </row>
    <row r="97" spans="1:3">
      <c r="A97" s="1" t="s">
        <v>87</v>
      </c>
      <c r="C97" s="8">
        <f>'Summary(3pcs)'!W44</f>
        <v>-7.3111844062999998</v>
      </c>
    </row>
    <row r="98" spans="1:3" ht="17.25" thickBot="1">
      <c r="A98" s="1" t="s">
        <v>87</v>
      </c>
      <c r="C98" s="10">
        <f>'Summary(3pcs)'!W45</f>
        <v>-9.6554770469999998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2022-09-23T10:35:10Z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