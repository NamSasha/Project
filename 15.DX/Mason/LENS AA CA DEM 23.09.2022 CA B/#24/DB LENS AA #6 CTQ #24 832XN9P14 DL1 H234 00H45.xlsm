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<sst xmlns="http://schemas.openxmlformats.org/spreadsheetml/2006/main" count="1248" uniqueCount="635">
  <si>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</si>
  <si>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</si>
  <si>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</si>
  <si>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</si>
  <si>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</si>
  <si>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</si>
  <si>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</si>
  <si>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</si>
  <si>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</si>
  <si>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</si>
  <si>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</si>
  <si>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</si>
  <si>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</si>
  <si>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</si>
  <si>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</si>
  <si>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</si>
  <si>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</si>
  <si>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</si>
  <si>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</si>
  <si>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</si>
  <si>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</si>
  <si>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</si>
  <si>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</si>
  <si>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</si>
  <si>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</si>
  <si>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</si>
  <si>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</si>
  <si>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</si>
  <si>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</si>
  <si>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</si>
  <si>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</si>
  <si>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</si>
  <si>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</si>
  <si>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</si>
  <si>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</si>
  <si>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</si>
  <si>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</si>
  <si>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</si>
  <si>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</si>
  <si>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</si>
  <si>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</si>
  <si>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</si>
  <si>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</si>
  <si>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</si>
  <si>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</si>
  <si>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</si>
  <si>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</si>
  <si>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</si>
  <si>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</si>
  <si>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</si>
  <si>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</si>
  <si>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</si>
  <si>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</si>
  <si>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</si>
  <si>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</si>
  <si>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</si>
  <si>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</si>
  <si>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</si>
  <si>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</si>
  <si>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</si>
  <si>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</si>
  <si>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</si>
  <si>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</si>
  <si>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</si>
  <si>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</si>
  <si>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</si>
  <si>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</si>
  <si>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</si>
  <si>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</si>
  <si>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</si>
  <si>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</si>
  <si>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</si>
  <si>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</si>
  <si>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</si>
  <si>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</si>
  <si>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</si>
  <si>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</si>
  <si>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</si>
  <si>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</si>
  <si>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</si>
  <si>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</si>
  <si>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</si>
  <si>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</si>
  <si>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</si>
  <si>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</si>
  <si>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</si>
  <si>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</si>
  <si>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</si>
  <si>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</si>
  <si>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</si>
  <si>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</si>
  <si>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</si>
  <si>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</si>
  <si>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</si>
  <si>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</si>
  <si>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</si>
  <si>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</si>
  <si>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</si>
  <si>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</si>
  <si>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</si>
  <si>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</si>
  <si>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</si>
  <si>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</si>
  <si>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</si>
  <si>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</si>
  <si>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</si>
  <si>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</si>
  <si>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</si>
  <si>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</si>
  <si>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</si>
  <si>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</si>
  <si>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</si>
  <si>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</si>
  <si>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</si>
  <si>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</si>
  <si>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</si>
  <si>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</si>
  <si>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</si>
  <si>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</si>
  <si>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</si>
  <si>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</si>
  <si>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</si>
  <si>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</si>
  <si>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</si>
  <si>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</si>
  <si>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</si>
  <si>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</si>
  <si>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</si>
  <si>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</si>
  <si>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</si>
  <si>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</si>
  <si>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</si>
  <si>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</si>
  <si>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</si>
  <si>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</si>
  <si>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</si>
  <si>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</si>
  <si>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</si>
  <si>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</si>
  <si>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</si>
  <si>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</si>
  <si>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</si>
  <si>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</si>
  <si>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</si>
  <si>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</si>
  <si>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</si>
  <si>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</si>
  <si>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</si>
  <si>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</si>
  <si>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</si>
  <si>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MS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</si>
  <si>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</si>
  <si>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</si>
  <si>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</si>
  <si>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</si>
  <si>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</si>
  <si>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</si>
  <si>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</si>
  <si>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</si>
  <si>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</si>
  <si>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</si>
  <si>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</si>
  <si>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</si>
  <si>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</si>
  <si>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</si>
  <si>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</si>
  <si>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</si>
  <si>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</si>
  <si>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</si>
  <si>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</si>
  <si>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</si>
  <si>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</si>
  <si>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</si>
  <si>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D:\EVMS\TP\LOG\ VSY832XN9P14_2022092320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</si>
  <si>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</si>
  <si>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</si>
  <si>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</si>
  <si>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</si>
  <si>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</si>
  <si>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</si>
  <si>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</si>
  <si>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</si>
  <si>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</si>
  <si>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</si>
  <si>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</si>
  <si>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</si>
  <si>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</si>
  <si>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</si>
  <si>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</si>
  <si>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</si>
  <si>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</si>
  <si>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</si>
  <si>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</si>
  <si>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</si>
  <si>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</si>
  <si>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</si>
  <si>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</si>
  <si>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</si>
  <si>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</si>
  <si>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</si>
  <si>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</si>
  <si>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</si>
  <si>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</si>
  <si>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</si>
  <si>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</si>
  <si>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</si>
  <si>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</si>
  <si>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</si>
  <si>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</si>
  <si>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</si>
  <si>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T220923203328935VCMLEBC060</t>
  </si>
  <si>
    <t>'2022-09-23 20:33:38:225</t>
  </si>
  <si>
    <t>VCMLEBC060A</t>
  </si>
  <si>
    <t>DB_C1001</t>
  </si>
  <si>
    <t>210615ADOE</t>
  </si>
  <si>
    <t>R13A_OC_MFG_C10_21091603_b1779c9</t>
  </si>
  <si>
    <t xml:space="preserve"> VSY832XN9P14</t>
  </si>
  <si>
    <t>22cd05160770</t>
  </si>
  <si>
    <t>0x528015622d157105</t>
  </si>
  <si>
    <t>MF8C3548A42242B6B743006006</t>
  </si>
  <si>
    <t>MF3C3463A2YY14A7A652</t>
  </si>
  <si>
    <t>DNA22291010470E05A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</si>
  <si>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</si>
  <si>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</si>
  <si>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</si>
  <si>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</si>
  <si>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</si>
  <si>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</si>
  <si>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</si>
  <si>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</si>
  <si>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</si>
  <si>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</si>
  <si>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</si>
  <si>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</si>
  <si>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</si>
  <si>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</si>
  <si>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</si>
  <si>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</si>
  <si>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</si>
  <si>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</si>
  <si>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</si>
  <si>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</si>
  <si>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</si>
  <si>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</si>
  <si>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</si>
  <si>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</si>
  <si>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</si>
  <si>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</si>
  <si>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</si>
  <si>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</si>
  <si>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</si>
  <si>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</si>
  <si>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</si>
  <si>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</si>
  <si>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</si>
  <si>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</si>
  <si>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</si>
  <si>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</si>
  <si>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</si>
  <si>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T220923203355657VCMLEBC060</t>
  </si>
  <si>
    <t>'2022-09-23 20:34:25:314</t>
  </si>
  <si>
    <t>R13A_IPQC_MFG_SFR_InfDn_C10_21090805_b1779c9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</si>
  <si>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</si>
  <si>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</si>
  <si>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</si>
  <si>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</si>
  <si>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</si>
  <si>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</si>
  <si>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</si>
  <si>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</si>
  <si>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</si>
  <si>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</si>
  <si>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</si>
  <si>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</si>
  <si>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</si>
  <si>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</si>
  <si>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</si>
  <si>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20:34:15:284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</si>
  <si>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</si>
  <si>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</si>
  <si>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</si>
  <si>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</si>
  <si>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</si>
  <si>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</si>
  <si>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</si>
  <si>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</si>
  <si>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</si>
  <si>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</si>
  <si>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</si>
  <si>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</si>
  <si>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</si>
  <si>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</si>
  <si>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</si>
  <si>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</si>
  <si>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</si>
  <si>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</si>
  <si>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</si>
  <si>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</si>
  <si>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</si>
  <si>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</si>
  <si>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</si>
  <si>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</si>
  <si>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</si>
  <si>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</si>
  <si>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</si>
  <si>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</si>
  <si>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</si>
  <si>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</si>
  <si>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</si>
  <si>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</si>
  <si>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</si>
  <si>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</si>
  <si>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</si>
  <si>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</si>
  <si>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</si>
  <si>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</si>
  <si>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</si>
  <si>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</si>
  <si>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</si>
  <si>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</si>
  <si>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</si>
  <si>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</si>
  <si>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</si>
  <si>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</si>
  <si>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</si>
  <si>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</si>
  <si>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</si>
  <si>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</si>
  <si>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</si>
  <si>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</si>
  <si>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</si>
  <si>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</si>
  <si>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</si>
  <si>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</si>
  <si>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</si>
  <si>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</si>
  <si>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</si>
  <si>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</si>
  <si>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</si>
  <si>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</si>
  <si>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</si>
  <si>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</si>
  <si>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</si>
  <si>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</si>
  <si>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</si>
  <si>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</si>
  <si>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</si>
  <si>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</si>
  <si>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</si>
  <si>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</si>
  <si>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</si>
  <si>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</si>
  <si>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</si>
  <si>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</si>
  <si>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</si>
  <si>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</si>
  <si>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</si>
  <si>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</si>
  <si>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</si>
  <si>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</si>
  <si>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</si>
  <si>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</si>
  <si>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</si>
  <si>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</si>
  <si>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</si>
  <si>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</si>
  <si>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</si>
  <si>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</si>
  <si>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</si>
  <si>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</si>
  <si>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</si>
  <si>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</si>
  <si>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</si>
  <si>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</si>
  <si>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</si>
  <si>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</si>
  <si>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</si>
  <si>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</si>
  <si>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</si>
  <si>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</si>
  <si>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</si>
  <si>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</si>
  <si>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</si>
  <si>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</si>
  <si>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</si>
  <si>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</si>
  <si>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</si>
  <si>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</si>
  <si>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</si>
  <si>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</si>
  <si>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</si>
  <si>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</si>
  <si>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</si>
  <si>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</si>
  <si>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</si>
  <si>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</si>
  <si>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</si>
  <si>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</si>
  <si>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</si>
  <si>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</si>
  <si>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</si>
  <si>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</si>
  <si>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</si>
  <si>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</si>
  <si>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</si>
  <si>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</si>
  <si>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</si>
  <si>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</si>
  <si>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</si>
  <si>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</si>
  <si>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</si>
  <si>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</si>
  <si>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</si>
  <si>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</si>
  <si>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</si>
  <si>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</si>
  <si>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</si>
  <si>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</si>
  <si>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</si>
  <si>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</si>
  <si>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</si>
  <si>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</si>
  <si>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</si>
  <si>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</si>
  <si>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</si>
  <si>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</si>
  <si>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</si>
  <si>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</si>
  <si>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</si>
  <si>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</si>
  <si>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</si>
  <si>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</si>
  <si>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</si>
  <si>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</si>
  <si>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</si>
  <si>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</si>
  <si>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</si>
  <si>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</si>
  <si>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</si>
  <si>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</si>
  <si>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</si>
  <si>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</si>
  <si>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</si>
  <si>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</si>
  <si>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</si>
  <si>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</si>
  <si>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</si>
  <si>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</si>
  <si>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</si>
  <si>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</si>
  <si>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</si>
  <si>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</si>
  <si>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</si>
  <si>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</si>
  <si>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</si>
  <si>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</si>
  <si>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</si>
  <si>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</si>
  <si>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</si>
  <si>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</si>
  <si>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</si>
  <si>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</si>
  <si>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</si>
  <si>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</si>
  <si>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</si>
  <si>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</si>
  <si>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</si>
  <si>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</si>
  <si>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</si>
  <si>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</si>
  <si>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</si>
  <si>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</si>
  <si>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</si>
  <si>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</si>
  <si>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</si>
  <si>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</si>
  <si>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</si>
  <si>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</si>
  <si>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</si>
  <si>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</si>
  <si>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</si>
  <si>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</si>
  <si>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</si>
  <si>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</si>
  <si>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</si>
  <si>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</si>
  <si>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</si>
  <si>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</si>
  <si>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</si>
  <si>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</si>
  <si>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</si>
  <si>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</si>
  <si>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</si>
  <si>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</si>
  <si>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</si>
  <si>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</si>
  <si>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</si>
  <si>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</si>
  <si>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</si>
  <si>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</si>
  <si>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</si>
  <si>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</si>
  <si>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</si>
  <si>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</si>
  <si>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</si>
  <si>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</si>
  <si>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</si>
  <si>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</si>
  <si>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</si>
  <si>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</si>
  <si>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</si>
  <si>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</si>
  <si>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</si>
  <si>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</si>
  <si>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</si>
  <si>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</si>
  <si>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</si>
  <si>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</si>
  <si>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</si>
  <si>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</si>
  <si>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</si>
  <si>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</si>
  <si>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</si>
  <si>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</si>
  <si>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</si>
  <si>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</si>
  <si>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</si>
  <si>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</si>
  <si>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</si>
  <si>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</si>
  <si>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</si>
  <si>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</si>
  <si>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</si>
  <si>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</si>
  <si>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</si>
  <si>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T220923203340894VCMLEBC060</t>
  </si>
  <si>
    <t>'2022-09-23 20:33:53:434</t>
  </si>
  <si>
    <t>R13A_IPQC_MFG_Laser_C10_21090805_b1779c9</t>
  </si>
  <si>
    <t>v9p4</t>
  </si>
  <si>
    <t>T220923203436759VCMLEBC060</t>
  </si>
  <si>
    <t>'2022-09-23 20:34:45:994</t>
  </si>
  <si>
    <t>22cd05160740</t>
  </si>
  <si>
    <t>0x52801162485a1506</t>
  </si>
  <si>
    <t>MF8C3548A3KD42B6C137028011</t>
  </si>
  <si>
    <t>MF3C3463A2YJ14A7A649</t>
  </si>
  <si>
    <t>DNA22291011410G07A</t>
  </si>
  <si>
    <t>T220923203543096VCMLEBC060</t>
  </si>
  <si>
    <t>'2022-09-23 20:35:51:899</t>
  </si>
  <si>
    <t>22cd05160797</t>
  </si>
  <si>
    <t>0x528015622d0bd007</t>
  </si>
  <si>
    <t>MF8C3548A42Y42B6B541032129</t>
  </si>
  <si>
    <t>MF3C3463A2YL14A7A635</t>
  </si>
  <si>
    <t>DNA22291011330B12A</t>
  </si>
  <si>
    <t>T220923203503402VCMLEBC060</t>
  </si>
  <si>
    <t>'2022-09-23 20:35:32:474</t>
  </si>
  <si>
    <t>T220923203609327VCMLEBC060</t>
  </si>
  <si>
    <t>'2022-09-23 20:36:38:811</t>
  </si>
  <si>
    <t>'2022-09-23 20:35:22:443</t>
  </si>
  <si>
    <t>'2022-09-23 20:36:28:782</t>
  </si>
  <si>
    <t>T220923203448638VCMLEBC060</t>
  </si>
  <si>
    <t>'2022-09-23 20:35:01:172</t>
  </si>
  <si>
    <t>T220923203554566VCMLEBC060</t>
  </si>
  <si>
    <t>'2022-09-23 20:36:07:106</t>
  </si>
  <si>
    <t>T220923203847270VCMLEBC060</t>
  </si>
  <si>
    <t>'2022-09-23 20:38:56:090</t>
  </si>
  <si>
    <t>22cd05160795</t>
  </si>
  <si>
    <t>0x52801361ee107e07</t>
  </si>
  <si>
    <t>MF8C3548A42042B6B942046126</t>
  </si>
  <si>
    <t>MF3C3463A2YB14A7A639</t>
  </si>
  <si>
    <t>DNA22291012780D10A</t>
  </si>
  <si>
    <t>T220923203955407VCMLEBC060</t>
  </si>
  <si>
    <t>'2022-09-23 20:40:04:258</t>
  </si>
  <si>
    <t>22cd05160742</t>
  </si>
  <si>
    <t>0x528015622d040402</t>
  </si>
  <si>
    <t>MF8C3548A42342B6B639021000</t>
  </si>
  <si>
    <t>MF3C3463A2YC14A7A651</t>
  </si>
  <si>
    <t>DNA22291011130L12A</t>
  </si>
  <si>
    <t>T220923204102808VCMLEBC060</t>
  </si>
  <si>
    <t>'2022-09-23 20:41:12:060</t>
  </si>
  <si>
    <t>22cd05160745</t>
  </si>
  <si>
    <t>0x528011627ff27e06</t>
  </si>
  <si>
    <t>MF8C3548A42742B6B639015125</t>
  </si>
  <si>
    <t>MF3C3463A2YK14A7A628</t>
  </si>
  <si>
    <t>DNA22291012860B07A</t>
  </si>
  <si>
    <t>T220923204210658VCMLEBC060</t>
  </si>
  <si>
    <t>'2022-09-23 20:42:19:928</t>
  </si>
  <si>
    <t>22cd05170039</t>
  </si>
  <si>
    <t>0x52801361ee107e05</t>
  </si>
  <si>
    <t>MF8C3548A42542B6B737032109</t>
  </si>
  <si>
    <t>MF3C3463A2Z114A7A648</t>
  </si>
  <si>
    <t>DNA22291012860A03A</t>
  </si>
  <si>
    <t>T220923204316807VCMLEBC060</t>
  </si>
  <si>
    <t>'2022-09-23 20:43:26:046</t>
  </si>
  <si>
    <t>22cb59100260</t>
  </si>
  <si>
    <t>0x52801361ee109a03</t>
  </si>
  <si>
    <t>MF3C3763B3TJ44B6B545010009</t>
  </si>
  <si>
    <t>MF4C3324BM8217A7A635</t>
  </si>
  <si>
    <t>DNA22244055360H02A</t>
  </si>
  <si>
    <t>T220923204431218VCMLEBC060</t>
  </si>
  <si>
    <t>'2022-09-23 20:44:40:477</t>
  </si>
  <si>
    <t>22cd05160768</t>
  </si>
  <si>
    <t>0x52801162485a0902</t>
  </si>
  <si>
    <t>MF8C3548A3KG42B6C038027135</t>
  </si>
  <si>
    <t>MF3C3463A2YR14A7A654</t>
  </si>
  <si>
    <t>DNA22291011330C05A</t>
  </si>
  <si>
    <t>T220923203913525VCMLEBC060</t>
  </si>
  <si>
    <t>'2022-09-23 20:39:42:564</t>
  </si>
  <si>
    <t>T220923204021668VCMLEBC060</t>
  </si>
  <si>
    <t>'2022-09-23 20:40:51:009</t>
  </si>
  <si>
    <t>T220923204129512VCMLEBC060</t>
  </si>
  <si>
    <t>'2022-09-23 20:41:58:820</t>
  </si>
  <si>
    <t>T220923204237355VCMLEBC060</t>
  </si>
  <si>
    <t>'2022-09-23 20:43:06:891</t>
  </si>
  <si>
    <t>T220923204343468VCMLEBC060</t>
  </si>
  <si>
    <t>'2022-09-23 20:44:13:185</t>
  </si>
  <si>
    <t>T220923204457921VCMLEBC060</t>
  </si>
  <si>
    <t>'2022-09-23 20:45:27:686</t>
  </si>
  <si>
    <t>'2022-09-23 20:39:32:539</t>
  </si>
  <si>
    <t>'2022-09-23 20:40:40:983</t>
  </si>
  <si>
    <t>'2022-09-23 20:41:48:793</t>
  </si>
  <si>
    <t>'2022-09-23 20:42:56:860</t>
  </si>
  <si>
    <t>'2022-09-23 20:44:03:155</t>
  </si>
  <si>
    <t>'2022-09-23 20:45:17:659</t>
  </si>
  <si>
    <t>T220923203858761VCMLEBC060</t>
  </si>
  <si>
    <t>'2022-09-23 20:39:11:296</t>
  </si>
  <si>
    <t>T220923204006898VCMLEBC060</t>
  </si>
  <si>
    <t>'2022-09-23 20:40:19:436</t>
  </si>
  <si>
    <t>T220923204114751VCMLEBC060</t>
  </si>
  <si>
    <t>'2022-09-23 20:41:27:292</t>
  </si>
  <si>
    <t>T220923204222593VCMLEBC060</t>
  </si>
  <si>
    <t>'2022-09-23 20:42:35:127</t>
  </si>
  <si>
    <t>T220923204328707VCMLEBC060</t>
  </si>
  <si>
    <t>'2022-09-23 20:43:41:243</t>
  </si>
  <si>
    <t>T220923204443162VCMLEBC060</t>
  </si>
  <si>
    <t>'2022-09-23 20:44:55:693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</si>
</sst>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5.2905432180999998</c:v>
                </c:pt>
                <c:pt idx="1">
                  <c:v>2.8746430357000001</c:v>
                </c:pt>
                <c:pt idx="2">
                  <c:v>-0.11843200969999999</c:v>
                </c:pt>
                <c:pt idx="3">
                  <c:v>4.0573808981999999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16.9583026468</c:v>
                </c:pt>
                <c:pt idx="1">
                  <c:v>-3.0231762876000001</c:v>
                </c:pt>
                <c:pt idx="2">
                  <c:v>-1.5137855162999996</c:v>
                </c:pt>
                <c:pt idx="3">
                  <c:v>1.4203052945999999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2.6822514147000001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4.1404469476333334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732736"/>
        <c:axId val="125734272"/>
      </c:scatterChart>
      <c:valAx>
        <c:axId val="12573273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5734272"/>
        <c:crosses val="autoZero"/>
        <c:crossBetween val="midCat"/>
        <c:majorUnit val="10"/>
      </c:valAx>
      <c:valAx>
        <c:axId val="12573427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5732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3.9239092288999999</c:v>
                </c:pt>
                <c:pt idx="1">
                  <c:v>7.5437951489000001</c:v>
                </c:pt>
                <c:pt idx="2">
                  <c:v>-2.5926670264</c:v>
                </c:pt>
                <c:pt idx="3">
                  <c:v>-2.5271585696000001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-8.3390385404000007</c:v>
                </c:pt>
                <c:pt idx="1">
                  <c:v>-9.2588203813999996</c:v>
                </c:pt>
                <c:pt idx="2">
                  <c:v>-10.4887963617</c:v>
                </c:pt>
                <c:pt idx="3">
                  <c:v>-1.9901808795999996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5.1750284253333332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-5.3925178757333327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22560"/>
        <c:axId val="86328448"/>
      </c:scatterChart>
      <c:valAx>
        <c:axId val="8632256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86328448"/>
        <c:crosses val="autoZero"/>
        <c:crossBetween val="midCat"/>
        <c:majorUnit val="10"/>
      </c:valAx>
      <c:valAx>
        <c:axId val="8632844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86322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1.6624855645000001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3.0049364280000002</c:v>
                </c:pt>
                <c:pt idx="1">
                  <c:v>4</c:v>
                </c:pt>
                <c:pt idx="2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-1.1524466771666668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-3.1580136044333336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57120"/>
        <c:axId val="86358656"/>
      </c:scatterChart>
      <c:valAx>
        <c:axId val="8635712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86358656"/>
        <c:crosses val="autoZero"/>
        <c:crossBetween val="midCat"/>
        <c:majorUnit val="10"/>
      </c:valAx>
      <c:valAx>
        <c:axId val="8635865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86357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998848"/>
        <c:axId val="88000384"/>
      </c:scatterChart>
      <c:valAx>
        <c:axId val="8799884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88000384"/>
        <c:crosses val="autoZero"/>
        <c:crossBetween val="midCat"/>
        <c:majorUnit val="10"/>
      </c:valAx>
      <c:valAx>
        <c:axId val="8800038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87998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95.7770056767</c:v>
                </c:pt>
                <c:pt idx="1">
                  <c:v>91.189510319600004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92.653657949033345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090304"/>
        <c:axId val="131091840"/>
      </c:scatterChart>
      <c:valAx>
        <c:axId val="131090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091840"/>
        <c:crosses val="autoZero"/>
        <c:crossBetween val="midCat"/>
      </c:valAx>
      <c:valAx>
        <c:axId val="13109184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090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90.994457850800003</c:v>
                </c:pt>
                <c:pt idx="1">
                  <c:v>95.188927236699996</c:v>
                </c:pt>
                <c:pt idx="2">
                  <c:v>98.680141900699994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96.544998865600007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133440"/>
        <c:axId val="131134976"/>
      </c:scatterChart>
      <c:valAx>
        <c:axId val="131133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34976"/>
        <c:crosses val="autoZero"/>
        <c:crossBetween val="midCat"/>
      </c:valAx>
      <c:valAx>
        <c:axId val="13113497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33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95.765927459400004</c:v>
                </c:pt>
                <c:pt idx="1">
                  <c:v>90.281140262999998</c:v>
                </c:pt>
                <c:pt idx="2">
                  <c:v>96.051101603000006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93.11922612073333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60416"/>
        <c:axId val="131261952"/>
      </c:scatterChart>
      <c:valAx>
        <c:axId val="131260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261952"/>
        <c:crosses val="autoZero"/>
        <c:crossBetween val="midCat"/>
      </c:valAx>
      <c:valAx>
        <c:axId val="13126195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260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93.025436496200001</c:v>
                </c:pt>
                <c:pt idx="1">
                  <c:v>-2</c:v>
                </c:pt>
                <c:pt idx="2">
                  <c:v>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98048"/>
        <c:axId val="131299584"/>
      </c:scatterChart>
      <c:valAx>
        <c:axId val="13129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299584"/>
        <c:crosses val="autoZero"/>
        <c:crossBetween val="midCat"/>
      </c:valAx>
      <c:valAx>
        <c:axId val="13129958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29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-2.6077404022000001</c:v>
                </c:pt>
                <c:pt idx="1">
                  <c:v>-0.41563987730000029</c:v>
                </c:pt>
                <c:pt idx="2">
                  <c:v>-4.7427834272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-0.97196769710000019</c:v>
                </c:pt>
                <c:pt idx="1">
                  <c:v>-0.69533443449999988</c:v>
                </c:pt>
                <c:pt idx="2">
                  <c:v>-2.2778494953999999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-2.5887212355666667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-1.3150505423333334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483904"/>
        <c:axId val="131489792"/>
      </c:scatterChart>
      <c:valAx>
        <c:axId val="13148390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489792"/>
        <c:crosses val="autoZero"/>
        <c:crossBetween val="midCat"/>
        <c:majorUnit val="10"/>
      </c:valAx>
      <c:valAx>
        <c:axId val="13148979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48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0.47565937039999984</c:v>
                </c:pt>
                <c:pt idx="1">
                  <c:v>4.0505208969000002</c:v>
                </c:pt>
                <c:pt idx="2">
                  <c:v>-4.2993087769000002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-3.2565204501</c:v>
                </c:pt>
                <c:pt idx="1">
                  <c:v>0.10595417019999998</c:v>
                </c:pt>
                <c:pt idx="2">
                  <c:v>3.8765082359000003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7.562383013333325E-2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0.24198065200000007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526656"/>
        <c:axId val="131528192"/>
      </c:scatterChart>
      <c:valAx>
        <c:axId val="13152665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528192"/>
        <c:crosses val="autoZero"/>
        <c:crossBetween val="midCat"/>
        <c:majorUnit val="10"/>
      </c:valAx>
      <c:valAx>
        <c:axId val="13152819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526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-6</c:v>
                </c:pt>
                <c:pt idx="1">
                  <c:v>-6</c:v>
                </c:pt>
                <c:pt idx="2">
                  <c:v>-6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-6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446272"/>
        <c:axId val="131447808"/>
      </c:scatterChart>
      <c:valAx>
        <c:axId val="13144627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447808"/>
        <c:crosses val="autoZero"/>
        <c:crossBetween val="midCat"/>
        <c:majorUnit val="10"/>
      </c:valAx>
      <c:valAx>
        <c:axId val="13144780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446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-8.8014793396000002</c:v>
                </c:pt>
                <c:pt idx="1">
                  <c:v>-8.3550612926000003</c:v>
                </c:pt>
                <c:pt idx="2">
                  <c:v>1.9287004470999998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1.4604301453000001</c:v>
                </c:pt>
                <c:pt idx="1">
                  <c:v>-5.8174629211000006</c:v>
                </c:pt>
                <c:pt idx="2">
                  <c:v>-5.9886591433999996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-5.0759467283666666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-3.4485639730666668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938752"/>
        <c:axId val="132944640"/>
      </c:scatterChart>
      <c:valAx>
        <c:axId val="13293875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2944640"/>
        <c:crosses val="autoZero"/>
        <c:crossBetween val="midCat"/>
        <c:majorUnit val="10"/>
      </c:valAx>
      <c:valAx>
        <c:axId val="13294464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2938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153</v>
      </c>
      <c r="C3" s="72">
        <v>0.2</v>
      </c>
      <c r="D3" s="72" t="s">
        <v>154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6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 VSY832XN9P14_2022092320_D50_ON_OC.csv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 VSY832XN9P14_2022092320_FPDC_INFD_normal.csv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 VSY832XN9P14_2022092320_INFDMargin_IPQC.csv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 VSY832XN9P14_2022092320_VCM_MEASURE.csv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173</v>
      </c>
      <c r="D8" s="20"/>
    </row>
    <row r="19" spans="3:3">
      <c r="C19" s="74" t="s">
        <v>160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A32" sqref="A32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86" t="s">
        <v>14</v>
      </c>
      <c r="M31" s="86" t="s">
        <v>9</v>
      </c>
      <c r="R31" s="73" t="s">
        <v>150</v>
      </c>
      <c r="S31" s="84" t="s">
        <v>152</v>
      </c>
      <c r="T31" s="85"/>
      <c r="U31" s="86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87"/>
      <c r="C32" s="28" t="s">
        <v>17</v>
      </c>
      <c r="D32" s="28">
        <f>5.1^2/(150-5.1)*1000</f>
        <v>179.50310559006209</v>
      </c>
      <c r="M32" s="87"/>
      <c r="U32" s="87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167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168</v>
      </c>
      <c r="N33" s="41" t="s">
        <v>169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22cd05160770</v>
      </c>
      <c r="C34" s="44">
        <f>IPQC!S2+VLOOKUP($R$31,$AD$38:$AK$42,6,FALSE)+VLOOKUP('File location'!$B$1,'Tester offset'!$A$2:$D$4,2,FALSE)</f>
        <v>95.7770056767</v>
      </c>
      <c r="D34" s="44">
        <f>IPQC!Z2+VLOOKUP($R$31,$AD$38:$AK$42,6,FALSE)</f>
        <v>87.574576527299996</v>
      </c>
      <c r="E34" s="44">
        <f>VCM!HU2-'Summary(3pcs)'!C34-'Summary(3pcs)'!$D$32</f>
        <v>146.69712913103791</v>
      </c>
      <c r="F34" s="90">
        <f>AVERAGEIF($A$34:$A$45,1,$C$34:$C$45)</f>
        <v>92.653657949033345</v>
      </c>
      <c r="G34" s="91">
        <f>AVERAGEIF($A$34:$A$45,1,$D$34:$D$45)</f>
        <v>83.65820278146667</v>
      </c>
      <c r="H34" s="91">
        <f>AVERAGEIF($A$34:$A$45,1,$E$34:$E$45)</f>
        <v>149.69889802727121</v>
      </c>
      <c r="I34" s="91">
        <f>85-F34</f>
        <v>-7.6536579490333452</v>
      </c>
      <c r="J34"/>
      <c r="K34" s="79">
        <f>T34</f>
        <v>1</v>
      </c>
      <c r="L34" s="80" t="str">
        <f>OC!J2</f>
        <v>22cd05160770</v>
      </c>
      <c r="M34" s="44">
        <f>OC!S2+VLOOKUP($R$31,$AD$38:$AK$42,4,FALSE)</f>
        <v>5.2905432180999998</v>
      </c>
      <c r="N34" s="44">
        <f>OC!T2+VLOOKUP($R$31,$AD$38:$AK$42,5,FALSE)</f>
        <v>16.9583026468</v>
      </c>
      <c r="O34" s="92">
        <f>AVERAGEIF($K$34:$K$45,1,$M$34:$M$45)</f>
        <v>2.6822514147000001</v>
      </c>
      <c r="P34" s="92">
        <f>AVERAGEIF($K$34:$K$45,1,$N$34:$N$45)</f>
        <v>4.1404469476333334</v>
      </c>
      <c r="Q34" s="90">
        <f>P34*0.001</f>
        <v>4.1404469476333337E-3</v>
      </c>
      <c r="R34" s="90">
        <f>O34*0.001</f>
        <v>2.6822514147000001E-3</v>
      </c>
      <c r="T34" s="79">
        <v>1</v>
      </c>
      <c r="U34" s="80" t="str">
        <f>FPDC!J2</f>
        <v>22cd05160770</v>
      </c>
      <c r="V34" s="75">
        <f>FPDC!R2+VLOOKUP($R$31,$AD$38:$AK$42,2,FALSE)+VLOOKUP($R$31,$AD$38:$AK$42,7,FALSE)+VLOOKUP('File location'!$B$1,'Tester offset'!$A$2:$D$4,3,FALSE)</f>
        <v>-8.8014793396000002</v>
      </c>
      <c r="W34" s="76">
        <f>FPDC!S2+VLOOKUP($R$31,$AD$38:$AK$42,3,FALSE)+VLOOKUP($R$31,$AD$38:$AK$42,8,FALSE)+VLOOKUP('File location'!$B$1,'Tester offset'!$A$2:$D$4,4,FALSE)</f>
        <v>1.4604301453000001</v>
      </c>
      <c r="X34" s="92">
        <f>AVERAGEIF($T$34:$T$45,1,$V$34:$V$45)</f>
        <v>-5.0759467283666666</v>
      </c>
      <c r="Y34" s="92">
        <f>AVERAGEIF($T$34:$T$45,1,$W$34:$W$45)</f>
        <v>-3.4485639730666668</v>
      </c>
      <c r="Z34" s="90">
        <f>(X34*-0.01)/4</f>
        <v>1.2689866820916667E-2</v>
      </c>
      <c r="AA34" s="90">
        <f>(Y34*-0.01)/4</f>
        <v>8.6214099326666679E-3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22cd05160740</v>
      </c>
      <c r="C35" s="44">
        <f>IPQC!S3+VLOOKUP($R$31,$AD$38:$AK$42,6,FALSE)+VLOOKUP('File location'!$B$1,'Tester offset'!$A$2:$D$4,2,FALSE)</f>
        <v>91.189510319600004</v>
      </c>
      <c r="D35" s="44">
        <f>IPQC!Z3+VLOOKUP($R$31,$AD$38:$AK$42,6,FALSE)</f>
        <v>82.756449049400004</v>
      </c>
      <c r="E35" s="44">
        <f>VCM!HU3-'Summary(3pcs)'!C35-'Summary(3pcs)'!$D$32</f>
        <v>144.54244670233788</v>
      </c>
      <c r="F35" s="90"/>
      <c r="G35" s="91"/>
      <c r="H35" s="91"/>
      <c r="I35" s="91"/>
      <c r="J35"/>
      <c r="K35" s="79">
        <f t="shared" ref="K35:K45" si="1">T35</f>
        <v>1</v>
      </c>
      <c r="L35" s="80" t="str">
        <f>OC!J3</f>
        <v>22cd05160740</v>
      </c>
      <c r="M35" s="44">
        <f>OC!S3+VLOOKUP($R$31,$AD$38:$AK$42,4,FALSE)</f>
        <v>2.8746430357000001</v>
      </c>
      <c r="N35" s="44">
        <f>OC!T3+VLOOKUP($R$31,$AD$38:$AK$42,5,FALSE)</f>
        <v>-3.0231762876000001</v>
      </c>
      <c r="O35" s="92"/>
      <c r="P35" s="92"/>
      <c r="Q35" s="90"/>
      <c r="R35" s="90"/>
      <c r="T35" s="79">
        <v>1</v>
      </c>
      <c r="U35" s="80" t="str">
        <f>FPDC!J3</f>
        <v>22cd05160740</v>
      </c>
      <c r="V35" s="75">
        <f>FPDC!R3+VLOOKUP($R$31,$AD$38:$AK$42,2,FALSE)+VLOOKUP($R$31,$AD$38:$AK$42,7,FALSE)+VLOOKUP('File location'!$B$1,'Tester offset'!$A$2:$D$4,3,FALSE)</f>
        <v>-8.3550612926000003</v>
      </c>
      <c r="W35" s="76">
        <f>FPDC!S3+VLOOKUP($R$31,$AD$38:$AK$42,3,FALSE)+VLOOKUP($R$31,$AD$38:$AK$42,8,FALSE)+VLOOKUP('File location'!$B$1,'Tester offset'!$A$2:$D$4,4,FALSE)</f>
        <v>-5.8174629211000006</v>
      </c>
      <c r="X35" s="92"/>
      <c r="Y35" s="92"/>
      <c r="Z35" s="90"/>
      <c r="AA35" s="90"/>
    </row>
    <row r="36" spans="1:37" s="32" customFormat="1" ht="17.100000000000001" customHeight="1">
      <c r="A36" s="79">
        <f t="shared" si="0"/>
        <v>1</v>
      </c>
      <c r="B36" s="80" t="str">
        <f>IPQC!J4</f>
        <v>22cd05160797</v>
      </c>
      <c r="C36" s="44">
        <f>IPQC!S4+VLOOKUP($R$31,$AD$38:$AK$42,6,FALSE)+VLOOKUP('File location'!$B$1,'Tester offset'!$A$2:$D$4,2,FALSE)</f>
        <v>90.994457850800003</v>
      </c>
      <c r="D36" s="44">
        <f>IPQC!Z4+VLOOKUP($R$31,$AD$38:$AK$42,6,FALSE)</f>
        <v>80.643582767699996</v>
      </c>
      <c r="E36" s="44">
        <f>VCM!HU4-'Summary(3pcs)'!C36-'Summary(3pcs)'!$D$32</f>
        <v>157.85711824843787</v>
      </c>
      <c r="F36" s="90"/>
      <c r="G36" s="91"/>
      <c r="H36" s="91"/>
      <c r="I36" s="91"/>
      <c r="J36"/>
      <c r="K36" s="79">
        <f t="shared" si="1"/>
        <v>1</v>
      </c>
      <c r="L36" s="80" t="str">
        <f>OC!J4</f>
        <v>22cd05160797</v>
      </c>
      <c r="M36" s="44">
        <f>OC!S4+VLOOKUP($R$31,$AD$38:$AK$42,4,FALSE)</f>
        <v>-0.11843200969999999</v>
      </c>
      <c r="N36" s="44">
        <f>OC!T4+VLOOKUP($R$31,$AD$38:$AK$42,5,FALSE)</f>
        <v>-1.5137855162999996</v>
      </c>
      <c r="O36" s="92"/>
      <c r="P36" s="92"/>
      <c r="Q36" s="90"/>
      <c r="R36" s="90"/>
      <c r="T36" s="79">
        <v>1</v>
      </c>
      <c r="U36" s="80" t="str">
        <f>FPDC!J4</f>
        <v>22cd05160797</v>
      </c>
      <c r="V36" s="75">
        <f>FPDC!R4+VLOOKUP($R$31,$AD$38:$AK$42,2,FALSE)+VLOOKUP($R$31,$AD$38:$AK$42,7,FALSE)+VLOOKUP('File location'!$B$1,'Tester offset'!$A$2:$D$4,3,FALSE)</f>
        <v>1.9287004470999998</v>
      </c>
      <c r="W36" s="76">
        <f>FPDC!S4+VLOOKUP($R$31,$AD$38:$AK$42,3,FALSE)+VLOOKUP($R$31,$AD$38:$AK$42,8,FALSE)+VLOOKUP('File location'!$B$1,'Tester offset'!$A$2:$D$4,4,FALSE)</f>
        <v>-5.9886591433999996</v>
      </c>
      <c r="X36" s="92"/>
      <c r="Y36" s="92"/>
      <c r="Z36" s="90"/>
      <c r="AA36" s="90"/>
      <c r="AD36" s="94" t="s">
        <v>137</v>
      </c>
      <c r="AE36" s="94" t="s">
        <v>130</v>
      </c>
      <c r="AF36" s="94"/>
      <c r="AG36" s="94"/>
      <c r="AH36" s="94"/>
      <c r="AI36" s="94"/>
      <c r="AJ36" s="94" t="s">
        <v>136</v>
      </c>
      <c r="AK36" s="94"/>
    </row>
    <row r="37" spans="1:37" s="32" customFormat="1" ht="17.100000000000001" customHeight="1">
      <c r="A37" s="79">
        <f t="shared" si="0"/>
        <v>2</v>
      </c>
      <c r="B37" s="80" t="str">
        <f>IPQC!J5</f>
        <v>22cd05160795</v>
      </c>
      <c r="C37" s="44">
        <f>IPQC!S5+VLOOKUP($R$31,$AD$38:$AK$42,6,FALSE)+VLOOKUP('File location'!$B$1,'Tester offset'!$A$2:$D$4,2,FALSE)</f>
        <v>95.188927236699996</v>
      </c>
      <c r="D37" s="44">
        <f>IPQC!Z5+VLOOKUP($R$31,$AD$38:$AK$42,6,FALSE)</f>
        <v>87.387238600800003</v>
      </c>
      <c r="E37" s="44">
        <f>VCM!HU5-'Summary(3pcs)'!C37-'Summary(3pcs)'!$D$32</f>
        <v>152.39222471813792</v>
      </c>
      <c r="F37" s="90">
        <f>AVERAGEIF($A$34:$A$45,2,$C$34:$C$45)</f>
        <v>96.544998865600007</v>
      </c>
      <c r="G37" s="91">
        <f>AVERAGEIF($A$34:$A$45,2,$D$34:$D$45)</f>
        <v>88.374865132933337</v>
      </c>
      <c r="H37" s="91">
        <f>AVERAGEIF($A$34:$A$45,2,$E$34:$E$45)</f>
        <v>146.58419678087122</v>
      </c>
      <c r="I37" s="91">
        <f>85-F37</f>
        <v>-11.544998865600007</v>
      </c>
      <c r="J37"/>
      <c r="K37" s="79">
        <f t="shared" si="1"/>
        <v>2</v>
      </c>
      <c r="L37" s="80" t="str">
        <f>OC!J5</f>
        <v>22cd05160795</v>
      </c>
      <c r="M37" s="44">
        <f>OC!S5+VLOOKUP($R$31,$AD$38:$AK$42,4,FALSE)</f>
        <v>4.0573808981999999</v>
      </c>
      <c r="N37" s="44">
        <f>OC!T5+VLOOKUP($R$31,$AD$38:$AK$42,5,FALSE)</f>
        <v>1.4203052945999999</v>
      </c>
      <c r="O37" s="92">
        <f>AVERAGEIF($K$34:$K$45,2,$M$34:$M$45)</f>
        <v>5.1750284253333332</v>
      </c>
      <c r="P37" s="92">
        <f>AVERAGEIF($K$34:$K$45,2,$N$34:$N$45)</f>
        <v>-5.3925178757333327</v>
      </c>
      <c r="Q37" s="90">
        <f>P37*0.001</f>
        <v>-5.3925178757333325E-3</v>
      </c>
      <c r="R37" s="90">
        <f>O37*0.001</f>
        <v>5.1750284253333336E-3</v>
      </c>
      <c r="T37" s="79">
        <v>2</v>
      </c>
      <c r="U37" s="80" t="str">
        <f>FPDC!J5</f>
        <v>22cd05160795</v>
      </c>
      <c r="V37" s="75">
        <f>FPDC!R5+VLOOKUP($R$31,$AD$38:$AK$42,2,FALSE)+VLOOKUP($R$31,$AD$38:$AK$42,7,FALSE)+VLOOKUP('File location'!$B$1,'Tester offset'!$A$2:$D$4,3,FALSE)</f>
        <v>-2.6077404022000001</v>
      </c>
      <c r="W37" s="76">
        <f>FPDC!S5+VLOOKUP($R$31,$AD$38:$AK$42,3,FALSE)+VLOOKUP($R$31,$AD$38:$AK$42,8,FALSE)+VLOOKUP('File location'!$B$1,'Tester offset'!$A$2:$D$4,4,FALSE)</f>
        <v>-0.97196769710000019</v>
      </c>
      <c r="X37" s="92">
        <f>AVERAGEIF($T$34:$T$45,2,$V$34:$V$45)</f>
        <v>-2.5887212355666667</v>
      </c>
      <c r="Y37" s="92">
        <f>AVERAGEIF($T$34:$T$45,2,$W$34:$W$45)</f>
        <v>-1.3150505423333334</v>
      </c>
      <c r="Z37" s="90">
        <f>(X37*-0.01)/4</f>
        <v>6.4718030889166665E-3</v>
      </c>
      <c r="AA37" s="90">
        <f>(Y37*-0.01)/4</f>
        <v>3.2876263558333334E-3</v>
      </c>
      <c r="AD37" s="94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 t="str">
        <f>IPQC!J6</f>
        <v>22cd05160742</v>
      </c>
      <c r="C38" s="44">
        <f>IPQC!S6+VLOOKUP($R$31,$AD$38:$AK$42,6,FALSE)+VLOOKUP('File location'!$B$1,'Tester offset'!$A$2:$D$4,2,FALSE)</f>
        <v>98.680141900699994</v>
      </c>
      <c r="D38" s="44">
        <f>IPQC!Z6+VLOOKUP($R$31,$AD$38:$AK$42,6,FALSE)</f>
        <v>90.081243950000001</v>
      </c>
      <c r="E38" s="44">
        <f>VCM!HU6-'Summary(3pcs)'!C38-'Summary(3pcs)'!$D$32</f>
        <v>136.5299330255379</v>
      </c>
      <c r="F38" s="90"/>
      <c r="G38" s="91"/>
      <c r="H38" s="91"/>
      <c r="I38" s="91"/>
      <c r="J38"/>
      <c r="K38" s="79">
        <f t="shared" si="1"/>
        <v>2</v>
      </c>
      <c r="L38" s="80" t="str">
        <f>OC!J6</f>
        <v>22cd05160742</v>
      </c>
      <c r="M38" s="44">
        <f>OC!S6+VLOOKUP($R$31,$AD$38:$AK$42,4,FALSE)</f>
        <v>3.9239092288999999</v>
      </c>
      <c r="N38" s="44">
        <f>OC!T6+VLOOKUP($R$31,$AD$38:$AK$42,5,FALSE)</f>
        <v>-8.3390385404000007</v>
      </c>
      <c r="O38" s="92"/>
      <c r="P38" s="92"/>
      <c r="Q38" s="90"/>
      <c r="R38" s="90"/>
      <c r="T38" s="79">
        <v>2</v>
      </c>
      <c r="U38" s="80" t="str">
        <f>FPDC!J6</f>
        <v>22cd05160742</v>
      </c>
      <c r="V38" s="75">
        <f>FPDC!R6+VLOOKUP($R$31,$AD$38:$AK$42,2,FALSE)+VLOOKUP($R$31,$AD$38:$AK$42,7,FALSE)+VLOOKUP('File location'!$B$1,'Tester offset'!$A$2:$D$4,3,FALSE)</f>
        <v>-0.41563987730000029</v>
      </c>
      <c r="W38" s="76">
        <f>FPDC!S6+VLOOKUP($R$31,$AD$38:$AK$42,3,FALSE)+VLOOKUP($R$31,$AD$38:$AK$42,8,FALSE)+VLOOKUP('File location'!$B$1,'Tester offset'!$A$2:$D$4,4,FALSE)</f>
        <v>-0.69533443449999988</v>
      </c>
      <c r="X38" s="92"/>
      <c r="Y38" s="92"/>
      <c r="Z38" s="90"/>
      <c r="AA38" s="90"/>
      <c r="AD38" s="79" t="s">
        <v>170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 t="str">
        <f>IPQC!J7</f>
        <v>22cd05160745</v>
      </c>
      <c r="C39" s="44">
        <f>IPQC!S7+VLOOKUP($R$31,$AD$38:$AK$42,6,FALSE)+VLOOKUP('File location'!$B$1,'Tester offset'!$A$2:$D$4,2,FALSE)</f>
        <v>95.765927459400004</v>
      </c>
      <c r="D39" s="44">
        <f>IPQC!Z7+VLOOKUP($R$31,$AD$38:$AK$42,6,FALSE)</f>
        <v>87.656112848000006</v>
      </c>
      <c r="E39" s="44">
        <f>VCM!HU7-'Summary(3pcs)'!C39-'Summary(3pcs)'!$D$32</f>
        <v>150.83043259893788</v>
      </c>
      <c r="F39" s="90"/>
      <c r="G39" s="91"/>
      <c r="H39" s="91"/>
      <c r="I39" s="91"/>
      <c r="J39"/>
      <c r="K39" s="79">
        <f t="shared" si="1"/>
        <v>2</v>
      </c>
      <c r="L39" s="80" t="str">
        <f>OC!J7</f>
        <v>22cd05160745</v>
      </c>
      <c r="M39" s="44">
        <f>OC!S7+VLOOKUP($R$31,$AD$38:$AK$42,4,FALSE)</f>
        <v>7.5437951489000001</v>
      </c>
      <c r="N39" s="44">
        <f>OC!T7+VLOOKUP($R$31,$AD$38:$AK$42,5,FALSE)</f>
        <v>-9.2588203813999996</v>
      </c>
      <c r="O39" s="92"/>
      <c r="P39" s="92"/>
      <c r="Q39" s="90"/>
      <c r="R39" s="90"/>
      <c r="T39" s="79">
        <v>2</v>
      </c>
      <c r="U39" s="80" t="str">
        <f>FPDC!J7</f>
        <v>22cd05160745</v>
      </c>
      <c r="V39" s="75">
        <f>FPDC!R7+VLOOKUP($R$31,$AD$38:$AK$42,2,FALSE)+VLOOKUP($R$31,$AD$38:$AK$42,7,FALSE)+VLOOKUP('File location'!$B$1,'Tester offset'!$A$2:$D$4,3,FALSE)</f>
        <v>-4.7427834272</v>
      </c>
      <c r="W39" s="76">
        <f>FPDC!S7+VLOOKUP($R$31,$AD$38:$AK$42,3,FALSE)+VLOOKUP($R$31,$AD$38:$AK$42,8,FALSE)+VLOOKUP('File location'!$B$1,'Tester offset'!$A$2:$D$4,4,FALSE)</f>
        <v>-2.2778494953999999</v>
      </c>
      <c r="X39" s="92"/>
      <c r="Y39" s="92"/>
      <c r="Z39" s="90"/>
      <c r="AA39" s="90"/>
      <c r="AD39" s="30" t="s">
        <v>171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 t="str">
        <f>IPQC!J8</f>
        <v>22cd05170039</v>
      </c>
      <c r="C40" s="44">
        <f>IPQC!S8+VLOOKUP($R$31,$AD$38:$AK$42,6,FALSE)+VLOOKUP('File location'!$B$1,'Tester offset'!$A$2:$D$4,2,FALSE)</f>
        <v>90.281140262999998</v>
      </c>
      <c r="D40" s="44">
        <f>IPQC!Z8+VLOOKUP($R$31,$AD$38:$AK$42,6,FALSE)</f>
        <v>82.996727531000005</v>
      </c>
      <c r="E40" s="44">
        <f>VCM!HU8-'Summary(3pcs)'!C40-'Summary(3pcs)'!$D$32</f>
        <v>146.6357870778379</v>
      </c>
      <c r="F40" s="90">
        <f>AVERAGEIF($A$34:$A$45,3,$C$34:$C$45)</f>
        <v>93.11922612073333</v>
      </c>
      <c r="G40" s="91">
        <f>AVERAGEIF($A$34:$A$45,3,$D$34:$D$45)</f>
        <v>83.724638753866671</v>
      </c>
      <c r="H40" s="91">
        <f>AVERAGEIF($A$34:$A$45,3,$E$34:$E$45)</f>
        <v>145.95093198763789</v>
      </c>
      <c r="I40" s="91">
        <f>85-F40</f>
        <v>-8.1192261207333303</v>
      </c>
      <c r="J40"/>
      <c r="K40" s="79">
        <f t="shared" si="1"/>
        <v>3</v>
      </c>
      <c r="L40" s="80" t="str">
        <f>OC!J8</f>
        <v>22cd05170039</v>
      </c>
      <c r="M40" s="44">
        <f>OC!S8+VLOOKUP($R$31,$AD$38:$AK$42,4,FALSE)</f>
        <v>-2.5926670264</v>
      </c>
      <c r="N40" s="44">
        <f>OC!T8+VLOOKUP($R$31,$AD$38:$AK$42,5,FALSE)</f>
        <v>-10.4887963617</v>
      </c>
      <c r="O40" s="92">
        <f>AVERAGEIF($K$34:$K$45,3,$M$34:$M$45)</f>
        <v>-1.1524466771666668</v>
      </c>
      <c r="P40" s="92">
        <f>AVERAGEIF($K$34:$K$45,3,$N$34:$N$45)</f>
        <v>-3.1580136044333336</v>
      </c>
      <c r="Q40" s="90">
        <f>P40*0.001</f>
        <v>-3.1580136044333336E-3</v>
      </c>
      <c r="R40" s="90">
        <f>O40*0.001</f>
        <v>-1.1524466771666668E-3</v>
      </c>
      <c r="T40" s="79">
        <v>3</v>
      </c>
      <c r="U40" s="80" t="str">
        <f>FPDC!J8</f>
        <v>22cd05170039</v>
      </c>
      <c r="V40" s="75">
        <f>FPDC!R8+VLOOKUP($R$31,$AD$38:$AK$42,2,FALSE)+VLOOKUP($R$31,$AD$38:$AK$42,7,FALSE)+VLOOKUP('File location'!$B$1,'Tester offset'!$A$2:$D$4,3,FALSE)</f>
        <v>0.47565937039999984</v>
      </c>
      <c r="W40" s="76">
        <f>FPDC!S8+VLOOKUP($R$31,$AD$38:$AK$42,3,FALSE)+VLOOKUP($R$31,$AD$38:$AK$42,8,FALSE)+VLOOKUP('File location'!$B$1,'Tester offset'!$A$2:$D$4,4,FALSE)</f>
        <v>-3.2565204501</v>
      </c>
      <c r="X40" s="92">
        <f>AVERAGEIF($T$34:$T$45,3,$V$34:$V$45)</f>
        <v>7.562383013333325E-2</v>
      </c>
      <c r="Y40" s="92">
        <f>AVERAGEIF($T$34:$T$45,3,$W$34:$W$45)</f>
        <v>0.24198065200000007</v>
      </c>
      <c r="Z40" s="90">
        <f>(X40*-0.01)/4</f>
        <v>-1.8905957533333313E-4</v>
      </c>
      <c r="AA40" s="90">
        <f>(Y40*-0.01)/4</f>
        <v>-6.0495163000000025E-4</v>
      </c>
      <c r="AD40" s="30" t="s">
        <v>172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 t="str">
        <f>IPQC!J9</f>
        <v>22cb59100260</v>
      </c>
      <c r="C41" s="44">
        <f>IPQC!S9+VLOOKUP($R$31,$AD$38:$AK$42,6,FALSE)+VLOOKUP('File location'!$B$1,'Tester offset'!$A$2:$D$4,2,FALSE)</f>
        <v>96.051101603000006</v>
      </c>
      <c r="D41" s="44">
        <f>IPQC!Z9+VLOOKUP($R$31,$AD$38:$AK$42,6,FALSE)</f>
        <v>90.465532231500006</v>
      </c>
      <c r="E41" s="44">
        <f>VCM!HU9-'Summary(3pcs)'!C41-'Summary(3pcs)'!$D$32</f>
        <v>132.76708425563788</v>
      </c>
      <c r="F41" s="90"/>
      <c r="G41" s="91"/>
      <c r="H41" s="91"/>
      <c r="I41" s="91"/>
      <c r="J41"/>
      <c r="K41" s="79">
        <f t="shared" si="1"/>
        <v>3</v>
      </c>
      <c r="L41" s="80" t="str">
        <f>OC!J9</f>
        <v>22cb59100260</v>
      </c>
      <c r="M41" s="44">
        <f>OC!S9+VLOOKUP($R$31,$AD$38:$AK$42,4,FALSE)</f>
        <v>-2.5271585696000001</v>
      </c>
      <c r="N41" s="44">
        <f>OC!T9+VLOOKUP($R$31,$AD$38:$AK$42,5,FALSE)</f>
        <v>-1.9901808795999996</v>
      </c>
      <c r="O41" s="92"/>
      <c r="P41" s="92"/>
      <c r="Q41" s="90"/>
      <c r="R41" s="90"/>
      <c r="T41" s="79">
        <v>3</v>
      </c>
      <c r="U41" s="80" t="str">
        <f>FPDC!J9</f>
        <v>22cb59100260</v>
      </c>
      <c r="V41" s="75">
        <f>FPDC!R9+VLOOKUP($R$31,$AD$38:$AK$42,2,FALSE)+VLOOKUP($R$31,$AD$38:$AK$42,7,FALSE)+VLOOKUP('File location'!$B$1,'Tester offset'!$A$2:$D$4,3,FALSE)</f>
        <v>4.0505208969000002</v>
      </c>
      <c r="W41" s="76">
        <f>FPDC!S9+VLOOKUP($R$31,$AD$38:$AK$42,3,FALSE)+VLOOKUP($R$31,$AD$38:$AK$42,8,FALSE)+VLOOKUP('File location'!$B$1,'Tester offset'!$A$2:$D$4,4,FALSE)</f>
        <v>0.10595417019999998</v>
      </c>
      <c r="X41" s="92"/>
      <c r="Y41" s="92"/>
      <c r="Z41" s="90"/>
      <c r="AA41" s="90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 t="str">
        <f>IPQC!J10</f>
        <v>22cd05160768</v>
      </c>
      <c r="C42" s="44">
        <f>IPQC!S10+VLOOKUP($R$31,$AD$38:$AK$42,6,FALSE)+VLOOKUP('File location'!$B$1,'Tester offset'!$A$2:$D$4,2,FALSE)</f>
        <v>93.025436496200001</v>
      </c>
      <c r="D42" s="44">
        <f>IPQC!Z10+VLOOKUP($R$31,$AD$38:$AK$42,6,FALSE)</f>
        <v>77.711656499100002</v>
      </c>
      <c r="E42" s="44">
        <f>VCM!HU10-'Summary(3pcs)'!C42-'Summary(3pcs)'!$D$32</f>
        <v>158.44992462943787</v>
      </c>
      <c r="F42" s="90"/>
      <c r="G42" s="91"/>
      <c r="H42" s="91"/>
      <c r="I42" s="91"/>
      <c r="J42"/>
      <c r="K42" s="79">
        <f t="shared" si="1"/>
        <v>3</v>
      </c>
      <c r="L42" s="80" t="str">
        <f>OC!J10</f>
        <v>22cd05160768</v>
      </c>
      <c r="M42" s="44">
        <f>OC!S10+VLOOKUP($R$31,$AD$38:$AK$42,4,FALSE)</f>
        <v>1.6624855645000001</v>
      </c>
      <c r="N42" s="44">
        <f>OC!T10+VLOOKUP($R$31,$AD$38:$AK$42,5,FALSE)</f>
        <v>3.0049364280000002</v>
      </c>
      <c r="O42" s="92"/>
      <c r="P42" s="92"/>
      <c r="Q42" s="90"/>
      <c r="R42" s="90"/>
      <c r="T42" s="79">
        <v>3</v>
      </c>
      <c r="U42" s="80" t="str">
        <f>FPDC!J10</f>
        <v>22cd05160768</v>
      </c>
      <c r="V42" s="75">
        <f>FPDC!R10+VLOOKUP($R$31,$AD$38:$AK$42,2,FALSE)+VLOOKUP($R$31,$AD$38:$AK$42,7,FALSE)+VLOOKUP('File location'!$B$1,'Tester offset'!$A$2:$D$4,3,FALSE)</f>
        <v>-4.2993087769000002</v>
      </c>
      <c r="W42" s="76">
        <f>FPDC!S10+VLOOKUP($R$31,$AD$38:$AK$42,3,FALSE)+VLOOKUP($R$31,$AD$38:$AK$42,8,FALSE)+VLOOKUP('File location'!$B$1,'Tester offset'!$A$2:$D$4,4,FALSE)</f>
        <v>3.8765082359000003</v>
      </c>
      <c r="X42" s="92"/>
      <c r="Y42" s="92"/>
      <c r="Z42" s="90"/>
      <c r="AA42" s="90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>
        <f>IPQC!J11</f>
        <v>0</v>
      </c>
      <c r="C43" s="44">
        <f>IPQC!S11+VLOOKUP($R$31,$AD$38:$AK$42,6,FALSE)+VLOOKUP('File location'!$B$1,'Tester offset'!$A$2:$D$4,2,FALSE)</f>
        <v>-2</v>
      </c>
      <c r="D43" s="44">
        <f>IPQC!Z11+VLOOKUP($R$31,$AD$38:$AK$42,6,FALSE)</f>
        <v>6</v>
      </c>
      <c r="E43" s="44">
        <f>VCM!HU11-'Summary(3pcs)'!C43-'Summary(3pcs)'!$D$32</f>
        <v>-177.50310559006209</v>
      </c>
      <c r="F43" s="90">
        <f>AVERAGEIF($A$34:$A$45,4,$C$34:$C$45)</f>
        <v>-2</v>
      </c>
      <c r="G43" s="91">
        <f>AVERAGEIF($A$34:$A$45,4,$D$34:$D$45)</f>
        <v>6</v>
      </c>
      <c r="H43" s="91">
        <f>AVERAGEIF($A$34:$A$45,4,$E$34:$E$45)</f>
        <v>-177.50310559006209</v>
      </c>
      <c r="I43" s="91">
        <f>85-F43</f>
        <v>87</v>
      </c>
      <c r="J43"/>
      <c r="K43" s="79">
        <f t="shared" si="1"/>
        <v>4</v>
      </c>
      <c r="L43" s="80">
        <f>OC!J11</f>
        <v>0</v>
      </c>
      <c r="M43" s="44">
        <f>OC!S11+VLOOKUP($R$31,$AD$38:$AK$42,4,FALSE)</f>
        <v>0</v>
      </c>
      <c r="N43" s="44">
        <f>OC!T11+VLOOKUP($R$31,$AD$38:$AK$42,5,FALSE)</f>
        <v>4</v>
      </c>
      <c r="O43" s="92">
        <f>AVERAGEIF($K$34:$K$45,4,$M$34:$M$45)</f>
        <v>0</v>
      </c>
      <c r="P43" s="92">
        <f>AVERAGEIF($K$34:$K$45,4,$N$34:$N$45)</f>
        <v>4</v>
      </c>
      <c r="Q43" s="90">
        <f>P43*0.001</f>
        <v>4.0000000000000001E-3</v>
      </c>
      <c r="R43" s="90">
        <f>O43*0.001</f>
        <v>0</v>
      </c>
      <c r="T43" s="79">
        <v>4</v>
      </c>
      <c r="U43" s="80">
        <f>FPDC!J11</f>
        <v>0</v>
      </c>
      <c r="V43" s="75">
        <f>FPDC!R11+VLOOKUP($R$31,$AD$38:$AK$42,2,FALSE)+VLOOKUP($R$31,$AD$38:$AK$42,7,FALSE)+VLOOKUP('File location'!$B$1,'Tester offset'!$A$2:$D$4,3,FALSE)</f>
        <v>-6</v>
      </c>
      <c r="W43" s="76">
        <f>FPDC!S11+VLOOKUP($R$31,$AD$38:$AK$42,3,FALSE)+VLOOKUP($R$31,$AD$38:$AK$42,8,FALSE)+VLOOKUP('File location'!$B$1,'Tester offset'!$A$2:$D$4,4,FALSE)</f>
        <v>-3</v>
      </c>
      <c r="X43" s="92">
        <f>AVERAGEIF($T$34:$T$45,4,$V$34:$V$45)</f>
        <v>-6</v>
      </c>
      <c r="Y43" s="92">
        <f>AVERAGEIF($T$34:$T$45,4,$W$34:$W$45)</f>
        <v>-3</v>
      </c>
      <c r="Z43" s="90">
        <f>(X43*-0.01)/4</f>
        <v>1.4999999999999999E-2</v>
      </c>
      <c r="AA43" s="90">
        <f>(Y43*-0.01)/4</f>
        <v>7.4999999999999997E-3</v>
      </c>
    </row>
    <row r="44" spans="1:37" s="32" customFormat="1" ht="17.100000000000001" customHeight="1">
      <c r="A44" s="79">
        <f t="shared" si="0"/>
        <v>4</v>
      </c>
      <c r="B44" s="80">
        <f>IPQC!J12</f>
        <v>0</v>
      </c>
      <c r="C44" s="44">
        <f>IPQC!S12+VLOOKUP($R$31,$AD$38:$AK$42,6,FALSE)+VLOOKUP('File location'!$B$1,'Tester offset'!$A$2:$D$4,2,FALSE)</f>
        <v>-2</v>
      </c>
      <c r="D44" s="44">
        <f>IPQC!Z12+VLOOKUP($R$31,$AD$38:$AK$42,6,FALSE)</f>
        <v>6</v>
      </c>
      <c r="E44" s="44">
        <f>VCM!HU12-'Summary(3pcs)'!C44-'Summary(3pcs)'!$D$32</f>
        <v>-177.50310559006209</v>
      </c>
      <c r="F44" s="90"/>
      <c r="G44" s="91"/>
      <c r="H44" s="91"/>
      <c r="I44" s="91"/>
      <c r="J44"/>
      <c r="K44" s="79">
        <f t="shared" si="1"/>
        <v>4</v>
      </c>
      <c r="L44" s="80">
        <f>OC!J12</f>
        <v>0</v>
      </c>
      <c r="M44" s="44">
        <f>OC!S12+VLOOKUP($R$31,$AD$38:$AK$42,4,FALSE)</f>
        <v>0</v>
      </c>
      <c r="N44" s="44">
        <f>OC!T12+VLOOKUP($R$31,$AD$38:$AK$42,5,FALSE)</f>
        <v>4</v>
      </c>
      <c r="O44" s="92"/>
      <c r="P44" s="92"/>
      <c r="Q44" s="90"/>
      <c r="R44" s="90"/>
      <c r="T44" s="79">
        <v>4</v>
      </c>
      <c r="U44" s="80">
        <f>FPDC!J12</f>
        <v>0</v>
      </c>
      <c r="V44" s="75">
        <f>FPDC!R12+VLOOKUP($R$31,$AD$38:$AK$42,2,FALSE)+VLOOKUP($R$31,$AD$38:$AK$42,7,FALSE)+VLOOKUP('File location'!$B$1,'Tester offset'!$A$2:$D$4,3,FALSE)</f>
        <v>-6</v>
      </c>
      <c r="W44" s="76">
        <f>FPDC!S12+VLOOKUP($R$31,$AD$38:$AK$42,3,FALSE)+VLOOKUP($R$31,$AD$38:$AK$42,8,FALSE)+VLOOKUP('File location'!$B$1,'Tester offset'!$A$2:$D$4,4,FALSE)</f>
        <v>-3</v>
      </c>
      <c r="X44" s="92"/>
      <c r="Y44" s="92"/>
      <c r="Z44" s="90"/>
      <c r="AA44" s="90"/>
    </row>
    <row r="45" spans="1:37" s="32" customFormat="1" ht="17.100000000000001" customHeight="1">
      <c r="A45" s="79">
        <f t="shared" si="0"/>
        <v>4</v>
      </c>
      <c r="B45" s="80">
        <f>IPQC!J13</f>
        <v>0</v>
      </c>
      <c r="C45" s="44">
        <f>IPQC!S13+VLOOKUP($R$31,$AD$38:$AK$42,6,FALSE)+VLOOKUP('File location'!$B$1,'Tester offset'!$A$2:$D$4,2,FALSE)</f>
        <v>-2</v>
      </c>
      <c r="D45" s="44">
        <f>IPQC!Z13+VLOOKUP($R$31,$AD$38:$AK$42,6,FALSE)</f>
        <v>6</v>
      </c>
      <c r="E45" s="44">
        <f>VCM!HU13-'Summary(3pcs)'!C45-'Summary(3pcs)'!$D$32</f>
        <v>-177.50310559006209</v>
      </c>
      <c r="F45" s="90"/>
      <c r="G45" s="91"/>
      <c r="H45" s="91"/>
      <c r="I45" s="91"/>
      <c r="J45"/>
      <c r="K45" s="79">
        <f t="shared" si="1"/>
        <v>4</v>
      </c>
      <c r="L45" s="80">
        <f>OC!J13</f>
        <v>0</v>
      </c>
      <c r="M45" s="44">
        <f>OC!S13+VLOOKUP($R$31,$AD$38:$AK$42,4,FALSE)</f>
        <v>0</v>
      </c>
      <c r="N45" s="44">
        <f>OC!T13+VLOOKUP($R$31,$AD$38:$AK$42,5,FALSE)</f>
        <v>4</v>
      </c>
      <c r="O45" s="92"/>
      <c r="P45" s="92"/>
      <c r="Q45" s="90"/>
      <c r="R45" s="90"/>
      <c r="T45" s="79">
        <v>4</v>
      </c>
      <c r="U45" s="80">
        <f>FPDC!J13</f>
        <v>0</v>
      </c>
      <c r="V45" s="75">
        <f>FPDC!R13+VLOOKUP($R$31,$AD$38:$AK$42,2,FALSE)+VLOOKUP($R$31,$AD$38:$AK$42,7,FALSE)+VLOOKUP('File location'!$B$1,'Tester offset'!$A$2:$D$4,3,FALSE)</f>
        <v>-6</v>
      </c>
      <c r="W45" s="76">
        <f>FPDC!S13+VLOOKUP($R$31,$AD$38:$AK$42,3,FALSE)+VLOOKUP($R$31,$AD$38:$AK$42,8,FALSE)+VLOOKUP('File location'!$B$1,'Tester offset'!$A$2:$D$4,4,FALSE)</f>
        <v>-3</v>
      </c>
      <c r="X45" s="92"/>
      <c r="Y45" s="92"/>
      <c r="Z45" s="90"/>
      <c r="AA45" s="90"/>
    </row>
    <row r="47" spans="1:37" ht="15">
      <c r="F47" s="88" t="s">
        <v>14</v>
      </c>
      <c r="G47" s="88"/>
      <c r="H47" s="77" t="s">
        <v>105</v>
      </c>
      <c r="I47" s="32"/>
      <c r="K47" s="32"/>
      <c r="L47" s="32"/>
      <c r="M47" s="32"/>
      <c r="N47" s="32"/>
      <c r="O47" s="88" t="s">
        <v>161</v>
      </c>
      <c r="P47" s="88"/>
      <c r="Q47" s="77" t="s">
        <v>105</v>
      </c>
      <c r="R47" s="32"/>
      <c r="S47" s="32"/>
      <c r="T47" s="32"/>
      <c r="U47" s="32"/>
      <c r="V47" s="32"/>
      <c r="W47" s="32"/>
      <c r="X47" s="32"/>
      <c r="Y47" s="88" t="s">
        <v>2</v>
      </c>
      <c r="Z47" s="88"/>
      <c r="AA47" s="77" t="s">
        <v>105</v>
      </c>
    </row>
    <row r="48" spans="1:37" ht="17.25">
      <c r="F48" s="89" t="s">
        <v>155</v>
      </c>
      <c r="G48" s="89"/>
      <c r="H48" s="78" t="s">
        <v>141</v>
      </c>
      <c r="I48" s="32"/>
      <c r="K48" s="32"/>
      <c r="L48" s="32"/>
      <c r="M48" s="32"/>
      <c r="N48" s="32"/>
      <c r="O48" s="93" t="s">
        <v>156</v>
      </c>
      <c r="P48" s="89"/>
      <c r="Q48" s="78" t="s">
        <v>162</v>
      </c>
      <c r="R48" s="32"/>
      <c r="S48" s="32"/>
      <c r="T48" s="32"/>
      <c r="U48" s="32"/>
      <c r="V48" s="32"/>
      <c r="W48" s="32"/>
      <c r="X48" s="32"/>
      <c r="Y48" s="93" t="s">
        <v>156</v>
      </c>
      <c r="Z48" s="89"/>
      <c r="AA48" s="78" t="s">
        <v>104</v>
      </c>
    </row>
    <row r="49" spans="6:27" ht="17.25">
      <c r="F49" s="89" t="s">
        <v>157</v>
      </c>
      <c r="G49" s="89"/>
      <c r="H49" s="78" t="s">
        <v>107</v>
      </c>
      <c r="I49" s="32"/>
      <c r="K49" s="32"/>
      <c r="L49" s="32"/>
      <c r="M49" s="32"/>
      <c r="N49" s="32"/>
      <c r="O49" s="93" t="s">
        <v>165</v>
      </c>
      <c r="P49" s="89"/>
      <c r="Q49" s="78" t="s">
        <v>163</v>
      </c>
      <c r="R49" s="32"/>
      <c r="S49" s="32"/>
      <c r="T49" s="32"/>
      <c r="U49" s="32"/>
      <c r="V49" s="32"/>
      <c r="W49" s="32"/>
      <c r="X49" s="32"/>
      <c r="Y49" s="93" t="s">
        <v>159</v>
      </c>
      <c r="Z49" s="89"/>
      <c r="AA49" s="78" t="s">
        <v>164</v>
      </c>
    </row>
    <row r="50" spans="6:27" ht="17.25">
      <c r="F50" s="89" t="s">
        <v>16</v>
      </c>
      <c r="G50" s="89"/>
      <c r="H50" s="78" t="s">
        <v>106</v>
      </c>
      <c r="I50" s="32"/>
      <c r="K50" s="32"/>
      <c r="L50" s="32"/>
      <c r="M50" s="32"/>
      <c r="N50" s="32"/>
      <c r="O50" s="93" t="s">
        <v>165</v>
      </c>
      <c r="P50" s="89"/>
      <c r="Q50" s="78" t="s">
        <v>166</v>
      </c>
      <c r="R50" s="32"/>
      <c r="S50" s="32"/>
      <c r="T50" s="32"/>
      <c r="U50" s="32"/>
      <c r="V50" s="32"/>
      <c r="W50" s="32"/>
      <c r="X50" s="32"/>
      <c r="Y50" s="93" t="s">
        <v>158</v>
      </c>
      <c r="Z50" s="89"/>
      <c r="AA50" s="78" t="s">
        <v>142</v>
      </c>
    </row>
    <row r="52" spans="6:27" ht="19.5">
      <c r="I52" s="45"/>
      <c r="J52" s="45"/>
      <c r="K52" s="81" t="s">
        <v>151</v>
      </c>
      <c r="L52" s="82"/>
      <c r="M52" s="82"/>
      <c r="N52" s="82"/>
      <c r="O52" s="82"/>
      <c r="P52" s="82"/>
      <c r="Q52" s="83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95.7770056767</v>
      </c>
      <c r="L54" s="49">
        <f t="shared" ref="L54:L65" si="4">D34</f>
        <v>87.574576527299996</v>
      </c>
      <c r="M54" s="49">
        <f t="shared" ref="M54:M65" si="5">E34</f>
        <v>146.69712913103791</v>
      </c>
      <c r="N54" s="49">
        <f t="shared" ref="N54:O65" si="6">M34</f>
        <v>5.2905432180999998</v>
      </c>
      <c r="O54" s="49">
        <f t="shared" si="6"/>
        <v>16.9583026468</v>
      </c>
      <c r="P54" s="49">
        <f t="shared" ref="P54:P65" si="7">V34</f>
        <v>-8.8014793396000002</v>
      </c>
      <c r="Q54" s="50">
        <f t="shared" ref="Q54:Q65" si="8">W34</f>
        <v>1.4604301453000001</v>
      </c>
    </row>
    <row r="55" spans="6:27" ht="19.5">
      <c r="I55" s="47">
        <f t="shared" si="2"/>
        <v>1</v>
      </c>
      <c r="J55" s="46"/>
      <c r="K55" s="51">
        <f t="shared" si="3"/>
        <v>91.189510319600004</v>
      </c>
      <c r="L55" s="52">
        <f t="shared" si="4"/>
        <v>82.756449049400004</v>
      </c>
      <c r="M55" s="52">
        <f t="shared" si="5"/>
        <v>144.54244670233788</v>
      </c>
      <c r="N55" s="52">
        <f t="shared" si="6"/>
        <v>2.8746430357000001</v>
      </c>
      <c r="O55" s="52">
        <f t="shared" si="6"/>
        <v>-3.0231762876000001</v>
      </c>
      <c r="P55" s="52">
        <f t="shared" si="7"/>
        <v>-8.3550612926000003</v>
      </c>
      <c r="Q55" s="53">
        <f t="shared" si="8"/>
        <v>-5.8174629211000006</v>
      </c>
    </row>
    <row r="56" spans="6:27" ht="19.5">
      <c r="I56" s="47">
        <f t="shared" si="2"/>
        <v>1</v>
      </c>
      <c r="J56" s="46"/>
      <c r="K56" s="54">
        <f t="shared" si="3"/>
        <v>90.994457850800003</v>
      </c>
      <c r="L56" s="55">
        <f t="shared" si="4"/>
        <v>80.643582767699996</v>
      </c>
      <c r="M56" s="55">
        <f t="shared" si="5"/>
        <v>157.85711824843787</v>
      </c>
      <c r="N56" s="55">
        <f t="shared" si="6"/>
        <v>-0.11843200969999999</v>
      </c>
      <c r="O56" s="55">
        <f t="shared" si="6"/>
        <v>-1.5137855162999996</v>
      </c>
      <c r="P56" s="55">
        <f t="shared" si="7"/>
        <v>1.9287004470999998</v>
      </c>
      <c r="Q56" s="56">
        <f t="shared" si="8"/>
        <v>-5.9886591433999996</v>
      </c>
    </row>
    <row r="57" spans="6:27" ht="19.5">
      <c r="I57" s="47">
        <f t="shared" si="2"/>
        <v>2</v>
      </c>
      <c r="J57" s="46"/>
      <c r="K57" s="57">
        <f t="shared" si="3"/>
        <v>95.188927236699996</v>
      </c>
      <c r="L57" s="58">
        <f t="shared" si="4"/>
        <v>87.387238600800003</v>
      </c>
      <c r="M57" s="58">
        <f t="shared" si="5"/>
        <v>152.39222471813792</v>
      </c>
      <c r="N57" s="58">
        <f t="shared" si="6"/>
        <v>4.0573808981999999</v>
      </c>
      <c r="O57" s="58">
        <f t="shared" si="6"/>
        <v>1.4203052945999999</v>
      </c>
      <c r="P57" s="58">
        <f t="shared" si="7"/>
        <v>-2.6077404022000001</v>
      </c>
      <c r="Q57" s="59">
        <f t="shared" si="8"/>
        <v>-0.97196769710000019</v>
      </c>
    </row>
    <row r="58" spans="6:27" ht="19.5">
      <c r="I58" s="47">
        <f t="shared" si="2"/>
        <v>2</v>
      </c>
      <c r="J58" s="46"/>
      <c r="K58" s="57">
        <f t="shared" si="3"/>
        <v>98.680141900699994</v>
      </c>
      <c r="L58" s="58">
        <f t="shared" si="4"/>
        <v>90.081243950000001</v>
      </c>
      <c r="M58" s="58">
        <f t="shared" si="5"/>
        <v>136.5299330255379</v>
      </c>
      <c r="N58" s="58">
        <f t="shared" si="6"/>
        <v>3.9239092288999999</v>
      </c>
      <c r="O58" s="58">
        <f t="shared" si="6"/>
        <v>-8.3390385404000007</v>
      </c>
      <c r="P58" s="58">
        <f t="shared" si="7"/>
        <v>-0.41563987730000029</v>
      </c>
      <c r="Q58" s="59">
        <f t="shared" si="8"/>
        <v>-0.69533443449999988</v>
      </c>
    </row>
    <row r="59" spans="6:27" ht="19.5">
      <c r="I59" s="47">
        <f t="shared" si="2"/>
        <v>2</v>
      </c>
      <c r="J59" s="46"/>
      <c r="K59" s="57">
        <f t="shared" si="3"/>
        <v>95.765927459400004</v>
      </c>
      <c r="L59" s="58">
        <f t="shared" si="4"/>
        <v>87.656112848000006</v>
      </c>
      <c r="M59" s="58">
        <f t="shared" si="5"/>
        <v>150.83043259893788</v>
      </c>
      <c r="N59" s="58">
        <f t="shared" si="6"/>
        <v>7.5437951489000001</v>
      </c>
      <c r="O59" s="58">
        <f t="shared" si="6"/>
        <v>-9.2588203813999996</v>
      </c>
      <c r="P59" s="58">
        <f t="shared" si="7"/>
        <v>-4.7427834272</v>
      </c>
      <c r="Q59" s="59">
        <f t="shared" si="8"/>
        <v>-2.2778494953999999</v>
      </c>
    </row>
    <row r="60" spans="6:27" ht="19.5">
      <c r="I60" s="47">
        <f t="shared" si="2"/>
        <v>3</v>
      </c>
      <c r="J60" s="46"/>
      <c r="K60" s="60">
        <f t="shared" si="3"/>
        <v>90.281140262999998</v>
      </c>
      <c r="L60" s="61">
        <f t="shared" si="4"/>
        <v>82.996727531000005</v>
      </c>
      <c r="M60" s="61">
        <f t="shared" si="5"/>
        <v>146.6357870778379</v>
      </c>
      <c r="N60" s="61">
        <f t="shared" si="6"/>
        <v>-2.5926670264</v>
      </c>
      <c r="O60" s="61">
        <f t="shared" si="6"/>
        <v>-10.4887963617</v>
      </c>
      <c r="P60" s="61">
        <f t="shared" si="7"/>
        <v>0.47565937039999984</v>
      </c>
      <c r="Q60" s="62">
        <f t="shared" si="8"/>
        <v>-3.2565204501</v>
      </c>
    </row>
    <row r="61" spans="6:27" ht="19.5">
      <c r="I61" s="47">
        <f t="shared" si="2"/>
        <v>3</v>
      </c>
      <c r="J61" s="46"/>
      <c r="K61" s="63">
        <f t="shared" si="3"/>
        <v>96.051101603000006</v>
      </c>
      <c r="L61" s="64">
        <f t="shared" si="4"/>
        <v>90.465532231500006</v>
      </c>
      <c r="M61" s="64">
        <f t="shared" si="5"/>
        <v>132.76708425563788</v>
      </c>
      <c r="N61" s="64">
        <f t="shared" si="6"/>
        <v>-2.5271585696000001</v>
      </c>
      <c r="O61" s="64">
        <f t="shared" si="6"/>
        <v>-1.9901808795999996</v>
      </c>
      <c r="P61" s="64">
        <f t="shared" si="7"/>
        <v>4.0505208969000002</v>
      </c>
      <c r="Q61" s="65">
        <f t="shared" si="8"/>
        <v>0.10595417019999998</v>
      </c>
    </row>
    <row r="62" spans="6:27" ht="19.5">
      <c r="I62" s="47">
        <f t="shared" si="2"/>
        <v>3</v>
      </c>
      <c r="J62" s="46"/>
      <c r="K62" s="66">
        <f t="shared" si="3"/>
        <v>93.025436496200001</v>
      </c>
      <c r="L62" s="67">
        <f t="shared" si="4"/>
        <v>77.711656499100002</v>
      </c>
      <c r="M62" s="67">
        <f t="shared" si="5"/>
        <v>158.44992462943787</v>
      </c>
      <c r="N62" s="67">
        <f t="shared" si="6"/>
        <v>1.6624855645000001</v>
      </c>
      <c r="O62" s="67">
        <f t="shared" si="6"/>
        <v>3.0049364280000002</v>
      </c>
      <c r="P62" s="67">
        <f t="shared" si="7"/>
        <v>-4.2993087769000002</v>
      </c>
      <c r="Q62" s="68">
        <f t="shared" si="8"/>
        <v>3.8765082359000003</v>
      </c>
    </row>
    <row r="63" spans="6:27" ht="19.5">
      <c r="I63" s="47">
        <f t="shared" si="2"/>
        <v>4</v>
      </c>
      <c r="J63" s="46"/>
      <c r="K63" s="57">
        <f t="shared" si="3"/>
        <v>-2</v>
      </c>
      <c r="L63" s="58">
        <f t="shared" si="4"/>
        <v>6</v>
      </c>
      <c r="M63" s="58">
        <f t="shared" si="5"/>
        <v>-177.50310559006209</v>
      </c>
      <c r="N63" s="58">
        <f t="shared" si="6"/>
        <v>0</v>
      </c>
      <c r="O63" s="58">
        <f t="shared" si="6"/>
        <v>4</v>
      </c>
      <c r="P63" s="58">
        <f t="shared" si="7"/>
        <v>-6</v>
      </c>
      <c r="Q63" s="59">
        <f t="shared" si="8"/>
        <v>-3</v>
      </c>
    </row>
    <row r="64" spans="6:27" ht="19.5">
      <c r="I64" s="47">
        <f t="shared" si="2"/>
        <v>4</v>
      </c>
      <c r="J64" s="46"/>
      <c r="K64" s="57">
        <f t="shared" si="3"/>
        <v>-2</v>
      </c>
      <c r="L64" s="58">
        <f t="shared" si="4"/>
        <v>6</v>
      </c>
      <c r="M64" s="58">
        <f t="shared" si="5"/>
        <v>-177.50310559006209</v>
      </c>
      <c r="N64" s="58">
        <f t="shared" si="6"/>
        <v>0</v>
      </c>
      <c r="O64" s="58">
        <f t="shared" si="6"/>
        <v>4</v>
      </c>
      <c r="P64" s="58">
        <f t="shared" si="7"/>
        <v>-6</v>
      </c>
      <c r="Q64" s="59">
        <f t="shared" si="8"/>
        <v>-3</v>
      </c>
    </row>
    <row r="65" spans="9:17" ht="20.25" thickBot="1">
      <c r="I65" s="47">
        <f t="shared" si="2"/>
        <v>4</v>
      </c>
      <c r="J65" s="46"/>
      <c r="K65" s="69">
        <f t="shared" si="3"/>
        <v>-2</v>
      </c>
      <c r="L65" s="70">
        <f t="shared" si="4"/>
        <v>6</v>
      </c>
      <c r="M65" s="70">
        <f t="shared" si="5"/>
        <v>-177.50310559006209</v>
      </c>
      <c r="N65" s="70">
        <f t="shared" si="6"/>
        <v>0</v>
      </c>
      <c r="O65" s="70">
        <f t="shared" si="6"/>
        <v>4</v>
      </c>
      <c r="P65" s="70">
        <f t="shared" si="7"/>
        <v>-6</v>
      </c>
      <c r="Q65" s="71">
        <f t="shared" si="8"/>
        <v>-3</v>
      </c>
    </row>
  </sheetData>
  <sheetProtection selectLockedCells="1"/>
  <mergeCells count="68">
    <mergeCell ref="AE36:AI36"/>
    <mergeCell ref="AJ36:AK36"/>
    <mergeCell ref="AD36:AD37"/>
    <mergeCell ref="AA34:AA36"/>
    <mergeCell ref="Z37:Z39"/>
    <mergeCell ref="AA37:AA39"/>
    <mergeCell ref="Z34:Z36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I37:I39"/>
    <mergeCell ref="G34:G36"/>
    <mergeCell ref="G43:G45"/>
    <mergeCell ref="I40:I42"/>
    <mergeCell ref="I43:I45"/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0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  <c r="T1" t="s">
        <v>193</v>
      </c>
      <c r="U1" t="s">
        <v>194</v>
      </c>
      <c r="V1" t="s">
        <v>195</v>
      </c>
      <c r="W1" t="s">
        <v>196</v>
      </c>
      <c r="X1" t="s">
        <v>197</v>
      </c>
      <c r="Y1" t="s">
        <v>198</v>
      </c>
      <c r="Z1" t="s">
        <v>199</v>
      </c>
      <c r="AA1" t="s">
        <v>200</v>
      </c>
      <c r="AB1" t="s">
        <v>201</v>
      </c>
      <c r="AC1" t="s">
        <v>202</v>
      </c>
      <c r="AD1" t="s">
        <v>203</v>
      </c>
      <c r="AE1" t="s">
        <v>204</v>
      </c>
      <c r="AF1" t="s">
        <v>205</v>
      </c>
      <c r="AG1" t="s">
        <v>206</v>
      </c>
      <c r="AH1" t="s">
        <v>207</v>
      </c>
      <c r="AI1" t="s">
        <v>208</v>
      </c>
      <c r="AJ1" t="s">
        <v>209</v>
      </c>
    </row>
    <row r="2" spans="1:36">
      <c r="A2" t="s">
        <v>210</v>
      </c>
      <c r="B2" t="s">
        <v>211</v>
      </c>
      <c r="C2" t="s">
        <v>212</v>
      </c>
      <c r="D2">
        <v>3</v>
      </c>
      <c r="E2" t="s">
        <v>213</v>
      </c>
      <c r="F2" t="s">
        <v>214</v>
      </c>
      <c r="G2" t="s">
        <v>215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2117.7905432181001</v>
      </c>
      <c r="R2">
        <v>1499.5416973532001</v>
      </c>
      <c r="S2">
        <v>5.2905432180999998</v>
      </c>
      <c r="T2">
        <v>12.9583026468</v>
      </c>
      <c r="U2">
        <v>13.9966944322</v>
      </c>
      <c r="V2">
        <v>735.32280000000003</v>
      </c>
      <c r="W2">
        <v>404.0419</v>
      </c>
      <c r="X2">
        <v>404.27659999999997</v>
      </c>
      <c r="Y2">
        <v>402.1386</v>
      </c>
      <c r="Z2">
        <v>404.84289999999999</v>
      </c>
      <c r="AA2">
        <v>569.57389999999998</v>
      </c>
      <c r="AB2" t="s">
        <v>222</v>
      </c>
      <c r="AC2" t="s">
        <v>223</v>
      </c>
      <c r="AD2" t="s">
        <v>224</v>
      </c>
      <c r="AE2" t="s">
        <v>225</v>
      </c>
      <c r="AF2" t="s">
        <v>226</v>
      </c>
      <c r="AG2">
        <v>7</v>
      </c>
      <c r="AH2" t="s">
        <v>227</v>
      </c>
      <c r="AJ2">
        <v>1</v>
      </c>
    </row>
    <row r="3" spans="1:36">
      <c r="A3" t="s">
        <v>539</v>
      </c>
      <c r="B3" t="s">
        <v>540</v>
      </c>
      <c r="C3" t="s">
        <v>212</v>
      </c>
      <c r="D3">
        <v>3</v>
      </c>
      <c r="E3" t="s">
        <v>213</v>
      </c>
      <c r="F3" t="s">
        <v>214</v>
      </c>
      <c r="G3" t="s">
        <v>215</v>
      </c>
      <c r="H3" t="s">
        <v>216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2115.3746430357</v>
      </c>
      <c r="R3">
        <v>1519.5231762876001</v>
      </c>
      <c r="S3">
        <v>2.8746430357000001</v>
      </c>
      <c r="T3">
        <v>-7.0231762876000001</v>
      </c>
      <c r="U3">
        <v>7.5887138401999996</v>
      </c>
      <c r="V3">
        <v>735.18349999999998</v>
      </c>
      <c r="W3">
        <v>401.15800000000002</v>
      </c>
      <c r="X3">
        <v>408.02460000000002</v>
      </c>
      <c r="Y3">
        <v>401.05090000000001</v>
      </c>
      <c r="Z3">
        <v>402.17739999999998</v>
      </c>
      <c r="AA3">
        <v>569.14311250000003</v>
      </c>
      <c r="AB3" t="s">
        <v>222</v>
      </c>
      <c r="AC3" t="s">
        <v>223</v>
      </c>
      <c r="AD3" t="s">
        <v>224</v>
      </c>
      <c r="AE3" t="s">
        <v>225</v>
      </c>
      <c r="AF3" t="s">
        <v>226</v>
      </c>
      <c r="AG3">
        <v>7</v>
      </c>
      <c r="AH3" t="s">
        <v>227</v>
      </c>
      <c r="AJ3">
        <v>1</v>
      </c>
    </row>
    <row r="4" spans="1:36">
      <c r="A4" t="s">
        <v>546</v>
      </c>
      <c r="B4" t="s">
        <v>547</v>
      </c>
      <c r="C4" t="s">
        <v>212</v>
      </c>
      <c r="D4">
        <v>3</v>
      </c>
      <c r="E4" t="s">
        <v>213</v>
      </c>
      <c r="F4" t="s">
        <v>214</v>
      </c>
      <c r="G4" t="s">
        <v>215</v>
      </c>
      <c r="H4" t="s">
        <v>216</v>
      </c>
      <c r="J4" t="s">
        <v>548</v>
      </c>
      <c r="K4" t="s">
        <v>549</v>
      </c>
      <c r="L4" t="s">
        <v>550</v>
      </c>
      <c r="M4" t="s">
        <v>551</v>
      </c>
      <c r="N4" t="s">
        <v>552</v>
      </c>
      <c r="O4">
        <v>0</v>
      </c>
      <c r="P4">
        <v>0</v>
      </c>
      <c r="Q4">
        <v>2112.3815679903</v>
      </c>
      <c r="R4">
        <v>1518.0137855163</v>
      </c>
      <c r="S4">
        <v>-0.11843200969999999</v>
      </c>
      <c r="T4">
        <v>-5.5137855162999996</v>
      </c>
      <c r="U4">
        <v>5.5150572853000002</v>
      </c>
      <c r="V4">
        <v>746.37959999999998</v>
      </c>
      <c r="W4">
        <v>402.12049999999999</v>
      </c>
      <c r="X4">
        <v>410.11989999999997</v>
      </c>
      <c r="Y4">
        <v>403.85919999999999</v>
      </c>
      <c r="Z4">
        <v>404.21690000000001</v>
      </c>
      <c r="AA4">
        <v>575.72936249999998</v>
      </c>
      <c r="AB4" t="s">
        <v>222</v>
      </c>
      <c r="AC4" t="s">
        <v>223</v>
      </c>
      <c r="AD4" t="s">
        <v>224</v>
      </c>
      <c r="AE4" t="s">
        <v>225</v>
      </c>
      <c r="AF4" t="s">
        <v>226</v>
      </c>
      <c r="AG4">
        <v>7</v>
      </c>
      <c r="AH4" t="s">
        <v>227</v>
      </c>
      <c r="AJ4">
        <v>1</v>
      </c>
    </row>
    <row r="5" spans="1:36">
      <c r="A5" t="s">
        <v>563</v>
      </c>
      <c r="B5" t="s">
        <v>564</v>
      </c>
      <c r="C5" t="s">
        <v>212</v>
      </c>
      <c r="D5">
        <v>3</v>
      </c>
      <c r="E5" t="s">
        <v>213</v>
      </c>
      <c r="F5" t="s">
        <v>214</v>
      </c>
      <c r="G5" t="s">
        <v>215</v>
      </c>
      <c r="H5" t="s">
        <v>216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2116.5573808981999</v>
      </c>
      <c r="R5">
        <v>1515.0796947054</v>
      </c>
      <c r="S5">
        <v>4.0573808981999999</v>
      </c>
      <c r="T5">
        <v>-2.5796947054000001</v>
      </c>
      <c r="U5">
        <v>4.8080312526000002</v>
      </c>
      <c r="V5">
        <v>742.09339999999997</v>
      </c>
      <c r="W5">
        <v>400.92489999999998</v>
      </c>
      <c r="X5">
        <v>410.36470000000003</v>
      </c>
      <c r="Y5">
        <v>402.81400000000002</v>
      </c>
      <c r="Z5">
        <v>406.46510000000001</v>
      </c>
      <c r="AA5">
        <v>573.61778749999996</v>
      </c>
      <c r="AB5" t="s">
        <v>222</v>
      </c>
      <c r="AC5" t="s">
        <v>223</v>
      </c>
      <c r="AD5" t="s">
        <v>224</v>
      </c>
      <c r="AE5" t="s">
        <v>225</v>
      </c>
      <c r="AF5" t="s">
        <v>226</v>
      </c>
      <c r="AG5">
        <v>7</v>
      </c>
      <c r="AH5" t="s">
        <v>227</v>
      </c>
      <c r="AJ5">
        <v>1</v>
      </c>
    </row>
    <row r="6" spans="1:36">
      <c r="A6" t="s">
        <v>570</v>
      </c>
      <c r="B6" t="s">
        <v>571</v>
      </c>
      <c r="C6" t="s">
        <v>212</v>
      </c>
      <c r="D6">
        <v>3</v>
      </c>
      <c r="E6" t="s">
        <v>213</v>
      </c>
      <c r="F6" t="s">
        <v>214</v>
      </c>
      <c r="G6" t="s">
        <v>215</v>
      </c>
      <c r="H6" t="s">
        <v>216</v>
      </c>
      <c r="J6" t="s">
        <v>572</v>
      </c>
      <c r="K6" t="s">
        <v>573</v>
      </c>
      <c r="L6" t="s">
        <v>574</v>
      </c>
      <c r="M6" t="s">
        <v>575</v>
      </c>
      <c r="N6" t="s">
        <v>576</v>
      </c>
      <c r="O6">
        <v>0</v>
      </c>
      <c r="P6">
        <v>0</v>
      </c>
      <c r="Q6">
        <v>2116.4239092288999</v>
      </c>
      <c r="R6">
        <v>1524.8390385404</v>
      </c>
      <c r="S6">
        <v>3.9239092288999999</v>
      </c>
      <c r="T6">
        <v>-12.339038540400001</v>
      </c>
      <c r="U6">
        <v>12.947931716599999</v>
      </c>
      <c r="V6">
        <v>742.89070000000004</v>
      </c>
      <c r="W6">
        <v>402.86399999999998</v>
      </c>
      <c r="X6">
        <v>408.18529999999998</v>
      </c>
      <c r="Y6">
        <v>402.61130000000003</v>
      </c>
      <c r="Z6">
        <v>405.2398</v>
      </c>
      <c r="AA6">
        <v>573.80790000000002</v>
      </c>
      <c r="AB6" t="s">
        <v>222</v>
      </c>
      <c r="AC6" t="s">
        <v>223</v>
      </c>
      <c r="AD6" t="s">
        <v>224</v>
      </c>
      <c r="AE6" t="s">
        <v>225</v>
      </c>
      <c r="AF6" t="s">
        <v>226</v>
      </c>
      <c r="AG6">
        <v>7</v>
      </c>
      <c r="AH6" t="s">
        <v>227</v>
      </c>
      <c r="AJ6">
        <v>1</v>
      </c>
    </row>
    <row r="7" spans="1:36">
      <c r="A7" t="s">
        <v>577</v>
      </c>
      <c r="B7" t="s">
        <v>578</v>
      </c>
      <c r="C7" t="s">
        <v>212</v>
      </c>
      <c r="D7">
        <v>3</v>
      </c>
      <c r="E7" t="s">
        <v>213</v>
      </c>
      <c r="F7" t="s">
        <v>214</v>
      </c>
      <c r="G7" t="s">
        <v>215</v>
      </c>
      <c r="H7" t="s">
        <v>216</v>
      </c>
      <c r="J7" t="s">
        <v>579</v>
      </c>
      <c r="K7" t="s">
        <v>580</v>
      </c>
      <c r="L7" t="s">
        <v>581</v>
      </c>
      <c r="M7" t="s">
        <v>582</v>
      </c>
      <c r="N7" t="s">
        <v>583</v>
      </c>
      <c r="O7">
        <v>0</v>
      </c>
      <c r="P7">
        <v>0</v>
      </c>
      <c r="Q7">
        <v>2120.0437951488998</v>
      </c>
      <c r="R7">
        <v>1525.7588203814</v>
      </c>
      <c r="S7">
        <v>7.5437951489000001</v>
      </c>
      <c r="T7">
        <v>-13.2588203814</v>
      </c>
      <c r="U7">
        <v>15.254676763300001</v>
      </c>
      <c r="V7">
        <v>735.21669999999995</v>
      </c>
      <c r="W7">
        <v>395.14109999999999</v>
      </c>
      <c r="X7">
        <v>403.82049999999998</v>
      </c>
      <c r="Y7">
        <v>396.85899999999998</v>
      </c>
      <c r="Z7">
        <v>397.78160000000003</v>
      </c>
      <c r="AA7">
        <v>566.80862500000001</v>
      </c>
      <c r="AB7" t="s">
        <v>222</v>
      </c>
      <c r="AC7" t="s">
        <v>223</v>
      </c>
      <c r="AD7" t="s">
        <v>224</v>
      </c>
      <c r="AE7" t="s">
        <v>225</v>
      </c>
      <c r="AF7" t="s">
        <v>226</v>
      </c>
      <c r="AG7">
        <v>7</v>
      </c>
      <c r="AH7" t="s">
        <v>227</v>
      </c>
      <c r="AJ7">
        <v>1</v>
      </c>
    </row>
    <row r="8" spans="1:36">
      <c r="A8" t="s">
        <v>584</v>
      </c>
      <c r="B8" t="s">
        <v>585</v>
      </c>
      <c r="C8" t="s">
        <v>212</v>
      </c>
      <c r="D8">
        <v>3</v>
      </c>
      <c r="E8" t="s">
        <v>213</v>
      </c>
      <c r="F8" t="s">
        <v>214</v>
      </c>
      <c r="G8" t="s">
        <v>215</v>
      </c>
      <c r="H8" t="s">
        <v>216</v>
      </c>
      <c r="J8" t="s">
        <v>586</v>
      </c>
      <c r="K8" t="s">
        <v>587</v>
      </c>
      <c r="L8" t="s">
        <v>588</v>
      </c>
      <c r="M8" t="s">
        <v>589</v>
      </c>
      <c r="N8" t="s">
        <v>590</v>
      </c>
      <c r="O8">
        <v>0</v>
      </c>
      <c r="P8">
        <v>0</v>
      </c>
      <c r="Q8">
        <v>2109.9073329736002</v>
      </c>
      <c r="R8">
        <v>1526.9887963617</v>
      </c>
      <c r="S8">
        <v>-2.5926670264</v>
      </c>
      <c r="T8">
        <v>-14.4887963617</v>
      </c>
      <c r="U8">
        <v>14.7189382199</v>
      </c>
      <c r="V8">
        <v>734.0883</v>
      </c>
      <c r="W8">
        <v>397.83159999999998</v>
      </c>
      <c r="X8">
        <v>405.66149999999999</v>
      </c>
      <c r="Y8">
        <v>401.61450000000002</v>
      </c>
      <c r="Z8">
        <v>400.13170000000002</v>
      </c>
      <c r="AA8">
        <v>567.69906249999997</v>
      </c>
      <c r="AB8" t="s">
        <v>222</v>
      </c>
      <c r="AC8" t="s">
        <v>223</v>
      </c>
      <c r="AD8" t="s">
        <v>224</v>
      </c>
      <c r="AE8" t="s">
        <v>225</v>
      </c>
      <c r="AF8" t="s">
        <v>226</v>
      </c>
      <c r="AG8">
        <v>7</v>
      </c>
      <c r="AH8" t="s">
        <v>227</v>
      </c>
      <c r="AJ8">
        <v>1</v>
      </c>
    </row>
    <row r="9" spans="1:36">
      <c r="A9" t="s">
        <v>591</v>
      </c>
      <c r="B9" t="s">
        <v>592</v>
      </c>
      <c r="C9" t="s">
        <v>212</v>
      </c>
      <c r="D9">
        <v>3</v>
      </c>
      <c r="E9" t="s">
        <v>213</v>
      </c>
      <c r="F9" t="s">
        <v>214</v>
      </c>
      <c r="G9" t="s">
        <v>215</v>
      </c>
      <c r="H9" t="s">
        <v>216</v>
      </c>
      <c r="J9" t="s">
        <v>593</v>
      </c>
      <c r="K9" t="s">
        <v>594</v>
      </c>
      <c r="L9" t="s">
        <v>595</v>
      </c>
      <c r="M9" t="s">
        <v>596</v>
      </c>
      <c r="N9" t="s">
        <v>597</v>
      </c>
      <c r="O9">
        <v>0</v>
      </c>
      <c r="P9">
        <v>0</v>
      </c>
      <c r="Q9">
        <v>2109.9728414304</v>
      </c>
      <c r="R9">
        <v>1518.4901808796001</v>
      </c>
      <c r="S9">
        <v>-2.5271585696000001</v>
      </c>
      <c r="T9">
        <v>-5.9901808795999996</v>
      </c>
      <c r="U9">
        <v>6.5014457936000003</v>
      </c>
      <c r="V9">
        <v>735.71569999999997</v>
      </c>
      <c r="W9">
        <v>396.24400000000003</v>
      </c>
      <c r="X9">
        <v>398.79689999999999</v>
      </c>
      <c r="Y9">
        <v>398.6191</v>
      </c>
      <c r="Z9">
        <v>397.03370000000001</v>
      </c>
      <c r="AA9">
        <v>566.69456249999996</v>
      </c>
      <c r="AB9" t="s">
        <v>222</v>
      </c>
      <c r="AC9" t="s">
        <v>223</v>
      </c>
      <c r="AD9" t="s">
        <v>224</v>
      </c>
      <c r="AE9" t="s">
        <v>225</v>
      </c>
      <c r="AF9" t="s">
        <v>226</v>
      </c>
      <c r="AG9">
        <v>7</v>
      </c>
      <c r="AH9" t="s">
        <v>227</v>
      </c>
      <c r="AJ9">
        <v>1</v>
      </c>
    </row>
    <row r="10" spans="1:36">
      <c r="A10" t="s">
        <v>598</v>
      </c>
      <c r="B10" t="s">
        <v>599</v>
      </c>
      <c r="C10" t="s">
        <v>212</v>
      </c>
      <c r="D10">
        <v>3</v>
      </c>
      <c r="E10" t="s">
        <v>213</v>
      </c>
      <c r="F10" t="s">
        <v>214</v>
      </c>
      <c r="G10" t="s">
        <v>215</v>
      </c>
      <c r="H10" t="s">
        <v>216</v>
      </c>
      <c r="J10" t="s">
        <v>600</v>
      </c>
      <c r="K10" t="s">
        <v>601</v>
      </c>
      <c r="L10" t="s">
        <v>602</v>
      </c>
      <c r="M10" t="s">
        <v>603</v>
      </c>
      <c r="N10" t="s">
        <v>604</v>
      </c>
      <c r="O10">
        <v>0</v>
      </c>
      <c r="P10">
        <v>0</v>
      </c>
      <c r="Q10">
        <v>2114.1624855645</v>
      </c>
      <c r="R10">
        <v>1513.4950635719999</v>
      </c>
      <c r="S10">
        <v>1.6624855645000001</v>
      </c>
      <c r="T10">
        <v>-0.99506357199999995</v>
      </c>
      <c r="U10">
        <v>1.9375267132</v>
      </c>
      <c r="V10">
        <v>735.02509999999995</v>
      </c>
      <c r="W10">
        <v>401.69299999999998</v>
      </c>
      <c r="X10">
        <v>408.41879999999998</v>
      </c>
      <c r="Y10">
        <v>401.47179999999997</v>
      </c>
      <c r="Z10">
        <v>402.03429999999997</v>
      </c>
      <c r="AA10">
        <v>569.21478750000006</v>
      </c>
      <c r="AB10" t="s">
        <v>222</v>
      </c>
      <c r="AC10" t="s">
        <v>223</v>
      </c>
      <c r="AD10" t="s">
        <v>224</v>
      </c>
      <c r="AE10" t="s">
        <v>225</v>
      </c>
      <c r="AF10" t="s">
        <v>226</v>
      </c>
      <c r="AG10">
        <v>7</v>
      </c>
      <c r="AH10" t="s">
        <v>227</v>
      </c>
      <c r="AJ10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0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228</v>
      </c>
      <c r="R1" t="s">
        <v>229</v>
      </c>
      <c r="S1" t="s">
        <v>230</v>
      </c>
      <c r="T1" t="s">
        <v>231</v>
      </c>
      <c r="U1" t="s">
        <v>232</v>
      </c>
      <c r="V1" t="s">
        <v>233</v>
      </c>
      <c r="W1" t="s">
        <v>234</v>
      </c>
      <c r="X1" t="s">
        <v>235</v>
      </c>
      <c r="Y1" t="s">
        <v>236</v>
      </c>
      <c r="Z1" t="s">
        <v>237</v>
      </c>
      <c r="AA1" t="s">
        <v>238</v>
      </c>
      <c r="AB1" t="s">
        <v>239</v>
      </c>
      <c r="AC1" t="s">
        <v>240</v>
      </c>
      <c r="AD1" t="s">
        <v>241</v>
      </c>
      <c r="AE1" t="s">
        <v>242</v>
      </c>
      <c r="AF1" t="s">
        <v>243</v>
      </c>
      <c r="AG1" t="s">
        <v>244</v>
      </c>
      <c r="AH1" t="s">
        <v>245</v>
      </c>
      <c r="AI1" t="s">
        <v>246</v>
      </c>
      <c r="AJ1" t="s">
        <v>247</v>
      </c>
      <c r="AK1" t="s">
        <v>248</v>
      </c>
      <c r="AL1" t="s">
        <v>249</v>
      </c>
      <c r="AM1" t="s">
        <v>250</v>
      </c>
      <c r="AN1" t="s">
        <v>251</v>
      </c>
      <c r="AO1" t="s">
        <v>252</v>
      </c>
      <c r="AP1" t="s">
        <v>253</v>
      </c>
      <c r="AQ1" t="s">
        <v>254</v>
      </c>
      <c r="AR1" t="s">
        <v>255</v>
      </c>
      <c r="AS1" t="s">
        <v>256</v>
      </c>
      <c r="AT1" t="s">
        <v>257</v>
      </c>
      <c r="AU1" t="s">
        <v>258</v>
      </c>
      <c r="AV1" t="s">
        <v>207</v>
      </c>
      <c r="AW1" t="s">
        <v>208</v>
      </c>
      <c r="AX1" t="s">
        <v>209</v>
      </c>
    </row>
    <row r="2" spans="1:50">
      <c r="A2" t="s">
        <v>259</v>
      </c>
      <c r="B2" t="s">
        <v>260</v>
      </c>
      <c r="C2" t="s">
        <v>212</v>
      </c>
      <c r="D2">
        <v>3</v>
      </c>
      <c r="E2" t="s">
        <v>213</v>
      </c>
      <c r="F2" t="s">
        <v>214</v>
      </c>
      <c r="G2" t="s">
        <v>261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1.8536999999999999E-5</v>
      </c>
      <c r="R2">
        <v>-2.8014793396000002</v>
      </c>
      <c r="S2">
        <v>4.4604301453000001</v>
      </c>
      <c r="T2">
        <v>-4.7446413039999999</v>
      </c>
      <c r="U2">
        <v>-1.2137898207</v>
      </c>
      <c r="V2">
        <v>-0.1620127559</v>
      </c>
      <c r="W2">
        <v>4.1347522736000002</v>
      </c>
      <c r="X2">
        <v>-1.9082043171</v>
      </c>
      <c r="Y2">
        <v>0.78301250929999999</v>
      </c>
      <c r="Z2">
        <v>-0.57733631129999996</v>
      </c>
      <c r="AA2">
        <v>0.56664431100000001</v>
      </c>
      <c r="AB2">
        <v>0.15916210410000001</v>
      </c>
      <c r="AC2">
        <v>-0.19215029480000001</v>
      </c>
      <c r="AD2">
        <v>-0.92154479030000003</v>
      </c>
      <c r="AE2">
        <v>1.2772538661999999</v>
      </c>
      <c r="AF2">
        <v>0.83267498019999997</v>
      </c>
      <c r="AG2">
        <v>-2.6828765899999999E-2</v>
      </c>
      <c r="AH2">
        <v>0.76961624620000002</v>
      </c>
      <c r="AI2">
        <v>0.20746159550000001</v>
      </c>
      <c r="AJ2">
        <v>0.1153283864</v>
      </c>
      <c r="AK2">
        <v>2.7501979999999999E-4</v>
      </c>
      <c r="AL2">
        <v>5.3937949200000002E-2</v>
      </c>
      <c r="AM2">
        <v>9.4486549500000003E-2</v>
      </c>
      <c r="AN2">
        <v>9.38871503E-2</v>
      </c>
      <c r="AO2">
        <v>0.1105340123</v>
      </c>
      <c r="AP2">
        <v>0.1105340123</v>
      </c>
      <c r="AQ2">
        <v>5.2672311105</v>
      </c>
      <c r="AR2" t="s">
        <v>262</v>
      </c>
      <c r="AS2" t="s">
        <v>263</v>
      </c>
      <c r="AT2">
        <v>4</v>
      </c>
      <c r="AU2">
        <v>2.9</v>
      </c>
      <c r="AX2">
        <v>1</v>
      </c>
    </row>
    <row r="3" spans="1:50">
      <c r="A3" t="s">
        <v>553</v>
      </c>
      <c r="B3" t="s">
        <v>554</v>
      </c>
      <c r="C3" t="s">
        <v>212</v>
      </c>
      <c r="D3">
        <v>3</v>
      </c>
      <c r="E3" t="s">
        <v>213</v>
      </c>
      <c r="F3" t="s">
        <v>214</v>
      </c>
      <c r="G3" t="s">
        <v>261</v>
      </c>
      <c r="H3" t="s">
        <v>216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8.4043000000000002E-6</v>
      </c>
      <c r="R3">
        <v>-2.3550612925999999</v>
      </c>
      <c r="S3">
        <v>-2.8174629211000002</v>
      </c>
      <c r="T3">
        <v>3.7868938445999998</v>
      </c>
      <c r="U3">
        <v>5.3864245415000003</v>
      </c>
      <c r="V3">
        <v>-1.5841677189000001</v>
      </c>
      <c r="W3">
        <v>4.3295717239</v>
      </c>
      <c r="X3">
        <v>1.6012458801</v>
      </c>
      <c r="Y3">
        <v>-1.8508931397999999</v>
      </c>
      <c r="Z3">
        <v>0.3886662722</v>
      </c>
      <c r="AA3">
        <v>-0.25919109579999999</v>
      </c>
      <c r="AB3">
        <v>-2.3283929825</v>
      </c>
      <c r="AC3">
        <v>0.72077369690000004</v>
      </c>
      <c r="AD3">
        <v>-1.5996097326000001</v>
      </c>
      <c r="AE3">
        <v>-0.1461430192</v>
      </c>
      <c r="AF3">
        <v>1.0078427792</v>
      </c>
      <c r="AG3">
        <v>0.28198319669999999</v>
      </c>
      <c r="AH3">
        <v>0.103035897</v>
      </c>
      <c r="AI3">
        <v>-0.8716358542</v>
      </c>
      <c r="AJ3">
        <v>0.14466020460000001</v>
      </c>
      <c r="AK3">
        <v>2.128124E-4</v>
      </c>
      <c r="AL3">
        <v>4.77797836E-2</v>
      </c>
      <c r="AM3">
        <v>9.6063017799999997E-2</v>
      </c>
      <c r="AN3">
        <v>7.5754955400000004E-2</v>
      </c>
      <c r="AO3">
        <v>0.1752294898</v>
      </c>
      <c r="AP3">
        <v>0.1752294898</v>
      </c>
      <c r="AQ3">
        <v>3.6721126077999999</v>
      </c>
      <c r="AR3" t="s">
        <v>262</v>
      </c>
      <c r="AS3" t="s">
        <v>263</v>
      </c>
      <c r="AT3">
        <v>3</v>
      </c>
      <c r="AU3">
        <v>2.9</v>
      </c>
      <c r="AX3">
        <v>1</v>
      </c>
    </row>
    <row r="4" spans="1:50">
      <c r="A4" t="s">
        <v>555</v>
      </c>
      <c r="B4" t="s">
        <v>556</v>
      </c>
      <c r="C4" t="s">
        <v>212</v>
      </c>
      <c r="D4">
        <v>3</v>
      </c>
      <c r="E4" t="s">
        <v>213</v>
      </c>
      <c r="F4" t="s">
        <v>214</v>
      </c>
      <c r="G4" t="s">
        <v>261</v>
      </c>
      <c r="H4" t="s">
        <v>216</v>
      </c>
      <c r="J4" t="s">
        <v>548</v>
      </c>
      <c r="K4" t="s">
        <v>549</v>
      </c>
      <c r="L4" t="s">
        <v>550</v>
      </c>
      <c r="M4" t="s">
        <v>551</v>
      </c>
      <c r="N4" t="s">
        <v>552</v>
      </c>
      <c r="O4">
        <v>0</v>
      </c>
      <c r="P4">
        <v>0</v>
      </c>
      <c r="Q4">
        <v>4.9710299999999997E-5</v>
      </c>
      <c r="R4">
        <v>7.9287004470999998</v>
      </c>
      <c r="S4">
        <v>-2.9886591434000001</v>
      </c>
      <c r="T4">
        <v>-3.2816846371000001</v>
      </c>
      <c r="U4">
        <v>1.0293879508999999</v>
      </c>
      <c r="V4">
        <v>2.7941923141</v>
      </c>
      <c r="W4">
        <v>0.15980297330000001</v>
      </c>
      <c r="X4">
        <v>0.21978956459999999</v>
      </c>
      <c r="Y4">
        <v>0.54893791680000004</v>
      </c>
      <c r="Z4">
        <v>-1.4298534393</v>
      </c>
      <c r="AA4">
        <v>0.1403720081</v>
      </c>
      <c r="AB4">
        <v>-0.19821923969999999</v>
      </c>
      <c r="AC4">
        <v>-1.6329166889</v>
      </c>
      <c r="AD4">
        <v>-0.8804343939</v>
      </c>
      <c r="AE4">
        <v>0.49938976759999998</v>
      </c>
      <c r="AF4">
        <v>0.44818061590000002</v>
      </c>
      <c r="AG4">
        <v>0.54004079100000002</v>
      </c>
      <c r="AH4">
        <v>-0.51655781270000001</v>
      </c>
      <c r="AI4">
        <v>0.3713800907</v>
      </c>
      <c r="AJ4">
        <v>-0.43539133670000002</v>
      </c>
      <c r="AK4">
        <v>1.8639120000000001E-4</v>
      </c>
      <c r="AL4">
        <v>4.4629134199999997E-2</v>
      </c>
      <c r="AM4">
        <v>0.1479497552</v>
      </c>
      <c r="AN4">
        <v>0.100143522</v>
      </c>
      <c r="AO4">
        <v>0.1479497552</v>
      </c>
      <c r="AP4">
        <v>0.1479497552</v>
      </c>
      <c r="AQ4">
        <v>8.4732741166000007</v>
      </c>
      <c r="AR4" t="s">
        <v>262</v>
      </c>
      <c r="AS4" t="s">
        <v>263</v>
      </c>
      <c r="AT4">
        <v>3</v>
      </c>
      <c r="AU4">
        <v>2.9</v>
      </c>
      <c r="AX4">
        <v>1</v>
      </c>
    </row>
    <row r="5" spans="1:50">
      <c r="A5" t="s">
        <v>605</v>
      </c>
      <c r="B5" t="s">
        <v>606</v>
      </c>
      <c r="C5" t="s">
        <v>212</v>
      </c>
      <c r="D5">
        <v>3</v>
      </c>
      <c r="E5" t="s">
        <v>213</v>
      </c>
      <c r="F5" t="s">
        <v>214</v>
      </c>
      <c r="G5" t="s">
        <v>261</v>
      </c>
      <c r="H5" t="s">
        <v>216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-4.2915000000000003E-6</v>
      </c>
      <c r="R5">
        <v>3.3922595977999999</v>
      </c>
      <c r="S5">
        <v>2.0280323028999998</v>
      </c>
      <c r="T5">
        <v>0.4375561476</v>
      </c>
      <c r="U5">
        <v>1.2156432867</v>
      </c>
      <c r="V5">
        <v>0.23129090669999999</v>
      </c>
      <c r="W5">
        <v>0.60439383980000005</v>
      </c>
      <c r="X5">
        <v>-0.98171412940000002</v>
      </c>
      <c r="Y5">
        <v>-7.71379918E-2</v>
      </c>
      <c r="Z5">
        <v>-0.65361207720000003</v>
      </c>
      <c r="AA5">
        <v>0.15208730100000001</v>
      </c>
      <c r="AB5">
        <v>-0.86330819130000003</v>
      </c>
      <c r="AC5">
        <v>-6.4731985300000003E-2</v>
      </c>
      <c r="AD5">
        <v>-0.46882557870000002</v>
      </c>
      <c r="AE5">
        <v>0.16608941560000001</v>
      </c>
      <c r="AF5">
        <v>0.38275378939999999</v>
      </c>
      <c r="AG5">
        <v>-3.78456712E-2</v>
      </c>
      <c r="AH5">
        <v>-6.0954570800000003E-2</v>
      </c>
      <c r="AI5">
        <v>8.3425104599999994E-2</v>
      </c>
      <c r="AJ5">
        <v>-0.26170825959999999</v>
      </c>
      <c r="AK5">
        <v>2.0579689999999999E-4</v>
      </c>
      <c r="AL5">
        <v>4.6195760400000001E-2</v>
      </c>
      <c r="AM5">
        <v>4.3305419400000003E-2</v>
      </c>
      <c r="AN5">
        <v>4.9501489799999999E-2</v>
      </c>
      <c r="AO5">
        <v>6.9055393300000004E-2</v>
      </c>
      <c r="AP5">
        <v>6.9055393300000004E-2</v>
      </c>
      <c r="AQ5">
        <v>3.952257608</v>
      </c>
      <c r="AR5" t="s">
        <v>262</v>
      </c>
      <c r="AS5" t="s">
        <v>263</v>
      </c>
      <c r="AT5">
        <v>3</v>
      </c>
      <c r="AU5">
        <v>2.9</v>
      </c>
      <c r="AX5">
        <v>1</v>
      </c>
    </row>
    <row r="6" spans="1:50">
      <c r="A6" t="s">
        <v>607</v>
      </c>
      <c r="B6" t="s">
        <v>608</v>
      </c>
      <c r="C6" t="s">
        <v>212</v>
      </c>
      <c r="D6">
        <v>3</v>
      </c>
      <c r="E6" t="s">
        <v>213</v>
      </c>
      <c r="F6" t="s">
        <v>214</v>
      </c>
      <c r="G6" t="s">
        <v>261</v>
      </c>
      <c r="H6" t="s">
        <v>216</v>
      </c>
      <c r="J6" t="s">
        <v>572</v>
      </c>
      <c r="K6" t="s">
        <v>573</v>
      </c>
      <c r="L6" t="s">
        <v>574</v>
      </c>
      <c r="M6" t="s">
        <v>575</v>
      </c>
      <c r="N6" t="s">
        <v>576</v>
      </c>
      <c r="O6">
        <v>0</v>
      </c>
      <c r="P6">
        <v>0</v>
      </c>
      <c r="Q6">
        <v>2.3603399999999998E-5</v>
      </c>
      <c r="R6">
        <v>5.5843601226999997</v>
      </c>
      <c r="S6">
        <v>2.3046655655000001</v>
      </c>
      <c r="T6">
        <v>-0.55363476280000001</v>
      </c>
      <c r="U6">
        <v>-0.97362101079999996</v>
      </c>
      <c r="V6">
        <v>0.48785892130000003</v>
      </c>
      <c r="W6">
        <v>-1.4984344244000001</v>
      </c>
      <c r="X6">
        <v>-1.5131430626</v>
      </c>
      <c r="Y6">
        <v>-2.3252964000000001E-2</v>
      </c>
      <c r="Z6">
        <v>0.1719021201</v>
      </c>
      <c r="AA6">
        <v>-0.43882435559999999</v>
      </c>
      <c r="AB6">
        <v>2.51692832E-2</v>
      </c>
      <c r="AC6">
        <v>-4.1775614000000003E-2</v>
      </c>
      <c r="AD6">
        <v>-0.1457820833</v>
      </c>
      <c r="AE6">
        <v>0.23195929830000001</v>
      </c>
      <c r="AF6">
        <v>0.19253000619999999</v>
      </c>
      <c r="AG6">
        <v>-0.16733342409999999</v>
      </c>
      <c r="AH6">
        <v>5.0433516499999997E-2</v>
      </c>
      <c r="AI6">
        <v>-0.73710173369999998</v>
      </c>
      <c r="AJ6">
        <v>0.62200391290000001</v>
      </c>
      <c r="AK6">
        <v>1.441763E-4</v>
      </c>
      <c r="AL6">
        <v>4.0119037000000003E-2</v>
      </c>
      <c r="AM6">
        <v>9.9213533100000001E-2</v>
      </c>
      <c r="AN6">
        <v>7.6944746100000003E-2</v>
      </c>
      <c r="AO6">
        <v>0.10431136940000001</v>
      </c>
      <c r="AP6">
        <v>0.10431136940000001</v>
      </c>
      <c r="AQ6">
        <v>6.0412383952999997</v>
      </c>
      <c r="AR6" t="s">
        <v>262</v>
      </c>
      <c r="AS6" t="s">
        <v>263</v>
      </c>
      <c r="AT6">
        <v>4</v>
      </c>
      <c r="AU6">
        <v>2.9</v>
      </c>
      <c r="AX6">
        <v>1</v>
      </c>
    </row>
    <row r="7" spans="1:50">
      <c r="A7" t="s">
        <v>609</v>
      </c>
      <c r="B7" t="s">
        <v>610</v>
      </c>
      <c r="C7" t="s">
        <v>212</v>
      </c>
      <c r="D7">
        <v>3</v>
      </c>
      <c r="E7" t="s">
        <v>213</v>
      </c>
      <c r="F7" t="s">
        <v>214</v>
      </c>
      <c r="G7" t="s">
        <v>261</v>
      </c>
      <c r="H7" t="s">
        <v>216</v>
      </c>
      <c r="J7" t="s">
        <v>579</v>
      </c>
      <c r="K7" t="s">
        <v>580</v>
      </c>
      <c r="L7" t="s">
        <v>581</v>
      </c>
      <c r="M7" t="s">
        <v>582</v>
      </c>
      <c r="N7" t="s">
        <v>583</v>
      </c>
      <c r="O7">
        <v>0</v>
      </c>
      <c r="P7">
        <v>0</v>
      </c>
      <c r="Q7">
        <v>2.9801999999999999E-6</v>
      </c>
      <c r="R7">
        <v>1.2572165728</v>
      </c>
      <c r="S7">
        <v>0.72215050459999997</v>
      </c>
      <c r="T7">
        <v>2.4027719498</v>
      </c>
      <c r="U7">
        <v>5.1756210326999996</v>
      </c>
      <c r="V7">
        <v>-3.8035464286999998</v>
      </c>
      <c r="W7">
        <v>0.54119431969999998</v>
      </c>
      <c r="X7">
        <v>1.8746935129</v>
      </c>
      <c r="Y7">
        <v>0.88689213990000004</v>
      </c>
      <c r="Z7">
        <v>0.31602275369999999</v>
      </c>
      <c r="AA7">
        <v>0.54124891760000005</v>
      </c>
      <c r="AB7">
        <v>-2.2645826339999999</v>
      </c>
      <c r="AC7">
        <v>1.9073622227</v>
      </c>
      <c r="AD7">
        <v>-0.8971670866</v>
      </c>
      <c r="AE7">
        <v>-0.93762415649999997</v>
      </c>
      <c r="AF7">
        <v>-0.57355958220000003</v>
      </c>
      <c r="AG7">
        <v>-0.22998283799999999</v>
      </c>
      <c r="AH7">
        <v>-0.15291917320000001</v>
      </c>
      <c r="AI7">
        <v>-0.57137864829999996</v>
      </c>
      <c r="AJ7">
        <v>-3.4432783699999997E-2</v>
      </c>
      <c r="AK7">
        <v>2.8368289999999998E-4</v>
      </c>
      <c r="AL7">
        <v>5.6905299399999998E-2</v>
      </c>
      <c r="AM7">
        <v>7.9105898699999996E-2</v>
      </c>
      <c r="AN7">
        <v>7.7615201499999995E-2</v>
      </c>
      <c r="AO7">
        <v>0.12747281790000001</v>
      </c>
      <c r="AP7">
        <v>0.12747281790000001</v>
      </c>
      <c r="AQ7">
        <v>1.4498602905</v>
      </c>
      <c r="AR7" t="s">
        <v>262</v>
      </c>
      <c r="AS7" t="s">
        <v>263</v>
      </c>
      <c r="AT7">
        <v>3</v>
      </c>
      <c r="AU7">
        <v>2.9</v>
      </c>
      <c r="AX7">
        <v>1</v>
      </c>
    </row>
    <row r="8" spans="1:50">
      <c r="A8" t="s">
        <v>611</v>
      </c>
      <c r="B8" t="s">
        <v>612</v>
      </c>
      <c r="C8" t="s">
        <v>212</v>
      </c>
      <c r="D8">
        <v>3</v>
      </c>
      <c r="E8" t="s">
        <v>213</v>
      </c>
      <c r="F8" t="s">
        <v>214</v>
      </c>
      <c r="G8" t="s">
        <v>261</v>
      </c>
      <c r="H8" t="s">
        <v>216</v>
      </c>
      <c r="J8" t="s">
        <v>586</v>
      </c>
      <c r="K8" t="s">
        <v>587</v>
      </c>
      <c r="L8" t="s">
        <v>588</v>
      </c>
      <c r="M8" t="s">
        <v>589</v>
      </c>
      <c r="N8" t="s">
        <v>590</v>
      </c>
      <c r="O8">
        <v>0</v>
      </c>
      <c r="P8">
        <v>0</v>
      </c>
      <c r="Q8">
        <v>-3.8742999999999998E-5</v>
      </c>
      <c r="R8">
        <v>6.4756593703999998</v>
      </c>
      <c r="S8">
        <v>-0.25652045010000002</v>
      </c>
      <c r="T8">
        <v>-2.5681791305999999</v>
      </c>
      <c r="U8">
        <v>-1.7153565883999999</v>
      </c>
      <c r="V8">
        <v>-0.57381403450000001</v>
      </c>
      <c r="W8">
        <v>-0.1544100642</v>
      </c>
      <c r="X8">
        <v>2.9802260398999998</v>
      </c>
      <c r="Y8">
        <v>0.60865455869999996</v>
      </c>
      <c r="Z8">
        <v>-0.80241119859999999</v>
      </c>
      <c r="AA8">
        <v>1.9625262022000001</v>
      </c>
      <c r="AB8">
        <v>0.40575283769999998</v>
      </c>
      <c r="AC8">
        <v>0.52578532700000002</v>
      </c>
      <c r="AD8">
        <v>-0.19884267450000001</v>
      </c>
      <c r="AE8">
        <v>-0.70244401690000002</v>
      </c>
      <c r="AF8">
        <v>0.2374740541</v>
      </c>
      <c r="AG8">
        <v>0.2936683893</v>
      </c>
      <c r="AH8">
        <v>0.22653990979999999</v>
      </c>
      <c r="AI8">
        <v>1.7191499499999999E-2</v>
      </c>
      <c r="AJ8">
        <v>-1.0575366020000001</v>
      </c>
      <c r="AK8">
        <v>2.176864E-4</v>
      </c>
      <c r="AL8">
        <v>4.7904446699999999E-2</v>
      </c>
      <c r="AM8">
        <v>8.7154552299999993E-2</v>
      </c>
      <c r="AN8">
        <v>8.3330556799999997E-2</v>
      </c>
      <c r="AO8">
        <v>0.1167132333</v>
      </c>
      <c r="AP8">
        <v>0.1167132333</v>
      </c>
      <c r="AQ8">
        <v>6.4807381542</v>
      </c>
      <c r="AR8" t="s">
        <v>262</v>
      </c>
      <c r="AS8" t="s">
        <v>263</v>
      </c>
      <c r="AT8">
        <v>4</v>
      </c>
      <c r="AU8">
        <v>2.9</v>
      </c>
      <c r="AX8">
        <v>1</v>
      </c>
    </row>
    <row r="9" spans="1:50">
      <c r="A9" t="s">
        <v>613</v>
      </c>
      <c r="B9" t="s">
        <v>614</v>
      </c>
      <c r="C9" t="s">
        <v>212</v>
      </c>
      <c r="D9">
        <v>3</v>
      </c>
      <c r="E9" t="s">
        <v>213</v>
      </c>
      <c r="F9" t="s">
        <v>214</v>
      </c>
      <c r="G9" t="s">
        <v>261</v>
      </c>
      <c r="H9" t="s">
        <v>216</v>
      </c>
      <c r="J9" t="s">
        <v>593</v>
      </c>
      <c r="K9" t="s">
        <v>594</v>
      </c>
      <c r="L9" t="s">
        <v>595</v>
      </c>
      <c r="M9" t="s">
        <v>596</v>
      </c>
      <c r="N9" t="s">
        <v>597</v>
      </c>
      <c r="O9">
        <v>0</v>
      </c>
      <c r="P9">
        <v>0</v>
      </c>
      <c r="Q9">
        <v>2.8133400000000001E-5</v>
      </c>
      <c r="R9">
        <v>10.0505208969</v>
      </c>
      <c r="S9">
        <v>3.1059541702</v>
      </c>
      <c r="T9">
        <v>-5.5107297897</v>
      </c>
      <c r="U9">
        <v>-1.9171532392999999</v>
      </c>
      <c r="V9">
        <v>-4.0331926345999998</v>
      </c>
      <c r="W9">
        <v>2.8882865905999999</v>
      </c>
      <c r="X9">
        <v>3.0165967940999998</v>
      </c>
      <c r="Y9">
        <v>0.87378025049999997</v>
      </c>
      <c r="Z9">
        <v>0.3267369866</v>
      </c>
      <c r="AA9">
        <v>3.0143768786999998</v>
      </c>
      <c r="AB9">
        <v>0.12559975679999999</v>
      </c>
      <c r="AC9">
        <v>1.0224368572</v>
      </c>
      <c r="AD9">
        <v>-2.5062146187000001</v>
      </c>
      <c r="AE9">
        <v>-0.91799116130000002</v>
      </c>
      <c r="AF9">
        <v>0.31104433539999998</v>
      </c>
      <c r="AG9">
        <v>0.83813732860000001</v>
      </c>
      <c r="AH9">
        <v>-5.8665871600000002E-2</v>
      </c>
      <c r="AI9">
        <v>-0.44120401139999998</v>
      </c>
      <c r="AJ9">
        <v>-1.2266714572999999</v>
      </c>
      <c r="AK9">
        <v>2.043886E-4</v>
      </c>
      <c r="AL9">
        <v>4.7338932799999997E-2</v>
      </c>
      <c r="AM9">
        <v>0.1437179744</v>
      </c>
      <c r="AN9">
        <v>9.8260566600000002E-2</v>
      </c>
      <c r="AO9">
        <v>0.1437179744</v>
      </c>
      <c r="AP9">
        <v>0.14479725060000001</v>
      </c>
      <c r="AQ9">
        <v>10.5195019657</v>
      </c>
      <c r="AR9" t="s">
        <v>262</v>
      </c>
      <c r="AS9" t="s">
        <v>263</v>
      </c>
      <c r="AT9">
        <v>4</v>
      </c>
      <c r="AU9">
        <v>2.9</v>
      </c>
      <c r="AX9">
        <v>1</v>
      </c>
    </row>
    <row r="10" spans="1:50">
      <c r="A10" t="s">
        <v>615</v>
      </c>
      <c r="B10" t="s">
        <v>616</v>
      </c>
      <c r="C10" t="s">
        <v>212</v>
      </c>
      <c r="D10">
        <v>3</v>
      </c>
      <c r="E10" t="s">
        <v>213</v>
      </c>
      <c r="F10" t="s">
        <v>214</v>
      </c>
      <c r="G10" t="s">
        <v>261</v>
      </c>
      <c r="H10" t="s">
        <v>216</v>
      </c>
      <c r="J10" t="s">
        <v>600</v>
      </c>
      <c r="K10" t="s">
        <v>601</v>
      </c>
      <c r="L10" t="s">
        <v>602</v>
      </c>
      <c r="M10" t="s">
        <v>603</v>
      </c>
      <c r="N10" t="s">
        <v>604</v>
      </c>
      <c r="O10">
        <v>0</v>
      </c>
      <c r="P10">
        <v>0</v>
      </c>
      <c r="Q10">
        <v>1.7762200000000001E-5</v>
      </c>
      <c r="R10">
        <v>1.7006912231</v>
      </c>
      <c r="S10">
        <v>6.8765082359000003</v>
      </c>
      <c r="T10">
        <v>4.1568284034999996</v>
      </c>
      <c r="U10">
        <v>4.2165966034000002</v>
      </c>
      <c r="V10">
        <v>1.2842061520000001</v>
      </c>
      <c r="W10">
        <v>1.5061690807000001</v>
      </c>
      <c r="X10">
        <v>-2.8250937461999999</v>
      </c>
      <c r="Y10">
        <v>-1.8284156322</v>
      </c>
      <c r="Z10">
        <v>-0.75503718850000001</v>
      </c>
      <c r="AA10">
        <v>-0.55229151249999997</v>
      </c>
      <c r="AB10">
        <v>-2.8174324035999998</v>
      </c>
      <c r="AC10">
        <v>8.1037044500000002E-2</v>
      </c>
      <c r="AD10">
        <v>-1.1780483722999999</v>
      </c>
      <c r="AE10">
        <v>1.2963635921000001</v>
      </c>
      <c r="AF10">
        <v>0.96428549289999999</v>
      </c>
      <c r="AG10">
        <v>-0.756190896</v>
      </c>
      <c r="AH10">
        <v>-0.27852636580000001</v>
      </c>
      <c r="AI10">
        <v>0.18445926900000001</v>
      </c>
      <c r="AJ10">
        <v>0.1469626725</v>
      </c>
      <c r="AK10">
        <v>3.5336500000000002E-4</v>
      </c>
      <c r="AL10">
        <v>6.4060851899999993E-2</v>
      </c>
      <c r="AM10">
        <v>4.0222067399999999E-2</v>
      </c>
      <c r="AN10">
        <v>0.15018890800000001</v>
      </c>
      <c r="AO10">
        <v>0.1943902075</v>
      </c>
      <c r="AP10">
        <v>0.1943902075</v>
      </c>
      <c r="AQ10">
        <v>7.0836936801999997</v>
      </c>
      <c r="AR10" t="s">
        <v>262</v>
      </c>
      <c r="AS10" t="s">
        <v>263</v>
      </c>
      <c r="AT10">
        <v>3</v>
      </c>
      <c r="AU10">
        <v>2.9</v>
      </c>
      <c r="AX10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0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264</v>
      </c>
      <c r="R1" t="s">
        <v>265</v>
      </c>
      <c r="S1" t="s">
        <v>266</v>
      </c>
      <c r="T1" t="s">
        <v>267</v>
      </c>
      <c r="U1" t="s">
        <v>268</v>
      </c>
      <c r="V1" t="s">
        <v>269</v>
      </c>
      <c r="W1" t="s">
        <v>270</v>
      </c>
      <c r="X1" t="s">
        <v>271</v>
      </c>
      <c r="Y1" t="s">
        <v>272</v>
      </c>
      <c r="Z1" t="s">
        <v>273</v>
      </c>
      <c r="AA1" t="s">
        <v>274</v>
      </c>
      <c r="AB1" t="s">
        <v>275</v>
      </c>
      <c r="AC1" t="s">
        <v>276</v>
      </c>
      <c r="AD1" t="s">
        <v>207</v>
      </c>
      <c r="AE1" t="s">
        <v>208</v>
      </c>
      <c r="AF1" t="s">
        <v>209</v>
      </c>
    </row>
    <row r="2" spans="1:32">
      <c r="A2" t="s">
        <v>259</v>
      </c>
      <c r="B2" t="s">
        <v>277</v>
      </c>
      <c r="C2" t="s">
        <v>212</v>
      </c>
      <c r="D2">
        <v>3</v>
      </c>
      <c r="E2" t="s">
        <v>213</v>
      </c>
      <c r="F2" t="s">
        <v>214</v>
      </c>
      <c r="G2" t="s">
        <v>261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-5.8651026392999999</v>
      </c>
      <c r="R2">
        <v>-40</v>
      </c>
      <c r="S2">
        <v>97.7770056767</v>
      </c>
      <c r="T2">
        <v>118.4739884098</v>
      </c>
      <c r="U2">
        <v>3.5489038043000001</v>
      </c>
      <c r="V2">
        <v>3.0135319000000002E-3</v>
      </c>
      <c r="W2">
        <v>-6.9581799999999998E-5</v>
      </c>
      <c r="X2">
        <v>3.3630225461999999</v>
      </c>
      <c r="Y2">
        <v>96.970309101799998</v>
      </c>
      <c r="Z2">
        <v>81.574576527299996</v>
      </c>
      <c r="AA2">
        <v>324.2002347211</v>
      </c>
      <c r="AB2">
        <v>345.77807693599999</v>
      </c>
      <c r="AC2">
        <v>1</v>
      </c>
      <c r="AF2">
        <v>1</v>
      </c>
    </row>
    <row r="3" spans="1:32">
      <c r="A3" t="s">
        <v>553</v>
      </c>
      <c r="B3" t="s">
        <v>557</v>
      </c>
      <c r="C3" t="s">
        <v>212</v>
      </c>
      <c r="D3">
        <v>3</v>
      </c>
      <c r="E3" t="s">
        <v>213</v>
      </c>
      <c r="F3" t="s">
        <v>214</v>
      </c>
      <c r="G3" t="s">
        <v>261</v>
      </c>
      <c r="H3" t="s">
        <v>216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-7.0381231672000002</v>
      </c>
      <c r="R3">
        <v>-48</v>
      </c>
      <c r="S3">
        <v>93.189510319600004</v>
      </c>
      <c r="T3">
        <v>117.6776802135</v>
      </c>
      <c r="U3">
        <v>3.5008006086000001</v>
      </c>
      <c r="V3">
        <v>2.5787045E-3</v>
      </c>
      <c r="W3">
        <v>-6.6428799999999997E-5</v>
      </c>
      <c r="X3">
        <v>3.3044486903000001</v>
      </c>
      <c r="Y3">
        <v>92.687598423200001</v>
      </c>
      <c r="Z3">
        <v>76.756449049400004</v>
      </c>
      <c r="AA3">
        <v>322.04555229250002</v>
      </c>
      <c r="AB3">
        <v>343.8116189301</v>
      </c>
      <c r="AC3">
        <v>1</v>
      </c>
      <c r="AF3">
        <v>1</v>
      </c>
    </row>
    <row r="4" spans="1:32">
      <c r="A4" t="s">
        <v>555</v>
      </c>
      <c r="B4" t="s">
        <v>558</v>
      </c>
      <c r="C4" t="s">
        <v>212</v>
      </c>
      <c r="D4">
        <v>3</v>
      </c>
      <c r="E4" t="s">
        <v>213</v>
      </c>
      <c r="F4" t="s">
        <v>214</v>
      </c>
      <c r="G4" t="s">
        <v>261</v>
      </c>
      <c r="H4" t="s">
        <v>216</v>
      </c>
      <c r="J4" t="s">
        <v>548</v>
      </c>
      <c r="K4" t="s">
        <v>549</v>
      </c>
      <c r="L4" t="s">
        <v>550</v>
      </c>
      <c r="M4" t="s">
        <v>551</v>
      </c>
      <c r="N4" t="s">
        <v>552</v>
      </c>
      <c r="O4">
        <v>0</v>
      </c>
      <c r="P4">
        <v>0</v>
      </c>
      <c r="Q4">
        <v>-5.8651026392999999</v>
      </c>
      <c r="R4">
        <v>-40</v>
      </c>
      <c r="S4">
        <v>92.994457850800003</v>
      </c>
      <c r="T4">
        <v>113.6920377675</v>
      </c>
      <c r="U4">
        <v>3.5476387141000001</v>
      </c>
      <c r="V4">
        <v>2.8030913999999999E-3</v>
      </c>
      <c r="W4">
        <v>-6.5725500000000006E-5</v>
      </c>
      <c r="X4">
        <v>3.3367282868000001</v>
      </c>
      <c r="Y4">
        <v>92.793178042899996</v>
      </c>
      <c r="Z4">
        <v>74.643582767699996</v>
      </c>
      <c r="AA4">
        <v>335.36022383850002</v>
      </c>
      <c r="AB4">
        <v>357.61557277650002</v>
      </c>
      <c r="AC4">
        <v>1</v>
      </c>
      <c r="AF4">
        <v>1</v>
      </c>
    </row>
    <row r="5" spans="1:32">
      <c r="A5" t="s">
        <v>605</v>
      </c>
      <c r="B5" t="s">
        <v>617</v>
      </c>
      <c r="C5" t="s">
        <v>212</v>
      </c>
      <c r="D5">
        <v>3</v>
      </c>
      <c r="E5" t="s">
        <v>213</v>
      </c>
      <c r="F5" t="s">
        <v>214</v>
      </c>
      <c r="G5" t="s">
        <v>261</v>
      </c>
      <c r="H5" t="s">
        <v>216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-5.8651026392999999</v>
      </c>
      <c r="R5">
        <v>-40</v>
      </c>
      <c r="S5">
        <v>97.188927236699996</v>
      </c>
      <c r="T5">
        <v>117.6320513419</v>
      </c>
      <c r="U5">
        <v>3.5018850616999999</v>
      </c>
      <c r="V5">
        <v>2.4164502000000002E-3</v>
      </c>
      <c r="W5">
        <v>-6.2782199999999997E-5</v>
      </c>
      <c r="X5">
        <v>3.2859097498000001</v>
      </c>
      <c r="Y5">
        <v>96.387173233200002</v>
      </c>
      <c r="Z5">
        <v>81.387238600800003</v>
      </c>
      <c r="AA5">
        <v>329.89533030809997</v>
      </c>
      <c r="AB5">
        <v>352.11626940730002</v>
      </c>
      <c r="AC5">
        <v>1</v>
      </c>
      <c r="AF5">
        <v>1</v>
      </c>
    </row>
    <row r="6" spans="1:32">
      <c r="A6" t="s">
        <v>607</v>
      </c>
      <c r="B6" t="s">
        <v>618</v>
      </c>
      <c r="C6" t="s">
        <v>212</v>
      </c>
      <c r="D6">
        <v>3</v>
      </c>
      <c r="E6" t="s">
        <v>213</v>
      </c>
      <c r="F6" t="s">
        <v>214</v>
      </c>
      <c r="G6" t="s">
        <v>261</v>
      </c>
      <c r="H6" t="s">
        <v>216</v>
      </c>
      <c r="J6" t="s">
        <v>572</v>
      </c>
      <c r="K6" t="s">
        <v>573</v>
      </c>
      <c r="L6" t="s">
        <v>574</v>
      </c>
      <c r="M6" t="s">
        <v>575</v>
      </c>
      <c r="N6" t="s">
        <v>576</v>
      </c>
      <c r="O6">
        <v>0</v>
      </c>
      <c r="P6">
        <v>0</v>
      </c>
      <c r="Q6">
        <v>-4.6920821114000004</v>
      </c>
      <c r="R6">
        <v>-32</v>
      </c>
      <c r="S6">
        <v>100.68014190069999</v>
      </c>
      <c r="T6">
        <v>116.99877777739999</v>
      </c>
      <c r="U6">
        <v>3.4932426697999999</v>
      </c>
      <c r="V6">
        <v>2.9437447000000001E-3</v>
      </c>
      <c r="W6">
        <v>-6.9092100000000002E-5</v>
      </c>
      <c r="X6">
        <v>3.3055924390000002</v>
      </c>
      <c r="Y6">
        <v>100.27498430670001</v>
      </c>
      <c r="Z6">
        <v>84.081243950000001</v>
      </c>
      <c r="AA6">
        <v>314.03303861559999</v>
      </c>
      <c r="AB6">
        <v>336.42096014880002</v>
      </c>
      <c r="AC6">
        <v>1</v>
      </c>
      <c r="AF6">
        <v>1</v>
      </c>
    </row>
    <row r="7" spans="1:32">
      <c r="A7" t="s">
        <v>609</v>
      </c>
      <c r="B7" t="s">
        <v>619</v>
      </c>
      <c r="C7" t="s">
        <v>212</v>
      </c>
      <c r="D7">
        <v>3</v>
      </c>
      <c r="E7" t="s">
        <v>213</v>
      </c>
      <c r="F7" t="s">
        <v>214</v>
      </c>
      <c r="G7" t="s">
        <v>261</v>
      </c>
      <c r="H7" t="s">
        <v>216</v>
      </c>
      <c r="J7" t="s">
        <v>579</v>
      </c>
      <c r="K7" t="s">
        <v>580</v>
      </c>
      <c r="L7" t="s">
        <v>581</v>
      </c>
      <c r="M7" t="s">
        <v>582</v>
      </c>
      <c r="N7" t="s">
        <v>583</v>
      </c>
      <c r="O7">
        <v>0</v>
      </c>
      <c r="P7">
        <v>0</v>
      </c>
      <c r="Q7">
        <v>-5.8651026392999999</v>
      </c>
      <c r="R7">
        <v>-40</v>
      </c>
      <c r="S7">
        <v>97.765927459400004</v>
      </c>
      <c r="T7">
        <v>118.3348641213</v>
      </c>
      <c r="U7">
        <v>3.5263501559999999</v>
      </c>
      <c r="V7">
        <v>2.9062223000000001E-3</v>
      </c>
      <c r="W7">
        <v>-6.6895400000000003E-5</v>
      </c>
      <c r="X7">
        <v>3.3338284403</v>
      </c>
      <c r="Y7">
        <v>96.563561048400004</v>
      </c>
      <c r="Z7">
        <v>81.656112848000006</v>
      </c>
      <c r="AA7">
        <v>328.33353818889998</v>
      </c>
      <c r="AB7">
        <v>350.8945741746</v>
      </c>
      <c r="AC7">
        <v>1</v>
      </c>
      <c r="AF7">
        <v>1</v>
      </c>
    </row>
    <row r="8" spans="1:32">
      <c r="A8" t="s">
        <v>611</v>
      </c>
      <c r="B8" t="s">
        <v>620</v>
      </c>
      <c r="C8" t="s">
        <v>212</v>
      </c>
      <c r="D8">
        <v>3</v>
      </c>
      <c r="E8" t="s">
        <v>213</v>
      </c>
      <c r="F8" t="s">
        <v>214</v>
      </c>
      <c r="G8" t="s">
        <v>261</v>
      </c>
      <c r="H8" t="s">
        <v>216</v>
      </c>
      <c r="J8" t="s">
        <v>586</v>
      </c>
      <c r="K8" t="s">
        <v>587</v>
      </c>
      <c r="L8" t="s">
        <v>588</v>
      </c>
      <c r="M8" t="s">
        <v>589</v>
      </c>
      <c r="N8" t="s">
        <v>590</v>
      </c>
      <c r="O8">
        <v>0</v>
      </c>
      <c r="P8">
        <v>0</v>
      </c>
      <c r="Q8">
        <v>-7.0381231672000002</v>
      </c>
      <c r="R8">
        <v>-48</v>
      </c>
      <c r="S8">
        <v>92.281140262999998</v>
      </c>
      <c r="T8">
        <v>116.75212951659999</v>
      </c>
      <c r="U8">
        <v>3.5000733263999999</v>
      </c>
      <c r="V8">
        <v>2.8241207000000001E-3</v>
      </c>
      <c r="W8">
        <v>-6.6156900000000004E-5</v>
      </c>
      <c r="X8">
        <v>3.3207391206999999</v>
      </c>
      <c r="Y8">
        <v>91.979658375300005</v>
      </c>
      <c r="Z8">
        <v>76.996727531000005</v>
      </c>
      <c r="AA8">
        <v>324.13889266799998</v>
      </c>
      <c r="AB8">
        <v>345.80261385310001</v>
      </c>
      <c r="AC8">
        <v>1</v>
      </c>
      <c r="AF8">
        <v>1</v>
      </c>
    </row>
    <row r="9" spans="1:32">
      <c r="A9" t="s">
        <v>613</v>
      </c>
      <c r="B9" t="s">
        <v>621</v>
      </c>
      <c r="C9" t="s">
        <v>212</v>
      </c>
      <c r="D9">
        <v>3</v>
      </c>
      <c r="E9" t="s">
        <v>213</v>
      </c>
      <c r="F9" t="s">
        <v>214</v>
      </c>
      <c r="G9" t="s">
        <v>261</v>
      </c>
      <c r="H9" t="s">
        <v>216</v>
      </c>
      <c r="J9" t="s">
        <v>593</v>
      </c>
      <c r="K9" t="s">
        <v>594</v>
      </c>
      <c r="L9" t="s">
        <v>595</v>
      </c>
      <c r="M9" t="s">
        <v>596</v>
      </c>
      <c r="N9" t="s">
        <v>597</v>
      </c>
      <c r="O9">
        <v>0</v>
      </c>
      <c r="P9">
        <v>0</v>
      </c>
      <c r="Q9">
        <v>-4.6920821114000004</v>
      </c>
      <c r="R9">
        <v>-32</v>
      </c>
      <c r="S9">
        <v>98.051101603000006</v>
      </c>
      <c r="T9">
        <v>114.4533457699</v>
      </c>
      <c r="U9">
        <v>3.5113573766999999</v>
      </c>
      <c r="V9">
        <v>3.0012394999999999E-3</v>
      </c>
      <c r="W9">
        <v>-7.0269400000000002E-5</v>
      </c>
      <c r="X9">
        <v>3.3355140950000002</v>
      </c>
      <c r="Y9">
        <v>97.550490782699995</v>
      </c>
      <c r="Z9">
        <v>84.465532231500006</v>
      </c>
      <c r="AA9">
        <v>310.27018984569997</v>
      </c>
      <c r="AB9">
        <v>331.97700703610002</v>
      </c>
      <c r="AC9">
        <v>1</v>
      </c>
      <c r="AF9">
        <v>1</v>
      </c>
    </row>
    <row r="10" spans="1:32">
      <c r="A10" t="s">
        <v>615</v>
      </c>
      <c r="B10" t="s">
        <v>622</v>
      </c>
      <c r="C10" t="s">
        <v>212</v>
      </c>
      <c r="D10">
        <v>3</v>
      </c>
      <c r="E10" t="s">
        <v>213</v>
      </c>
      <c r="F10" t="s">
        <v>214</v>
      </c>
      <c r="G10" t="s">
        <v>261</v>
      </c>
      <c r="H10" t="s">
        <v>216</v>
      </c>
      <c r="J10" t="s">
        <v>600</v>
      </c>
      <c r="K10" t="s">
        <v>601</v>
      </c>
      <c r="L10" t="s">
        <v>602</v>
      </c>
      <c r="M10" t="s">
        <v>603</v>
      </c>
      <c r="N10" t="s">
        <v>604</v>
      </c>
      <c r="O10">
        <v>0</v>
      </c>
      <c r="P10">
        <v>0</v>
      </c>
      <c r="Q10">
        <v>-7.0381231672000002</v>
      </c>
      <c r="R10">
        <v>-48</v>
      </c>
      <c r="S10">
        <v>95.025436496200001</v>
      </c>
      <c r="T10">
        <v>120.20285274690001</v>
      </c>
      <c r="U10">
        <v>3.5982134865000002</v>
      </c>
      <c r="V10">
        <v>2.5034384999999999E-3</v>
      </c>
      <c r="W10">
        <v>-6.6674900000000001E-5</v>
      </c>
      <c r="X10">
        <v>3.3766822281</v>
      </c>
      <c r="Y10">
        <v>92.102904191299999</v>
      </c>
      <c r="Z10">
        <v>71.711656499100002</v>
      </c>
      <c r="AA10">
        <v>335.95303021950002</v>
      </c>
      <c r="AB10">
        <v>357.89494573809998</v>
      </c>
      <c r="AC10">
        <v>1</v>
      </c>
      <c r="AF10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10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278</v>
      </c>
      <c r="R1" t="s">
        <v>279</v>
      </c>
      <c r="S1" t="s">
        <v>280</v>
      </c>
      <c r="T1" t="s">
        <v>281</v>
      </c>
      <c r="U1" t="s">
        <v>282</v>
      </c>
      <c r="V1" t="s">
        <v>283</v>
      </c>
      <c r="W1" t="s">
        <v>284</v>
      </c>
      <c r="X1" t="s">
        <v>285</v>
      </c>
      <c r="Y1" t="s">
        <v>286</v>
      </c>
      <c r="Z1" t="s">
        <v>287</v>
      </c>
      <c r="AA1" t="s">
        <v>288</v>
      </c>
      <c r="AB1" t="s">
        <v>289</v>
      </c>
      <c r="AC1" t="s">
        <v>290</v>
      </c>
      <c r="AD1" t="s">
        <v>291</v>
      </c>
      <c r="AE1" t="s">
        <v>292</v>
      </c>
      <c r="AF1" t="s">
        <v>293</v>
      </c>
      <c r="AG1" t="s">
        <v>294</v>
      </c>
      <c r="AH1" t="s">
        <v>295</v>
      </c>
      <c r="AI1" t="s">
        <v>296</v>
      </c>
      <c r="AJ1" t="s">
        <v>297</v>
      </c>
      <c r="AK1" t="s">
        <v>298</v>
      </c>
      <c r="AL1" t="s">
        <v>299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313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323</v>
      </c>
      <c r="BK1" t="s">
        <v>324</v>
      </c>
      <c r="BL1" t="s">
        <v>325</v>
      </c>
      <c r="BM1" t="s">
        <v>326</v>
      </c>
      <c r="BN1" t="s">
        <v>327</v>
      </c>
      <c r="BO1" t="s">
        <v>328</v>
      </c>
      <c r="BP1" t="s">
        <v>329</v>
      </c>
      <c r="BQ1" t="s">
        <v>330</v>
      </c>
      <c r="BR1" t="s">
        <v>331</v>
      </c>
      <c r="BS1" t="s">
        <v>332</v>
      </c>
      <c r="BT1" t="s">
        <v>333</v>
      </c>
      <c r="BU1" t="s">
        <v>334</v>
      </c>
      <c r="BV1" t="s">
        <v>335</v>
      </c>
      <c r="BW1" t="s">
        <v>336</v>
      </c>
      <c r="BX1" t="s">
        <v>337</v>
      </c>
      <c r="BY1" t="s">
        <v>338</v>
      </c>
      <c r="BZ1" t="s">
        <v>339</v>
      </c>
      <c r="CA1" t="s">
        <v>340</v>
      </c>
      <c r="CB1" t="s">
        <v>341</v>
      </c>
      <c r="CC1" t="s">
        <v>342</v>
      </c>
      <c r="CD1" t="s">
        <v>343</v>
      </c>
      <c r="CE1" t="s">
        <v>344</v>
      </c>
      <c r="CF1" t="s">
        <v>345</v>
      </c>
      <c r="CG1" t="s">
        <v>346</v>
      </c>
      <c r="CH1" t="s">
        <v>347</v>
      </c>
      <c r="CI1" t="s">
        <v>348</v>
      </c>
      <c r="CJ1" t="s">
        <v>349</v>
      </c>
      <c r="CK1" t="s">
        <v>350</v>
      </c>
      <c r="CL1" t="s">
        <v>351</v>
      </c>
      <c r="CM1" t="s">
        <v>352</v>
      </c>
      <c r="CN1" t="s">
        <v>353</v>
      </c>
      <c r="CO1" t="s">
        <v>354</v>
      </c>
      <c r="CP1" t="s">
        <v>355</v>
      </c>
      <c r="CQ1" t="s">
        <v>356</v>
      </c>
      <c r="CR1" t="s">
        <v>357</v>
      </c>
      <c r="CS1" t="s">
        <v>358</v>
      </c>
      <c r="CT1" t="s">
        <v>359</v>
      </c>
      <c r="CU1" t="s">
        <v>360</v>
      </c>
      <c r="CV1" t="s">
        <v>361</v>
      </c>
      <c r="CW1" t="s">
        <v>362</v>
      </c>
      <c r="CX1" t="s">
        <v>363</v>
      </c>
      <c r="CY1" t="s">
        <v>364</v>
      </c>
      <c r="CZ1" t="s">
        <v>365</v>
      </c>
      <c r="DA1" t="s">
        <v>366</v>
      </c>
      <c r="DB1" t="s">
        <v>367</v>
      </c>
      <c r="DC1" t="s">
        <v>368</v>
      </c>
      <c r="DD1" t="s">
        <v>369</v>
      </c>
      <c r="DE1" t="s">
        <v>370</v>
      </c>
      <c r="DF1" t="s">
        <v>371</v>
      </c>
      <c r="DG1" t="s">
        <v>372</v>
      </c>
      <c r="DH1" t="s">
        <v>373</v>
      </c>
      <c r="DI1" t="s">
        <v>374</v>
      </c>
      <c r="DJ1" t="s">
        <v>375</v>
      </c>
      <c r="DK1" t="s">
        <v>376</v>
      </c>
      <c r="DL1" t="s">
        <v>377</v>
      </c>
      <c r="DM1" t="s">
        <v>378</v>
      </c>
      <c r="DN1" t="s">
        <v>379</v>
      </c>
      <c r="DO1" t="s">
        <v>380</v>
      </c>
      <c r="DP1" t="s">
        <v>381</v>
      </c>
      <c r="DQ1" t="s">
        <v>382</v>
      </c>
      <c r="DR1" t="s">
        <v>383</v>
      </c>
      <c r="DS1" t="s">
        <v>384</v>
      </c>
      <c r="DT1" t="s">
        <v>385</v>
      </c>
      <c r="DU1" t="s">
        <v>386</v>
      </c>
      <c r="DV1" t="s">
        <v>387</v>
      </c>
      <c r="DW1" t="s">
        <v>388</v>
      </c>
      <c r="DX1" t="s">
        <v>389</v>
      </c>
      <c r="DY1" t="s">
        <v>390</v>
      </c>
      <c r="DZ1" t="s">
        <v>391</v>
      </c>
      <c r="EA1" t="s">
        <v>392</v>
      </c>
      <c r="EB1" t="s">
        <v>393</v>
      </c>
      <c r="EC1" t="s">
        <v>394</v>
      </c>
      <c r="ED1" t="s">
        <v>395</v>
      </c>
      <c r="EE1" t="s">
        <v>396</v>
      </c>
      <c r="EF1" t="s">
        <v>397</v>
      </c>
      <c r="EG1" t="s">
        <v>398</v>
      </c>
      <c r="EH1" t="s">
        <v>399</v>
      </c>
      <c r="EI1" t="s">
        <v>400</v>
      </c>
      <c r="EJ1" t="s">
        <v>401</v>
      </c>
      <c r="EK1" t="s">
        <v>402</v>
      </c>
      <c r="EL1" t="s">
        <v>403</v>
      </c>
      <c r="EM1" t="s">
        <v>404</v>
      </c>
      <c r="EN1" t="s">
        <v>405</v>
      </c>
      <c r="EO1" t="s">
        <v>406</v>
      </c>
      <c r="EP1" t="s">
        <v>407</v>
      </c>
      <c r="EQ1" t="s">
        <v>408</v>
      </c>
      <c r="ER1" t="s">
        <v>409</v>
      </c>
      <c r="ES1" t="s">
        <v>410</v>
      </c>
      <c r="ET1" t="s">
        <v>411</v>
      </c>
      <c r="EU1" t="s">
        <v>412</v>
      </c>
      <c r="EV1" t="s">
        <v>413</v>
      </c>
      <c r="EW1" t="s">
        <v>414</v>
      </c>
      <c r="EX1" t="s">
        <v>415</v>
      </c>
      <c r="EY1" t="s">
        <v>416</v>
      </c>
      <c r="EZ1" t="s">
        <v>417</v>
      </c>
      <c r="FA1" t="s">
        <v>418</v>
      </c>
      <c r="FB1" t="s">
        <v>419</v>
      </c>
      <c r="FC1" t="s">
        <v>420</v>
      </c>
      <c r="FD1" t="s">
        <v>421</v>
      </c>
      <c r="FE1" t="s">
        <v>422</v>
      </c>
      <c r="FF1" t="s">
        <v>423</v>
      </c>
      <c r="FG1" t="s">
        <v>424</v>
      </c>
      <c r="FH1" t="s">
        <v>425</v>
      </c>
      <c r="FI1" t="s">
        <v>426</v>
      </c>
      <c r="FJ1" t="s">
        <v>427</v>
      </c>
      <c r="FK1" t="s">
        <v>428</v>
      </c>
      <c r="FL1" t="s">
        <v>429</v>
      </c>
      <c r="FM1" t="s">
        <v>430</v>
      </c>
      <c r="FN1" t="s">
        <v>431</v>
      </c>
      <c r="FO1" t="s">
        <v>432</v>
      </c>
      <c r="FP1" t="s">
        <v>433</v>
      </c>
      <c r="FQ1" t="s">
        <v>434</v>
      </c>
      <c r="FR1" t="s">
        <v>435</v>
      </c>
      <c r="FS1" t="s">
        <v>436</v>
      </c>
      <c r="FT1" t="s">
        <v>437</v>
      </c>
      <c r="FU1" t="s">
        <v>438</v>
      </c>
      <c r="FV1" t="s">
        <v>439</v>
      </c>
      <c r="FW1" t="s">
        <v>440</v>
      </c>
      <c r="FX1" t="s">
        <v>441</v>
      </c>
      <c r="FY1" t="s">
        <v>442</v>
      </c>
      <c r="FZ1" t="s">
        <v>443</v>
      </c>
      <c r="GA1" t="s">
        <v>444</v>
      </c>
      <c r="GB1" t="s">
        <v>445</v>
      </c>
      <c r="GC1" t="s">
        <v>446</v>
      </c>
      <c r="GD1" t="s">
        <v>447</v>
      </c>
      <c r="GE1" t="s">
        <v>448</v>
      </c>
      <c r="GF1" t="s">
        <v>449</v>
      </c>
      <c r="GG1" t="s">
        <v>450</v>
      </c>
      <c r="GH1" t="s">
        <v>451</v>
      </c>
      <c r="GI1" t="s">
        <v>452</v>
      </c>
      <c r="GJ1" t="s">
        <v>453</v>
      </c>
      <c r="GK1" t="s">
        <v>454</v>
      </c>
      <c r="GL1" t="s">
        <v>455</v>
      </c>
      <c r="GM1" t="s">
        <v>456</v>
      </c>
      <c r="GN1" t="s">
        <v>457</v>
      </c>
      <c r="GO1" t="s">
        <v>458</v>
      </c>
      <c r="GP1" t="s">
        <v>459</v>
      </c>
      <c r="GQ1" t="s">
        <v>460</v>
      </c>
      <c r="GR1" t="s">
        <v>461</v>
      </c>
      <c r="GS1" t="s">
        <v>462</v>
      </c>
      <c r="GT1" t="s">
        <v>463</v>
      </c>
      <c r="GU1" t="s">
        <v>464</v>
      </c>
      <c r="GV1" t="s">
        <v>465</v>
      </c>
      <c r="GW1" t="s">
        <v>466</v>
      </c>
      <c r="GX1" t="s">
        <v>467</v>
      </c>
      <c r="GY1" t="s">
        <v>468</v>
      </c>
      <c r="GZ1" t="s">
        <v>469</v>
      </c>
      <c r="HA1" t="s">
        <v>470</v>
      </c>
      <c r="HB1" t="s">
        <v>471</v>
      </c>
      <c r="HC1" t="s">
        <v>472</v>
      </c>
      <c r="HD1" t="s">
        <v>473</v>
      </c>
      <c r="HE1" t="s">
        <v>474</v>
      </c>
      <c r="HF1" t="s">
        <v>475</v>
      </c>
      <c r="HG1" t="s">
        <v>476</v>
      </c>
      <c r="HH1" t="s">
        <v>477</v>
      </c>
      <c r="HI1" t="s">
        <v>478</v>
      </c>
      <c r="HJ1" t="s">
        <v>479</v>
      </c>
      <c r="HK1" t="s">
        <v>480</v>
      </c>
      <c r="HL1" t="s">
        <v>481</v>
      </c>
      <c r="HM1" t="s">
        <v>482</v>
      </c>
      <c r="HN1" t="s">
        <v>483</v>
      </c>
      <c r="HO1" t="s">
        <v>484</v>
      </c>
      <c r="HP1" t="s">
        <v>485</v>
      </c>
      <c r="HQ1" t="s">
        <v>486</v>
      </c>
      <c r="HR1" t="s">
        <v>487</v>
      </c>
      <c r="HS1" t="s">
        <v>488</v>
      </c>
      <c r="HT1" t="s">
        <v>489</v>
      </c>
      <c r="HU1" t="s">
        <v>490</v>
      </c>
      <c r="HV1" t="s">
        <v>491</v>
      </c>
      <c r="HW1" t="s">
        <v>492</v>
      </c>
      <c r="HX1" t="s">
        <v>493</v>
      </c>
      <c r="HY1" t="s">
        <v>494</v>
      </c>
      <c r="HZ1" t="s">
        <v>495</v>
      </c>
      <c r="IA1" t="s">
        <v>496</v>
      </c>
      <c r="IB1" t="s">
        <v>497</v>
      </c>
      <c r="IC1" t="s">
        <v>498</v>
      </c>
      <c r="ID1" t="s">
        <v>499</v>
      </c>
      <c r="IE1" t="s">
        <v>500</v>
      </c>
      <c r="IF1" t="s">
        <v>501</v>
      </c>
      <c r="IG1" t="s">
        <v>502</v>
      </c>
      <c r="IH1" t="s">
        <v>503</v>
      </c>
      <c r="II1" t="s">
        <v>504</v>
      </c>
      <c r="IJ1" t="s">
        <v>505</v>
      </c>
      <c r="IK1" t="s">
        <v>506</v>
      </c>
      <c r="IL1" t="s">
        <v>507</v>
      </c>
      <c r="IM1" t="s">
        <v>508</v>
      </c>
      <c r="IN1" t="s">
        <v>509</v>
      </c>
      <c r="IO1" t="s">
        <v>510</v>
      </c>
      <c r="IP1" t="s">
        <v>511</v>
      </c>
      <c r="IQ1" t="s">
        <v>512</v>
      </c>
      <c r="IR1" t="s">
        <v>513</v>
      </c>
      <c r="IS1" t="s">
        <v>514</v>
      </c>
      <c r="IT1" t="s">
        <v>515</v>
      </c>
      <c r="IU1" t="s">
        <v>516</v>
      </c>
      <c r="IV1" t="s">
        <v>517</v>
      </c>
      <c r="IW1" t="s">
        <v>518</v>
      </c>
      <c r="IX1" t="s">
        <v>519</v>
      </c>
      <c r="IY1" t="s">
        <v>520</v>
      </c>
      <c r="IZ1" t="s">
        <v>521</v>
      </c>
      <c r="JA1" t="s">
        <v>522</v>
      </c>
      <c r="JB1" t="s">
        <v>523</v>
      </c>
      <c r="JC1" t="s">
        <v>524</v>
      </c>
      <c r="JD1" t="s">
        <v>525</v>
      </c>
      <c r="JE1" t="s">
        <v>526</v>
      </c>
      <c r="JF1" t="s">
        <v>527</v>
      </c>
      <c r="JG1" t="s">
        <v>528</v>
      </c>
      <c r="JH1" t="s">
        <v>529</v>
      </c>
      <c r="JI1" t="s">
        <v>530</v>
      </c>
      <c r="JJ1" t="s">
        <v>531</v>
      </c>
      <c r="JK1" t="s">
        <v>271</v>
      </c>
      <c r="JL1" t="s">
        <v>532</v>
      </c>
      <c r="JM1" t="s">
        <v>533</v>
      </c>
      <c r="JN1" t="s">
        <v>534</v>
      </c>
      <c r="JO1" t="s">
        <v>207</v>
      </c>
      <c r="JP1" t="s">
        <v>208</v>
      </c>
      <c r="JQ1" t="s">
        <v>209</v>
      </c>
    </row>
    <row r="2" spans="1:277">
      <c r="A2" t="s">
        <v>535</v>
      </c>
      <c r="B2" t="s">
        <v>536</v>
      </c>
      <c r="C2" t="s">
        <v>212</v>
      </c>
      <c r="D2">
        <v>3</v>
      </c>
      <c r="E2" t="s">
        <v>213</v>
      </c>
      <c r="F2" t="s">
        <v>214</v>
      </c>
      <c r="G2" t="s">
        <v>537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0</v>
      </c>
      <c r="R2">
        <v>0.29999999970000002</v>
      </c>
      <c r="S2">
        <v>0.20000000039999999</v>
      </c>
      <c r="T2">
        <v>0.29999999970000002</v>
      </c>
      <c r="U2">
        <v>9.9999999300000003E-2</v>
      </c>
      <c r="V2">
        <v>0.20000000039999999</v>
      </c>
      <c r="W2">
        <v>0.20000000039999999</v>
      </c>
      <c r="X2">
        <v>0.29999999970000002</v>
      </c>
      <c r="Y2">
        <v>0.29999999970000002</v>
      </c>
      <c r="Z2">
        <v>0.50000000010000001</v>
      </c>
      <c r="AA2">
        <v>0.50000000010000001</v>
      </c>
      <c r="AB2">
        <v>0.50000000010000001</v>
      </c>
      <c r="AC2">
        <v>0.40000000079999998</v>
      </c>
      <c r="AD2">
        <v>0.59999999940000004</v>
      </c>
      <c r="AE2">
        <v>0.7000000005</v>
      </c>
      <c r="AF2">
        <v>0.79999999980000003</v>
      </c>
      <c r="AG2">
        <v>0.90000000089999999</v>
      </c>
      <c r="AH2">
        <v>2.3999999993999999</v>
      </c>
      <c r="AI2">
        <v>9.0999999992999996</v>
      </c>
      <c r="AJ2">
        <v>15.9999999996</v>
      </c>
      <c r="AK2">
        <v>22.699999999500001</v>
      </c>
      <c r="AL2">
        <v>29.800000000299999</v>
      </c>
      <c r="AM2">
        <v>37.099999999600001</v>
      </c>
      <c r="AN2">
        <v>44.700000000400003</v>
      </c>
      <c r="AO2">
        <v>52.499999999800004</v>
      </c>
      <c r="AP2">
        <v>60.7</v>
      </c>
      <c r="AQ2">
        <v>68.400000000099993</v>
      </c>
      <c r="AR2">
        <v>75.699999999400006</v>
      </c>
      <c r="AS2">
        <v>83.699999999200003</v>
      </c>
      <c r="AT2">
        <v>91.399999999299993</v>
      </c>
      <c r="AU2">
        <v>99.8</v>
      </c>
      <c r="AV2">
        <v>108.7000000007</v>
      </c>
      <c r="AW2">
        <v>117.0999999995</v>
      </c>
      <c r="AX2">
        <v>124.9000000007</v>
      </c>
      <c r="AY2">
        <v>132.7999999994</v>
      </c>
      <c r="AZ2">
        <v>141.49999999970001</v>
      </c>
      <c r="BA2">
        <v>149.49999999950001</v>
      </c>
      <c r="BB2">
        <v>158.69999999999999</v>
      </c>
      <c r="BC2">
        <v>167.10000000060001</v>
      </c>
      <c r="BD2">
        <v>175.40000000009999</v>
      </c>
      <c r="BE2">
        <v>183.39999999989999</v>
      </c>
      <c r="BF2">
        <v>191.60000000010001</v>
      </c>
      <c r="BG2">
        <v>199.6999999992</v>
      </c>
      <c r="BH2">
        <v>208.8999999996</v>
      </c>
      <c r="BI2">
        <v>217.00000000060001</v>
      </c>
      <c r="BJ2">
        <v>225.50000000049999</v>
      </c>
      <c r="BK2">
        <v>233.2000000006</v>
      </c>
      <c r="BL2">
        <v>241.0999999993</v>
      </c>
      <c r="BM2">
        <v>248.40000000040001</v>
      </c>
      <c r="BN2">
        <v>256.99999999959999</v>
      </c>
      <c r="BO2">
        <v>265.49999999950001</v>
      </c>
      <c r="BP2">
        <v>273.69999999970003</v>
      </c>
      <c r="BQ2">
        <v>281.0000000009</v>
      </c>
      <c r="BR2">
        <v>288.50000000059998</v>
      </c>
      <c r="BS2">
        <v>296.00000000030002</v>
      </c>
      <c r="BT2">
        <v>303.5999999993</v>
      </c>
      <c r="BU2">
        <v>311.29999999939997</v>
      </c>
      <c r="BV2">
        <v>318.69999999980001</v>
      </c>
      <c r="BW2">
        <v>326.30000000059999</v>
      </c>
      <c r="BX2">
        <v>333.09999999979999</v>
      </c>
      <c r="BY2">
        <v>339.90000000089998</v>
      </c>
      <c r="BZ2">
        <v>346.60000000079998</v>
      </c>
      <c r="CA2">
        <v>353.80000000080003</v>
      </c>
      <c r="CB2">
        <v>360.6</v>
      </c>
      <c r="CC2">
        <v>367.29999999990002</v>
      </c>
      <c r="CD2">
        <v>374.20000000020002</v>
      </c>
      <c r="CE2">
        <v>380.4</v>
      </c>
      <c r="CF2">
        <v>386.59999999979999</v>
      </c>
      <c r="CG2">
        <v>392.49999999990001</v>
      </c>
      <c r="CH2">
        <v>398.60000000039997</v>
      </c>
      <c r="CI2">
        <v>405.00000000070003</v>
      </c>
      <c r="CJ2">
        <v>410.90000000079999</v>
      </c>
      <c r="CK2">
        <v>417.1999999999</v>
      </c>
      <c r="CL2">
        <v>422.69999999919997</v>
      </c>
      <c r="CM2">
        <v>428.79999999969999</v>
      </c>
      <c r="CN2">
        <v>434.19999999970003</v>
      </c>
      <c r="CO2">
        <v>439.39999999930001</v>
      </c>
      <c r="CP2">
        <v>444.79999999929998</v>
      </c>
      <c r="CQ2">
        <v>449.89999999960003</v>
      </c>
      <c r="CR2">
        <v>455.09999999920001</v>
      </c>
      <c r="CS2">
        <v>456.00000000009999</v>
      </c>
      <c r="CT2">
        <v>456.00000000009999</v>
      </c>
      <c r="CU2">
        <v>456.20000000049998</v>
      </c>
      <c r="CV2">
        <v>456.20000000049998</v>
      </c>
      <c r="CW2">
        <v>456.29999999979998</v>
      </c>
      <c r="CX2">
        <v>456.50000000019998</v>
      </c>
      <c r="CY2">
        <v>456.59999999950003</v>
      </c>
      <c r="CZ2">
        <v>456.70000000060003</v>
      </c>
      <c r="DA2">
        <v>456.70000000060003</v>
      </c>
      <c r="DB2">
        <v>456.79999999990002</v>
      </c>
      <c r="DC2">
        <v>456.79999999990002</v>
      </c>
      <c r="DD2">
        <v>456.59999999950003</v>
      </c>
      <c r="DE2">
        <v>456.79999999990002</v>
      </c>
      <c r="DF2">
        <v>457.00000000030002</v>
      </c>
      <c r="DG2">
        <v>1.5999999996000001</v>
      </c>
      <c r="DH2">
        <v>1.5000000003</v>
      </c>
      <c r="DI2">
        <v>1.7000000007</v>
      </c>
      <c r="DJ2">
        <v>1.5000000003</v>
      </c>
      <c r="DK2">
        <v>2.0000000004</v>
      </c>
      <c r="DL2">
        <v>1.8</v>
      </c>
      <c r="DM2">
        <v>2.0999999997000001</v>
      </c>
      <c r="DN2">
        <v>1.8999999993000001</v>
      </c>
      <c r="DO2">
        <v>1.8999999993000001</v>
      </c>
      <c r="DP2">
        <v>2.0999999997000001</v>
      </c>
      <c r="DQ2">
        <v>1.8999999993000001</v>
      </c>
      <c r="DR2">
        <v>1.8999999993000001</v>
      </c>
      <c r="DS2">
        <v>1.8999999993000001</v>
      </c>
      <c r="DT2">
        <v>2.2000000007999998</v>
      </c>
      <c r="DU2">
        <v>2.3000000000999998</v>
      </c>
      <c r="DV2">
        <v>2.5999999998000001</v>
      </c>
      <c r="DW2">
        <v>2.8000000001999998</v>
      </c>
      <c r="DX2">
        <v>6.9999999996</v>
      </c>
      <c r="DY2">
        <v>14.4</v>
      </c>
      <c r="DZ2">
        <v>21.0000000006</v>
      </c>
      <c r="EA2">
        <v>28.0999999995</v>
      </c>
      <c r="EB2">
        <v>34.600000000900003</v>
      </c>
      <c r="EC2">
        <v>42.799999999299999</v>
      </c>
      <c r="ED2">
        <v>50.999999999499998</v>
      </c>
      <c r="EE2">
        <v>58.9</v>
      </c>
      <c r="EF2">
        <v>66.899999999800002</v>
      </c>
      <c r="EG2">
        <v>74.000000000499995</v>
      </c>
      <c r="EH2">
        <v>81.5999999995</v>
      </c>
      <c r="EI2">
        <v>89.099999999199994</v>
      </c>
      <c r="EJ2">
        <v>97.400000000600002</v>
      </c>
      <c r="EK2">
        <v>106.1000000009</v>
      </c>
      <c r="EL2">
        <v>114.60000000079999</v>
      </c>
      <c r="EM2">
        <v>122.7999999992</v>
      </c>
      <c r="EN2">
        <v>130.6999999997</v>
      </c>
      <c r="EO2">
        <v>138.5000000009</v>
      </c>
      <c r="EP2">
        <v>146.69999999929999</v>
      </c>
      <c r="EQ2">
        <v>156.0000000009</v>
      </c>
      <c r="ER2">
        <v>164.30000000039999</v>
      </c>
      <c r="ES2">
        <v>173.1</v>
      </c>
      <c r="ET2">
        <v>180.89999999939999</v>
      </c>
      <c r="EU2">
        <v>189.09999999959999</v>
      </c>
      <c r="EV2">
        <v>197.40000000090001</v>
      </c>
      <c r="EW2">
        <v>206.5000000002</v>
      </c>
      <c r="EX2">
        <v>215.09999999940001</v>
      </c>
      <c r="EY2">
        <v>223.2000000004</v>
      </c>
      <c r="EZ2">
        <v>231.1000000009</v>
      </c>
      <c r="FA2">
        <v>239.10000000069999</v>
      </c>
      <c r="FB2">
        <v>246.6000000004</v>
      </c>
      <c r="FC2">
        <v>255.30000000070001</v>
      </c>
      <c r="FD2">
        <v>263.69999999949999</v>
      </c>
      <c r="FE2">
        <v>271.89999999970001</v>
      </c>
      <c r="FF2">
        <v>279.39999999939999</v>
      </c>
      <c r="FG2">
        <v>286.89999999920002</v>
      </c>
      <c r="FH2">
        <v>294.09999999920001</v>
      </c>
      <c r="FI2">
        <v>301.7</v>
      </c>
      <c r="FJ2">
        <v>309.99999999950001</v>
      </c>
      <c r="FK2">
        <v>317.39999999989999</v>
      </c>
      <c r="FL2">
        <v>324.89999999960003</v>
      </c>
      <c r="FM2">
        <v>332.09999999960002</v>
      </c>
      <c r="FN2">
        <v>338.90000000060002</v>
      </c>
      <c r="FO2">
        <v>345.40000000020001</v>
      </c>
      <c r="FP2">
        <v>352.69999999949999</v>
      </c>
      <c r="FQ2">
        <v>359.50000000049999</v>
      </c>
      <c r="FR2">
        <v>366.79999999979998</v>
      </c>
      <c r="FS2">
        <v>373.10000000069999</v>
      </c>
      <c r="FT2">
        <v>379.69999999949999</v>
      </c>
      <c r="FU2">
        <v>386.00000000040001</v>
      </c>
      <c r="FV2">
        <v>392.10000000090002</v>
      </c>
      <c r="FW2">
        <v>397.99999999919999</v>
      </c>
      <c r="FX2">
        <v>404.0999999997</v>
      </c>
      <c r="FY2">
        <v>410.20000000030001</v>
      </c>
      <c r="FZ2">
        <v>416.40000000010002</v>
      </c>
      <c r="GA2">
        <v>422.39999999949998</v>
      </c>
      <c r="GB2">
        <v>427.99999999990001</v>
      </c>
      <c r="GC2">
        <v>433.69999999959998</v>
      </c>
      <c r="GD2">
        <v>439.00000000030002</v>
      </c>
      <c r="GE2">
        <v>443.69999999980001</v>
      </c>
      <c r="GF2">
        <v>449.00000000049999</v>
      </c>
      <c r="GG2">
        <v>453.7</v>
      </c>
      <c r="GH2">
        <v>456.59999999950003</v>
      </c>
      <c r="GI2">
        <v>456.29999999979998</v>
      </c>
      <c r="GJ2">
        <v>456.70000000060003</v>
      </c>
      <c r="GK2">
        <v>456.40000000089998</v>
      </c>
      <c r="GL2">
        <v>456.79999999990002</v>
      </c>
      <c r="GM2">
        <v>456.59999999950003</v>
      </c>
      <c r="GN2">
        <v>456.59999999950003</v>
      </c>
      <c r="GO2">
        <v>456.50000000019998</v>
      </c>
      <c r="GP2">
        <v>456.59999999950003</v>
      </c>
      <c r="GQ2">
        <v>456.79999999990002</v>
      </c>
      <c r="GR2">
        <v>456.79999999990002</v>
      </c>
      <c r="GS2">
        <v>456.70000000060003</v>
      </c>
      <c r="GT2">
        <v>456.89999999920002</v>
      </c>
      <c r="GU2">
        <v>457.09999999960002</v>
      </c>
      <c r="GV2">
        <v>456.89999999920002</v>
      </c>
      <c r="GW2">
        <v>1</v>
      </c>
      <c r="GX2">
        <v>118.8999999995</v>
      </c>
      <c r="GY2">
        <v>117.0999999995</v>
      </c>
      <c r="GZ2">
        <v>117.0999999995</v>
      </c>
      <c r="HA2">
        <v>122.7999999992</v>
      </c>
      <c r="HB2">
        <v>118.5962577957</v>
      </c>
      <c r="HC2">
        <v>-5.6999999997000002</v>
      </c>
      <c r="HD2">
        <v>456.89999999920002</v>
      </c>
      <c r="HE2">
        <v>303.3809826021</v>
      </c>
      <c r="HF2">
        <v>102.39382864620001</v>
      </c>
      <c r="HG2">
        <v>457.09999999960002</v>
      </c>
      <c r="HH2">
        <v>457.09999999960002</v>
      </c>
      <c r="HI2">
        <v>457.00000000030002</v>
      </c>
      <c r="HJ2">
        <v>457.09999999960002</v>
      </c>
      <c r="HK2">
        <v>110.26392961880001</v>
      </c>
      <c r="HL2">
        <v>3.3630225461999999</v>
      </c>
      <c r="HM2">
        <v>3.3093668650999999</v>
      </c>
      <c r="HN2">
        <v>3.3345796646000001</v>
      </c>
      <c r="HO2">
        <v>3.1709204504000001</v>
      </c>
      <c r="HP2">
        <v>3.5489038043000001</v>
      </c>
      <c r="HQ2">
        <v>2.2762283397999998</v>
      </c>
      <c r="HR2">
        <v>16.202429149499999</v>
      </c>
      <c r="HS2">
        <v>-30.4985337243</v>
      </c>
      <c r="HT2">
        <v>-208</v>
      </c>
      <c r="HU2">
        <v>421.97724039780002</v>
      </c>
      <c r="HV2">
        <v>93.841642228699996</v>
      </c>
      <c r="HW2">
        <v>640</v>
      </c>
      <c r="HX2">
        <v>16.202429149499999</v>
      </c>
      <c r="HY2">
        <v>-30.4985337243</v>
      </c>
      <c r="HZ2">
        <v>-208</v>
      </c>
      <c r="IA2">
        <v>421.97724039780002</v>
      </c>
      <c r="IB2">
        <v>93.841642228699996</v>
      </c>
      <c r="IC2">
        <v>640</v>
      </c>
      <c r="ID2">
        <v>35.122759601799999</v>
      </c>
      <c r="IE2">
        <v>0.80669657490000002</v>
      </c>
      <c r="IF2">
        <v>-39.8826979472</v>
      </c>
      <c r="IG2">
        <v>-272</v>
      </c>
      <c r="IH2">
        <v>443.55508261279999</v>
      </c>
      <c r="II2">
        <v>103.22580645159999</v>
      </c>
      <c r="IJ2">
        <v>704</v>
      </c>
      <c r="IK2">
        <v>405.77481124830001</v>
      </c>
      <c r="IL2">
        <v>124.3401759531</v>
      </c>
      <c r="IM2">
        <v>430.97709815100001</v>
      </c>
      <c r="IN2">
        <v>133.724340176</v>
      </c>
      <c r="IO2">
        <v>7.4000000004000004</v>
      </c>
      <c r="IP2">
        <v>5.6999999997000002</v>
      </c>
      <c r="IQ2">
        <v>9.3000000015000008</v>
      </c>
      <c r="IR2">
        <v>5.4288195156999999</v>
      </c>
      <c r="IS2">
        <v>5.4288195156999999</v>
      </c>
      <c r="IT2">
        <v>5.3000000006999999</v>
      </c>
      <c r="IU2">
        <v>-32.844574780099997</v>
      </c>
      <c r="IV2">
        <v>6.9000000003000004</v>
      </c>
      <c r="IW2">
        <v>37.536656891500002</v>
      </c>
      <c r="IX2">
        <v>4.8999999999000003</v>
      </c>
      <c r="IY2">
        <v>98.533724340199996</v>
      </c>
      <c r="IZ2">
        <v>-35.639971819300001</v>
      </c>
      <c r="JA2">
        <v>0.33254161310000002</v>
      </c>
      <c r="JB2">
        <v>-3.3491249999999999E-4</v>
      </c>
      <c r="JC2">
        <v>6.4980000000000001E-7</v>
      </c>
      <c r="JD2">
        <v>0.29735155990000001</v>
      </c>
      <c r="JE2">
        <v>0.1877721182</v>
      </c>
      <c r="JF2">
        <v>0.1003507952</v>
      </c>
      <c r="JG2">
        <v>118.4739884098</v>
      </c>
      <c r="JH2">
        <v>3.5489038043000001</v>
      </c>
      <c r="JI2">
        <v>3.0135319000000002E-3</v>
      </c>
      <c r="JJ2">
        <v>-6.9581799999999998E-5</v>
      </c>
      <c r="JK2">
        <v>3.3630225461999999</v>
      </c>
      <c r="JL2">
        <v>1.4323004314000001</v>
      </c>
      <c r="JM2">
        <v>0.52206364660000004</v>
      </c>
      <c r="JN2" t="s">
        <v>538</v>
      </c>
      <c r="JQ2">
        <v>1</v>
      </c>
    </row>
    <row r="3" spans="1:277">
      <c r="A3" t="s">
        <v>559</v>
      </c>
      <c r="B3" t="s">
        <v>560</v>
      </c>
      <c r="C3" t="s">
        <v>212</v>
      </c>
      <c r="D3">
        <v>3</v>
      </c>
      <c r="E3" t="s">
        <v>213</v>
      </c>
      <c r="F3" t="s">
        <v>214</v>
      </c>
      <c r="G3" t="s">
        <v>537</v>
      </c>
      <c r="H3" t="s">
        <v>216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0</v>
      </c>
      <c r="R3">
        <v>0.29999999970000002</v>
      </c>
      <c r="S3">
        <v>0.29999999970000002</v>
      </c>
      <c r="T3">
        <v>0.20000000039999999</v>
      </c>
      <c r="U3">
        <v>0.40000000079999998</v>
      </c>
      <c r="V3">
        <v>0.40000000079999998</v>
      </c>
      <c r="W3">
        <v>0.20000000039999999</v>
      </c>
      <c r="X3">
        <v>0.40000000079999998</v>
      </c>
      <c r="Y3">
        <v>0.40000000079999998</v>
      </c>
      <c r="Z3">
        <v>0.29999999970000002</v>
      </c>
      <c r="AA3">
        <v>0.40000000079999998</v>
      </c>
      <c r="AB3">
        <v>0.40000000079999998</v>
      </c>
      <c r="AC3">
        <v>0.29999999970000002</v>
      </c>
      <c r="AD3">
        <v>0.79999999980000003</v>
      </c>
      <c r="AE3">
        <v>0.90000000089999999</v>
      </c>
      <c r="AF3">
        <v>0.50000000010000001</v>
      </c>
      <c r="AG3">
        <v>0.50000000010000001</v>
      </c>
      <c r="AH3">
        <v>2.3000000000999998</v>
      </c>
      <c r="AI3">
        <v>9.1000000010999997</v>
      </c>
      <c r="AJ3">
        <v>16.2</v>
      </c>
      <c r="AK3">
        <v>23.4</v>
      </c>
      <c r="AL3">
        <v>30.5000000008</v>
      </c>
      <c r="AM3">
        <v>37.299999999999997</v>
      </c>
      <c r="AN3">
        <v>44.5</v>
      </c>
      <c r="AO3">
        <v>52.100000000800001</v>
      </c>
      <c r="AP3">
        <v>59.600000000500003</v>
      </c>
      <c r="AQ3">
        <v>67.699999999599996</v>
      </c>
      <c r="AR3">
        <v>75.699999999400006</v>
      </c>
      <c r="AS3">
        <v>83.300000000200001</v>
      </c>
      <c r="AT3">
        <v>91.3</v>
      </c>
      <c r="AU3">
        <v>98.700000000499998</v>
      </c>
      <c r="AV3">
        <v>106.7999999996</v>
      </c>
      <c r="AW3">
        <v>115.7999999996</v>
      </c>
      <c r="AX3">
        <v>124.9000000007</v>
      </c>
      <c r="AY3">
        <v>132.9000000005</v>
      </c>
      <c r="AZ3">
        <v>140.99999999959999</v>
      </c>
      <c r="BA3">
        <v>148.90000000009999</v>
      </c>
      <c r="BB3">
        <v>156.80000000070001</v>
      </c>
      <c r="BC3">
        <v>165.1000000002</v>
      </c>
      <c r="BD3">
        <v>173.70000000120001</v>
      </c>
      <c r="BE3">
        <v>181.8000000003</v>
      </c>
      <c r="BF3">
        <v>190.30000000019999</v>
      </c>
      <c r="BG3">
        <v>198.20000000069999</v>
      </c>
      <c r="BH3">
        <v>206.20000000050001</v>
      </c>
      <c r="BI3">
        <v>214.40000000079999</v>
      </c>
      <c r="BJ3">
        <v>222.2999999994</v>
      </c>
      <c r="BK3">
        <v>230.60000000080001</v>
      </c>
      <c r="BL3">
        <v>238.19999999980001</v>
      </c>
      <c r="BM3">
        <v>246.50000000110001</v>
      </c>
      <c r="BN3">
        <v>253.89999999969999</v>
      </c>
      <c r="BO3">
        <v>262.00000000059998</v>
      </c>
      <c r="BP3">
        <v>269.59999999960002</v>
      </c>
      <c r="BQ3">
        <v>277.59999999939998</v>
      </c>
      <c r="BR3">
        <v>284.60000000090002</v>
      </c>
      <c r="BS3">
        <v>292.99999999969998</v>
      </c>
      <c r="BT3">
        <v>299.89999999999998</v>
      </c>
      <c r="BU3">
        <v>306.89999999960003</v>
      </c>
      <c r="BV3">
        <v>314.20000000070002</v>
      </c>
      <c r="BW3">
        <v>321.20000000030001</v>
      </c>
      <c r="BX3">
        <v>328.7</v>
      </c>
      <c r="BY3">
        <v>335.19999999949999</v>
      </c>
      <c r="BZ3">
        <v>342.50000000070003</v>
      </c>
      <c r="CA3">
        <v>349.09999999950003</v>
      </c>
      <c r="CB3">
        <v>355.40000000039998</v>
      </c>
      <c r="CC3">
        <v>361.80000000059999</v>
      </c>
      <c r="CD3">
        <v>368.3000000001</v>
      </c>
      <c r="CE3">
        <v>374.60000000100001</v>
      </c>
      <c r="CF3">
        <v>381.30000000090001</v>
      </c>
      <c r="CG3">
        <v>386.89999999949998</v>
      </c>
      <c r="CH3">
        <v>393.59999999939998</v>
      </c>
      <c r="CI3">
        <v>399.49999999950001</v>
      </c>
      <c r="CJ3">
        <v>405.20000000110002</v>
      </c>
      <c r="CK3">
        <v>410.79999999969999</v>
      </c>
      <c r="CL3">
        <v>416.30000000080003</v>
      </c>
      <c r="CM3">
        <v>421.9000000012</v>
      </c>
      <c r="CN3">
        <v>427.70000000020002</v>
      </c>
      <c r="CO3">
        <v>433.39999999989999</v>
      </c>
      <c r="CP3">
        <v>438.70000000060003</v>
      </c>
      <c r="CQ3">
        <v>443.69999999980001</v>
      </c>
      <c r="CR3">
        <v>446.79999999969999</v>
      </c>
      <c r="CS3">
        <v>447.00000000009999</v>
      </c>
      <c r="CT3">
        <v>447.10000000119999</v>
      </c>
      <c r="CU3">
        <v>447.20000000049998</v>
      </c>
      <c r="CV3">
        <v>447.10000000119999</v>
      </c>
      <c r="CW3">
        <v>447.20000000049998</v>
      </c>
      <c r="CX3">
        <v>447.29999999979998</v>
      </c>
      <c r="CY3">
        <v>447.20000000049998</v>
      </c>
      <c r="CZ3">
        <v>447.10000000119999</v>
      </c>
      <c r="DA3">
        <v>447.29999999979998</v>
      </c>
      <c r="DB3">
        <v>447.20000000049998</v>
      </c>
      <c r="DC3">
        <v>447.10000000119999</v>
      </c>
      <c r="DD3">
        <v>447.20000000049998</v>
      </c>
      <c r="DE3">
        <v>447.20000000049998</v>
      </c>
      <c r="DF3">
        <v>447.10000000119999</v>
      </c>
      <c r="DG3">
        <v>0.60000000119999997</v>
      </c>
      <c r="DH3">
        <v>1.2999999999</v>
      </c>
      <c r="DI3">
        <v>1.5000000003</v>
      </c>
      <c r="DJ3">
        <v>1.2999999999</v>
      </c>
      <c r="DK3">
        <v>1.2999999999</v>
      </c>
      <c r="DL3">
        <v>1.400000001</v>
      </c>
      <c r="DM3">
        <v>1.2999999999</v>
      </c>
      <c r="DN3">
        <v>1.2000000006</v>
      </c>
      <c r="DO3">
        <v>1.400000001</v>
      </c>
      <c r="DP3">
        <v>1.5000000003</v>
      </c>
      <c r="DQ3">
        <v>1.5999999996000001</v>
      </c>
      <c r="DR3">
        <v>1.7000000007</v>
      </c>
      <c r="DS3">
        <v>1.5999999996000001</v>
      </c>
      <c r="DT3">
        <v>1.7000000007</v>
      </c>
      <c r="DU3">
        <v>1.400000001</v>
      </c>
      <c r="DV3">
        <v>1.400000001</v>
      </c>
      <c r="DW3">
        <v>1.8</v>
      </c>
      <c r="DX3">
        <v>6.3000000008999999</v>
      </c>
      <c r="DY3">
        <v>14.199999999599999</v>
      </c>
      <c r="DZ3">
        <v>21.700000001100001</v>
      </c>
      <c r="EA3">
        <v>28.900000001199999</v>
      </c>
      <c r="EB3">
        <v>35.400000000699997</v>
      </c>
      <c r="EC3">
        <v>42.7</v>
      </c>
      <c r="ED3">
        <v>49.800000000700003</v>
      </c>
      <c r="EE3">
        <v>57.700000001200003</v>
      </c>
      <c r="EF3">
        <v>65.500000000599996</v>
      </c>
      <c r="EG3">
        <v>73.599999999700003</v>
      </c>
      <c r="EH3">
        <v>81.400000000899993</v>
      </c>
      <c r="EI3">
        <v>88.900000000600002</v>
      </c>
      <c r="EJ3">
        <v>96.400000000399999</v>
      </c>
      <c r="EK3">
        <v>104.3000000009</v>
      </c>
      <c r="EL3">
        <v>112.50000000110001</v>
      </c>
      <c r="EM3">
        <v>121.4</v>
      </c>
      <c r="EN3">
        <v>130.4</v>
      </c>
      <c r="EO3">
        <v>138.69999999949999</v>
      </c>
      <c r="EP3">
        <v>146.70000000109999</v>
      </c>
      <c r="EQ3">
        <v>154.3000000001</v>
      </c>
      <c r="ER3">
        <v>162.50000000040001</v>
      </c>
      <c r="ES3">
        <v>171.00000000029999</v>
      </c>
      <c r="ET3">
        <v>179.7999999999</v>
      </c>
      <c r="EU3">
        <v>187.5</v>
      </c>
      <c r="EV3">
        <v>196.10000000100001</v>
      </c>
      <c r="EW3">
        <v>203.90000000040001</v>
      </c>
      <c r="EX3">
        <v>212.1999999999</v>
      </c>
      <c r="EY3">
        <v>219.90000000009999</v>
      </c>
      <c r="EZ3">
        <v>228.6999999997</v>
      </c>
      <c r="FA3">
        <v>236.20000000120001</v>
      </c>
      <c r="FB3">
        <v>244.70000000109999</v>
      </c>
      <c r="FC3">
        <v>251.8</v>
      </c>
      <c r="FD3">
        <v>259.90000000089998</v>
      </c>
      <c r="FE3">
        <v>267.60000000100001</v>
      </c>
      <c r="FF3">
        <v>275.79999999939997</v>
      </c>
      <c r="FG3">
        <v>283.49999999950001</v>
      </c>
      <c r="FH3">
        <v>290.89999999999998</v>
      </c>
      <c r="FI3">
        <v>298.20000000110002</v>
      </c>
      <c r="FJ3">
        <v>305.40000000110001</v>
      </c>
      <c r="FK3">
        <v>312.5</v>
      </c>
      <c r="FL3">
        <v>319.60000000069999</v>
      </c>
      <c r="FM3">
        <v>327.00000000109998</v>
      </c>
      <c r="FN3">
        <v>333.89999999960003</v>
      </c>
      <c r="FO3">
        <v>340.79999999990002</v>
      </c>
      <c r="FP3">
        <v>347.60000000100001</v>
      </c>
      <c r="FQ3">
        <v>354.30000000090001</v>
      </c>
      <c r="FR3">
        <v>361.00000000080001</v>
      </c>
      <c r="FS3">
        <v>367.09999999950003</v>
      </c>
      <c r="FT3">
        <v>373.40000000039998</v>
      </c>
      <c r="FU3">
        <v>379.89999999989999</v>
      </c>
      <c r="FV3">
        <v>386.2000000008</v>
      </c>
      <c r="FW3">
        <v>392.40000000060002</v>
      </c>
      <c r="FX3">
        <v>398.4</v>
      </c>
      <c r="FY3">
        <v>403.8</v>
      </c>
      <c r="FZ3">
        <v>409.79999999939997</v>
      </c>
      <c r="GA3">
        <v>415.60000000029999</v>
      </c>
      <c r="GB3">
        <v>420.79999999990002</v>
      </c>
      <c r="GC3">
        <v>426.60000000069999</v>
      </c>
      <c r="GD3">
        <v>432.1</v>
      </c>
      <c r="GE3">
        <v>437.10000000100001</v>
      </c>
      <c r="GF3">
        <v>442.30000000059999</v>
      </c>
      <c r="GG3">
        <v>445.90000000060002</v>
      </c>
      <c r="GH3">
        <v>446.90000000079999</v>
      </c>
      <c r="GI3">
        <v>447.00000000009999</v>
      </c>
      <c r="GJ3">
        <v>446.90000000079999</v>
      </c>
      <c r="GK3">
        <v>447.00000000009999</v>
      </c>
      <c r="GL3">
        <v>446.90000000079999</v>
      </c>
      <c r="GM3">
        <v>447.00000000009999</v>
      </c>
      <c r="GN3">
        <v>447.00000000009999</v>
      </c>
      <c r="GO3">
        <v>447.10000000119999</v>
      </c>
      <c r="GP3">
        <v>447.10000000119999</v>
      </c>
      <c r="GQ3">
        <v>447.10000000119999</v>
      </c>
      <c r="GR3">
        <v>447.10000000119999</v>
      </c>
      <c r="GS3">
        <v>447.29999999979998</v>
      </c>
      <c r="GT3">
        <v>447.10000000119999</v>
      </c>
      <c r="GU3">
        <v>447.20000000049998</v>
      </c>
      <c r="GV3">
        <v>447.29999999979998</v>
      </c>
      <c r="GW3">
        <v>1</v>
      </c>
      <c r="GX3">
        <v>118.0999999997</v>
      </c>
      <c r="GY3">
        <v>115.7999999996</v>
      </c>
      <c r="GZ3">
        <v>115.7999999996</v>
      </c>
      <c r="HA3">
        <v>121.4</v>
      </c>
      <c r="HB3">
        <v>117.2851520569</v>
      </c>
      <c r="HC3">
        <v>-5.6000000003999997</v>
      </c>
      <c r="HD3">
        <v>447.29999999979998</v>
      </c>
      <c r="HE3">
        <v>297.94991055510002</v>
      </c>
      <c r="HF3">
        <v>100.8520907867</v>
      </c>
      <c r="HG3">
        <v>447.29999999979998</v>
      </c>
      <c r="HH3">
        <v>447.29999999979998</v>
      </c>
      <c r="HI3">
        <v>447.29999999979998</v>
      </c>
      <c r="HJ3">
        <v>447.29999999979998</v>
      </c>
      <c r="HK3">
        <v>110.26392961880001</v>
      </c>
      <c r="HL3">
        <v>3.3044486903000001</v>
      </c>
      <c r="HM3">
        <v>3.2547201388999998</v>
      </c>
      <c r="HN3">
        <v>3.2653610119000001</v>
      </c>
      <c r="HO3">
        <v>3.1581388229999998</v>
      </c>
      <c r="HP3">
        <v>3.5008006086000001</v>
      </c>
      <c r="HQ3">
        <v>2.2298135034</v>
      </c>
      <c r="HR3">
        <v>16.4330612702</v>
      </c>
      <c r="HS3">
        <v>-30.4985337243</v>
      </c>
      <c r="HT3">
        <v>-208</v>
      </c>
      <c r="HU3">
        <v>415.23506261199998</v>
      </c>
      <c r="HV3">
        <v>93.841642228699996</v>
      </c>
      <c r="HW3">
        <v>640</v>
      </c>
      <c r="HX3">
        <v>16.4330612702</v>
      </c>
      <c r="HY3">
        <v>-30.4985337243</v>
      </c>
      <c r="HZ3">
        <v>-208</v>
      </c>
      <c r="IA3">
        <v>415.23506261199998</v>
      </c>
      <c r="IB3">
        <v>93.841642228699996</v>
      </c>
      <c r="IC3">
        <v>640</v>
      </c>
      <c r="ID3">
        <v>32.064937387800001</v>
      </c>
      <c r="IE3">
        <v>0.50191189629999999</v>
      </c>
      <c r="IF3">
        <v>-39.8826979472</v>
      </c>
      <c r="IG3">
        <v>-272</v>
      </c>
      <c r="IH3">
        <v>437.00112924960001</v>
      </c>
      <c r="II3">
        <v>103.22580645159999</v>
      </c>
      <c r="IJ3">
        <v>704</v>
      </c>
      <c r="IK3">
        <v>398.80200134180001</v>
      </c>
      <c r="IL3">
        <v>124.3401759531</v>
      </c>
      <c r="IM3">
        <v>424.02033765710001</v>
      </c>
      <c r="IN3">
        <v>133.724340176</v>
      </c>
      <c r="IO3">
        <v>7.8999999987000002</v>
      </c>
      <c r="IP3">
        <v>5.8000000007999999</v>
      </c>
      <c r="IQ3">
        <v>9.1000000010999997</v>
      </c>
      <c r="IR3">
        <v>6.0421421739000003</v>
      </c>
      <c r="IS3">
        <v>6.0421421739000003</v>
      </c>
      <c r="IT3">
        <v>5.0999999985000004</v>
      </c>
      <c r="IU3">
        <v>-32.844574780099997</v>
      </c>
      <c r="IV3">
        <v>6.5000000013000001</v>
      </c>
      <c r="IW3">
        <v>35.190615835800003</v>
      </c>
      <c r="IX3">
        <v>4.6999999995000001</v>
      </c>
      <c r="IY3">
        <v>98.533724340199996</v>
      </c>
      <c r="IZ3">
        <v>-35.7587710759</v>
      </c>
      <c r="JA3">
        <v>0.33527493159999999</v>
      </c>
      <c r="JB3">
        <v>-3.3602760000000001E-4</v>
      </c>
      <c r="JC3">
        <v>6.7430000000000005E-7</v>
      </c>
      <c r="JD3">
        <v>0.3026223415</v>
      </c>
      <c r="JE3">
        <v>0.2866617602</v>
      </c>
      <c r="JF3">
        <v>0.1042500188</v>
      </c>
      <c r="JG3">
        <v>117.6776802135</v>
      </c>
      <c r="JH3">
        <v>3.5008006086000001</v>
      </c>
      <c r="JI3">
        <v>2.5787045E-3</v>
      </c>
      <c r="JJ3">
        <v>-6.6428799999999997E-5</v>
      </c>
      <c r="JK3">
        <v>3.3044486903000001</v>
      </c>
      <c r="JL3">
        <v>1.3442504802999999</v>
      </c>
      <c r="JM3">
        <v>0.58015894580000005</v>
      </c>
      <c r="JN3" t="s">
        <v>538</v>
      </c>
      <c r="JQ3">
        <v>1</v>
      </c>
    </row>
    <row r="4" spans="1:277">
      <c r="A4" t="s">
        <v>561</v>
      </c>
      <c r="B4" t="s">
        <v>562</v>
      </c>
      <c r="C4" t="s">
        <v>212</v>
      </c>
      <c r="D4">
        <v>3</v>
      </c>
      <c r="E4" t="s">
        <v>213</v>
      </c>
      <c r="F4" t="s">
        <v>214</v>
      </c>
      <c r="G4" t="s">
        <v>537</v>
      </c>
      <c r="H4" t="s">
        <v>216</v>
      </c>
      <c r="J4" t="s">
        <v>548</v>
      </c>
      <c r="K4" t="s">
        <v>549</v>
      </c>
      <c r="L4" t="s">
        <v>550</v>
      </c>
      <c r="M4" t="s">
        <v>551</v>
      </c>
      <c r="N4" t="s">
        <v>552</v>
      </c>
      <c r="O4">
        <v>0</v>
      </c>
      <c r="P4">
        <v>0</v>
      </c>
      <c r="Q4">
        <v>0</v>
      </c>
      <c r="R4">
        <v>1.0999999995</v>
      </c>
      <c r="S4">
        <v>1.2999999999</v>
      </c>
      <c r="T4">
        <v>1.0999999995</v>
      </c>
      <c r="U4">
        <v>1.0000000002</v>
      </c>
      <c r="V4">
        <v>1.2999999999</v>
      </c>
      <c r="W4">
        <v>1.2000000006</v>
      </c>
      <c r="X4">
        <v>1.2999999999</v>
      </c>
      <c r="Y4">
        <v>1.400000001</v>
      </c>
      <c r="Z4">
        <v>1.2999999999</v>
      </c>
      <c r="AA4">
        <v>1.2000000006</v>
      </c>
      <c r="AB4">
        <v>1.2999999999</v>
      </c>
      <c r="AC4">
        <v>1.5000000003</v>
      </c>
      <c r="AD4">
        <v>1.5000000003</v>
      </c>
      <c r="AE4">
        <v>1.0999999995</v>
      </c>
      <c r="AF4">
        <v>0.40000000079999998</v>
      </c>
      <c r="AG4">
        <v>0.20000000039999999</v>
      </c>
      <c r="AH4">
        <v>2.0999999997000001</v>
      </c>
      <c r="AI4">
        <v>5.8000000007999999</v>
      </c>
      <c r="AJ4">
        <v>10.8</v>
      </c>
      <c r="AK4">
        <v>18.1000000011</v>
      </c>
      <c r="AL4">
        <v>25.600000000800001</v>
      </c>
      <c r="AM4">
        <v>33.199999999900001</v>
      </c>
      <c r="AN4">
        <v>40.6000000003</v>
      </c>
      <c r="AO4">
        <v>47.899999999599999</v>
      </c>
      <c r="AP4">
        <v>55.3</v>
      </c>
      <c r="AQ4">
        <v>62.6000000011</v>
      </c>
      <c r="AR4">
        <v>70.799999999500002</v>
      </c>
      <c r="AS4">
        <v>79.100000000799994</v>
      </c>
      <c r="AT4">
        <v>87.400000000299997</v>
      </c>
      <c r="AU4">
        <v>95.400000000199995</v>
      </c>
      <c r="AV4">
        <v>103.50000000110001</v>
      </c>
      <c r="AW4">
        <v>111.2000000012</v>
      </c>
      <c r="AX4">
        <v>119.8000000004</v>
      </c>
      <c r="AY4">
        <v>128.3000000003</v>
      </c>
      <c r="AZ4">
        <v>136.80000000019999</v>
      </c>
      <c r="BA4">
        <v>144.80000000000001</v>
      </c>
      <c r="BB4">
        <v>153.7000000008</v>
      </c>
      <c r="BC4">
        <v>161.7000000006</v>
      </c>
      <c r="BD4">
        <v>169.79999999969999</v>
      </c>
      <c r="BE4">
        <v>178.5</v>
      </c>
      <c r="BF4">
        <v>186.90000000059999</v>
      </c>
      <c r="BG4">
        <v>195.2000000001</v>
      </c>
      <c r="BH4">
        <v>204.2000000001</v>
      </c>
      <c r="BI4">
        <v>211.99999999950001</v>
      </c>
      <c r="BJ4">
        <v>219.69999999960001</v>
      </c>
      <c r="BK4">
        <v>228.4</v>
      </c>
      <c r="BL4">
        <v>236.5000000009</v>
      </c>
      <c r="BM4">
        <v>244.70000000109999</v>
      </c>
      <c r="BN4">
        <v>253.00000000060001</v>
      </c>
      <c r="BO4">
        <v>260.70000000070002</v>
      </c>
      <c r="BP4">
        <v>267.60000000100001</v>
      </c>
      <c r="BQ4">
        <v>275.30000000119998</v>
      </c>
      <c r="BR4">
        <v>283.1999999999</v>
      </c>
      <c r="BS4">
        <v>291.10000000039997</v>
      </c>
      <c r="BT4">
        <v>299.19999999949999</v>
      </c>
      <c r="BU4">
        <v>306.80000000029997</v>
      </c>
      <c r="BV4">
        <v>313.79999999990002</v>
      </c>
      <c r="BW4">
        <v>320.20000000009998</v>
      </c>
      <c r="BX4">
        <v>327.60000000050002</v>
      </c>
      <c r="BY4">
        <v>334.80000000050001</v>
      </c>
      <c r="BZ4">
        <v>342.00000000059998</v>
      </c>
      <c r="CA4">
        <v>349.40000000100002</v>
      </c>
      <c r="CB4">
        <v>355.99999999980002</v>
      </c>
      <c r="CC4">
        <v>362.50000000109998</v>
      </c>
      <c r="CD4">
        <v>368.80000000019999</v>
      </c>
      <c r="CE4">
        <v>374.70000000030001</v>
      </c>
      <c r="CF4">
        <v>381.49999999950001</v>
      </c>
      <c r="CG4">
        <v>387.70000000110002</v>
      </c>
      <c r="CH4">
        <v>394.8</v>
      </c>
      <c r="CI4">
        <v>400.60000000079998</v>
      </c>
      <c r="CJ4">
        <v>406.60000000029999</v>
      </c>
      <c r="CK4">
        <v>412.3</v>
      </c>
      <c r="CL4">
        <v>417.60000000069999</v>
      </c>
      <c r="CM4">
        <v>423.60000000010001</v>
      </c>
      <c r="CN4">
        <v>428.79999999969999</v>
      </c>
      <c r="CO4">
        <v>434.30000000080003</v>
      </c>
      <c r="CP4">
        <v>439.8000000001</v>
      </c>
      <c r="CQ4">
        <v>445.99999999990001</v>
      </c>
      <c r="CR4">
        <v>451.19999999949999</v>
      </c>
      <c r="CS4">
        <v>456.09999999939998</v>
      </c>
      <c r="CT4">
        <v>456.79999999990002</v>
      </c>
      <c r="CU4">
        <v>456.79999999990002</v>
      </c>
      <c r="CV4">
        <v>456.90000000100002</v>
      </c>
      <c r="CW4">
        <v>457.00000000030002</v>
      </c>
      <c r="CX4">
        <v>457.00000000030002</v>
      </c>
      <c r="CY4">
        <v>457.09999999960002</v>
      </c>
      <c r="CZ4">
        <v>456.90000000100002</v>
      </c>
      <c r="DA4">
        <v>456.90000000100002</v>
      </c>
      <c r="DB4">
        <v>456.90000000100002</v>
      </c>
      <c r="DC4">
        <v>457.09999999960002</v>
      </c>
      <c r="DD4">
        <v>457.00000000030002</v>
      </c>
      <c r="DE4">
        <v>457.20000000070002</v>
      </c>
      <c r="DF4">
        <v>457.00000000030002</v>
      </c>
      <c r="DG4">
        <v>1.2999999999</v>
      </c>
      <c r="DH4">
        <v>2.3000000000999998</v>
      </c>
      <c r="DI4">
        <v>2.3000000000999998</v>
      </c>
      <c r="DJ4">
        <v>2.3000000000999998</v>
      </c>
      <c r="DK4">
        <v>2.3000000000999998</v>
      </c>
      <c r="DL4">
        <v>2.4000000012</v>
      </c>
      <c r="DM4">
        <v>2.5000000005</v>
      </c>
      <c r="DN4">
        <v>2.5000000005</v>
      </c>
      <c r="DO4">
        <v>2.5999999998000001</v>
      </c>
      <c r="DP4">
        <v>2.5999999998000001</v>
      </c>
      <c r="DQ4">
        <v>2.5999999998000001</v>
      </c>
      <c r="DR4">
        <v>2.7000000008999998</v>
      </c>
      <c r="DS4">
        <v>2.4000000012</v>
      </c>
      <c r="DT4">
        <v>2.3000000000999998</v>
      </c>
      <c r="DU4">
        <v>1.7000000007</v>
      </c>
      <c r="DV4">
        <v>1.400000001</v>
      </c>
      <c r="DW4">
        <v>1.0999999995</v>
      </c>
      <c r="DX4">
        <v>4.6999999995000001</v>
      </c>
      <c r="DY4">
        <v>9.1000000010999997</v>
      </c>
      <c r="DZ4">
        <v>16.1000000007</v>
      </c>
      <c r="EA4">
        <v>23.600000000400001</v>
      </c>
      <c r="EB4">
        <v>31.100000000200001</v>
      </c>
      <c r="EC4">
        <v>38.5999999999</v>
      </c>
      <c r="ED4">
        <v>46.200000000700001</v>
      </c>
      <c r="EE4">
        <v>53.6000000011</v>
      </c>
      <c r="EF4">
        <v>60.6000000007</v>
      </c>
      <c r="EG4">
        <v>68.699999999799999</v>
      </c>
      <c r="EH4">
        <v>76.6000000003</v>
      </c>
      <c r="EI4">
        <v>85.399999999900004</v>
      </c>
      <c r="EJ4">
        <v>93.300000000500006</v>
      </c>
      <c r="EK4">
        <v>101.3999999996</v>
      </c>
      <c r="EL4">
        <v>108.2999999999</v>
      </c>
      <c r="EM4">
        <v>117.0000000002</v>
      </c>
      <c r="EN4">
        <v>126.2999999999</v>
      </c>
      <c r="EO4">
        <v>135.2000000006</v>
      </c>
      <c r="EP4">
        <v>143.70000000050001</v>
      </c>
      <c r="EQ4">
        <v>151.70000000030001</v>
      </c>
      <c r="ER4">
        <v>159.4999999998</v>
      </c>
      <c r="ES4">
        <v>167.1999999999</v>
      </c>
      <c r="ET4">
        <v>176.10000000060001</v>
      </c>
      <c r="EU4">
        <v>184.90000000020001</v>
      </c>
      <c r="EV4">
        <v>193.50000000119999</v>
      </c>
      <c r="EW4">
        <v>202.1999999997</v>
      </c>
      <c r="EX4">
        <v>210.1000000002</v>
      </c>
      <c r="EY4">
        <v>217.70000000109999</v>
      </c>
      <c r="EZ4">
        <v>226.00000000060001</v>
      </c>
      <c r="FA4">
        <v>234.3000000001</v>
      </c>
      <c r="FB4">
        <v>243.0999999997</v>
      </c>
      <c r="FC4">
        <v>251.0999999995</v>
      </c>
      <c r="FD4">
        <v>259.1000000011</v>
      </c>
      <c r="FE4">
        <v>266.2</v>
      </c>
      <c r="FF4">
        <v>274.19999999980001</v>
      </c>
      <c r="FG4">
        <v>282.10000000039997</v>
      </c>
      <c r="FH4">
        <v>290.69999999959998</v>
      </c>
      <c r="FI4">
        <v>298.00000000070003</v>
      </c>
      <c r="FJ4">
        <v>305.50000000040001</v>
      </c>
      <c r="FK4">
        <v>312.7000000004</v>
      </c>
      <c r="FL4">
        <v>319.4000000003</v>
      </c>
      <c r="FM4">
        <v>326.50000000099999</v>
      </c>
      <c r="FN4">
        <v>334.20000000110002</v>
      </c>
      <c r="FO4">
        <v>342.20000000099998</v>
      </c>
      <c r="FP4">
        <v>348.90000000089998</v>
      </c>
      <c r="FQ4">
        <v>355.70000000009998</v>
      </c>
      <c r="FR4">
        <v>362.30000000069998</v>
      </c>
      <c r="FS4">
        <v>368.50000000049999</v>
      </c>
      <c r="FT4">
        <v>374.29999999950002</v>
      </c>
      <c r="FU4">
        <v>381.10000000050002</v>
      </c>
      <c r="FV4">
        <v>387.70000000110002</v>
      </c>
      <c r="FW4">
        <v>394.8</v>
      </c>
      <c r="FX4">
        <v>400.70000000009998</v>
      </c>
      <c r="FY4">
        <v>406.69999999949999</v>
      </c>
      <c r="FZ4">
        <v>412.40000000110001</v>
      </c>
      <c r="GA4">
        <v>418.10000000079998</v>
      </c>
      <c r="GB4">
        <v>423.20000000110002</v>
      </c>
      <c r="GC4">
        <v>428.7000000004</v>
      </c>
      <c r="GD4">
        <v>434.40000000010002</v>
      </c>
      <c r="GE4">
        <v>439.50000000040001</v>
      </c>
      <c r="GF4">
        <v>445.79999999950002</v>
      </c>
      <c r="GG4">
        <v>450.69999999940001</v>
      </c>
      <c r="GH4">
        <v>455.5</v>
      </c>
      <c r="GI4">
        <v>456.90000000100002</v>
      </c>
      <c r="GJ4">
        <v>456.90000000100002</v>
      </c>
      <c r="GK4">
        <v>456.79999999990002</v>
      </c>
      <c r="GL4">
        <v>456.90000000100002</v>
      </c>
      <c r="GM4">
        <v>457.00000000030002</v>
      </c>
      <c r="GN4">
        <v>457.00000000030002</v>
      </c>
      <c r="GO4">
        <v>456.90000000100002</v>
      </c>
      <c r="GP4">
        <v>457.00000000030002</v>
      </c>
      <c r="GQ4">
        <v>456.90000000100002</v>
      </c>
      <c r="GR4">
        <v>456.90000000100002</v>
      </c>
      <c r="GS4">
        <v>456.90000000100002</v>
      </c>
      <c r="GT4">
        <v>456.90000000100002</v>
      </c>
      <c r="GU4">
        <v>457.00000000030002</v>
      </c>
      <c r="GV4">
        <v>457.09999999960002</v>
      </c>
      <c r="GW4">
        <v>1</v>
      </c>
      <c r="GX4">
        <v>113.39999999840001</v>
      </c>
      <c r="GY4">
        <v>111.2000000012</v>
      </c>
      <c r="GZ4">
        <v>111.2000000012</v>
      </c>
      <c r="HA4">
        <v>117.0000000002</v>
      </c>
      <c r="HB4">
        <v>112.6477794803</v>
      </c>
      <c r="HC4">
        <v>-5.7999999989999997</v>
      </c>
      <c r="HD4">
        <v>457.09998906110002</v>
      </c>
      <c r="HE4">
        <v>315.70690220900002</v>
      </c>
      <c r="HF4">
        <v>94.296904397099993</v>
      </c>
      <c r="HG4">
        <v>457.20000000070002</v>
      </c>
      <c r="HH4">
        <v>457.09998906110002</v>
      </c>
      <c r="HI4">
        <v>457.20000000070002</v>
      </c>
      <c r="HJ4">
        <v>457.09999999960002</v>
      </c>
      <c r="HK4">
        <v>112.6099706745</v>
      </c>
      <c r="HL4">
        <v>3.3367282868000001</v>
      </c>
      <c r="HM4">
        <v>3.2784670583</v>
      </c>
      <c r="HN4">
        <v>3.2987204886999999</v>
      </c>
      <c r="HO4">
        <v>3.2335359364</v>
      </c>
      <c r="HP4">
        <v>3.5476387141000001</v>
      </c>
      <c r="HQ4">
        <v>2.1856710133999999</v>
      </c>
      <c r="HR4">
        <v>18.350875083199998</v>
      </c>
      <c r="HS4">
        <v>-28.152492668600001</v>
      </c>
      <c r="HT4">
        <v>-192</v>
      </c>
      <c r="HU4">
        <v>428.35468168929998</v>
      </c>
      <c r="HV4">
        <v>98.533724340199996</v>
      </c>
      <c r="HW4">
        <v>672</v>
      </c>
      <c r="HX4">
        <v>18.350875083199998</v>
      </c>
      <c r="HY4">
        <v>-28.152492668600001</v>
      </c>
      <c r="HZ4">
        <v>-192</v>
      </c>
      <c r="IA4">
        <v>428.35468168929998</v>
      </c>
      <c r="IB4">
        <v>98.533724340199996</v>
      </c>
      <c r="IC4">
        <v>672</v>
      </c>
      <c r="ID4">
        <v>28.745307371799999</v>
      </c>
      <c r="IE4">
        <v>0.2012798079</v>
      </c>
      <c r="IF4">
        <v>-37.536656891500002</v>
      </c>
      <c r="IG4">
        <v>-256</v>
      </c>
      <c r="IH4">
        <v>450.61003062729998</v>
      </c>
      <c r="II4">
        <v>107.91788856300001</v>
      </c>
      <c r="IJ4">
        <v>736</v>
      </c>
      <c r="IK4">
        <v>410.0038066061</v>
      </c>
      <c r="IL4">
        <v>126.6862170088</v>
      </c>
      <c r="IM4">
        <v>433.41641872640002</v>
      </c>
      <c r="IN4">
        <v>136.0703812317</v>
      </c>
      <c r="IO4">
        <v>7.3000000010999999</v>
      </c>
      <c r="IP4">
        <v>6.2999999990999997</v>
      </c>
      <c r="IQ4">
        <v>9.2999999997000007</v>
      </c>
      <c r="IR4">
        <v>6.9362905635000001</v>
      </c>
      <c r="IS4">
        <v>6.9362905635000001</v>
      </c>
      <c r="IT4">
        <v>5.3000000006999999</v>
      </c>
      <c r="IU4">
        <v>-30.4985337243</v>
      </c>
      <c r="IV4">
        <v>7.4999999997</v>
      </c>
      <c r="IW4">
        <v>49.266862170099998</v>
      </c>
      <c r="IX4">
        <v>5.9999999994</v>
      </c>
      <c r="IY4">
        <v>105.57184750730001</v>
      </c>
      <c r="IZ4">
        <v>-34.146266923100001</v>
      </c>
      <c r="JA4">
        <v>0.33130675450000002</v>
      </c>
      <c r="JB4">
        <v>-3.3355150000000003E-4</v>
      </c>
      <c r="JC4">
        <v>6.5710000000000003E-7</v>
      </c>
      <c r="JD4">
        <v>0.29969476509999998</v>
      </c>
      <c r="JE4">
        <v>0.32158304139999999</v>
      </c>
      <c r="JF4">
        <v>0.1298073293</v>
      </c>
      <c r="JG4">
        <v>113.6920377675</v>
      </c>
      <c r="JH4">
        <v>3.5476387141000001</v>
      </c>
      <c r="JI4">
        <v>2.8030913999999999E-3</v>
      </c>
      <c r="JJ4">
        <v>-6.5725500000000006E-5</v>
      </c>
      <c r="JK4">
        <v>3.3367282868000001</v>
      </c>
      <c r="JL4">
        <v>1.3795723043999999</v>
      </c>
      <c r="JM4">
        <v>0.58496270439999998</v>
      </c>
      <c r="JN4" t="s">
        <v>538</v>
      </c>
      <c r="JQ4">
        <v>1</v>
      </c>
    </row>
    <row r="5" spans="1:277">
      <c r="A5" t="s">
        <v>623</v>
      </c>
      <c r="B5" t="s">
        <v>624</v>
      </c>
      <c r="C5" t="s">
        <v>212</v>
      </c>
      <c r="D5">
        <v>3</v>
      </c>
      <c r="E5" t="s">
        <v>213</v>
      </c>
      <c r="F5" t="s">
        <v>214</v>
      </c>
      <c r="G5" t="s">
        <v>537</v>
      </c>
      <c r="H5" t="s">
        <v>216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0</v>
      </c>
      <c r="R5">
        <v>0.59999999940000004</v>
      </c>
      <c r="S5">
        <v>0.59999999940000004</v>
      </c>
      <c r="T5">
        <v>0.50000000010000001</v>
      </c>
      <c r="U5">
        <v>0.50000000010000001</v>
      </c>
      <c r="V5">
        <v>0.59999999940000004</v>
      </c>
      <c r="W5">
        <v>0.7000000005</v>
      </c>
      <c r="X5">
        <v>0.79999999980000003</v>
      </c>
      <c r="Y5">
        <v>0.7000000005</v>
      </c>
      <c r="Z5">
        <v>0.7000000005</v>
      </c>
      <c r="AA5">
        <v>0.79999999980000003</v>
      </c>
      <c r="AB5">
        <v>0.7000000005</v>
      </c>
      <c r="AC5">
        <v>1.0999999995</v>
      </c>
      <c r="AD5">
        <v>1.0000000002</v>
      </c>
      <c r="AE5">
        <v>1.0000000002</v>
      </c>
      <c r="AF5">
        <v>0.79999999980000003</v>
      </c>
      <c r="AG5">
        <v>0.59999999940000004</v>
      </c>
      <c r="AH5">
        <v>4.6000000001999997</v>
      </c>
      <c r="AI5">
        <v>8.7000000002999993</v>
      </c>
      <c r="AJ5">
        <v>15.5999999988</v>
      </c>
      <c r="AK5">
        <v>22.799999998800001</v>
      </c>
      <c r="AL5">
        <v>30.399999999599999</v>
      </c>
      <c r="AM5">
        <v>37.599999999700003</v>
      </c>
      <c r="AN5">
        <v>44.700000000400003</v>
      </c>
      <c r="AO5">
        <v>52.4000000005</v>
      </c>
      <c r="AP5">
        <v>59.4000000001</v>
      </c>
      <c r="AQ5">
        <v>67.199999999499994</v>
      </c>
      <c r="AR5">
        <v>75.499999998999996</v>
      </c>
      <c r="AS5">
        <v>83.999999998899995</v>
      </c>
      <c r="AT5">
        <v>91.3</v>
      </c>
      <c r="AU5">
        <v>99.000000000200004</v>
      </c>
      <c r="AV5">
        <v>107</v>
      </c>
      <c r="AW5">
        <v>115.2999999995</v>
      </c>
      <c r="AX5">
        <v>124.2999999995</v>
      </c>
      <c r="AY5">
        <v>133.09999999909999</v>
      </c>
      <c r="AZ5">
        <v>141.09999999889999</v>
      </c>
      <c r="BA5">
        <v>148.79999999899999</v>
      </c>
      <c r="BB5">
        <v>157.19999999960001</v>
      </c>
      <c r="BC5">
        <v>164.8999999998</v>
      </c>
      <c r="BD5">
        <v>173.19999999929999</v>
      </c>
      <c r="BE5">
        <v>181.8000000003</v>
      </c>
      <c r="BF5">
        <v>190.8999999996</v>
      </c>
      <c r="BG5">
        <v>198.00000000029999</v>
      </c>
      <c r="BH5">
        <v>206.19999999870001</v>
      </c>
      <c r="BI5">
        <v>214.2999999996</v>
      </c>
      <c r="BJ5">
        <v>222.099999999</v>
      </c>
      <c r="BK5">
        <v>230.40000000040001</v>
      </c>
      <c r="BL5">
        <v>239.49999999970001</v>
      </c>
      <c r="BM5">
        <v>246.4999999993</v>
      </c>
      <c r="BN5">
        <v>254.19999999940001</v>
      </c>
      <c r="BO5">
        <v>261.99999999879998</v>
      </c>
      <c r="BP5">
        <v>269.39999999920002</v>
      </c>
      <c r="BQ5">
        <v>277.39999999899999</v>
      </c>
      <c r="BR5">
        <v>285.7000000004</v>
      </c>
      <c r="BS5">
        <v>293.40000000049997</v>
      </c>
      <c r="BT5">
        <v>300.29999999900002</v>
      </c>
      <c r="BU5">
        <v>307.19999999930002</v>
      </c>
      <c r="BV5">
        <v>314.5999999997</v>
      </c>
      <c r="BW5">
        <v>321.2999999996</v>
      </c>
      <c r="BX5">
        <v>328.79999999929998</v>
      </c>
      <c r="BY5">
        <v>336.29999999900002</v>
      </c>
      <c r="BZ5">
        <v>343.1</v>
      </c>
      <c r="CA5">
        <v>349.50000000030002</v>
      </c>
      <c r="CB5">
        <v>356.09999999910002</v>
      </c>
      <c r="CC5">
        <v>362.49999999929997</v>
      </c>
      <c r="CD5">
        <v>369.19999999919997</v>
      </c>
      <c r="CE5">
        <v>375.0999999993</v>
      </c>
      <c r="CF5">
        <v>381.5999999988</v>
      </c>
      <c r="CG5">
        <v>388.19999999940001</v>
      </c>
      <c r="CH5">
        <v>394.50000000030002</v>
      </c>
      <c r="CI5">
        <v>399.99999999959999</v>
      </c>
      <c r="CJ5">
        <v>405.69999999930002</v>
      </c>
      <c r="CK5">
        <v>411.59999999950003</v>
      </c>
      <c r="CL5">
        <v>417.49999999959999</v>
      </c>
      <c r="CM5">
        <v>423.1</v>
      </c>
      <c r="CN5">
        <v>428.5</v>
      </c>
      <c r="CO5">
        <v>433.60000000029999</v>
      </c>
      <c r="CP5">
        <v>439.699999999</v>
      </c>
      <c r="CQ5">
        <v>445.59999999910002</v>
      </c>
      <c r="CR5">
        <v>450.49999999900001</v>
      </c>
      <c r="CS5">
        <v>455.3999999989</v>
      </c>
      <c r="CT5">
        <v>458.80000000029997</v>
      </c>
      <c r="CU5">
        <v>458.89999999960003</v>
      </c>
      <c r="CV5">
        <v>458.89999999960003</v>
      </c>
      <c r="CW5">
        <v>458.69999999919997</v>
      </c>
      <c r="CX5">
        <v>458.99999999890002</v>
      </c>
      <c r="CY5">
        <v>458.89999999960003</v>
      </c>
      <c r="CZ5">
        <v>458.99999999890002</v>
      </c>
      <c r="DA5">
        <v>458.99999999890002</v>
      </c>
      <c r="DB5">
        <v>458.99999999890002</v>
      </c>
      <c r="DC5">
        <v>458.89999999960003</v>
      </c>
      <c r="DD5">
        <v>458.89999999960003</v>
      </c>
      <c r="DE5">
        <v>458.89999999960003</v>
      </c>
      <c r="DF5">
        <v>458.89999999960003</v>
      </c>
      <c r="DG5">
        <v>1.0000000002</v>
      </c>
      <c r="DH5">
        <v>1.6999999989000001</v>
      </c>
      <c r="DI5">
        <v>1.8</v>
      </c>
      <c r="DJ5">
        <v>1.8999999993000001</v>
      </c>
      <c r="DK5">
        <v>1.8999999993000001</v>
      </c>
      <c r="DL5">
        <v>1.8999999993000001</v>
      </c>
      <c r="DM5">
        <v>1.6999999989000001</v>
      </c>
      <c r="DN5">
        <v>1.8999999993000001</v>
      </c>
      <c r="DO5">
        <v>1.8</v>
      </c>
      <c r="DP5">
        <v>1.8999999993000001</v>
      </c>
      <c r="DQ5">
        <v>2.0999999997000001</v>
      </c>
      <c r="DR5">
        <v>2.0999999997000001</v>
      </c>
      <c r="DS5">
        <v>1.8999999993000001</v>
      </c>
      <c r="DT5">
        <v>1.8999999993000001</v>
      </c>
      <c r="DU5">
        <v>1.8</v>
      </c>
      <c r="DV5">
        <v>1.5000000003</v>
      </c>
      <c r="DW5">
        <v>3.6</v>
      </c>
      <c r="DX5">
        <v>7.4999999997</v>
      </c>
      <c r="DY5">
        <v>13.299999998700001</v>
      </c>
      <c r="DZ5">
        <v>20.699999999100001</v>
      </c>
      <c r="EA5">
        <v>28.299999999899999</v>
      </c>
      <c r="EB5">
        <v>35.8999999989</v>
      </c>
      <c r="EC5">
        <v>42.599999998900003</v>
      </c>
      <c r="ED5">
        <v>49.799999998899999</v>
      </c>
      <c r="EE5">
        <v>57.3999999997</v>
      </c>
      <c r="EF5">
        <v>65.000000000499995</v>
      </c>
      <c r="EG5">
        <v>72.699999998799996</v>
      </c>
      <c r="EH5">
        <v>81.299999999799994</v>
      </c>
      <c r="EI5">
        <v>89.099999999199994</v>
      </c>
      <c r="EJ5">
        <v>96.2</v>
      </c>
      <c r="EK5">
        <v>104.1000000005</v>
      </c>
      <c r="EL5">
        <v>111.9999999992</v>
      </c>
      <c r="EM5">
        <v>120.6000000002</v>
      </c>
      <c r="EN5">
        <v>129.99999999920001</v>
      </c>
      <c r="EO5">
        <v>138.69999999949999</v>
      </c>
      <c r="EP5">
        <v>146.3999999996</v>
      </c>
      <c r="EQ5">
        <v>154.39999999939999</v>
      </c>
      <c r="ER5">
        <v>162.50000000040001</v>
      </c>
      <c r="ES5">
        <v>170.6999999988</v>
      </c>
      <c r="ET5">
        <v>178.89999999899999</v>
      </c>
      <c r="EU5">
        <v>188.00000000009999</v>
      </c>
      <c r="EV5">
        <v>195.70000000019999</v>
      </c>
      <c r="EW5">
        <v>203.90000000040001</v>
      </c>
      <c r="EX5">
        <v>212.0999999988</v>
      </c>
      <c r="EY5">
        <v>219.90000000009999</v>
      </c>
      <c r="EZ5">
        <v>227.99999999920001</v>
      </c>
      <c r="FA5">
        <v>236.79999999879999</v>
      </c>
      <c r="FB5">
        <v>244.80000000039999</v>
      </c>
      <c r="FC5">
        <v>252.3000000001</v>
      </c>
      <c r="FD5">
        <v>260.29999999990002</v>
      </c>
      <c r="FE5">
        <v>267.49999999990001</v>
      </c>
      <c r="FF5">
        <v>275.2</v>
      </c>
      <c r="FG5">
        <v>283.4000000003</v>
      </c>
      <c r="FH5">
        <v>291.40000000010002</v>
      </c>
      <c r="FI5">
        <v>298.60000000010001</v>
      </c>
      <c r="FJ5">
        <v>305.8000000001</v>
      </c>
      <c r="FK5">
        <v>313.00000000009999</v>
      </c>
      <c r="FL5">
        <v>319.90000000039998</v>
      </c>
      <c r="FM5">
        <v>326.99999999929997</v>
      </c>
      <c r="FN5">
        <v>334.49999999900001</v>
      </c>
      <c r="FO5">
        <v>341.89999999939999</v>
      </c>
      <c r="FP5">
        <v>348.29999999969999</v>
      </c>
      <c r="FQ5">
        <v>355.09999999889999</v>
      </c>
      <c r="FR5">
        <v>361.6000000002</v>
      </c>
      <c r="FS5">
        <v>368.00000000040001</v>
      </c>
      <c r="FT5">
        <v>373.79999999939997</v>
      </c>
      <c r="FU5">
        <v>380.4</v>
      </c>
      <c r="FV5">
        <v>387.19999999919997</v>
      </c>
      <c r="FW5">
        <v>393.69999999869998</v>
      </c>
      <c r="FX5">
        <v>399.19999999980001</v>
      </c>
      <c r="FY5">
        <v>405.09999999989998</v>
      </c>
      <c r="FZ5">
        <v>410.79999999969999</v>
      </c>
      <c r="GA5">
        <v>416.90000000020001</v>
      </c>
      <c r="GB5">
        <v>421.89999999939999</v>
      </c>
      <c r="GC5">
        <v>427.40000000049997</v>
      </c>
      <c r="GD5">
        <v>433.19999999949999</v>
      </c>
      <c r="GE5">
        <v>438.79999999990002</v>
      </c>
      <c r="GF5">
        <v>444.2999999992</v>
      </c>
      <c r="GG5">
        <v>449.39999999949998</v>
      </c>
      <c r="GH5">
        <v>453.99999999969998</v>
      </c>
      <c r="GI5">
        <v>458.80000000029997</v>
      </c>
      <c r="GJ5">
        <v>458.80000000029997</v>
      </c>
      <c r="GK5">
        <v>458.69999999919997</v>
      </c>
      <c r="GL5">
        <v>458.69999999919997</v>
      </c>
      <c r="GM5">
        <v>458.80000000029997</v>
      </c>
      <c r="GN5">
        <v>458.80000000029997</v>
      </c>
      <c r="GO5">
        <v>458.69999999919997</v>
      </c>
      <c r="GP5">
        <v>458.89999999960003</v>
      </c>
      <c r="GQ5">
        <v>458.80000000029997</v>
      </c>
      <c r="GR5">
        <v>458.89999999960003</v>
      </c>
      <c r="GS5">
        <v>458.89999999960003</v>
      </c>
      <c r="GT5">
        <v>458.89999999960003</v>
      </c>
      <c r="GU5">
        <v>458.99999999890002</v>
      </c>
      <c r="GV5">
        <v>458.99999999890002</v>
      </c>
      <c r="GW5">
        <v>1</v>
      </c>
      <c r="GX5">
        <v>117.60000000140001</v>
      </c>
      <c r="GY5">
        <v>115.2999999995</v>
      </c>
      <c r="GZ5">
        <v>115.2999999995</v>
      </c>
      <c r="HA5">
        <v>120.6000000002</v>
      </c>
      <c r="HB5">
        <v>116.6620982674</v>
      </c>
      <c r="HC5">
        <v>-5.3000000006999999</v>
      </c>
      <c r="HD5">
        <v>458.99999999890002</v>
      </c>
      <c r="HE5">
        <v>310.4221592774</v>
      </c>
      <c r="HF5">
        <v>100.8604096315</v>
      </c>
      <c r="HG5">
        <v>458.99999999890002</v>
      </c>
      <c r="HH5">
        <v>458.99999999890002</v>
      </c>
      <c r="HI5">
        <v>458.99999999890002</v>
      </c>
      <c r="HJ5">
        <v>458.99999999890002</v>
      </c>
      <c r="HK5">
        <v>112.6099706745</v>
      </c>
      <c r="HL5">
        <v>3.2859097498000001</v>
      </c>
      <c r="HM5">
        <v>3.2363420810000001</v>
      </c>
      <c r="HN5">
        <v>3.2482711935999999</v>
      </c>
      <c r="HO5">
        <v>3.1792959790999999</v>
      </c>
      <c r="HP5">
        <v>3.5018850616999999</v>
      </c>
      <c r="HQ5">
        <v>2.1494500536999999</v>
      </c>
      <c r="HR5">
        <v>15.8016886359</v>
      </c>
      <c r="HS5">
        <v>-30.4985337243</v>
      </c>
      <c r="HT5">
        <v>-208</v>
      </c>
      <c r="HU5">
        <v>427.08425754490003</v>
      </c>
      <c r="HV5">
        <v>98.533724340199996</v>
      </c>
      <c r="HW5">
        <v>672</v>
      </c>
      <c r="HX5">
        <v>15.8016886359</v>
      </c>
      <c r="HY5">
        <v>-30.4985337243</v>
      </c>
      <c r="HZ5">
        <v>-208</v>
      </c>
      <c r="IA5">
        <v>427.08425754490003</v>
      </c>
      <c r="IB5">
        <v>98.533724340199996</v>
      </c>
      <c r="IC5">
        <v>672</v>
      </c>
      <c r="ID5">
        <v>31.915742454099998</v>
      </c>
      <c r="IE5">
        <v>0.80175400350000003</v>
      </c>
      <c r="IF5">
        <v>-39.8826979472</v>
      </c>
      <c r="IG5">
        <v>-272</v>
      </c>
      <c r="IH5">
        <v>449.30519664399998</v>
      </c>
      <c r="II5">
        <v>107.91788856300001</v>
      </c>
      <c r="IJ5">
        <v>736</v>
      </c>
      <c r="IK5">
        <v>411.28256890889998</v>
      </c>
      <c r="IL5">
        <v>129.03225806450001</v>
      </c>
      <c r="IM5">
        <v>433.90400915110001</v>
      </c>
      <c r="IN5">
        <v>138.4164222874</v>
      </c>
      <c r="IO5">
        <v>7.4000000004000004</v>
      </c>
      <c r="IP5">
        <v>6.0999999987000004</v>
      </c>
      <c r="IQ5">
        <v>9.3999999990000003</v>
      </c>
      <c r="IR5">
        <v>7.0974348372999998</v>
      </c>
      <c r="IS5">
        <v>7.0974348372999998</v>
      </c>
      <c r="IT5">
        <v>4.5999999984000004</v>
      </c>
      <c r="IU5">
        <v>-32.844574780099997</v>
      </c>
      <c r="IV5">
        <v>6.3999999984000002</v>
      </c>
      <c r="IW5">
        <v>32.844574780099997</v>
      </c>
      <c r="IX5">
        <v>5.1999999996000001</v>
      </c>
      <c r="IY5">
        <v>103.22580645159999</v>
      </c>
      <c r="IZ5">
        <v>-35.7067236452</v>
      </c>
      <c r="JA5">
        <v>0.33519606950000003</v>
      </c>
      <c r="JB5">
        <v>-3.3516429999999999E-4</v>
      </c>
      <c r="JC5">
        <v>6.6730000000000005E-7</v>
      </c>
      <c r="JD5">
        <v>0.30432972180000001</v>
      </c>
      <c r="JE5">
        <v>0.31817023189999999</v>
      </c>
      <c r="JF5">
        <v>0.1256653854</v>
      </c>
      <c r="JG5">
        <v>117.6320513419</v>
      </c>
      <c r="JH5">
        <v>3.5018850616999999</v>
      </c>
      <c r="JI5">
        <v>2.4164502000000002E-3</v>
      </c>
      <c r="JJ5">
        <v>-6.2782199999999997E-5</v>
      </c>
      <c r="JK5">
        <v>3.2859097498000001</v>
      </c>
      <c r="JL5">
        <v>1.2376553978</v>
      </c>
      <c r="JM5">
        <v>0.60005408599999999</v>
      </c>
      <c r="JN5" t="s">
        <v>538</v>
      </c>
      <c r="JQ5">
        <v>1</v>
      </c>
    </row>
    <row r="6" spans="1:277">
      <c r="A6" t="s">
        <v>625</v>
      </c>
      <c r="B6" t="s">
        <v>626</v>
      </c>
      <c r="C6" t="s">
        <v>212</v>
      </c>
      <c r="D6">
        <v>3</v>
      </c>
      <c r="E6" t="s">
        <v>213</v>
      </c>
      <c r="F6" t="s">
        <v>214</v>
      </c>
      <c r="G6" t="s">
        <v>537</v>
      </c>
      <c r="H6" t="s">
        <v>216</v>
      </c>
      <c r="J6" t="s">
        <v>572</v>
      </c>
      <c r="K6" t="s">
        <v>573</v>
      </c>
      <c r="L6" t="s">
        <v>574</v>
      </c>
      <c r="M6" t="s">
        <v>575</v>
      </c>
      <c r="N6" t="s">
        <v>576</v>
      </c>
      <c r="O6">
        <v>0</v>
      </c>
      <c r="P6">
        <v>0</v>
      </c>
      <c r="Q6">
        <v>0.50000000010000001</v>
      </c>
      <c r="R6">
        <v>0.50000000010000001</v>
      </c>
      <c r="S6">
        <v>0.50000000010000001</v>
      </c>
      <c r="T6">
        <v>0.50000000010000001</v>
      </c>
      <c r="U6">
        <v>0.20000000039999999</v>
      </c>
      <c r="V6">
        <v>0.50000000010000001</v>
      </c>
      <c r="W6">
        <v>0.7000000005</v>
      </c>
      <c r="X6">
        <v>0.29999999970000002</v>
      </c>
      <c r="Y6">
        <v>0</v>
      </c>
      <c r="Z6">
        <v>0.20000000039999999</v>
      </c>
      <c r="AA6">
        <v>0.1000000011</v>
      </c>
      <c r="AB6">
        <v>0.20000000039999999</v>
      </c>
      <c r="AC6">
        <v>0.20000000039999999</v>
      </c>
      <c r="AD6">
        <v>0.29999999970000002</v>
      </c>
      <c r="AE6">
        <v>0.29999999970000002</v>
      </c>
      <c r="AF6">
        <v>0.40000000079999998</v>
      </c>
      <c r="AG6">
        <v>0.40000000079999998</v>
      </c>
      <c r="AH6">
        <v>2.4000000012</v>
      </c>
      <c r="AI6">
        <v>9.5000000001</v>
      </c>
      <c r="AJ6">
        <v>16.400000000399999</v>
      </c>
      <c r="AK6">
        <v>23.300000000699999</v>
      </c>
      <c r="AL6">
        <v>29.700000000999999</v>
      </c>
      <c r="AM6">
        <v>36.600000001300003</v>
      </c>
      <c r="AN6">
        <v>44.5</v>
      </c>
      <c r="AO6">
        <v>51.7</v>
      </c>
      <c r="AP6">
        <v>59.300000000799997</v>
      </c>
      <c r="AQ6">
        <v>67.699999999599996</v>
      </c>
      <c r="AR6">
        <v>75.5000000008</v>
      </c>
      <c r="AS6">
        <v>82.700000000800003</v>
      </c>
      <c r="AT6">
        <v>90.299999999799994</v>
      </c>
      <c r="AU6">
        <v>98.200000000399996</v>
      </c>
      <c r="AV6">
        <v>106.20000000020001</v>
      </c>
      <c r="AW6">
        <v>115.70000000029999</v>
      </c>
      <c r="AX6">
        <v>124.600000001</v>
      </c>
      <c r="AY6">
        <v>132.10000000069999</v>
      </c>
      <c r="AZ6">
        <v>139.90000000009999</v>
      </c>
      <c r="BA6">
        <v>148.19999999960001</v>
      </c>
      <c r="BB6">
        <v>156.0000000009</v>
      </c>
      <c r="BC6">
        <v>164.30000000039999</v>
      </c>
      <c r="BD6">
        <v>173.60000000010001</v>
      </c>
      <c r="BE6">
        <v>181.40000000129999</v>
      </c>
      <c r="BF6">
        <v>189.09999999959999</v>
      </c>
      <c r="BG6">
        <v>197.40000000090001</v>
      </c>
      <c r="BH6">
        <v>205.10000000100001</v>
      </c>
      <c r="BI6">
        <v>213.4000000005</v>
      </c>
      <c r="BJ6">
        <v>222.40000000059999</v>
      </c>
      <c r="BK6">
        <v>230.30000000109999</v>
      </c>
      <c r="BL6">
        <v>237.90000000009999</v>
      </c>
      <c r="BM6">
        <v>245.30000000050001</v>
      </c>
      <c r="BN6">
        <v>253.00000000060001</v>
      </c>
      <c r="BO6">
        <v>261.0999999997</v>
      </c>
      <c r="BP6">
        <v>268.79999999979998</v>
      </c>
      <c r="BQ6">
        <v>277.29999999969999</v>
      </c>
      <c r="BR6">
        <v>284.49999999980002</v>
      </c>
      <c r="BS6">
        <v>291.50000000120002</v>
      </c>
      <c r="BT6">
        <v>299.1000000002</v>
      </c>
      <c r="BU6">
        <v>305.7000000008</v>
      </c>
      <c r="BV6">
        <v>313.40000000089998</v>
      </c>
      <c r="BW6">
        <v>320.20000000009998</v>
      </c>
      <c r="BX6">
        <v>328.10000000060001</v>
      </c>
      <c r="BY6">
        <v>334.60000000010001</v>
      </c>
      <c r="BZ6">
        <v>341.4000000012</v>
      </c>
      <c r="CA6">
        <v>348</v>
      </c>
      <c r="CB6">
        <v>354.19999999980001</v>
      </c>
      <c r="CC6">
        <v>360.50000000070003</v>
      </c>
      <c r="CD6">
        <v>367.10000000129997</v>
      </c>
      <c r="CE6">
        <v>373.49999999969998</v>
      </c>
      <c r="CF6">
        <v>380.69999999970003</v>
      </c>
      <c r="CG6">
        <v>386.70000000089999</v>
      </c>
      <c r="CH6">
        <v>392.49999999990001</v>
      </c>
      <c r="CI6">
        <v>397.89999999989999</v>
      </c>
      <c r="CJ6">
        <v>404.00000000049999</v>
      </c>
      <c r="CK6">
        <v>408.90000000039998</v>
      </c>
      <c r="CL6">
        <v>415.0000000009</v>
      </c>
      <c r="CM6">
        <v>420.79999999990002</v>
      </c>
      <c r="CN6">
        <v>426.4000000003</v>
      </c>
      <c r="CO6">
        <v>432.50000000080001</v>
      </c>
      <c r="CP6">
        <v>437.6000000011</v>
      </c>
      <c r="CQ6">
        <v>442.60000000029999</v>
      </c>
      <c r="CR6">
        <v>445.70000000020002</v>
      </c>
      <c r="CS6">
        <v>449.00000000049999</v>
      </c>
      <c r="CT6">
        <v>452.80000000090001</v>
      </c>
      <c r="CU6">
        <v>453.300000001</v>
      </c>
      <c r="CV6">
        <v>453.1999999999</v>
      </c>
      <c r="CW6">
        <v>453.1999999999</v>
      </c>
      <c r="CX6">
        <v>453.00000000130001</v>
      </c>
      <c r="CY6">
        <v>453.49999999959999</v>
      </c>
      <c r="CZ6">
        <v>453.4000000003</v>
      </c>
      <c r="DA6">
        <v>453.49999999959999</v>
      </c>
      <c r="DB6">
        <v>453.49999999959999</v>
      </c>
      <c r="DC6">
        <v>453.4000000003</v>
      </c>
      <c r="DD6">
        <v>453.60000000069999</v>
      </c>
      <c r="DE6">
        <v>453.60000000069999</v>
      </c>
      <c r="DF6">
        <v>453.7</v>
      </c>
      <c r="DG6">
        <v>1.7000000007</v>
      </c>
      <c r="DH6">
        <v>1.8</v>
      </c>
      <c r="DI6">
        <v>2.0000000004</v>
      </c>
      <c r="DJ6">
        <v>2.2000000007999998</v>
      </c>
      <c r="DK6">
        <v>2.0999999997000001</v>
      </c>
      <c r="DL6">
        <v>2.0999999997000001</v>
      </c>
      <c r="DM6">
        <v>1.9000000011</v>
      </c>
      <c r="DN6">
        <v>1.8</v>
      </c>
      <c r="DO6">
        <v>1.9000000011</v>
      </c>
      <c r="DP6">
        <v>2.0999999997000001</v>
      </c>
      <c r="DQ6">
        <v>2.3000000000999998</v>
      </c>
      <c r="DR6">
        <v>2.0999999997000001</v>
      </c>
      <c r="DS6">
        <v>2.3000000000999998</v>
      </c>
      <c r="DT6">
        <v>2.0999999997000001</v>
      </c>
      <c r="DU6">
        <v>2.0999999997000001</v>
      </c>
      <c r="DV6">
        <v>2.2000000007999998</v>
      </c>
      <c r="DW6">
        <v>2.4000000012</v>
      </c>
      <c r="DX6">
        <v>7.3000000010999999</v>
      </c>
      <c r="DY6">
        <v>14.300000000700001</v>
      </c>
      <c r="DZ6">
        <v>21.200000000999999</v>
      </c>
      <c r="EA6">
        <v>28.100000001400002</v>
      </c>
      <c r="EB6">
        <v>34.700000000199999</v>
      </c>
      <c r="EC6">
        <v>42.6000000007</v>
      </c>
      <c r="ED6">
        <v>49.500000000999997</v>
      </c>
      <c r="EE6">
        <v>58.000000000900002</v>
      </c>
      <c r="EF6">
        <v>65.4000000013</v>
      </c>
      <c r="EG6">
        <v>73.3</v>
      </c>
      <c r="EH6">
        <v>80.5</v>
      </c>
      <c r="EI6">
        <v>87.900000000399999</v>
      </c>
      <c r="EJ6">
        <v>95.400000000199995</v>
      </c>
      <c r="EK6">
        <v>103.6999999997</v>
      </c>
      <c r="EL6">
        <v>112.8000000008</v>
      </c>
      <c r="EM6">
        <v>121.1999999996</v>
      </c>
      <c r="EN6">
        <v>129.7000000013</v>
      </c>
      <c r="EO6">
        <v>137.5000000007</v>
      </c>
      <c r="EP6">
        <v>145.50000000049999</v>
      </c>
      <c r="EQ6">
        <v>153.2999999999</v>
      </c>
      <c r="ER6">
        <v>162.7000000008</v>
      </c>
      <c r="ES6">
        <v>171.00000000029999</v>
      </c>
      <c r="ET6">
        <v>178.79999999969999</v>
      </c>
      <c r="EU6">
        <v>186.70000000019999</v>
      </c>
      <c r="EV6">
        <v>194.80000000109999</v>
      </c>
      <c r="EW6">
        <v>202.69999999980001</v>
      </c>
      <c r="EX6">
        <v>211.60000000049999</v>
      </c>
      <c r="EY6">
        <v>220.10000000049999</v>
      </c>
      <c r="EZ6">
        <v>228.10000000030001</v>
      </c>
      <c r="FA6">
        <v>235.80000000039999</v>
      </c>
      <c r="FB6">
        <v>243.4000000012</v>
      </c>
      <c r="FC6">
        <v>251.0000000002</v>
      </c>
      <c r="FD6">
        <v>259.29999999969999</v>
      </c>
      <c r="FE6">
        <v>267.9000000007</v>
      </c>
      <c r="FF6">
        <v>275.70000000009998</v>
      </c>
      <c r="FG6">
        <v>283.1999999999</v>
      </c>
      <c r="FH6">
        <v>290.39999999989999</v>
      </c>
      <c r="FI6">
        <v>297.59999999989998</v>
      </c>
      <c r="FJ6">
        <v>304.79999999990002</v>
      </c>
      <c r="FK6">
        <v>312.4000000007</v>
      </c>
      <c r="FL6">
        <v>320.20000000009998</v>
      </c>
      <c r="FM6">
        <v>327.30000000080003</v>
      </c>
      <c r="FN6">
        <v>334.1</v>
      </c>
      <c r="FO6">
        <v>340.79999999990002</v>
      </c>
      <c r="FP6">
        <v>347.20000000020002</v>
      </c>
      <c r="FQ6">
        <v>353.50000000109998</v>
      </c>
      <c r="FR6">
        <v>360.6</v>
      </c>
      <c r="FS6">
        <v>366.79999999979998</v>
      </c>
      <c r="FT6">
        <v>374.20000000020002</v>
      </c>
      <c r="FU6">
        <v>380.50000000109998</v>
      </c>
      <c r="FV6">
        <v>386.59999999979999</v>
      </c>
      <c r="FW6">
        <v>392.49999999990001</v>
      </c>
      <c r="FX6">
        <v>398.00000000099999</v>
      </c>
      <c r="FY6">
        <v>403.50000000030002</v>
      </c>
      <c r="FZ6">
        <v>409.20000000009998</v>
      </c>
      <c r="GA6">
        <v>415.30000000059999</v>
      </c>
      <c r="GB6">
        <v>420.70000000060003</v>
      </c>
      <c r="GC6">
        <v>427.10000000079998</v>
      </c>
      <c r="GD6">
        <v>432.30000000040002</v>
      </c>
      <c r="GE6">
        <v>437.2999999996</v>
      </c>
      <c r="GF6">
        <v>442.0000000009</v>
      </c>
      <c r="GG6">
        <v>445.30000000119998</v>
      </c>
      <c r="GH6">
        <v>448.09999999960002</v>
      </c>
      <c r="GI6">
        <v>451.2000000013</v>
      </c>
      <c r="GJ6">
        <v>453.300000001</v>
      </c>
      <c r="GK6">
        <v>453.4000000003</v>
      </c>
      <c r="GL6">
        <v>453.300000001</v>
      </c>
      <c r="GM6">
        <v>453.300000001</v>
      </c>
      <c r="GN6">
        <v>453.1999999999</v>
      </c>
      <c r="GO6">
        <v>453.4000000003</v>
      </c>
      <c r="GP6">
        <v>453.49999999959999</v>
      </c>
      <c r="GQ6">
        <v>453.60000000069999</v>
      </c>
      <c r="GR6">
        <v>453.49999999959999</v>
      </c>
      <c r="GS6">
        <v>453.4000000003</v>
      </c>
      <c r="GT6">
        <v>453.49999999959999</v>
      </c>
      <c r="GU6">
        <v>453.49999999959999</v>
      </c>
      <c r="GV6">
        <v>453.7</v>
      </c>
      <c r="GW6">
        <v>1</v>
      </c>
      <c r="GX6">
        <v>117.400000001</v>
      </c>
      <c r="GY6">
        <v>115.70000000029999</v>
      </c>
      <c r="GZ6">
        <v>115.70000000029999</v>
      </c>
      <c r="HA6">
        <v>121.1999999996</v>
      </c>
      <c r="HB6">
        <v>117.1359158035</v>
      </c>
      <c r="HC6">
        <v>-5.4999999992999999</v>
      </c>
      <c r="HD6">
        <v>453.7</v>
      </c>
      <c r="HE6">
        <v>297.5772647128</v>
      </c>
      <c r="HF6">
        <v>100.53701785280001</v>
      </c>
      <c r="HG6">
        <v>453.7</v>
      </c>
      <c r="HH6">
        <v>453.7</v>
      </c>
      <c r="HI6">
        <v>453.7</v>
      </c>
      <c r="HJ6">
        <v>453.7</v>
      </c>
      <c r="HK6">
        <v>114.9560117302</v>
      </c>
      <c r="HL6">
        <v>3.3055924390000002</v>
      </c>
      <c r="HM6">
        <v>3.2473760913</v>
      </c>
      <c r="HN6">
        <v>3.2693344245999998</v>
      </c>
      <c r="HO6">
        <v>3.1208826105999998</v>
      </c>
      <c r="HP6">
        <v>3.4932426697999999</v>
      </c>
      <c r="HQ6">
        <v>2.2204064084000001</v>
      </c>
      <c r="HR6">
        <v>16.5988979507</v>
      </c>
      <c r="HS6">
        <v>-30.4985337243</v>
      </c>
      <c r="HT6">
        <v>-208</v>
      </c>
      <c r="HU6">
        <v>414.71318051629999</v>
      </c>
      <c r="HV6">
        <v>93.841642228699996</v>
      </c>
      <c r="HW6">
        <v>640</v>
      </c>
      <c r="HX6">
        <v>16.5988979507</v>
      </c>
      <c r="HY6">
        <v>-30.4985337243</v>
      </c>
      <c r="HZ6">
        <v>-208</v>
      </c>
      <c r="IA6">
        <v>414.71318051629999</v>
      </c>
      <c r="IB6">
        <v>93.841642228699996</v>
      </c>
      <c r="IC6">
        <v>640</v>
      </c>
      <c r="ID6">
        <v>38.986819483700003</v>
      </c>
      <c r="IE6">
        <v>0.4051575939</v>
      </c>
      <c r="IF6">
        <v>-39.8826979472</v>
      </c>
      <c r="IG6">
        <v>-272</v>
      </c>
      <c r="IH6">
        <v>437.10110204950001</v>
      </c>
      <c r="II6">
        <v>103.22580645159999</v>
      </c>
      <c r="IJ6">
        <v>704</v>
      </c>
      <c r="IK6">
        <v>398.11428256570002</v>
      </c>
      <c r="IL6">
        <v>124.3401759531</v>
      </c>
      <c r="IM6">
        <v>424.23451619960002</v>
      </c>
      <c r="IN6">
        <v>133.724340176</v>
      </c>
      <c r="IO6">
        <v>7.0999999989000004</v>
      </c>
      <c r="IP6">
        <v>6.4000000002000004</v>
      </c>
      <c r="IQ6">
        <v>9.5000000001</v>
      </c>
      <c r="IR6">
        <v>5.6958766895000004</v>
      </c>
      <c r="IS6">
        <v>5.6958766895000004</v>
      </c>
      <c r="IT6">
        <v>4.8999999999000003</v>
      </c>
      <c r="IU6">
        <v>-35.190615835800003</v>
      </c>
      <c r="IV6">
        <v>7.1000000006999997</v>
      </c>
      <c r="IW6">
        <v>60.997067448700001</v>
      </c>
      <c r="IX6">
        <v>6.3000000008999999</v>
      </c>
      <c r="IY6">
        <v>98.533724340199996</v>
      </c>
      <c r="IZ6">
        <v>-35.782680341599999</v>
      </c>
      <c r="JA6">
        <v>0.33864675309999998</v>
      </c>
      <c r="JB6">
        <v>-3.5125389999999997E-4</v>
      </c>
      <c r="JC6">
        <v>6.9360000000000002E-7</v>
      </c>
      <c r="JD6">
        <v>0.3025176329</v>
      </c>
      <c r="JE6">
        <v>0.36003860500000001</v>
      </c>
      <c r="JF6">
        <v>0.14201366739999999</v>
      </c>
      <c r="JG6">
        <v>116.99877777739999</v>
      </c>
      <c r="JH6">
        <v>3.4932426697999999</v>
      </c>
      <c r="JI6">
        <v>2.9437447000000001E-3</v>
      </c>
      <c r="JJ6">
        <v>-6.9092100000000002E-5</v>
      </c>
      <c r="JK6">
        <v>3.3055924390000002</v>
      </c>
      <c r="JL6">
        <v>1.4407025248000001</v>
      </c>
      <c r="JM6">
        <v>0.58618873940000005</v>
      </c>
      <c r="JN6" t="s">
        <v>538</v>
      </c>
      <c r="JQ6">
        <v>1</v>
      </c>
    </row>
    <row r="7" spans="1:277">
      <c r="A7" t="s">
        <v>627</v>
      </c>
      <c r="B7" t="s">
        <v>628</v>
      </c>
      <c r="C7" t="s">
        <v>212</v>
      </c>
      <c r="D7">
        <v>3</v>
      </c>
      <c r="E7" t="s">
        <v>213</v>
      </c>
      <c r="F7" t="s">
        <v>214</v>
      </c>
      <c r="G7" t="s">
        <v>537</v>
      </c>
      <c r="H7" t="s">
        <v>216</v>
      </c>
      <c r="J7" t="s">
        <v>579</v>
      </c>
      <c r="K7" t="s">
        <v>580</v>
      </c>
      <c r="L7" t="s">
        <v>581</v>
      </c>
      <c r="M7" t="s">
        <v>582</v>
      </c>
      <c r="N7" t="s">
        <v>583</v>
      </c>
      <c r="O7">
        <v>0</v>
      </c>
      <c r="P7">
        <v>0</v>
      </c>
      <c r="Q7">
        <v>0</v>
      </c>
      <c r="R7">
        <v>0.49999999830000003</v>
      </c>
      <c r="S7">
        <v>0.29999999970000002</v>
      </c>
      <c r="T7">
        <v>0.39999999899999999</v>
      </c>
      <c r="U7">
        <v>0.39999999899999999</v>
      </c>
      <c r="V7">
        <v>0.49999999830000003</v>
      </c>
      <c r="W7">
        <v>0.69999999869999996</v>
      </c>
      <c r="X7">
        <v>0.69999999869999996</v>
      </c>
      <c r="Y7">
        <v>0.69999999869999996</v>
      </c>
      <c r="Z7">
        <v>0.49999999830000003</v>
      </c>
      <c r="AA7">
        <v>0.59999999940000004</v>
      </c>
      <c r="AB7">
        <v>0.39999999899999999</v>
      </c>
      <c r="AC7">
        <v>0.69999999869999996</v>
      </c>
      <c r="AD7">
        <v>0.99999999839999998</v>
      </c>
      <c r="AE7">
        <v>0.89999999909999995</v>
      </c>
      <c r="AF7">
        <v>1.1999999988000001</v>
      </c>
      <c r="AG7">
        <v>1.1999999988000001</v>
      </c>
      <c r="AH7">
        <v>4.8999999999000003</v>
      </c>
      <c r="AI7">
        <v>9.3999999990000003</v>
      </c>
      <c r="AJ7">
        <v>15.8999999985</v>
      </c>
      <c r="AK7">
        <v>23.299999998899999</v>
      </c>
      <c r="AL7">
        <v>30.699999999300001</v>
      </c>
      <c r="AM7">
        <v>38.199999999100001</v>
      </c>
      <c r="AN7">
        <v>45.099999999399998</v>
      </c>
      <c r="AO7">
        <v>52.399999998699997</v>
      </c>
      <c r="AP7">
        <v>60.299999999199997</v>
      </c>
      <c r="AQ7">
        <v>68.199999999699997</v>
      </c>
      <c r="AR7">
        <v>76.099999998399994</v>
      </c>
      <c r="AS7">
        <v>84.3999999997</v>
      </c>
      <c r="AT7">
        <v>91.899999999399995</v>
      </c>
      <c r="AU7">
        <v>99.399999999200006</v>
      </c>
      <c r="AV7">
        <v>107.29999999970001</v>
      </c>
      <c r="AW7">
        <v>116.4999999983</v>
      </c>
      <c r="AX7">
        <v>125.399999999</v>
      </c>
      <c r="AY7">
        <v>133.7999999996</v>
      </c>
      <c r="AZ7">
        <v>141.7999999994</v>
      </c>
      <c r="BA7">
        <v>149.29999999910001</v>
      </c>
      <c r="BB7">
        <v>157.3999999982</v>
      </c>
      <c r="BC7">
        <v>166.29999999899999</v>
      </c>
      <c r="BD7">
        <v>174.69999999960001</v>
      </c>
      <c r="BE7">
        <v>183.29999999879999</v>
      </c>
      <c r="BF7">
        <v>191.69999999940001</v>
      </c>
      <c r="BG7">
        <v>199.29999999840001</v>
      </c>
      <c r="BH7">
        <v>207.39999999930001</v>
      </c>
      <c r="BI7">
        <v>215.7999999999</v>
      </c>
      <c r="BJ7">
        <v>224.0999999995</v>
      </c>
      <c r="BK7">
        <v>232.49999999830001</v>
      </c>
      <c r="BL7">
        <v>240.7999999996</v>
      </c>
      <c r="BM7">
        <v>248.7999999994</v>
      </c>
      <c r="BN7">
        <v>255.89999999829999</v>
      </c>
      <c r="BO7">
        <v>264.09999999849998</v>
      </c>
      <c r="BP7">
        <v>271.99999999900001</v>
      </c>
      <c r="BQ7">
        <v>279.69999999909999</v>
      </c>
      <c r="BR7">
        <v>287.49999999850002</v>
      </c>
      <c r="BS7">
        <v>295.39999999909998</v>
      </c>
      <c r="BT7">
        <v>302.29999999939997</v>
      </c>
      <c r="BU7">
        <v>309.29999999900002</v>
      </c>
      <c r="BV7">
        <v>317.29999999879999</v>
      </c>
      <c r="BW7">
        <v>324.49999999879998</v>
      </c>
      <c r="BX7">
        <v>331.69999999880002</v>
      </c>
      <c r="BY7">
        <v>338.59999999910002</v>
      </c>
      <c r="BZ7">
        <v>345.6999999999</v>
      </c>
      <c r="CA7">
        <v>352.59999999830001</v>
      </c>
      <c r="CB7">
        <v>358.69999999890001</v>
      </c>
      <c r="CC7">
        <v>365.59999999920001</v>
      </c>
      <c r="CD7">
        <v>372.29999999910001</v>
      </c>
      <c r="CE7">
        <v>378.69999999930002</v>
      </c>
      <c r="CF7">
        <v>385.19999999880002</v>
      </c>
      <c r="CG7">
        <v>391.49999999969998</v>
      </c>
      <c r="CH7">
        <v>397.59999999839999</v>
      </c>
      <c r="CI7">
        <v>403.79999999820001</v>
      </c>
      <c r="CJ7">
        <v>409.09999999889999</v>
      </c>
      <c r="CK7">
        <v>414.9999999991</v>
      </c>
      <c r="CL7">
        <v>421.19999999890001</v>
      </c>
      <c r="CM7">
        <v>426.99999999969998</v>
      </c>
      <c r="CN7">
        <v>432.69999999940001</v>
      </c>
      <c r="CO7">
        <v>438.19999999869998</v>
      </c>
      <c r="CP7">
        <v>443.59999999870001</v>
      </c>
      <c r="CQ7">
        <v>449.29999999839998</v>
      </c>
      <c r="CR7">
        <v>454.29999999939997</v>
      </c>
      <c r="CS7">
        <v>457.19999999890001</v>
      </c>
      <c r="CT7">
        <v>458.09999999979999</v>
      </c>
      <c r="CU7">
        <v>458.29999999839998</v>
      </c>
      <c r="CV7">
        <v>458.19999999909999</v>
      </c>
      <c r="CW7">
        <v>458.29999999839998</v>
      </c>
      <c r="CX7">
        <v>458.29999999839998</v>
      </c>
      <c r="CY7">
        <v>458.39999999949998</v>
      </c>
      <c r="CZ7">
        <v>458.19999999909999</v>
      </c>
      <c r="DA7">
        <v>458.19999999909999</v>
      </c>
      <c r="DB7">
        <v>458.29999999839998</v>
      </c>
      <c r="DC7">
        <v>458.39999999949998</v>
      </c>
      <c r="DD7">
        <v>458.59999999989998</v>
      </c>
      <c r="DE7">
        <v>458.49999999879998</v>
      </c>
      <c r="DF7">
        <v>458.49999999879998</v>
      </c>
      <c r="DG7">
        <v>0.49999999830000003</v>
      </c>
      <c r="DH7">
        <v>1.4999999985000001</v>
      </c>
      <c r="DI7">
        <v>1.5999999996000001</v>
      </c>
      <c r="DJ7">
        <v>1.4999999985000001</v>
      </c>
      <c r="DK7">
        <v>1.4999999985000001</v>
      </c>
      <c r="DL7">
        <v>1.5999999996000001</v>
      </c>
      <c r="DM7">
        <v>1.5999999996000001</v>
      </c>
      <c r="DN7">
        <v>1.4999999985000001</v>
      </c>
      <c r="DO7">
        <v>1.6999999989000001</v>
      </c>
      <c r="DP7">
        <v>1.6999999989000001</v>
      </c>
      <c r="DQ7">
        <v>1.8999999993000001</v>
      </c>
      <c r="DR7">
        <v>1.9999999986000001</v>
      </c>
      <c r="DS7">
        <v>2.0999999997000001</v>
      </c>
      <c r="DT7">
        <v>1.8999999993000001</v>
      </c>
      <c r="DU7">
        <v>1.8999999993000001</v>
      </c>
      <c r="DV7">
        <v>1.8999999993000001</v>
      </c>
      <c r="DW7">
        <v>3.3999999995999999</v>
      </c>
      <c r="DX7">
        <v>7.9999999998</v>
      </c>
      <c r="DY7">
        <v>13.699999999499999</v>
      </c>
      <c r="DZ7">
        <v>21.0999999999</v>
      </c>
      <c r="EA7">
        <v>28.599999999600001</v>
      </c>
      <c r="EB7">
        <v>35.8999999989</v>
      </c>
      <c r="EC7">
        <v>42.899999998600002</v>
      </c>
      <c r="ED7">
        <v>50.199999999699997</v>
      </c>
      <c r="EE7">
        <v>57.999999999099998</v>
      </c>
      <c r="EF7">
        <v>65.599999999900007</v>
      </c>
      <c r="EG7">
        <v>73.499999998600003</v>
      </c>
      <c r="EH7">
        <v>81.699999998799996</v>
      </c>
      <c r="EI7">
        <v>89.3999999989</v>
      </c>
      <c r="EJ7">
        <v>96.899999998599995</v>
      </c>
      <c r="EK7">
        <v>104.6999999999</v>
      </c>
      <c r="EL7">
        <v>113.39999999840001</v>
      </c>
      <c r="EM7">
        <v>122.0999999987</v>
      </c>
      <c r="EN7">
        <v>130.99999999939999</v>
      </c>
      <c r="EO7">
        <v>139.19999999960001</v>
      </c>
      <c r="EP7">
        <v>146.89999999969999</v>
      </c>
      <c r="EQ7">
        <v>154.79999999840001</v>
      </c>
      <c r="ER7">
        <v>163.49999999869999</v>
      </c>
      <c r="ES7">
        <v>172.09999999979999</v>
      </c>
      <c r="ET7">
        <v>180.699999999</v>
      </c>
      <c r="EU7">
        <v>189.39999999930001</v>
      </c>
      <c r="EV7">
        <v>197.09999999940001</v>
      </c>
      <c r="EW7">
        <v>205.2999999996</v>
      </c>
      <c r="EX7">
        <v>213.79999999949999</v>
      </c>
      <c r="EY7">
        <v>221.79999999930001</v>
      </c>
      <c r="EZ7">
        <v>230.39999999860001</v>
      </c>
      <c r="FA7">
        <v>238.6999999999</v>
      </c>
      <c r="FB7">
        <v>246.6999999997</v>
      </c>
      <c r="FC7">
        <v>254.09999999830001</v>
      </c>
      <c r="FD7">
        <v>262.09999999989998</v>
      </c>
      <c r="FE7">
        <v>270.59999999979999</v>
      </c>
      <c r="FF7">
        <v>278.39999999920002</v>
      </c>
      <c r="FG7">
        <v>286.29999999979998</v>
      </c>
      <c r="FH7">
        <v>293.89999999880001</v>
      </c>
      <c r="FI7">
        <v>300.69999999980001</v>
      </c>
      <c r="FJ7">
        <v>308.19999999949999</v>
      </c>
      <c r="FK7">
        <v>316.10000000000002</v>
      </c>
      <c r="FL7">
        <v>323.39999999930001</v>
      </c>
      <c r="FM7">
        <v>330.69999999859999</v>
      </c>
      <c r="FN7">
        <v>337.99999999969998</v>
      </c>
      <c r="FO7">
        <v>345.09999999860003</v>
      </c>
      <c r="FP7">
        <v>351.29999999839998</v>
      </c>
      <c r="FQ7">
        <v>357.99999999840003</v>
      </c>
      <c r="FR7">
        <v>364.69999999829997</v>
      </c>
      <c r="FS7">
        <v>371.59999999860003</v>
      </c>
      <c r="FT7">
        <v>378.19999999919997</v>
      </c>
      <c r="FU7">
        <v>384.99999999840003</v>
      </c>
      <c r="FV7">
        <v>391.29999999929998</v>
      </c>
      <c r="FW7">
        <v>397.59999999839999</v>
      </c>
      <c r="FX7">
        <v>402.99999999840003</v>
      </c>
      <c r="FY7">
        <v>408.7</v>
      </c>
      <c r="FZ7">
        <v>414.49999999900001</v>
      </c>
      <c r="GA7">
        <v>421.09999999960002</v>
      </c>
      <c r="GB7">
        <v>426.49999999959999</v>
      </c>
      <c r="GC7">
        <v>432.29999999860001</v>
      </c>
      <c r="GD7">
        <v>437.99999999829998</v>
      </c>
      <c r="GE7">
        <v>443.29999999900002</v>
      </c>
      <c r="GF7">
        <v>448.7999999983</v>
      </c>
      <c r="GG7">
        <v>453.39999999849999</v>
      </c>
      <c r="GH7">
        <v>456.29999999979998</v>
      </c>
      <c r="GI7">
        <v>457.99999999869999</v>
      </c>
      <c r="GJ7">
        <v>458.19999999909999</v>
      </c>
      <c r="GK7">
        <v>457.99999999869999</v>
      </c>
      <c r="GL7">
        <v>458.19999999909999</v>
      </c>
      <c r="GM7">
        <v>458.09999999979999</v>
      </c>
      <c r="GN7">
        <v>458.19999999909999</v>
      </c>
      <c r="GO7">
        <v>458.29999999839998</v>
      </c>
      <c r="GP7">
        <v>458.29999999839998</v>
      </c>
      <c r="GQ7">
        <v>458.29999999839998</v>
      </c>
      <c r="GR7">
        <v>457.99999999869999</v>
      </c>
      <c r="GS7">
        <v>458.19999999909999</v>
      </c>
      <c r="GT7">
        <v>458.29999999839998</v>
      </c>
      <c r="GU7">
        <v>458.39999999949998</v>
      </c>
      <c r="GV7">
        <v>458.49999999879998</v>
      </c>
      <c r="GW7">
        <v>1</v>
      </c>
      <c r="GX7">
        <v>118.8000000002</v>
      </c>
      <c r="GY7">
        <v>116.4999999983</v>
      </c>
      <c r="GZ7">
        <v>116.4999999983</v>
      </c>
      <c r="HA7">
        <v>122.0999999987</v>
      </c>
      <c r="HB7">
        <v>117.957099235</v>
      </c>
      <c r="HC7">
        <v>-5.6000000003999997</v>
      </c>
      <c r="HD7">
        <v>458.49999999879998</v>
      </c>
      <c r="HE7">
        <v>308.1423664134</v>
      </c>
      <c r="HF7">
        <v>101.8472846236</v>
      </c>
      <c r="HG7">
        <v>458.59999999989998</v>
      </c>
      <c r="HH7">
        <v>458.49999999879998</v>
      </c>
      <c r="HI7">
        <v>458.59999999989998</v>
      </c>
      <c r="HJ7">
        <v>458.49999999879998</v>
      </c>
      <c r="HK7">
        <v>112.6099706745</v>
      </c>
      <c r="HL7">
        <v>3.3338284403</v>
      </c>
      <c r="HM7">
        <v>3.2783752819999998</v>
      </c>
      <c r="HN7">
        <v>3.2968623016</v>
      </c>
      <c r="HO7">
        <v>3.1624087733000001</v>
      </c>
      <c r="HP7">
        <v>3.5263501559999999</v>
      </c>
      <c r="HQ7">
        <v>2.2286733176000002</v>
      </c>
      <c r="HR7">
        <v>16.109814611400001</v>
      </c>
      <c r="HS7">
        <v>-30.4985337243</v>
      </c>
      <c r="HT7">
        <v>-208</v>
      </c>
      <c r="HU7">
        <v>426.09946564839998</v>
      </c>
      <c r="HV7">
        <v>96.187683284499997</v>
      </c>
      <c r="HW7">
        <v>656</v>
      </c>
      <c r="HX7">
        <v>16.109814611400001</v>
      </c>
      <c r="HY7">
        <v>-30.4985337243</v>
      </c>
      <c r="HZ7">
        <v>-208</v>
      </c>
      <c r="IA7">
        <v>426.09946564839998</v>
      </c>
      <c r="IB7">
        <v>96.187683284499997</v>
      </c>
      <c r="IC7">
        <v>656</v>
      </c>
      <c r="ID7">
        <v>32.400534350400001</v>
      </c>
      <c r="IE7">
        <v>1.2023664110000001</v>
      </c>
      <c r="IF7">
        <v>-39.8826979472</v>
      </c>
      <c r="IG7">
        <v>-272</v>
      </c>
      <c r="IH7">
        <v>448.6605016341</v>
      </c>
      <c r="II7">
        <v>105.57184750730001</v>
      </c>
      <c r="IJ7">
        <v>720</v>
      </c>
      <c r="IK7">
        <v>409.98965103699999</v>
      </c>
      <c r="IL7">
        <v>126.6862170088</v>
      </c>
      <c r="IM7">
        <v>432.78878952949998</v>
      </c>
      <c r="IN7">
        <v>136.0703812317</v>
      </c>
      <c r="IO7">
        <v>7.4000000004000004</v>
      </c>
      <c r="IP7">
        <v>5.6999999997000002</v>
      </c>
      <c r="IQ7">
        <v>9.1999999985999992</v>
      </c>
      <c r="IR7">
        <v>6.3053874400999996</v>
      </c>
      <c r="IS7">
        <v>6.3053874400999996</v>
      </c>
      <c r="IT7">
        <v>4.3000000004999999</v>
      </c>
      <c r="IU7">
        <v>-32.844574780099997</v>
      </c>
      <c r="IV7">
        <v>6.8000000009999999</v>
      </c>
      <c r="IW7">
        <v>56.304985337200002</v>
      </c>
      <c r="IX7">
        <v>5.2999999988999997</v>
      </c>
      <c r="IY7">
        <v>100.87976539589999</v>
      </c>
      <c r="IZ7">
        <v>-35.818786605500001</v>
      </c>
      <c r="JA7">
        <v>0.33473875539999998</v>
      </c>
      <c r="JB7">
        <v>-3.3741609999999998E-4</v>
      </c>
      <c r="JC7">
        <v>6.5339999999999996E-7</v>
      </c>
      <c r="JD7">
        <v>0.29995544699999999</v>
      </c>
      <c r="JE7">
        <v>0.25085746850000001</v>
      </c>
      <c r="JF7">
        <v>0.1093636429</v>
      </c>
      <c r="JG7">
        <v>118.3348641213</v>
      </c>
      <c r="JH7">
        <v>3.5263501559999999</v>
      </c>
      <c r="JI7">
        <v>2.9062223000000001E-3</v>
      </c>
      <c r="JJ7">
        <v>-6.6895400000000003E-5</v>
      </c>
      <c r="JK7">
        <v>3.3338284403</v>
      </c>
      <c r="JL7">
        <v>1.3106369224000001</v>
      </c>
      <c r="JM7">
        <v>0.55895982710000003</v>
      </c>
      <c r="JN7" t="s">
        <v>538</v>
      </c>
      <c r="JQ7">
        <v>1</v>
      </c>
    </row>
    <row r="8" spans="1:277">
      <c r="A8" t="s">
        <v>629</v>
      </c>
      <c r="B8" t="s">
        <v>630</v>
      </c>
      <c r="C8" t="s">
        <v>212</v>
      </c>
      <c r="D8">
        <v>3</v>
      </c>
      <c r="E8" t="s">
        <v>213</v>
      </c>
      <c r="F8" t="s">
        <v>214</v>
      </c>
      <c r="G8" t="s">
        <v>537</v>
      </c>
      <c r="H8" t="s">
        <v>216</v>
      </c>
      <c r="J8" t="s">
        <v>586</v>
      </c>
      <c r="K8" t="s">
        <v>587</v>
      </c>
      <c r="L8" t="s">
        <v>588</v>
      </c>
      <c r="M8" t="s">
        <v>589</v>
      </c>
      <c r="N8" t="s">
        <v>590</v>
      </c>
      <c r="O8">
        <v>0</v>
      </c>
      <c r="P8">
        <v>0</v>
      </c>
      <c r="Q8">
        <v>0</v>
      </c>
      <c r="R8">
        <v>1.0999999995</v>
      </c>
      <c r="S8">
        <v>1.2999999999</v>
      </c>
      <c r="T8">
        <v>1.2999999999</v>
      </c>
      <c r="U8">
        <v>1.3999999992000001</v>
      </c>
      <c r="V8">
        <v>1.1999999988000001</v>
      </c>
      <c r="W8">
        <v>1.3999999992000001</v>
      </c>
      <c r="X8">
        <v>0.89999999909999995</v>
      </c>
      <c r="Y8">
        <v>0.89999999909999995</v>
      </c>
      <c r="Z8">
        <v>0.89999999909999995</v>
      </c>
      <c r="AA8">
        <v>1.2999999999</v>
      </c>
      <c r="AB8">
        <v>1.3999999992000001</v>
      </c>
      <c r="AC8">
        <v>1.5000000003</v>
      </c>
      <c r="AD8">
        <v>1.2999999999</v>
      </c>
      <c r="AE8">
        <v>0.69999999869999996</v>
      </c>
      <c r="AF8">
        <v>0.29999999970000002</v>
      </c>
      <c r="AG8">
        <v>9.9999999300000003E-2</v>
      </c>
      <c r="AH8">
        <v>2.3999999993999999</v>
      </c>
      <c r="AI8">
        <v>8.3999999988000003</v>
      </c>
      <c r="AJ8">
        <v>15.0999999987</v>
      </c>
      <c r="AK8">
        <v>21.499999998900002</v>
      </c>
      <c r="AL8">
        <v>29.800000000299999</v>
      </c>
      <c r="AM8">
        <v>37.199999998800003</v>
      </c>
      <c r="AN8">
        <v>44.700000000400003</v>
      </c>
      <c r="AO8">
        <v>51.900000000399999</v>
      </c>
      <c r="AP8">
        <v>59.4000000001</v>
      </c>
      <c r="AQ8">
        <v>66.799999998700002</v>
      </c>
      <c r="AR8">
        <v>74.099999999800005</v>
      </c>
      <c r="AS8">
        <v>82.800000000099999</v>
      </c>
      <c r="AT8">
        <v>90.299999999799994</v>
      </c>
      <c r="AU8">
        <v>98.099999999199994</v>
      </c>
      <c r="AV8">
        <v>105.9999999998</v>
      </c>
      <c r="AW8">
        <v>114.7999999994</v>
      </c>
      <c r="AX8">
        <v>123.599999999</v>
      </c>
      <c r="AY8">
        <v>131.99999999959999</v>
      </c>
      <c r="AZ8">
        <v>140.40000000020001</v>
      </c>
      <c r="BA8">
        <v>148.29999999890001</v>
      </c>
      <c r="BB8">
        <v>155.99999999900001</v>
      </c>
      <c r="BC8">
        <v>164.19999999929999</v>
      </c>
      <c r="BD8">
        <v>172.30000000019999</v>
      </c>
      <c r="BE8">
        <v>180.39999999930001</v>
      </c>
      <c r="BF8">
        <v>189.19999999890001</v>
      </c>
      <c r="BG8">
        <v>197.7999999999</v>
      </c>
      <c r="BH8">
        <v>205.5999999993</v>
      </c>
      <c r="BI8">
        <v>213.79999999949999</v>
      </c>
      <c r="BJ8">
        <v>222.099999999</v>
      </c>
      <c r="BK8">
        <v>229.49999999950001</v>
      </c>
      <c r="BL8">
        <v>238.09999999870001</v>
      </c>
      <c r="BM8">
        <v>245.99999999920001</v>
      </c>
      <c r="BN8">
        <v>253.6</v>
      </c>
      <c r="BO8">
        <v>261.199999999</v>
      </c>
      <c r="BP8">
        <v>268.89999999909998</v>
      </c>
      <c r="BQ8">
        <v>276.7999999996</v>
      </c>
      <c r="BR8">
        <v>284.29999999929998</v>
      </c>
      <c r="BS8">
        <v>292.49999999959999</v>
      </c>
      <c r="BT8">
        <v>300.29999999900002</v>
      </c>
      <c r="BU8">
        <v>306.89999999960003</v>
      </c>
      <c r="BV8">
        <v>314.19999999890001</v>
      </c>
      <c r="BW8">
        <v>321.3999999989</v>
      </c>
      <c r="BX8">
        <v>327.79999999910001</v>
      </c>
      <c r="BY8">
        <v>334.49999999900001</v>
      </c>
      <c r="BZ8">
        <v>342.09999999979999</v>
      </c>
      <c r="CA8">
        <v>349.19999999869998</v>
      </c>
      <c r="CB8">
        <v>355.79999999939997</v>
      </c>
      <c r="CC8">
        <v>362.19999999959998</v>
      </c>
      <c r="CD8">
        <v>368.89999999949998</v>
      </c>
      <c r="CE8">
        <v>375.0999999993</v>
      </c>
      <c r="CF8">
        <v>380.90000000010002</v>
      </c>
      <c r="CG8">
        <v>386.99999999879998</v>
      </c>
      <c r="CH8">
        <v>393.69999999869998</v>
      </c>
      <c r="CI8">
        <v>399.7999999992</v>
      </c>
      <c r="CJ8">
        <v>405.30000000040002</v>
      </c>
      <c r="CK8">
        <v>411.59999999950003</v>
      </c>
      <c r="CL8">
        <v>416.99999999950001</v>
      </c>
      <c r="CM8">
        <v>422.99999999890002</v>
      </c>
      <c r="CN8">
        <v>427.99999999990001</v>
      </c>
      <c r="CO8">
        <v>433.29999999879999</v>
      </c>
      <c r="CP8">
        <v>438.69999999880002</v>
      </c>
      <c r="CQ8">
        <v>443.49999999940002</v>
      </c>
      <c r="CR8">
        <v>448.39999999930001</v>
      </c>
      <c r="CS8">
        <v>452.49999999940002</v>
      </c>
      <c r="CT8">
        <v>455.5999999993</v>
      </c>
      <c r="CU8">
        <v>455.20000000030001</v>
      </c>
      <c r="CV8">
        <v>455.3999999989</v>
      </c>
      <c r="CW8">
        <v>455.20000000030001</v>
      </c>
      <c r="CX8">
        <v>455.3999999989</v>
      </c>
      <c r="CY8">
        <v>455.5999999993</v>
      </c>
      <c r="CZ8">
        <v>455.5999999993</v>
      </c>
      <c r="DA8">
        <v>455.5999999993</v>
      </c>
      <c r="DB8">
        <v>455.3999999989</v>
      </c>
      <c r="DC8">
        <v>455.5</v>
      </c>
      <c r="DD8">
        <v>455.2999999996</v>
      </c>
      <c r="DE8">
        <v>455.09999999920001</v>
      </c>
      <c r="DF8">
        <v>455.2999999996</v>
      </c>
      <c r="DG8">
        <v>1.0000000002</v>
      </c>
      <c r="DH8">
        <v>2.3000000000999998</v>
      </c>
      <c r="DI8">
        <v>2.3000000000999998</v>
      </c>
      <c r="DJ8">
        <v>2.1999999990000001</v>
      </c>
      <c r="DK8">
        <v>2.1999999990000001</v>
      </c>
      <c r="DL8">
        <v>2.3999999993999999</v>
      </c>
      <c r="DM8">
        <v>2.4999999986999999</v>
      </c>
      <c r="DN8">
        <v>2.6999999991000001</v>
      </c>
      <c r="DO8">
        <v>2.9999999987999999</v>
      </c>
      <c r="DP8">
        <v>2.8999999994999999</v>
      </c>
      <c r="DQ8">
        <v>2.8999999994999999</v>
      </c>
      <c r="DR8">
        <v>2.5999999998000001</v>
      </c>
      <c r="DS8">
        <v>2.3999999993999999</v>
      </c>
      <c r="DT8">
        <v>1.5999999996000001</v>
      </c>
      <c r="DU8">
        <v>1.2999999999</v>
      </c>
      <c r="DV8">
        <v>1.1999999988000001</v>
      </c>
      <c r="DW8">
        <v>1.1999999988000001</v>
      </c>
      <c r="DX8">
        <v>6.5999999988000004</v>
      </c>
      <c r="DY8">
        <v>13.3999999998</v>
      </c>
      <c r="DZ8">
        <v>19.8999999993</v>
      </c>
      <c r="EA8">
        <v>27.699999998700001</v>
      </c>
      <c r="EB8">
        <v>34.999999999899998</v>
      </c>
      <c r="EC8">
        <v>42.099999998800001</v>
      </c>
      <c r="ED8">
        <v>49.299999998799997</v>
      </c>
      <c r="EE8">
        <v>56.800000000300003</v>
      </c>
      <c r="EF8">
        <v>64.599999999700003</v>
      </c>
      <c r="EG8">
        <v>71.899999999000002</v>
      </c>
      <c r="EH8">
        <v>80.5</v>
      </c>
      <c r="EI8">
        <v>88.499999999799996</v>
      </c>
      <c r="EJ8">
        <v>96.2</v>
      </c>
      <c r="EK8">
        <v>103.6000000004</v>
      </c>
      <c r="EL8">
        <v>111.69999999949999</v>
      </c>
      <c r="EM8">
        <v>119.999999999</v>
      </c>
      <c r="EN8">
        <v>128.89999999969999</v>
      </c>
      <c r="EO8">
        <v>137.1999999992</v>
      </c>
      <c r="EP8">
        <v>145.59999999979999</v>
      </c>
      <c r="EQ8">
        <v>153.80000000000001</v>
      </c>
      <c r="ER8">
        <v>162.00000000029999</v>
      </c>
      <c r="ES8">
        <v>170.09999999940001</v>
      </c>
      <c r="ET8">
        <v>178.7000000004</v>
      </c>
      <c r="EU8">
        <v>186.70000000019999</v>
      </c>
      <c r="EV8">
        <v>195.2000000001</v>
      </c>
      <c r="EW8">
        <v>203.0999999988</v>
      </c>
      <c r="EX8">
        <v>211.1999999997</v>
      </c>
      <c r="EY8">
        <v>219.19999999949999</v>
      </c>
      <c r="EZ8">
        <v>227.19999999940001</v>
      </c>
      <c r="FA8">
        <v>235.99999999900001</v>
      </c>
      <c r="FB8">
        <v>244.6</v>
      </c>
      <c r="FC8">
        <v>252.0999999997</v>
      </c>
      <c r="FD8">
        <v>259.69999999869998</v>
      </c>
      <c r="FE8">
        <v>267.39999999880001</v>
      </c>
      <c r="FF8">
        <v>274.29999999910001</v>
      </c>
      <c r="FG8">
        <v>282.10000000039997</v>
      </c>
      <c r="FH8">
        <v>290.49999999919999</v>
      </c>
      <c r="FI8">
        <v>298.30000000040002</v>
      </c>
      <c r="FJ8">
        <v>305.699999999</v>
      </c>
      <c r="FK8">
        <v>313.00000000009999</v>
      </c>
      <c r="FL8">
        <v>320.29999999939997</v>
      </c>
      <c r="FM8">
        <v>326.69999999959998</v>
      </c>
      <c r="FN8">
        <v>333.99999999890002</v>
      </c>
      <c r="FO8">
        <v>341.19999999890001</v>
      </c>
      <c r="FP8">
        <v>348.2000000004</v>
      </c>
      <c r="FQ8">
        <v>354.99999999959999</v>
      </c>
      <c r="FR8">
        <v>361.4999999991</v>
      </c>
      <c r="FS8">
        <v>368.0999999997</v>
      </c>
      <c r="FT8">
        <v>374.59999999920001</v>
      </c>
      <c r="FU8">
        <v>380.49999999929997</v>
      </c>
      <c r="FV8">
        <v>387.19999999919997</v>
      </c>
      <c r="FW8">
        <v>393.69999999869998</v>
      </c>
      <c r="FX8">
        <v>399.6999999999</v>
      </c>
      <c r="FY8">
        <v>405.6</v>
      </c>
      <c r="FZ8">
        <v>410.7000000004</v>
      </c>
      <c r="GA8">
        <v>416.90000000020001</v>
      </c>
      <c r="GB8">
        <v>422.30000000019999</v>
      </c>
      <c r="GC8">
        <v>427.70000000020002</v>
      </c>
      <c r="GD8">
        <v>433.1000000002</v>
      </c>
      <c r="GE8">
        <v>438.29999999979998</v>
      </c>
      <c r="GF8">
        <v>443.19999999970003</v>
      </c>
      <c r="GG8">
        <v>447.59999999950003</v>
      </c>
      <c r="GH8">
        <v>451.9</v>
      </c>
      <c r="GI8">
        <v>455.20000000030001</v>
      </c>
      <c r="GJ8">
        <v>455.3999999989</v>
      </c>
      <c r="GK8">
        <v>455.09999999920001</v>
      </c>
      <c r="GL8">
        <v>455.3999999989</v>
      </c>
      <c r="GM8">
        <v>454.99999999990001</v>
      </c>
      <c r="GN8">
        <v>455.2999999996</v>
      </c>
      <c r="GO8">
        <v>455.2999999996</v>
      </c>
      <c r="GP8">
        <v>455.2999999996</v>
      </c>
      <c r="GQ8">
        <v>455.2999999996</v>
      </c>
      <c r="GR8">
        <v>455.2999999996</v>
      </c>
      <c r="GS8">
        <v>455.5</v>
      </c>
      <c r="GT8">
        <v>455.2999999996</v>
      </c>
      <c r="GU8">
        <v>455.5</v>
      </c>
      <c r="GV8">
        <v>455.5</v>
      </c>
      <c r="GW8">
        <v>1</v>
      </c>
      <c r="GX8">
        <v>116.79999999979999</v>
      </c>
      <c r="GY8">
        <v>114.7999999994</v>
      </c>
      <c r="GZ8">
        <v>114.7999999994</v>
      </c>
      <c r="HA8">
        <v>119.999999999</v>
      </c>
      <c r="HB8">
        <v>116.1402414921</v>
      </c>
      <c r="HC8">
        <v>-5.1999999996000001</v>
      </c>
      <c r="HD8">
        <v>455.49995609220002</v>
      </c>
      <c r="HE8">
        <v>300.27979143879998</v>
      </c>
      <c r="HF8">
        <v>100.8558287601</v>
      </c>
      <c r="HG8">
        <v>455.5999999993</v>
      </c>
      <c r="HH8">
        <v>455.5</v>
      </c>
      <c r="HI8">
        <v>455.5999999993</v>
      </c>
      <c r="HJ8">
        <v>455.5</v>
      </c>
      <c r="HK8">
        <v>112.6099706745</v>
      </c>
      <c r="HL8">
        <v>3.3207391206999999</v>
      </c>
      <c r="HM8">
        <v>3.2778243187</v>
      </c>
      <c r="HN8">
        <v>3.2843792659000002</v>
      </c>
      <c r="HO8">
        <v>3.1432006158000001</v>
      </c>
      <c r="HP8">
        <v>3.5000733263999999</v>
      </c>
      <c r="HQ8">
        <v>2.2823300932000001</v>
      </c>
      <c r="HR8">
        <v>15.284412732</v>
      </c>
      <c r="HS8">
        <v>-30.4985337243</v>
      </c>
      <c r="HT8">
        <v>-208</v>
      </c>
      <c r="HU8">
        <v>416.42003293089999</v>
      </c>
      <c r="HV8">
        <v>93.841642228699996</v>
      </c>
      <c r="HW8">
        <v>640</v>
      </c>
      <c r="HX8">
        <v>15.284412732</v>
      </c>
      <c r="HY8">
        <v>-30.4985337243</v>
      </c>
      <c r="HZ8">
        <v>-208</v>
      </c>
      <c r="IA8">
        <v>416.42003293089999</v>
      </c>
      <c r="IB8">
        <v>93.841642228699996</v>
      </c>
      <c r="IC8">
        <v>640</v>
      </c>
      <c r="ID8">
        <v>39.0799670691</v>
      </c>
      <c r="IE8">
        <v>0.30148188770000001</v>
      </c>
      <c r="IF8">
        <v>-39.8826979472</v>
      </c>
      <c r="IG8">
        <v>-272</v>
      </c>
      <c r="IH8">
        <v>438.08375411610001</v>
      </c>
      <c r="II8">
        <v>103.22580645159999</v>
      </c>
      <c r="IJ8">
        <v>704</v>
      </c>
      <c r="IK8">
        <v>401.13562019900002</v>
      </c>
      <c r="IL8">
        <v>124.3401759531</v>
      </c>
      <c r="IM8">
        <v>424.9474094409</v>
      </c>
      <c r="IN8">
        <v>133.724340176</v>
      </c>
      <c r="IO8">
        <v>6.8000000009999999</v>
      </c>
      <c r="IP8">
        <v>5.9999999994</v>
      </c>
      <c r="IQ8">
        <v>8.9000000007000004</v>
      </c>
      <c r="IR8">
        <v>6.1511367323000004</v>
      </c>
      <c r="IS8">
        <v>6.1511367323000004</v>
      </c>
      <c r="IT8">
        <v>5.0000000010000001</v>
      </c>
      <c r="IU8">
        <v>-32.844574780099997</v>
      </c>
      <c r="IV8">
        <v>6.6999999999000002</v>
      </c>
      <c r="IW8">
        <v>65.689149560100006</v>
      </c>
      <c r="IX8">
        <v>5.3000000006999999</v>
      </c>
      <c r="IY8">
        <v>96.187683284499997</v>
      </c>
      <c r="IZ8">
        <v>-35.493927361899999</v>
      </c>
      <c r="JA8">
        <v>0.33452747760000001</v>
      </c>
      <c r="JB8">
        <v>-3.27514E-4</v>
      </c>
      <c r="JC8">
        <v>6.4710000000000002E-7</v>
      </c>
      <c r="JD8">
        <v>0.30113777800000002</v>
      </c>
      <c r="JE8">
        <v>0.24975300349999999</v>
      </c>
      <c r="JF8">
        <v>0.1119226398</v>
      </c>
      <c r="JG8">
        <v>116.75212951659999</v>
      </c>
      <c r="JH8">
        <v>3.5000733263999999</v>
      </c>
      <c r="JI8">
        <v>2.8241207000000001E-3</v>
      </c>
      <c r="JJ8">
        <v>-6.6156900000000004E-5</v>
      </c>
      <c r="JK8">
        <v>3.3207391206999999</v>
      </c>
      <c r="JL8">
        <v>1.1950931903999999</v>
      </c>
      <c r="JM8">
        <v>0.52861261209999999</v>
      </c>
      <c r="JN8" t="s">
        <v>538</v>
      </c>
      <c r="JQ8">
        <v>1</v>
      </c>
    </row>
    <row r="9" spans="1:277">
      <c r="A9" t="s">
        <v>631</v>
      </c>
      <c r="B9" t="s">
        <v>632</v>
      </c>
      <c r="C9" t="s">
        <v>212</v>
      </c>
      <c r="D9">
        <v>3</v>
      </c>
      <c r="E9" t="s">
        <v>213</v>
      </c>
      <c r="F9" t="s">
        <v>214</v>
      </c>
      <c r="G9" t="s">
        <v>537</v>
      </c>
      <c r="H9" t="s">
        <v>216</v>
      </c>
      <c r="J9" t="s">
        <v>593</v>
      </c>
      <c r="K9" t="s">
        <v>594</v>
      </c>
      <c r="L9" t="s">
        <v>595</v>
      </c>
      <c r="M9" t="s">
        <v>596</v>
      </c>
      <c r="N9" t="s">
        <v>597</v>
      </c>
      <c r="O9">
        <v>0</v>
      </c>
      <c r="P9">
        <v>0</v>
      </c>
      <c r="Q9">
        <v>1.5999999996000001</v>
      </c>
      <c r="R9">
        <v>1.400000001</v>
      </c>
      <c r="S9">
        <v>1.5999999996000001</v>
      </c>
      <c r="T9">
        <v>1.7000000007</v>
      </c>
      <c r="U9">
        <v>1.8</v>
      </c>
      <c r="V9">
        <v>1.5999999996000001</v>
      </c>
      <c r="W9">
        <v>1.7000000007</v>
      </c>
      <c r="X9">
        <v>1.400000001</v>
      </c>
      <c r="Y9">
        <v>1.5000000003</v>
      </c>
      <c r="Z9">
        <v>1.5999999996000001</v>
      </c>
      <c r="AA9">
        <v>1.5999999996000001</v>
      </c>
      <c r="AB9">
        <v>1.5999999996000001</v>
      </c>
      <c r="AC9">
        <v>1.5000000003</v>
      </c>
      <c r="AD9">
        <v>1.2000000006</v>
      </c>
      <c r="AE9">
        <v>1.0999999995</v>
      </c>
      <c r="AF9">
        <v>0.50000000010000001</v>
      </c>
      <c r="AG9">
        <v>0</v>
      </c>
      <c r="AH9">
        <v>0.29999999970000002</v>
      </c>
      <c r="AI9">
        <v>6.4999999995</v>
      </c>
      <c r="AJ9">
        <v>13.3999999998</v>
      </c>
      <c r="AK9">
        <v>19.599999999600001</v>
      </c>
      <c r="AL9">
        <v>26.900000000799999</v>
      </c>
      <c r="AM9">
        <v>34.299999999299999</v>
      </c>
      <c r="AN9">
        <v>41.600000000500003</v>
      </c>
      <c r="AO9">
        <v>49.199999999500001</v>
      </c>
      <c r="AP9">
        <v>56.5999999999</v>
      </c>
      <c r="AQ9">
        <v>64.599999999700003</v>
      </c>
      <c r="AR9">
        <v>71.5</v>
      </c>
      <c r="AS9">
        <v>79.700000000200006</v>
      </c>
      <c r="AT9">
        <v>87.800000001200004</v>
      </c>
      <c r="AU9">
        <v>95.900000000299997</v>
      </c>
      <c r="AV9">
        <v>103.9999999994</v>
      </c>
      <c r="AW9">
        <v>112.6000000004</v>
      </c>
      <c r="AX9">
        <v>120.80000000059999</v>
      </c>
      <c r="AY9">
        <v>128.89999999969999</v>
      </c>
      <c r="AZ9">
        <v>137.09999999990001</v>
      </c>
      <c r="BA9">
        <v>145.70000000089999</v>
      </c>
      <c r="BB9">
        <v>154.3000000001</v>
      </c>
      <c r="BC9">
        <v>162.50000000040001</v>
      </c>
      <c r="BD9">
        <v>170.40000000090001</v>
      </c>
      <c r="BE9">
        <v>177.99999999990001</v>
      </c>
      <c r="BF9">
        <v>186.2999999994</v>
      </c>
      <c r="BG9">
        <v>194.99999999970001</v>
      </c>
      <c r="BH9">
        <v>203.1999999999</v>
      </c>
      <c r="BI9">
        <v>211.3000000008</v>
      </c>
      <c r="BJ9">
        <v>219.69999999960001</v>
      </c>
      <c r="BK9">
        <v>227.10000000010001</v>
      </c>
      <c r="BL9">
        <v>235.00000000060001</v>
      </c>
      <c r="BM9">
        <v>242.8</v>
      </c>
      <c r="BN9">
        <v>250.79999999980001</v>
      </c>
      <c r="BO9">
        <v>258.60000000100001</v>
      </c>
      <c r="BP9">
        <v>266.60000000079998</v>
      </c>
      <c r="BQ9">
        <v>273.80000000080003</v>
      </c>
      <c r="BR9">
        <v>281.3999999998</v>
      </c>
      <c r="BS9">
        <v>288.89999999960003</v>
      </c>
      <c r="BT9">
        <v>296.40000000110001</v>
      </c>
      <c r="BU9">
        <v>303.79999999969999</v>
      </c>
      <c r="BV9">
        <v>310.99999999969998</v>
      </c>
      <c r="BW9">
        <v>317.80000000069998</v>
      </c>
      <c r="BX9">
        <v>324.89999999960003</v>
      </c>
      <c r="BY9">
        <v>331.29999999979998</v>
      </c>
      <c r="BZ9">
        <v>338.20000000009998</v>
      </c>
      <c r="CA9">
        <v>345.40000000020001</v>
      </c>
      <c r="CB9">
        <v>352.6000000002</v>
      </c>
      <c r="CC9">
        <v>358.40000000100002</v>
      </c>
      <c r="CD9">
        <v>364.79999999939997</v>
      </c>
      <c r="CE9">
        <v>371.4</v>
      </c>
      <c r="CF9">
        <v>377.00000000040001</v>
      </c>
      <c r="CG9">
        <v>383.10000000090002</v>
      </c>
      <c r="CH9">
        <v>389.00000000099999</v>
      </c>
      <c r="CI9">
        <v>395.0999999997</v>
      </c>
      <c r="CJ9">
        <v>401.6000000011</v>
      </c>
      <c r="CK9">
        <v>407.19999999959998</v>
      </c>
      <c r="CL9">
        <v>412.89999999939999</v>
      </c>
      <c r="CM9">
        <v>418.10000000079998</v>
      </c>
      <c r="CN9">
        <v>423.60000000010001</v>
      </c>
      <c r="CO9">
        <v>428.7000000004</v>
      </c>
      <c r="CP9">
        <v>434.10000000039997</v>
      </c>
      <c r="CQ9">
        <v>439.3</v>
      </c>
      <c r="CR9">
        <v>444.4000000003</v>
      </c>
      <c r="CS9">
        <v>449.80000000029997</v>
      </c>
      <c r="CT9">
        <v>453.90000000039998</v>
      </c>
      <c r="CU9">
        <v>457.3</v>
      </c>
      <c r="CV9">
        <v>458.00000000049999</v>
      </c>
      <c r="CW9">
        <v>458.00000000049999</v>
      </c>
      <c r="CX9">
        <v>458.09999999979999</v>
      </c>
      <c r="CY9">
        <v>458.20000000089999</v>
      </c>
      <c r="CZ9">
        <v>458.39999999949998</v>
      </c>
      <c r="DA9">
        <v>458.30000000019999</v>
      </c>
      <c r="DB9">
        <v>458.30000000019999</v>
      </c>
      <c r="DC9">
        <v>458.39999999949998</v>
      </c>
      <c r="DD9">
        <v>458.50000000059998</v>
      </c>
      <c r="DE9">
        <v>458.50000000059998</v>
      </c>
      <c r="DF9">
        <v>458.50000000059998</v>
      </c>
      <c r="DG9">
        <v>2.0999999997000001</v>
      </c>
      <c r="DH9">
        <v>2.0000000004</v>
      </c>
      <c r="DI9">
        <v>2.3000000000999998</v>
      </c>
      <c r="DJ9">
        <v>2.3999999993999999</v>
      </c>
      <c r="DK9">
        <v>2.3999999993999999</v>
      </c>
      <c r="DL9">
        <v>2.5000000005</v>
      </c>
      <c r="DM9">
        <v>2.2000000007999998</v>
      </c>
      <c r="DN9">
        <v>2.2000000007999998</v>
      </c>
      <c r="DO9">
        <v>2.2000000007999998</v>
      </c>
      <c r="DP9">
        <v>2.0999999997000001</v>
      </c>
      <c r="DQ9">
        <v>2.2000000007999998</v>
      </c>
      <c r="DR9">
        <v>2.2000000007999998</v>
      </c>
      <c r="DS9">
        <v>2.0999999997000001</v>
      </c>
      <c r="DT9">
        <v>2.0000000004</v>
      </c>
      <c r="DU9">
        <v>1.400000001</v>
      </c>
      <c r="DV9">
        <v>0.90000000089999999</v>
      </c>
      <c r="DW9">
        <v>0.40000000079999998</v>
      </c>
      <c r="DX9">
        <v>5.1000000002999997</v>
      </c>
      <c r="DY9">
        <v>12.3999999996</v>
      </c>
      <c r="DZ9">
        <v>18.700000000500001</v>
      </c>
      <c r="EA9">
        <v>26.200000000199999</v>
      </c>
      <c r="EB9">
        <v>32.999999999400004</v>
      </c>
      <c r="EC9">
        <v>40.9</v>
      </c>
      <c r="ED9">
        <v>48.1</v>
      </c>
      <c r="EE9">
        <v>55.800000000099999</v>
      </c>
      <c r="EF9">
        <v>63.299999999800001</v>
      </c>
      <c r="EG9">
        <v>70.499999999799996</v>
      </c>
      <c r="EH9">
        <v>78.400000000299997</v>
      </c>
      <c r="EI9">
        <v>86.400000000099993</v>
      </c>
      <c r="EJ9">
        <v>94.600000000400001</v>
      </c>
      <c r="EK9">
        <v>102.6000000002</v>
      </c>
      <c r="EL9">
        <v>110.8000000004</v>
      </c>
      <c r="EM9">
        <v>119.09999999990001</v>
      </c>
      <c r="EN9">
        <v>127.2000000008</v>
      </c>
      <c r="EO9">
        <v>135.400000001</v>
      </c>
      <c r="EP9">
        <v>144.2999999999</v>
      </c>
      <c r="EQ9">
        <v>152.2000000004</v>
      </c>
      <c r="ER9">
        <v>160.90000000079999</v>
      </c>
      <c r="ES9">
        <v>169.2999999996</v>
      </c>
      <c r="ET9">
        <v>177.10000000080001</v>
      </c>
      <c r="EU9">
        <v>185.10000000060001</v>
      </c>
      <c r="EV9">
        <v>193.69999999980001</v>
      </c>
      <c r="EW9">
        <v>202.00000000110001</v>
      </c>
      <c r="EX9">
        <v>210.50000000099999</v>
      </c>
      <c r="EY9">
        <v>218.69999999940001</v>
      </c>
      <c r="EZ9">
        <v>226.5000000007</v>
      </c>
      <c r="FA9">
        <v>234.80000000019999</v>
      </c>
      <c r="FB9">
        <v>242.70000000069999</v>
      </c>
      <c r="FC9">
        <v>250.59999999940001</v>
      </c>
      <c r="FD9">
        <v>258.40000000060002</v>
      </c>
      <c r="FE9">
        <v>266.40000000039998</v>
      </c>
      <c r="FF9">
        <v>274.10000000050002</v>
      </c>
      <c r="FG9">
        <v>281.60000000029999</v>
      </c>
      <c r="FH9">
        <v>289.20000000110002</v>
      </c>
      <c r="FI9">
        <v>297.09999999979999</v>
      </c>
      <c r="FJ9">
        <v>304.70000000060003</v>
      </c>
      <c r="FK9">
        <v>311.90000000060002</v>
      </c>
      <c r="FL9">
        <v>318.99999999950001</v>
      </c>
      <c r="FM9">
        <v>325.60000000010001</v>
      </c>
      <c r="FN9">
        <v>332.5999999997</v>
      </c>
      <c r="FO9">
        <v>339.40000000079999</v>
      </c>
      <c r="FP9">
        <v>346.30000000109999</v>
      </c>
      <c r="FQ9">
        <v>353.50000000109998</v>
      </c>
      <c r="FR9">
        <v>360.30000000029997</v>
      </c>
      <c r="FS9">
        <v>366.59999999939998</v>
      </c>
      <c r="FT9">
        <v>373.10000000069999</v>
      </c>
      <c r="FU9">
        <v>379.00000000080001</v>
      </c>
      <c r="FV9">
        <v>385.00000000019998</v>
      </c>
      <c r="FW9">
        <v>390.9000000003</v>
      </c>
      <c r="FX9">
        <v>397.10000000010001</v>
      </c>
      <c r="FY9">
        <v>403.7000000008</v>
      </c>
      <c r="FZ9">
        <v>409.20000000009998</v>
      </c>
      <c r="GA9">
        <v>414.80000000050001</v>
      </c>
      <c r="GB9">
        <v>420.29999999979998</v>
      </c>
      <c r="GC9">
        <v>425.40000000010002</v>
      </c>
      <c r="GD9">
        <v>430.50000000040001</v>
      </c>
      <c r="GE9">
        <v>435.4000000003</v>
      </c>
      <c r="GF9">
        <v>440.50000000059998</v>
      </c>
      <c r="GG9">
        <v>445.70000000020002</v>
      </c>
      <c r="GH9">
        <v>450.30000000040002</v>
      </c>
      <c r="GI9">
        <v>454.10000000079998</v>
      </c>
      <c r="GJ9">
        <v>457.09999999960002</v>
      </c>
      <c r="GK9">
        <v>458.09999999979999</v>
      </c>
      <c r="GL9">
        <v>458.09999999979999</v>
      </c>
      <c r="GM9">
        <v>458.09999999979999</v>
      </c>
      <c r="GN9">
        <v>458.09999999979999</v>
      </c>
      <c r="GO9">
        <v>458.30000000019999</v>
      </c>
      <c r="GP9">
        <v>458.09999999979999</v>
      </c>
      <c r="GQ9">
        <v>458.39999999949998</v>
      </c>
      <c r="GR9">
        <v>458.39999999949998</v>
      </c>
      <c r="GS9">
        <v>458.39999999949998</v>
      </c>
      <c r="GT9">
        <v>458.20000000089999</v>
      </c>
      <c r="GU9">
        <v>458.30000000019999</v>
      </c>
      <c r="GV9">
        <v>458.30000000019999</v>
      </c>
      <c r="GW9">
        <v>1</v>
      </c>
      <c r="GX9">
        <v>113.60000000060001</v>
      </c>
      <c r="GY9">
        <v>112.6000000004</v>
      </c>
      <c r="GZ9">
        <v>112.6000000004</v>
      </c>
      <c r="HA9">
        <v>119.09999999990001</v>
      </c>
      <c r="HB9">
        <v>114.2427246948</v>
      </c>
      <c r="HC9">
        <v>-6.4999999995</v>
      </c>
      <c r="HD9">
        <v>458.30000000019999</v>
      </c>
      <c r="HE9">
        <v>294.07856675379998</v>
      </c>
      <c r="HF9">
        <v>100.6571553233</v>
      </c>
      <c r="HG9">
        <v>458.50000000059998</v>
      </c>
      <c r="HH9">
        <v>458.39999999949998</v>
      </c>
      <c r="HI9">
        <v>458.50000000059998</v>
      </c>
      <c r="HJ9">
        <v>458.39999999949998</v>
      </c>
      <c r="HK9">
        <v>117.3020527859</v>
      </c>
      <c r="HL9">
        <v>3.3355140950000002</v>
      </c>
      <c r="HM9">
        <v>3.2629920860000001</v>
      </c>
      <c r="HN9">
        <v>3.3061086133000002</v>
      </c>
      <c r="HO9">
        <v>3.1322049880999998</v>
      </c>
      <c r="HP9">
        <v>3.5113573766999999</v>
      </c>
      <c r="HQ9">
        <v>2.2957876035</v>
      </c>
      <c r="HR9">
        <v>13.5855693716</v>
      </c>
      <c r="HS9">
        <v>-30.4985337243</v>
      </c>
      <c r="HT9">
        <v>-208</v>
      </c>
      <c r="HU9">
        <v>408.32129144869998</v>
      </c>
      <c r="HV9">
        <v>91.495601172999997</v>
      </c>
      <c r="HW9">
        <v>624</v>
      </c>
      <c r="HX9">
        <v>13.5855693716</v>
      </c>
      <c r="HY9">
        <v>-30.4985337243</v>
      </c>
      <c r="HZ9">
        <v>-208</v>
      </c>
      <c r="IA9">
        <v>408.32129144869998</v>
      </c>
      <c r="IB9">
        <v>91.495601172999997</v>
      </c>
      <c r="IC9">
        <v>624</v>
      </c>
      <c r="ID9">
        <v>50.078708550800002</v>
      </c>
      <c r="IE9">
        <v>0.50061082030000004</v>
      </c>
      <c r="IF9">
        <v>-39.8826979472</v>
      </c>
      <c r="IG9">
        <v>-272</v>
      </c>
      <c r="IH9">
        <v>430.02810863910003</v>
      </c>
      <c r="II9">
        <v>100.87976539589999</v>
      </c>
      <c r="IJ9">
        <v>688</v>
      </c>
      <c r="IK9">
        <v>394.73572207709998</v>
      </c>
      <c r="IL9">
        <v>121.9941348974</v>
      </c>
      <c r="IM9">
        <v>419.2969458988</v>
      </c>
      <c r="IN9">
        <v>131.37829912020001</v>
      </c>
      <c r="IO9">
        <v>7.2999999992999998</v>
      </c>
      <c r="IP9">
        <v>5.6000000003999997</v>
      </c>
      <c r="IQ9">
        <v>8.8999999989000003</v>
      </c>
      <c r="IR9">
        <v>5.5943313609</v>
      </c>
      <c r="IS9">
        <v>5.5943313609</v>
      </c>
      <c r="IT9">
        <v>5.9000000001000004</v>
      </c>
      <c r="IU9">
        <v>-32.844574780099997</v>
      </c>
      <c r="IV9">
        <v>8.6000000009999997</v>
      </c>
      <c r="IW9">
        <v>89.149560117299998</v>
      </c>
      <c r="IX9">
        <v>7.4000000004000004</v>
      </c>
      <c r="IY9">
        <v>96.187683284499997</v>
      </c>
      <c r="IZ9">
        <v>-34.702838325000002</v>
      </c>
      <c r="JA9">
        <v>0.33378298989999999</v>
      </c>
      <c r="JB9">
        <v>-3.345965E-4</v>
      </c>
      <c r="JC9">
        <v>6.7159999999999995E-7</v>
      </c>
      <c r="JD9">
        <v>0.29980385980000002</v>
      </c>
      <c r="JE9">
        <v>0.27025558030000002</v>
      </c>
      <c r="JF9">
        <v>9.9736603899999998E-2</v>
      </c>
      <c r="JG9">
        <v>114.4533457699</v>
      </c>
      <c r="JH9">
        <v>3.5113573766999999</v>
      </c>
      <c r="JI9">
        <v>3.0012394999999999E-3</v>
      </c>
      <c r="JJ9">
        <v>-7.0269400000000002E-5</v>
      </c>
      <c r="JK9">
        <v>3.3355140950000002</v>
      </c>
      <c r="JL9">
        <v>1.4383994544000001</v>
      </c>
      <c r="JM9">
        <v>0.5410040102</v>
      </c>
      <c r="JN9" t="s">
        <v>538</v>
      </c>
      <c r="JQ9">
        <v>1</v>
      </c>
    </row>
    <row r="10" spans="1:277">
      <c r="A10" t="s">
        <v>633</v>
      </c>
      <c r="B10" t="s">
        <v>634</v>
      </c>
      <c r="C10" t="s">
        <v>212</v>
      </c>
      <c r="D10">
        <v>3</v>
      </c>
      <c r="E10" t="s">
        <v>213</v>
      </c>
      <c r="F10" t="s">
        <v>214</v>
      </c>
      <c r="G10" t="s">
        <v>537</v>
      </c>
      <c r="H10" t="s">
        <v>216</v>
      </c>
      <c r="J10" t="s">
        <v>600</v>
      </c>
      <c r="K10" t="s">
        <v>601</v>
      </c>
      <c r="L10" t="s">
        <v>602</v>
      </c>
      <c r="M10" t="s">
        <v>603</v>
      </c>
      <c r="N10" t="s">
        <v>604</v>
      </c>
      <c r="O10">
        <v>0</v>
      </c>
      <c r="P10">
        <v>0</v>
      </c>
      <c r="Q10">
        <v>0</v>
      </c>
      <c r="R10">
        <v>0.50000000010000001</v>
      </c>
      <c r="S10">
        <v>0.29999999970000002</v>
      </c>
      <c r="T10">
        <v>0.39999999899999999</v>
      </c>
      <c r="U10">
        <v>0.29999999970000002</v>
      </c>
      <c r="V10">
        <v>0.50000000010000001</v>
      </c>
      <c r="W10">
        <v>0.39999999899999999</v>
      </c>
      <c r="X10">
        <v>0.50000000010000001</v>
      </c>
      <c r="Y10">
        <v>0.59999999940000004</v>
      </c>
      <c r="Z10">
        <v>0.50000000010000001</v>
      </c>
      <c r="AA10">
        <v>0.69999999869999996</v>
      </c>
      <c r="AB10">
        <v>0.69999999869999996</v>
      </c>
      <c r="AC10">
        <v>0.69999999869999996</v>
      </c>
      <c r="AD10">
        <v>0.79999999980000003</v>
      </c>
      <c r="AE10">
        <v>0.79999999980000003</v>
      </c>
      <c r="AF10">
        <v>0.89999999909999995</v>
      </c>
      <c r="AG10">
        <v>2.8999999994999999</v>
      </c>
      <c r="AH10">
        <v>5.9999999994</v>
      </c>
      <c r="AI10">
        <v>9.3999999990000003</v>
      </c>
      <c r="AJ10">
        <v>16.2</v>
      </c>
      <c r="AK10">
        <v>22.9999999992</v>
      </c>
      <c r="AL10">
        <v>30.399999999599999</v>
      </c>
      <c r="AM10">
        <v>38.299999998300002</v>
      </c>
      <c r="AN10">
        <v>45.799999999900002</v>
      </c>
      <c r="AO10">
        <v>53.699999998599999</v>
      </c>
      <c r="AP10">
        <v>60.799999999299999</v>
      </c>
      <c r="AQ10">
        <v>68.5999999987</v>
      </c>
      <c r="AR10">
        <v>76.399999999900004</v>
      </c>
      <c r="AS10">
        <v>84.899999999800002</v>
      </c>
      <c r="AT10">
        <v>92.999999998899995</v>
      </c>
      <c r="AU10">
        <v>101.2999999984</v>
      </c>
      <c r="AV10">
        <v>109.0999999997</v>
      </c>
      <c r="AW10">
        <v>117.9999999986</v>
      </c>
      <c r="AX10">
        <v>126.8</v>
      </c>
      <c r="AY10">
        <v>135.49999999849999</v>
      </c>
      <c r="AZ10">
        <v>144.0999999995</v>
      </c>
      <c r="BA10">
        <v>152.39999999899999</v>
      </c>
      <c r="BB10">
        <v>160.6999999985</v>
      </c>
      <c r="BC10">
        <v>168.99999999990001</v>
      </c>
      <c r="BD10">
        <v>177.4999999998</v>
      </c>
      <c r="BE10">
        <v>185.89999999860001</v>
      </c>
      <c r="BF10">
        <v>194.39999999849999</v>
      </c>
      <c r="BG10">
        <v>203.0999999988</v>
      </c>
      <c r="BH10">
        <v>211.1999999997</v>
      </c>
      <c r="BI10">
        <v>219.79999999890001</v>
      </c>
      <c r="BJ10">
        <v>227.29999999859999</v>
      </c>
      <c r="BK10">
        <v>235.89999999969999</v>
      </c>
      <c r="BL10">
        <v>244.2999999985</v>
      </c>
      <c r="BM10">
        <v>252.49999999869999</v>
      </c>
      <c r="BN10">
        <v>260.39999999920002</v>
      </c>
      <c r="BO10">
        <v>268.59999999939998</v>
      </c>
      <c r="BP10">
        <v>276.09999999910002</v>
      </c>
      <c r="BQ10">
        <v>283.89999999849999</v>
      </c>
      <c r="BR10">
        <v>291.99999999950001</v>
      </c>
      <c r="BS10">
        <v>299.59999999849998</v>
      </c>
      <c r="BT10">
        <v>307.39999999970001</v>
      </c>
      <c r="BU10">
        <v>314.699999999</v>
      </c>
      <c r="BV10">
        <v>322.09999999939998</v>
      </c>
      <c r="BW10">
        <v>329.09999999899998</v>
      </c>
      <c r="BX10">
        <v>336.59999999870001</v>
      </c>
      <c r="BY10">
        <v>343.8999999998</v>
      </c>
      <c r="BZ10">
        <v>350.89999999949998</v>
      </c>
      <c r="CA10">
        <v>357.69999999869998</v>
      </c>
      <c r="CB10">
        <v>364.39999999859998</v>
      </c>
      <c r="CC10">
        <v>371.19999999959998</v>
      </c>
      <c r="CD10">
        <v>377.3000000001</v>
      </c>
      <c r="CE10">
        <v>383.8999999989</v>
      </c>
      <c r="CF10">
        <v>390.5999999988</v>
      </c>
      <c r="CG10">
        <v>396.79999999860001</v>
      </c>
      <c r="CH10">
        <v>403.19999999880002</v>
      </c>
      <c r="CI10">
        <v>409.39999999859998</v>
      </c>
      <c r="CJ10">
        <v>414.9999999991</v>
      </c>
      <c r="CK10">
        <v>420.99999999850002</v>
      </c>
      <c r="CL10">
        <v>426.59999999889999</v>
      </c>
      <c r="CM10">
        <v>432.29999999860001</v>
      </c>
      <c r="CN10">
        <v>437.79999999969999</v>
      </c>
      <c r="CO10">
        <v>443.69999999980001</v>
      </c>
      <c r="CP10">
        <v>449.09999999979999</v>
      </c>
      <c r="CQ10">
        <v>454.49999999980002</v>
      </c>
      <c r="CR10">
        <v>458.99999999890002</v>
      </c>
      <c r="CS10">
        <v>460.19999999949999</v>
      </c>
      <c r="CT10">
        <v>460.19999999949999</v>
      </c>
      <c r="CU10">
        <v>460.29999999879999</v>
      </c>
      <c r="CV10">
        <v>460.29999999879999</v>
      </c>
      <c r="CW10">
        <v>460.29999999879999</v>
      </c>
      <c r="CX10">
        <v>460.29999999879999</v>
      </c>
      <c r="CY10">
        <v>460.39999999989999</v>
      </c>
      <c r="CZ10">
        <v>460.29999999879999</v>
      </c>
      <c r="DA10">
        <v>460.39999999989999</v>
      </c>
      <c r="DB10">
        <v>460.29999999879999</v>
      </c>
      <c r="DC10">
        <v>460.39999999989999</v>
      </c>
      <c r="DD10">
        <v>460.39999999989999</v>
      </c>
      <c r="DE10">
        <v>460.39999999989999</v>
      </c>
      <c r="DF10">
        <v>460.39999999989999</v>
      </c>
      <c r="DG10">
        <v>0.99999999839999998</v>
      </c>
      <c r="DH10">
        <v>1.4999999985000001</v>
      </c>
      <c r="DI10">
        <v>1.5999999996000001</v>
      </c>
      <c r="DJ10">
        <v>1.5999999996000001</v>
      </c>
      <c r="DK10">
        <v>1.5999999996000001</v>
      </c>
      <c r="DL10">
        <v>1.5999999996000001</v>
      </c>
      <c r="DM10">
        <v>1.5999999996000001</v>
      </c>
      <c r="DN10">
        <v>1.6999999989000001</v>
      </c>
      <c r="DO10">
        <v>1.5999999996000001</v>
      </c>
      <c r="DP10">
        <v>1.4999999985000001</v>
      </c>
      <c r="DQ10">
        <v>1.5999999996000001</v>
      </c>
      <c r="DR10">
        <v>1.8</v>
      </c>
      <c r="DS10">
        <v>1.6999999989000001</v>
      </c>
      <c r="DT10">
        <v>1.6999999989000001</v>
      </c>
      <c r="DU10">
        <v>1.5999999996000001</v>
      </c>
      <c r="DV10">
        <v>1.8999999993000001</v>
      </c>
      <c r="DW10">
        <v>5.4</v>
      </c>
      <c r="DX10">
        <v>8.8999999989000003</v>
      </c>
      <c r="DY10">
        <v>14.199999999599999</v>
      </c>
      <c r="DZ10">
        <v>21.0999999999</v>
      </c>
      <c r="EA10">
        <v>28.599999999600001</v>
      </c>
      <c r="EB10">
        <v>36.199999998599999</v>
      </c>
      <c r="EC10">
        <v>43.899999998799998</v>
      </c>
      <c r="ED10">
        <v>51.4999999996</v>
      </c>
      <c r="EE10">
        <v>58.799999998899999</v>
      </c>
      <c r="EF10">
        <v>66.699999999400006</v>
      </c>
      <c r="EG10">
        <v>74.099999999800005</v>
      </c>
      <c r="EH10">
        <v>82.499999998600003</v>
      </c>
      <c r="EI10">
        <v>90.5999999995</v>
      </c>
      <c r="EJ10">
        <v>98.699999998600006</v>
      </c>
      <c r="EK10">
        <v>106.59999999919999</v>
      </c>
      <c r="EL10">
        <v>114.9999999998</v>
      </c>
      <c r="EM10">
        <v>123.7000000001</v>
      </c>
      <c r="EN10">
        <v>132.7000000001</v>
      </c>
      <c r="EO10">
        <v>141.39999999860001</v>
      </c>
      <c r="EP10">
        <v>150.19999999999999</v>
      </c>
      <c r="EQ10">
        <v>158.1999999999</v>
      </c>
      <c r="ER10">
        <v>166.79999999910001</v>
      </c>
      <c r="ES10">
        <v>174.69999999960001</v>
      </c>
      <c r="ET10">
        <v>183.39999999989999</v>
      </c>
      <c r="EU10">
        <v>191.9999999991</v>
      </c>
      <c r="EV10">
        <v>200.60000000010001</v>
      </c>
      <c r="EW10">
        <v>208.8999999996</v>
      </c>
      <c r="EX10">
        <v>217.29999999840001</v>
      </c>
      <c r="EY10">
        <v>225.39999999939999</v>
      </c>
      <c r="EZ10">
        <v>233.59999999959999</v>
      </c>
      <c r="FA10">
        <v>242.39999999919999</v>
      </c>
      <c r="FB10">
        <v>250.59999999940001</v>
      </c>
      <c r="FC10">
        <v>258.49999999990001</v>
      </c>
      <c r="FD10">
        <v>266.39999999859998</v>
      </c>
      <c r="FE10">
        <v>274.09999999870001</v>
      </c>
      <c r="FF10">
        <v>282.40000000010002</v>
      </c>
      <c r="FG10">
        <v>290.29999999879999</v>
      </c>
      <c r="FH10">
        <v>298.19999999930002</v>
      </c>
      <c r="FI10">
        <v>305.89999999939999</v>
      </c>
      <c r="FJ10">
        <v>313.29999999979998</v>
      </c>
      <c r="FK10">
        <v>320.49999999980002</v>
      </c>
      <c r="FL10">
        <v>327.40000000010002</v>
      </c>
      <c r="FM10">
        <v>334.9999999991</v>
      </c>
      <c r="FN10">
        <v>342.49999999879998</v>
      </c>
      <c r="FO10">
        <v>349.69999999880002</v>
      </c>
      <c r="FP10">
        <v>356.49999999990001</v>
      </c>
      <c r="FQ10">
        <v>363.19999999980001</v>
      </c>
      <c r="FR10">
        <v>370.2999999987</v>
      </c>
      <c r="FS10">
        <v>376.59999999960002</v>
      </c>
      <c r="FT10">
        <v>382.79999999939997</v>
      </c>
      <c r="FU10">
        <v>389.59999999860003</v>
      </c>
      <c r="FV10">
        <v>396.09999999989998</v>
      </c>
      <c r="FW10">
        <v>402.59999999939998</v>
      </c>
      <c r="FX10">
        <v>408.5999999988</v>
      </c>
      <c r="FY10">
        <v>414.19999999930002</v>
      </c>
      <c r="FZ10">
        <v>420.29999999979998</v>
      </c>
      <c r="GA10">
        <v>425.79999999910001</v>
      </c>
      <c r="GB10">
        <v>431.29999999839998</v>
      </c>
      <c r="GC10">
        <v>436.89999999880001</v>
      </c>
      <c r="GD10">
        <v>442.79999999889998</v>
      </c>
      <c r="GE10">
        <v>448.19999999890001</v>
      </c>
      <c r="GF10">
        <v>452.99999999950001</v>
      </c>
      <c r="GG10">
        <v>457.5999999997</v>
      </c>
      <c r="GH10">
        <v>459.8999999998</v>
      </c>
      <c r="GI10">
        <v>460.09999999839999</v>
      </c>
      <c r="GJ10">
        <v>460.09999999839999</v>
      </c>
      <c r="GK10">
        <v>460.09999999839999</v>
      </c>
      <c r="GL10">
        <v>460.19999999949999</v>
      </c>
      <c r="GM10">
        <v>460.19999999949999</v>
      </c>
      <c r="GN10">
        <v>459.9999999991</v>
      </c>
      <c r="GO10">
        <v>459.9999999991</v>
      </c>
      <c r="GP10">
        <v>460.19999999949999</v>
      </c>
      <c r="GQ10">
        <v>460.09999999839999</v>
      </c>
      <c r="GR10">
        <v>460.29999999879999</v>
      </c>
      <c r="GS10">
        <v>460.39999999989999</v>
      </c>
      <c r="GT10">
        <v>460.49999999919999</v>
      </c>
      <c r="GU10">
        <v>460.39999999989999</v>
      </c>
      <c r="GV10">
        <v>460.29999999879999</v>
      </c>
      <c r="GW10">
        <v>1</v>
      </c>
      <c r="GX10">
        <v>120.2999999987</v>
      </c>
      <c r="GY10">
        <v>117.9999999986</v>
      </c>
      <c r="GZ10">
        <v>117.9999999986</v>
      </c>
      <c r="HA10">
        <v>123.7000000001</v>
      </c>
      <c r="HB10">
        <v>119.49602562610001</v>
      </c>
      <c r="HC10">
        <v>-5.7000000015000003</v>
      </c>
      <c r="HD10">
        <v>460.30002171669997</v>
      </c>
      <c r="HE10">
        <v>311.48244108969999</v>
      </c>
      <c r="HF10">
        <v>96.182245628999993</v>
      </c>
      <c r="HG10">
        <v>460.49999999919999</v>
      </c>
      <c r="HH10">
        <v>460.49999999919999</v>
      </c>
      <c r="HI10">
        <v>460.39999999989999</v>
      </c>
      <c r="HJ10">
        <v>460.49999999919999</v>
      </c>
      <c r="HK10">
        <v>110.26392961880001</v>
      </c>
      <c r="HL10">
        <v>3.3766822281</v>
      </c>
      <c r="HM10">
        <v>3.3237904762000001</v>
      </c>
      <c r="HN10">
        <v>3.338164881</v>
      </c>
      <c r="HO10">
        <v>3.2987253192999999</v>
      </c>
      <c r="HP10">
        <v>3.5982134865000002</v>
      </c>
      <c r="HQ10">
        <v>2.2291713528999999</v>
      </c>
      <c r="HR10">
        <v>23.313779997099999</v>
      </c>
      <c r="HS10">
        <v>-28.152492668600001</v>
      </c>
      <c r="HT10">
        <v>-192</v>
      </c>
      <c r="HU10">
        <v>430.97846671569999</v>
      </c>
      <c r="HV10">
        <v>96.187683284499997</v>
      </c>
      <c r="HW10">
        <v>656</v>
      </c>
      <c r="HX10">
        <v>23.313779997099999</v>
      </c>
      <c r="HY10">
        <v>-28.152492668600001</v>
      </c>
      <c r="HZ10">
        <v>-192</v>
      </c>
      <c r="IA10">
        <v>430.97846671569999</v>
      </c>
      <c r="IB10">
        <v>96.187683284499997</v>
      </c>
      <c r="IC10">
        <v>656</v>
      </c>
      <c r="ID10">
        <v>29.521533283499998</v>
      </c>
      <c r="IE10">
        <v>2.9225323048999998</v>
      </c>
      <c r="IF10">
        <v>-37.536656891500002</v>
      </c>
      <c r="IG10">
        <v>-256</v>
      </c>
      <c r="IH10">
        <v>452.92038223430001</v>
      </c>
      <c r="II10">
        <v>105.57184750730001</v>
      </c>
      <c r="IJ10">
        <v>720</v>
      </c>
      <c r="IK10">
        <v>407.66468671870001</v>
      </c>
      <c r="IL10">
        <v>124.3401759531</v>
      </c>
      <c r="IM10">
        <v>433.05818221300001</v>
      </c>
      <c r="IN10">
        <v>133.724340176</v>
      </c>
      <c r="IO10">
        <v>6.9000000003000004</v>
      </c>
      <c r="IP10">
        <v>5.9000000001000004</v>
      </c>
      <c r="IQ10">
        <v>9</v>
      </c>
      <c r="IR10">
        <v>6.5973157204000001</v>
      </c>
      <c r="IS10">
        <v>6.5973157204000001</v>
      </c>
      <c r="IT10">
        <v>4.8999999999000003</v>
      </c>
      <c r="IU10">
        <v>-30.4985337243</v>
      </c>
      <c r="IV10">
        <v>6.4999999995</v>
      </c>
      <c r="IW10">
        <v>32.844574780099997</v>
      </c>
      <c r="IX10">
        <v>4.9999999991999999</v>
      </c>
      <c r="IY10">
        <v>100.87976539589999</v>
      </c>
      <c r="IZ10">
        <v>-35.619595656800001</v>
      </c>
      <c r="JA10">
        <v>0.3279078762</v>
      </c>
      <c r="JB10">
        <v>-3.2800679999999999E-4</v>
      </c>
      <c r="JC10">
        <v>6.3900000000000004E-7</v>
      </c>
      <c r="JD10">
        <v>0.29614868449999998</v>
      </c>
      <c r="JE10">
        <v>0.25645950709999998</v>
      </c>
      <c r="JF10">
        <v>0.10019428449999999</v>
      </c>
      <c r="JG10">
        <v>120.20285274690001</v>
      </c>
      <c r="JH10">
        <v>3.5982134865000002</v>
      </c>
      <c r="JI10">
        <v>2.5034384999999999E-3</v>
      </c>
      <c r="JJ10">
        <v>-6.6674900000000001E-5</v>
      </c>
      <c r="JK10">
        <v>3.3766822281</v>
      </c>
      <c r="JL10">
        <v>1.2401773131</v>
      </c>
      <c r="JM10">
        <v>0.53998666770000003</v>
      </c>
      <c r="JN10" t="s">
        <v>538</v>
      </c>
      <c r="JQ10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87.574576527299996</v>
      </c>
      <c r="D16" s="9">
        <f>AVERAGE(C18:C20)</f>
        <v>86.037355106166672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82.756449049400004</v>
      </c>
      <c r="D17" s="9">
        <f>AVERAGE(C21:C23)</f>
        <v>87.039457536833325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80.643582767699996</v>
      </c>
      <c r="D18" s="11">
        <f>AVERAGE(C24:C26)</f>
        <v>29.903885499699999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87.387238600800003</v>
      </c>
      <c r="D19" s="6">
        <f>AVERAGE('Summary(3pcs)'!E34:E35)</f>
        <v>145.6197879166879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90.081243950000001</v>
      </c>
      <c r="D20" s="9">
        <f>AVERAGE('Summary(3pcs)'!E36:E38)</f>
        <v>148.92642533070457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87.656112848000006</v>
      </c>
      <c r="D21" s="9">
        <f>AVERAGE('Summary(3pcs)'!E39:E41)</f>
        <v>143.41110131080455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82.996727531000005</v>
      </c>
      <c r="D22" s="11">
        <f>AVERAGE('Summary(3pcs)'!E42:E44)</f>
        <v>-65.518762183562103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90.465532231500006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77.711656499100002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6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6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5.2905432180999998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2.8746430357000001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4.0573808981999999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3.9239092288999999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7.5437951489000001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-2.5271585696000001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1.6624855645000001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0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4.0366190952250003</v>
      </c>
      <c r="C39" s="5">
        <f>'Summary(3pcs)'!M34</f>
        <v>5.2905432180999998</v>
      </c>
      <c r="D39" s="11">
        <f t="shared" si="0"/>
        <v>0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2.8746430357000001</v>
      </c>
      <c r="D40" s="6">
        <f t="shared" si="0"/>
        <v>0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4.0573808981999999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3.9239092288999999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1.66978053595</v>
      </c>
      <c r="C43" s="8">
        <f>'Summary(3pcs)'!M39</f>
        <v>7.5437951489000001</v>
      </c>
      <c r="D43" s="6">
        <f t="shared" ref="D43:D54" si="2">C55</f>
        <v>16.9583026468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-2.5271585696000001</v>
      </c>
      <c r="D44" s="9">
        <f t="shared" si="2"/>
        <v>-3.0231762876000001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1.6624855645000001</v>
      </c>
      <c r="D45" s="11">
        <f t="shared" si="2"/>
        <v>1.4203052945999999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0</v>
      </c>
      <c r="D46" s="6">
        <f t="shared" si="2"/>
        <v>-8.3390385404000007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0</v>
      </c>
      <c r="D47" s="9">
        <f t="shared" si="2"/>
        <v>-9.2588203813999996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0</v>
      </c>
      <c r="D48" s="11">
        <f t="shared" si="2"/>
        <v>-1.9901808795999996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3.0049364280000002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4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4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4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1.7540982783499999</v>
      </c>
      <c r="C55" s="5">
        <f>'Summary(3pcs)'!N34</f>
        <v>16.9583026468</v>
      </c>
      <c r="D55" s="6">
        <f>AVERAGE(D31:D33)</f>
        <v>4.0741890506666669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-3.0231762876000001</v>
      </c>
      <c r="D56" s="9">
        <f>AVERAGE(D34:D36)</f>
        <v>2.9801819360666664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1.4203052945999999</v>
      </c>
      <c r="D57" s="9">
        <f>AVERAGE(D37:D39)</f>
        <v>0.55416185483333336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-8.3390385404000007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-1.0610162082499999</v>
      </c>
      <c r="C59" s="8">
        <f>'Summary(3pcs)'!N39</f>
        <v>-9.2588203813999996</v>
      </c>
      <c r="D59" s="9">
        <f>AVERAGE(D43:D45)</f>
        <v>5.1184772179333331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-1.9901808795999996</v>
      </c>
      <c r="D60" s="9">
        <f>AVERAGE(D46:D48)</f>
        <v>-6.5293466004666669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3.0049364280000002</v>
      </c>
      <c r="D61" s="9">
        <f>AVERAGE(D49:D51)</f>
        <v>3.6683121426666667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4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4</v>
      </c>
      <c r="D63" s="6">
        <f>AVERAGE(C71:C73)</f>
        <v>-5.0759467283666666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4</v>
      </c>
      <c r="D64" s="9">
        <f>AVERAGE(C74:C76)</f>
        <v>-2.5887212355666667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7.562383013333325E-2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-6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-3.4485639730666668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-1.3150505423333334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0.24198065200000007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-3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-8.8014793396000002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-8.3550612926000003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1.9287004470999998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-2.6077404022000001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-0.41563987730000029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-4.7427834272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0.47565937039999984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4.0505208969000002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-4.2993087769000002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-6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-6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-6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1.4604301453000001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-5.8174629211000006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-5.9886591433999996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-0.97196769710000019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-0.69533443449999988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-2.2778494953999999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-3.2565204501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0.10595417019999998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3.8765082359000003</v>
      </c>
    </row>
    <row r="96" spans="1:7">
      <c r="A96" s="1" t="s">
        <v>87</v>
      </c>
      <c r="C96" s="5">
        <f>'Summary(3pcs)'!W43</f>
        <v>-3</v>
      </c>
    </row>
    <row r="97" spans="1:3">
      <c r="A97" s="1" t="s">
        <v>87</v>
      </c>
      <c r="C97" s="8">
        <f>'Summary(3pcs)'!W44</f>
        <v>-3</v>
      </c>
    </row>
    <row r="98" spans="1:3" ht="17.25" thickBot="1">
      <c r="A98" s="1" t="s">
        <v>87</v>
      </c>
      <c r="C98" s="10">
        <f>'Summary(3pcs)'!W45</f>
        <v>-3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2022-09-23T11:45:46Z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