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<sst xmlns="http://schemas.openxmlformats.org/spreadsheetml/2006/main" count="1473" uniqueCount="710">
  <si>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</si>
  <si>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</si>
  <si>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</si>
  <si>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</si>
  <si>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</si>
  <si>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</si>
  <si>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</si>
  <si>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</si>
  <si>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</si>
  <si>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</si>
  <si>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</si>
  <si>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</si>
  <si>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</si>
  <si>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</si>
  <si>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</si>
  <si>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</si>
  <si>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</si>
  <si>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</si>
  <si>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</si>
  <si>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</si>
  <si>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</si>
  <si>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</si>
  <si>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</si>
  <si>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</si>
  <si>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</si>
  <si>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</si>
  <si>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</si>
  <si>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</si>
  <si>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</si>
  <si>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</si>
  <si>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</si>
  <si>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</si>
  <si>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</si>
  <si>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</si>
  <si>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</si>
  <si>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</si>
  <si>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</si>
  <si>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</si>
  <si>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</si>
  <si>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</si>
  <si>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</si>
  <si>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</si>
  <si>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</si>
  <si>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</si>
  <si>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</si>
  <si>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</si>
  <si>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</si>
  <si>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</si>
  <si>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</si>
  <si>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</si>
  <si>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</si>
  <si>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</si>
  <si>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</si>
  <si>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</si>
  <si>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</si>
  <si>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</si>
  <si>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</si>
  <si>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</si>
  <si>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</si>
  <si>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</si>
  <si>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</si>
  <si>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</si>
  <si>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</si>
  <si>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</si>
  <si>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</si>
  <si>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</si>
  <si>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</si>
  <si>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</si>
  <si>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</si>
  <si>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</si>
  <si>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</si>
  <si>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</si>
  <si>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</si>
  <si>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</si>
  <si>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</si>
  <si>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</si>
  <si>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</si>
  <si>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</si>
  <si>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</si>
  <si>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</si>
  <si>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</si>
  <si>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</si>
  <si>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</si>
  <si>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</si>
  <si>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</si>
  <si>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</si>
  <si>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</si>
  <si>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</si>
  <si>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</si>
  <si>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</si>
  <si>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</si>
  <si>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</si>
  <si>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</si>
  <si>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</si>
  <si>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</si>
  <si>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</si>
  <si>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</si>
  <si>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</si>
  <si>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</si>
  <si>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</si>
  <si>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</si>
  <si>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</si>
  <si>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</si>
  <si>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</si>
  <si>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</si>
  <si>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</si>
  <si>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</si>
  <si>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</si>
  <si>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</si>
  <si>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</si>
  <si>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</si>
  <si>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</si>
  <si>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</si>
  <si>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</si>
  <si>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</si>
  <si>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</si>
  <si>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</si>
  <si>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</si>
  <si>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</si>
  <si>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</si>
  <si>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</si>
  <si>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</si>
  <si>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</si>
  <si>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</si>
  <si>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</si>
  <si>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</si>
  <si>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</si>
  <si>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</si>
  <si>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</si>
  <si>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</si>
  <si>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</si>
  <si>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</si>
  <si>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</si>
  <si>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</si>
  <si>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</si>
  <si>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</si>
  <si>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</si>
  <si>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</si>
  <si>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</si>
  <si>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</si>
  <si>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</si>
  <si>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</si>
  <si>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</si>
  <si>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</si>
  <si>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</si>
  <si>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</si>
  <si>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</si>
  <si>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</si>
  <si>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</si>
  <si>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</si>
  <si>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</si>
  <si>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</si>
  <si>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</si>
  <si>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</si>
  <si>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</si>
  <si>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</si>
  <si>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</si>
  <si>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MS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</si>
  <si>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</si>
  <si>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</si>
  <si>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</si>
  <si>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</si>
  <si>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</si>
  <si>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</si>
  <si>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</si>
  <si>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</si>
  <si>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</si>
  <si>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</si>
  <si>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</si>
  <si>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</si>
  <si>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</si>
  <si>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</si>
  <si>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</si>
  <si>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</si>
  <si>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</si>
  <si>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</si>
  <si>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</si>
  <si>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</si>
  <si>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</si>
  <si>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</si>
  <si>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</si>
  <si>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</si>
  <si>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</si>
  <si>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</si>
  <si>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</si>
  <si>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</si>
  <si>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</si>
  <si>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</si>
  <si>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</si>
  <si>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</si>
  <si>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</si>
  <si>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</si>
  <si>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</si>
  <si>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</si>
  <si>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</si>
  <si>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</si>
  <si>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</si>
  <si>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</si>
  <si>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</si>
  <si>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</si>
  <si>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</si>
  <si>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</si>
  <si>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</si>
  <si>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</si>
  <si>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</si>
  <si>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</si>
  <si>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</si>
  <si>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</si>
  <si>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</si>
  <si>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VCMLEBC040A</t>
  </si>
  <si>
    <t>DB_M_C2001</t>
  </si>
  <si>
    <t>220217A</t>
  </si>
  <si>
    <t>EPSSWEXCEPTION_POR_R22A_OC_MFG_C20_22051701_5d43eac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</si>
  <si>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</si>
  <si>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</si>
  <si>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</si>
  <si>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</si>
  <si>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</si>
  <si>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</si>
  <si>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</si>
  <si>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</si>
  <si>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</si>
  <si>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</si>
  <si>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</si>
  <si>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</si>
  <si>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</si>
  <si>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</si>
  <si>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</si>
  <si>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</si>
  <si>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</si>
  <si>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</si>
  <si>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</si>
  <si>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</si>
  <si>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</si>
  <si>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</si>
  <si>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</si>
  <si>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</si>
  <si>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</si>
  <si>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</si>
  <si>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</si>
  <si>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</si>
  <si>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</si>
  <si>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</si>
  <si>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</si>
  <si>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</si>
  <si>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</si>
  <si>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</si>
  <si>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</si>
  <si>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</si>
  <si>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</si>
  <si>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</si>
  <si>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</si>
  <si>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</si>
  <si>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</si>
  <si>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</si>
  <si>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</si>
  <si>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</si>
  <si>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</si>
  <si>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</si>
  <si>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</si>
  <si>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</si>
  <si>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</si>
  <si>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</si>
  <si>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</si>
  <si>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</si>
  <si>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</si>
  <si>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</si>
  <si>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</si>
  <si>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</si>
  <si>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</si>
  <si>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</si>
  <si>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</si>
  <si>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</si>
  <si>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</si>
  <si>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</si>
  <si>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</si>
  <si>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</si>
  <si>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</si>
  <si>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</si>
  <si>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</si>
  <si>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</si>
  <si>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</si>
  <si>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</si>
  <si>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</si>
  <si>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</si>
  <si>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</si>
  <si>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</si>
  <si>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</si>
  <si>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</si>
  <si>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</si>
  <si>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</si>
  <si>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</si>
  <si>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</si>
  <si>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</si>
  <si>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</si>
  <si>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</si>
  <si>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</si>
  <si>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</si>
  <si>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</si>
  <si>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</si>
  <si>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</si>
  <si>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</si>
  <si>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</si>
  <si>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</si>
  <si>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</si>
  <si>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</si>
  <si>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</si>
  <si>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</si>
  <si>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</si>
  <si>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</si>
  <si>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</si>
  <si>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</si>
  <si>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</si>
  <si>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</si>
  <si>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</si>
  <si>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</si>
  <si>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</si>
  <si>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</si>
  <si>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</si>
  <si>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</si>
  <si>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</si>
  <si>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</si>
  <si>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</si>
  <si>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</si>
  <si>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</si>
  <si>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</si>
  <si>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</si>
  <si>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</si>
  <si>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</si>
  <si>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</si>
  <si>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</si>
  <si>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</si>
  <si>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</si>
  <si>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</si>
  <si>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</si>
  <si>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</si>
  <si>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</si>
  <si>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</si>
  <si>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</si>
  <si>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</si>
  <si>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</si>
  <si>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</si>
  <si>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</si>
  <si>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</si>
  <si>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</si>
  <si>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</si>
  <si>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</si>
  <si>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</si>
  <si>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</si>
  <si>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</si>
  <si>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</si>
  <si>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</si>
  <si>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</si>
  <si>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</si>
  <si>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</si>
  <si>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</si>
  <si>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</si>
  <si>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</si>
  <si>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</si>
  <si>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</si>
  <si>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</si>
  <si>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</si>
  <si>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</si>
  <si>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</si>
  <si>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</si>
  <si>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</si>
  <si>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</si>
  <si>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</si>
  <si>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</si>
  <si>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</si>
  <si>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</si>
  <si>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</si>
  <si>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</si>
  <si>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</si>
  <si>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</si>
  <si>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</si>
  <si>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</si>
  <si>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</si>
  <si>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</si>
  <si>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</si>
  <si>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</si>
  <si>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</si>
  <si>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</si>
  <si>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</si>
  <si>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</si>
  <si>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</si>
  <si>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</si>
  <si>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</si>
  <si>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</si>
  <si>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</si>
  <si>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</si>
  <si>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</si>
  <si>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</si>
  <si>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</si>
  <si>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</si>
  <si>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</si>
  <si>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</si>
  <si>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</si>
  <si>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</si>
  <si>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</si>
  <si>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</si>
  <si>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</si>
  <si>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</si>
  <si>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</si>
  <si>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</si>
  <si>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</si>
  <si>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</si>
  <si>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</si>
  <si>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</si>
  <si>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</si>
  <si>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</si>
  <si>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</si>
  <si>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</si>
  <si>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</si>
  <si>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</si>
  <si>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</si>
  <si>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</si>
  <si>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</si>
  <si>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</si>
  <si>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</si>
  <si>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</si>
  <si>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</si>
  <si>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</si>
  <si>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</si>
  <si>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</si>
  <si>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</si>
  <si>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</si>
  <si>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</si>
  <si>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</si>
  <si>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</si>
  <si>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</si>
  <si>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</si>
  <si>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</si>
  <si>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</si>
  <si>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</si>
  <si>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</si>
  <si>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</si>
  <si>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</si>
  <si>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</si>
  <si>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</si>
  <si>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</si>
  <si>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</si>
  <si>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</si>
  <si>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</si>
  <si>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</si>
  <si>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</si>
  <si>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</si>
  <si>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</si>
  <si>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</si>
  <si>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</si>
  <si>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</si>
  <si>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</si>
  <si>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</si>
  <si>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</si>
  <si>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</si>
  <si>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</si>
  <si>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</si>
  <si>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</si>
  <si>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</si>
  <si>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</si>
  <si>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</si>
  <si>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</si>
  <si>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</si>
  <si>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</si>
  <si>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</si>
  <si>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</si>
  <si>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</si>
  <si>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</si>
  <si>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</si>
  <si>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</si>
  <si>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</si>
  <si>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</si>
  <si>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</si>
  <si>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</si>
  <si>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</si>
  <si>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</si>
  <si>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</si>
  <si>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</si>
  <si>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</si>
  <si>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</si>
  <si>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</si>
  <si>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</si>
  <si>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</si>
  <si>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</si>
  <si>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</si>
  <si>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</si>
  <si>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</si>
  <si>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</si>
  <si>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</si>
  <si>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</si>
  <si>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</si>
  <si>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</si>
  <si>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</si>
  <si>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</si>
  <si>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</si>
  <si>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</si>
  <si>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</si>
  <si>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</si>
  <si>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</si>
  <si>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</si>
  <si>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</si>
  <si>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</si>
  <si>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</si>
  <si>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</si>
  <si>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</si>
  <si>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</si>
  <si>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</si>
  <si>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</si>
  <si>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</si>
  <si>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</si>
  <si>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</si>
  <si>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</si>
  <si>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</si>
  <si>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</si>
  <si>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</si>
  <si>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</si>
  <si>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</si>
  <si>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</si>
  <si>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</si>
  <si>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</si>
  <si>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</si>
  <si>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</si>
  <si>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</si>
  <si>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</si>
  <si>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</si>
  <si>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</si>
  <si>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EPSSWEXCEPTION_POR_R22A_IPQC_MFG_Laser_C20_22051701_5d43eac</t>
  </si>
  <si>
    <t>v9p402</t>
  </si>
  <si>
    <t>D:\EVMS\TP\ELOG\VSY841XN9NBE_2022092321</t>
    <phoneticPr fontId="6" type="noConversion"/>
  </si>
  <si>
    <t>T220923212454876VCMLEBC040</t>
  </si>
  <si>
    <t>'20220923212456</t>
  </si>
  <si>
    <t>'2022-09-23 21:25:03:785</t>
  </si>
  <si>
    <t>VSY841XN9NBE</t>
  </si>
  <si>
    <t>22cb76110484</t>
  </si>
  <si>
    <t>0x52800662a2bc2602</t>
  </si>
  <si>
    <t>MF3C3373A2CT82B19944014113</t>
  </si>
  <si>
    <t>MF4C3514AKDB13A7A638</t>
  </si>
  <si>
    <t>DNA22301103870H01A</t>
  </si>
  <si>
    <t>T220923212616717VCMLEBC040</t>
  </si>
  <si>
    <t>'20220923212618</t>
  </si>
  <si>
    <t>'2022-09-23 21:26:25:671</t>
  </si>
  <si>
    <t>22cb76100599</t>
  </si>
  <si>
    <t>0x52800662a20dc704</t>
  </si>
  <si>
    <t>MF3C3373A2D382B1B040058108</t>
  </si>
  <si>
    <t>MF4C3514AKFB13A7A635</t>
  </si>
  <si>
    <t>DNA22302011400I05A</t>
  </si>
  <si>
    <t>T220923212721958VCMLEBC040</t>
  </si>
  <si>
    <t>'20220923212723</t>
  </si>
  <si>
    <t>'2022-09-23 21:27:30:895</t>
  </si>
  <si>
    <t>22cb76110282</t>
  </si>
  <si>
    <t>0x52800562a2bbe405</t>
  </si>
  <si>
    <t>MF3C3373A2DL82B1B242058113</t>
  </si>
  <si>
    <t>MF4C3514AKF513A7A629</t>
  </si>
  <si>
    <t>DNA22297012300F04A</t>
  </si>
  <si>
    <t>T220923212521413VCMLEBC040</t>
  </si>
  <si>
    <t>'20220923212523</t>
  </si>
  <si>
    <t>'2022-09-23 21:25:51:305</t>
  </si>
  <si>
    <t>T220923212643249VCMLEBC040</t>
  </si>
  <si>
    <t>'20220923212644</t>
  </si>
  <si>
    <t>'2022-09-23 21:27:12:922</t>
  </si>
  <si>
    <t>'2022-09-23 21:25:41:278</t>
  </si>
  <si>
    <t>'2022-09-23 21:27:02:898</t>
  </si>
  <si>
    <t>T220923212506610VCMLEBC040</t>
  </si>
  <si>
    <t>'20220923212508</t>
  </si>
  <si>
    <t>'2022-09-23 21:25:19:173</t>
  </si>
  <si>
    <t>T220923212628446VCMLEBC040</t>
  </si>
  <si>
    <t>'20220923212630</t>
  </si>
  <si>
    <t>'2022-09-23 21:26:41:000</t>
  </si>
  <si>
    <t>T220923212733658VCMLEBC040</t>
  </si>
  <si>
    <t>'20220923212735</t>
  </si>
  <si>
    <t>'2022-09-23 21:27:46:213</t>
  </si>
  <si>
    <t>T220923212748380VCMLEBC040</t>
  </si>
  <si>
    <t>'20220923212750</t>
  </si>
  <si>
    <t>'2022-09-23 21:28:18:272</t>
  </si>
  <si>
    <t>'2022-09-23 21:28:08:247</t>
  </si>
  <si>
    <t>T220923212829660VCMLEBC040</t>
  </si>
  <si>
    <t>'20220923212831</t>
  </si>
  <si>
    <t>'2022-09-23 21:28:38:475</t>
  </si>
  <si>
    <t>22cb76110313</t>
  </si>
  <si>
    <t>0x52801362a49f3903</t>
  </si>
  <si>
    <t>MF8C3558A4NU32B6A340022006</t>
  </si>
  <si>
    <t>MF3C3513BJFT13A7A651</t>
  </si>
  <si>
    <t>DNA22292021260K07A</t>
  </si>
  <si>
    <t>T220923212934239VCMLEBC040</t>
  </si>
  <si>
    <t>'20220923212935</t>
  </si>
  <si>
    <t>'2022-09-23 21:29:43:175</t>
  </si>
  <si>
    <t>22cb76100802</t>
  </si>
  <si>
    <t>0x52800562a0be6604</t>
  </si>
  <si>
    <t>MF3C3373A2CP82B1A739016113</t>
  </si>
  <si>
    <t>MF4C3514AKF713A7A632</t>
  </si>
  <si>
    <t>DNA22302061170M11A</t>
  </si>
  <si>
    <t>T220923213038815VCMLEBC040</t>
  </si>
  <si>
    <t>'20220923213040</t>
  </si>
  <si>
    <t>'2022-09-23 21:30:47:677</t>
  </si>
  <si>
    <t>22cb76110197</t>
  </si>
  <si>
    <t>0x52800562a0bf7301</t>
  </si>
  <si>
    <t>MF3C3373A2E382B1A644042009</t>
  </si>
  <si>
    <t>MF4C3514AKF013A7A630</t>
  </si>
  <si>
    <t>DNA22297012380D06A</t>
  </si>
  <si>
    <t>T220923213143586VCMLEBC040</t>
  </si>
  <si>
    <t>'20220923213145</t>
  </si>
  <si>
    <t>'2022-09-23 21:31:52:489</t>
  </si>
  <si>
    <t>22cb76110750</t>
  </si>
  <si>
    <t>0x52800662a0bdce05</t>
  </si>
  <si>
    <t>MF3C3373A2DW82B1A342017101</t>
  </si>
  <si>
    <t>MF4C3514AKFG13A7A624</t>
  </si>
  <si>
    <t>DNA22297013600I09A</t>
  </si>
  <si>
    <t>T220923213251247VCMLEBC040</t>
  </si>
  <si>
    <t>'20220923213252</t>
  </si>
  <si>
    <t>'2022-09-23 21:33:00:121</t>
  </si>
  <si>
    <t>22cb76100273</t>
  </si>
  <si>
    <t>0x52800662a3b61602</t>
  </si>
  <si>
    <t>MF3C3373A2C282B1A446028113</t>
  </si>
  <si>
    <t>MF4C3514AKF613A7A640</t>
  </si>
  <si>
    <t>DNA22301104190G04A</t>
  </si>
  <si>
    <t>T220923212856388VCMLEBC040</t>
  </si>
  <si>
    <t>'20220923212858</t>
  </si>
  <si>
    <t>'2022-09-23 21:29:25:918</t>
  </si>
  <si>
    <t>T220923213000688VCMLEBC040</t>
  </si>
  <si>
    <t>'20220923213002</t>
  </si>
  <si>
    <t>'2022-09-23 21:30:30:181</t>
  </si>
  <si>
    <t>T220923213105272VCMLEBC040</t>
  </si>
  <si>
    <t>'20220923213106</t>
  </si>
  <si>
    <t>'2022-09-23 21:31:34:801</t>
  </si>
  <si>
    <t>T220923213210091VCMLEBC040</t>
  </si>
  <si>
    <t>'20220923213211</t>
  </si>
  <si>
    <t>'2022-09-23 21:32:39:690</t>
  </si>
  <si>
    <t>T220923213317731VCMLEBC040</t>
  </si>
  <si>
    <t>'20220923213319</t>
  </si>
  <si>
    <t>'2022-09-23 21:33:47:298</t>
  </si>
  <si>
    <t>'2022-09-23 21:29:15:897</t>
  </si>
  <si>
    <t>'2022-09-23 21:30:20:158</t>
  </si>
  <si>
    <t>'2022-09-23 21:31:24:775</t>
  </si>
  <si>
    <t>'2022-09-23 21:32:29:666</t>
  </si>
  <si>
    <t>'2022-09-23 21:33:37:275</t>
  </si>
  <si>
    <t>T220923212841647VCMLEBC040</t>
  </si>
  <si>
    <t>'20220923212843</t>
  </si>
  <si>
    <t>'2022-09-23 21:28:54:200</t>
  </si>
  <si>
    <t>T220923212945975VCMLEBC040</t>
  </si>
  <si>
    <t>'20220923212947</t>
  </si>
  <si>
    <t>'2022-09-23 21:29:58:527</t>
  </si>
  <si>
    <t>T220923213050442VCMLEBC040</t>
  </si>
  <si>
    <t>'20220923213052</t>
  </si>
  <si>
    <t>'2022-09-23 21:31:03:025</t>
  </si>
  <si>
    <t>T220923213155370VCMLEBC040</t>
  </si>
  <si>
    <t>'20220923213157</t>
  </si>
  <si>
    <t>'2022-09-23 21:32:07:923</t>
  </si>
  <si>
    <t>T220923213302929VCMLEBC040</t>
  </si>
  <si>
    <t>'20220923213304</t>
  </si>
  <si>
    <t>'2022-09-23 21:33:15:483</t>
  </si>
  <si>
    <t>T220923213452005VCMLEBC040</t>
  </si>
  <si>
    <t>'20220923213453</t>
  </si>
  <si>
    <t>'2022-09-23 21:35:00:876</t>
  </si>
  <si>
    <t>22cc81110366</t>
  </si>
  <si>
    <t>0x528015625c8df101</t>
  </si>
  <si>
    <t>MF3C3353A2H514B1A148103011</t>
  </si>
  <si>
    <t>MF7C3527AACC23A7A645</t>
  </si>
  <si>
    <t>DNA22252064570C06A</t>
  </si>
  <si>
    <t>T220923213559254VCMLEBC040</t>
  </si>
  <si>
    <t>'20220923213600</t>
  </si>
  <si>
    <t>'2022-09-23 21:36:08:089</t>
  </si>
  <si>
    <t>22cb76100602</t>
  </si>
  <si>
    <t>0x52800662a0bdd202</t>
  </si>
  <si>
    <t>MF3C3373A2DU82B1B055040107</t>
  </si>
  <si>
    <t>MF4C3514AKD613A7A641</t>
  </si>
  <si>
    <t>DNA22301025150B13A</t>
  </si>
  <si>
    <t>T220923213704599VCMLEBC040</t>
  </si>
  <si>
    <t>'20220923213706</t>
  </si>
  <si>
    <t>'2022-09-23 21:37:13:560</t>
  </si>
  <si>
    <t>22cc81110456</t>
  </si>
  <si>
    <t>0x52800662a2bcbd03</t>
  </si>
  <si>
    <t>MF3C3353A2NG14B1B243005015</t>
  </si>
  <si>
    <t>MF7C3527AACE23A7A635</t>
  </si>
  <si>
    <t>DNA22301073040D10A</t>
  </si>
  <si>
    <t>T220923213518427VCMLEBC040</t>
  </si>
  <si>
    <t>'20220923213520</t>
  </si>
  <si>
    <t>'2022-09-23 21:35:48:080</t>
  </si>
  <si>
    <t>T220923213625626VCMLEBC040</t>
  </si>
  <si>
    <t>'20220923213627</t>
  </si>
  <si>
    <t>'2022-09-23 21:36:55:208</t>
  </si>
  <si>
    <t>T220923213731090VCMLEBC040</t>
  </si>
  <si>
    <t>'20220923213732</t>
  </si>
  <si>
    <t>'2022-09-23 21:38:01:087</t>
  </si>
  <si>
    <t>'2022-09-23 21:35:38:048</t>
  </si>
  <si>
    <t>'2022-09-23 21:36:45:183</t>
  </si>
  <si>
    <t>'2022-09-23 21:37:51:062</t>
  </si>
  <si>
    <t>T220923213503684VCMLEBC040</t>
  </si>
  <si>
    <t>'20220923213505</t>
  </si>
  <si>
    <t>'2022-09-23 21:35:16:239</t>
  </si>
  <si>
    <t>T220923213610905VCMLEBC040</t>
  </si>
  <si>
    <t>'20220923213612</t>
  </si>
  <si>
    <t>'2022-09-23 21:36:23:458</t>
  </si>
  <si>
    <t>T220923213716380VCMLEBC040</t>
  </si>
  <si>
    <t>'20220923213718</t>
  </si>
  <si>
    <t>'2022-09-23 21:37:28:935</t>
  </si>
  <si>
    <t>T220923213914571VCMLEBC040</t>
  </si>
  <si>
    <t>'20220923213916</t>
  </si>
  <si>
    <t>'2022-09-23 21:39:23:590</t>
  </si>
  <si>
    <t>22cb76110556</t>
  </si>
  <si>
    <t>0x528018629f1e3b02</t>
  </si>
  <si>
    <t>MF8C3558A4NV32B6B642016002</t>
  </si>
  <si>
    <t>MF3C3513BJFM13A7A638</t>
  </si>
  <si>
    <t>DNA22292022870H06A</t>
  </si>
  <si>
    <t>T220923213941246VCMLEBC040</t>
  </si>
  <si>
    <t>'20220923213942</t>
  </si>
  <si>
    <t>'2022-09-23 21:40:10:510</t>
  </si>
  <si>
    <t>'2022-09-23 21:40:00:478</t>
  </si>
  <si>
    <t>T220923213926396VCMLEBC040</t>
  </si>
  <si>
    <t>'20220923213928</t>
  </si>
  <si>
    <t>'2022-09-23 21:39:39:018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</si>
</sst>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0.80825859909999997</c:v>
                </c:pt>
                <c:pt idx="1">
                  <c:v>0.7038872021</c:v>
                </c:pt>
                <c:pt idx="2">
                  <c:v>-6.9197461887999996</c:v>
                </c:pt>
                <c:pt idx="3">
                  <c:v>2.9726312476999999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1.3760600373999998</c:v>
                </c:pt>
                <c:pt idx="1">
                  <c:v>-0.73749528449999957</c:v>
                </c:pt>
                <c:pt idx="2">
                  <c:v>6.2960361675000005</c:v>
                </c:pt>
                <c:pt idx="3">
                  <c:v>6.4726886138999999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-1.8025334625333331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2.3115336401333337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100864"/>
        <c:axId val="114131328"/>
      </c:scatterChart>
      <c:valAx>
        <c:axId val="1141008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4131328"/>
        <c:crosses val="autoZero"/>
        <c:crossBetween val="midCat"/>
        <c:majorUnit val="10"/>
      </c:valAx>
      <c:valAx>
        <c:axId val="11413132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4100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7.8071410094999996</c:v>
                </c:pt>
                <c:pt idx="1">
                  <c:v>7.7927466057999997</c:v>
                </c:pt>
                <c:pt idx="2">
                  <c:v>-1.2004674783</c:v>
                </c:pt>
                <c:pt idx="3">
                  <c:v>-8.0705877156000003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-3.6199998333999996</c:v>
                </c:pt>
                <c:pt idx="1">
                  <c:v>0.43847760659999979</c:v>
                </c:pt>
                <c:pt idx="2">
                  <c:v>-0.31427369489999979</c:v>
                </c:pt>
                <c:pt idx="3">
                  <c:v>11.112644641900001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6.1908396209999994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1.0970554623666666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30336"/>
        <c:axId val="114431872"/>
      </c:scatterChart>
      <c:valAx>
        <c:axId val="11443033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4431872"/>
        <c:crosses val="autoZero"/>
        <c:crossBetween val="midCat"/>
        <c:majorUnit val="10"/>
      </c:valAx>
      <c:valAx>
        <c:axId val="11443187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4430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-3.6256823559</c:v>
                </c:pt>
                <c:pt idx="1">
                  <c:v>0.14868431530000001</c:v>
                </c:pt>
                <c:pt idx="2">
                  <c:v>3.4920483794999999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4.4899706299999842E-2</c:v>
                </c:pt>
                <c:pt idx="1">
                  <c:v>5.6913853836000001</c:v>
                </c:pt>
                <c:pt idx="2">
                  <c:v>0.34829104210000006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-4.2989125166000006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3.6144235511000011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464640"/>
        <c:axId val="114466176"/>
      </c:scatterChart>
      <c:valAx>
        <c:axId val="11446464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4466176"/>
        <c:crosses val="autoZero"/>
        <c:crossBetween val="midCat"/>
        <c:majorUnit val="10"/>
      </c:valAx>
      <c:valAx>
        <c:axId val="1144661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14464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-8.3664085189000001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-2.9594083365000001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-1.5752252747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1.0267560297333331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464000"/>
        <c:axId val="132478080"/>
      </c:scatterChart>
      <c:valAx>
        <c:axId val="1324640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478080"/>
        <c:crosses val="autoZero"/>
        <c:crossBetween val="midCat"/>
        <c:majorUnit val="10"/>
      </c:valAx>
      <c:valAx>
        <c:axId val="1324780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2464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97.1421445517</c:v>
                </c:pt>
                <c:pt idx="1">
                  <c:v>90.0979550303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92.597505611666676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23520"/>
        <c:axId val="132525056"/>
      </c:scatterChart>
      <c:valAx>
        <c:axId val="13252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525056"/>
        <c:crosses val="autoZero"/>
        <c:crossBetween val="midCat"/>
      </c:valAx>
      <c:valAx>
        <c:axId val="13252505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52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90.552417253000002</c:v>
                </c:pt>
                <c:pt idx="1">
                  <c:v>96.0811322319</c:v>
                </c:pt>
                <c:pt idx="2">
                  <c:v>89.170618150899998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92.121554329366674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74208"/>
        <c:axId val="132580096"/>
      </c:scatterChart>
      <c:valAx>
        <c:axId val="132574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580096"/>
        <c:crosses val="autoZero"/>
        <c:crossBetween val="midCat"/>
      </c:valAx>
      <c:valAx>
        <c:axId val="13258009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5742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91.112912605299996</c:v>
                </c:pt>
                <c:pt idx="1">
                  <c:v>88.167988987399994</c:v>
                </c:pt>
                <c:pt idx="2">
                  <c:v>94.108237904399999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92.67285318286666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21056"/>
        <c:axId val="132622592"/>
      </c:scatterChart>
      <c:valAx>
        <c:axId val="132621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622592"/>
        <c:crosses val="autoZero"/>
        <c:crossBetween val="midCat"/>
      </c:valAx>
      <c:valAx>
        <c:axId val="13262259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2621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95.742332656800002</c:v>
                </c:pt>
                <c:pt idx="1">
                  <c:v>90.055905184799997</c:v>
                </c:pt>
                <c:pt idx="2">
                  <c:v>93.024125020699998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91.309126992833342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19936"/>
        <c:axId val="137321472"/>
      </c:scatterChart>
      <c:valAx>
        <c:axId val="137319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21472"/>
        <c:crosses val="autoZero"/>
        <c:crossBetween val="midCat"/>
      </c:valAx>
      <c:valAx>
        <c:axId val="13732147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7319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4.371260166199999</c:v>
                </c:pt>
                <c:pt idx="1">
                  <c:v>11.229794502300001</c:v>
                </c:pt>
                <c:pt idx="2">
                  <c:v>15.533514022799999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0.30766344069999985</c:v>
                </c:pt>
                <c:pt idx="1">
                  <c:v>-3.0804949999</c:v>
                </c:pt>
                <c:pt idx="2">
                  <c:v>-3.8065302968000001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10.378189563766666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-2.1931206186666667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362432"/>
        <c:axId val="138154752"/>
      </c:scatterChart>
      <c:valAx>
        <c:axId val="1373624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154752"/>
        <c:crosses val="autoZero"/>
        <c:crossBetween val="midCat"/>
        <c:majorUnit val="10"/>
      </c:valAx>
      <c:valAx>
        <c:axId val="13815475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36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0.71373271939999938</c:v>
                </c:pt>
                <c:pt idx="1">
                  <c:v>7.2405986785999996</c:v>
                </c:pt>
                <c:pt idx="2">
                  <c:v>-0.79546785349999993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-0.3090684414</c:v>
                </c:pt>
                <c:pt idx="1">
                  <c:v>0.14081096650000013</c:v>
                </c:pt>
                <c:pt idx="2">
                  <c:v>-1.8764328957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2.3862878481666665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-0.68156345686666653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03904"/>
        <c:axId val="138205440"/>
      </c:scatterChart>
      <c:valAx>
        <c:axId val="1382039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205440"/>
        <c:crosses val="autoZero"/>
        <c:crossBetween val="midCat"/>
        <c:majorUnit val="10"/>
      </c:valAx>
      <c:valAx>
        <c:axId val="1382054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20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1.1258859634</c:v>
                </c:pt>
                <c:pt idx="1">
                  <c:v>7.4609823226999996</c:v>
                </c:pt>
                <c:pt idx="2">
                  <c:v>4.9596910476999998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-3.100753665</c:v>
                </c:pt>
                <c:pt idx="1">
                  <c:v>-0.93273138999999983</c:v>
                </c:pt>
                <c:pt idx="2">
                  <c:v>1.8592720032000001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4.5155197779333331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-0.72473768393333327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22816"/>
        <c:axId val="137924608"/>
      </c:scatterChart>
      <c:valAx>
        <c:axId val="13792281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924608"/>
        <c:crosses val="autoZero"/>
        <c:crossBetween val="midCat"/>
        <c:majorUnit val="10"/>
      </c:valAx>
      <c:valAx>
        <c:axId val="13792460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922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7.5498027802000003</c:v>
                </c:pt>
                <c:pt idx="1">
                  <c:v>-0.3020267486999999</c:v>
                </c:pt>
                <c:pt idx="2">
                  <c:v>8.1080741881999998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2.7403211593999997</c:v>
                </c:pt>
                <c:pt idx="1">
                  <c:v>-1.3427152633999999</c:v>
                </c:pt>
                <c:pt idx="2">
                  <c:v>1.4739618301000004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5.1186167399000002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0.95718924203333344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47488"/>
        <c:axId val="138049024"/>
      </c:scatterChart>
      <c:valAx>
        <c:axId val="1380474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049024"/>
        <c:crosses val="autoZero"/>
        <c:crossBetween val="midCat"/>
        <c:majorUnit val="10"/>
      </c:valAx>
      <c:valAx>
        <c:axId val="1380490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047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158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160</v>
      </c>
      <c r="C3" s="40">
        <v>0.2</v>
      </c>
      <c r="D3" s="40" t="s">
        <v>161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/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D:\EVMS\TP\ELOG\VSY841XN9NBE_2022092321_D50_ON_OC.csv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D:\EVMS\TP\ELOG\VSY841XN9NBE_2022092321_FPDC_INFD_normal.csv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D:\EVMS\TP\ELOG\VSY841XN9NBE_2022092321_INFDMargin_IPQC.csv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D:\EVMS\TP\ELOG\VSY841XN9NBE_2022092321_VCM_MEASURE.csv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528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J32" sqref="J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0" t="s">
        <v>14</v>
      </c>
      <c r="M32" s="80" t="s">
        <v>9</v>
      </c>
      <c r="R32" s="75" t="s">
        <v>157</v>
      </c>
      <c r="S32" s="92" t="s">
        <v>159</v>
      </c>
      <c r="T32" s="93"/>
      <c r="U32" s="80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1"/>
      <c r="C33" s="28" t="s">
        <v>17</v>
      </c>
      <c r="D33" s="28">
        <f>5.1^2/(150-5.1)*1000</f>
        <v>179.50310559006209</v>
      </c>
      <c r="M33" s="81"/>
      <c r="U33" s="81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22cb76110484</v>
      </c>
      <c r="C35" s="50">
        <f>IPQC!T2+VLOOKUP($R$32,$AD$39:$AK$43,6,FALSE)+VLOOKUP('File location'!$B$1,'Tester offset'!$A$2:$D$4,2,FALSE)</f>
        <v>97.1421445517</v>
      </c>
      <c r="D35" s="50">
        <f>IPQC!AA2+VLOOKUP($R$32,$AD$39:$AK$43,6,FALSE)</f>
        <v>79.024249933500002</v>
      </c>
      <c r="E35" s="50">
        <f>VCM!HV2-'Summary(3pcs)'!C35-'Summary(3pcs)'!$D$33</f>
        <v>137.88519101793793</v>
      </c>
      <c r="F35" s="84">
        <f>AVERAGEIF($A$35:$A$46,1,$C$35:$C$46)</f>
        <v>92.597505611666676</v>
      </c>
      <c r="G35" s="85">
        <f>AVERAGEIF($A$35:$A$46,1,$D$35:$D$46)</f>
        <v>75.604643840600005</v>
      </c>
      <c r="H35" s="85">
        <f>AVERAGEIF($A$35:$A$46,1,$E$35:$E$46)</f>
        <v>143.36129241117126</v>
      </c>
      <c r="I35" s="85">
        <f>85-F35</f>
        <v>-7.5975056116666764</v>
      </c>
      <c r="K35" s="78">
        <f>T35</f>
        <v>1</v>
      </c>
      <c r="L35" s="79" t="str">
        <f>OC!K2</f>
        <v>22cb76110484</v>
      </c>
      <c r="M35" s="50">
        <f>OC!T2+VLOOKUP($R$32,$AD$39:$AK$43,4,FALSE)</f>
        <v>0.80825859909999997</v>
      </c>
      <c r="N35" s="50">
        <f>OC!U2+VLOOKUP($R$32,$AD$39:$AK$43,5,FALSE)</f>
        <v>1.3760600373999998</v>
      </c>
      <c r="O35" s="86">
        <f>AVERAGEIF($K$35:$K$46,1,$M$35:$M$46)</f>
        <v>-1.8025334625333331</v>
      </c>
      <c r="P35" s="86">
        <f>AVERAGEIF($K$35:$K$46,1,$N$35:$N$46)</f>
        <v>2.3115336401333337</v>
      </c>
      <c r="Q35" s="84">
        <f>P35*0.001</f>
        <v>2.3115336401333337E-3</v>
      </c>
      <c r="R35" s="84">
        <f>O35*0.001</f>
        <v>-1.8025334625333331E-3</v>
      </c>
      <c r="S35" s="34"/>
      <c r="T35" s="78">
        <v>1</v>
      </c>
      <c r="U35" s="79" t="str">
        <f>FPDC!K2</f>
        <v>22cb76110484</v>
      </c>
      <c r="V35" s="76">
        <f>FPDC!S2+VLOOKUP($R$32,$AD$39:$AK$43,2,FALSE)+VLOOKUP($R$32,$AD$39:$AK$43,7,FALSE)+VLOOKUP('File location'!$B$1,'Tester offset'!$A$2:$D$4,3,FALSE)</f>
        <v>7.5498027802000003</v>
      </c>
      <c r="W35" s="77">
        <f>FPDC!T2+VLOOKUP($R$32,$AD$39:$AK$43,3,FALSE)+VLOOKUP($R$32,$AD$39:$AK$43,8,FALSE)+VLOOKUP('File location'!$B$1,'Tester offset'!$A$2:$D$4,4,FALSE)</f>
        <v>2.7403211593999997</v>
      </c>
      <c r="X35" s="86">
        <f>AVERAGEIF($T$35:$T$46,1,$V$35:$V$46)</f>
        <v>5.1186167399000002</v>
      </c>
      <c r="Y35" s="86">
        <f>AVERAGEIF($T$35:$T$46,1,$W$35:$W$46)</f>
        <v>0.95718924203333344</v>
      </c>
      <c r="Z35" s="84">
        <f>(X35*-0.01)/4</f>
        <v>-1.2796541849750001E-2</v>
      </c>
      <c r="AA35" s="84">
        <f>(Y35*-0.01)/4</f>
        <v>-2.3929731050833336E-3</v>
      </c>
    </row>
    <row r="36" spans="1:37" ht="17.100000000000001" customHeight="1">
      <c r="A36" s="78">
        <f t="shared" ref="A36:A46" si="0">T36</f>
        <v>1</v>
      </c>
      <c r="B36" s="79" t="str">
        <f>IPQC!K3</f>
        <v>22cb76100599</v>
      </c>
      <c r="C36" s="50">
        <f>IPQC!T3+VLOOKUP($R$32,$AD$39:$AK$43,6,FALSE)+VLOOKUP('File location'!$B$1,'Tester offset'!$A$2:$D$4,2,FALSE)</f>
        <v>90.0979550303</v>
      </c>
      <c r="D36" s="50">
        <f>IPQC!AA3+VLOOKUP($R$32,$AD$39:$AK$43,6,FALSE)</f>
        <v>73.311074659300004</v>
      </c>
      <c r="E36" s="50">
        <f>VCM!HV3-'Summary(3pcs)'!C36-'Summary(3pcs)'!$D$33</f>
        <v>145.47571840713789</v>
      </c>
      <c r="F36" s="84"/>
      <c r="G36" s="85"/>
      <c r="H36" s="85"/>
      <c r="I36" s="85"/>
      <c r="K36" s="78">
        <f t="shared" ref="K36:K46" si="1">T36</f>
        <v>1</v>
      </c>
      <c r="L36" s="79" t="str">
        <f>OC!K3</f>
        <v>22cb76100599</v>
      </c>
      <c r="M36" s="50">
        <f>OC!T3+VLOOKUP($R$32,$AD$39:$AK$43,4,FALSE)</f>
        <v>0.7038872021</v>
      </c>
      <c r="N36" s="50">
        <f>OC!U3+VLOOKUP($R$32,$AD$39:$AK$43,5,FALSE)</f>
        <v>-0.73749528449999957</v>
      </c>
      <c r="O36" s="86"/>
      <c r="P36" s="86"/>
      <c r="Q36" s="84"/>
      <c r="R36" s="84"/>
      <c r="S36" s="34"/>
      <c r="T36" s="78">
        <v>1</v>
      </c>
      <c r="U36" s="79" t="str">
        <f>FPDC!K3</f>
        <v>22cb76100599</v>
      </c>
      <c r="V36" s="76">
        <f>FPDC!S3+VLOOKUP($R$32,$AD$39:$AK$43,2,FALSE)+VLOOKUP($R$32,$AD$39:$AK$43,7,FALSE)+VLOOKUP('File location'!$B$1,'Tester offset'!$A$2:$D$4,3,FALSE)</f>
        <v>-0.3020267486999999</v>
      </c>
      <c r="W36" s="77">
        <f>FPDC!T3+VLOOKUP($R$32,$AD$39:$AK$43,3,FALSE)+VLOOKUP($R$32,$AD$39:$AK$43,8,FALSE)+VLOOKUP('File location'!$B$1,'Tester offset'!$A$2:$D$4,4,FALSE)</f>
        <v>-1.3427152633999999</v>
      </c>
      <c r="X36" s="86"/>
      <c r="Y36" s="86"/>
      <c r="Z36" s="84"/>
      <c r="AA36" s="84"/>
    </row>
    <row r="37" spans="1:37" ht="17.100000000000001" customHeight="1">
      <c r="A37" s="78">
        <f t="shared" si="0"/>
        <v>1</v>
      </c>
      <c r="B37" s="79" t="str">
        <f>IPQC!K4</f>
        <v>22cb76110282</v>
      </c>
      <c r="C37" s="50">
        <f>IPQC!T4+VLOOKUP($R$32,$AD$39:$AK$43,6,FALSE)+VLOOKUP('File location'!$B$1,'Tester offset'!$A$2:$D$4,2,FALSE)</f>
        <v>90.552417253000002</v>
      </c>
      <c r="D37" s="50">
        <f>IPQC!AA4+VLOOKUP($R$32,$AD$39:$AK$43,6,FALSE)</f>
        <v>74.478606928999994</v>
      </c>
      <c r="E37" s="50">
        <f>VCM!HV4-'Summary(3pcs)'!C37-'Summary(3pcs)'!$D$33</f>
        <v>146.72296780843794</v>
      </c>
      <c r="F37" s="84"/>
      <c r="G37" s="85"/>
      <c r="H37" s="85"/>
      <c r="I37" s="85"/>
      <c r="K37" s="78">
        <f t="shared" si="1"/>
        <v>1</v>
      </c>
      <c r="L37" s="79" t="str">
        <f>OC!K4</f>
        <v>22cb76110282</v>
      </c>
      <c r="M37" s="50">
        <f>OC!T4+VLOOKUP($R$32,$AD$39:$AK$43,4,FALSE)</f>
        <v>-6.9197461887999996</v>
      </c>
      <c r="N37" s="50">
        <f>OC!U4+VLOOKUP($R$32,$AD$39:$AK$43,5,FALSE)</f>
        <v>6.2960361675000005</v>
      </c>
      <c r="O37" s="86"/>
      <c r="P37" s="86"/>
      <c r="Q37" s="84"/>
      <c r="R37" s="84"/>
      <c r="S37" s="34"/>
      <c r="T37" s="78">
        <v>1</v>
      </c>
      <c r="U37" s="79" t="str">
        <f>FPDC!K4</f>
        <v>22cb76110282</v>
      </c>
      <c r="V37" s="76">
        <f>FPDC!S4+VLOOKUP($R$32,$AD$39:$AK$43,2,FALSE)+VLOOKUP($R$32,$AD$39:$AK$43,7,FALSE)+VLOOKUP('File location'!$B$1,'Tester offset'!$A$2:$D$4,3,FALSE)</f>
        <v>8.1080741881999998</v>
      </c>
      <c r="W37" s="77">
        <f>FPDC!T4+VLOOKUP($R$32,$AD$39:$AK$43,3,FALSE)+VLOOKUP($R$32,$AD$39:$AK$43,8,FALSE)+VLOOKUP('File location'!$B$1,'Tester offset'!$A$2:$D$4,4,FALSE)</f>
        <v>1.4739618301000004</v>
      </c>
      <c r="X37" s="86"/>
      <c r="Y37" s="86"/>
      <c r="Z37" s="84"/>
      <c r="AA37" s="84"/>
      <c r="AD37" s="88" t="s">
        <v>144</v>
      </c>
      <c r="AE37" s="88" t="s">
        <v>137</v>
      </c>
      <c r="AF37" s="88"/>
      <c r="AG37" s="88"/>
      <c r="AH37" s="88"/>
      <c r="AI37" s="88"/>
      <c r="AJ37" s="88" t="s">
        <v>143</v>
      </c>
      <c r="AK37" s="88"/>
    </row>
    <row r="38" spans="1:37" ht="17.100000000000001" customHeight="1">
      <c r="A38" s="78">
        <f t="shared" si="0"/>
        <v>2</v>
      </c>
      <c r="B38" s="79" t="str">
        <f>IPQC!K5</f>
        <v>22cb76110313</v>
      </c>
      <c r="C38" s="50">
        <f>IPQC!T5+VLOOKUP($R$32,$AD$39:$AK$43,6,FALSE)+VLOOKUP('File location'!$B$1,'Tester offset'!$A$2:$D$4,2,FALSE)</f>
        <v>96.0811322319</v>
      </c>
      <c r="D38" s="50">
        <f>IPQC!AA5+VLOOKUP($R$32,$AD$39:$AK$43,6,FALSE)</f>
        <v>83.212617820199995</v>
      </c>
      <c r="E38" s="50">
        <f>VCM!HV5-'Summary(3pcs)'!C38-'Summary(3pcs)'!$D$33</f>
        <v>137.22701494913792</v>
      </c>
      <c r="F38" s="84">
        <f>AVERAGEIF($A$35:$A$46,2,$C$35:$C$46)</f>
        <v>92.121554329366674</v>
      </c>
      <c r="G38" s="85">
        <f>AVERAGEIF($A$35:$A$46,2,$D$35:$D$46)</f>
        <v>75.447823959599987</v>
      </c>
      <c r="H38" s="85">
        <f>AVERAGEIF($A$35:$A$46,2,$E$35:$E$46)</f>
        <v>140.5722585593046</v>
      </c>
      <c r="I38" s="85">
        <f>85-F38</f>
        <v>-7.1215543293666741</v>
      </c>
      <c r="K38" s="78">
        <f t="shared" si="1"/>
        <v>2</v>
      </c>
      <c r="L38" s="79" t="str">
        <f>OC!K5</f>
        <v>22cb76110313</v>
      </c>
      <c r="M38" s="50">
        <f>OC!T5+VLOOKUP($R$32,$AD$39:$AK$43,4,FALSE)</f>
        <v>2.9726312476999999</v>
      </c>
      <c r="N38" s="50">
        <f>OC!U5+VLOOKUP($R$32,$AD$39:$AK$43,5,FALSE)</f>
        <v>6.4726886138999999</v>
      </c>
      <c r="O38" s="86">
        <f>AVERAGEIF($K$35:$K$46,2,$M$35:$M$46)</f>
        <v>6.1908396209999994</v>
      </c>
      <c r="P38" s="86">
        <f>AVERAGEIF($K$35:$K$46,2,$N$35:$N$46)</f>
        <v>1.0970554623666666</v>
      </c>
      <c r="Q38" s="84">
        <f>P38*0.001</f>
        <v>1.0970554623666666E-3</v>
      </c>
      <c r="R38" s="84">
        <f>O38*0.001</f>
        <v>6.1908396209999998E-3</v>
      </c>
      <c r="S38" s="34"/>
      <c r="T38" s="78">
        <v>2</v>
      </c>
      <c r="U38" s="79" t="str">
        <f>FPDC!K5</f>
        <v>22cb76110313</v>
      </c>
      <c r="V38" s="76">
        <f>FPDC!S5+VLOOKUP($R$32,$AD$39:$AK$43,2,FALSE)+VLOOKUP($R$32,$AD$39:$AK$43,7,FALSE)+VLOOKUP('File location'!$B$1,'Tester offset'!$A$2:$D$4,3,FALSE)</f>
        <v>4.371260166199999</v>
      </c>
      <c r="W38" s="77">
        <f>FPDC!T5+VLOOKUP($R$32,$AD$39:$AK$43,3,FALSE)+VLOOKUP($R$32,$AD$39:$AK$43,8,FALSE)+VLOOKUP('File location'!$B$1,'Tester offset'!$A$2:$D$4,4,FALSE)</f>
        <v>0.30766344069999985</v>
      </c>
      <c r="X38" s="86">
        <f>AVERAGEIF($T$35:$T$46,2,$V$35:$V$46)</f>
        <v>10.378189563766666</v>
      </c>
      <c r="Y38" s="86">
        <f>AVERAGEIF($T$35:$T$46,2,$W$35:$W$46)</f>
        <v>-2.1931206186666667</v>
      </c>
      <c r="Z38" s="84">
        <f>(X38*-0.01)/4</f>
        <v>-2.5945473909416667E-2</v>
      </c>
      <c r="AA38" s="84">
        <f>(Y38*-0.01)/4</f>
        <v>5.4828015466666666E-3</v>
      </c>
      <c r="AD38" s="88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22cb76100802</v>
      </c>
      <c r="C39" s="50">
        <f>IPQC!T6+VLOOKUP($R$32,$AD$39:$AK$43,6,FALSE)+VLOOKUP('File location'!$B$1,'Tester offset'!$A$2:$D$4,2,FALSE)</f>
        <v>89.170618150899998</v>
      </c>
      <c r="D39" s="50">
        <f>IPQC!AA6+VLOOKUP($R$32,$AD$39:$AK$43,6,FALSE)</f>
        <v>68.316866185199999</v>
      </c>
      <c r="E39" s="50">
        <f>VCM!HV6-'Summary(3pcs)'!C39-'Summary(3pcs)'!$D$33</f>
        <v>144.50319155813793</v>
      </c>
      <c r="F39" s="84"/>
      <c r="G39" s="85"/>
      <c r="H39" s="85"/>
      <c r="I39" s="85"/>
      <c r="K39" s="78">
        <f t="shared" si="1"/>
        <v>2</v>
      </c>
      <c r="L39" s="79" t="str">
        <f>OC!K6</f>
        <v>22cb76100802</v>
      </c>
      <c r="M39" s="50">
        <f>OC!T6+VLOOKUP($R$32,$AD$39:$AK$43,4,FALSE)</f>
        <v>7.8071410094999996</v>
      </c>
      <c r="N39" s="50">
        <f>OC!U6+VLOOKUP($R$32,$AD$39:$AK$43,5,FALSE)</f>
        <v>-3.6199998333999996</v>
      </c>
      <c r="O39" s="86"/>
      <c r="P39" s="86"/>
      <c r="Q39" s="84"/>
      <c r="R39" s="84"/>
      <c r="S39" s="34"/>
      <c r="T39" s="78">
        <v>2</v>
      </c>
      <c r="U39" s="79" t="str">
        <f>FPDC!K6</f>
        <v>22cb76100802</v>
      </c>
      <c r="V39" s="76">
        <f>FPDC!S6+VLOOKUP($R$32,$AD$39:$AK$43,2,FALSE)+VLOOKUP($R$32,$AD$39:$AK$43,7,FALSE)+VLOOKUP('File location'!$B$1,'Tester offset'!$A$2:$D$4,3,FALSE)</f>
        <v>11.229794502300001</v>
      </c>
      <c r="W39" s="77">
        <f>FPDC!T6+VLOOKUP($R$32,$AD$39:$AK$43,3,FALSE)+VLOOKUP($R$32,$AD$39:$AK$43,8,FALSE)+VLOOKUP('File location'!$B$1,'Tester offset'!$A$2:$D$4,4,FALSE)</f>
        <v>-3.0804949999</v>
      </c>
      <c r="X39" s="86"/>
      <c r="Y39" s="86"/>
      <c r="Z39" s="84"/>
      <c r="AA39" s="84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22cb76110197</v>
      </c>
      <c r="C40" s="50">
        <f>IPQC!T7+VLOOKUP($R$32,$AD$39:$AK$43,6,FALSE)+VLOOKUP('File location'!$B$1,'Tester offset'!$A$2:$D$4,2,FALSE)</f>
        <v>91.112912605299996</v>
      </c>
      <c r="D40" s="50">
        <f>IPQC!AA7+VLOOKUP($R$32,$AD$39:$AK$43,6,FALSE)</f>
        <v>74.813987873399995</v>
      </c>
      <c r="E40" s="50">
        <f>VCM!HV7-'Summary(3pcs)'!C40-'Summary(3pcs)'!$D$33</f>
        <v>139.98656917063795</v>
      </c>
      <c r="F40" s="84"/>
      <c r="G40" s="85"/>
      <c r="H40" s="85"/>
      <c r="I40" s="85"/>
      <c r="K40" s="78">
        <f t="shared" si="1"/>
        <v>2</v>
      </c>
      <c r="L40" s="79" t="str">
        <f>OC!K7</f>
        <v>22cb76110197</v>
      </c>
      <c r="M40" s="50">
        <f>OC!T7+VLOOKUP($R$32,$AD$39:$AK$43,4,FALSE)</f>
        <v>7.7927466057999997</v>
      </c>
      <c r="N40" s="50">
        <f>OC!U7+VLOOKUP($R$32,$AD$39:$AK$43,5,FALSE)</f>
        <v>0.43847760659999979</v>
      </c>
      <c r="O40" s="86"/>
      <c r="P40" s="86"/>
      <c r="Q40" s="84"/>
      <c r="R40" s="84"/>
      <c r="S40" s="34"/>
      <c r="T40" s="78">
        <v>2</v>
      </c>
      <c r="U40" s="79" t="str">
        <f>FPDC!K7</f>
        <v>22cb76110197</v>
      </c>
      <c r="V40" s="76">
        <f>FPDC!S7+VLOOKUP($R$32,$AD$39:$AK$43,2,FALSE)+VLOOKUP($R$32,$AD$39:$AK$43,7,FALSE)+VLOOKUP('File location'!$B$1,'Tester offset'!$A$2:$D$4,3,FALSE)</f>
        <v>15.533514022799999</v>
      </c>
      <c r="W40" s="77">
        <f>FPDC!T7+VLOOKUP($R$32,$AD$39:$AK$43,3,FALSE)+VLOOKUP($R$32,$AD$39:$AK$43,8,FALSE)+VLOOKUP('File location'!$B$1,'Tester offset'!$A$2:$D$4,4,FALSE)</f>
        <v>-3.8065302968000001</v>
      </c>
      <c r="X40" s="86"/>
      <c r="Y40" s="86"/>
      <c r="Z40" s="84"/>
      <c r="AA40" s="84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22cb76110750</v>
      </c>
      <c r="C41" s="50">
        <f>IPQC!T8+VLOOKUP($R$32,$AD$39:$AK$43,6,FALSE)+VLOOKUP('File location'!$B$1,'Tester offset'!$A$2:$D$4,2,FALSE)</f>
        <v>88.167988987399994</v>
      </c>
      <c r="D41" s="50">
        <f>IPQC!AA8+VLOOKUP($R$32,$AD$39:$AK$43,6,FALSE)</f>
        <v>70.964053568699995</v>
      </c>
      <c r="E41" s="50">
        <f>VCM!HV8-'Summary(3pcs)'!C41-'Summary(3pcs)'!$D$33</f>
        <v>151.63536354603792</v>
      </c>
      <c r="F41" s="84">
        <f>AVERAGEIF($A$35:$A$46,3,$C$35:$C$46)</f>
        <v>92.67285318286666</v>
      </c>
      <c r="G41" s="85">
        <f>AVERAGEIF($A$35:$A$46,3,$D$35:$D$46)</f>
        <v>75.837883992666661</v>
      </c>
      <c r="H41" s="85">
        <f>AVERAGEIF($A$35:$A$46,3,$E$35:$E$46)</f>
        <v>146.47231263093792</v>
      </c>
      <c r="I41" s="85">
        <f>85-F41</f>
        <v>-7.6728531828666604</v>
      </c>
      <c r="K41" s="78">
        <f t="shared" si="1"/>
        <v>3</v>
      </c>
      <c r="L41" s="79" t="str">
        <f>OC!K8</f>
        <v>22cb76110750</v>
      </c>
      <c r="M41" s="50">
        <f>OC!T8+VLOOKUP($R$32,$AD$39:$AK$43,4,FALSE)</f>
        <v>-1.2004674783</v>
      </c>
      <c r="N41" s="50">
        <f>OC!U8+VLOOKUP($R$32,$AD$39:$AK$43,5,FALSE)</f>
        <v>-0.31427369489999979</v>
      </c>
      <c r="O41" s="86">
        <f>AVERAGEIF($K$35:$K$46,3,$M$35:$M$46)</f>
        <v>-4.2989125166000006</v>
      </c>
      <c r="P41" s="86">
        <f>AVERAGEIF($K$35:$K$46,3,$N$35:$N$46)</f>
        <v>3.6144235511000011</v>
      </c>
      <c r="Q41" s="84">
        <f>P41*0.001</f>
        <v>3.614423551100001E-3</v>
      </c>
      <c r="R41" s="84">
        <f>O41*0.001</f>
        <v>-4.2989125166000008E-3</v>
      </c>
      <c r="S41" s="34"/>
      <c r="T41" s="78">
        <v>3</v>
      </c>
      <c r="U41" s="79" t="str">
        <f>FPDC!K8</f>
        <v>22cb76110750</v>
      </c>
      <c r="V41" s="76">
        <f>FPDC!S8+VLOOKUP($R$32,$AD$39:$AK$43,2,FALSE)+VLOOKUP($R$32,$AD$39:$AK$43,7,FALSE)+VLOOKUP('File location'!$B$1,'Tester offset'!$A$2:$D$4,3,FALSE)</f>
        <v>0.71373271939999938</v>
      </c>
      <c r="W41" s="77">
        <f>FPDC!T8+VLOOKUP($R$32,$AD$39:$AK$43,3,FALSE)+VLOOKUP($R$32,$AD$39:$AK$43,8,FALSE)+VLOOKUP('File location'!$B$1,'Tester offset'!$A$2:$D$4,4,FALSE)</f>
        <v>-0.3090684414</v>
      </c>
      <c r="X41" s="86">
        <f>AVERAGEIF($T$35:$T$46,3,$V$35:$V$46)</f>
        <v>2.3862878481666665</v>
      </c>
      <c r="Y41" s="86">
        <f>AVERAGEIF($T$35:$T$46,3,$W$35:$W$46)</f>
        <v>-0.68156345686666653</v>
      </c>
      <c r="Z41" s="84">
        <f>(X41*-0.01)/4</f>
        <v>-5.9657196204166664E-3</v>
      </c>
      <c r="AA41" s="84">
        <f>(Y41*-0.01)/4</f>
        <v>1.7039086421666663E-3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22cb76100273</v>
      </c>
      <c r="C42" s="50">
        <f>IPQC!T9+VLOOKUP($R$32,$AD$39:$AK$43,6,FALSE)+VLOOKUP('File location'!$B$1,'Tester offset'!$A$2:$D$4,2,FALSE)</f>
        <v>94.108237904399999</v>
      </c>
      <c r="D42" s="50">
        <f>IPQC!AA9+VLOOKUP($R$32,$AD$39:$AK$43,6,FALSE)</f>
        <v>77.390742941599996</v>
      </c>
      <c r="E42" s="50">
        <f>VCM!HV9-'Summary(3pcs)'!C42-'Summary(3pcs)'!$D$33</f>
        <v>145.29060412023796</v>
      </c>
      <c r="F42" s="84"/>
      <c r="G42" s="85"/>
      <c r="H42" s="85"/>
      <c r="I42" s="85"/>
      <c r="K42" s="78">
        <f t="shared" si="1"/>
        <v>3</v>
      </c>
      <c r="L42" s="79" t="str">
        <f>OC!K9</f>
        <v>22cb76100273</v>
      </c>
      <c r="M42" s="50">
        <f>OC!T9+VLOOKUP($R$32,$AD$39:$AK$43,4,FALSE)</f>
        <v>-8.0705877156000003</v>
      </c>
      <c r="N42" s="50">
        <f>OC!U9+VLOOKUP($R$32,$AD$39:$AK$43,5,FALSE)</f>
        <v>11.112644641900001</v>
      </c>
      <c r="O42" s="86"/>
      <c r="P42" s="86"/>
      <c r="Q42" s="84"/>
      <c r="R42" s="84"/>
      <c r="S42" s="34"/>
      <c r="T42" s="78">
        <v>3</v>
      </c>
      <c r="U42" s="79" t="str">
        <f>FPDC!K9</f>
        <v>22cb76100273</v>
      </c>
      <c r="V42" s="76">
        <f>FPDC!S9+VLOOKUP($R$32,$AD$39:$AK$43,2,FALSE)+VLOOKUP($R$32,$AD$39:$AK$43,7,FALSE)+VLOOKUP('File location'!$B$1,'Tester offset'!$A$2:$D$4,3,FALSE)</f>
        <v>7.2405986785999996</v>
      </c>
      <c r="W42" s="77">
        <f>FPDC!T9+VLOOKUP($R$32,$AD$39:$AK$43,3,FALSE)+VLOOKUP($R$32,$AD$39:$AK$43,8,FALSE)+VLOOKUP('File location'!$B$1,'Tester offset'!$A$2:$D$4,4,FALSE)</f>
        <v>0.14081096650000013</v>
      </c>
      <c r="X42" s="86"/>
      <c r="Y42" s="86"/>
      <c r="Z42" s="84"/>
      <c r="AA42" s="84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22cc81110366</v>
      </c>
      <c r="C43" s="50">
        <f>IPQC!T10+VLOOKUP($R$32,$AD$39:$AK$43,6,FALSE)+VLOOKUP('File location'!$B$1,'Tester offset'!$A$2:$D$4,2,FALSE)</f>
        <v>95.742332656800002</v>
      </c>
      <c r="D43" s="50">
        <f>IPQC!AA10+VLOOKUP($R$32,$AD$39:$AK$43,6,FALSE)</f>
        <v>79.158855467699993</v>
      </c>
      <c r="E43" s="50">
        <f>VCM!HV10-'Summary(3pcs)'!C43-'Summary(3pcs)'!$D$33</f>
        <v>142.49097022653791</v>
      </c>
      <c r="F43" s="84"/>
      <c r="G43" s="85"/>
      <c r="H43" s="85"/>
      <c r="I43" s="85"/>
      <c r="K43" s="78">
        <f t="shared" si="1"/>
        <v>3</v>
      </c>
      <c r="L43" s="79" t="str">
        <f>OC!K10</f>
        <v>22cc81110366</v>
      </c>
      <c r="M43" s="50">
        <f>OC!T10+VLOOKUP($R$32,$AD$39:$AK$43,4,FALSE)</f>
        <v>-3.6256823559</v>
      </c>
      <c r="N43" s="50">
        <f>OC!U10+VLOOKUP($R$32,$AD$39:$AK$43,5,FALSE)</f>
        <v>4.4899706299999842E-2</v>
      </c>
      <c r="O43" s="86"/>
      <c r="P43" s="86"/>
      <c r="Q43" s="84"/>
      <c r="R43" s="84"/>
      <c r="S43" s="34"/>
      <c r="T43" s="78">
        <v>3</v>
      </c>
      <c r="U43" s="79" t="str">
        <f>FPDC!K10</f>
        <v>22cc81110366</v>
      </c>
      <c r="V43" s="76">
        <f>FPDC!S10+VLOOKUP($R$32,$AD$39:$AK$43,2,FALSE)+VLOOKUP($R$32,$AD$39:$AK$43,7,FALSE)+VLOOKUP('File location'!$B$1,'Tester offset'!$A$2:$D$4,3,FALSE)</f>
        <v>-0.79546785349999993</v>
      </c>
      <c r="W43" s="77">
        <f>FPDC!T10+VLOOKUP($R$32,$AD$39:$AK$43,3,FALSE)+VLOOKUP($R$32,$AD$39:$AK$43,8,FALSE)+VLOOKUP('File location'!$B$1,'Tester offset'!$A$2:$D$4,4,FALSE)</f>
        <v>-1.8764328957</v>
      </c>
      <c r="X43" s="86"/>
      <c r="Y43" s="86"/>
      <c r="Z43" s="84"/>
      <c r="AA43" s="84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22cb76100602</v>
      </c>
      <c r="C44" s="50">
        <f>IPQC!T11+VLOOKUP($R$32,$AD$39:$AK$43,6,FALSE)+VLOOKUP('File location'!$B$1,'Tester offset'!$A$2:$D$4,2,FALSE)</f>
        <v>90.055905184799997</v>
      </c>
      <c r="D44" s="50">
        <f>IPQC!AA11+VLOOKUP($R$32,$AD$39:$AK$43,6,FALSE)</f>
        <v>74.000009988000002</v>
      </c>
      <c r="E44" s="50">
        <f>VCM!HV11-'Summary(3pcs)'!C44-'Summary(3pcs)'!$D$33</f>
        <v>149.55198463433788</v>
      </c>
      <c r="F44" s="84">
        <f>AVERAGEIF($A$35:$A$46,4,$C$35:$C$46)</f>
        <v>91.309126992833342</v>
      </c>
      <c r="G44" s="85">
        <f>AVERAGEIF($A$35:$A$46,4,$D$35:$D$46)</f>
        <v>72.793690376133341</v>
      </c>
      <c r="H44" s="85">
        <f>AVERAGEIF($A$35:$A$46,4,$E$35:$E$46)</f>
        <v>153.86385410180455</v>
      </c>
      <c r="I44" s="85">
        <f>85-F44</f>
        <v>-6.3091269928333418</v>
      </c>
      <c r="K44" s="78">
        <f t="shared" si="1"/>
        <v>4</v>
      </c>
      <c r="L44" s="79" t="str">
        <f>OC!K11</f>
        <v>22cb76100602</v>
      </c>
      <c r="M44" s="50">
        <f>OC!T11+VLOOKUP($R$32,$AD$39:$AK$43,4,FALSE)</f>
        <v>0.14868431530000001</v>
      </c>
      <c r="N44" s="50">
        <f>OC!U11+VLOOKUP($R$32,$AD$39:$AK$43,5,FALSE)</f>
        <v>5.6913853836000001</v>
      </c>
      <c r="O44" s="86">
        <f>AVERAGEIF($K$35:$K$46,4,$M$35:$M$46)</f>
        <v>-1.5752252747</v>
      </c>
      <c r="P44" s="86">
        <f>AVERAGEIF($K$35:$K$46,4,$N$35:$N$46)</f>
        <v>1.0267560297333331</v>
      </c>
      <c r="Q44" s="84">
        <f>P44*0.001</f>
        <v>1.0267560297333332E-3</v>
      </c>
      <c r="R44" s="84">
        <f>O44*0.001</f>
        <v>-1.5752252746999999E-3</v>
      </c>
      <c r="S44" s="34"/>
      <c r="T44" s="78">
        <v>4</v>
      </c>
      <c r="U44" s="79" t="str">
        <f>FPDC!K11</f>
        <v>22cb76100602</v>
      </c>
      <c r="V44" s="76">
        <f>FPDC!S11+VLOOKUP($R$32,$AD$39:$AK$43,2,FALSE)+VLOOKUP($R$32,$AD$39:$AK$43,7,FALSE)+VLOOKUP('File location'!$B$1,'Tester offset'!$A$2:$D$4,3,FALSE)</f>
        <v>1.1258859634</v>
      </c>
      <c r="W44" s="77">
        <f>FPDC!T11+VLOOKUP($R$32,$AD$39:$AK$43,3,FALSE)+VLOOKUP($R$32,$AD$39:$AK$43,8,FALSE)+VLOOKUP('File location'!$B$1,'Tester offset'!$A$2:$D$4,4,FALSE)</f>
        <v>-3.100753665</v>
      </c>
      <c r="X44" s="86">
        <f>AVERAGEIF($T$35:$T$46,4,$V$35:$V$46)</f>
        <v>4.5155197779333331</v>
      </c>
      <c r="Y44" s="86">
        <f>AVERAGEIF($T$35:$T$46,4,$W$35:$W$46)</f>
        <v>-0.72473768393333327</v>
      </c>
      <c r="Z44" s="84">
        <f>(X44*-0.01)/4</f>
        <v>-1.1288799444833334E-2</v>
      </c>
      <c r="AA44" s="84">
        <f>(Y44*-0.01)/4</f>
        <v>1.8118442098333332E-3</v>
      </c>
    </row>
    <row r="45" spans="1:37" ht="17.100000000000001" customHeight="1">
      <c r="A45" s="78">
        <f t="shared" si="0"/>
        <v>4</v>
      </c>
      <c r="B45" s="79" t="str">
        <f>IPQC!K12</f>
        <v>22cc81110456</v>
      </c>
      <c r="C45" s="50">
        <f>IPQC!T12+VLOOKUP($R$32,$AD$39:$AK$43,6,FALSE)+VLOOKUP('File location'!$B$1,'Tester offset'!$A$2:$D$4,2,FALSE)</f>
        <v>93.024125020699998</v>
      </c>
      <c r="D45" s="50">
        <f>IPQC!AA12+VLOOKUP($R$32,$AD$39:$AK$43,6,FALSE)</f>
        <v>71.336095430200004</v>
      </c>
      <c r="E45" s="50">
        <f>VCM!HV12-'Summary(3pcs)'!C45-'Summary(3pcs)'!$D$33</f>
        <v>145.04682229363789</v>
      </c>
      <c r="F45" s="84"/>
      <c r="G45" s="85"/>
      <c r="H45" s="85"/>
      <c r="I45" s="85"/>
      <c r="K45" s="78">
        <f t="shared" si="1"/>
        <v>4</v>
      </c>
      <c r="L45" s="79" t="str">
        <f>OC!K12</f>
        <v>22cc81110456</v>
      </c>
      <c r="M45" s="50">
        <f>OC!T12+VLOOKUP($R$32,$AD$39:$AK$43,4,FALSE)</f>
        <v>3.4920483794999999</v>
      </c>
      <c r="N45" s="50">
        <f>OC!U12+VLOOKUP($R$32,$AD$39:$AK$43,5,FALSE)</f>
        <v>0.34829104210000006</v>
      </c>
      <c r="O45" s="86"/>
      <c r="P45" s="86"/>
      <c r="Q45" s="84"/>
      <c r="R45" s="84"/>
      <c r="S45" s="34"/>
      <c r="T45" s="78">
        <v>4</v>
      </c>
      <c r="U45" s="79" t="str">
        <f>FPDC!K12</f>
        <v>22cc81110456</v>
      </c>
      <c r="V45" s="76">
        <f>FPDC!S12+VLOOKUP($R$32,$AD$39:$AK$43,2,FALSE)+VLOOKUP($R$32,$AD$39:$AK$43,7,FALSE)+VLOOKUP('File location'!$B$1,'Tester offset'!$A$2:$D$4,3,FALSE)</f>
        <v>7.4609823226999996</v>
      </c>
      <c r="W45" s="77">
        <f>FPDC!T12+VLOOKUP($R$32,$AD$39:$AK$43,3,FALSE)+VLOOKUP($R$32,$AD$39:$AK$43,8,FALSE)+VLOOKUP('File location'!$B$1,'Tester offset'!$A$2:$D$4,4,FALSE)</f>
        <v>-0.93273138999999983</v>
      </c>
      <c r="X45" s="86"/>
      <c r="Y45" s="86"/>
      <c r="Z45" s="84"/>
      <c r="AA45" s="84"/>
    </row>
    <row r="46" spans="1:37" ht="17.100000000000001" customHeight="1">
      <c r="A46" s="78">
        <f t="shared" si="0"/>
        <v>4</v>
      </c>
      <c r="B46" s="79" t="str">
        <f>IPQC!K13</f>
        <v>22cb76110556</v>
      </c>
      <c r="C46" s="50">
        <f>IPQC!T13+VLOOKUP($R$32,$AD$39:$AK$43,6,FALSE)+VLOOKUP('File location'!$B$1,'Tester offset'!$A$2:$D$4,2,FALSE)</f>
        <v>90.847350773000002</v>
      </c>
      <c r="D46" s="50">
        <f>IPQC!AA13+VLOOKUP($R$32,$AD$39:$AK$43,6,FALSE)</f>
        <v>73.044965710200003</v>
      </c>
      <c r="E46" s="50">
        <f>VCM!HV13-'Summary(3pcs)'!C46-'Summary(3pcs)'!$D$33</f>
        <v>166.9927553774379</v>
      </c>
      <c r="F46" s="84"/>
      <c r="G46" s="85"/>
      <c r="H46" s="85"/>
      <c r="I46" s="85"/>
      <c r="K46" s="78">
        <f t="shared" si="1"/>
        <v>4</v>
      </c>
      <c r="L46" s="79" t="str">
        <f>OC!K13</f>
        <v>22cb76110556</v>
      </c>
      <c r="M46" s="50">
        <f>OC!T13+VLOOKUP($R$32,$AD$39:$AK$43,4,FALSE)</f>
        <v>-8.3664085189000001</v>
      </c>
      <c r="N46" s="50">
        <f>OC!U13+VLOOKUP($R$32,$AD$39:$AK$43,5,FALSE)</f>
        <v>-2.9594083365000001</v>
      </c>
      <c r="O46" s="86"/>
      <c r="P46" s="86"/>
      <c r="Q46" s="84"/>
      <c r="R46" s="84"/>
      <c r="S46" s="34"/>
      <c r="T46" s="78">
        <v>4</v>
      </c>
      <c r="U46" s="79" t="str">
        <f>FPDC!K13</f>
        <v>22cb76110556</v>
      </c>
      <c r="V46" s="76">
        <f>FPDC!S13+VLOOKUP($R$32,$AD$39:$AK$43,2,FALSE)+VLOOKUP($R$32,$AD$39:$AK$43,7,FALSE)+VLOOKUP('File location'!$B$1,'Tester offset'!$A$2:$D$4,3,FALSE)</f>
        <v>4.9596910476999998</v>
      </c>
      <c r="W46" s="77">
        <f>FPDC!T13+VLOOKUP($R$32,$AD$39:$AK$43,3,FALSE)+VLOOKUP($R$32,$AD$39:$AK$43,8,FALSE)+VLOOKUP('File location'!$B$1,'Tester offset'!$A$2:$D$4,4,FALSE)</f>
        <v>1.8592720032000001</v>
      </c>
      <c r="X46" s="86"/>
      <c r="Y46" s="86"/>
      <c r="Z46" s="84"/>
      <c r="AA46" s="84"/>
    </row>
    <row r="48" spans="1:37" ht="15">
      <c r="F48" s="82" t="s">
        <v>14</v>
      </c>
      <c r="G48" s="82"/>
      <c r="H48" s="29" t="s">
        <v>105</v>
      </c>
      <c r="O48" s="82" t="s">
        <v>114</v>
      </c>
      <c r="P48" s="82"/>
      <c r="Q48" s="29" t="s">
        <v>105</v>
      </c>
      <c r="Y48" s="82" t="s">
        <v>2</v>
      </c>
      <c r="Z48" s="82"/>
      <c r="AA48" s="29" t="s">
        <v>105</v>
      </c>
    </row>
    <row r="49" spans="6:27" ht="17.25">
      <c r="F49" s="83" t="s">
        <v>163</v>
      </c>
      <c r="G49" s="83"/>
      <c r="H49" s="49" t="s">
        <v>148</v>
      </c>
      <c r="O49" s="87" t="s">
        <v>165</v>
      </c>
      <c r="P49" s="83"/>
      <c r="Q49" s="49" t="s">
        <v>162</v>
      </c>
      <c r="Y49" s="87" t="s">
        <v>165</v>
      </c>
      <c r="Z49" s="83"/>
      <c r="AA49" s="49" t="s">
        <v>104</v>
      </c>
    </row>
    <row r="50" spans="6:27" ht="17.25">
      <c r="F50" s="83" t="s">
        <v>164</v>
      </c>
      <c r="G50" s="83"/>
      <c r="H50" s="49" t="s">
        <v>107</v>
      </c>
      <c r="O50" s="87" t="s">
        <v>171</v>
      </c>
      <c r="P50" s="83"/>
      <c r="Q50" s="49" t="s">
        <v>169</v>
      </c>
      <c r="Y50" s="87" t="s">
        <v>167</v>
      </c>
      <c r="Z50" s="83"/>
      <c r="AA50" s="49" t="s">
        <v>168</v>
      </c>
    </row>
    <row r="51" spans="6:27" ht="17.25">
      <c r="F51" s="83" t="s">
        <v>16</v>
      </c>
      <c r="G51" s="83"/>
      <c r="H51" s="49" t="s">
        <v>106</v>
      </c>
      <c r="O51" s="87" t="s">
        <v>171</v>
      </c>
      <c r="P51" s="83"/>
      <c r="Q51" s="79" t="s">
        <v>170</v>
      </c>
      <c r="Y51" s="87" t="s">
        <v>166</v>
      </c>
      <c r="Z51" s="83"/>
      <c r="AA51" s="49" t="s">
        <v>149</v>
      </c>
    </row>
    <row r="53" spans="6:27" ht="19.5">
      <c r="I53" s="42"/>
      <c r="J53" s="42"/>
      <c r="K53" s="89" t="s">
        <v>156</v>
      </c>
      <c r="L53" s="90"/>
      <c r="M53" s="90"/>
      <c r="N53" s="90"/>
      <c r="O53" s="90"/>
      <c r="P53" s="90"/>
      <c r="Q53" s="91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97.1421445517</v>
      </c>
      <c r="L55" s="52">
        <f t="shared" ref="L55:L66" si="4">D35</f>
        <v>79.024249933500002</v>
      </c>
      <c r="M55" s="52">
        <f t="shared" ref="M55:M66" si="5">E35</f>
        <v>137.88519101793793</v>
      </c>
      <c r="N55" s="52">
        <f t="shared" ref="N55:O66" si="6">M35</f>
        <v>0.80825859909999997</v>
      </c>
      <c r="O55" s="52">
        <f t="shared" si="6"/>
        <v>1.3760600373999998</v>
      </c>
      <c r="P55" s="52">
        <f t="shared" ref="P55:P66" si="7">V35</f>
        <v>7.5498027802000003</v>
      </c>
      <c r="Q55" s="53">
        <f t="shared" ref="Q55:Q66" si="8">W35</f>
        <v>2.7403211593999997</v>
      </c>
    </row>
    <row r="56" spans="6:27" ht="19.5">
      <c r="I56" s="43">
        <f t="shared" si="2"/>
        <v>1</v>
      </c>
      <c r="J56" s="44"/>
      <c r="K56" s="54">
        <f t="shared" si="3"/>
        <v>90.0979550303</v>
      </c>
      <c r="L56" s="55">
        <f t="shared" si="4"/>
        <v>73.311074659300004</v>
      </c>
      <c r="M56" s="55">
        <f t="shared" si="5"/>
        <v>145.47571840713789</v>
      </c>
      <c r="N56" s="55">
        <f t="shared" si="6"/>
        <v>0.7038872021</v>
      </c>
      <c r="O56" s="55">
        <f t="shared" si="6"/>
        <v>-0.73749528449999957</v>
      </c>
      <c r="P56" s="55">
        <f t="shared" si="7"/>
        <v>-0.3020267486999999</v>
      </c>
      <c r="Q56" s="56">
        <f t="shared" si="8"/>
        <v>-1.3427152633999999</v>
      </c>
    </row>
    <row r="57" spans="6:27" ht="19.5">
      <c r="I57" s="43">
        <f t="shared" si="2"/>
        <v>1</v>
      </c>
      <c r="J57" s="44"/>
      <c r="K57" s="57">
        <f t="shared" si="3"/>
        <v>90.552417253000002</v>
      </c>
      <c r="L57" s="58">
        <f t="shared" si="4"/>
        <v>74.478606928999994</v>
      </c>
      <c r="M57" s="58">
        <f t="shared" si="5"/>
        <v>146.72296780843794</v>
      </c>
      <c r="N57" s="58">
        <f t="shared" si="6"/>
        <v>-6.9197461887999996</v>
      </c>
      <c r="O57" s="58">
        <f t="shared" si="6"/>
        <v>6.2960361675000005</v>
      </c>
      <c r="P57" s="58">
        <f t="shared" si="7"/>
        <v>8.1080741881999998</v>
      </c>
      <c r="Q57" s="59">
        <f t="shared" si="8"/>
        <v>1.4739618301000004</v>
      </c>
    </row>
    <row r="58" spans="6:27" ht="19.5">
      <c r="I58" s="43">
        <f t="shared" si="2"/>
        <v>2</v>
      </c>
      <c r="J58" s="44"/>
      <c r="K58" s="60">
        <f t="shared" si="3"/>
        <v>96.0811322319</v>
      </c>
      <c r="L58" s="61">
        <f t="shared" si="4"/>
        <v>83.212617820199995</v>
      </c>
      <c r="M58" s="61">
        <f t="shared" si="5"/>
        <v>137.22701494913792</v>
      </c>
      <c r="N58" s="61">
        <f t="shared" si="6"/>
        <v>2.9726312476999999</v>
      </c>
      <c r="O58" s="61">
        <f t="shared" si="6"/>
        <v>6.4726886138999999</v>
      </c>
      <c r="P58" s="61">
        <f t="shared" si="7"/>
        <v>4.371260166199999</v>
      </c>
      <c r="Q58" s="62">
        <f t="shared" si="8"/>
        <v>0.30766344069999985</v>
      </c>
    </row>
    <row r="59" spans="6:27" ht="19.5">
      <c r="I59" s="43">
        <f t="shared" si="2"/>
        <v>2</v>
      </c>
      <c r="J59" s="44"/>
      <c r="K59" s="60">
        <f t="shared" si="3"/>
        <v>89.170618150899998</v>
      </c>
      <c r="L59" s="61">
        <f t="shared" si="4"/>
        <v>68.316866185199999</v>
      </c>
      <c r="M59" s="61">
        <f t="shared" si="5"/>
        <v>144.50319155813793</v>
      </c>
      <c r="N59" s="61">
        <f t="shared" si="6"/>
        <v>7.8071410094999996</v>
      </c>
      <c r="O59" s="61">
        <f t="shared" si="6"/>
        <v>-3.6199998333999996</v>
      </c>
      <c r="P59" s="61">
        <f t="shared" si="7"/>
        <v>11.229794502300001</v>
      </c>
      <c r="Q59" s="62">
        <f t="shared" si="8"/>
        <v>-3.0804949999</v>
      </c>
    </row>
    <row r="60" spans="6:27" ht="19.5">
      <c r="I60" s="43">
        <f t="shared" si="2"/>
        <v>2</v>
      </c>
      <c r="J60" s="44"/>
      <c r="K60" s="60">
        <f t="shared" si="3"/>
        <v>91.112912605299996</v>
      </c>
      <c r="L60" s="61">
        <f t="shared" si="4"/>
        <v>74.813987873399995</v>
      </c>
      <c r="M60" s="61">
        <f t="shared" si="5"/>
        <v>139.98656917063795</v>
      </c>
      <c r="N60" s="61">
        <f t="shared" si="6"/>
        <v>7.7927466057999997</v>
      </c>
      <c r="O60" s="61">
        <f t="shared" si="6"/>
        <v>0.43847760659999979</v>
      </c>
      <c r="P60" s="61">
        <f t="shared" si="7"/>
        <v>15.533514022799999</v>
      </c>
      <c r="Q60" s="62">
        <f t="shared" si="8"/>
        <v>-3.8065302968000001</v>
      </c>
    </row>
    <row r="61" spans="6:27" ht="19.5">
      <c r="I61" s="43">
        <f t="shared" si="2"/>
        <v>3</v>
      </c>
      <c r="J61" s="44"/>
      <c r="K61" s="66">
        <f t="shared" si="3"/>
        <v>88.167988987399994</v>
      </c>
      <c r="L61" s="67">
        <f t="shared" si="4"/>
        <v>70.964053568699995</v>
      </c>
      <c r="M61" s="67">
        <f t="shared" si="5"/>
        <v>151.63536354603792</v>
      </c>
      <c r="N61" s="67">
        <f t="shared" si="6"/>
        <v>-1.2004674783</v>
      </c>
      <c r="O61" s="67">
        <f t="shared" si="6"/>
        <v>-0.31427369489999979</v>
      </c>
      <c r="P61" s="67">
        <f t="shared" si="7"/>
        <v>0.71373271939999938</v>
      </c>
      <c r="Q61" s="68">
        <f t="shared" si="8"/>
        <v>-0.3090684414</v>
      </c>
    </row>
    <row r="62" spans="6:27" ht="19.5">
      <c r="I62" s="43">
        <f t="shared" si="2"/>
        <v>3</v>
      </c>
      <c r="J62" s="44"/>
      <c r="K62" s="69">
        <f t="shared" si="3"/>
        <v>94.108237904399999</v>
      </c>
      <c r="L62" s="70">
        <f t="shared" si="4"/>
        <v>77.390742941599996</v>
      </c>
      <c r="M62" s="70">
        <f t="shared" si="5"/>
        <v>145.29060412023796</v>
      </c>
      <c r="N62" s="70">
        <f t="shared" si="6"/>
        <v>-8.0705877156000003</v>
      </c>
      <c r="O62" s="70">
        <f t="shared" si="6"/>
        <v>11.112644641900001</v>
      </c>
      <c r="P62" s="70">
        <f t="shared" si="7"/>
        <v>7.2405986785999996</v>
      </c>
      <c r="Q62" s="71">
        <f t="shared" si="8"/>
        <v>0.14081096650000013</v>
      </c>
    </row>
    <row r="63" spans="6:27" ht="19.5">
      <c r="I63" s="43">
        <f t="shared" si="2"/>
        <v>3</v>
      </c>
      <c r="J63" s="44"/>
      <c r="K63" s="72">
        <f t="shared" si="3"/>
        <v>95.742332656800002</v>
      </c>
      <c r="L63" s="73">
        <f t="shared" si="4"/>
        <v>79.158855467699993</v>
      </c>
      <c r="M63" s="73">
        <f t="shared" si="5"/>
        <v>142.49097022653791</v>
      </c>
      <c r="N63" s="73">
        <f t="shared" si="6"/>
        <v>-3.6256823559</v>
      </c>
      <c r="O63" s="73">
        <f t="shared" si="6"/>
        <v>4.4899706299999842E-2</v>
      </c>
      <c r="P63" s="73">
        <f t="shared" si="7"/>
        <v>-0.79546785349999993</v>
      </c>
      <c r="Q63" s="74">
        <f t="shared" si="8"/>
        <v>-1.8764328957</v>
      </c>
    </row>
    <row r="64" spans="6:27" ht="19.5">
      <c r="I64" s="43">
        <f t="shared" si="2"/>
        <v>4</v>
      </c>
      <c r="J64" s="44"/>
      <c r="K64" s="60">
        <f t="shared" si="3"/>
        <v>90.055905184799997</v>
      </c>
      <c r="L64" s="61">
        <f t="shared" si="4"/>
        <v>74.000009988000002</v>
      </c>
      <c r="M64" s="61">
        <f t="shared" si="5"/>
        <v>149.55198463433788</v>
      </c>
      <c r="N64" s="61">
        <f t="shared" si="6"/>
        <v>0.14868431530000001</v>
      </c>
      <c r="O64" s="61">
        <f t="shared" si="6"/>
        <v>5.6913853836000001</v>
      </c>
      <c r="P64" s="61">
        <f t="shared" si="7"/>
        <v>1.1258859634</v>
      </c>
      <c r="Q64" s="62">
        <f t="shared" si="8"/>
        <v>-3.100753665</v>
      </c>
    </row>
    <row r="65" spans="9:17" ht="19.5">
      <c r="I65" s="43">
        <f t="shared" si="2"/>
        <v>4</v>
      </c>
      <c r="J65" s="44"/>
      <c r="K65" s="60">
        <f t="shared" si="3"/>
        <v>93.024125020699998</v>
      </c>
      <c r="L65" s="61">
        <f t="shared" si="4"/>
        <v>71.336095430200004</v>
      </c>
      <c r="M65" s="61">
        <f t="shared" si="5"/>
        <v>145.04682229363789</v>
      </c>
      <c r="N65" s="61">
        <f t="shared" si="6"/>
        <v>3.4920483794999999</v>
      </c>
      <c r="O65" s="61">
        <f t="shared" si="6"/>
        <v>0.34829104210000006</v>
      </c>
      <c r="P65" s="61">
        <f t="shared" si="7"/>
        <v>7.4609823226999996</v>
      </c>
      <c r="Q65" s="62">
        <f t="shared" si="8"/>
        <v>-0.93273138999999983</v>
      </c>
    </row>
    <row r="66" spans="9:17" ht="20.25" thickBot="1">
      <c r="I66" s="43">
        <f t="shared" si="2"/>
        <v>4</v>
      </c>
      <c r="J66" s="44"/>
      <c r="K66" s="63">
        <f t="shared" si="3"/>
        <v>90.847350773000002</v>
      </c>
      <c r="L66" s="64">
        <f t="shared" si="4"/>
        <v>73.044965710200003</v>
      </c>
      <c r="M66" s="64">
        <f t="shared" si="5"/>
        <v>166.9927553774379</v>
      </c>
      <c r="N66" s="64">
        <f t="shared" si="6"/>
        <v>-8.3664085189000001</v>
      </c>
      <c r="O66" s="64">
        <f t="shared" si="6"/>
        <v>-2.9594083365000001</v>
      </c>
      <c r="P66" s="64">
        <f t="shared" si="7"/>
        <v>4.9596910476999998</v>
      </c>
      <c r="Q66" s="65">
        <f t="shared" si="8"/>
        <v>1.8592720032000001</v>
      </c>
    </row>
  </sheetData>
  <sheetProtection selectLockedCells="1"/>
  <mergeCells count="68"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  <mergeCell ref="AE37:AI37"/>
    <mergeCell ref="AJ37:AK37"/>
    <mergeCell ref="AD37:AD38"/>
    <mergeCell ref="AA35:AA37"/>
    <mergeCell ref="Z38:Z40"/>
    <mergeCell ref="AA38:AA40"/>
    <mergeCell ref="Z35:Z37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s="17" t="s">
        <v>208</v>
      </c>
    </row>
    <row r="2" spans="1:37">
      <c r="A2" t="s">
        <v>529</v>
      </c>
      <c r="B2" t="s">
        <v>530</v>
      </c>
      <c r="C2" t="s">
        <v>531</v>
      </c>
      <c r="D2" t="s">
        <v>209</v>
      </c>
      <c r="E2">
        <v>3</v>
      </c>
      <c r="F2" t="s">
        <v>210</v>
      </c>
      <c r="G2" t="s">
        <v>211</v>
      </c>
      <c r="H2" t="s">
        <v>212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2113.3082585991001</v>
      </c>
      <c r="S2">
        <v>1515.1239399625999</v>
      </c>
      <c r="T2">
        <v>0.80825859909999997</v>
      </c>
      <c r="U2">
        <v>-2.6239399626000002</v>
      </c>
      <c r="V2">
        <v>2.7456042851000002</v>
      </c>
      <c r="W2">
        <v>737.66039999999998</v>
      </c>
      <c r="X2">
        <v>396.55029999999999</v>
      </c>
      <c r="Y2">
        <v>394.77530000000002</v>
      </c>
      <c r="Z2">
        <v>393.31360000000001</v>
      </c>
      <c r="AA2">
        <v>392.19400000000002</v>
      </c>
      <c r="AB2">
        <v>565.93434999999999</v>
      </c>
      <c r="AC2" t="s">
        <v>213</v>
      </c>
      <c r="AD2" t="s">
        <v>214</v>
      </c>
      <c r="AE2" t="s">
        <v>215</v>
      </c>
      <c r="AF2" t="s">
        <v>216</v>
      </c>
      <c r="AG2" t="s">
        <v>217</v>
      </c>
      <c r="AH2">
        <v>8</v>
      </c>
      <c r="AI2" t="s">
        <v>218</v>
      </c>
      <c r="AK2" s="17">
        <v>1</v>
      </c>
    </row>
    <row r="3" spans="1:37">
      <c r="A3" t="s">
        <v>538</v>
      </c>
      <c r="B3" t="s">
        <v>539</v>
      </c>
      <c r="C3" t="s">
        <v>540</v>
      </c>
      <c r="D3" t="s">
        <v>209</v>
      </c>
      <c r="E3">
        <v>3</v>
      </c>
      <c r="F3" t="s">
        <v>210</v>
      </c>
      <c r="G3" t="s">
        <v>211</v>
      </c>
      <c r="H3" t="s">
        <v>212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2113.2038872020998</v>
      </c>
      <c r="S3">
        <v>1517.2374952845</v>
      </c>
      <c r="T3">
        <v>0.7038872021</v>
      </c>
      <c r="U3">
        <v>-4.7374952844999996</v>
      </c>
      <c r="V3">
        <v>4.7895008888000001</v>
      </c>
      <c r="W3">
        <v>736.49720000000002</v>
      </c>
      <c r="X3">
        <v>395.62259999999998</v>
      </c>
      <c r="Y3">
        <v>397.57139999999998</v>
      </c>
      <c r="Z3">
        <v>396.89150000000001</v>
      </c>
      <c r="AA3">
        <v>394.59930000000003</v>
      </c>
      <c r="AB3">
        <v>566.33420000000001</v>
      </c>
      <c r="AC3" t="s">
        <v>213</v>
      </c>
      <c r="AD3" t="s">
        <v>214</v>
      </c>
      <c r="AE3" t="s">
        <v>215</v>
      </c>
      <c r="AF3" t="s">
        <v>216</v>
      </c>
      <c r="AG3" t="s">
        <v>217</v>
      </c>
      <c r="AH3">
        <v>8</v>
      </c>
      <c r="AI3" t="s">
        <v>218</v>
      </c>
      <c r="AK3" s="17">
        <v>1</v>
      </c>
    </row>
    <row r="4" spans="1:37">
      <c r="A4" t="s">
        <v>546</v>
      </c>
      <c r="B4" t="s">
        <v>547</v>
      </c>
      <c r="C4" t="s">
        <v>548</v>
      </c>
      <c r="D4" t="s">
        <v>209</v>
      </c>
      <c r="E4">
        <v>3</v>
      </c>
      <c r="F4" t="s">
        <v>210</v>
      </c>
      <c r="G4" t="s">
        <v>211</v>
      </c>
      <c r="H4" t="s">
        <v>212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2105.5802538111998</v>
      </c>
      <c r="S4">
        <v>1510.2039638325</v>
      </c>
      <c r="T4">
        <v>-6.9197461887999996</v>
      </c>
      <c r="U4">
        <v>2.2960361675000001</v>
      </c>
      <c r="V4">
        <v>7.2907248885999998</v>
      </c>
      <c r="W4">
        <v>731.15830000000005</v>
      </c>
      <c r="X4">
        <v>393.9599</v>
      </c>
      <c r="Y4">
        <v>394.95299999999997</v>
      </c>
      <c r="Z4">
        <v>393.11610000000002</v>
      </c>
      <c r="AA4">
        <v>391.4853</v>
      </c>
      <c r="AB4">
        <v>562.2684375</v>
      </c>
      <c r="AC4" t="s">
        <v>213</v>
      </c>
      <c r="AD4" t="s">
        <v>214</v>
      </c>
      <c r="AE4" t="s">
        <v>215</v>
      </c>
      <c r="AF4" t="s">
        <v>216</v>
      </c>
      <c r="AG4" t="s">
        <v>217</v>
      </c>
      <c r="AH4">
        <v>8</v>
      </c>
      <c r="AI4" t="s">
        <v>218</v>
      </c>
      <c r="AK4" s="17">
        <v>1</v>
      </c>
    </row>
    <row r="5" spans="1:37">
      <c r="A5" t="s">
        <v>575</v>
      </c>
      <c r="B5" t="s">
        <v>576</v>
      </c>
      <c r="C5" t="s">
        <v>577</v>
      </c>
      <c r="D5" t="s">
        <v>209</v>
      </c>
      <c r="E5">
        <v>3</v>
      </c>
      <c r="F5" t="s">
        <v>210</v>
      </c>
      <c r="G5" t="s">
        <v>211</v>
      </c>
      <c r="H5" t="s">
        <v>212</v>
      </c>
      <c r="I5" t="s">
        <v>532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2115.4726312477001</v>
      </c>
      <c r="S5">
        <v>1510.0273113861001</v>
      </c>
      <c r="T5">
        <v>2.9726312476999999</v>
      </c>
      <c r="U5">
        <v>2.4726886138999999</v>
      </c>
      <c r="V5">
        <v>3.8666168049</v>
      </c>
      <c r="W5">
        <v>747.51570000000004</v>
      </c>
      <c r="X5">
        <v>397.85840000000002</v>
      </c>
      <c r="Y5">
        <v>399.69080000000002</v>
      </c>
      <c r="Z5">
        <v>395.51429999999999</v>
      </c>
      <c r="AA5">
        <v>398.8467</v>
      </c>
      <c r="AB5">
        <v>572.74662499999999</v>
      </c>
      <c r="AC5" t="s">
        <v>213</v>
      </c>
      <c r="AD5" t="s">
        <v>214</v>
      </c>
      <c r="AE5" t="s">
        <v>215</v>
      </c>
      <c r="AF5" t="s">
        <v>216</v>
      </c>
      <c r="AG5" t="s">
        <v>217</v>
      </c>
      <c r="AH5">
        <v>8</v>
      </c>
      <c r="AI5" t="s">
        <v>218</v>
      </c>
      <c r="AK5" s="17">
        <v>1</v>
      </c>
    </row>
    <row r="6" spans="1:37">
      <c r="A6" t="s">
        <v>583</v>
      </c>
      <c r="B6" t="s">
        <v>584</v>
      </c>
      <c r="C6" t="s">
        <v>585</v>
      </c>
      <c r="D6" t="s">
        <v>209</v>
      </c>
      <c r="E6">
        <v>3</v>
      </c>
      <c r="F6" t="s">
        <v>210</v>
      </c>
      <c r="G6" t="s">
        <v>211</v>
      </c>
      <c r="H6" t="s">
        <v>212</v>
      </c>
      <c r="I6" t="s">
        <v>532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2120.3071410094999</v>
      </c>
      <c r="S6">
        <v>1520.1199998334</v>
      </c>
      <c r="T6">
        <v>7.8071410094999996</v>
      </c>
      <c r="U6">
        <v>-7.6199998333999996</v>
      </c>
      <c r="V6">
        <v>10.9094384917</v>
      </c>
      <c r="W6">
        <v>733.40009999999995</v>
      </c>
      <c r="X6">
        <v>393.2817</v>
      </c>
      <c r="Y6">
        <v>395.52949999999998</v>
      </c>
      <c r="Z6">
        <v>391.10430000000002</v>
      </c>
      <c r="AA6">
        <v>392.53429999999997</v>
      </c>
      <c r="AB6">
        <v>563.25627499999996</v>
      </c>
      <c r="AC6" t="s">
        <v>213</v>
      </c>
      <c r="AD6" t="s">
        <v>214</v>
      </c>
      <c r="AE6" t="s">
        <v>215</v>
      </c>
      <c r="AF6" t="s">
        <v>216</v>
      </c>
      <c r="AG6" t="s">
        <v>217</v>
      </c>
      <c r="AH6">
        <v>8</v>
      </c>
      <c r="AI6" t="s">
        <v>218</v>
      </c>
      <c r="AK6" s="17">
        <v>1</v>
      </c>
    </row>
    <row r="7" spans="1:37">
      <c r="A7" t="s">
        <v>591</v>
      </c>
      <c r="B7" t="s">
        <v>592</v>
      </c>
      <c r="C7" t="s">
        <v>593</v>
      </c>
      <c r="D7" t="s">
        <v>209</v>
      </c>
      <c r="E7">
        <v>3</v>
      </c>
      <c r="F7" t="s">
        <v>210</v>
      </c>
      <c r="G7" t="s">
        <v>211</v>
      </c>
      <c r="H7" t="s">
        <v>212</v>
      </c>
      <c r="I7" t="s">
        <v>532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2120.2927466057999</v>
      </c>
      <c r="S7">
        <v>1516.0615223934001</v>
      </c>
      <c r="T7">
        <v>7.7927466057999997</v>
      </c>
      <c r="U7">
        <v>-3.5615223934000002</v>
      </c>
      <c r="V7">
        <v>8.5680418661999997</v>
      </c>
      <c r="W7">
        <v>740.91719999999998</v>
      </c>
      <c r="X7">
        <v>399.88409999999999</v>
      </c>
      <c r="Y7">
        <v>398.39100000000002</v>
      </c>
      <c r="Z7">
        <v>397.80340000000001</v>
      </c>
      <c r="AA7">
        <v>399.11250000000001</v>
      </c>
      <c r="AB7">
        <v>569.85747500000002</v>
      </c>
      <c r="AC7" t="s">
        <v>213</v>
      </c>
      <c r="AD7" t="s">
        <v>214</v>
      </c>
      <c r="AE7" t="s">
        <v>215</v>
      </c>
      <c r="AF7" t="s">
        <v>216</v>
      </c>
      <c r="AG7" t="s">
        <v>217</v>
      </c>
      <c r="AH7">
        <v>8</v>
      </c>
      <c r="AI7" t="s">
        <v>218</v>
      </c>
      <c r="AK7" s="17">
        <v>1</v>
      </c>
    </row>
    <row r="8" spans="1:37">
      <c r="A8" t="s">
        <v>599</v>
      </c>
      <c r="B8" t="s">
        <v>600</v>
      </c>
      <c r="C8" t="s">
        <v>601</v>
      </c>
      <c r="D8" t="s">
        <v>209</v>
      </c>
      <c r="E8">
        <v>3</v>
      </c>
      <c r="F8" t="s">
        <v>210</v>
      </c>
      <c r="G8" t="s">
        <v>211</v>
      </c>
      <c r="H8" t="s">
        <v>212</v>
      </c>
      <c r="I8" t="s">
        <v>532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2111.2995325216998</v>
      </c>
      <c r="S8">
        <v>1516.8142736949001</v>
      </c>
      <c r="T8">
        <v>-1.2004674783</v>
      </c>
      <c r="U8">
        <v>-4.3142736948999998</v>
      </c>
      <c r="V8">
        <v>4.4781781653000001</v>
      </c>
      <c r="W8">
        <v>736.45719999999994</v>
      </c>
      <c r="X8">
        <v>397.13499999999999</v>
      </c>
      <c r="Y8">
        <v>399.06610000000001</v>
      </c>
      <c r="Z8">
        <v>397.47300000000001</v>
      </c>
      <c r="AA8">
        <v>394.01900000000001</v>
      </c>
      <c r="AB8">
        <v>566.69023749999997</v>
      </c>
      <c r="AC8" t="s">
        <v>213</v>
      </c>
      <c r="AD8" t="s">
        <v>214</v>
      </c>
      <c r="AE8" t="s">
        <v>215</v>
      </c>
      <c r="AF8" t="s">
        <v>216</v>
      </c>
      <c r="AG8" t="s">
        <v>217</v>
      </c>
      <c r="AH8">
        <v>8</v>
      </c>
      <c r="AI8" t="s">
        <v>218</v>
      </c>
      <c r="AK8" s="17">
        <v>1</v>
      </c>
    </row>
    <row r="9" spans="1:37">
      <c r="A9" t="s">
        <v>607</v>
      </c>
      <c r="B9" t="s">
        <v>608</v>
      </c>
      <c r="C9" t="s">
        <v>609</v>
      </c>
      <c r="D9" t="s">
        <v>209</v>
      </c>
      <c r="E9">
        <v>3</v>
      </c>
      <c r="F9" t="s">
        <v>210</v>
      </c>
      <c r="G9" t="s">
        <v>211</v>
      </c>
      <c r="H9" t="s">
        <v>212</v>
      </c>
      <c r="I9" t="s">
        <v>532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2104.4294122843999</v>
      </c>
      <c r="S9">
        <v>1505.3873553581</v>
      </c>
      <c r="T9">
        <v>-8.0705877156000003</v>
      </c>
      <c r="U9">
        <v>7.1126446419000002</v>
      </c>
      <c r="V9">
        <v>10.7575136475</v>
      </c>
      <c r="W9">
        <v>724.8981</v>
      </c>
      <c r="X9">
        <v>392.59300000000002</v>
      </c>
      <c r="Y9">
        <v>387.77890000000002</v>
      </c>
      <c r="Z9">
        <v>390.76749999999998</v>
      </c>
      <c r="AA9">
        <v>385.67939999999999</v>
      </c>
      <c r="AB9">
        <v>557.05139999999994</v>
      </c>
      <c r="AC9" t="s">
        <v>213</v>
      </c>
      <c r="AD9" t="s">
        <v>214</v>
      </c>
      <c r="AE9" t="s">
        <v>215</v>
      </c>
      <c r="AF9" t="s">
        <v>216</v>
      </c>
      <c r="AG9" t="s">
        <v>217</v>
      </c>
      <c r="AH9">
        <v>8</v>
      </c>
      <c r="AI9" t="s">
        <v>218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209</v>
      </c>
      <c r="E10">
        <v>3</v>
      </c>
      <c r="F10" t="s">
        <v>210</v>
      </c>
      <c r="G10" t="s">
        <v>211</v>
      </c>
      <c r="H10" t="s">
        <v>212</v>
      </c>
      <c r="I10" t="s">
        <v>532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2108.8743176440998</v>
      </c>
      <c r="S10">
        <v>1516.4551002937001</v>
      </c>
      <c r="T10">
        <v>-3.6256823559</v>
      </c>
      <c r="U10">
        <v>-3.9551002937000002</v>
      </c>
      <c r="V10">
        <v>5.3654814209000001</v>
      </c>
      <c r="W10">
        <v>735.40470000000005</v>
      </c>
      <c r="X10">
        <v>390.0188</v>
      </c>
      <c r="Y10">
        <v>391.1961</v>
      </c>
      <c r="Z10">
        <v>393.13409999999999</v>
      </c>
      <c r="AA10">
        <v>388.03769999999997</v>
      </c>
      <c r="AB10">
        <v>563.00068750000003</v>
      </c>
      <c r="AC10" t="s">
        <v>213</v>
      </c>
      <c r="AD10" t="s">
        <v>214</v>
      </c>
      <c r="AE10" t="s">
        <v>215</v>
      </c>
      <c r="AF10" t="s">
        <v>216</v>
      </c>
      <c r="AG10" t="s">
        <v>217</v>
      </c>
      <c r="AH10">
        <v>8</v>
      </c>
      <c r="AI10" t="s">
        <v>218</v>
      </c>
      <c r="AK10" s="17">
        <v>1</v>
      </c>
    </row>
    <row r="11" spans="1:37">
      <c r="A11" t="s">
        <v>658</v>
      </c>
      <c r="B11" t="s">
        <v>659</v>
      </c>
      <c r="C11" t="s">
        <v>660</v>
      </c>
      <c r="D11" t="s">
        <v>209</v>
      </c>
      <c r="E11">
        <v>3</v>
      </c>
      <c r="F11" t="s">
        <v>210</v>
      </c>
      <c r="G11" t="s">
        <v>211</v>
      </c>
      <c r="H11" t="s">
        <v>212</v>
      </c>
      <c r="I11" t="s">
        <v>532</v>
      </c>
      <c r="K11" t="s">
        <v>661</v>
      </c>
      <c r="L11" t="s">
        <v>662</v>
      </c>
      <c r="M11" t="s">
        <v>663</v>
      </c>
      <c r="N11" t="s">
        <v>664</v>
      </c>
      <c r="O11" t="s">
        <v>665</v>
      </c>
      <c r="P11">
        <v>0</v>
      </c>
      <c r="Q11">
        <v>0</v>
      </c>
      <c r="R11">
        <v>2112.6486843153002</v>
      </c>
      <c r="S11">
        <v>1510.8086146164001</v>
      </c>
      <c r="T11">
        <v>0.14868431530000001</v>
      </c>
      <c r="U11">
        <v>1.6913853835999999</v>
      </c>
      <c r="V11">
        <v>1.6979079897</v>
      </c>
      <c r="W11">
        <v>731.41499999999996</v>
      </c>
      <c r="X11">
        <v>395.13249999999999</v>
      </c>
      <c r="Y11">
        <v>394.19290000000001</v>
      </c>
      <c r="Z11">
        <v>393.52940000000001</v>
      </c>
      <c r="AA11">
        <v>390.84160000000003</v>
      </c>
      <c r="AB11">
        <v>562.41954999999996</v>
      </c>
      <c r="AC11" t="s">
        <v>213</v>
      </c>
      <c r="AD11" t="s">
        <v>214</v>
      </c>
      <c r="AE11" t="s">
        <v>215</v>
      </c>
      <c r="AF11" t="s">
        <v>216</v>
      </c>
      <c r="AG11" t="s">
        <v>217</v>
      </c>
      <c r="AH11">
        <v>8</v>
      </c>
      <c r="AI11" t="s">
        <v>218</v>
      </c>
      <c r="AK11" s="17">
        <v>1</v>
      </c>
    </row>
    <row r="12" spans="1:37">
      <c r="A12" t="s">
        <v>666</v>
      </c>
      <c r="B12" t="s">
        <v>667</v>
      </c>
      <c r="C12" t="s">
        <v>668</v>
      </c>
      <c r="D12" t="s">
        <v>209</v>
      </c>
      <c r="E12">
        <v>3</v>
      </c>
      <c r="F12" t="s">
        <v>210</v>
      </c>
      <c r="G12" t="s">
        <v>211</v>
      </c>
      <c r="H12" t="s">
        <v>212</v>
      </c>
      <c r="I12" t="s">
        <v>532</v>
      </c>
      <c r="K12" t="s">
        <v>669</v>
      </c>
      <c r="L12" t="s">
        <v>670</v>
      </c>
      <c r="M12" t="s">
        <v>671</v>
      </c>
      <c r="N12" t="s">
        <v>672</v>
      </c>
      <c r="O12" t="s">
        <v>673</v>
      </c>
      <c r="P12">
        <v>0</v>
      </c>
      <c r="Q12">
        <v>0</v>
      </c>
      <c r="R12">
        <v>2115.9920483794999</v>
      </c>
      <c r="S12">
        <v>1516.1517089578999</v>
      </c>
      <c r="T12">
        <v>3.4920483794999999</v>
      </c>
      <c r="U12">
        <v>-3.6517089578999999</v>
      </c>
      <c r="V12">
        <v>5.0526607048000001</v>
      </c>
      <c r="W12">
        <v>718.61180000000002</v>
      </c>
      <c r="X12">
        <v>390.48520000000002</v>
      </c>
      <c r="Y12">
        <v>389.65809999999999</v>
      </c>
      <c r="Z12">
        <v>388.38209999999998</v>
      </c>
      <c r="AA12">
        <v>387.03730000000002</v>
      </c>
      <c r="AB12">
        <v>553.7512375</v>
      </c>
      <c r="AC12" t="s">
        <v>213</v>
      </c>
      <c r="AD12" t="s">
        <v>214</v>
      </c>
      <c r="AE12" t="s">
        <v>215</v>
      </c>
      <c r="AF12" t="s">
        <v>216</v>
      </c>
      <c r="AG12" t="s">
        <v>217</v>
      </c>
      <c r="AH12">
        <v>8</v>
      </c>
      <c r="AI12" t="s">
        <v>218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209</v>
      </c>
      <c r="E13">
        <v>3</v>
      </c>
      <c r="F13" t="s">
        <v>210</v>
      </c>
      <c r="G13" t="s">
        <v>211</v>
      </c>
      <c r="H13" t="s">
        <v>212</v>
      </c>
      <c r="I13" t="s">
        <v>532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2104.1335914811002</v>
      </c>
      <c r="S13">
        <v>1519.4594083365</v>
      </c>
      <c r="T13">
        <v>-8.3664085189000001</v>
      </c>
      <c r="U13">
        <v>-6.9594083365000001</v>
      </c>
      <c r="V13">
        <v>10.882562009900001</v>
      </c>
      <c r="W13">
        <v>731.93290000000002</v>
      </c>
      <c r="X13">
        <v>390.72399999999999</v>
      </c>
      <c r="Y13">
        <v>397.5684</v>
      </c>
      <c r="Z13">
        <v>393.9649</v>
      </c>
      <c r="AA13">
        <v>390.58249999999998</v>
      </c>
      <c r="AB13">
        <v>562.57142499999998</v>
      </c>
      <c r="AC13" t="s">
        <v>213</v>
      </c>
      <c r="AD13" t="s">
        <v>214</v>
      </c>
      <c r="AE13" t="s">
        <v>215</v>
      </c>
      <c r="AF13" t="s">
        <v>216</v>
      </c>
      <c r="AG13" t="s">
        <v>217</v>
      </c>
      <c r="AH13">
        <v>8</v>
      </c>
      <c r="AI13" t="s">
        <v>218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219</v>
      </c>
      <c r="S1" t="s">
        <v>220</v>
      </c>
      <c r="T1" t="s">
        <v>221</v>
      </c>
      <c r="U1" t="s">
        <v>222</v>
      </c>
      <c r="V1" t="s">
        <v>223</v>
      </c>
      <c r="W1" t="s">
        <v>224</v>
      </c>
      <c r="X1" t="s">
        <v>225</v>
      </c>
      <c r="Y1" t="s">
        <v>226</v>
      </c>
      <c r="Z1" t="s">
        <v>227</v>
      </c>
      <c r="AA1" t="s">
        <v>228</v>
      </c>
      <c r="AB1" t="s">
        <v>229</v>
      </c>
      <c r="AC1" t="s">
        <v>230</v>
      </c>
      <c r="AD1" t="s">
        <v>231</v>
      </c>
      <c r="AE1" t="s">
        <v>232</v>
      </c>
      <c r="AF1" t="s">
        <v>233</v>
      </c>
      <c r="AG1" t="s">
        <v>234</v>
      </c>
      <c r="AH1" t="s">
        <v>235</v>
      </c>
      <c r="AI1" t="s">
        <v>236</v>
      </c>
      <c r="AJ1" t="s">
        <v>237</v>
      </c>
      <c r="AK1" t="s">
        <v>238</v>
      </c>
      <c r="AL1" t="s">
        <v>239</v>
      </c>
      <c r="AM1" t="s">
        <v>240</v>
      </c>
      <c r="AN1" t="s">
        <v>241</v>
      </c>
      <c r="AO1" t="s">
        <v>242</v>
      </c>
      <c r="AP1" t="s">
        <v>243</v>
      </c>
      <c r="AQ1" t="s">
        <v>244</v>
      </c>
      <c r="AR1" t="s">
        <v>245</v>
      </c>
      <c r="AS1" t="s">
        <v>246</v>
      </c>
      <c r="AT1" t="s">
        <v>247</v>
      </c>
      <c r="AU1" t="s">
        <v>248</v>
      </c>
      <c r="AV1" t="s">
        <v>249</v>
      </c>
      <c r="AW1" t="s">
        <v>206</v>
      </c>
      <c r="AX1" t="s">
        <v>207</v>
      </c>
      <c r="AY1" s="17" t="s">
        <v>208</v>
      </c>
    </row>
    <row r="2" spans="1:51">
      <c r="A2" t="s">
        <v>554</v>
      </c>
      <c r="B2" t="s">
        <v>555</v>
      </c>
      <c r="C2" t="s">
        <v>556</v>
      </c>
      <c r="D2" t="s">
        <v>209</v>
      </c>
      <c r="E2">
        <v>3</v>
      </c>
      <c r="F2" t="s">
        <v>210</v>
      </c>
      <c r="G2" t="s">
        <v>211</v>
      </c>
      <c r="H2" t="s">
        <v>250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1.6450899999999999E-5</v>
      </c>
      <c r="S2">
        <v>10.5498027802</v>
      </c>
      <c r="T2">
        <v>5.7403211593999997</v>
      </c>
      <c r="U2">
        <v>7.4014687537999997</v>
      </c>
      <c r="V2">
        <v>9.263461113</v>
      </c>
      <c r="W2">
        <v>-6.4765257834999996</v>
      </c>
      <c r="X2">
        <v>-2.2866833209999999</v>
      </c>
      <c r="Y2">
        <v>-2.8677742480999999</v>
      </c>
      <c r="Z2">
        <v>-1.3959102631</v>
      </c>
      <c r="AA2">
        <v>-1.2999289035999999</v>
      </c>
      <c r="AB2">
        <v>-0.17340171339999999</v>
      </c>
      <c r="AC2">
        <v>-2.5104494095000001</v>
      </c>
      <c r="AD2">
        <v>1.8597707748000001</v>
      </c>
      <c r="AE2">
        <v>-8.7544322000000004E-3</v>
      </c>
      <c r="AF2">
        <v>0.96044719219999997</v>
      </c>
      <c r="AG2">
        <v>0.21570661660000001</v>
      </c>
      <c r="AH2">
        <v>0.26964813469999999</v>
      </c>
      <c r="AI2">
        <v>-0.57898098229999995</v>
      </c>
      <c r="AJ2">
        <v>7.0614218699999995E-2</v>
      </c>
      <c r="AK2">
        <v>0.6560069919</v>
      </c>
      <c r="AL2">
        <v>1.6260539999999999E-4</v>
      </c>
      <c r="AM2">
        <v>4.1650332499999998E-2</v>
      </c>
      <c r="AN2">
        <v>0.2229936123</v>
      </c>
      <c r="AO2">
        <v>0.1612060666</v>
      </c>
      <c r="AP2">
        <v>0.340346396</v>
      </c>
      <c r="AQ2">
        <v>0.340346396</v>
      </c>
      <c r="AR2">
        <v>12.010396567700001</v>
      </c>
      <c r="AS2" t="s">
        <v>251</v>
      </c>
      <c r="AT2" t="s">
        <v>252</v>
      </c>
      <c r="AU2">
        <v>3</v>
      </c>
      <c r="AV2">
        <v>2.9</v>
      </c>
      <c r="AY2" s="17">
        <v>1</v>
      </c>
    </row>
    <row r="3" spans="1:51">
      <c r="A3" t="s">
        <v>557</v>
      </c>
      <c r="B3" t="s">
        <v>558</v>
      </c>
      <c r="C3" t="s">
        <v>559</v>
      </c>
      <c r="D3" t="s">
        <v>209</v>
      </c>
      <c r="E3">
        <v>3</v>
      </c>
      <c r="F3" t="s">
        <v>210</v>
      </c>
      <c r="G3" t="s">
        <v>211</v>
      </c>
      <c r="H3" t="s">
        <v>250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9.2983000000000004E-6</v>
      </c>
      <c r="S3">
        <v>2.6979732513000001</v>
      </c>
      <c r="T3">
        <v>1.6572847366000001</v>
      </c>
      <c r="U3">
        <v>6.3952083587999997</v>
      </c>
      <c r="V3">
        <v>8.9460277556999994</v>
      </c>
      <c r="W3">
        <v>-6.3522243500000002</v>
      </c>
      <c r="X3">
        <v>-2.5791561604000002</v>
      </c>
      <c r="Y3">
        <v>-1.9666655064</v>
      </c>
      <c r="Z3">
        <v>-1.1828178167000001</v>
      </c>
      <c r="AA3">
        <v>0.1727781296</v>
      </c>
      <c r="AB3">
        <v>-0.46860814090000003</v>
      </c>
      <c r="AC3">
        <v>-2.8516058921999998</v>
      </c>
      <c r="AD3">
        <v>1.2856063843000001</v>
      </c>
      <c r="AE3">
        <v>0.8075486422</v>
      </c>
      <c r="AF3">
        <v>0.6418005228</v>
      </c>
      <c r="AG3">
        <v>0.21021232009999999</v>
      </c>
      <c r="AH3">
        <v>-0.3550038338</v>
      </c>
      <c r="AI3">
        <v>-1.0057053566</v>
      </c>
      <c r="AJ3">
        <v>-0.62687885759999995</v>
      </c>
      <c r="AK3">
        <v>-0.26814582939999998</v>
      </c>
      <c r="AL3">
        <v>1.824633E-4</v>
      </c>
      <c r="AM3">
        <v>4.6576328600000001E-2</v>
      </c>
      <c r="AN3">
        <v>0.21617668870000001</v>
      </c>
      <c r="AO3">
        <v>0.10548564790000001</v>
      </c>
      <c r="AP3">
        <v>0.31022071839999998</v>
      </c>
      <c r="AQ3">
        <v>0.31022071839999998</v>
      </c>
      <c r="AR3">
        <v>12.8056673934</v>
      </c>
      <c r="AS3" t="s">
        <v>251</v>
      </c>
      <c r="AT3" t="s">
        <v>252</v>
      </c>
      <c r="AU3">
        <v>3</v>
      </c>
      <c r="AV3">
        <v>2.9</v>
      </c>
      <c r="AY3" s="17">
        <v>1</v>
      </c>
    </row>
    <row r="4" spans="1:51">
      <c r="A4" t="s">
        <v>571</v>
      </c>
      <c r="B4" t="s">
        <v>572</v>
      </c>
      <c r="C4" t="s">
        <v>573</v>
      </c>
      <c r="D4" t="s">
        <v>209</v>
      </c>
      <c r="E4">
        <v>3</v>
      </c>
      <c r="F4" t="s">
        <v>210</v>
      </c>
      <c r="G4" t="s">
        <v>211</v>
      </c>
      <c r="H4" t="s">
        <v>250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-5.2452000000000002E-6</v>
      </c>
      <c r="S4">
        <v>11.1080741882</v>
      </c>
      <c r="T4">
        <v>4.4739618301000004</v>
      </c>
      <c r="U4">
        <v>6.5967998505000001</v>
      </c>
      <c r="V4">
        <v>8.5134553909000008</v>
      </c>
      <c r="W4">
        <v>-8.3804759978999996</v>
      </c>
      <c r="X4">
        <v>-0.96091479059999996</v>
      </c>
      <c r="Y4">
        <v>-5.0919675826999997</v>
      </c>
      <c r="Z4">
        <v>-0.25835776329999999</v>
      </c>
      <c r="AA4">
        <v>2.2683858899999999E-2</v>
      </c>
      <c r="AB4">
        <v>-1.5383985042999999</v>
      </c>
      <c r="AC4">
        <v>-3.1906018256999999</v>
      </c>
      <c r="AD4">
        <v>2.0906410217000002</v>
      </c>
      <c r="AE4">
        <v>-0.39990258220000002</v>
      </c>
      <c r="AF4">
        <v>1.8105839491</v>
      </c>
      <c r="AG4">
        <v>-0.37714436649999999</v>
      </c>
      <c r="AH4">
        <v>-0.58897465469999999</v>
      </c>
      <c r="AI4">
        <v>-0.36551010610000001</v>
      </c>
      <c r="AJ4">
        <v>0.2229243517</v>
      </c>
      <c r="AK4">
        <v>0.59173655510000001</v>
      </c>
      <c r="AL4">
        <v>1.8131939999999999E-4</v>
      </c>
      <c r="AM4">
        <v>4.38984558E-2</v>
      </c>
      <c r="AN4">
        <v>0.2454482019</v>
      </c>
      <c r="AO4">
        <v>0.1774237454</v>
      </c>
      <c r="AP4">
        <v>0.34041610360000002</v>
      </c>
      <c r="AQ4">
        <v>0.34041610360000002</v>
      </c>
      <c r="AR4">
        <v>11.9752096695</v>
      </c>
      <c r="AS4" t="s">
        <v>251</v>
      </c>
      <c r="AT4" t="s">
        <v>252</v>
      </c>
      <c r="AU4">
        <v>4</v>
      </c>
      <c r="AV4">
        <v>2.9</v>
      </c>
      <c r="AY4" s="17">
        <v>1</v>
      </c>
    </row>
    <row r="5" spans="1:51">
      <c r="A5" t="s">
        <v>615</v>
      </c>
      <c r="B5" t="s">
        <v>616</v>
      </c>
      <c r="C5" t="s">
        <v>617</v>
      </c>
      <c r="D5" t="s">
        <v>209</v>
      </c>
      <c r="E5">
        <v>3</v>
      </c>
      <c r="F5" t="s">
        <v>210</v>
      </c>
      <c r="G5" t="s">
        <v>211</v>
      </c>
      <c r="H5" t="s">
        <v>250</v>
      </c>
      <c r="I5" t="s">
        <v>532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-1.7643E-5</v>
      </c>
      <c r="S5">
        <v>7.3712601661999999</v>
      </c>
      <c r="T5">
        <v>3.3076634406999998</v>
      </c>
      <c r="U5">
        <v>0.76320075990000003</v>
      </c>
      <c r="V5">
        <v>7.4367032050999997</v>
      </c>
      <c r="W5">
        <v>-9.4598760604999992</v>
      </c>
      <c r="X5">
        <v>-0.90094280240000002</v>
      </c>
      <c r="Y5">
        <v>0.84464049340000003</v>
      </c>
      <c r="Z5">
        <v>0.51436924930000005</v>
      </c>
      <c r="AA5">
        <v>6.6893100699999999E-2</v>
      </c>
      <c r="AB5">
        <v>1.2465671301000001</v>
      </c>
      <c r="AC5">
        <v>-2.1779813766</v>
      </c>
      <c r="AD5">
        <v>2.5266780852999999</v>
      </c>
      <c r="AE5">
        <v>1.3305077553</v>
      </c>
      <c r="AF5">
        <v>-0.3295001984</v>
      </c>
      <c r="AG5">
        <v>8.9486211499999996E-2</v>
      </c>
      <c r="AH5">
        <v>0.85472905639999996</v>
      </c>
      <c r="AI5">
        <v>-9.9502444300000006E-2</v>
      </c>
      <c r="AJ5">
        <v>-1.2929797200000001E-2</v>
      </c>
      <c r="AK5">
        <v>-0.28417956830000002</v>
      </c>
      <c r="AL5">
        <v>2.4561039999999998E-4</v>
      </c>
      <c r="AM5">
        <v>5.3055860099999998E-2</v>
      </c>
      <c r="AN5">
        <v>0.20015655460000001</v>
      </c>
      <c r="AO5">
        <v>0.17829854789999999</v>
      </c>
      <c r="AP5">
        <v>0.20015655460000001</v>
      </c>
      <c r="AQ5">
        <v>0.20015655460000001</v>
      </c>
      <c r="AR5">
        <v>8.0793634571999995</v>
      </c>
      <c r="AS5" t="s">
        <v>251</v>
      </c>
      <c r="AT5" t="s">
        <v>252</v>
      </c>
      <c r="AU5">
        <v>3</v>
      </c>
      <c r="AV5">
        <v>2.9</v>
      </c>
      <c r="AY5" s="17">
        <v>1</v>
      </c>
    </row>
    <row r="6" spans="1:51">
      <c r="A6" t="s">
        <v>618</v>
      </c>
      <c r="B6" t="s">
        <v>619</v>
      </c>
      <c r="C6" t="s">
        <v>620</v>
      </c>
      <c r="D6" t="s">
        <v>209</v>
      </c>
      <c r="E6">
        <v>3</v>
      </c>
      <c r="F6" t="s">
        <v>210</v>
      </c>
      <c r="G6" t="s">
        <v>211</v>
      </c>
      <c r="H6" t="s">
        <v>250</v>
      </c>
      <c r="I6" t="s">
        <v>532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5.7219999999999996E-6</v>
      </c>
      <c r="S6">
        <v>14.229794502300001</v>
      </c>
      <c r="T6">
        <v>-8.0494999900000003E-2</v>
      </c>
      <c r="U6">
        <v>7.7820992469999997</v>
      </c>
      <c r="V6">
        <v>6.5034914016999998</v>
      </c>
      <c r="W6">
        <v>-8.4665451049999998</v>
      </c>
      <c r="X6">
        <v>-1.333006382</v>
      </c>
      <c r="Y6">
        <v>-1.5149986743999999</v>
      </c>
      <c r="Z6">
        <v>-1.3046847582000001</v>
      </c>
      <c r="AA6">
        <v>-0.27412128450000001</v>
      </c>
      <c r="AB6">
        <v>-0.73265159130000002</v>
      </c>
      <c r="AC6">
        <v>-2.6382131577000001</v>
      </c>
      <c r="AD6">
        <v>2.8806226254</v>
      </c>
      <c r="AE6">
        <v>-3.2670646900000003E-2</v>
      </c>
      <c r="AF6">
        <v>0.69609224800000002</v>
      </c>
      <c r="AG6">
        <v>-0.1582232714</v>
      </c>
      <c r="AH6">
        <v>-0.85763180260000005</v>
      </c>
      <c r="AI6">
        <v>0.3895282149</v>
      </c>
      <c r="AJ6">
        <v>-0.65989398960000001</v>
      </c>
      <c r="AK6">
        <v>0.40703943370000001</v>
      </c>
      <c r="AL6">
        <v>1.348581E-4</v>
      </c>
      <c r="AM6">
        <v>3.8257688300000002E-2</v>
      </c>
      <c r="AN6">
        <v>0.2912923992</v>
      </c>
      <c r="AO6">
        <v>0.13949278000000001</v>
      </c>
      <c r="AP6">
        <v>0.2912923992</v>
      </c>
      <c r="AQ6">
        <v>0.2912923992</v>
      </c>
      <c r="AR6">
        <v>14.2300221722</v>
      </c>
      <c r="AS6" t="s">
        <v>251</v>
      </c>
      <c r="AT6" t="s">
        <v>252</v>
      </c>
      <c r="AU6">
        <v>4</v>
      </c>
      <c r="AV6">
        <v>2.9</v>
      </c>
      <c r="AY6" s="17">
        <v>1</v>
      </c>
    </row>
    <row r="7" spans="1:51">
      <c r="A7" t="s">
        <v>621</v>
      </c>
      <c r="B7" t="s">
        <v>622</v>
      </c>
      <c r="C7" t="s">
        <v>623</v>
      </c>
      <c r="D7" t="s">
        <v>209</v>
      </c>
      <c r="E7">
        <v>3</v>
      </c>
      <c r="F7" t="s">
        <v>210</v>
      </c>
      <c r="G7" t="s">
        <v>211</v>
      </c>
      <c r="H7" t="s">
        <v>250</v>
      </c>
      <c r="I7" t="s">
        <v>532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2.3842E-6</v>
      </c>
      <c r="S7">
        <v>18.533514022799999</v>
      </c>
      <c r="T7">
        <v>-0.80653029679999999</v>
      </c>
      <c r="U7">
        <v>6.8318352699</v>
      </c>
      <c r="V7">
        <v>7.4059648514000003</v>
      </c>
      <c r="W7">
        <v>1.2470633983999999</v>
      </c>
      <c r="X7">
        <v>-2.9206757544999999</v>
      </c>
      <c r="Y7">
        <v>-1.9620350599</v>
      </c>
      <c r="Z7">
        <v>-2.2211472988000001</v>
      </c>
      <c r="AA7">
        <v>0.86562955379999995</v>
      </c>
      <c r="AB7">
        <v>-0.87422478199999998</v>
      </c>
      <c r="AC7">
        <v>-2.3530089854999998</v>
      </c>
      <c r="AD7">
        <v>5.5786877899999997E-2</v>
      </c>
      <c r="AE7">
        <v>1.32169127E-2</v>
      </c>
      <c r="AF7">
        <v>0.70202887059999997</v>
      </c>
      <c r="AG7">
        <v>1.0654391050000001</v>
      </c>
      <c r="AH7">
        <v>-0.16421863440000001</v>
      </c>
      <c r="AI7">
        <v>-0.4102133214</v>
      </c>
      <c r="AJ7">
        <v>-2.5540947899999999E-2</v>
      </c>
      <c r="AK7">
        <v>-3.1471803800000003E-2</v>
      </c>
      <c r="AL7">
        <v>2.1786980000000001E-4</v>
      </c>
      <c r="AM7">
        <v>4.8925213500000002E-2</v>
      </c>
      <c r="AN7">
        <v>0.30254915360000001</v>
      </c>
      <c r="AO7">
        <v>2.53379494E-2</v>
      </c>
      <c r="AP7">
        <v>0.3213384748</v>
      </c>
      <c r="AQ7">
        <v>0.3213384748</v>
      </c>
      <c r="AR7">
        <v>18.551054772000001</v>
      </c>
      <c r="AS7" t="s">
        <v>251</v>
      </c>
      <c r="AT7" t="s">
        <v>252</v>
      </c>
      <c r="AU7">
        <v>3</v>
      </c>
      <c r="AV7">
        <v>2.9</v>
      </c>
      <c r="AY7" s="17">
        <v>1</v>
      </c>
    </row>
    <row r="8" spans="1:51">
      <c r="A8" t="s">
        <v>624</v>
      </c>
      <c r="B8" t="s">
        <v>625</v>
      </c>
      <c r="C8" t="s">
        <v>626</v>
      </c>
      <c r="D8" t="s">
        <v>209</v>
      </c>
      <c r="E8">
        <v>3</v>
      </c>
      <c r="F8" t="s">
        <v>210</v>
      </c>
      <c r="G8" t="s">
        <v>211</v>
      </c>
      <c r="H8" t="s">
        <v>250</v>
      </c>
      <c r="I8" t="s">
        <v>532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-2.4914700000000001E-5</v>
      </c>
      <c r="S8">
        <v>3.7137327193999998</v>
      </c>
      <c r="T8">
        <v>2.6909315586</v>
      </c>
      <c r="U8">
        <v>5.8313012122999996</v>
      </c>
      <c r="V8">
        <v>5.7113676070999997</v>
      </c>
      <c r="W8">
        <v>-1.9885345697000001</v>
      </c>
      <c r="X8">
        <v>-2.2745449543</v>
      </c>
      <c r="Y8">
        <v>-2.2012352943</v>
      </c>
      <c r="Z8">
        <v>-1.7519354819999999</v>
      </c>
      <c r="AA8">
        <v>6.9734513799999995E-2</v>
      </c>
      <c r="AB8">
        <v>-0.31709998849999999</v>
      </c>
      <c r="AC8">
        <v>-2.6744894980999998</v>
      </c>
      <c r="AD8">
        <v>0.80895698069999999</v>
      </c>
      <c r="AE8">
        <v>0.89941090349999997</v>
      </c>
      <c r="AF8">
        <v>0.99052870270000004</v>
      </c>
      <c r="AG8">
        <v>0.51675325630000002</v>
      </c>
      <c r="AH8">
        <v>-0.55975431200000003</v>
      </c>
      <c r="AI8">
        <v>0.17579554019999999</v>
      </c>
      <c r="AJ8">
        <v>-0.24895626309999999</v>
      </c>
      <c r="AK8">
        <v>-6.1055153600000002E-2</v>
      </c>
      <c r="AL8">
        <v>1.524962E-4</v>
      </c>
      <c r="AM8">
        <v>4.1912883499999998E-2</v>
      </c>
      <c r="AN8">
        <v>7.9702302799999999E-2</v>
      </c>
      <c r="AO8">
        <v>7.5067706400000003E-2</v>
      </c>
      <c r="AP8">
        <v>0.2107804418</v>
      </c>
      <c r="AQ8">
        <v>0.2107804418</v>
      </c>
      <c r="AR8">
        <v>4.5861665217000001</v>
      </c>
      <c r="AS8" t="s">
        <v>251</v>
      </c>
      <c r="AT8" t="s">
        <v>252</v>
      </c>
      <c r="AU8">
        <v>4</v>
      </c>
      <c r="AV8">
        <v>2.9</v>
      </c>
      <c r="AY8" s="17">
        <v>1</v>
      </c>
    </row>
    <row r="9" spans="1:51">
      <c r="A9" t="s">
        <v>627</v>
      </c>
      <c r="B9" t="s">
        <v>628</v>
      </c>
      <c r="C9" t="s">
        <v>629</v>
      </c>
      <c r="D9" t="s">
        <v>209</v>
      </c>
      <c r="E9">
        <v>3</v>
      </c>
      <c r="F9" t="s">
        <v>210</v>
      </c>
      <c r="G9" t="s">
        <v>211</v>
      </c>
      <c r="H9" t="s">
        <v>250</v>
      </c>
      <c r="I9" t="s">
        <v>532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-4.0769599999999997E-5</v>
      </c>
      <c r="S9">
        <v>10.2405986786</v>
      </c>
      <c r="T9">
        <v>3.1408109665000001</v>
      </c>
      <c r="U9">
        <v>3.7238636017000002</v>
      </c>
      <c r="V9">
        <v>3.7059590816000001</v>
      </c>
      <c r="W9">
        <v>-3.1898145676</v>
      </c>
      <c r="X9">
        <v>-2.5462760924999999</v>
      </c>
      <c r="Y9">
        <v>-1.4775955676999999</v>
      </c>
      <c r="Z9">
        <v>0.23605126139999999</v>
      </c>
      <c r="AA9">
        <v>0.41773307320000003</v>
      </c>
      <c r="AB9">
        <v>-0.77027332780000002</v>
      </c>
      <c r="AC9">
        <v>-1.2701542376999999</v>
      </c>
      <c r="AD9">
        <v>1.405878067</v>
      </c>
      <c r="AE9">
        <v>0.66715341809999995</v>
      </c>
      <c r="AF9">
        <v>0.27780181170000001</v>
      </c>
      <c r="AG9">
        <v>-0.28486073020000002</v>
      </c>
      <c r="AH9">
        <v>-0.34069272880000001</v>
      </c>
      <c r="AI9">
        <v>-0.149923116</v>
      </c>
      <c r="AJ9">
        <v>0.1236111522</v>
      </c>
      <c r="AK9">
        <v>0.56180095669999996</v>
      </c>
      <c r="AL9">
        <v>2.0855649999999999E-4</v>
      </c>
      <c r="AM9">
        <v>4.8174381299999999E-2</v>
      </c>
      <c r="AN9">
        <v>0.17492586369999999</v>
      </c>
      <c r="AO9">
        <v>9.1284737000000005E-2</v>
      </c>
      <c r="AP9">
        <v>0.2073892057</v>
      </c>
      <c r="AQ9">
        <v>0.2073892057</v>
      </c>
      <c r="AR9">
        <v>10.711421699400001</v>
      </c>
      <c r="AS9" t="s">
        <v>251</v>
      </c>
      <c r="AT9" t="s">
        <v>252</v>
      </c>
      <c r="AU9">
        <v>4</v>
      </c>
      <c r="AV9">
        <v>2.9</v>
      </c>
      <c r="AY9" s="17">
        <v>1</v>
      </c>
    </row>
    <row r="10" spans="1:51">
      <c r="A10" t="s">
        <v>674</v>
      </c>
      <c r="B10" t="s">
        <v>675</v>
      </c>
      <c r="C10" t="s">
        <v>676</v>
      </c>
      <c r="D10" t="s">
        <v>209</v>
      </c>
      <c r="E10">
        <v>3</v>
      </c>
      <c r="F10" t="s">
        <v>210</v>
      </c>
      <c r="G10" t="s">
        <v>211</v>
      </c>
      <c r="H10" t="s">
        <v>250</v>
      </c>
      <c r="I10" t="s">
        <v>532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-2.18749E-5</v>
      </c>
      <c r="S10">
        <v>2.2045321465000001</v>
      </c>
      <c r="T10">
        <v>1.1235671043</v>
      </c>
      <c r="U10">
        <v>0.27130144830000003</v>
      </c>
      <c r="V10">
        <v>4.0055079459999998</v>
      </c>
      <c r="W10">
        <v>-3.9849162102000002</v>
      </c>
      <c r="X10">
        <v>-0.74642199279999999</v>
      </c>
      <c r="Y10">
        <v>-4.3574428557999996</v>
      </c>
      <c r="Z10">
        <v>2.9118208884999999</v>
      </c>
      <c r="AA10">
        <v>0.6491710544</v>
      </c>
      <c r="AB10">
        <v>-1.0725632906</v>
      </c>
      <c r="AC10">
        <v>-1.5094389914999999</v>
      </c>
      <c r="AD10">
        <v>1.8650351762999999</v>
      </c>
      <c r="AE10">
        <v>0.1176925898</v>
      </c>
      <c r="AF10">
        <v>1.5307762623000001</v>
      </c>
      <c r="AG10">
        <v>-1.8235864638999999</v>
      </c>
      <c r="AH10">
        <v>-1.0107879638999999</v>
      </c>
      <c r="AI10">
        <v>-0.99452960489999997</v>
      </c>
      <c r="AJ10">
        <v>0.63869893550000001</v>
      </c>
      <c r="AK10">
        <v>0.61548697949999998</v>
      </c>
      <c r="AL10">
        <v>2.721418E-4</v>
      </c>
      <c r="AM10">
        <v>5.2592970400000001E-2</v>
      </c>
      <c r="AN10">
        <v>9.2733085199999996E-2</v>
      </c>
      <c r="AO10">
        <v>9.2310473300000001E-2</v>
      </c>
      <c r="AP10">
        <v>0.13615614179999999</v>
      </c>
      <c r="AQ10">
        <v>0.15640991930000001</v>
      </c>
      <c r="AR10">
        <v>2.4743413311000002</v>
      </c>
      <c r="AS10" t="s">
        <v>251</v>
      </c>
      <c r="AT10" t="s">
        <v>252</v>
      </c>
      <c r="AU10">
        <v>3</v>
      </c>
      <c r="AV10">
        <v>2.9</v>
      </c>
      <c r="AY10" s="17">
        <v>1</v>
      </c>
    </row>
    <row r="11" spans="1:51">
      <c r="A11" t="s">
        <v>677</v>
      </c>
      <c r="B11" t="s">
        <v>678</v>
      </c>
      <c r="C11" t="s">
        <v>679</v>
      </c>
      <c r="D11" t="s">
        <v>209</v>
      </c>
      <c r="E11">
        <v>3</v>
      </c>
      <c r="F11" t="s">
        <v>210</v>
      </c>
      <c r="G11" t="s">
        <v>211</v>
      </c>
      <c r="H11" t="s">
        <v>250</v>
      </c>
      <c r="I11" t="s">
        <v>532</v>
      </c>
      <c r="K11" t="s">
        <v>661</v>
      </c>
      <c r="L11" t="s">
        <v>662</v>
      </c>
      <c r="M11" t="s">
        <v>663</v>
      </c>
      <c r="N11" t="s">
        <v>664</v>
      </c>
      <c r="O11" t="s">
        <v>665</v>
      </c>
      <c r="P11">
        <v>0</v>
      </c>
      <c r="Q11">
        <v>0</v>
      </c>
      <c r="R11">
        <v>1.3113E-6</v>
      </c>
      <c r="S11">
        <v>4.1258859634</v>
      </c>
      <c r="T11">
        <v>-0.10075366500000001</v>
      </c>
      <c r="U11">
        <v>6.4950447083</v>
      </c>
      <c r="V11">
        <v>9.8181858063000007</v>
      </c>
      <c r="W11">
        <v>-8.3083963393999998</v>
      </c>
      <c r="X11">
        <v>-1.4246816634999999</v>
      </c>
      <c r="Y11">
        <v>-3.8301711082000001</v>
      </c>
      <c r="Z11">
        <v>-1.3753193616999999</v>
      </c>
      <c r="AA11">
        <v>0.57033908369999997</v>
      </c>
      <c r="AB11">
        <v>-5.5498719199999998E-2</v>
      </c>
      <c r="AC11">
        <v>-2.4232060908999999</v>
      </c>
      <c r="AD11">
        <v>1.5948793887999999</v>
      </c>
      <c r="AE11">
        <v>0.53438752889999996</v>
      </c>
      <c r="AF11">
        <v>1.4996241331</v>
      </c>
      <c r="AG11">
        <v>0.18631210919999999</v>
      </c>
      <c r="AH11">
        <v>0.65818864109999997</v>
      </c>
      <c r="AI11">
        <v>-1.0845563412000001</v>
      </c>
      <c r="AJ11">
        <v>-0.24441027639999999</v>
      </c>
      <c r="AK11">
        <v>-4.3954223399999999E-2</v>
      </c>
      <c r="AL11">
        <v>1.5256770000000001E-4</v>
      </c>
      <c r="AM11">
        <v>3.9287958300000002E-2</v>
      </c>
      <c r="AN11">
        <v>0.14788623149999999</v>
      </c>
      <c r="AO11">
        <v>0.10993772</v>
      </c>
      <c r="AP11">
        <v>0.25179994109999998</v>
      </c>
      <c r="AQ11">
        <v>0.25179994109999998</v>
      </c>
      <c r="AR11">
        <v>4.1271159765999998</v>
      </c>
      <c r="AS11" t="s">
        <v>251</v>
      </c>
      <c r="AT11" t="s">
        <v>252</v>
      </c>
      <c r="AU11">
        <v>4</v>
      </c>
      <c r="AV11">
        <v>2.9</v>
      </c>
      <c r="AY11" s="17">
        <v>1</v>
      </c>
    </row>
    <row r="12" spans="1:51">
      <c r="A12" t="s">
        <v>680</v>
      </c>
      <c r="B12" t="s">
        <v>681</v>
      </c>
      <c r="C12" t="s">
        <v>682</v>
      </c>
      <c r="D12" t="s">
        <v>209</v>
      </c>
      <c r="E12">
        <v>3</v>
      </c>
      <c r="F12" t="s">
        <v>210</v>
      </c>
      <c r="G12" t="s">
        <v>211</v>
      </c>
      <c r="H12" t="s">
        <v>250</v>
      </c>
      <c r="I12" t="s">
        <v>532</v>
      </c>
      <c r="K12" t="s">
        <v>669</v>
      </c>
      <c r="L12" t="s">
        <v>670</v>
      </c>
      <c r="M12" t="s">
        <v>671</v>
      </c>
      <c r="N12" t="s">
        <v>672</v>
      </c>
      <c r="O12" t="s">
        <v>673</v>
      </c>
      <c r="P12">
        <v>0</v>
      </c>
      <c r="Q12">
        <v>0</v>
      </c>
      <c r="R12">
        <v>-1.192E-7</v>
      </c>
      <c r="S12">
        <v>10.4609823227</v>
      </c>
      <c r="T12">
        <v>2.0672686100000002</v>
      </c>
      <c r="U12">
        <v>12.6588754654</v>
      </c>
      <c r="V12">
        <v>11.7023544312</v>
      </c>
      <c r="W12">
        <v>-5.8798499107</v>
      </c>
      <c r="X12">
        <v>-2.7315814495000001</v>
      </c>
      <c r="Y12">
        <v>-6.5124869299999999E-2</v>
      </c>
      <c r="Z12">
        <v>-2.7802617550000002</v>
      </c>
      <c r="AA12">
        <v>-0.55437368149999999</v>
      </c>
      <c r="AB12">
        <v>0.9630345106</v>
      </c>
      <c r="AC12">
        <v>-4.3133563994999999</v>
      </c>
      <c r="AD12">
        <v>1.2453725337999999</v>
      </c>
      <c r="AE12">
        <v>0.82077109810000004</v>
      </c>
      <c r="AF12">
        <v>-9.2315494999999997E-2</v>
      </c>
      <c r="AG12">
        <v>3.9582252999999998E-3</v>
      </c>
      <c r="AH12">
        <v>-0.29513698820000001</v>
      </c>
      <c r="AI12">
        <v>-0.45481351019999999</v>
      </c>
      <c r="AJ12">
        <v>0.1037145853</v>
      </c>
      <c r="AK12">
        <v>-0.37916663290000002</v>
      </c>
      <c r="AL12">
        <v>1.574321E-4</v>
      </c>
      <c r="AM12">
        <v>4.0808040599999998E-2</v>
      </c>
      <c r="AN12">
        <v>0.20639598370000001</v>
      </c>
      <c r="AO12">
        <v>0.1087921411</v>
      </c>
      <c r="AP12">
        <v>0.34203547239999998</v>
      </c>
      <c r="AQ12">
        <v>0.34203547239999998</v>
      </c>
      <c r="AR12">
        <v>10.663289861100001</v>
      </c>
      <c r="AS12" t="s">
        <v>251</v>
      </c>
      <c r="AT12" t="s">
        <v>252</v>
      </c>
      <c r="AU12">
        <v>3</v>
      </c>
      <c r="AV12">
        <v>2.9</v>
      </c>
      <c r="AY12" s="17">
        <v>1</v>
      </c>
    </row>
    <row r="13" spans="1:51">
      <c r="A13" t="s">
        <v>703</v>
      </c>
      <c r="B13" t="s">
        <v>704</v>
      </c>
      <c r="C13" t="s">
        <v>705</v>
      </c>
      <c r="D13" t="s">
        <v>209</v>
      </c>
      <c r="E13">
        <v>3</v>
      </c>
      <c r="F13" t="s">
        <v>210</v>
      </c>
      <c r="G13" t="s">
        <v>211</v>
      </c>
      <c r="H13" t="s">
        <v>250</v>
      </c>
      <c r="I13" t="s">
        <v>532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-8.4340999999999994E-6</v>
      </c>
      <c r="S13">
        <v>7.9596910476999998</v>
      </c>
      <c r="T13">
        <v>4.8592720032000001</v>
      </c>
      <c r="U13">
        <v>6.4423446655000003</v>
      </c>
      <c r="V13">
        <v>9.2088851929000004</v>
      </c>
      <c r="W13">
        <v>-2.8058466911000002</v>
      </c>
      <c r="X13">
        <v>-4.0688071251000002</v>
      </c>
      <c r="Y13">
        <v>3.5263862609999999</v>
      </c>
      <c r="Z13">
        <v>-2.262740612</v>
      </c>
      <c r="AA13">
        <v>-0.98967087269999998</v>
      </c>
      <c r="AB13">
        <v>3.6443343163000002</v>
      </c>
      <c r="AC13">
        <v>-3.2252240181</v>
      </c>
      <c r="AD13">
        <v>0.82577073570000004</v>
      </c>
      <c r="AE13">
        <v>1.8897671700000001</v>
      </c>
      <c r="AF13">
        <v>-1.7341618538000001</v>
      </c>
      <c r="AG13">
        <v>0.7618800402</v>
      </c>
      <c r="AH13">
        <v>-0.21384483579999999</v>
      </c>
      <c r="AI13">
        <v>-0.4563289881</v>
      </c>
      <c r="AJ13">
        <v>0.35606849190000001</v>
      </c>
      <c r="AK13">
        <v>-0.47229668499999999</v>
      </c>
      <c r="AL13">
        <v>2.0519789999999999E-4</v>
      </c>
      <c r="AM13">
        <v>4.81525883E-2</v>
      </c>
      <c r="AN13">
        <v>0.1487483829</v>
      </c>
      <c r="AO13">
        <v>0.1084832102</v>
      </c>
      <c r="AP13">
        <v>0.27293166520000001</v>
      </c>
      <c r="AQ13">
        <v>0.27293166520000001</v>
      </c>
      <c r="AR13">
        <v>9.325728174</v>
      </c>
      <c r="AS13" t="s">
        <v>251</v>
      </c>
      <c r="AT13" t="s">
        <v>252</v>
      </c>
      <c r="AU13">
        <v>3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253</v>
      </c>
      <c r="S1" t="s">
        <v>254</v>
      </c>
      <c r="T1" t="s">
        <v>255</v>
      </c>
      <c r="U1" t="s">
        <v>256</v>
      </c>
      <c r="V1" t="s">
        <v>257</v>
      </c>
      <c r="W1" t="s">
        <v>258</v>
      </c>
      <c r="X1" t="s">
        <v>259</v>
      </c>
      <c r="Y1" t="s">
        <v>260</v>
      </c>
      <c r="Z1" t="s">
        <v>261</v>
      </c>
      <c r="AA1" t="s">
        <v>262</v>
      </c>
      <c r="AB1" t="s">
        <v>263</v>
      </c>
      <c r="AC1" t="s">
        <v>264</v>
      </c>
      <c r="AD1" t="s">
        <v>265</v>
      </c>
      <c r="AE1" t="s">
        <v>206</v>
      </c>
      <c r="AF1" t="s">
        <v>207</v>
      </c>
      <c r="AG1" s="17" t="s">
        <v>208</v>
      </c>
    </row>
    <row r="2" spans="1:33">
      <c r="A2" t="s">
        <v>554</v>
      </c>
      <c r="B2" t="s">
        <v>555</v>
      </c>
      <c r="C2" t="s">
        <v>560</v>
      </c>
      <c r="D2" t="s">
        <v>209</v>
      </c>
      <c r="E2">
        <v>3</v>
      </c>
      <c r="F2" t="s">
        <v>210</v>
      </c>
      <c r="G2" t="s">
        <v>211</v>
      </c>
      <c r="H2" t="s">
        <v>250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-2.3460410557000002</v>
      </c>
      <c r="S2">
        <v>-16</v>
      </c>
      <c r="T2">
        <v>91.1421445517</v>
      </c>
      <c r="U2">
        <v>99.731299599899998</v>
      </c>
      <c r="V2">
        <v>3.6667135360000001</v>
      </c>
      <c r="W2">
        <v>2.2253784000000002E-3</v>
      </c>
      <c r="X2">
        <v>-6.6383299999999998E-5</v>
      </c>
      <c r="Y2">
        <v>3.4171553038</v>
      </c>
      <c r="Z2">
        <v>91.040790607199995</v>
      </c>
      <c r="AA2">
        <v>73.024249933500002</v>
      </c>
      <c r="AB2">
        <v>323.38829660810001</v>
      </c>
      <c r="AC2">
        <v>346.87937186430003</v>
      </c>
      <c r="AD2">
        <v>1</v>
      </c>
      <c r="AG2" s="17">
        <v>1</v>
      </c>
    </row>
    <row r="3" spans="1:33">
      <c r="A3" t="s">
        <v>557</v>
      </c>
      <c r="B3" t="s">
        <v>558</v>
      </c>
      <c r="C3" t="s">
        <v>561</v>
      </c>
      <c r="D3" t="s">
        <v>209</v>
      </c>
      <c r="E3">
        <v>3</v>
      </c>
      <c r="F3" t="s">
        <v>210</v>
      </c>
      <c r="G3" t="s">
        <v>211</v>
      </c>
      <c r="H3" t="s">
        <v>250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-5.8651026392999999</v>
      </c>
      <c r="S3">
        <v>-40</v>
      </c>
      <c r="T3">
        <v>84.0979550303</v>
      </c>
      <c r="U3">
        <v>104.8445997907</v>
      </c>
      <c r="V3">
        <v>3.5558371329999998</v>
      </c>
      <c r="W3">
        <v>2.7753609E-3</v>
      </c>
      <c r="X3">
        <v>-6.5594799999999997E-5</v>
      </c>
      <c r="Y3">
        <v>3.3554837763999998</v>
      </c>
      <c r="Z3">
        <v>83.396633152700005</v>
      </c>
      <c r="AA3">
        <v>67.311074659300004</v>
      </c>
      <c r="AB3">
        <v>330.97882399719998</v>
      </c>
      <c r="AC3">
        <v>352.76022959289998</v>
      </c>
      <c r="AD3">
        <v>1</v>
      </c>
      <c r="AG3" s="17">
        <v>1</v>
      </c>
    </row>
    <row r="4" spans="1:33">
      <c r="A4" t="s">
        <v>571</v>
      </c>
      <c r="B4" t="s">
        <v>572</v>
      </c>
      <c r="C4" t="s">
        <v>574</v>
      </c>
      <c r="D4" t="s">
        <v>209</v>
      </c>
      <c r="E4">
        <v>3</v>
      </c>
      <c r="F4" t="s">
        <v>210</v>
      </c>
      <c r="G4" t="s">
        <v>211</v>
      </c>
      <c r="H4" t="s">
        <v>250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-5.8651026392999999</v>
      </c>
      <c r="S4">
        <v>-40</v>
      </c>
      <c r="T4">
        <v>84.552417253000002</v>
      </c>
      <c r="U4">
        <v>105.8584245378</v>
      </c>
      <c r="V4">
        <v>3.6532115080000001</v>
      </c>
      <c r="W4">
        <v>3.0745556999999999E-3</v>
      </c>
      <c r="X4">
        <v>-7.2811699999999999E-5</v>
      </c>
      <c r="Y4">
        <v>3.4472135315000001</v>
      </c>
      <c r="Z4">
        <v>83.450144271699997</v>
      </c>
      <c r="AA4">
        <v>68.478606928999994</v>
      </c>
      <c r="AB4">
        <v>332.22607339849998</v>
      </c>
      <c r="AC4">
        <v>354.71704865160001</v>
      </c>
      <c r="AD4">
        <v>1</v>
      </c>
      <c r="AG4" s="17">
        <v>1</v>
      </c>
    </row>
    <row r="5" spans="1:33">
      <c r="A5" t="s">
        <v>615</v>
      </c>
      <c r="B5" t="s">
        <v>616</v>
      </c>
      <c r="C5" t="s">
        <v>630</v>
      </c>
      <c r="D5" t="s">
        <v>209</v>
      </c>
      <c r="E5">
        <v>3</v>
      </c>
      <c r="F5" t="s">
        <v>210</v>
      </c>
      <c r="G5" t="s">
        <v>211</v>
      </c>
      <c r="H5" t="s">
        <v>250</v>
      </c>
      <c r="I5" t="s">
        <v>532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-4.6920821114000004</v>
      </c>
      <c r="S5">
        <v>-32</v>
      </c>
      <c r="T5">
        <v>90.0811322319</v>
      </c>
      <c r="U5">
        <v>106.4315218956</v>
      </c>
      <c r="V5">
        <v>3.5003504454000001</v>
      </c>
      <c r="W5">
        <v>3.0270797E-3</v>
      </c>
      <c r="X5">
        <v>-6.6786300000000001E-5</v>
      </c>
      <c r="Y5">
        <v>3.3137906193000002</v>
      </c>
      <c r="Z5">
        <v>89.2802453141</v>
      </c>
      <c r="AA5">
        <v>77.212617820199995</v>
      </c>
      <c r="AB5">
        <v>322.73012053920002</v>
      </c>
      <c r="AC5">
        <v>344.30457730109998</v>
      </c>
      <c r="AD5">
        <v>1</v>
      </c>
      <c r="AG5" s="17">
        <v>1</v>
      </c>
    </row>
    <row r="6" spans="1:33">
      <c r="A6" t="s">
        <v>618</v>
      </c>
      <c r="B6" t="s">
        <v>619</v>
      </c>
      <c r="C6" t="s">
        <v>631</v>
      </c>
      <c r="D6" t="s">
        <v>209</v>
      </c>
      <c r="E6">
        <v>3</v>
      </c>
      <c r="F6" t="s">
        <v>210</v>
      </c>
      <c r="G6" t="s">
        <v>211</v>
      </c>
      <c r="H6" t="s">
        <v>250</v>
      </c>
      <c r="I6" t="s">
        <v>532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-5.8651026392999999</v>
      </c>
      <c r="S6">
        <v>-40</v>
      </c>
      <c r="T6">
        <v>83.170618150899998</v>
      </c>
      <c r="U6">
        <v>104.9309858094</v>
      </c>
      <c r="V6">
        <v>3.7255494645999998</v>
      </c>
      <c r="W6">
        <v>2.2276793999999999E-3</v>
      </c>
      <c r="X6">
        <v>-6.8059599999999995E-5</v>
      </c>
      <c r="Y6">
        <v>3.5004935327000002</v>
      </c>
      <c r="Z6">
        <v>82.769438641700006</v>
      </c>
      <c r="AA6">
        <v>62.316866185199999</v>
      </c>
      <c r="AB6">
        <v>330.00629714820002</v>
      </c>
      <c r="AC6">
        <v>353.28083096080002</v>
      </c>
      <c r="AD6">
        <v>1</v>
      </c>
      <c r="AG6" s="17">
        <v>1</v>
      </c>
    </row>
    <row r="7" spans="1:33">
      <c r="A7" t="s">
        <v>621</v>
      </c>
      <c r="B7" t="s">
        <v>622</v>
      </c>
      <c r="C7" t="s">
        <v>632</v>
      </c>
      <c r="D7" t="s">
        <v>209</v>
      </c>
      <c r="E7">
        <v>3</v>
      </c>
      <c r="F7" t="s">
        <v>210</v>
      </c>
      <c r="G7" t="s">
        <v>211</v>
      </c>
      <c r="H7" t="s">
        <v>250</v>
      </c>
      <c r="I7" t="s">
        <v>532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-5.8651026392999999</v>
      </c>
      <c r="S7">
        <v>-40</v>
      </c>
      <c r="T7">
        <v>85.112912605299996</v>
      </c>
      <c r="U7">
        <v>106.4446705255</v>
      </c>
      <c r="V7">
        <v>3.6546122009999999</v>
      </c>
      <c r="W7">
        <v>2.5846505000000001E-3</v>
      </c>
      <c r="X7">
        <v>-6.9426599999999997E-5</v>
      </c>
      <c r="Y7">
        <v>3.450761102</v>
      </c>
      <c r="Z7">
        <v>84.311736530199994</v>
      </c>
      <c r="AA7">
        <v>68.813987873399995</v>
      </c>
      <c r="AB7">
        <v>325.48967476069998</v>
      </c>
      <c r="AC7">
        <v>347.995958363</v>
      </c>
      <c r="AD7">
        <v>1</v>
      </c>
      <c r="AG7" s="17">
        <v>1</v>
      </c>
    </row>
    <row r="8" spans="1:33">
      <c r="A8" t="s">
        <v>624</v>
      </c>
      <c r="B8" t="s">
        <v>625</v>
      </c>
      <c r="C8" t="s">
        <v>633</v>
      </c>
      <c r="D8" t="s">
        <v>209</v>
      </c>
      <c r="E8">
        <v>3</v>
      </c>
      <c r="F8" t="s">
        <v>210</v>
      </c>
      <c r="G8" t="s">
        <v>211</v>
      </c>
      <c r="H8" t="s">
        <v>250</v>
      </c>
      <c r="I8" t="s">
        <v>532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-4.6920821114000004</v>
      </c>
      <c r="S8">
        <v>-32</v>
      </c>
      <c r="T8">
        <v>82.167988987399994</v>
      </c>
      <c r="U8">
        <v>99.320190591799999</v>
      </c>
      <c r="V8">
        <v>3.6709900321000002</v>
      </c>
      <c r="W8">
        <v>2.9655285E-3</v>
      </c>
      <c r="X8">
        <v>-6.8703999999999998E-5</v>
      </c>
      <c r="Y8">
        <v>3.4608786868000001</v>
      </c>
      <c r="Z8">
        <v>82.067092024700003</v>
      </c>
      <c r="AA8">
        <v>64.964053568699995</v>
      </c>
      <c r="AB8">
        <v>337.13846913610001</v>
      </c>
      <c r="AC8">
        <v>359.46043348270001</v>
      </c>
      <c r="AD8">
        <v>1</v>
      </c>
      <c r="AG8" s="17">
        <v>1</v>
      </c>
    </row>
    <row r="9" spans="1:33">
      <c r="A9" t="s">
        <v>627</v>
      </c>
      <c r="B9" t="s">
        <v>628</v>
      </c>
      <c r="C9" t="s">
        <v>634</v>
      </c>
      <c r="D9" t="s">
        <v>209</v>
      </c>
      <c r="E9">
        <v>3</v>
      </c>
      <c r="F9" t="s">
        <v>210</v>
      </c>
      <c r="G9" t="s">
        <v>211</v>
      </c>
      <c r="H9" t="s">
        <v>250</v>
      </c>
      <c r="I9" t="s">
        <v>532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-4.6920821114000004</v>
      </c>
      <c r="S9">
        <v>-32</v>
      </c>
      <c r="T9">
        <v>88.108237904399999</v>
      </c>
      <c r="U9">
        <v>104.8018501711</v>
      </c>
      <c r="V9">
        <v>3.5740075747</v>
      </c>
      <c r="W9">
        <v>3.1341466000000002E-3</v>
      </c>
      <c r="X9">
        <v>-6.7033599999999995E-5</v>
      </c>
      <c r="Y9">
        <v>3.3902269227000001</v>
      </c>
      <c r="Z9">
        <v>87.907163357399995</v>
      </c>
      <c r="AA9">
        <v>71.390742941599996</v>
      </c>
      <c r="AB9">
        <v>330.79370971020001</v>
      </c>
      <c r="AC9">
        <v>353.16469695080002</v>
      </c>
      <c r="AD9">
        <v>1</v>
      </c>
      <c r="AG9" s="17">
        <v>1</v>
      </c>
    </row>
    <row r="10" spans="1:33">
      <c r="A10" t="s">
        <v>674</v>
      </c>
      <c r="B10" t="s">
        <v>675</v>
      </c>
      <c r="C10" t="s">
        <v>683</v>
      </c>
      <c r="D10" t="s">
        <v>209</v>
      </c>
      <c r="E10">
        <v>3</v>
      </c>
      <c r="F10" t="s">
        <v>210</v>
      </c>
      <c r="G10" t="s">
        <v>211</v>
      </c>
      <c r="H10" t="s">
        <v>250</v>
      </c>
      <c r="I10" t="s">
        <v>532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-4.6920821114000004</v>
      </c>
      <c r="S10">
        <v>-32</v>
      </c>
      <c r="T10">
        <v>89.742332656800002</v>
      </c>
      <c r="U10">
        <v>106.81598708</v>
      </c>
      <c r="V10">
        <v>3.6549024820999998</v>
      </c>
      <c r="W10">
        <v>3.0850533E-3</v>
      </c>
      <c r="X10">
        <v>-7.2882700000000006E-5</v>
      </c>
      <c r="Y10">
        <v>3.4492137235000002</v>
      </c>
      <c r="Z10">
        <v>89.5414695244</v>
      </c>
      <c r="AA10">
        <v>73.158855467699993</v>
      </c>
      <c r="AB10">
        <v>327.99407581669999</v>
      </c>
      <c r="AC10">
        <v>350.57568101829997</v>
      </c>
      <c r="AD10">
        <v>1</v>
      </c>
      <c r="AG10" s="17">
        <v>1</v>
      </c>
    </row>
    <row r="11" spans="1:33">
      <c r="A11" t="s">
        <v>677</v>
      </c>
      <c r="B11" t="s">
        <v>678</v>
      </c>
      <c r="C11" t="s">
        <v>684</v>
      </c>
      <c r="D11" t="s">
        <v>209</v>
      </c>
      <c r="E11">
        <v>3</v>
      </c>
      <c r="F11" t="s">
        <v>210</v>
      </c>
      <c r="G11" t="s">
        <v>211</v>
      </c>
      <c r="H11" t="s">
        <v>250</v>
      </c>
      <c r="I11" t="s">
        <v>532</v>
      </c>
      <c r="K11" t="s">
        <v>661</v>
      </c>
      <c r="L11" t="s">
        <v>662</v>
      </c>
      <c r="M11" t="s">
        <v>663</v>
      </c>
      <c r="N11" t="s">
        <v>664</v>
      </c>
      <c r="O11" t="s">
        <v>665</v>
      </c>
      <c r="P11">
        <v>0</v>
      </c>
      <c r="Q11">
        <v>0</v>
      </c>
      <c r="R11">
        <v>-5.8651026392999999</v>
      </c>
      <c r="S11">
        <v>-40</v>
      </c>
      <c r="T11">
        <v>84.055905184799997</v>
      </c>
      <c r="U11">
        <v>105.1826190533</v>
      </c>
      <c r="V11">
        <v>3.6212273911000001</v>
      </c>
      <c r="W11">
        <v>2.8530022E-3</v>
      </c>
      <c r="X11">
        <v>-6.9464100000000005E-5</v>
      </c>
      <c r="Y11">
        <v>3.4029978999999999</v>
      </c>
      <c r="Z11">
        <v>83.554830277099995</v>
      </c>
      <c r="AA11">
        <v>68.000009988000002</v>
      </c>
      <c r="AB11">
        <v>335.05509022439998</v>
      </c>
      <c r="AC11">
        <v>356.96199874529998</v>
      </c>
      <c r="AD11">
        <v>1</v>
      </c>
      <c r="AG11" s="17">
        <v>1</v>
      </c>
    </row>
    <row r="12" spans="1:33">
      <c r="A12" t="s">
        <v>680</v>
      </c>
      <c r="B12" t="s">
        <v>681</v>
      </c>
      <c r="C12" t="s">
        <v>685</v>
      </c>
      <c r="D12" t="s">
        <v>209</v>
      </c>
      <c r="E12">
        <v>3</v>
      </c>
      <c r="F12" t="s">
        <v>210</v>
      </c>
      <c r="G12" t="s">
        <v>211</v>
      </c>
      <c r="H12" t="s">
        <v>250</v>
      </c>
      <c r="I12" t="s">
        <v>532</v>
      </c>
      <c r="K12" t="s">
        <v>669</v>
      </c>
      <c r="L12" t="s">
        <v>670</v>
      </c>
      <c r="M12" t="s">
        <v>671</v>
      </c>
      <c r="N12" t="s">
        <v>672</v>
      </c>
      <c r="O12" t="s">
        <v>673</v>
      </c>
      <c r="P12">
        <v>0</v>
      </c>
      <c r="Q12">
        <v>0</v>
      </c>
      <c r="R12">
        <v>-7.0381231672000002</v>
      </c>
      <c r="S12">
        <v>-48</v>
      </c>
      <c r="T12">
        <v>87.024125020699998</v>
      </c>
      <c r="U12">
        <v>112.84216453019999</v>
      </c>
      <c r="V12">
        <v>3.6874528762000001</v>
      </c>
      <c r="W12">
        <v>2.2380854E-3</v>
      </c>
      <c r="X12">
        <v>-6.8392600000000007E-5</v>
      </c>
      <c r="Y12">
        <v>3.4664006214</v>
      </c>
      <c r="Z12">
        <v>86.823452525299999</v>
      </c>
      <c r="AA12">
        <v>65.336095430200004</v>
      </c>
      <c r="AB12">
        <v>330.54992788369998</v>
      </c>
      <c r="AC12">
        <v>352.7808626515</v>
      </c>
      <c r="AD12">
        <v>1</v>
      </c>
      <c r="AG12" s="17">
        <v>1</v>
      </c>
    </row>
    <row r="13" spans="1:33">
      <c r="A13" t="s">
        <v>703</v>
      </c>
      <c r="B13" t="s">
        <v>704</v>
      </c>
      <c r="C13" t="s">
        <v>706</v>
      </c>
      <c r="D13" t="s">
        <v>209</v>
      </c>
      <c r="E13">
        <v>3</v>
      </c>
      <c r="F13" t="s">
        <v>210</v>
      </c>
      <c r="G13" t="s">
        <v>211</v>
      </c>
      <c r="H13" t="s">
        <v>250</v>
      </c>
      <c r="I13" t="s">
        <v>532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-8.2111436950000005</v>
      </c>
      <c r="S13">
        <v>-56</v>
      </c>
      <c r="T13">
        <v>84.847350773000002</v>
      </c>
      <c r="U13">
        <v>114.28132791660001</v>
      </c>
      <c r="V13">
        <v>3.6101279113000002</v>
      </c>
      <c r="W13">
        <v>2.5539853E-3</v>
      </c>
      <c r="X13">
        <v>-6.7022399999999997E-5</v>
      </c>
      <c r="Y13">
        <v>3.3566041265000002</v>
      </c>
      <c r="Z13">
        <v>84.845796704400001</v>
      </c>
      <c r="AA13">
        <v>67.044965710200003</v>
      </c>
      <c r="AB13">
        <v>352.49586096749999</v>
      </c>
      <c r="AC13">
        <v>374.5017103102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266</v>
      </c>
      <c r="S1" t="s">
        <v>267</v>
      </c>
      <c r="T1" t="s">
        <v>268</v>
      </c>
      <c r="U1" t="s">
        <v>269</v>
      </c>
      <c r="V1" t="s">
        <v>270</v>
      </c>
      <c r="W1" t="s">
        <v>271</v>
      </c>
      <c r="X1" t="s">
        <v>272</v>
      </c>
      <c r="Y1" t="s">
        <v>273</v>
      </c>
      <c r="Z1" t="s">
        <v>274</v>
      </c>
      <c r="AA1" t="s">
        <v>275</v>
      </c>
      <c r="AB1" t="s">
        <v>276</v>
      </c>
      <c r="AC1" t="s">
        <v>277</v>
      </c>
      <c r="AD1" t="s">
        <v>278</v>
      </c>
      <c r="AE1" t="s">
        <v>279</v>
      </c>
      <c r="AF1" t="s">
        <v>280</v>
      </c>
      <c r="AG1" t="s">
        <v>281</v>
      </c>
      <c r="AH1" t="s">
        <v>282</v>
      </c>
      <c r="AI1" t="s">
        <v>283</v>
      </c>
      <c r="AJ1" t="s">
        <v>284</v>
      </c>
      <c r="AK1" t="s">
        <v>285</v>
      </c>
      <c r="AL1" t="s">
        <v>286</v>
      </c>
      <c r="AM1" t="s">
        <v>287</v>
      </c>
      <c r="AN1" t="s">
        <v>288</v>
      </c>
      <c r="AO1" t="s">
        <v>289</v>
      </c>
      <c r="AP1" t="s">
        <v>290</v>
      </c>
      <c r="AQ1" t="s">
        <v>291</v>
      </c>
      <c r="AR1" t="s">
        <v>292</v>
      </c>
      <c r="AS1" t="s">
        <v>293</v>
      </c>
      <c r="AT1" t="s">
        <v>294</v>
      </c>
      <c r="AU1" t="s">
        <v>295</v>
      </c>
      <c r="AV1" t="s">
        <v>296</v>
      </c>
      <c r="AW1" t="s">
        <v>297</v>
      </c>
      <c r="AX1" t="s">
        <v>298</v>
      </c>
      <c r="AY1" t="s">
        <v>299</v>
      </c>
      <c r="AZ1" t="s">
        <v>300</v>
      </c>
      <c r="BA1" t="s">
        <v>301</v>
      </c>
      <c r="BB1" t="s">
        <v>302</v>
      </c>
      <c r="BC1" t="s">
        <v>303</v>
      </c>
      <c r="BD1" t="s">
        <v>304</v>
      </c>
      <c r="BE1" t="s">
        <v>305</v>
      </c>
      <c r="BF1" t="s">
        <v>306</v>
      </c>
      <c r="BG1" t="s">
        <v>307</v>
      </c>
      <c r="BH1" t="s">
        <v>308</v>
      </c>
      <c r="BI1" t="s">
        <v>309</v>
      </c>
      <c r="BJ1" t="s">
        <v>310</v>
      </c>
      <c r="BK1" t="s">
        <v>311</v>
      </c>
      <c r="BL1" t="s">
        <v>312</v>
      </c>
      <c r="BM1" t="s">
        <v>313</v>
      </c>
      <c r="BN1" t="s">
        <v>314</v>
      </c>
      <c r="BO1" t="s">
        <v>315</v>
      </c>
      <c r="BP1" t="s">
        <v>316</v>
      </c>
      <c r="BQ1" t="s">
        <v>317</v>
      </c>
      <c r="BR1" t="s">
        <v>318</v>
      </c>
      <c r="BS1" t="s">
        <v>319</v>
      </c>
      <c r="BT1" t="s">
        <v>320</v>
      </c>
      <c r="BU1" t="s">
        <v>321</v>
      </c>
      <c r="BV1" t="s">
        <v>322</v>
      </c>
      <c r="BW1" t="s">
        <v>323</v>
      </c>
      <c r="BX1" t="s">
        <v>324</v>
      </c>
      <c r="BY1" t="s">
        <v>325</v>
      </c>
      <c r="BZ1" t="s">
        <v>326</v>
      </c>
      <c r="CA1" t="s">
        <v>327</v>
      </c>
      <c r="CB1" t="s">
        <v>328</v>
      </c>
      <c r="CC1" t="s">
        <v>329</v>
      </c>
      <c r="CD1" t="s">
        <v>330</v>
      </c>
      <c r="CE1" t="s">
        <v>331</v>
      </c>
      <c r="CF1" t="s">
        <v>332</v>
      </c>
      <c r="CG1" t="s">
        <v>333</v>
      </c>
      <c r="CH1" t="s">
        <v>334</v>
      </c>
      <c r="CI1" t="s">
        <v>335</v>
      </c>
      <c r="CJ1" t="s">
        <v>336</v>
      </c>
      <c r="CK1" t="s">
        <v>337</v>
      </c>
      <c r="CL1" t="s">
        <v>338</v>
      </c>
      <c r="CM1" t="s">
        <v>339</v>
      </c>
      <c r="CN1" t="s">
        <v>340</v>
      </c>
      <c r="CO1" t="s">
        <v>341</v>
      </c>
      <c r="CP1" t="s">
        <v>342</v>
      </c>
      <c r="CQ1" t="s">
        <v>343</v>
      </c>
      <c r="CR1" t="s">
        <v>344</v>
      </c>
      <c r="CS1" t="s">
        <v>345</v>
      </c>
      <c r="CT1" t="s">
        <v>346</v>
      </c>
      <c r="CU1" t="s">
        <v>347</v>
      </c>
      <c r="CV1" t="s">
        <v>348</v>
      </c>
      <c r="CW1" t="s">
        <v>349</v>
      </c>
      <c r="CX1" t="s">
        <v>350</v>
      </c>
      <c r="CY1" t="s">
        <v>351</v>
      </c>
      <c r="CZ1" t="s">
        <v>352</v>
      </c>
      <c r="DA1" t="s">
        <v>353</v>
      </c>
      <c r="DB1" t="s">
        <v>354</v>
      </c>
      <c r="DC1" t="s">
        <v>355</v>
      </c>
      <c r="DD1" t="s">
        <v>356</v>
      </c>
      <c r="DE1" t="s">
        <v>357</v>
      </c>
      <c r="DF1" t="s">
        <v>358</v>
      </c>
      <c r="DG1" t="s">
        <v>359</v>
      </c>
      <c r="DH1" t="s">
        <v>360</v>
      </c>
      <c r="DI1" t="s">
        <v>361</v>
      </c>
      <c r="DJ1" t="s">
        <v>362</v>
      </c>
      <c r="DK1" t="s">
        <v>363</v>
      </c>
      <c r="DL1" t="s">
        <v>364</v>
      </c>
      <c r="DM1" t="s">
        <v>365</v>
      </c>
      <c r="DN1" t="s">
        <v>366</v>
      </c>
      <c r="DO1" t="s">
        <v>367</v>
      </c>
      <c r="DP1" t="s">
        <v>368</v>
      </c>
      <c r="DQ1" t="s">
        <v>369</v>
      </c>
      <c r="DR1" t="s">
        <v>370</v>
      </c>
      <c r="DS1" t="s">
        <v>371</v>
      </c>
      <c r="DT1" t="s">
        <v>372</v>
      </c>
      <c r="DU1" t="s">
        <v>373</v>
      </c>
      <c r="DV1" t="s">
        <v>374</v>
      </c>
      <c r="DW1" t="s">
        <v>375</v>
      </c>
      <c r="DX1" t="s">
        <v>376</v>
      </c>
      <c r="DY1" t="s">
        <v>377</v>
      </c>
      <c r="DZ1" t="s">
        <v>378</v>
      </c>
      <c r="EA1" t="s">
        <v>379</v>
      </c>
      <c r="EB1" t="s">
        <v>380</v>
      </c>
      <c r="EC1" t="s">
        <v>381</v>
      </c>
      <c r="ED1" t="s">
        <v>382</v>
      </c>
      <c r="EE1" t="s">
        <v>383</v>
      </c>
      <c r="EF1" t="s">
        <v>384</v>
      </c>
      <c r="EG1" t="s">
        <v>385</v>
      </c>
      <c r="EH1" t="s">
        <v>386</v>
      </c>
      <c r="EI1" t="s">
        <v>387</v>
      </c>
      <c r="EJ1" t="s">
        <v>388</v>
      </c>
      <c r="EK1" t="s">
        <v>389</v>
      </c>
      <c r="EL1" t="s">
        <v>390</v>
      </c>
      <c r="EM1" t="s">
        <v>391</v>
      </c>
      <c r="EN1" t="s">
        <v>392</v>
      </c>
      <c r="EO1" t="s">
        <v>393</v>
      </c>
      <c r="EP1" t="s">
        <v>394</v>
      </c>
      <c r="EQ1" t="s">
        <v>395</v>
      </c>
      <c r="ER1" t="s">
        <v>396</v>
      </c>
      <c r="ES1" t="s">
        <v>397</v>
      </c>
      <c r="ET1" t="s">
        <v>398</v>
      </c>
      <c r="EU1" t="s">
        <v>399</v>
      </c>
      <c r="EV1" t="s">
        <v>400</v>
      </c>
      <c r="EW1" t="s">
        <v>401</v>
      </c>
      <c r="EX1" t="s">
        <v>402</v>
      </c>
      <c r="EY1" t="s">
        <v>403</v>
      </c>
      <c r="EZ1" t="s">
        <v>404</v>
      </c>
      <c r="FA1" t="s">
        <v>405</v>
      </c>
      <c r="FB1" t="s">
        <v>406</v>
      </c>
      <c r="FC1" t="s">
        <v>407</v>
      </c>
      <c r="FD1" t="s">
        <v>408</v>
      </c>
      <c r="FE1" t="s">
        <v>409</v>
      </c>
      <c r="FF1" t="s">
        <v>410</v>
      </c>
      <c r="FG1" t="s">
        <v>411</v>
      </c>
      <c r="FH1" t="s">
        <v>412</v>
      </c>
      <c r="FI1" t="s">
        <v>413</v>
      </c>
      <c r="FJ1" t="s">
        <v>414</v>
      </c>
      <c r="FK1" t="s">
        <v>415</v>
      </c>
      <c r="FL1" t="s">
        <v>416</v>
      </c>
      <c r="FM1" t="s">
        <v>417</v>
      </c>
      <c r="FN1" t="s">
        <v>418</v>
      </c>
      <c r="FO1" t="s">
        <v>419</v>
      </c>
      <c r="FP1" t="s">
        <v>420</v>
      </c>
      <c r="FQ1" t="s">
        <v>421</v>
      </c>
      <c r="FR1" t="s">
        <v>422</v>
      </c>
      <c r="FS1" t="s">
        <v>423</v>
      </c>
      <c r="FT1" t="s">
        <v>424</v>
      </c>
      <c r="FU1" t="s">
        <v>425</v>
      </c>
      <c r="FV1" t="s">
        <v>426</v>
      </c>
      <c r="FW1" t="s">
        <v>427</v>
      </c>
      <c r="FX1" t="s">
        <v>428</v>
      </c>
      <c r="FY1" t="s">
        <v>429</v>
      </c>
      <c r="FZ1" t="s">
        <v>430</v>
      </c>
      <c r="GA1" t="s">
        <v>431</v>
      </c>
      <c r="GB1" t="s">
        <v>432</v>
      </c>
      <c r="GC1" t="s">
        <v>433</v>
      </c>
      <c r="GD1" t="s">
        <v>434</v>
      </c>
      <c r="GE1" t="s">
        <v>435</v>
      </c>
      <c r="GF1" t="s">
        <v>436</v>
      </c>
      <c r="GG1" t="s">
        <v>437</v>
      </c>
      <c r="GH1" t="s">
        <v>438</v>
      </c>
      <c r="GI1" t="s">
        <v>439</v>
      </c>
      <c r="GJ1" t="s">
        <v>440</v>
      </c>
      <c r="GK1" t="s">
        <v>441</v>
      </c>
      <c r="GL1" t="s">
        <v>442</v>
      </c>
      <c r="GM1" t="s">
        <v>443</v>
      </c>
      <c r="GN1" t="s">
        <v>444</v>
      </c>
      <c r="GO1" t="s">
        <v>445</v>
      </c>
      <c r="GP1" t="s">
        <v>446</v>
      </c>
      <c r="GQ1" t="s">
        <v>447</v>
      </c>
      <c r="GR1" t="s">
        <v>448</v>
      </c>
      <c r="GS1" t="s">
        <v>449</v>
      </c>
      <c r="GT1" t="s">
        <v>450</v>
      </c>
      <c r="GU1" t="s">
        <v>451</v>
      </c>
      <c r="GV1" t="s">
        <v>452</v>
      </c>
      <c r="GW1" t="s">
        <v>453</v>
      </c>
      <c r="GX1" t="s">
        <v>454</v>
      </c>
      <c r="GY1" t="s">
        <v>455</v>
      </c>
      <c r="GZ1" t="s">
        <v>456</v>
      </c>
      <c r="HA1" t="s">
        <v>457</v>
      </c>
      <c r="HB1" t="s">
        <v>458</v>
      </c>
      <c r="HC1" t="s">
        <v>459</v>
      </c>
      <c r="HD1" t="s">
        <v>460</v>
      </c>
      <c r="HE1" t="s">
        <v>461</v>
      </c>
      <c r="HF1" t="s">
        <v>462</v>
      </c>
      <c r="HG1" t="s">
        <v>463</v>
      </c>
      <c r="HH1" t="s">
        <v>464</v>
      </c>
      <c r="HI1" t="s">
        <v>465</v>
      </c>
      <c r="HJ1" t="s">
        <v>466</v>
      </c>
      <c r="HK1" t="s">
        <v>467</v>
      </c>
      <c r="HL1" t="s">
        <v>468</v>
      </c>
      <c r="HM1" t="s">
        <v>469</v>
      </c>
      <c r="HN1" t="s">
        <v>470</v>
      </c>
      <c r="HO1" t="s">
        <v>471</v>
      </c>
      <c r="HP1" t="s">
        <v>472</v>
      </c>
      <c r="HQ1" t="s">
        <v>473</v>
      </c>
      <c r="HR1" t="s">
        <v>474</v>
      </c>
      <c r="HS1" t="s">
        <v>475</v>
      </c>
      <c r="HT1" t="s">
        <v>476</v>
      </c>
      <c r="HU1" t="s">
        <v>477</v>
      </c>
      <c r="HV1" t="s">
        <v>478</v>
      </c>
      <c r="HW1" t="s">
        <v>479</v>
      </c>
      <c r="HX1" t="s">
        <v>480</v>
      </c>
      <c r="HY1" t="s">
        <v>481</v>
      </c>
      <c r="HZ1" t="s">
        <v>482</v>
      </c>
      <c r="IA1" t="s">
        <v>483</v>
      </c>
      <c r="IB1" t="s">
        <v>484</v>
      </c>
      <c r="IC1" t="s">
        <v>485</v>
      </c>
      <c r="ID1" t="s">
        <v>486</v>
      </c>
      <c r="IE1" t="s">
        <v>487</v>
      </c>
      <c r="IF1" t="s">
        <v>488</v>
      </c>
      <c r="IG1" t="s">
        <v>489</v>
      </c>
      <c r="IH1" t="s">
        <v>490</v>
      </c>
      <c r="II1" t="s">
        <v>491</v>
      </c>
      <c r="IJ1" t="s">
        <v>492</v>
      </c>
      <c r="IK1" t="s">
        <v>493</v>
      </c>
      <c r="IL1" t="s">
        <v>494</v>
      </c>
      <c r="IM1" t="s">
        <v>495</v>
      </c>
      <c r="IN1" t="s">
        <v>496</v>
      </c>
      <c r="IO1" t="s">
        <v>497</v>
      </c>
      <c r="IP1" t="s">
        <v>498</v>
      </c>
      <c r="IQ1" t="s">
        <v>499</v>
      </c>
      <c r="IR1" t="s">
        <v>500</v>
      </c>
      <c r="IS1" t="s">
        <v>501</v>
      </c>
      <c r="IT1" t="s">
        <v>502</v>
      </c>
      <c r="IU1" t="s">
        <v>503</v>
      </c>
      <c r="IV1" t="s">
        <v>504</v>
      </c>
      <c r="IW1" t="s">
        <v>505</v>
      </c>
      <c r="IX1" t="s">
        <v>506</v>
      </c>
      <c r="IY1" t="s">
        <v>507</v>
      </c>
      <c r="IZ1" t="s">
        <v>508</v>
      </c>
      <c r="JA1" t="s">
        <v>509</v>
      </c>
      <c r="JB1" t="s">
        <v>510</v>
      </c>
      <c r="JC1" t="s">
        <v>511</v>
      </c>
      <c r="JD1" t="s">
        <v>512</v>
      </c>
      <c r="JE1" t="s">
        <v>513</v>
      </c>
      <c r="JF1" t="s">
        <v>514</v>
      </c>
      <c r="JG1" t="s">
        <v>515</v>
      </c>
      <c r="JH1" t="s">
        <v>516</v>
      </c>
      <c r="JI1" t="s">
        <v>517</v>
      </c>
      <c r="JJ1" t="s">
        <v>518</v>
      </c>
      <c r="JK1" t="s">
        <v>519</v>
      </c>
      <c r="JL1" t="s">
        <v>260</v>
      </c>
      <c r="JM1" t="s">
        <v>520</v>
      </c>
      <c r="JN1" t="s">
        <v>521</v>
      </c>
      <c r="JO1" t="s">
        <v>522</v>
      </c>
      <c r="JP1" t="s">
        <v>523</v>
      </c>
      <c r="JQ1" t="s">
        <v>524</v>
      </c>
      <c r="JR1" s="17" t="s">
        <v>525</v>
      </c>
      <c r="JS1" s="17" t="s">
        <v>206</v>
      </c>
      <c r="JT1" s="17" t="s">
        <v>207</v>
      </c>
      <c r="JU1" s="17" t="s">
        <v>208</v>
      </c>
    </row>
    <row r="2" spans="1:281">
      <c r="A2" t="s">
        <v>562</v>
      </c>
      <c r="B2" t="s">
        <v>563</v>
      </c>
      <c r="C2" t="s">
        <v>564</v>
      </c>
      <c r="D2" t="s">
        <v>209</v>
      </c>
      <c r="E2">
        <v>3</v>
      </c>
      <c r="F2" t="s">
        <v>210</v>
      </c>
      <c r="G2" t="s">
        <v>211</v>
      </c>
      <c r="H2" t="s">
        <v>526</v>
      </c>
      <c r="I2" t="s">
        <v>532</v>
      </c>
      <c r="K2" t="s">
        <v>533</v>
      </c>
      <c r="L2" t="s">
        <v>534</v>
      </c>
      <c r="M2" t="s">
        <v>535</v>
      </c>
      <c r="N2" t="s">
        <v>536</v>
      </c>
      <c r="O2" t="s">
        <v>537</v>
      </c>
      <c r="P2">
        <v>0</v>
      </c>
      <c r="Q2">
        <v>0</v>
      </c>
      <c r="R2">
        <v>1.2999999999</v>
      </c>
      <c r="S2">
        <v>0.29999999970000002</v>
      </c>
      <c r="T2">
        <v>0.1000000011</v>
      </c>
      <c r="U2">
        <v>0.1000000011</v>
      </c>
      <c r="V2">
        <v>0.29999999970000002</v>
      </c>
      <c r="W2">
        <v>0</v>
      </c>
      <c r="X2">
        <v>0.1000000011</v>
      </c>
      <c r="Y2">
        <v>0.1000000011</v>
      </c>
      <c r="Z2">
        <v>0.20000000039999999</v>
      </c>
      <c r="AA2">
        <v>0.1000000011</v>
      </c>
      <c r="AB2">
        <v>0.40000000079999998</v>
      </c>
      <c r="AC2">
        <v>0.29999999970000002</v>
      </c>
      <c r="AD2">
        <v>0.20000000039999999</v>
      </c>
      <c r="AE2">
        <v>0.20000000039999999</v>
      </c>
      <c r="AF2">
        <v>0.1000000011</v>
      </c>
      <c r="AG2">
        <v>0</v>
      </c>
      <c r="AH2">
        <v>0.1000000011</v>
      </c>
      <c r="AI2">
        <v>0.1000000011</v>
      </c>
      <c r="AJ2">
        <v>0.1000000011</v>
      </c>
      <c r="AK2">
        <v>0.29999999970000002</v>
      </c>
      <c r="AL2">
        <v>3.0000000006</v>
      </c>
      <c r="AM2">
        <v>11.300000000100001</v>
      </c>
      <c r="AN2">
        <v>18</v>
      </c>
      <c r="AO2">
        <v>24.699999999900001</v>
      </c>
      <c r="AP2">
        <v>31.6000000003</v>
      </c>
      <c r="AQ2">
        <v>39.300000000399997</v>
      </c>
      <c r="AR2">
        <v>47.300000000200001</v>
      </c>
      <c r="AS2">
        <v>55.599999999700003</v>
      </c>
      <c r="AT2">
        <v>65.500000000599996</v>
      </c>
      <c r="AU2">
        <v>72.799999999899995</v>
      </c>
      <c r="AV2">
        <v>80.6000000011</v>
      </c>
      <c r="AW2">
        <v>87.900000000399999</v>
      </c>
      <c r="AX2">
        <v>97.200000000200006</v>
      </c>
      <c r="AY2">
        <v>106.9000000007</v>
      </c>
      <c r="AZ2">
        <v>117.400000001</v>
      </c>
      <c r="BA2">
        <v>125.2000000004</v>
      </c>
      <c r="BB2">
        <v>133.20000000019999</v>
      </c>
      <c r="BC2">
        <v>141.60000000080001</v>
      </c>
      <c r="BD2">
        <v>149.30000000090001</v>
      </c>
      <c r="BE2">
        <v>158.10000000060001</v>
      </c>
      <c r="BF2">
        <v>167.60000000069999</v>
      </c>
      <c r="BG2">
        <v>176.49999999959999</v>
      </c>
      <c r="BH2">
        <v>184.60000000049999</v>
      </c>
      <c r="BI2">
        <v>193.1000000004</v>
      </c>
      <c r="BJ2">
        <v>201.1000000002</v>
      </c>
      <c r="BK2">
        <v>209.0000000007</v>
      </c>
      <c r="BL2">
        <v>217.70000000109999</v>
      </c>
      <c r="BM2">
        <v>226.89999999969999</v>
      </c>
      <c r="BN2">
        <v>234.50000000049999</v>
      </c>
      <c r="BO2">
        <v>242.59999999959999</v>
      </c>
      <c r="BP2">
        <v>250.50000000009999</v>
      </c>
      <c r="BQ2">
        <v>257.60000000079998</v>
      </c>
      <c r="BR2">
        <v>265.9000000003</v>
      </c>
      <c r="BS2">
        <v>275.40000000039998</v>
      </c>
      <c r="BT2">
        <v>282.19999999959998</v>
      </c>
      <c r="BU2">
        <v>289.60000000010001</v>
      </c>
      <c r="BV2">
        <v>297.09999999979999</v>
      </c>
      <c r="BW2">
        <v>304.29999999979998</v>
      </c>
      <c r="BX2">
        <v>310.7</v>
      </c>
      <c r="BY2">
        <v>318.19999999970003</v>
      </c>
      <c r="BZ2">
        <v>327.00000000109998</v>
      </c>
      <c r="CA2">
        <v>333.59999999989998</v>
      </c>
      <c r="CB2">
        <v>340.29999999979998</v>
      </c>
      <c r="CC2">
        <v>347.10000000090002</v>
      </c>
      <c r="CD2">
        <v>353.50000000109998</v>
      </c>
      <c r="CE2">
        <v>360.09999999989998</v>
      </c>
      <c r="CF2">
        <v>365.60000000100001</v>
      </c>
      <c r="CG2">
        <v>372.30000000090001</v>
      </c>
      <c r="CH2">
        <v>380.50000000109998</v>
      </c>
      <c r="CI2">
        <v>385.90000000110001</v>
      </c>
      <c r="CJ2">
        <v>392.20000000020002</v>
      </c>
      <c r="CK2">
        <v>397.80000000059999</v>
      </c>
      <c r="CL2">
        <v>403.7000000008</v>
      </c>
      <c r="CM2">
        <v>409.60000000090002</v>
      </c>
      <c r="CN2">
        <v>414.30000000040002</v>
      </c>
      <c r="CO2">
        <v>420.10000000119999</v>
      </c>
      <c r="CP2">
        <v>426.4000000003</v>
      </c>
      <c r="CQ2">
        <v>433.39999999989999</v>
      </c>
      <c r="CR2">
        <v>438.29999999979998</v>
      </c>
      <c r="CS2">
        <v>442.50000000099999</v>
      </c>
      <c r="CT2">
        <v>443.00000000109998</v>
      </c>
      <c r="CU2">
        <v>443.10000000039997</v>
      </c>
      <c r="CV2">
        <v>443.10000000039997</v>
      </c>
      <c r="CW2">
        <v>443.00000000109998</v>
      </c>
      <c r="CX2">
        <v>443.10000000039997</v>
      </c>
      <c r="CY2">
        <v>443.10000000039997</v>
      </c>
      <c r="CZ2">
        <v>443.10000000039997</v>
      </c>
      <c r="DA2">
        <v>443.00000000109998</v>
      </c>
      <c r="DB2">
        <v>443.10000000039997</v>
      </c>
      <c r="DC2">
        <v>443.00000000109998</v>
      </c>
      <c r="DD2">
        <v>443.10000000039997</v>
      </c>
      <c r="DE2">
        <v>443.10000000039997</v>
      </c>
      <c r="DF2">
        <v>443.10000000039997</v>
      </c>
      <c r="DG2">
        <v>443.19999999970003</v>
      </c>
      <c r="DH2">
        <v>2.0999999997000001</v>
      </c>
      <c r="DI2">
        <v>1.2000000006</v>
      </c>
      <c r="DJ2">
        <v>1.2999999999</v>
      </c>
      <c r="DK2">
        <v>1.2000000006</v>
      </c>
      <c r="DL2">
        <v>1.2000000006</v>
      </c>
      <c r="DM2">
        <v>1.0999999995</v>
      </c>
      <c r="DN2">
        <v>1.2000000006</v>
      </c>
      <c r="DO2">
        <v>1.0000000002</v>
      </c>
      <c r="DP2">
        <v>1.0999999995</v>
      </c>
      <c r="DQ2">
        <v>1.0000000002</v>
      </c>
      <c r="DR2">
        <v>0.90000000089999999</v>
      </c>
      <c r="DS2">
        <v>1.0999999995</v>
      </c>
      <c r="DT2">
        <v>1.0999999995</v>
      </c>
      <c r="DU2">
        <v>1.0999999995</v>
      </c>
      <c r="DV2">
        <v>0.90000000089999999</v>
      </c>
      <c r="DW2">
        <v>0.79999999980000003</v>
      </c>
      <c r="DX2">
        <v>1.0000000002</v>
      </c>
      <c r="DY2">
        <v>0.90000000089999999</v>
      </c>
      <c r="DZ2">
        <v>1.0999999995</v>
      </c>
      <c r="EA2">
        <v>1.2000000006</v>
      </c>
      <c r="EB2">
        <v>8.1000000008999997</v>
      </c>
      <c r="EC2">
        <v>14.800000000800001</v>
      </c>
      <c r="ED2">
        <v>20.700000000900001</v>
      </c>
      <c r="EE2">
        <v>28.0999999995</v>
      </c>
      <c r="EF2">
        <v>36.000000000100002</v>
      </c>
      <c r="EG2">
        <v>43.799999999500002</v>
      </c>
      <c r="EH2">
        <v>51.900000000399999</v>
      </c>
      <c r="EI2">
        <v>61.900000000600002</v>
      </c>
      <c r="EJ2">
        <v>69.199999999900001</v>
      </c>
      <c r="EK2">
        <v>75.800000000500006</v>
      </c>
      <c r="EL2">
        <v>84.200000001099994</v>
      </c>
      <c r="EM2">
        <v>92.599999999900007</v>
      </c>
      <c r="EN2">
        <v>101.8999999997</v>
      </c>
      <c r="EO2">
        <v>113.49999999950001</v>
      </c>
      <c r="EP2">
        <v>121.4</v>
      </c>
      <c r="EQ2">
        <v>128.80000000039999</v>
      </c>
      <c r="ER2">
        <v>136.89999999950001</v>
      </c>
      <c r="ES2">
        <v>145.80000000019999</v>
      </c>
      <c r="ET2">
        <v>154.20000000089999</v>
      </c>
      <c r="EU2">
        <v>164.1</v>
      </c>
      <c r="EV2">
        <v>173.39999999969999</v>
      </c>
      <c r="EW2">
        <v>181.39999999950001</v>
      </c>
      <c r="EX2">
        <v>188.5999999995</v>
      </c>
      <c r="EY2">
        <v>197.09999999940001</v>
      </c>
      <c r="EZ2">
        <v>205.90000000079999</v>
      </c>
      <c r="FA2">
        <v>214.7000000004</v>
      </c>
      <c r="FB2">
        <v>224.400000001</v>
      </c>
      <c r="FC2">
        <v>232.40000000079999</v>
      </c>
      <c r="FD2">
        <v>239.49999999970001</v>
      </c>
      <c r="FE2">
        <v>247.49999999950001</v>
      </c>
      <c r="FF2">
        <v>255.6999999997</v>
      </c>
      <c r="FG2">
        <v>264.00000000099999</v>
      </c>
      <c r="FH2">
        <v>273.60000000039997</v>
      </c>
      <c r="FI2">
        <v>280.89999999970001</v>
      </c>
      <c r="FJ2">
        <v>288.50000000059998</v>
      </c>
      <c r="FK2">
        <v>295.40000000089998</v>
      </c>
      <c r="FL2">
        <v>302.30000000119998</v>
      </c>
      <c r="FM2">
        <v>310.1999999999</v>
      </c>
      <c r="FN2">
        <v>317.50000000099999</v>
      </c>
      <c r="FO2">
        <v>326.80000000069998</v>
      </c>
      <c r="FP2">
        <v>333.30000000019999</v>
      </c>
      <c r="FQ2">
        <v>340.09999999939998</v>
      </c>
      <c r="FR2">
        <v>347.10000000090002</v>
      </c>
      <c r="FS2">
        <v>353.00000000099999</v>
      </c>
      <c r="FT2">
        <v>359.2000000008</v>
      </c>
      <c r="FU2">
        <v>366.1000000011</v>
      </c>
      <c r="FV2">
        <v>373.10000000069999</v>
      </c>
      <c r="FW2">
        <v>381.10000000050002</v>
      </c>
      <c r="FX2">
        <v>386.70000000089999</v>
      </c>
      <c r="FY2">
        <v>392.70000000030001</v>
      </c>
      <c r="FZ2">
        <v>398.60000000039997</v>
      </c>
      <c r="GA2">
        <v>403.20000000070002</v>
      </c>
      <c r="GB2">
        <v>409.20000000009998</v>
      </c>
      <c r="GC2">
        <v>414.8999999998</v>
      </c>
      <c r="GD2">
        <v>420.70000000060003</v>
      </c>
      <c r="GE2">
        <v>426.80000000109999</v>
      </c>
      <c r="GF2">
        <v>433.50000000099999</v>
      </c>
      <c r="GG2">
        <v>438.09999999939998</v>
      </c>
      <c r="GH2">
        <v>442.19999999949999</v>
      </c>
      <c r="GI2">
        <v>442.80000000069998</v>
      </c>
      <c r="GJ2">
        <v>442.80000000069998</v>
      </c>
      <c r="GK2">
        <v>443.00000000109998</v>
      </c>
      <c r="GL2">
        <v>442.80000000069998</v>
      </c>
      <c r="GM2">
        <v>442.9</v>
      </c>
      <c r="GN2">
        <v>443.00000000109998</v>
      </c>
      <c r="GO2">
        <v>443.00000000109998</v>
      </c>
      <c r="GP2">
        <v>443.00000000109998</v>
      </c>
      <c r="GQ2">
        <v>443.00000000109998</v>
      </c>
      <c r="GR2">
        <v>443.00000000109998</v>
      </c>
      <c r="GS2">
        <v>443.00000000109998</v>
      </c>
      <c r="GT2">
        <v>443.00000000109998</v>
      </c>
      <c r="GU2">
        <v>443.00000000109998</v>
      </c>
      <c r="GV2">
        <v>443.19999999970003</v>
      </c>
      <c r="GW2">
        <v>443.10000000039997</v>
      </c>
      <c r="GX2">
        <v>1</v>
      </c>
      <c r="GY2">
        <v>97.399999998699997</v>
      </c>
      <c r="GZ2">
        <v>97.200000000200006</v>
      </c>
      <c r="HA2">
        <v>97.200000000200006</v>
      </c>
      <c r="HB2">
        <v>101.8999999997</v>
      </c>
      <c r="HC2">
        <v>98.255816315100006</v>
      </c>
      <c r="HD2">
        <v>-4.6999999995000001</v>
      </c>
      <c r="HE2">
        <v>443.10000000039997</v>
      </c>
      <c r="HF2">
        <v>316.27462484469999</v>
      </c>
      <c r="HG2">
        <v>80.137921696899994</v>
      </c>
      <c r="HH2">
        <v>443.19999999970003</v>
      </c>
      <c r="HI2">
        <v>443.19999999970003</v>
      </c>
      <c r="HJ2">
        <v>443.19999999970003</v>
      </c>
      <c r="HK2">
        <v>443.19999999970003</v>
      </c>
      <c r="HL2">
        <v>110.26392961880001</v>
      </c>
      <c r="HM2">
        <v>3.4171553038</v>
      </c>
      <c r="HN2">
        <v>3.3481659107000001</v>
      </c>
      <c r="HO2">
        <v>3.3894589931999999</v>
      </c>
      <c r="HP2">
        <v>3.4526866715</v>
      </c>
      <c r="HQ2">
        <v>3.6667135360000001</v>
      </c>
      <c r="HR2">
        <v>2.2522726444000001</v>
      </c>
      <c r="HS2">
        <v>18.117894618099999</v>
      </c>
      <c r="HT2">
        <v>-23.460410557199999</v>
      </c>
      <c r="HU2">
        <v>-160</v>
      </c>
      <c r="HV2">
        <v>414.53044115969999</v>
      </c>
      <c r="HW2">
        <v>96.187683284499997</v>
      </c>
      <c r="HX2">
        <v>656</v>
      </c>
      <c r="HY2">
        <v>18.117894618099999</v>
      </c>
      <c r="HZ2">
        <v>-23.460410557199999</v>
      </c>
      <c r="IA2">
        <v>-160</v>
      </c>
      <c r="IB2">
        <v>414.53044115969999</v>
      </c>
      <c r="IC2">
        <v>96.187683284499997</v>
      </c>
      <c r="ID2">
        <v>656</v>
      </c>
      <c r="IE2">
        <v>28.669558840000001</v>
      </c>
      <c r="IF2">
        <v>0.1013539445</v>
      </c>
      <c r="IG2">
        <v>-32.844574780099997</v>
      </c>
      <c r="IH2">
        <v>-224</v>
      </c>
      <c r="II2">
        <v>438.021516416</v>
      </c>
      <c r="IJ2">
        <v>105.57184750730001</v>
      </c>
      <c r="IK2">
        <v>720</v>
      </c>
      <c r="IL2">
        <v>396.41254654160002</v>
      </c>
      <c r="IM2">
        <v>119.6480938416</v>
      </c>
      <c r="IN2">
        <v>423.438282749</v>
      </c>
      <c r="IO2">
        <v>129.03225806450001</v>
      </c>
      <c r="IP2">
        <v>8.2999999995000007</v>
      </c>
      <c r="IQ2">
        <v>6.9999999996</v>
      </c>
      <c r="IR2">
        <v>11.5999999998</v>
      </c>
      <c r="IS2">
        <v>7.1607651057000004</v>
      </c>
      <c r="IT2">
        <v>7.1607651057000004</v>
      </c>
      <c r="IU2">
        <v>5.1000000002999997</v>
      </c>
      <c r="IV2">
        <v>-28.152492668600001</v>
      </c>
      <c r="IW2">
        <v>8.7999999996000007</v>
      </c>
      <c r="IX2">
        <v>82.1114369501</v>
      </c>
      <c r="IY2">
        <v>7.1000000006999997</v>
      </c>
      <c r="IZ2">
        <v>103.22580645159999</v>
      </c>
      <c r="JA2">
        <v>-28.590667047899998</v>
      </c>
      <c r="JB2">
        <v>0.31069837630000002</v>
      </c>
      <c r="JC2">
        <v>-2.8608680000000001E-4</v>
      </c>
      <c r="JD2">
        <v>6.2900000000000003E-7</v>
      </c>
      <c r="JE2">
        <v>0.2926410746</v>
      </c>
      <c r="JF2">
        <v>0.55832801340000004</v>
      </c>
      <c r="JG2">
        <v>0.23211295600000001</v>
      </c>
      <c r="JH2">
        <v>99.731299599899998</v>
      </c>
      <c r="JI2">
        <v>3.6667135360000001</v>
      </c>
      <c r="JJ2">
        <v>2.2253784000000002E-3</v>
      </c>
      <c r="JK2">
        <v>-6.6383299999999998E-5</v>
      </c>
      <c r="JL2">
        <v>3.4171553038</v>
      </c>
      <c r="JM2">
        <v>2.3272046221</v>
      </c>
      <c r="JN2">
        <v>0.83375117310000002</v>
      </c>
      <c r="JO2">
        <v>3.5378749998000001</v>
      </c>
      <c r="JP2">
        <v>2.9837499998000001</v>
      </c>
      <c r="JQ2">
        <v>4.9444999998999997</v>
      </c>
      <c r="JR2" s="17" t="s">
        <v>527</v>
      </c>
      <c r="JU2" s="17">
        <v>1</v>
      </c>
    </row>
    <row r="3" spans="1:281">
      <c r="A3" t="s">
        <v>565</v>
      </c>
      <c r="B3" t="s">
        <v>566</v>
      </c>
      <c r="C3" t="s">
        <v>567</v>
      </c>
      <c r="D3" t="s">
        <v>209</v>
      </c>
      <c r="E3">
        <v>3</v>
      </c>
      <c r="F3" t="s">
        <v>210</v>
      </c>
      <c r="G3" t="s">
        <v>211</v>
      </c>
      <c r="H3" t="s">
        <v>526</v>
      </c>
      <c r="I3" t="s">
        <v>532</v>
      </c>
      <c r="K3" t="s">
        <v>541</v>
      </c>
      <c r="L3" t="s">
        <v>542</v>
      </c>
      <c r="M3" t="s">
        <v>543</v>
      </c>
      <c r="N3" t="s">
        <v>544</v>
      </c>
      <c r="O3" t="s">
        <v>545</v>
      </c>
      <c r="P3">
        <v>0</v>
      </c>
      <c r="Q3">
        <v>0</v>
      </c>
      <c r="R3">
        <v>3.8999999996999999</v>
      </c>
      <c r="S3">
        <v>3.3000000002999998</v>
      </c>
      <c r="T3">
        <v>3.0999999999000001</v>
      </c>
      <c r="U3">
        <v>3.0999999999000001</v>
      </c>
      <c r="V3">
        <v>3.2000000009999998</v>
      </c>
      <c r="W3">
        <v>3.0000000006</v>
      </c>
      <c r="X3">
        <v>3.0999999999000001</v>
      </c>
      <c r="Y3">
        <v>3.0999999999000001</v>
      </c>
      <c r="Z3">
        <v>3.0000000006</v>
      </c>
      <c r="AA3">
        <v>3.0999999999000001</v>
      </c>
      <c r="AB3">
        <v>3.0000000006</v>
      </c>
      <c r="AC3">
        <v>3.0000000006</v>
      </c>
      <c r="AD3">
        <v>3.0000000006</v>
      </c>
      <c r="AE3">
        <v>3.0000000006</v>
      </c>
      <c r="AF3">
        <v>2.9000000013</v>
      </c>
      <c r="AG3">
        <v>2.3000000000999998</v>
      </c>
      <c r="AH3">
        <v>1.6000000014</v>
      </c>
      <c r="AI3">
        <v>0.7000000005</v>
      </c>
      <c r="AJ3">
        <v>0</v>
      </c>
      <c r="AK3">
        <v>2.8000000001999998</v>
      </c>
      <c r="AL3">
        <v>9.7000000004999993</v>
      </c>
      <c r="AM3">
        <v>16.600000000800001</v>
      </c>
      <c r="AN3">
        <v>24.300000000899999</v>
      </c>
      <c r="AO3">
        <v>31.800000000699999</v>
      </c>
      <c r="AP3">
        <v>39.1</v>
      </c>
      <c r="AQ3">
        <v>47.099999999799998</v>
      </c>
      <c r="AR3">
        <v>54.700000000599999</v>
      </c>
      <c r="AS3">
        <v>62.5</v>
      </c>
      <c r="AT3">
        <v>70.700000000200006</v>
      </c>
      <c r="AU3">
        <v>78.600000000700007</v>
      </c>
      <c r="AV3">
        <v>86.500000001299995</v>
      </c>
      <c r="AW3">
        <v>94.800000000799997</v>
      </c>
      <c r="AX3">
        <v>103.50000000110001</v>
      </c>
      <c r="AY3">
        <v>111.7000000013</v>
      </c>
      <c r="AZ3">
        <v>119.8999999997</v>
      </c>
      <c r="BA3">
        <v>128.70000000109999</v>
      </c>
      <c r="BB3">
        <v>136.70000000089999</v>
      </c>
      <c r="BC3">
        <v>144.90000000110001</v>
      </c>
      <c r="BD3">
        <v>153.50000000029999</v>
      </c>
      <c r="BE3">
        <v>161.7000000006</v>
      </c>
      <c r="BF3">
        <v>170.29999999980001</v>
      </c>
      <c r="BG3">
        <v>178.6000000011</v>
      </c>
      <c r="BH3">
        <v>186.99999999990001</v>
      </c>
      <c r="BI3">
        <v>195.10000000080001</v>
      </c>
      <c r="BJ3">
        <v>203.5000000014</v>
      </c>
      <c r="BK3">
        <v>212.0000000014</v>
      </c>
      <c r="BL3">
        <v>220.10000000049999</v>
      </c>
      <c r="BM3">
        <v>227.80000000059999</v>
      </c>
      <c r="BN3">
        <v>236.20000000120001</v>
      </c>
      <c r="BO3">
        <v>244.20000000100001</v>
      </c>
      <c r="BP3">
        <v>251.8</v>
      </c>
      <c r="BQ3">
        <v>260.00000000019998</v>
      </c>
      <c r="BR3">
        <v>267.30000000130002</v>
      </c>
      <c r="BS3">
        <v>275.2</v>
      </c>
      <c r="BT3">
        <v>282.50000000120002</v>
      </c>
      <c r="BU3">
        <v>290.30000000059999</v>
      </c>
      <c r="BV3">
        <v>297.59999999989998</v>
      </c>
      <c r="BW3">
        <v>305.00000000030002</v>
      </c>
      <c r="BX3">
        <v>312.20000000030001</v>
      </c>
      <c r="BY3">
        <v>319.4000000003</v>
      </c>
      <c r="BZ3">
        <v>326.30000000059999</v>
      </c>
      <c r="CA3">
        <v>333.09999999979999</v>
      </c>
      <c r="CB3">
        <v>340.10000000129997</v>
      </c>
      <c r="CC3">
        <v>346.99999999980002</v>
      </c>
      <c r="CD3">
        <v>353.4</v>
      </c>
      <c r="CE3">
        <v>360.00000000059998</v>
      </c>
      <c r="CF3">
        <v>366.40000000079999</v>
      </c>
      <c r="CG3">
        <v>372.800000001</v>
      </c>
      <c r="CH3">
        <v>378.80000000040002</v>
      </c>
      <c r="CI3">
        <v>385.00000000019998</v>
      </c>
      <c r="CJ3">
        <v>391.30000000109999</v>
      </c>
      <c r="CK3">
        <v>397.20000000120001</v>
      </c>
      <c r="CL3">
        <v>403.20000000070002</v>
      </c>
      <c r="CM3">
        <v>408.90000000039998</v>
      </c>
      <c r="CN3">
        <v>414.50000000080001</v>
      </c>
      <c r="CO3">
        <v>420.29999999979998</v>
      </c>
      <c r="CP3">
        <v>426.00000000130001</v>
      </c>
      <c r="CQ3">
        <v>431.50000000059998</v>
      </c>
      <c r="CR3">
        <v>436.90000000060002</v>
      </c>
      <c r="CS3">
        <v>442.30000000059999</v>
      </c>
      <c r="CT3">
        <v>446.7000000004</v>
      </c>
      <c r="CU3">
        <v>449.80000000029997</v>
      </c>
      <c r="CV3">
        <v>453.1999999999</v>
      </c>
      <c r="CW3">
        <v>453.300000001</v>
      </c>
      <c r="CX3">
        <v>453.300000001</v>
      </c>
      <c r="CY3">
        <v>453.60000000069999</v>
      </c>
      <c r="CZ3">
        <v>453.60000000069999</v>
      </c>
      <c r="DA3">
        <v>453.80000000109999</v>
      </c>
      <c r="DB3">
        <v>453.60000000069999</v>
      </c>
      <c r="DC3">
        <v>453.80000000109999</v>
      </c>
      <c r="DD3">
        <v>453.80000000109999</v>
      </c>
      <c r="DE3">
        <v>453.80000000109999</v>
      </c>
      <c r="DF3">
        <v>453.80000000109999</v>
      </c>
      <c r="DG3">
        <v>453.80000000109999</v>
      </c>
      <c r="DH3">
        <v>4.3999999998000003</v>
      </c>
      <c r="DI3">
        <v>4.3000000004999999</v>
      </c>
      <c r="DJ3">
        <v>4.2000000012000003</v>
      </c>
      <c r="DK3">
        <v>4.3000000004999999</v>
      </c>
      <c r="DL3">
        <v>4.1000000000999997</v>
      </c>
      <c r="DM3">
        <v>3.8999999996999999</v>
      </c>
      <c r="DN3">
        <v>4.0000000008000001</v>
      </c>
      <c r="DO3">
        <v>4.1000000000999997</v>
      </c>
      <c r="DP3">
        <v>4.1000000000999997</v>
      </c>
      <c r="DQ3">
        <v>3.8999999996999999</v>
      </c>
      <c r="DR3">
        <v>4.0000000008000001</v>
      </c>
      <c r="DS3">
        <v>3.8000000003999999</v>
      </c>
      <c r="DT3">
        <v>3.8000000003999999</v>
      </c>
      <c r="DU3">
        <v>3.6</v>
      </c>
      <c r="DV3">
        <v>3.5000000007000001</v>
      </c>
      <c r="DW3">
        <v>2.9000000013</v>
      </c>
      <c r="DX3">
        <v>2.0999999997000001</v>
      </c>
      <c r="DY3">
        <v>1.2999999999</v>
      </c>
      <c r="DZ3">
        <v>0.79999999980000003</v>
      </c>
      <c r="EA3">
        <v>6.5000000013000001</v>
      </c>
      <c r="EB3">
        <v>13.6000000002</v>
      </c>
      <c r="EC3">
        <v>21.0999999999</v>
      </c>
      <c r="ED3">
        <v>28.500000000299998</v>
      </c>
      <c r="EE3">
        <v>35.900000000799999</v>
      </c>
      <c r="EF3">
        <v>43.600000000900003</v>
      </c>
      <c r="EG3">
        <v>51.500000001399997</v>
      </c>
      <c r="EH3">
        <v>59.100000000400001</v>
      </c>
      <c r="EI3">
        <v>67.000000000900002</v>
      </c>
      <c r="EJ3">
        <v>75.5000000008</v>
      </c>
      <c r="EK3">
        <v>83.099999999800005</v>
      </c>
      <c r="EL3">
        <v>91.100000001500007</v>
      </c>
      <c r="EM3">
        <v>99.600000001400005</v>
      </c>
      <c r="EN3">
        <v>107.90000000089999</v>
      </c>
      <c r="EO3">
        <v>116.40000000080001</v>
      </c>
      <c r="EP3">
        <v>124.600000001</v>
      </c>
      <c r="EQ3">
        <v>133.30000000129999</v>
      </c>
      <c r="ER3">
        <v>141.30000000109999</v>
      </c>
      <c r="ES3">
        <v>149.80000000109999</v>
      </c>
      <c r="ET3">
        <v>158.5000000014</v>
      </c>
      <c r="EU3">
        <v>167.00000000130001</v>
      </c>
      <c r="EV3">
        <v>175.3000000008</v>
      </c>
      <c r="EW3">
        <v>184.1000000004</v>
      </c>
      <c r="EX3">
        <v>192.39999999989999</v>
      </c>
      <c r="EY3">
        <v>200.80000000050001</v>
      </c>
      <c r="EZ3">
        <v>209.39999999969999</v>
      </c>
      <c r="FA3">
        <v>217.70000000109999</v>
      </c>
      <c r="FB3">
        <v>225.70000000089999</v>
      </c>
      <c r="FC3">
        <v>234.00000000040001</v>
      </c>
      <c r="FD3">
        <v>242.400000001</v>
      </c>
      <c r="FE3">
        <v>250</v>
      </c>
      <c r="FF3">
        <v>257.99999999980002</v>
      </c>
      <c r="FG3">
        <v>266.0000000014</v>
      </c>
      <c r="FH3">
        <v>274.00000000130001</v>
      </c>
      <c r="FI3">
        <v>281.50000000099999</v>
      </c>
      <c r="FJ3">
        <v>289.39999999970001</v>
      </c>
      <c r="FK3">
        <v>297.30000000019999</v>
      </c>
      <c r="FL3">
        <v>304.29999999979998</v>
      </c>
      <c r="FM3">
        <v>311.90000000060002</v>
      </c>
      <c r="FN3">
        <v>319.1999999999</v>
      </c>
      <c r="FO3">
        <v>326.39999999989999</v>
      </c>
      <c r="FP3">
        <v>333.30000000019999</v>
      </c>
      <c r="FQ3">
        <v>340.40000000100002</v>
      </c>
      <c r="FR3">
        <v>347.40000000060002</v>
      </c>
      <c r="FS3">
        <v>354.00000000120002</v>
      </c>
      <c r="FT3">
        <v>360.6</v>
      </c>
      <c r="FU3">
        <v>367.29999999990002</v>
      </c>
      <c r="FV3">
        <v>373.49999999969998</v>
      </c>
      <c r="FW3">
        <v>379.80000000059999</v>
      </c>
      <c r="FX3">
        <v>385.90000000110001</v>
      </c>
      <c r="FY3">
        <v>392.40000000060002</v>
      </c>
      <c r="FZ3">
        <v>398.69999999970003</v>
      </c>
      <c r="GA3">
        <v>404.40000000129999</v>
      </c>
      <c r="GB3">
        <v>410.4000000007</v>
      </c>
      <c r="GC3">
        <v>415.70000000139999</v>
      </c>
      <c r="GD3">
        <v>421.5999999997</v>
      </c>
      <c r="GE3">
        <v>427.10000000079998</v>
      </c>
      <c r="GF3">
        <v>432.50000000080001</v>
      </c>
      <c r="GG3">
        <v>437.10000000100001</v>
      </c>
      <c r="GH3">
        <v>441.70000000120001</v>
      </c>
      <c r="GI3">
        <v>445.99999999990001</v>
      </c>
      <c r="GJ3">
        <v>449.50000000059998</v>
      </c>
      <c r="GK3">
        <v>452.69999999980001</v>
      </c>
      <c r="GL3">
        <v>453.300000001</v>
      </c>
      <c r="GM3">
        <v>453.1999999999</v>
      </c>
      <c r="GN3">
        <v>453.4000000003</v>
      </c>
      <c r="GO3">
        <v>453.60000000069999</v>
      </c>
      <c r="GP3">
        <v>453.7</v>
      </c>
      <c r="GQ3">
        <v>453.80000000109999</v>
      </c>
      <c r="GR3">
        <v>453.60000000069999</v>
      </c>
      <c r="GS3">
        <v>453.4000000003</v>
      </c>
      <c r="GT3">
        <v>453.7</v>
      </c>
      <c r="GU3">
        <v>453.7</v>
      </c>
      <c r="GV3">
        <v>453.80000000109999</v>
      </c>
      <c r="GW3">
        <v>453.99999999969998</v>
      </c>
      <c r="GX3">
        <v>1</v>
      </c>
      <c r="GY3">
        <v>101.3999999996</v>
      </c>
      <c r="GZ3">
        <v>103.50000000110001</v>
      </c>
      <c r="HA3">
        <v>103.50000000110001</v>
      </c>
      <c r="HB3">
        <v>107.90000000089999</v>
      </c>
      <c r="HC3">
        <v>104.524630977</v>
      </c>
      <c r="HD3">
        <v>-4.3999999998000003</v>
      </c>
      <c r="HE3">
        <v>453.99999999969998</v>
      </c>
      <c r="HF3">
        <v>310.55214805050002</v>
      </c>
      <c r="HG3">
        <v>87.737750606099993</v>
      </c>
      <c r="HH3">
        <v>453.99999999969998</v>
      </c>
      <c r="HI3">
        <v>453.99999999969998</v>
      </c>
      <c r="HJ3">
        <v>453.80000000109999</v>
      </c>
      <c r="HK3">
        <v>453.99999999969998</v>
      </c>
      <c r="HL3">
        <v>117.3020527859</v>
      </c>
      <c r="HM3">
        <v>3.3554837763999998</v>
      </c>
      <c r="HN3">
        <v>3.2701155754000002</v>
      </c>
      <c r="HO3">
        <v>3.3454438498000001</v>
      </c>
      <c r="HP3">
        <v>3.2815395415999999</v>
      </c>
      <c r="HQ3">
        <v>3.5558371329999998</v>
      </c>
      <c r="HR3">
        <v>2.2690840627000002</v>
      </c>
      <c r="HS3">
        <v>16.786880370900001</v>
      </c>
      <c r="HT3">
        <v>-25.806451612899998</v>
      </c>
      <c r="HU3">
        <v>-176</v>
      </c>
      <c r="HV3">
        <v>415.07677902749998</v>
      </c>
      <c r="HW3">
        <v>96.187683284499997</v>
      </c>
      <c r="HX3">
        <v>656</v>
      </c>
      <c r="HY3">
        <v>16.786880370900001</v>
      </c>
      <c r="HZ3">
        <v>-25.806451612899998</v>
      </c>
      <c r="IA3">
        <v>-176</v>
      </c>
      <c r="IB3">
        <v>415.07677902749998</v>
      </c>
      <c r="IC3">
        <v>96.187683284499997</v>
      </c>
      <c r="ID3">
        <v>656</v>
      </c>
      <c r="IE3">
        <v>38.923220972199999</v>
      </c>
      <c r="IF3">
        <v>0.70132187759999998</v>
      </c>
      <c r="IG3">
        <v>-35.190615835800003</v>
      </c>
      <c r="IH3">
        <v>-240</v>
      </c>
      <c r="II3">
        <v>436.85818462319997</v>
      </c>
      <c r="IJ3">
        <v>105.57184750730001</v>
      </c>
      <c r="IK3">
        <v>720</v>
      </c>
      <c r="IL3">
        <v>398.28989865659997</v>
      </c>
      <c r="IM3">
        <v>121.9941348974</v>
      </c>
      <c r="IN3">
        <v>423.8096607187</v>
      </c>
      <c r="IO3">
        <v>131.37829912020001</v>
      </c>
      <c r="IP3">
        <v>7.0999999989000004</v>
      </c>
      <c r="IQ3">
        <v>5.8999999983000002</v>
      </c>
      <c r="IR3">
        <v>8.8000000014000008</v>
      </c>
      <c r="IS3">
        <v>6.4025451905999997</v>
      </c>
      <c r="IT3">
        <v>6.4025451905999997</v>
      </c>
      <c r="IU3">
        <v>3.8999999996999999</v>
      </c>
      <c r="IV3">
        <v>-28.152492668600001</v>
      </c>
      <c r="IW3">
        <v>7.4000000004000004</v>
      </c>
      <c r="IX3">
        <v>86.803519061599999</v>
      </c>
      <c r="IY3">
        <v>6.4999999995</v>
      </c>
      <c r="IZ3">
        <v>103.22580645159999</v>
      </c>
      <c r="JA3">
        <v>-31.191367917800001</v>
      </c>
      <c r="JB3">
        <v>0.32422447180000002</v>
      </c>
      <c r="JC3">
        <v>-3.0790720000000002E-4</v>
      </c>
      <c r="JD3">
        <v>6.3880000000000003E-7</v>
      </c>
      <c r="JE3">
        <v>0.29801961999999999</v>
      </c>
      <c r="JF3">
        <v>0.16469899029999999</v>
      </c>
      <c r="JG3">
        <v>5.3702604899999999E-2</v>
      </c>
      <c r="JH3">
        <v>104.8445997907</v>
      </c>
      <c r="JI3">
        <v>3.5558371329999998</v>
      </c>
      <c r="JJ3">
        <v>2.7753609E-3</v>
      </c>
      <c r="JK3">
        <v>-6.5594799999999997E-5</v>
      </c>
      <c r="JL3">
        <v>3.3554837763999998</v>
      </c>
      <c r="JM3">
        <v>0.90176413020000001</v>
      </c>
      <c r="JN3">
        <v>0.45415132339999997</v>
      </c>
      <c r="JO3">
        <v>3.0263749995000002</v>
      </c>
      <c r="JP3">
        <v>2.5148749992999999</v>
      </c>
      <c r="JQ3">
        <v>3.7510000005999999</v>
      </c>
      <c r="JR3" s="17" t="s">
        <v>527</v>
      </c>
      <c r="JU3" s="17">
        <v>1</v>
      </c>
    </row>
    <row r="4" spans="1:281">
      <c r="A4" t="s">
        <v>568</v>
      </c>
      <c r="B4" t="s">
        <v>569</v>
      </c>
      <c r="C4" t="s">
        <v>570</v>
      </c>
      <c r="D4" t="s">
        <v>209</v>
      </c>
      <c r="E4">
        <v>3</v>
      </c>
      <c r="F4" t="s">
        <v>210</v>
      </c>
      <c r="G4" t="s">
        <v>211</v>
      </c>
      <c r="H4" t="s">
        <v>526</v>
      </c>
      <c r="I4" t="s">
        <v>532</v>
      </c>
      <c r="K4" t="s">
        <v>549</v>
      </c>
      <c r="L4" t="s">
        <v>550</v>
      </c>
      <c r="M4" t="s">
        <v>551</v>
      </c>
      <c r="N4" t="s">
        <v>552</v>
      </c>
      <c r="O4" t="s">
        <v>553</v>
      </c>
      <c r="P4">
        <v>0</v>
      </c>
      <c r="Q4">
        <v>0</v>
      </c>
      <c r="R4">
        <v>4.0000000008000001</v>
      </c>
      <c r="S4">
        <v>4.6999999995000001</v>
      </c>
      <c r="T4">
        <v>4.5000000009000001</v>
      </c>
      <c r="U4">
        <v>4.6999999995000001</v>
      </c>
      <c r="V4">
        <v>4.6000000001999997</v>
      </c>
      <c r="W4">
        <v>4.6000000001999997</v>
      </c>
      <c r="X4">
        <v>4.6999999995000001</v>
      </c>
      <c r="Y4">
        <v>4.5000000009000001</v>
      </c>
      <c r="Z4">
        <v>4.6999999995000001</v>
      </c>
      <c r="AA4">
        <v>4.5000000009000001</v>
      </c>
      <c r="AB4">
        <v>4.6999999995000001</v>
      </c>
      <c r="AC4">
        <v>4.5000000009000001</v>
      </c>
      <c r="AD4">
        <v>4.6000000001999997</v>
      </c>
      <c r="AE4">
        <v>4.6999999995000001</v>
      </c>
      <c r="AF4">
        <v>4.3999999998000003</v>
      </c>
      <c r="AG4">
        <v>3.6999999993000001</v>
      </c>
      <c r="AH4">
        <v>2.5000000005</v>
      </c>
      <c r="AI4">
        <v>1.0999999995</v>
      </c>
      <c r="AJ4">
        <v>0</v>
      </c>
      <c r="AK4">
        <v>2.3000000000999998</v>
      </c>
      <c r="AL4">
        <v>8.7000000002999993</v>
      </c>
      <c r="AM4">
        <v>15.9000000003</v>
      </c>
      <c r="AN4">
        <v>23.4</v>
      </c>
      <c r="AO4">
        <v>30.800000000499999</v>
      </c>
      <c r="AP4">
        <v>38.5999999999</v>
      </c>
      <c r="AQ4">
        <v>46.3</v>
      </c>
      <c r="AR4">
        <v>54.099999999399998</v>
      </c>
      <c r="AS4">
        <v>62.299999999599997</v>
      </c>
      <c r="AT4">
        <v>70.600000000899996</v>
      </c>
      <c r="AU4">
        <v>78.499999999600007</v>
      </c>
      <c r="AV4">
        <v>86.999999999500005</v>
      </c>
      <c r="AW4">
        <v>95.499999999400004</v>
      </c>
      <c r="AX4">
        <v>104.1000000005</v>
      </c>
      <c r="AY4">
        <v>112.6000000004</v>
      </c>
      <c r="AZ4">
        <v>121.6000000004</v>
      </c>
      <c r="BA4">
        <v>130.30000000070001</v>
      </c>
      <c r="BB4">
        <v>138.3999999998</v>
      </c>
      <c r="BC4">
        <v>147.30000000050001</v>
      </c>
      <c r="BD4">
        <v>155.80000000050001</v>
      </c>
      <c r="BE4">
        <v>164.50000000079999</v>
      </c>
      <c r="BF4">
        <v>173.20000000109999</v>
      </c>
      <c r="BG4">
        <v>181.8999999996</v>
      </c>
      <c r="BH4">
        <v>190.20000000089999</v>
      </c>
      <c r="BI4">
        <v>199.00000000049999</v>
      </c>
      <c r="BJ4">
        <v>207.50000000040001</v>
      </c>
      <c r="BK4">
        <v>215.70000000069999</v>
      </c>
      <c r="BL4">
        <v>224.2000000006</v>
      </c>
      <c r="BM4">
        <v>232.40000000079999</v>
      </c>
      <c r="BN4">
        <v>240.49999999990001</v>
      </c>
      <c r="BO4">
        <v>248.60000000080001</v>
      </c>
      <c r="BP4">
        <v>256.6999999999</v>
      </c>
      <c r="BQ4">
        <v>264.90000000010002</v>
      </c>
      <c r="BR4">
        <v>272.80000000059999</v>
      </c>
      <c r="BS4">
        <v>280.50000000080001</v>
      </c>
      <c r="BT4">
        <v>288.50000000059998</v>
      </c>
      <c r="BU4">
        <v>295.90000000100002</v>
      </c>
      <c r="BV4">
        <v>303.5</v>
      </c>
      <c r="BW4">
        <v>311.49999999980002</v>
      </c>
      <c r="BX4">
        <v>318.30000000080003</v>
      </c>
      <c r="BY4">
        <v>325.80000000050001</v>
      </c>
      <c r="BZ4">
        <v>332.8000000001</v>
      </c>
      <c r="CA4">
        <v>340.20000000060003</v>
      </c>
      <c r="CB4">
        <v>346.40000000039998</v>
      </c>
      <c r="CC4">
        <v>353.4</v>
      </c>
      <c r="CD4">
        <v>360.09999999989998</v>
      </c>
      <c r="CE4">
        <v>366.59999999939998</v>
      </c>
      <c r="CF4">
        <v>373.29999999929998</v>
      </c>
      <c r="CG4">
        <v>379.80000000059999</v>
      </c>
      <c r="CH4">
        <v>386.00000000040001</v>
      </c>
      <c r="CI4">
        <v>392.49999999990001</v>
      </c>
      <c r="CJ4">
        <v>398.30000000069998</v>
      </c>
      <c r="CK4">
        <v>404.39999999939999</v>
      </c>
      <c r="CL4">
        <v>410.20000000030001</v>
      </c>
      <c r="CM4">
        <v>416.60000000050002</v>
      </c>
      <c r="CN4">
        <v>422.00000000049999</v>
      </c>
      <c r="CO4">
        <v>427.79999999950002</v>
      </c>
      <c r="CP4">
        <v>433.60000000029999</v>
      </c>
      <c r="CQ4">
        <v>439.09999999960002</v>
      </c>
      <c r="CR4">
        <v>444.99999999969998</v>
      </c>
      <c r="CS4">
        <v>446.4000000007</v>
      </c>
      <c r="CT4">
        <v>446.2999999996</v>
      </c>
      <c r="CU4">
        <v>446.4000000007</v>
      </c>
      <c r="CV4">
        <v>446.2999999996</v>
      </c>
      <c r="CW4">
        <v>446.4000000007</v>
      </c>
      <c r="CX4">
        <v>446.5999999993</v>
      </c>
      <c r="CY4">
        <v>446.2999999996</v>
      </c>
      <c r="CZ4">
        <v>446.5</v>
      </c>
      <c r="DA4">
        <v>446.5</v>
      </c>
      <c r="DB4">
        <v>446.20000000030001</v>
      </c>
      <c r="DC4">
        <v>446.5</v>
      </c>
      <c r="DD4">
        <v>446.4000000007</v>
      </c>
      <c r="DE4">
        <v>446.5</v>
      </c>
      <c r="DF4">
        <v>446.2999999996</v>
      </c>
      <c r="DG4">
        <v>446.5</v>
      </c>
      <c r="DH4">
        <v>5.4999999992999999</v>
      </c>
      <c r="DI4">
        <v>5.9999999994</v>
      </c>
      <c r="DJ4">
        <v>5.9000000001000004</v>
      </c>
      <c r="DK4">
        <v>5.8000000007999999</v>
      </c>
      <c r="DL4">
        <v>5.8000000007999999</v>
      </c>
      <c r="DM4">
        <v>5.8000000007999999</v>
      </c>
      <c r="DN4">
        <v>5.8000000007999999</v>
      </c>
      <c r="DO4">
        <v>5.6000000003999997</v>
      </c>
      <c r="DP4">
        <v>5.6000000003999997</v>
      </c>
      <c r="DQ4">
        <v>5.6999999997000002</v>
      </c>
      <c r="DR4">
        <v>5.8000000007999999</v>
      </c>
      <c r="DS4">
        <v>5.4</v>
      </c>
      <c r="DT4">
        <v>5.4999999992999999</v>
      </c>
      <c r="DU4">
        <v>5.4</v>
      </c>
      <c r="DV4">
        <v>5.0000000010000001</v>
      </c>
      <c r="DW4">
        <v>4.3999999998000003</v>
      </c>
      <c r="DX4">
        <v>3.0999999999000001</v>
      </c>
      <c r="DY4">
        <v>1.8</v>
      </c>
      <c r="DZ4">
        <v>1.2999999999</v>
      </c>
      <c r="EA4">
        <v>5.3000000006999999</v>
      </c>
      <c r="EB4">
        <v>12.8999999997</v>
      </c>
      <c r="EC4">
        <v>20.200000000799999</v>
      </c>
      <c r="ED4">
        <v>27.900000000999999</v>
      </c>
      <c r="EE4">
        <v>35.400000000699997</v>
      </c>
      <c r="EF4">
        <v>43.4000000005</v>
      </c>
      <c r="EG4">
        <v>50.900000000200002</v>
      </c>
      <c r="EH4">
        <v>58.9</v>
      </c>
      <c r="EI4">
        <v>67.000000000900002</v>
      </c>
      <c r="EJ4">
        <v>75.600000000099996</v>
      </c>
      <c r="EK4">
        <v>83.200000000900005</v>
      </c>
      <c r="EL4">
        <v>91.700000000900005</v>
      </c>
      <c r="EM4">
        <v>100.0999999997</v>
      </c>
      <c r="EN4">
        <v>108.9000000011</v>
      </c>
      <c r="EO4">
        <v>118.00000000039999</v>
      </c>
      <c r="EP4">
        <v>126.5999999996</v>
      </c>
      <c r="EQ4">
        <v>134.90000000090001</v>
      </c>
      <c r="ER4">
        <v>143.79999999980001</v>
      </c>
      <c r="ES4">
        <v>152.40000000090001</v>
      </c>
      <c r="ET4">
        <v>161.20000000050001</v>
      </c>
      <c r="EU4">
        <v>170.00000000009999</v>
      </c>
      <c r="EV4">
        <v>178.90000000079999</v>
      </c>
      <c r="EW4">
        <v>187.2999999996</v>
      </c>
      <c r="EX4">
        <v>195.90000000059999</v>
      </c>
      <c r="EY4">
        <v>204.70000000019999</v>
      </c>
      <c r="EZ4">
        <v>212.99999999970001</v>
      </c>
      <c r="FA4">
        <v>221.7000000001</v>
      </c>
      <c r="FB4">
        <v>230.49999999970001</v>
      </c>
      <c r="FC4">
        <v>238.40000000020001</v>
      </c>
      <c r="FD4">
        <v>246.4999999993</v>
      </c>
      <c r="FE4">
        <v>254.69999999949999</v>
      </c>
      <c r="FF4">
        <v>263.00000000080001</v>
      </c>
      <c r="FG4">
        <v>271.09999999989998</v>
      </c>
      <c r="FH4">
        <v>279.20000000089999</v>
      </c>
      <c r="FI4">
        <v>287.40000000110001</v>
      </c>
      <c r="FJ4">
        <v>294.7000000004</v>
      </c>
      <c r="FK4">
        <v>302.70000000020002</v>
      </c>
      <c r="FL4">
        <v>310.10000000060001</v>
      </c>
      <c r="FM4">
        <v>317.99999999929997</v>
      </c>
      <c r="FN4">
        <v>325.00000000070003</v>
      </c>
      <c r="FO4">
        <v>332.50000000040001</v>
      </c>
      <c r="FP4">
        <v>340.09999999939998</v>
      </c>
      <c r="FQ4">
        <v>346.60000000079998</v>
      </c>
      <c r="FR4">
        <v>353.90000000010002</v>
      </c>
      <c r="FS4">
        <v>360.6</v>
      </c>
      <c r="FT4">
        <v>367.40000000100002</v>
      </c>
      <c r="FU4">
        <v>373.99999999980002</v>
      </c>
      <c r="FV4">
        <v>380.60000000039997</v>
      </c>
      <c r="FW4">
        <v>387.00000000059998</v>
      </c>
      <c r="FX4">
        <v>393.59999999939998</v>
      </c>
      <c r="FY4">
        <v>399.30000000090001</v>
      </c>
      <c r="FZ4">
        <v>405.20000000110002</v>
      </c>
      <c r="GA4">
        <v>411.20000000049998</v>
      </c>
      <c r="GB4">
        <v>417.300000001</v>
      </c>
      <c r="GC4">
        <v>422.70000000099998</v>
      </c>
      <c r="GD4">
        <v>428.20000000030001</v>
      </c>
      <c r="GE4">
        <v>433.9</v>
      </c>
      <c r="GF4">
        <v>439.39999999930001</v>
      </c>
      <c r="GG4">
        <v>444.60000000069999</v>
      </c>
      <c r="GH4">
        <v>446.2999999996</v>
      </c>
      <c r="GI4">
        <v>446.2999999996</v>
      </c>
      <c r="GJ4">
        <v>446.4000000007</v>
      </c>
      <c r="GK4">
        <v>446.5</v>
      </c>
      <c r="GL4">
        <v>446.4000000007</v>
      </c>
      <c r="GM4">
        <v>446.2999999996</v>
      </c>
      <c r="GN4">
        <v>446.2999999996</v>
      </c>
      <c r="GO4">
        <v>446.5</v>
      </c>
      <c r="GP4">
        <v>446.2999999996</v>
      </c>
      <c r="GQ4">
        <v>446.4000000007</v>
      </c>
      <c r="GR4">
        <v>446.5</v>
      </c>
      <c r="GS4">
        <v>446.20000000030001</v>
      </c>
      <c r="GT4">
        <v>446.5</v>
      </c>
      <c r="GU4">
        <v>446.2999999996</v>
      </c>
      <c r="GV4">
        <v>446.4000000007</v>
      </c>
      <c r="GW4">
        <v>446.5999999993</v>
      </c>
      <c r="GX4">
        <v>1</v>
      </c>
      <c r="GY4">
        <v>101.6</v>
      </c>
      <c r="GZ4">
        <v>104.1000000005</v>
      </c>
      <c r="HA4">
        <v>104.1000000005</v>
      </c>
      <c r="HB4">
        <v>108.9000000011</v>
      </c>
      <c r="HC4">
        <v>105.24477662140001</v>
      </c>
      <c r="HD4">
        <v>-4.8000000005999999</v>
      </c>
      <c r="HE4">
        <v>446.5999999993</v>
      </c>
      <c r="HF4">
        <v>311.53371403009999</v>
      </c>
      <c r="HG4">
        <v>89.1709662974</v>
      </c>
      <c r="HH4">
        <v>446.5999999993</v>
      </c>
      <c r="HI4">
        <v>446.5999999993</v>
      </c>
      <c r="HJ4">
        <v>446.5999999993</v>
      </c>
      <c r="HK4">
        <v>446.5999999993</v>
      </c>
      <c r="HL4">
        <v>107.91788856300001</v>
      </c>
      <c r="HM4">
        <v>3.4472135315000001</v>
      </c>
      <c r="HN4">
        <v>3.3747060051000002</v>
      </c>
      <c r="HO4">
        <v>3.4155896867000002</v>
      </c>
      <c r="HP4">
        <v>3.3490528772000001</v>
      </c>
      <c r="HQ4">
        <v>3.6532115080000001</v>
      </c>
      <c r="HR4">
        <v>2.3066590415000001</v>
      </c>
      <c r="HS4">
        <v>16.073810323899998</v>
      </c>
      <c r="HT4">
        <v>-25.806451612899998</v>
      </c>
      <c r="HU4">
        <v>-176</v>
      </c>
      <c r="HV4">
        <v>416.77849065150002</v>
      </c>
      <c r="HW4">
        <v>93.841642228699996</v>
      </c>
      <c r="HX4">
        <v>640</v>
      </c>
      <c r="HY4">
        <v>16.073810323899998</v>
      </c>
      <c r="HZ4">
        <v>-25.806451612899998</v>
      </c>
      <c r="IA4">
        <v>-176</v>
      </c>
      <c r="IB4">
        <v>416.77849065150002</v>
      </c>
      <c r="IC4">
        <v>93.841642228699996</v>
      </c>
      <c r="ID4">
        <v>640</v>
      </c>
      <c r="IE4">
        <v>29.821509347799999</v>
      </c>
      <c r="IF4">
        <v>1.1022729812000001</v>
      </c>
      <c r="IG4">
        <v>-35.190615835800003</v>
      </c>
      <c r="IH4">
        <v>-240</v>
      </c>
      <c r="II4">
        <v>439.2694659046</v>
      </c>
      <c r="IJ4">
        <v>103.22580645159999</v>
      </c>
      <c r="IK4">
        <v>704</v>
      </c>
      <c r="IL4">
        <v>400.7046803275</v>
      </c>
      <c r="IM4">
        <v>119.6480938416</v>
      </c>
      <c r="IN4">
        <v>425.57665435019999</v>
      </c>
      <c r="IO4">
        <v>129.03225806450001</v>
      </c>
      <c r="IP4">
        <v>7.5999999989999996</v>
      </c>
      <c r="IQ4">
        <v>5.9000000001000004</v>
      </c>
      <c r="IR4">
        <v>9.0999999992999996</v>
      </c>
      <c r="IS4">
        <v>6.2177453046000002</v>
      </c>
      <c r="IT4">
        <v>6.2177453046000002</v>
      </c>
      <c r="IU4">
        <v>4.1999999994000001</v>
      </c>
      <c r="IV4">
        <v>-28.152492668600001</v>
      </c>
      <c r="IW4">
        <v>7.5999999989999996</v>
      </c>
      <c r="IX4">
        <v>84.457478005900001</v>
      </c>
      <c r="IY4">
        <v>6.1999999998000002</v>
      </c>
      <c r="IZ4">
        <v>98.533724340199996</v>
      </c>
      <c r="JA4">
        <v>-30.719378326400001</v>
      </c>
      <c r="JB4">
        <v>0.31731822879999999</v>
      </c>
      <c r="JC4">
        <v>-3.0961939999999999E-4</v>
      </c>
      <c r="JD4">
        <v>6.356E-7</v>
      </c>
      <c r="JE4">
        <v>0.29008936950000003</v>
      </c>
      <c r="JF4">
        <v>0.15701161280000001</v>
      </c>
      <c r="JG4">
        <v>7.3061750999999994E-2</v>
      </c>
      <c r="JH4">
        <v>105.8584245378</v>
      </c>
      <c r="JI4">
        <v>3.6532115080000001</v>
      </c>
      <c r="JJ4">
        <v>3.0745556999999999E-3</v>
      </c>
      <c r="JK4">
        <v>-7.2811699999999999E-5</v>
      </c>
      <c r="JL4">
        <v>3.4472135315000001</v>
      </c>
      <c r="JM4">
        <v>1.1928698333000001</v>
      </c>
      <c r="JN4">
        <v>0.50678491429999994</v>
      </c>
      <c r="JO4">
        <v>3.2394999996</v>
      </c>
      <c r="JP4">
        <v>2.514875</v>
      </c>
      <c r="JQ4">
        <v>3.8788749996999998</v>
      </c>
      <c r="JR4" s="17" t="s">
        <v>527</v>
      </c>
      <c r="JU4" s="17">
        <v>1</v>
      </c>
    </row>
    <row r="5" spans="1:281">
      <c r="A5" t="s">
        <v>635</v>
      </c>
      <c r="B5" t="s">
        <v>636</v>
      </c>
      <c r="C5" t="s">
        <v>637</v>
      </c>
      <c r="D5" t="s">
        <v>209</v>
      </c>
      <c r="E5">
        <v>3</v>
      </c>
      <c r="F5" t="s">
        <v>210</v>
      </c>
      <c r="G5" t="s">
        <v>211</v>
      </c>
      <c r="H5" t="s">
        <v>526</v>
      </c>
      <c r="I5" t="s">
        <v>532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0.59999999940000004</v>
      </c>
      <c r="S5">
        <v>0</v>
      </c>
      <c r="T5">
        <v>0.19999999860000001</v>
      </c>
      <c r="U5">
        <v>9.9999999300000003E-2</v>
      </c>
      <c r="V5">
        <v>0.29999999970000002</v>
      </c>
      <c r="W5">
        <v>0.19999999860000001</v>
      </c>
      <c r="X5">
        <v>0.19999999860000001</v>
      </c>
      <c r="Y5">
        <v>0.39999999899999999</v>
      </c>
      <c r="Z5">
        <v>0.29999999970000002</v>
      </c>
      <c r="AA5">
        <v>0.29999999970000002</v>
      </c>
      <c r="AB5">
        <v>0.29999999970000002</v>
      </c>
      <c r="AC5">
        <v>0.39999999899999999</v>
      </c>
      <c r="AD5">
        <v>0.49999999830000003</v>
      </c>
      <c r="AE5">
        <v>0.59999999940000004</v>
      </c>
      <c r="AF5">
        <v>0.59999999940000004</v>
      </c>
      <c r="AG5">
        <v>0.79999999980000003</v>
      </c>
      <c r="AH5">
        <v>0.79999999980000003</v>
      </c>
      <c r="AI5">
        <v>0.89999999909999995</v>
      </c>
      <c r="AJ5">
        <v>1.3999999992000001</v>
      </c>
      <c r="AK5">
        <v>5.8999999983000002</v>
      </c>
      <c r="AL5">
        <v>12.699999999299999</v>
      </c>
      <c r="AM5">
        <v>19.8</v>
      </c>
      <c r="AN5">
        <v>26.8999999989</v>
      </c>
      <c r="AO5">
        <v>33.8999999985</v>
      </c>
      <c r="AP5">
        <v>41.499999999400004</v>
      </c>
      <c r="AQ5">
        <v>48.999999999099998</v>
      </c>
      <c r="AR5">
        <v>56.799999998499999</v>
      </c>
      <c r="AS5">
        <v>64.499999998600003</v>
      </c>
      <c r="AT5">
        <v>72.299999999799994</v>
      </c>
      <c r="AU5">
        <v>80.199999998500004</v>
      </c>
      <c r="AV5">
        <v>88.299999999400001</v>
      </c>
      <c r="AW5">
        <v>96.700000000100005</v>
      </c>
      <c r="AX5">
        <v>104.7999999992</v>
      </c>
      <c r="AY5">
        <v>112.8999999983</v>
      </c>
      <c r="AZ5">
        <v>121.0999999985</v>
      </c>
      <c r="BA5">
        <v>129.3999999998</v>
      </c>
      <c r="BB5">
        <v>137.69999999929999</v>
      </c>
      <c r="BC5">
        <v>145.69999999909999</v>
      </c>
      <c r="BD5">
        <v>154.0999999997</v>
      </c>
      <c r="BE5">
        <v>162.8000000001</v>
      </c>
      <c r="BF5">
        <v>170.3999999991</v>
      </c>
      <c r="BG5">
        <v>178.69999999859999</v>
      </c>
      <c r="BH5">
        <v>186.99999999990001</v>
      </c>
      <c r="BI5">
        <v>195.2999999994</v>
      </c>
      <c r="BJ5">
        <v>203.39999999849999</v>
      </c>
      <c r="BK5">
        <v>211.49999999939999</v>
      </c>
      <c r="BL5">
        <v>219.79999999890001</v>
      </c>
      <c r="BM5">
        <v>227.4999999991</v>
      </c>
      <c r="BN5">
        <v>235.3999999996</v>
      </c>
      <c r="BO5">
        <v>243.2999999983</v>
      </c>
      <c r="BP5">
        <v>251.2999999999</v>
      </c>
      <c r="BQ5">
        <v>259.0999999993</v>
      </c>
      <c r="BR5">
        <v>266.89999999870003</v>
      </c>
      <c r="BS5">
        <v>274.19999999980001</v>
      </c>
      <c r="BT5">
        <v>281.69999999949999</v>
      </c>
      <c r="BU5">
        <v>289.19999999930002</v>
      </c>
      <c r="BV5">
        <v>296.699999999</v>
      </c>
      <c r="BW5">
        <v>303.89999999899999</v>
      </c>
      <c r="BX5">
        <v>310.99999999969998</v>
      </c>
      <c r="BY5">
        <v>318.29999999900002</v>
      </c>
      <c r="BZ5">
        <v>325.10000000000002</v>
      </c>
      <c r="CA5">
        <v>331.89999999920002</v>
      </c>
      <c r="CB5">
        <v>338.89999999880001</v>
      </c>
      <c r="CC5">
        <v>345.39999999830002</v>
      </c>
      <c r="CD5">
        <v>351.89999999970001</v>
      </c>
      <c r="CE5">
        <v>358.29999999990002</v>
      </c>
      <c r="CF5">
        <v>364.69999999829997</v>
      </c>
      <c r="CG5">
        <v>370.89999999989999</v>
      </c>
      <c r="CH5">
        <v>377.39999999939999</v>
      </c>
      <c r="CI5">
        <v>383.09999999910002</v>
      </c>
      <c r="CJ5">
        <v>389.29999999889998</v>
      </c>
      <c r="CK5">
        <v>395.199999999</v>
      </c>
      <c r="CL5">
        <v>401.29999999950002</v>
      </c>
      <c r="CM5">
        <v>406.9</v>
      </c>
      <c r="CN5">
        <v>412.5999999997</v>
      </c>
      <c r="CO5">
        <v>418.29999999939997</v>
      </c>
      <c r="CP5">
        <v>423.60000000010001</v>
      </c>
      <c r="CQ5">
        <v>429.49999999840003</v>
      </c>
      <c r="CR5">
        <v>434.39999999830002</v>
      </c>
      <c r="CS5">
        <v>439.5999999997</v>
      </c>
      <c r="CT5">
        <v>444.1999999999</v>
      </c>
      <c r="CU5">
        <v>447.09999999939998</v>
      </c>
      <c r="CV5">
        <v>450.29999999860001</v>
      </c>
      <c r="CW5">
        <v>450.7999999987</v>
      </c>
      <c r="CX5">
        <v>450.8999999998</v>
      </c>
      <c r="CY5">
        <v>450.8999999998</v>
      </c>
      <c r="CZ5">
        <v>450.8999999998</v>
      </c>
      <c r="DA5">
        <v>450.7999999987</v>
      </c>
      <c r="DB5">
        <v>450.8999999998</v>
      </c>
      <c r="DC5">
        <v>450.9999999991</v>
      </c>
      <c r="DD5">
        <v>450.9999999991</v>
      </c>
      <c r="DE5">
        <v>450.8999999998</v>
      </c>
      <c r="DF5">
        <v>450.9999999991</v>
      </c>
      <c r="DG5">
        <v>450.9999999991</v>
      </c>
      <c r="DH5">
        <v>1.1999999988000001</v>
      </c>
      <c r="DI5">
        <v>0.89999999909999995</v>
      </c>
      <c r="DJ5">
        <v>0.89999999909999995</v>
      </c>
      <c r="DK5">
        <v>0.89999999909999995</v>
      </c>
      <c r="DL5">
        <v>1.0999999995</v>
      </c>
      <c r="DM5">
        <v>0.89999999909999995</v>
      </c>
      <c r="DN5">
        <v>0.89999999909999995</v>
      </c>
      <c r="DO5">
        <v>0.99999999839999998</v>
      </c>
      <c r="DP5">
        <v>0.99999999839999998</v>
      </c>
      <c r="DQ5">
        <v>0.99999999839999998</v>
      </c>
      <c r="DR5">
        <v>1.0999999995</v>
      </c>
      <c r="DS5">
        <v>1.0999999995</v>
      </c>
      <c r="DT5">
        <v>1.0999999995</v>
      </c>
      <c r="DU5">
        <v>1.1999999988000001</v>
      </c>
      <c r="DV5">
        <v>1.1999999988000001</v>
      </c>
      <c r="DW5">
        <v>1.2999999999</v>
      </c>
      <c r="DX5">
        <v>1.1999999988000001</v>
      </c>
      <c r="DY5">
        <v>1.4999999985000001</v>
      </c>
      <c r="DZ5">
        <v>3.3999999995999999</v>
      </c>
      <c r="EA5">
        <v>10.299999999900001</v>
      </c>
      <c r="EB5">
        <v>17.699999998500001</v>
      </c>
      <c r="EC5">
        <v>24.799999999200001</v>
      </c>
      <c r="ED5">
        <v>32.099999998500003</v>
      </c>
      <c r="EE5">
        <v>39.699999999399999</v>
      </c>
      <c r="EF5">
        <v>47.4999999988</v>
      </c>
      <c r="EG5">
        <v>54.799999999900002</v>
      </c>
      <c r="EH5">
        <v>62.299999999599997</v>
      </c>
      <c r="EI5">
        <v>70.199999998300001</v>
      </c>
      <c r="EJ5">
        <v>78.299999999199997</v>
      </c>
      <c r="EK5">
        <v>85.999999999300002</v>
      </c>
      <c r="EL5">
        <v>93.999999999099998</v>
      </c>
      <c r="EM5">
        <v>102.19999999940001</v>
      </c>
      <c r="EN5">
        <v>110.6999999993</v>
      </c>
      <c r="EO5">
        <v>118.2999999983</v>
      </c>
      <c r="EP5">
        <v>126.5999999996</v>
      </c>
      <c r="EQ5">
        <v>135.1999999988</v>
      </c>
      <c r="ER5">
        <v>143.0999999993</v>
      </c>
      <c r="ES5">
        <v>151.7999999996</v>
      </c>
      <c r="ET5">
        <v>160.59999999920001</v>
      </c>
      <c r="EU5">
        <v>168.2999999994</v>
      </c>
      <c r="EV5">
        <v>176.79999999930001</v>
      </c>
      <c r="EW5">
        <v>184.89999999840001</v>
      </c>
      <c r="EX5">
        <v>193.1999999997</v>
      </c>
      <c r="EY5">
        <v>201.59999999850001</v>
      </c>
      <c r="EZ5">
        <v>209.49999999900001</v>
      </c>
      <c r="FA5">
        <v>218.1</v>
      </c>
      <c r="FB5">
        <v>225.59999999979999</v>
      </c>
      <c r="FC5">
        <v>233.9999999986</v>
      </c>
      <c r="FD5">
        <v>242.0999999995</v>
      </c>
      <c r="FE5">
        <v>250</v>
      </c>
      <c r="FF5">
        <v>257.79999999939997</v>
      </c>
      <c r="FG5">
        <v>265.99999999959999</v>
      </c>
      <c r="FH5">
        <v>273.59999999860003</v>
      </c>
      <c r="FI5">
        <v>280.79999999860001</v>
      </c>
      <c r="FJ5">
        <v>288.69999999919997</v>
      </c>
      <c r="FK5">
        <v>296.19999999890001</v>
      </c>
      <c r="FL5">
        <v>303.1999999985</v>
      </c>
      <c r="FM5">
        <v>310.79999999929998</v>
      </c>
      <c r="FN5">
        <v>318.09999999860003</v>
      </c>
      <c r="FO5">
        <v>325.29999999860001</v>
      </c>
      <c r="FP5">
        <v>331.99999999850002</v>
      </c>
      <c r="FQ5">
        <v>338.79999999950002</v>
      </c>
      <c r="FR5">
        <v>345.6999999999</v>
      </c>
      <c r="FS5">
        <v>352.29999999860001</v>
      </c>
      <c r="FT5">
        <v>358.8</v>
      </c>
      <c r="FU5">
        <v>365.59999999920001</v>
      </c>
      <c r="FV5">
        <v>371.69999999970003</v>
      </c>
      <c r="FW5">
        <v>378.29999999850003</v>
      </c>
      <c r="FX5">
        <v>384</v>
      </c>
      <c r="FY5">
        <v>390.09999999870001</v>
      </c>
      <c r="FZ5">
        <v>395.99999999879998</v>
      </c>
      <c r="GA5">
        <v>402.19999999859999</v>
      </c>
      <c r="GB5">
        <v>407.69999999970003</v>
      </c>
      <c r="GC5">
        <v>413.39999999949998</v>
      </c>
      <c r="GD5">
        <v>418.89999999880001</v>
      </c>
      <c r="GE5">
        <v>424.49999999919999</v>
      </c>
      <c r="GF5">
        <v>429.59999999950003</v>
      </c>
      <c r="GG5">
        <v>434.59999999870001</v>
      </c>
      <c r="GH5">
        <v>439.4999999986</v>
      </c>
      <c r="GI5">
        <v>443.89999999840001</v>
      </c>
      <c r="GJ5">
        <v>446.5999999993</v>
      </c>
      <c r="GK5">
        <v>449.29999999839998</v>
      </c>
      <c r="GL5">
        <v>450.69999999940001</v>
      </c>
      <c r="GM5">
        <v>450.7999999987</v>
      </c>
      <c r="GN5">
        <v>450.7999999987</v>
      </c>
      <c r="GO5">
        <v>450.69999999940001</v>
      </c>
      <c r="GP5">
        <v>450.69999999940001</v>
      </c>
      <c r="GQ5">
        <v>450.7999999987</v>
      </c>
      <c r="GR5">
        <v>450.7999999987</v>
      </c>
      <c r="GS5">
        <v>450.9999999991</v>
      </c>
      <c r="GT5">
        <v>450.8999999998</v>
      </c>
      <c r="GU5">
        <v>450.8999999998</v>
      </c>
      <c r="GV5">
        <v>450.8999999998</v>
      </c>
      <c r="GW5">
        <v>450.9999999991</v>
      </c>
      <c r="GX5">
        <v>1</v>
      </c>
      <c r="GY5">
        <v>106.20000000020001</v>
      </c>
      <c r="GZ5">
        <v>104.7999999992</v>
      </c>
      <c r="HA5">
        <v>104.7999999992</v>
      </c>
      <c r="HB5">
        <v>110.6999999993</v>
      </c>
      <c r="HC5">
        <v>106.2095897996</v>
      </c>
      <c r="HD5">
        <v>-5.9000000001000004</v>
      </c>
      <c r="HE5">
        <v>450.9999999991</v>
      </c>
      <c r="HF5">
        <v>306.60166297149999</v>
      </c>
      <c r="HG5">
        <v>93.341075387900005</v>
      </c>
      <c r="HH5">
        <v>450.9999999991</v>
      </c>
      <c r="HI5">
        <v>450.9999999991</v>
      </c>
      <c r="HJ5">
        <v>450.9999999991</v>
      </c>
      <c r="HK5">
        <v>450.9999999991</v>
      </c>
      <c r="HL5">
        <v>117.3020527859</v>
      </c>
      <c r="HM5">
        <v>3.3137906193000002</v>
      </c>
      <c r="HN5">
        <v>3.245867348</v>
      </c>
      <c r="HO5">
        <v>3.2898409430000002</v>
      </c>
      <c r="HP5">
        <v>3.1711138440000002</v>
      </c>
      <c r="HQ5">
        <v>3.5003504454000001</v>
      </c>
      <c r="HR5">
        <v>2.2289524638999998</v>
      </c>
      <c r="HS5">
        <v>12.8685144117</v>
      </c>
      <c r="HT5">
        <v>-28.152492668600001</v>
      </c>
      <c r="HU5">
        <v>-192</v>
      </c>
      <c r="HV5">
        <v>412.81125277109999</v>
      </c>
      <c r="HW5">
        <v>96.187683284499997</v>
      </c>
      <c r="HX5">
        <v>656</v>
      </c>
      <c r="HY5">
        <v>12.8685144117</v>
      </c>
      <c r="HZ5">
        <v>-28.152492668600001</v>
      </c>
      <c r="IA5">
        <v>-192</v>
      </c>
      <c r="IB5">
        <v>412.81125277109999</v>
      </c>
      <c r="IC5">
        <v>96.187683284499997</v>
      </c>
      <c r="ID5">
        <v>656</v>
      </c>
      <c r="IE5">
        <v>38.188747227999997</v>
      </c>
      <c r="IF5">
        <v>0.80088691779999999</v>
      </c>
      <c r="IG5">
        <v>-37.536656891500002</v>
      </c>
      <c r="IH5">
        <v>-256</v>
      </c>
      <c r="II5">
        <v>434.38570953300001</v>
      </c>
      <c r="IJ5">
        <v>105.57184750730001</v>
      </c>
      <c r="IK5">
        <v>720</v>
      </c>
      <c r="IL5">
        <v>399.94273835939998</v>
      </c>
      <c r="IM5">
        <v>124.3401759531</v>
      </c>
      <c r="IN5">
        <v>422.68243902440003</v>
      </c>
      <c r="IO5">
        <v>133.724340176</v>
      </c>
      <c r="IP5">
        <v>7.3999999986000002</v>
      </c>
      <c r="IQ5">
        <v>5.8999999983000002</v>
      </c>
      <c r="IR5">
        <v>8.7999999996000007</v>
      </c>
      <c r="IS5">
        <v>6.2149543730000003</v>
      </c>
      <c r="IT5">
        <v>6.2149543730000003</v>
      </c>
      <c r="IU5">
        <v>4.9999999991999999</v>
      </c>
      <c r="IV5">
        <v>-28.152492668600001</v>
      </c>
      <c r="IW5">
        <v>7.3999999986000002</v>
      </c>
      <c r="IX5">
        <v>82.1114369501</v>
      </c>
      <c r="IY5">
        <v>6.1999999998000002</v>
      </c>
      <c r="IZ5">
        <v>100.87976539589999</v>
      </c>
      <c r="JA5">
        <v>-32.261576391600002</v>
      </c>
      <c r="JB5">
        <v>0.33183085140000002</v>
      </c>
      <c r="JC5">
        <v>-3.278426E-4</v>
      </c>
      <c r="JD5">
        <v>6.7140000000000004E-7</v>
      </c>
      <c r="JE5">
        <v>0.30176921690000003</v>
      </c>
      <c r="JF5">
        <v>0.126329312</v>
      </c>
      <c r="JG5">
        <v>6.2225395400000001E-2</v>
      </c>
      <c r="JH5">
        <v>106.4315218956</v>
      </c>
      <c r="JI5">
        <v>3.5003504454000001</v>
      </c>
      <c r="JJ5">
        <v>3.0270797E-3</v>
      </c>
      <c r="JK5">
        <v>-6.6786300000000001E-5</v>
      </c>
      <c r="JL5">
        <v>3.3137906193000002</v>
      </c>
      <c r="JM5">
        <v>1.1178215417999999</v>
      </c>
      <c r="JN5">
        <v>0.44556029009999998</v>
      </c>
      <c r="JO5">
        <v>3.1542499994000002</v>
      </c>
      <c r="JP5">
        <v>2.5148749992999999</v>
      </c>
      <c r="JQ5">
        <v>3.7509999997999999</v>
      </c>
      <c r="JR5" s="17" t="s">
        <v>527</v>
      </c>
      <c r="JU5" s="17">
        <v>1</v>
      </c>
    </row>
    <row r="6" spans="1:281">
      <c r="A6" t="s">
        <v>638</v>
      </c>
      <c r="B6" t="s">
        <v>639</v>
      </c>
      <c r="C6" t="s">
        <v>640</v>
      </c>
      <c r="D6" t="s">
        <v>209</v>
      </c>
      <c r="E6">
        <v>3</v>
      </c>
      <c r="F6" t="s">
        <v>210</v>
      </c>
      <c r="G6" t="s">
        <v>211</v>
      </c>
      <c r="H6" t="s">
        <v>526</v>
      </c>
      <c r="I6" t="s">
        <v>532</v>
      </c>
      <c r="K6" t="s">
        <v>586</v>
      </c>
      <c r="L6" t="s">
        <v>587</v>
      </c>
      <c r="M6" t="s">
        <v>588</v>
      </c>
      <c r="N6" t="s">
        <v>589</v>
      </c>
      <c r="O6" t="s">
        <v>590</v>
      </c>
      <c r="P6">
        <v>0</v>
      </c>
      <c r="Q6">
        <v>0</v>
      </c>
      <c r="R6">
        <v>0.69999999869999996</v>
      </c>
      <c r="S6">
        <v>9.9999999300000003E-2</v>
      </c>
      <c r="T6">
        <v>9.9999999300000003E-2</v>
      </c>
      <c r="U6">
        <v>9.9999999300000003E-2</v>
      </c>
      <c r="V6">
        <v>9.9999999300000003E-2</v>
      </c>
      <c r="W6">
        <v>0</v>
      </c>
      <c r="X6">
        <v>0</v>
      </c>
      <c r="Y6">
        <v>9.9999999300000003E-2</v>
      </c>
      <c r="Z6">
        <v>0</v>
      </c>
      <c r="AA6">
        <v>9.9999999300000003E-2</v>
      </c>
      <c r="AB6">
        <v>0</v>
      </c>
      <c r="AC6">
        <v>0</v>
      </c>
      <c r="AD6">
        <v>9.9999999300000003E-2</v>
      </c>
      <c r="AE6">
        <v>9.9999999300000003E-2</v>
      </c>
      <c r="AF6">
        <v>9.9999999300000003E-2</v>
      </c>
      <c r="AG6">
        <v>0.19999999860000001</v>
      </c>
      <c r="AH6">
        <v>0.39999999899999999</v>
      </c>
      <c r="AI6">
        <v>0.50000000010000001</v>
      </c>
      <c r="AJ6">
        <v>0.39999999899999999</v>
      </c>
      <c r="AK6">
        <v>1.1999999988000001</v>
      </c>
      <c r="AL6">
        <v>6.5999999988000004</v>
      </c>
      <c r="AM6">
        <v>13.4999999991</v>
      </c>
      <c r="AN6">
        <v>20.599999999800001</v>
      </c>
      <c r="AO6">
        <v>28.499999998500002</v>
      </c>
      <c r="AP6">
        <v>36.399999999000002</v>
      </c>
      <c r="AQ6">
        <v>44.200000000300001</v>
      </c>
      <c r="AR6">
        <v>52.200000000099998</v>
      </c>
      <c r="AS6">
        <v>60.400000000299997</v>
      </c>
      <c r="AT6">
        <v>68.799999999099995</v>
      </c>
      <c r="AU6">
        <v>76.4999999992</v>
      </c>
      <c r="AV6">
        <v>85.599999998499996</v>
      </c>
      <c r="AW6">
        <v>93.499999998999996</v>
      </c>
      <c r="AX6">
        <v>103.1999999996</v>
      </c>
      <c r="AY6">
        <v>112.79999999899999</v>
      </c>
      <c r="AZ6">
        <v>121.29999999890001</v>
      </c>
      <c r="BA6">
        <v>129.79999999879999</v>
      </c>
      <c r="BB6">
        <v>138.79999999879999</v>
      </c>
      <c r="BC6">
        <v>147.3999999998</v>
      </c>
      <c r="BD6">
        <v>155.99999999900001</v>
      </c>
      <c r="BE6">
        <v>164.79999999859999</v>
      </c>
      <c r="BF6">
        <v>173.39999999969999</v>
      </c>
      <c r="BG6">
        <v>181.59999999990001</v>
      </c>
      <c r="BH6">
        <v>190.8000000003</v>
      </c>
      <c r="BI6">
        <v>199.30000000019999</v>
      </c>
      <c r="BJ6">
        <v>207.699999999</v>
      </c>
      <c r="BK6">
        <v>216.39999999930001</v>
      </c>
      <c r="BL6">
        <v>224.6999999988</v>
      </c>
      <c r="BM6">
        <v>233.0999999995</v>
      </c>
      <c r="BN6">
        <v>241.0999999993</v>
      </c>
      <c r="BO6">
        <v>249.39999999880001</v>
      </c>
      <c r="BP6">
        <v>257.59999999899998</v>
      </c>
      <c r="BQ6">
        <v>265.99999999959999</v>
      </c>
      <c r="BR6">
        <v>273.69999999970003</v>
      </c>
      <c r="BS6">
        <v>281.79999999879999</v>
      </c>
      <c r="BT6">
        <v>289.10000000000002</v>
      </c>
      <c r="BU6">
        <v>297.39999999949998</v>
      </c>
      <c r="BV6">
        <v>304.89999999920002</v>
      </c>
      <c r="BW6">
        <v>312.20000000030001</v>
      </c>
      <c r="BX6">
        <v>319.89999999859998</v>
      </c>
      <c r="BY6">
        <v>327.19999999970003</v>
      </c>
      <c r="BZ6">
        <v>334.39999999970001</v>
      </c>
      <c r="CA6">
        <v>341.09999999960002</v>
      </c>
      <c r="CB6">
        <v>348.50000000009999</v>
      </c>
      <c r="CC6">
        <v>355.49999999969998</v>
      </c>
      <c r="CD6">
        <v>361.99999999919999</v>
      </c>
      <c r="CE6">
        <v>368.80000000019999</v>
      </c>
      <c r="CF6">
        <v>375.69999999869998</v>
      </c>
      <c r="CG6">
        <v>382.29999999929998</v>
      </c>
      <c r="CH6">
        <v>388.2999999987</v>
      </c>
      <c r="CI6">
        <v>394.09999999950003</v>
      </c>
      <c r="CJ6">
        <v>400.79999999939997</v>
      </c>
      <c r="CK6">
        <v>406.99999999919999</v>
      </c>
      <c r="CL6">
        <v>412.9999999986</v>
      </c>
      <c r="CM6">
        <v>418.99999999990001</v>
      </c>
      <c r="CN6">
        <v>424.99999999929997</v>
      </c>
      <c r="CO6">
        <v>430.8000000001</v>
      </c>
      <c r="CP6">
        <v>436.49999999980002</v>
      </c>
      <c r="CQ6">
        <v>441.69999999940001</v>
      </c>
      <c r="CR6">
        <v>443.90000000020001</v>
      </c>
      <c r="CS6">
        <v>444.99999999969998</v>
      </c>
      <c r="CT6">
        <v>444.99999999969998</v>
      </c>
      <c r="CU6">
        <v>444.99999999969998</v>
      </c>
      <c r="CV6">
        <v>444.89999999859998</v>
      </c>
      <c r="CW6">
        <v>444.99999999969998</v>
      </c>
      <c r="CX6">
        <v>444.99999999969998</v>
      </c>
      <c r="CY6">
        <v>444.99999999969998</v>
      </c>
      <c r="CZ6">
        <v>444.99999999969998</v>
      </c>
      <c r="DA6">
        <v>445.09999999899998</v>
      </c>
      <c r="DB6">
        <v>445.09999999899998</v>
      </c>
      <c r="DC6">
        <v>444.99999999969998</v>
      </c>
      <c r="DD6">
        <v>444.89999999859998</v>
      </c>
      <c r="DE6">
        <v>445.09999999899998</v>
      </c>
      <c r="DF6">
        <v>445.09999999899998</v>
      </c>
      <c r="DG6">
        <v>444.99999999969998</v>
      </c>
      <c r="DH6">
        <v>1.5000000003</v>
      </c>
      <c r="DI6">
        <v>1.1999999988000001</v>
      </c>
      <c r="DJ6">
        <v>1.0999999995</v>
      </c>
      <c r="DK6">
        <v>0.89999999909999995</v>
      </c>
      <c r="DL6">
        <v>1.0999999995</v>
      </c>
      <c r="DM6">
        <v>1.0000000002</v>
      </c>
      <c r="DN6">
        <v>1.0000000002</v>
      </c>
      <c r="DO6">
        <v>0.89999999909999995</v>
      </c>
      <c r="DP6">
        <v>1.0999999995</v>
      </c>
      <c r="DQ6">
        <v>1.0999999995</v>
      </c>
      <c r="DR6">
        <v>1.1999999988000001</v>
      </c>
      <c r="DS6">
        <v>1.1999999988000001</v>
      </c>
      <c r="DT6">
        <v>1.0999999995</v>
      </c>
      <c r="DU6">
        <v>1.0999999995</v>
      </c>
      <c r="DV6">
        <v>0.89999999909999995</v>
      </c>
      <c r="DW6">
        <v>1.0000000002</v>
      </c>
      <c r="DX6">
        <v>1.0000000002</v>
      </c>
      <c r="DY6">
        <v>1.1999999988000001</v>
      </c>
      <c r="DZ6">
        <v>1.0999999995</v>
      </c>
      <c r="EA6">
        <v>3.6</v>
      </c>
      <c r="EB6">
        <v>10.5999999996</v>
      </c>
      <c r="EC6">
        <v>18</v>
      </c>
      <c r="ED6">
        <v>25.499999999700002</v>
      </c>
      <c r="EE6">
        <v>33.400000000299997</v>
      </c>
      <c r="EF6">
        <v>40.9</v>
      </c>
      <c r="EG6">
        <v>48.799999998700002</v>
      </c>
      <c r="EH6">
        <v>56.800000000300003</v>
      </c>
      <c r="EI6">
        <v>64.999999998700005</v>
      </c>
      <c r="EJ6">
        <v>73.3</v>
      </c>
      <c r="EK6">
        <v>81.5999999995</v>
      </c>
      <c r="EL6">
        <v>90.099999999399998</v>
      </c>
      <c r="EM6">
        <v>98.699999998600006</v>
      </c>
      <c r="EN6">
        <v>108.0999999995</v>
      </c>
      <c r="EO6">
        <v>117.5999999996</v>
      </c>
      <c r="EP6">
        <v>126.1999999988</v>
      </c>
      <c r="EQ6">
        <v>135.0999999995</v>
      </c>
      <c r="ER6">
        <v>143.8999999991</v>
      </c>
      <c r="ES6">
        <v>152.50000000009999</v>
      </c>
      <c r="ET6">
        <v>161.29999999980001</v>
      </c>
      <c r="EU6">
        <v>169.89999999899999</v>
      </c>
      <c r="EV6">
        <v>178.5999999993</v>
      </c>
      <c r="EW6">
        <v>187.3999999989</v>
      </c>
      <c r="EX6">
        <v>196.20000000030001</v>
      </c>
      <c r="EY6">
        <v>204.89999999880001</v>
      </c>
      <c r="EZ6">
        <v>213.3999999987</v>
      </c>
      <c r="FA6">
        <v>221.89999999860001</v>
      </c>
      <c r="FB6">
        <v>230.29999999930001</v>
      </c>
      <c r="FC6">
        <v>238.6999999999</v>
      </c>
      <c r="FD6">
        <v>247.49999999950001</v>
      </c>
      <c r="FE6">
        <v>255.5999999986</v>
      </c>
      <c r="FF6">
        <v>264.09999999849998</v>
      </c>
      <c r="FG6">
        <v>272.10000000010001</v>
      </c>
      <c r="FH6">
        <v>280.19999999919997</v>
      </c>
      <c r="FI6">
        <v>287.89999999939999</v>
      </c>
      <c r="FJ6">
        <v>296.00000000030002</v>
      </c>
      <c r="FK6">
        <v>304.00000000009999</v>
      </c>
      <c r="FL6">
        <v>311.49999999980002</v>
      </c>
      <c r="FM6">
        <v>319.1999999999</v>
      </c>
      <c r="FN6">
        <v>326.79999999889998</v>
      </c>
      <c r="FO6">
        <v>334.1</v>
      </c>
      <c r="FP6">
        <v>340.99999999850002</v>
      </c>
      <c r="FQ6">
        <v>348.50000000009999</v>
      </c>
      <c r="FR6">
        <v>355.39999999859998</v>
      </c>
      <c r="FS6">
        <v>362.4</v>
      </c>
      <c r="FT6">
        <v>369.30000000029997</v>
      </c>
      <c r="FU6">
        <v>376.09999999950003</v>
      </c>
      <c r="FV6">
        <v>382.59999999899998</v>
      </c>
      <c r="FW6">
        <v>389.09999999849998</v>
      </c>
      <c r="FX6">
        <v>394.89999999930001</v>
      </c>
      <c r="FY6">
        <v>401.59999999920001</v>
      </c>
      <c r="FZ6">
        <v>407.79999999900002</v>
      </c>
      <c r="GA6">
        <v>413.69999999919997</v>
      </c>
      <c r="GB6">
        <v>419.69999999859999</v>
      </c>
      <c r="GC6">
        <v>425.49999999940002</v>
      </c>
      <c r="GD6">
        <v>430.89999999939999</v>
      </c>
      <c r="GE6">
        <v>436.59999999910002</v>
      </c>
      <c r="GF6">
        <v>441.60000000010001</v>
      </c>
      <c r="GG6">
        <v>443.90000000020001</v>
      </c>
      <c r="GH6">
        <v>444.7</v>
      </c>
      <c r="GI6">
        <v>444.79999999929998</v>
      </c>
      <c r="GJ6">
        <v>444.89999999859998</v>
      </c>
      <c r="GK6">
        <v>444.7</v>
      </c>
      <c r="GL6">
        <v>444.79999999929998</v>
      </c>
      <c r="GM6">
        <v>444.89999999859998</v>
      </c>
      <c r="GN6">
        <v>444.79999999929998</v>
      </c>
      <c r="GO6">
        <v>444.89999999859998</v>
      </c>
      <c r="GP6">
        <v>444.89999999859998</v>
      </c>
      <c r="GQ6">
        <v>444.89999999859998</v>
      </c>
      <c r="GR6">
        <v>444.89999999859998</v>
      </c>
      <c r="GS6">
        <v>444.79999999929998</v>
      </c>
      <c r="GT6">
        <v>444.99999999969998</v>
      </c>
      <c r="GU6">
        <v>445.09999999899998</v>
      </c>
      <c r="GV6">
        <v>444.99999999969998</v>
      </c>
      <c r="GW6">
        <v>445.09999999899998</v>
      </c>
      <c r="GX6">
        <v>1</v>
      </c>
      <c r="GY6">
        <v>104.800000001</v>
      </c>
      <c r="GZ6">
        <v>103.1999999996</v>
      </c>
      <c r="HA6">
        <v>103.1999999996</v>
      </c>
      <c r="HB6">
        <v>108.0999999995</v>
      </c>
      <c r="HC6">
        <v>104.3630757129</v>
      </c>
      <c r="HD6">
        <v>-4.8999999999000003</v>
      </c>
      <c r="HE6">
        <v>445.09998876560002</v>
      </c>
      <c r="HF6">
        <v>308.8138395862</v>
      </c>
      <c r="HG6">
        <v>83.5093237472</v>
      </c>
      <c r="HH6">
        <v>445.09999999899998</v>
      </c>
      <c r="HI6">
        <v>445.09999999899998</v>
      </c>
      <c r="HJ6">
        <v>445.09999999899998</v>
      </c>
      <c r="HK6">
        <v>445.09999999899998</v>
      </c>
      <c r="HL6">
        <v>107.91788856300001</v>
      </c>
      <c r="HM6">
        <v>3.5004935327000002</v>
      </c>
      <c r="HN6">
        <v>3.4112154656999998</v>
      </c>
      <c r="HO6">
        <v>3.4710714026999998</v>
      </c>
      <c r="HP6">
        <v>3.5086468049000001</v>
      </c>
      <c r="HQ6">
        <v>3.7255494645999998</v>
      </c>
      <c r="HR6">
        <v>2.4239240637999999</v>
      </c>
      <c r="HS6">
        <v>20.853751965699999</v>
      </c>
      <c r="HT6">
        <v>-23.460410557199999</v>
      </c>
      <c r="HU6">
        <v>-160</v>
      </c>
      <c r="HV6">
        <v>413.17691529910002</v>
      </c>
      <c r="HW6">
        <v>91.495601172999997</v>
      </c>
      <c r="HX6">
        <v>624</v>
      </c>
      <c r="HY6">
        <v>20.853751965699999</v>
      </c>
      <c r="HZ6">
        <v>-23.460410557199999</v>
      </c>
      <c r="IA6">
        <v>-160</v>
      </c>
      <c r="IB6">
        <v>413.17691529910002</v>
      </c>
      <c r="IC6">
        <v>91.495601172999997</v>
      </c>
      <c r="ID6">
        <v>624</v>
      </c>
      <c r="IE6">
        <v>31.923084699899999</v>
      </c>
      <c r="IF6">
        <v>0.40117950920000001</v>
      </c>
      <c r="IG6">
        <v>-32.844574780099997</v>
      </c>
      <c r="IH6">
        <v>-224</v>
      </c>
      <c r="II6">
        <v>436.45144911170001</v>
      </c>
      <c r="IJ6">
        <v>100.87976539589999</v>
      </c>
      <c r="IK6">
        <v>688</v>
      </c>
      <c r="IL6">
        <v>392.32316333339998</v>
      </c>
      <c r="IM6">
        <v>114.9560117302</v>
      </c>
      <c r="IN6">
        <v>418.48902493880001</v>
      </c>
      <c r="IO6">
        <v>124.3401759531</v>
      </c>
      <c r="IP6">
        <v>7.4000000004000004</v>
      </c>
      <c r="IQ6">
        <v>5.8000000007999999</v>
      </c>
      <c r="IR6">
        <v>9.7000000004999993</v>
      </c>
      <c r="IS6">
        <v>6.1380808241000002</v>
      </c>
      <c r="IT6">
        <v>6.1380808241000002</v>
      </c>
      <c r="IU6">
        <v>4.5000000009000001</v>
      </c>
      <c r="IV6">
        <v>-25.806451612899998</v>
      </c>
      <c r="IW6">
        <v>7.4999999997</v>
      </c>
      <c r="IX6">
        <v>86.803519061599999</v>
      </c>
      <c r="IY6">
        <v>5.9000000001000004</v>
      </c>
      <c r="IZ6">
        <v>98.533724340199996</v>
      </c>
      <c r="JA6">
        <v>-29.573747238199999</v>
      </c>
      <c r="JB6">
        <v>0.30456171199999998</v>
      </c>
      <c r="JC6">
        <v>-2.6395249999999998E-4</v>
      </c>
      <c r="JD6">
        <v>5.6970000000000003E-7</v>
      </c>
      <c r="JE6">
        <v>0.28567400300000001</v>
      </c>
      <c r="JF6">
        <v>0.28992964760000001</v>
      </c>
      <c r="JG6">
        <v>0.1047204815</v>
      </c>
      <c r="JH6">
        <v>104.9309858094</v>
      </c>
      <c r="JI6">
        <v>3.7255494645999998</v>
      </c>
      <c r="JJ6">
        <v>2.2276793999999999E-3</v>
      </c>
      <c r="JK6">
        <v>-6.8059599999999995E-5</v>
      </c>
      <c r="JL6">
        <v>3.5004935327000002</v>
      </c>
      <c r="JM6">
        <v>1.5811195705000001</v>
      </c>
      <c r="JN6">
        <v>0.52942088789999997</v>
      </c>
      <c r="JO6">
        <v>3.1542500001999998</v>
      </c>
      <c r="JP6">
        <v>2.4722500002999999</v>
      </c>
      <c r="JQ6">
        <v>4.1346250001999998</v>
      </c>
      <c r="JR6" s="17" t="s">
        <v>527</v>
      </c>
      <c r="JU6" s="17">
        <v>1</v>
      </c>
    </row>
    <row r="7" spans="1:281">
      <c r="A7" t="s">
        <v>641</v>
      </c>
      <c r="B7" t="s">
        <v>642</v>
      </c>
      <c r="C7" t="s">
        <v>643</v>
      </c>
      <c r="D7" t="s">
        <v>209</v>
      </c>
      <c r="E7">
        <v>3</v>
      </c>
      <c r="F7" t="s">
        <v>210</v>
      </c>
      <c r="G7" t="s">
        <v>211</v>
      </c>
      <c r="H7" t="s">
        <v>526</v>
      </c>
      <c r="I7" t="s">
        <v>532</v>
      </c>
      <c r="K7" t="s">
        <v>594</v>
      </c>
      <c r="L7" t="s">
        <v>595</v>
      </c>
      <c r="M7" t="s">
        <v>596</v>
      </c>
      <c r="N7" t="s">
        <v>597</v>
      </c>
      <c r="O7" t="s">
        <v>598</v>
      </c>
      <c r="P7">
        <v>0</v>
      </c>
      <c r="Q7">
        <v>0</v>
      </c>
      <c r="R7">
        <v>3.0999999999000001</v>
      </c>
      <c r="S7">
        <v>2.5000000005</v>
      </c>
      <c r="T7">
        <v>2.5000000005</v>
      </c>
      <c r="U7">
        <v>2.3999999993999999</v>
      </c>
      <c r="V7">
        <v>2.5000000005</v>
      </c>
      <c r="W7">
        <v>2.3999999993999999</v>
      </c>
      <c r="X7">
        <v>2.5000000005</v>
      </c>
      <c r="Y7">
        <v>2.3999999993999999</v>
      </c>
      <c r="Z7">
        <v>2.3000000000999998</v>
      </c>
      <c r="AA7">
        <v>2.3999999993999999</v>
      </c>
      <c r="AB7">
        <v>2.3000000000999998</v>
      </c>
      <c r="AC7">
        <v>2.3999999993999999</v>
      </c>
      <c r="AD7">
        <v>2.3999999993999999</v>
      </c>
      <c r="AE7">
        <v>2.3999999993999999</v>
      </c>
      <c r="AF7">
        <v>2.3000000000999998</v>
      </c>
      <c r="AG7">
        <v>2.3000000000999998</v>
      </c>
      <c r="AH7">
        <v>1.7000000007</v>
      </c>
      <c r="AI7">
        <v>0.79999999980000003</v>
      </c>
      <c r="AJ7">
        <v>0</v>
      </c>
      <c r="AK7">
        <v>1.5999999996000001</v>
      </c>
      <c r="AL7">
        <v>8.1000000008999997</v>
      </c>
      <c r="AM7">
        <v>16.1000000007</v>
      </c>
      <c r="AN7">
        <v>23.600000000400001</v>
      </c>
      <c r="AO7">
        <v>31.100000000200001</v>
      </c>
      <c r="AP7">
        <v>38.500000000599996</v>
      </c>
      <c r="AQ7">
        <v>47.300000000200001</v>
      </c>
      <c r="AR7">
        <v>55.000000000299998</v>
      </c>
      <c r="AS7">
        <v>62.400000000699997</v>
      </c>
      <c r="AT7">
        <v>70.4000000005</v>
      </c>
      <c r="AU7">
        <v>78.900000000399999</v>
      </c>
      <c r="AV7">
        <v>87.199999999900001</v>
      </c>
      <c r="AW7">
        <v>95.100000000500003</v>
      </c>
      <c r="AX7">
        <v>105.3000000011</v>
      </c>
      <c r="AY7">
        <v>113.6999999999</v>
      </c>
      <c r="AZ7">
        <v>122.1999999998</v>
      </c>
      <c r="BA7">
        <v>131.10000000049999</v>
      </c>
      <c r="BB7">
        <v>139.30000000070001</v>
      </c>
      <c r="BC7">
        <v>148.30000000070001</v>
      </c>
      <c r="BD7">
        <v>157.1000000004</v>
      </c>
      <c r="BE7">
        <v>165.39999999989999</v>
      </c>
      <c r="BF7">
        <v>173.60000000010001</v>
      </c>
      <c r="BG7">
        <v>182.1</v>
      </c>
      <c r="BH7">
        <v>190.8000000003</v>
      </c>
      <c r="BI7">
        <v>199.30000000019999</v>
      </c>
      <c r="BJ7">
        <v>207.89999999939999</v>
      </c>
      <c r="BK7">
        <v>216.3</v>
      </c>
      <c r="BL7">
        <v>224.0999999995</v>
      </c>
      <c r="BM7">
        <v>232.2000000004</v>
      </c>
      <c r="BN7">
        <v>240.60000000100001</v>
      </c>
      <c r="BO7">
        <v>248.7000000001</v>
      </c>
      <c r="BP7">
        <v>257.10000000069999</v>
      </c>
      <c r="BQ7">
        <v>265.40000000020001</v>
      </c>
      <c r="BR7">
        <v>273.00000000099999</v>
      </c>
      <c r="BS7">
        <v>280.39999999960003</v>
      </c>
      <c r="BT7">
        <v>288.09999999979999</v>
      </c>
      <c r="BU7">
        <v>295.79999999990002</v>
      </c>
      <c r="BV7">
        <v>303.4000000007</v>
      </c>
      <c r="BW7">
        <v>311.10000000079998</v>
      </c>
      <c r="BX7">
        <v>318.60000000050002</v>
      </c>
      <c r="BY7">
        <v>325.60000000010001</v>
      </c>
      <c r="BZ7">
        <v>332.50000000040001</v>
      </c>
      <c r="CA7">
        <v>339.2999999996</v>
      </c>
      <c r="CB7">
        <v>346.30000000109999</v>
      </c>
      <c r="CC7">
        <v>353.19999999959998</v>
      </c>
      <c r="CD7">
        <v>360.39999999960003</v>
      </c>
      <c r="CE7">
        <v>366.90000000089998</v>
      </c>
      <c r="CF7">
        <v>373.40000000039998</v>
      </c>
      <c r="CG7">
        <v>379.6000000002</v>
      </c>
      <c r="CH7">
        <v>385.90000000110001</v>
      </c>
      <c r="CI7">
        <v>392.10000000090002</v>
      </c>
      <c r="CJ7">
        <v>398.19999999959998</v>
      </c>
      <c r="CK7">
        <v>404.3000000001</v>
      </c>
      <c r="CL7">
        <v>410.7000000004</v>
      </c>
      <c r="CM7">
        <v>416.49999999940002</v>
      </c>
      <c r="CN7">
        <v>422.39999999949998</v>
      </c>
      <c r="CO7">
        <v>427.90000000060002</v>
      </c>
      <c r="CP7">
        <v>433.19999999949999</v>
      </c>
      <c r="CQ7">
        <v>438.59999999950003</v>
      </c>
      <c r="CR7">
        <v>443.69999999980001</v>
      </c>
      <c r="CS7">
        <v>446.20000000030001</v>
      </c>
      <c r="CT7">
        <v>446.20000000030001</v>
      </c>
      <c r="CU7">
        <v>446.2999999996</v>
      </c>
      <c r="CV7">
        <v>446.2999999996</v>
      </c>
      <c r="CW7">
        <v>446.2999999996</v>
      </c>
      <c r="CX7">
        <v>446.4000000007</v>
      </c>
      <c r="CY7">
        <v>446.2999999996</v>
      </c>
      <c r="CZ7">
        <v>446.4000000007</v>
      </c>
      <c r="DA7">
        <v>446.4000000007</v>
      </c>
      <c r="DB7">
        <v>446.5</v>
      </c>
      <c r="DC7">
        <v>446.4000000007</v>
      </c>
      <c r="DD7">
        <v>446.2999999996</v>
      </c>
      <c r="DE7">
        <v>446.2999999996</v>
      </c>
      <c r="DF7">
        <v>446.2999999996</v>
      </c>
      <c r="DG7">
        <v>446.4000000007</v>
      </c>
      <c r="DH7">
        <v>3.6</v>
      </c>
      <c r="DI7">
        <v>3.2000000009999998</v>
      </c>
      <c r="DJ7">
        <v>3.3999999995999999</v>
      </c>
      <c r="DK7">
        <v>3.3000000002999998</v>
      </c>
      <c r="DL7">
        <v>3.3000000002999998</v>
      </c>
      <c r="DM7">
        <v>3.3999999995999999</v>
      </c>
      <c r="DN7">
        <v>3.2000000009999998</v>
      </c>
      <c r="DO7">
        <v>3.3000000002999998</v>
      </c>
      <c r="DP7">
        <v>3.2000000009999998</v>
      </c>
      <c r="DQ7">
        <v>3.2000000009999998</v>
      </c>
      <c r="DR7">
        <v>3.2000000009999998</v>
      </c>
      <c r="DS7">
        <v>3.2000000009999998</v>
      </c>
      <c r="DT7">
        <v>3.0999999999000001</v>
      </c>
      <c r="DU7">
        <v>3.0999999999000001</v>
      </c>
      <c r="DV7">
        <v>3.0000000006</v>
      </c>
      <c r="DW7">
        <v>2.7000000008999998</v>
      </c>
      <c r="DX7">
        <v>2.0999999997000001</v>
      </c>
      <c r="DY7">
        <v>1.2999999999</v>
      </c>
      <c r="DZ7">
        <v>0.40000000079999998</v>
      </c>
      <c r="EA7">
        <v>5.9000000001000004</v>
      </c>
      <c r="EB7">
        <v>13.1000000001</v>
      </c>
      <c r="EC7">
        <v>20.8999999995</v>
      </c>
      <c r="ED7">
        <v>28.0999999995</v>
      </c>
      <c r="EE7">
        <v>36.200000000499998</v>
      </c>
      <c r="EF7">
        <v>43.999999999899998</v>
      </c>
      <c r="EG7">
        <v>51.999999999700002</v>
      </c>
      <c r="EH7">
        <v>59.499999999400004</v>
      </c>
      <c r="EI7">
        <v>67.500000001000004</v>
      </c>
      <c r="EJ7">
        <v>75.899999999800002</v>
      </c>
      <c r="EK7">
        <v>83.700000001000006</v>
      </c>
      <c r="EL7">
        <v>92.399999999499997</v>
      </c>
      <c r="EM7">
        <v>100.8000000002</v>
      </c>
      <c r="EN7">
        <v>110.0000000006</v>
      </c>
      <c r="EO7">
        <v>118.50000000049999</v>
      </c>
      <c r="EP7">
        <v>127.2000000008</v>
      </c>
      <c r="EQ7">
        <v>135.80000000000001</v>
      </c>
      <c r="ER7">
        <v>144.2999999999</v>
      </c>
      <c r="ES7">
        <v>153.2999999999</v>
      </c>
      <c r="ET7">
        <v>161.7999999999</v>
      </c>
      <c r="EU7">
        <v>170.20000000050001</v>
      </c>
      <c r="EV7">
        <v>178.6000000011</v>
      </c>
      <c r="EW7">
        <v>187.6000000011</v>
      </c>
      <c r="EX7">
        <v>195.99999999990001</v>
      </c>
      <c r="EY7">
        <v>204.99999999990001</v>
      </c>
      <c r="EZ7">
        <v>213.4999999998</v>
      </c>
      <c r="FA7">
        <v>221.49999999970001</v>
      </c>
      <c r="FB7">
        <v>229.800000001</v>
      </c>
      <c r="FC7">
        <v>238.19999999980001</v>
      </c>
      <c r="FD7">
        <v>246.4</v>
      </c>
      <c r="FE7">
        <v>255.19999999960001</v>
      </c>
      <c r="FF7">
        <v>263.19999999940001</v>
      </c>
      <c r="FG7">
        <v>271.20000000099998</v>
      </c>
      <c r="FH7">
        <v>278.7000000008</v>
      </c>
      <c r="FI7">
        <v>286.40000000089998</v>
      </c>
      <c r="FJ7">
        <v>294.5</v>
      </c>
      <c r="FK7">
        <v>302.10000000079998</v>
      </c>
      <c r="FL7">
        <v>309.99999999950001</v>
      </c>
      <c r="FM7">
        <v>317.80000000069998</v>
      </c>
      <c r="FN7">
        <v>324.89999999960003</v>
      </c>
      <c r="FO7">
        <v>331.90000000100002</v>
      </c>
      <c r="FP7">
        <v>338.79999999950002</v>
      </c>
      <c r="FQ7">
        <v>345.99999999950001</v>
      </c>
      <c r="FR7">
        <v>353.10000000029999</v>
      </c>
      <c r="FS7">
        <v>360.30000000029997</v>
      </c>
      <c r="FT7">
        <v>367.00000000019998</v>
      </c>
      <c r="FU7">
        <v>373.70000000009998</v>
      </c>
      <c r="FV7">
        <v>379.89999999989999</v>
      </c>
      <c r="FW7">
        <v>386.0999999997</v>
      </c>
      <c r="FX7">
        <v>392.29999999950002</v>
      </c>
      <c r="FY7">
        <v>398.69999999970003</v>
      </c>
      <c r="FZ7">
        <v>404.70000000099998</v>
      </c>
      <c r="GA7">
        <v>411.20000000049998</v>
      </c>
      <c r="GB7">
        <v>417.300000001</v>
      </c>
      <c r="GC7">
        <v>422.80000000029997</v>
      </c>
      <c r="GD7">
        <v>428.4000000007</v>
      </c>
      <c r="GE7">
        <v>433.30000000059999</v>
      </c>
      <c r="GF7">
        <v>438.70000000060003</v>
      </c>
      <c r="GG7">
        <v>443.40000000010002</v>
      </c>
      <c r="GH7">
        <v>446.20000000030001</v>
      </c>
      <c r="GI7">
        <v>446.20000000030001</v>
      </c>
      <c r="GJ7">
        <v>446.10000000100001</v>
      </c>
      <c r="GK7">
        <v>446.10000000100001</v>
      </c>
      <c r="GL7">
        <v>446.20000000030001</v>
      </c>
      <c r="GM7">
        <v>446.20000000030001</v>
      </c>
      <c r="GN7">
        <v>446.10000000100001</v>
      </c>
      <c r="GO7">
        <v>446.10000000100001</v>
      </c>
      <c r="GP7">
        <v>446.20000000030001</v>
      </c>
      <c r="GQ7">
        <v>446.10000000100001</v>
      </c>
      <c r="GR7">
        <v>446.2999999996</v>
      </c>
      <c r="GS7">
        <v>446.2999999996</v>
      </c>
      <c r="GT7">
        <v>446.2999999996</v>
      </c>
      <c r="GU7">
        <v>446.5</v>
      </c>
      <c r="GV7">
        <v>446.20000000030001</v>
      </c>
      <c r="GW7">
        <v>446.4000000007</v>
      </c>
      <c r="GX7">
        <v>1</v>
      </c>
      <c r="GY7">
        <v>103.4</v>
      </c>
      <c r="GZ7">
        <v>105.3000000011</v>
      </c>
      <c r="HA7">
        <v>105.3000000011</v>
      </c>
      <c r="HB7">
        <v>110.0000000006</v>
      </c>
      <c r="HC7">
        <v>106.4334117393</v>
      </c>
      <c r="HD7">
        <v>-4.6999999995000001</v>
      </c>
      <c r="HE7">
        <v>446.4000000007</v>
      </c>
      <c r="HF7">
        <v>304.1691756267</v>
      </c>
      <c r="HG7">
        <v>90.134487007499999</v>
      </c>
      <c r="HH7">
        <v>446.5</v>
      </c>
      <c r="HI7">
        <v>446.5</v>
      </c>
      <c r="HJ7">
        <v>446.5</v>
      </c>
      <c r="HK7">
        <v>446.5</v>
      </c>
      <c r="HL7">
        <v>107.91788856300001</v>
      </c>
      <c r="HM7">
        <v>3.450761102</v>
      </c>
      <c r="HN7">
        <v>3.3684954443000001</v>
      </c>
      <c r="HO7">
        <v>3.4193798289999999</v>
      </c>
      <c r="HP7">
        <v>3.3825021941000002</v>
      </c>
      <c r="HQ7">
        <v>3.6546122009999999</v>
      </c>
      <c r="HR7">
        <v>2.3839778798000002</v>
      </c>
      <c r="HS7">
        <v>16.298924731900001</v>
      </c>
      <c r="HT7">
        <v>-25.806451612899998</v>
      </c>
      <c r="HU7">
        <v>-176</v>
      </c>
      <c r="HV7">
        <v>410.60258736600002</v>
      </c>
      <c r="HW7">
        <v>91.495601172999997</v>
      </c>
      <c r="HX7">
        <v>624</v>
      </c>
      <c r="HY7">
        <v>16.298924731900001</v>
      </c>
      <c r="HZ7">
        <v>-25.806451612899998</v>
      </c>
      <c r="IA7">
        <v>-176</v>
      </c>
      <c r="IB7">
        <v>410.60258736600002</v>
      </c>
      <c r="IC7">
        <v>91.495601172999997</v>
      </c>
      <c r="ID7">
        <v>624</v>
      </c>
      <c r="IE7">
        <v>35.897412633999998</v>
      </c>
      <c r="IF7">
        <v>0.8011760751</v>
      </c>
      <c r="IG7">
        <v>-35.190615835800003</v>
      </c>
      <c r="IH7">
        <v>-240</v>
      </c>
      <c r="II7">
        <v>433.10887096829998</v>
      </c>
      <c r="IJ7">
        <v>100.87976539589999</v>
      </c>
      <c r="IK7">
        <v>688</v>
      </c>
      <c r="IL7">
        <v>394.30366263420001</v>
      </c>
      <c r="IM7">
        <v>117.3020527859</v>
      </c>
      <c r="IN7">
        <v>420.7863575275</v>
      </c>
      <c r="IO7">
        <v>126.6862170088</v>
      </c>
      <c r="IP7">
        <v>7.9999999998</v>
      </c>
      <c r="IQ7">
        <v>5.6000000003999997</v>
      </c>
      <c r="IR7">
        <v>10.200000000599999</v>
      </c>
      <c r="IS7">
        <v>5.8408964514999999</v>
      </c>
      <c r="IT7">
        <v>5.8408964514999999</v>
      </c>
      <c r="IU7">
        <v>4.9999999991999999</v>
      </c>
      <c r="IV7">
        <v>-28.152492668600001</v>
      </c>
      <c r="IW7">
        <v>7.1000000006999997</v>
      </c>
      <c r="IX7">
        <v>72.727272727300004</v>
      </c>
      <c r="IY7">
        <v>6.0000000012000001</v>
      </c>
      <c r="IZ7">
        <v>98.533724340199996</v>
      </c>
      <c r="JA7">
        <v>-30.6757250476</v>
      </c>
      <c r="JB7">
        <v>0.31280200149999998</v>
      </c>
      <c r="JC7">
        <v>-2.8338989999999997E-4</v>
      </c>
      <c r="JD7">
        <v>6.004E-7</v>
      </c>
      <c r="JE7">
        <v>0.28979114179999999</v>
      </c>
      <c r="JF7">
        <v>0.28478640030000002</v>
      </c>
      <c r="JG7">
        <v>0.1081972283</v>
      </c>
      <c r="JH7">
        <v>106.4446705255</v>
      </c>
      <c r="JI7">
        <v>3.6546122009999999</v>
      </c>
      <c r="JJ7">
        <v>2.5846505000000001E-3</v>
      </c>
      <c r="JK7">
        <v>-6.9426599999999997E-5</v>
      </c>
      <c r="JL7">
        <v>3.450761102</v>
      </c>
      <c r="JM7">
        <v>1.5352167577</v>
      </c>
      <c r="JN7">
        <v>0.57220810339999995</v>
      </c>
      <c r="JO7">
        <v>3.4099999999000001</v>
      </c>
      <c r="JP7">
        <v>2.3870000002</v>
      </c>
      <c r="JQ7">
        <v>4.3477500002999996</v>
      </c>
      <c r="JR7" s="17" t="s">
        <v>527</v>
      </c>
      <c r="JU7" s="17">
        <v>1</v>
      </c>
    </row>
    <row r="8" spans="1:281">
      <c r="A8" t="s">
        <v>644</v>
      </c>
      <c r="B8" t="s">
        <v>645</v>
      </c>
      <c r="C8" t="s">
        <v>646</v>
      </c>
      <c r="D8" t="s">
        <v>209</v>
      </c>
      <c r="E8">
        <v>3</v>
      </c>
      <c r="F8" t="s">
        <v>210</v>
      </c>
      <c r="G8" t="s">
        <v>211</v>
      </c>
      <c r="H8" t="s">
        <v>526</v>
      </c>
      <c r="I8" t="s">
        <v>532</v>
      </c>
      <c r="K8" t="s">
        <v>602</v>
      </c>
      <c r="L8" t="s">
        <v>603</v>
      </c>
      <c r="M8" t="s">
        <v>604</v>
      </c>
      <c r="N8" t="s">
        <v>605</v>
      </c>
      <c r="O8" t="s">
        <v>606</v>
      </c>
      <c r="P8">
        <v>0</v>
      </c>
      <c r="Q8">
        <v>0</v>
      </c>
      <c r="R8">
        <v>5.0000000010000001</v>
      </c>
      <c r="S8">
        <v>0.79999999980000003</v>
      </c>
      <c r="T8">
        <v>0.79999999980000003</v>
      </c>
      <c r="U8">
        <v>0.79999999980000003</v>
      </c>
      <c r="V8">
        <v>0.50000000010000001</v>
      </c>
      <c r="W8">
        <v>0.60000000119999997</v>
      </c>
      <c r="X8">
        <v>0.40000000079999998</v>
      </c>
      <c r="Y8">
        <v>0.40000000079999998</v>
      </c>
      <c r="Z8">
        <v>0.29999999970000002</v>
      </c>
      <c r="AA8">
        <v>0.29999999970000002</v>
      </c>
      <c r="AB8">
        <v>0.1000000011</v>
      </c>
      <c r="AC8">
        <v>0.20000000039999999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0.1000000011</v>
      </c>
      <c r="AK8">
        <v>0.29999999970000002</v>
      </c>
      <c r="AL8">
        <v>2.4000000012</v>
      </c>
      <c r="AM8">
        <v>8.9000000007000004</v>
      </c>
      <c r="AN8">
        <v>16.9999999998</v>
      </c>
      <c r="AO8">
        <v>24.699999999900001</v>
      </c>
      <c r="AP8">
        <v>32.300000000799997</v>
      </c>
      <c r="AQ8">
        <v>40.100000000199998</v>
      </c>
      <c r="AR8">
        <v>47.300000000200001</v>
      </c>
      <c r="AS8">
        <v>55.099999999600001</v>
      </c>
      <c r="AT8">
        <v>63.299999999800001</v>
      </c>
      <c r="AU8">
        <v>71.799999999700006</v>
      </c>
      <c r="AV8">
        <v>80.200000000299994</v>
      </c>
      <c r="AW8">
        <v>88.499999999799996</v>
      </c>
      <c r="AX8">
        <v>97.400000000600002</v>
      </c>
      <c r="AY8">
        <v>106.4000000006</v>
      </c>
      <c r="AZ8">
        <v>114.9000000005</v>
      </c>
      <c r="BA8">
        <v>124.2999999995</v>
      </c>
      <c r="BB8">
        <v>132.9000000005</v>
      </c>
      <c r="BC8">
        <v>141.19999999999999</v>
      </c>
      <c r="BD8">
        <v>149.9000000003</v>
      </c>
      <c r="BE8">
        <v>158.300000001</v>
      </c>
      <c r="BF8">
        <v>166.60000000049999</v>
      </c>
      <c r="BG8">
        <v>175.80000000090001</v>
      </c>
      <c r="BH8">
        <v>184.60000000049999</v>
      </c>
      <c r="BI8">
        <v>192.9</v>
      </c>
      <c r="BJ8">
        <v>201.39999999989999</v>
      </c>
      <c r="BK8">
        <v>209.30000000039999</v>
      </c>
      <c r="BL8">
        <v>217.59999999990001</v>
      </c>
      <c r="BM8">
        <v>226.6</v>
      </c>
      <c r="BN8">
        <v>235.00000000060001</v>
      </c>
      <c r="BO8">
        <v>243.2000000008</v>
      </c>
      <c r="BP8">
        <v>251.59999999959999</v>
      </c>
      <c r="BQ8">
        <v>259</v>
      </c>
      <c r="BR8">
        <v>266.70000000009998</v>
      </c>
      <c r="BS8">
        <v>274.6999999999</v>
      </c>
      <c r="BT8">
        <v>283.1999999999</v>
      </c>
      <c r="BU8">
        <v>291.00000000109998</v>
      </c>
      <c r="BV8">
        <v>298.50000000080001</v>
      </c>
      <c r="BW8">
        <v>306.09999999979999</v>
      </c>
      <c r="BX8">
        <v>313.00000000009999</v>
      </c>
      <c r="BY8">
        <v>320.49999999980002</v>
      </c>
      <c r="BZ8">
        <v>327.60000000050002</v>
      </c>
      <c r="CA8">
        <v>335.50000000099999</v>
      </c>
      <c r="CB8">
        <v>342.50000000070003</v>
      </c>
      <c r="CC8">
        <v>349.40000000100002</v>
      </c>
      <c r="CD8">
        <v>356.29999999950002</v>
      </c>
      <c r="CE8">
        <v>362.80000000080003</v>
      </c>
      <c r="CF8">
        <v>368.89999999949998</v>
      </c>
      <c r="CG8">
        <v>375.70000000049998</v>
      </c>
      <c r="CH8">
        <v>382.2</v>
      </c>
      <c r="CI8">
        <v>389.10000000029999</v>
      </c>
      <c r="CJ8">
        <v>395.3000000001</v>
      </c>
      <c r="CK8">
        <v>401.6000000011</v>
      </c>
      <c r="CL8">
        <v>407.90000000020001</v>
      </c>
      <c r="CM8">
        <v>413.70000000099998</v>
      </c>
      <c r="CN8">
        <v>419.10000000100001</v>
      </c>
      <c r="CO8">
        <v>424.9</v>
      </c>
      <c r="CP8">
        <v>430.7000000008</v>
      </c>
      <c r="CQ8">
        <v>436.90000000060002</v>
      </c>
      <c r="CR8">
        <v>442.39999999989999</v>
      </c>
      <c r="CS8">
        <v>445.99999999990001</v>
      </c>
      <c r="CT8">
        <v>446.20000000030001</v>
      </c>
      <c r="CU8">
        <v>446.5</v>
      </c>
      <c r="CV8">
        <v>445.99999999990001</v>
      </c>
      <c r="CW8">
        <v>445.60000000090002</v>
      </c>
      <c r="CX8">
        <v>445.49999999980002</v>
      </c>
      <c r="CY8">
        <v>445.29999999939997</v>
      </c>
      <c r="CZ8">
        <v>445.49999999980002</v>
      </c>
      <c r="DA8">
        <v>445.60000000090002</v>
      </c>
      <c r="DB8">
        <v>445.70000000020002</v>
      </c>
      <c r="DC8">
        <v>445.70000000020002</v>
      </c>
      <c r="DD8">
        <v>445.49999999980002</v>
      </c>
      <c r="DE8">
        <v>445.90000000060002</v>
      </c>
      <c r="DF8">
        <v>445.60000000090002</v>
      </c>
      <c r="DG8">
        <v>445.90000000060002</v>
      </c>
      <c r="DH8">
        <v>5.6000000003999997</v>
      </c>
      <c r="DI8">
        <v>1.8</v>
      </c>
      <c r="DJ8">
        <v>1.7000000007</v>
      </c>
      <c r="DK8">
        <v>1.7000000007</v>
      </c>
      <c r="DL8">
        <v>1.5000000003</v>
      </c>
      <c r="DM8">
        <v>1.5999999996000001</v>
      </c>
      <c r="DN8">
        <v>1.5999999996000001</v>
      </c>
      <c r="DO8">
        <v>1.2000000006</v>
      </c>
      <c r="DP8">
        <v>1.400000001</v>
      </c>
      <c r="DQ8">
        <v>1.400000001</v>
      </c>
      <c r="DR8">
        <v>1.0999999995</v>
      </c>
      <c r="DS8">
        <v>1.0999999995</v>
      </c>
      <c r="DT8">
        <v>1.0999999995</v>
      </c>
      <c r="DU8">
        <v>1.0000000002</v>
      </c>
      <c r="DV8">
        <v>1.0000000002</v>
      </c>
      <c r="DW8">
        <v>0.90000000089999999</v>
      </c>
      <c r="DX8">
        <v>0.90000000089999999</v>
      </c>
      <c r="DY8">
        <v>0.90000000089999999</v>
      </c>
      <c r="DZ8">
        <v>0.90000000089999999</v>
      </c>
      <c r="EA8">
        <v>0.79999999980000003</v>
      </c>
      <c r="EB8">
        <v>5.9000000001000004</v>
      </c>
      <c r="EC8">
        <v>13.699999999499999</v>
      </c>
      <c r="ED8">
        <v>21.700000001100001</v>
      </c>
      <c r="EE8">
        <v>29.200000000900001</v>
      </c>
      <c r="EF8">
        <v>36.799999999900002</v>
      </c>
      <c r="EG8">
        <v>44.6000000011</v>
      </c>
      <c r="EH8">
        <v>51.800000001100003</v>
      </c>
      <c r="EI8">
        <v>59.699999999799999</v>
      </c>
      <c r="EJ8">
        <v>68.400000000099993</v>
      </c>
      <c r="EK8">
        <v>76.699999999599996</v>
      </c>
      <c r="EL8">
        <v>85.000000000900002</v>
      </c>
      <c r="EM8">
        <v>93.3999999997</v>
      </c>
      <c r="EN8">
        <v>101.8999999997</v>
      </c>
      <c r="EO8">
        <v>111.2000000012</v>
      </c>
      <c r="EP8">
        <v>120.30000000050001</v>
      </c>
      <c r="EQ8">
        <v>128.89999999969999</v>
      </c>
      <c r="ER8">
        <v>137.89999999969999</v>
      </c>
      <c r="ES8">
        <v>146.6</v>
      </c>
      <c r="ET8">
        <v>154.70000000100001</v>
      </c>
      <c r="EU8">
        <v>163.20000000089999</v>
      </c>
      <c r="EV8">
        <v>172.30000000019999</v>
      </c>
      <c r="EW8">
        <v>181.50000000060001</v>
      </c>
      <c r="EX8">
        <v>190.30000000019999</v>
      </c>
      <c r="EY8">
        <v>199.00000000049999</v>
      </c>
      <c r="EZ8">
        <v>206.7999999999</v>
      </c>
      <c r="FA8">
        <v>215.2000000006</v>
      </c>
      <c r="FB8">
        <v>223.90000000090001</v>
      </c>
      <c r="FC8">
        <v>233.0000000002</v>
      </c>
      <c r="FD8">
        <v>241.29999999969999</v>
      </c>
      <c r="FE8">
        <v>249.7999999996</v>
      </c>
      <c r="FF8">
        <v>257.60000000079998</v>
      </c>
      <c r="FG8">
        <v>265.19999999980001</v>
      </c>
      <c r="FH8">
        <v>273.39999999999998</v>
      </c>
      <c r="FI8">
        <v>282.10000000039997</v>
      </c>
      <c r="FJ8">
        <v>290.19999999949999</v>
      </c>
      <c r="FK8">
        <v>298.10000000000002</v>
      </c>
      <c r="FL8">
        <v>305.8000000001</v>
      </c>
      <c r="FM8">
        <v>312.79999999969999</v>
      </c>
      <c r="FN8">
        <v>320.29999999939997</v>
      </c>
      <c r="FO8">
        <v>327.30000000080003</v>
      </c>
      <c r="FP8">
        <v>335.39999999989999</v>
      </c>
      <c r="FQ8">
        <v>342.70000000110002</v>
      </c>
      <c r="FR8">
        <v>349.70000000070002</v>
      </c>
      <c r="FS8">
        <v>357</v>
      </c>
      <c r="FT8">
        <v>363.30000000090001</v>
      </c>
      <c r="FU8">
        <v>369.50000000070003</v>
      </c>
      <c r="FV8">
        <v>376.20000000060003</v>
      </c>
      <c r="FW8">
        <v>383.49999999990001</v>
      </c>
      <c r="FX8">
        <v>389.99999999940002</v>
      </c>
      <c r="FY8">
        <v>396.50000000070003</v>
      </c>
      <c r="FZ8">
        <v>402.59999999939998</v>
      </c>
      <c r="GA8">
        <v>408.60000000069999</v>
      </c>
      <c r="GB8">
        <v>414.50000000080001</v>
      </c>
      <c r="GC8">
        <v>419.7000000004</v>
      </c>
      <c r="GD8">
        <v>425.30000000080003</v>
      </c>
      <c r="GE8">
        <v>431.00000000049999</v>
      </c>
      <c r="GF8">
        <v>436.79999999950002</v>
      </c>
      <c r="GG8">
        <v>441.70000000120001</v>
      </c>
      <c r="GH8">
        <v>445.29999999939997</v>
      </c>
      <c r="GI8">
        <v>445.29999999939997</v>
      </c>
      <c r="GJ8">
        <v>445.29999999939997</v>
      </c>
      <c r="GK8">
        <v>445.40000000049997</v>
      </c>
      <c r="GL8">
        <v>445.40000000049997</v>
      </c>
      <c r="GM8">
        <v>445.60000000090002</v>
      </c>
      <c r="GN8">
        <v>445.29999999939997</v>
      </c>
      <c r="GO8">
        <v>445.60000000090002</v>
      </c>
      <c r="GP8">
        <v>445.70000000020002</v>
      </c>
      <c r="GQ8">
        <v>445.49999999980002</v>
      </c>
      <c r="GR8">
        <v>445.70000000020002</v>
      </c>
      <c r="GS8">
        <v>445.79999999950002</v>
      </c>
      <c r="GT8">
        <v>445.79999999950002</v>
      </c>
      <c r="GU8">
        <v>445.49999999980002</v>
      </c>
      <c r="GV8">
        <v>445.60000000090002</v>
      </c>
      <c r="GW8">
        <v>445.79999999950002</v>
      </c>
      <c r="GX8">
        <v>1</v>
      </c>
      <c r="GY8">
        <v>94.4</v>
      </c>
      <c r="GZ8">
        <v>97.400000000600002</v>
      </c>
      <c r="HA8">
        <v>97.400000000600002</v>
      </c>
      <c r="HB8">
        <v>101.8999999997</v>
      </c>
      <c r="HC8">
        <v>98.405549949900006</v>
      </c>
      <c r="HD8">
        <v>-4.4999999990999999</v>
      </c>
      <c r="HE8">
        <v>445.80002242350002</v>
      </c>
      <c r="HF8">
        <v>320.90090817359999</v>
      </c>
      <c r="HG8">
        <v>81.201614531199994</v>
      </c>
      <c r="HH8">
        <v>446.5</v>
      </c>
      <c r="HI8">
        <v>445.80002242350002</v>
      </c>
      <c r="HJ8">
        <v>446.5</v>
      </c>
      <c r="HK8">
        <v>445.79999999950002</v>
      </c>
      <c r="HL8">
        <v>107.91788856300001</v>
      </c>
      <c r="HM8">
        <v>3.4608786868000001</v>
      </c>
      <c r="HN8">
        <v>3.3866528281999999</v>
      </c>
      <c r="HO8">
        <v>3.4325841699000001</v>
      </c>
      <c r="HP8">
        <v>3.4184028631999999</v>
      </c>
      <c r="HQ8">
        <v>3.6709900321000002</v>
      </c>
      <c r="HR8">
        <v>2.3345223770999999</v>
      </c>
      <c r="HS8">
        <v>17.203935418699999</v>
      </c>
      <c r="HT8">
        <v>-23.460410557199999</v>
      </c>
      <c r="HU8">
        <v>-160</v>
      </c>
      <c r="HV8">
        <v>419.30645812350002</v>
      </c>
      <c r="HW8">
        <v>96.187683284499997</v>
      </c>
      <c r="HX8">
        <v>656</v>
      </c>
      <c r="HY8">
        <v>17.203935418699999</v>
      </c>
      <c r="HZ8">
        <v>-23.460410557199999</v>
      </c>
      <c r="IA8">
        <v>-160</v>
      </c>
      <c r="IB8">
        <v>419.30645812350002</v>
      </c>
      <c r="IC8">
        <v>96.187683284499997</v>
      </c>
      <c r="ID8">
        <v>656</v>
      </c>
      <c r="IE8">
        <v>26.493564299999999</v>
      </c>
      <c r="IF8">
        <v>0.1008969627</v>
      </c>
      <c r="IG8">
        <v>-32.844574780099997</v>
      </c>
      <c r="IH8">
        <v>-224</v>
      </c>
      <c r="II8">
        <v>441.62842247010002</v>
      </c>
      <c r="IJ8">
        <v>105.57184750730001</v>
      </c>
      <c r="IK8">
        <v>720</v>
      </c>
      <c r="IL8">
        <v>402.10252270490003</v>
      </c>
      <c r="IM8">
        <v>119.6480938416</v>
      </c>
      <c r="IN8">
        <v>428.32121313969998</v>
      </c>
      <c r="IO8">
        <v>129.03225806450001</v>
      </c>
      <c r="IP8">
        <v>8.0999999990999996</v>
      </c>
      <c r="IQ8">
        <v>6.1999999998000002</v>
      </c>
      <c r="IR8">
        <v>9.3999999990000003</v>
      </c>
      <c r="IS8">
        <v>6.8560089304999998</v>
      </c>
      <c r="IT8">
        <v>6.8560089304999998</v>
      </c>
      <c r="IU8">
        <v>4.7999999987999997</v>
      </c>
      <c r="IV8">
        <v>-25.806451612899998</v>
      </c>
      <c r="IW8">
        <v>7.7999999993999998</v>
      </c>
      <c r="IX8">
        <v>65.689149560100006</v>
      </c>
      <c r="IY8">
        <v>6.1000000004999997</v>
      </c>
      <c r="IZ8">
        <v>100.87976539589999</v>
      </c>
      <c r="JA8">
        <v>-28.550263775000001</v>
      </c>
      <c r="JB8">
        <v>0.31154863789999998</v>
      </c>
      <c r="JC8">
        <v>-2.8611370000000003E-4</v>
      </c>
      <c r="JD8">
        <v>5.9839999999999996E-7</v>
      </c>
      <c r="JE8">
        <v>0.28894396210000001</v>
      </c>
      <c r="JF8">
        <v>0.2909004436</v>
      </c>
      <c r="JG8">
        <v>0.13462266489999999</v>
      </c>
      <c r="JH8">
        <v>99.320190591799999</v>
      </c>
      <c r="JI8">
        <v>3.6709900321000002</v>
      </c>
      <c r="JJ8">
        <v>2.9655285E-3</v>
      </c>
      <c r="JK8">
        <v>-6.8703999999999998E-5</v>
      </c>
      <c r="JL8">
        <v>3.4608786868000001</v>
      </c>
      <c r="JM8">
        <v>1.4873453005999999</v>
      </c>
      <c r="JN8">
        <v>0.65793885689999998</v>
      </c>
      <c r="JO8">
        <v>3.4526249995999998</v>
      </c>
      <c r="JP8">
        <v>2.6427499998999999</v>
      </c>
      <c r="JQ8">
        <v>4.0067499996000002</v>
      </c>
      <c r="JR8" s="17" t="s">
        <v>527</v>
      </c>
      <c r="JU8" s="17">
        <v>1</v>
      </c>
    </row>
    <row r="9" spans="1:281">
      <c r="A9" t="s">
        <v>647</v>
      </c>
      <c r="B9" t="s">
        <v>648</v>
      </c>
      <c r="C9" t="s">
        <v>649</v>
      </c>
      <c r="D9" t="s">
        <v>209</v>
      </c>
      <c r="E9">
        <v>3</v>
      </c>
      <c r="F9" t="s">
        <v>210</v>
      </c>
      <c r="G9" t="s">
        <v>211</v>
      </c>
      <c r="H9" t="s">
        <v>526</v>
      </c>
      <c r="I9" t="s">
        <v>532</v>
      </c>
      <c r="K9" t="s">
        <v>610</v>
      </c>
      <c r="L9" t="s">
        <v>611</v>
      </c>
      <c r="M9" t="s">
        <v>612</v>
      </c>
      <c r="N9" t="s">
        <v>613</v>
      </c>
      <c r="O9" t="s">
        <v>614</v>
      </c>
      <c r="P9">
        <v>0</v>
      </c>
      <c r="Q9">
        <v>0</v>
      </c>
      <c r="R9">
        <v>3.6999999993000001</v>
      </c>
      <c r="S9">
        <v>0.50000000010000001</v>
      </c>
      <c r="T9">
        <v>0.50000000010000001</v>
      </c>
      <c r="U9">
        <v>0.39999999899999999</v>
      </c>
      <c r="V9">
        <v>0.29999999970000002</v>
      </c>
      <c r="W9">
        <v>0.29999999970000002</v>
      </c>
      <c r="X9">
        <v>0.20000000039999999</v>
      </c>
      <c r="Y9">
        <v>9.9999999300000003E-2</v>
      </c>
      <c r="Z9">
        <v>0.29999999970000002</v>
      </c>
      <c r="AA9">
        <v>0.20000000039999999</v>
      </c>
      <c r="AB9">
        <v>0.20000000039999999</v>
      </c>
      <c r="AC9">
        <v>0.20000000039999999</v>
      </c>
      <c r="AD9">
        <v>0.29999999970000002</v>
      </c>
      <c r="AE9">
        <v>0.29999999970000002</v>
      </c>
      <c r="AF9">
        <v>9.9999999300000003E-2</v>
      </c>
      <c r="AG9">
        <v>0.39999999899999999</v>
      </c>
      <c r="AH9">
        <v>0.29999999970000002</v>
      </c>
      <c r="AI9">
        <v>0.20000000039999999</v>
      </c>
      <c r="AJ9">
        <v>0</v>
      </c>
      <c r="AK9">
        <v>2.3999999993999999</v>
      </c>
      <c r="AL9">
        <v>8.8999999989000003</v>
      </c>
      <c r="AM9">
        <v>16.499999999700002</v>
      </c>
      <c r="AN9">
        <v>24.299999999099999</v>
      </c>
      <c r="AO9">
        <v>31.100000000200001</v>
      </c>
      <c r="AP9">
        <v>38.699999999200003</v>
      </c>
      <c r="AQ9">
        <v>46.699999998999999</v>
      </c>
      <c r="AR9">
        <v>54.500000000199996</v>
      </c>
      <c r="AS9">
        <v>61.900000000600002</v>
      </c>
      <c r="AT9">
        <v>70.700000000200006</v>
      </c>
      <c r="AU9">
        <v>78.7</v>
      </c>
      <c r="AV9">
        <v>86.400000000099993</v>
      </c>
      <c r="AW9">
        <v>94.600000000400001</v>
      </c>
      <c r="AX9">
        <v>103.1999999996</v>
      </c>
      <c r="AY9">
        <v>111.3999999998</v>
      </c>
      <c r="AZ9">
        <v>120.1000000001</v>
      </c>
      <c r="BA9">
        <v>129.10000000010001</v>
      </c>
      <c r="BB9">
        <v>136.89999999950001</v>
      </c>
      <c r="BC9">
        <v>145.00000000040001</v>
      </c>
      <c r="BD9">
        <v>153.69999999890001</v>
      </c>
      <c r="BE9">
        <v>161.7999999999</v>
      </c>
      <c r="BF9">
        <v>170.3999999991</v>
      </c>
      <c r="BG9">
        <v>179.3999999991</v>
      </c>
      <c r="BH9">
        <v>187.3999999989</v>
      </c>
      <c r="BI9">
        <v>195.99999999990001</v>
      </c>
      <c r="BJ9">
        <v>204.2999999994</v>
      </c>
      <c r="BK9">
        <v>212.4000000003</v>
      </c>
      <c r="BL9">
        <v>220.29999999899999</v>
      </c>
      <c r="BM9">
        <v>229.10000000049999</v>
      </c>
      <c r="BN9">
        <v>237.10000000030001</v>
      </c>
      <c r="BO9">
        <v>245.10000000010001</v>
      </c>
      <c r="BP9">
        <v>252.89999999950001</v>
      </c>
      <c r="BQ9">
        <v>261.50000000049999</v>
      </c>
      <c r="BR9">
        <v>268.59999999939998</v>
      </c>
      <c r="BS9">
        <v>276.59999999920001</v>
      </c>
      <c r="BT9">
        <v>284.79999999939997</v>
      </c>
      <c r="BU9">
        <v>292.10000000060001</v>
      </c>
      <c r="BV9">
        <v>299.19999999949999</v>
      </c>
      <c r="BW9">
        <v>306.99999999890002</v>
      </c>
      <c r="BX9">
        <v>314.09999999960002</v>
      </c>
      <c r="BY9">
        <v>321.09999999920001</v>
      </c>
      <c r="BZ9">
        <v>327.79999999910001</v>
      </c>
      <c r="CA9">
        <v>335.79999999889998</v>
      </c>
      <c r="CB9">
        <v>342.69999999919997</v>
      </c>
      <c r="CC9">
        <v>349.29999999990002</v>
      </c>
      <c r="CD9">
        <v>355.70000000009998</v>
      </c>
      <c r="CE9">
        <v>362.60000000039997</v>
      </c>
      <c r="CF9">
        <v>369.19999999919997</v>
      </c>
      <c r="CG9">
        <v>375.2000000004</v>
      </c>
      <c r="CH9">
        <v>381.5999999988</v>
      </c>
      <c r="CI9">
        <v>388.3999999998</v>
      </c>
      <c r="CJ9">
        <v>394.59999999960002</v>
      </c>
      <c r="CK9">
        <v>400.49999999969998</v>
      </c>
      <c r="CL9">
        <v>406.3999999998</v>
      </c>
      <c r="CM9">
        <v>412.19999999880002</v>
      </c>
      <c r="CN9">
        <v>418.20000000009998</v>
      </c>
      <c r="CO9">
        <v>423.80000000050001</v>
      </c>
      <c r="CP9">
        <v>429.00000000009999</v>
      </c>
      <c r="CQ9">
        <v>434.79999999910001</v>
      </c>
      <c r="CR9">
        <v>440.80000000029997</v>
      </c>
      <c r="CS9">
        <v>445.40000000049997</v>
      </c>
      <c r="CT9">
        <v>446.2999999996</v>
      </c>
      <c r="CU9">
        <v>446.5</v>
      </c>
      <c r="CV9">
        <v>446.7000000004</v>
      </c>
      <c r="CW9">
        <v>446.5</v>
      </c>
      <c r="CX9">
        <v>446.7000000004</v>
      </c>
      <c r="CY9">
        <v>446.5</v>
      </c>
      <c r="CZ9">
        <v>446.3999999989</v>
      </c>
      <c r="DA9">
        <v>446.7000000004</v>
      </c>
      <c r="DB9">
        <v>446.7000000004</v>
      </c>
      <c r="DC9">
        <v>446.7000000004</v>
      </c>
      <c r="DD9">
        <v>446.7000000004</v>
      </c>
      <c r="DE9">
        <v>446.5999999993</v>
      </c>
      <c r="DF9">
        <v>446.7000000004</v>
      </c>
      <c r="DG9">
        <v>446.5999999993</v>
      </c>
      <c r="DH9">
        <v>4.6000000001999997</v>
      </c>
      <c r="DI9">
        <v>1.5999999996000001</v>
      </c>
      <c r="DJ9">
        <v>1.3999999992000001</v>
      </c>
      <c r="DK9">
        <v>1.5000000003</v>
      </c>
      <c r="DL9">
        <v>1.2000000006</v>
      </c>
      <c r="DM9">
        <v>1.2999999999</v>
      </c>
      <c r="DN9">
        <v>1.3999999992000001</v>
      </c>
      <c r="DO9">
        <v>1.2999999999</v>
      </c>
      <c r="DP9">
        <v>1.2999999999</v>
      </c>
      <c r="DQ9">
        <v>1.2000000006</v>
      </c>
      <c r="DR9">
        <v>1.2000000006</v>
      </c>
      <c r="DS9">
        <v>1.2000000006</v>
      </c>
      <c r="DT9">
        <v>1.2000000006</v>
      </c>
      <c r="DU9">
        <v>1.0999999995</v>
      </c>
      <c r="DV9">
        <v>1.0999999995</v>
      </c>
      <c r="DW9">
        <v>1.0999999995</v>
      </c>
      <c r="DX9">
        <v>1.0000000002</v>
      </c>
      <c r="DY9">
        <v>1.0000000002</v>
      </c>
      <c r="DZ9">
        <v>2.0000000004</v>
      </c>
      <c r="EA9">
        <v>6.1000000004999997</v>
      </c>
      <c r="EB9">
        <v>13.799999998800001</v>
      </c>
      <c r="EC9">
        <v>21.6</v>
      </c>
      <c r="ED9">
        <v>28.399999999199999</v>
      </c>
      <c r="EE9">
        <v>36.000000000100002</v>
      </c>
      <c r="EF9">
        <v>43.700000000199999</v>
      </c>
      <c r="EG9">
        <v>51.299999999199997</v>
      </c>
      <c r="EH9">
        <v>58.9</v>
      </c>
      <c r="EI9">
        <v>67.100000000199998</v>
      </c>
      <c r="EJ9">
        <v>75.699999999400006</v>
      </c>
      <c r="EK9">
        <v>83.099999999800005</v>
      </c>
      <c r="EL9">
        <v>91.199999998899997</v>
      </c>
      <c r="EM9">
        <v>99.399999999200006</v>
      </c>
      <c r="EN9">
        <v>107.79999999979999</v>
      </c>
      <c r="EO9">
        <v>116.2000000004</v>
      </c>
      <c r="EP9">
        <v>125.2000000004</v>
      </c>
      <c r="EQ9">
        <v>133.49999999990001</v>
      </c>
      <c r="ER9">
        <v>141.7000000001</v>
      </c>
      <c r="ES9">
        <v>150.49999999970001</v>
      </c>
      <c r="ET9">
        <v>158.7999999992</v>
      </c>
      <c r="EU9">
        <v>166.90000000020001</v>
      </c>
      <c r="EV9">
        <v>176.10000000060001</v>
      </c>
      <c r="EW9">
        <v>184.69999999980001</v>
      </c>
      <c r="EX9">
        <v>192.9</v>
      </c>
      <c r="EY9">
        <v>201.29999999879999</v>
      </c>
      <c r="EZ9">
        <v>209.80000000050001</v>
      </c>
      <c r="FA9">
        <v>217.80000000039999</v>
      </c>
      <c r="FB9">
        <v>226.69999999929999</v>
      </c>
      <c r="FC9">
        <v>235.3000000003</v>
      </c>
      <c r="FD9">
        <v>243.3000000001</v>
      </c>
      <c r="FE9">
        <v>251.2000000006</v>
      </c>
      <c r="FF9">
        <v>259.59999999939998</v>
      </c>
      <c r="FG9">
        <v>267.20000000020002</v>
      </c>
      <c r="FH9">
        <v>274.7999999992</v>
      </c>
      <c r="FI9">
        <v>283.5999999988</v>
      </c>
      <c r="FJ9">
        <v>291.10000000039997</v>
      </c>
      <c r="FK9">
        <v>298.49999999900001</v>
      </c>
      <c r="FL9">
        <v>306.19999999909999</v>
      </c>
      <c r="FM9">
        <v>313.89999999920002</v>
      </c>
      <c r="FN9">
        <v>320.79999999950002</v>
      </c>
      <c r="FO9">
        <v>327.90000000020001</v>
      </c>
      <c r="FP9">
        <v>335.79999999889998</v>
      </c>
      <c r="FQ9">
        <v>343.1</v>
      </c>
      <c r="FR9">
        <v>349.59999999960002</v>
      </c>
      <c r="FS9">
        <v>356.49999999990001</v>
      </c>
      <c r="FT9">
        <v>363.29999999910001</v>
      </c>
      <c r="FU9">
        <v>369.99999999900001</v>
      </c>
      <c r="FV9">
        <v>375.89999999909998</v>
      </c>
      <c r="FW9">
        <v>382.99999999980002</v>
      </c>
      <c r="FX9">
        <v>389.60000000039997</v>
      </c>
      <c r="FY9">
        <v>395.80000000019999</v>
      </c>
      <c r="FZ9">
        <v>401.70000000030001</v>
      </c>
      <c r="GA9">
        <v>407.60000000050002</v>
      </c>
      <c r="GB9">
        <v>413.69999999919997</v>
      </c>
      <c r="GC9">
        <v>419.3999999989</v>
      </c>
      <c r="GD9">
        <v>424.79999999889998</v>
      </c>
      <c r="GE9">
        <v>430.09999999960002</v>
      </c>
      <c r="GF9">
        <v>435.90000000039998</v>
      </c>
      <c r="GG9">
        <v>441.39999999970001</v>
      </c>
      <c r="GH9">
        <v>446.09999999920001</v>
      </c>
      <c r="GI9">
        <v>446.5</v>
      </c>
      <c r="GJ9">
        <v>446.5999999993</v>
      </c>
      <c r="GK9">
        <v>446.5</v>
      </c>
      <c r="GL9">
        <v>446.5999999993</v>
      </c>
      <c r="GM9">
        <v>446.5999999993</v>
      </c>
      <c r="GN9">
        <v>446.7000000004</v>
      </c>
      <c r="GO9">
        <v>446.5999999993</v>
      </c>
      <c r="GP9">
        <v>446.79999999969999</v>
      </c>
      <c r="GQ9">
        <v>446.7000000004</v>
      </c>
      <c r="GR9">
        <v>446.7000000004</v>
      </c>
      <c r="GS9">
        <v>446.7000000004</v>
      </c>
      <c r="GT9">
        <v>446.7000000004</v>
      </c>
      <c r="GU9">
        <v>446.5</v>
      </c>
      <c r="GV9">
        <v>446.7000000004</v>
      </c>
      <c r="GW9">
        <v>446.79999999969999</v>
      </c>
      <c r="GX9">
        <v>1</v>
      </c>
      <c r="GY9">
        <v>101.09999999990001</v>
      </c>
      <c r="GZ9">
        <v>103.1999999996</v>
      </c>
      <c r="HA9">
        <v>103.1999999996</v>
      </c>
      <c r="HB9">
        <v>107.79999999979999</v>
      </c>
      <c r="HC9">
        <v>104.28641146139999</v>
      </c>
      <c r="HD9">
        <v>-4.6000000001999997</v>
      </c>
      <c r="HE9">
        <v>446.79999999969999</v>
      </c>
      <c r="HF9">
        <v>314.61553615320003</v>
      </c>
      <c r="HG9">
        <v>87.568916498600004</v>
      </c>
      <c r="HH9">
        <v>446.79999999969999</v>
      </c>
      <c r="HI9">
        <v>446.79999999969999</v>
      </c>
      <c r="HJ9">
        <v>446.7000000004</v>
      </c>
      <c r="HK9">
        <v>446.79999999969999</v>
      </c>
      <c r="HL9">
        <v>107.91788856300001</v>
      </c>
      <c r="HM9">
        <v>3.3902269227000001</v>
      </c>
      <c r="HN9">
        <v>3.3173168239000002</v>
      </c>
      <c r="HO9">
        <v>3.3614317086000001</v>
      </c>
      <c r="HP9">
        <v>3.2783174654999998</v>
      </c>
      <c r="HQ9">
        <v>3.5740075747</v>
      </c>
      <c r="HR9">
        <v>2.3163412061000002</v>
      </c>
      <c r="HS9">
        <v>16.7174949628</v>
      </c>
      <c r="HT9">
        <v>-25.806451612899998</v>
      </c>
      <c r="HU9">
        <v>-176</v>
      </c>
      <c r="HV9">
        <v>418.90194761470002</v>
      </c>
      <c r="HW9">
        <v>96.187683284499997</v>
      </c>
      <c r="HX9">
        <v>656</v>
      </c>
      <c r="HY9">
        <v>16.7174949628</v>
      </c>
      <c r="HZ9">
        <v>-25.806451612899998</v>
      </c>
      <c r="IA9">
        <v>-176</v>
      </c>
      <c r="IB9">
        <v>418.90194761470002</v>
      </c>
      <c r="IC9">
        <v>96.187683284499997</v>
      </c>
      <c r="ID9">
        <v>656</v>
      </c>
      <c r="IE9">
        <v>27.898052385</v>
      </c>
      <c r="IF9">
        <v>0.2010745471</v>
      </c>
      <c r="IG9">
        <v>-35.190615835800003</v>
      </c>
      <c r="IH9">
        <v>-240</v>
      </c>
      <c r="II9">
        <v>441.27293485529998</v>
      </c>
      <c r="IJ9">
        <v>105.57184750730001</v>
      </c>
      <c r="IK9">
        <v>720</v>
      </c>
      <c r="IL9">
        <v>402.18445265190002</v>
      </c>
      <c r="IM9">
        <v>121.9941348974</v>
      </c>
      <c r="IN9">
        <v>427.38625475729998</v>
      </c>
      <c r="IO9">
        <v>131.37829912020001</v>
      </c>
      <c r="IP9">
        <v>7.6999999983</v>
      </c>
      <c r="IQ9">
        <v>6.0000000012000001</v>
      </c>
      <c r="IR9">
        <v>9.2000000003999993</v>
      </c>
      <c r="IS9">
        <v>6.1259583889</v>
      </c>
      <c r="IT9">
        <v>6.1259583889</v>
      </c>
      <c r="IU9">
        <v>4.8999999999000003</v>
      </c>
      <c r="IV9">
        <v>-28.152492668600001</v>
      </c>
      <c r="IW9">
        <v>8.0000000016000001</v>
      </c>
      <c r="IX9">
        <v>84.457478005900001</v>
      </c>
      <c r="IY9">
        <v>6.9000000003000004</v>
      </c>
      <c r="IZ9">
        <v>103.22580645159999</v>
      </c>
      <c r="JA9">
        <v>-31.0734064317</v>
      </c>
      <c r="JB9">
        <v>0.32306093130000002</v>
      </c>
      <c r="JC9">
        <v>-3.049355E-4</v>
      </c>
      <c r="JD9">
        <v>6.1659999999999995E-7</v>
      </c>
      <c r="JE9">
        <v>0.2949655061</v>
      </c>
      <c r="JF9">
        <v>0.19575460140000001</v>
      </c>
      <c r="JG9">
        <v>7.75957808E-2</v>
      </c>
      <c r="JH9">
        <v>104.8018501711</v>
      </c>
      <c r="JI9">
        <v>3.5740075747</v>
      </c>
      <c r="JJ9">
        <v>3.1341466000000002E-3</v>
      </c>
      <c r="JK9">
        <v>-6.7033599999999995E-5</v>
      </c>
      <c r="JL9">
        <v>3.3902269227000001</v>
      </c>
      <c r="JM9">
        <v>1.0170660041999999</v>
      </c>
      <c r="JN9">
        <v>0.48229765330000002</v>
      </c>
      <c r="JO9">
        <v>3.2821249993000001</v>
      </c>
      <c r="JP9">
        <v>2.5575000005000001</v>
      </c>
      <c r="JQ9">
        <v>3.9215000002</v>
      </c>
      <c r="JR9" s="17" t="s">
        <v>527</v>
      </c>
      <c r="JU9" s="17">
        <v>1</v>
      </c>
    </row>
    <row r="10" spans="1:281">
      <c r="A10" t="s">
        <v>686</v>
      </c>
      <c r="B10" t="s">
        <v>687</v>
      </c>
      <c r="C10" t="s">
        <v>688</v>
      </c>
      <c r="D10" t="s">
        <v>209</v>
      </c>
      <c r="E10">
        <v>3</v>
      </c>
      <c r="F10" t="s">
        <v>210</v>
      </c>
      <c r="G10" t="s">
        <v>211</v>
      </c>
      <c r="H10" t="s">
        <v>526</v>
      </c>
      <c r="I10" t="s">
        <v>532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0.7000000005</v>
      </c>
      <c r="S10">
        <v>0.39999999899999999</v>
      </c>
      <c r="T10">
        <v>0.50000000010000001</v>
      </c>
      <c r="U10">
        <v>0.20000000039999999</v>
      </c>
      <c r="V10">
        <v>0.39999999899999999</v>
      </c>
      <c r="W10">
        <v>9.9999999300000003E-2</v>
      </c>
      <c r="X10">
        <v>0.20000000039999999</v>
      </c>
      <c r="Y10">
        <v>0.29999999970000002</v>
      </c>
      <c r="Z10">
        <v>0.39999999899999999</v>
      </c>
      <c r="AA10">
        <v>0.39999999899999999</v>
      </c>
      <c r="AB10">
        <v>0.29999999970000002</v>
      </c>
      <c r="AC10">
        <v>0.29999999970000002</v>
      </c>
      <c r="AD10">
        <v>9.9999999300000003E-2</v>
      </c>
      <c r="AE10">
        <v>9.9999999300000003E-2</v>
      </c>
      <c r="AF10">
        <v>9.9999999300000003E-2</v>
      </c>
      <c r="AG10">
        <v>9.9999999300000003E-2</v>
      </c>
      <c r="AH10">
        <v>9.9999999300000003E-2</v>
      </c>
      <c r="AI10">
        <v>0.20000000039999999</v>
      </c>
      <c r="AJ10">
        <v>0</v>
      </c>
      <c r="AK10">
        <v>2.9999999987999999</v>
      </c>
      <c r="AL10">
        <v>9.3999999990000003</v>
      </c>
      <c r="AM10">
        <v>16.400000000399999</v>
      </c>
      <c r="AN10">
        <v>24.199999999799999</v>
      </c>
      <c r="AO10">
        <v>31.6000000003</v>
      </c>
      <c r="AP10">
        <v>39.300000000399997</v>
      </c>
      <c r="AQ10">
        <v>47.800000000300003</v>
      </c>
      <c r="AR10">
        <v>55.3999999993</v>
      </c>
      <c r="AS10">
        <v>63.500000000199996</v>
      </c>
      <c r="AT10">
        <v>72.000000000100002</v>
      </c>
      <c r="AU10">
        <v>79.999999999899998</v>
      </c>
      <c r="AV10">
        <v>88.099999999000005</v>
      </c>
      <c r="AW10">
        <v>96.9000000005</v>
      </c>
      <c r="AX10">
        <v>105.4000000004</v>
      </c>
      <c r="AY10">
        <v>113.9000000003</v>
      </c>
      <c r="AZ10">
        <v>122.7999999992</v>
      </c>
      <c r="BA10">
        <v>130.90000000009999</v>
      </c>
      <c r="BB10">
        <v>139.6000000004</v>
      </c>
      <c r="BC10">
        <v>148.6000000004</v>
      </c>
      <c r="BD10">
        <v>156.99999999920001</v>
      </c>
      <c r="BE10">
        <v>165.9</v>
      </c>
      <c r="BF10">
        <v>174.29999999879999</v>
      </c>
      <c r="BG10">
        <v>182.69999999940001</v>
      </c>
      <c r="BH10">
        <v>191.39999999969999</v>
      </c>
      <c r="BI10">
        <v>199.8999999996</v>
      </c>
      <c r="BJ10">
        <v>208.8000000003</v>
      </c>
      <c r="BK10">
        <v>217.3000000003</v>
      </c>
      <c r="BL10">
        <v>225.50000000049999</v>
      </c>
      <c r="BM10">
        <v>234.00000000040001</v>
      </c>
      <c r="BN10">
        <v>241.70000000050001</v>
      </c>
      <c r="BO10">
        <v>250.2000000004</v>
      </c>
      <c r="BP10">
        <v>258.39999999880001</v>
      </c>
      <c r="BQ10">
        <v>266.40000000039998</v>
      </c>
      <c r="BR10">
        <v>274.29999999910001</v>
      </c>
      <c r="BS10">
        <v>282.10000000039997</v>
      </c>
      <c r="BT10">
        <v>289.69999999940001</v>
      </c>
      <c r="BU10">
        <v>297.19999999909999</v>
      </c>
      <c r="BV10">
        <v>305.50000000040001</v>
      </c>
      <c r="BW10">
        <v>312.79999999969999</v>
      </c>
      <c r="BX10">
        <v>320.29999999939997</v>
      </c>
      <c r="BY10">
        <v>327.49999999940002</v>
      </c>
      <c r="BZ10">
        <v>334.80000000050001</v>
      </c>
      <c r="CA10">
        <v>341.8000000001</v>
      </c>
      <c r="CB10">
        <v>348.29999999969999</v>
      </c>
      <c r="CC10">
        <v>355.79999999939997</v>
      </c>
      <c r="CD10">
        <v>362.4</v>
      </c>
      <c r="CE10">
        <v>368.99999999879998</v>
      </c>
      <c r="CF10">
        <v>375.79999999979998</v>
      </c>
      <c r="CG10">
        <v>382.09999999889999</v>
      </c>
      <c r="CH10">
        <v>388.3999999998</v>
      </c>
      <c r="CI10">
        <v>394.8</v>
      </c>
      <c r="CJ10">
        <v>400.70000000009998</v>
      </c>
      <c r="CK10">
        <v>406.3999999998</v>
      </c>
      <c r="CL10">
        <v>412.8000000001</v>
      </c>
      <c r="CM10">
        <v>418.40000000049997</v>
      </c>
      <c r="CN10">
        <v>424.39999999989999</v>
      </c>
      <c r="CO10">
        <v>430.19999999890001</v>
      </c>
      <c r="CP10">
        <v>435.79999999929998</v>
      </c>
      <c r="CQ10">
        <v>441.30000000040002</v>
      </c>
      <c r="CR10">
        <v>444.1999999999</v>
      </c>
      <c r="CS10">
        <v>445.99999999990001</v>
      </c>
      <c r="CT10">
        <v>445.89999999880001</v>
      </c>
      <c r="CU10">
        <v>445.79999999950002</v>
      </c>
      <c r="CV10">
        <v>445.89999999880001</v>
      </c>
      <c r="CW10">
        <v>445.70000000020002</v>
      </c>
      <c r="CX10">
        <v>445.89999999880001</v>
      </c>
      <c r="CY10">
        <v>446.09999999920001</v>
      </c>
      <c r="CZ10">
        <v>445.89999999880001</v>
      </c>
      <c r="DA10">
        <v>445.99999999990001</v>
      </c>
      <c r="DB10">
        <v>446.09999999920001</v>
      </c>
      <c r="DC10">
        <v>445.99999999990001</v>
      </c>
      <c r="DD10">
        <v>446.20000000030001</v>
      </c>
      <c r="DE10">
        <v>445.99999999990001</v>
      </c>
      <c r="DF10">
        <v>445.99999999990001</v>
      </c>
      <c r="DG10">
        <v>445.99999999990001</v>
      </c>
      <c r="DH10">
        <v>1.0999999995</v>
      </c>
      <c r="DI10">
        <v>1.2999999999</v>
      </c>
      <c r="DJ10">
        <v>1.0999999995</v>
      </c>
      <c r="DK10">
        <v>1.0999999995</v>
      </c>
      <c r="DL10">
        <v>1.0999999995</v>
      </c>
      <c r="DM10">
        <v>1.0999999995</v>
      </c>
      <c r="DN10">
        <v>1.1999999988000001</v>
      </c>
      <c r="DO10">
        <v>1.0999999995</v>
      </c>
      <c r="DP10">
        <v>1.1999999988000001</v>
      </c>
      <c r="DQ10">
        <v>1.0999999995</v>
      </c>
      <c r="DR10">
        <v>1.0999999995</v>
      </c>
      <c r="DS10">
        <v>1.0999999995</v>
      </c>
      <c r="DT10">
        <v>1.0999999995</v>
      </c>
      <c r="DU10">
        <v>1.0999999995</v>
      </c>
      <c r="DV10">
        <v>1.0999999995</v>
      </c>
      <c r="DW10">
        <v>1.0000000002</v>
      </c>
      <c r="DX10">
        <v>0.89999999909999995</v>
      </c>
      <c r="DY10">
        <v>0.89999999909999995</v>
      </c>
      <c r="DZ10">
        <v>1.0000000002</v>
      </c>
      <c r="EA10">
        <v>4.9999999991999999</v>
      </c>
      <c r="EB10">
        <v>12.999999999</v>
      </c>
      <c r="EC10">
        <v>20.800000000200001</v>
      </c>
      <c r="ED10">
        <v>28.199999998799999</v>
      </c>
      <c r="EE10">
        <v>35.5</v>
      </c>
      <c r="EF10">
        <v>43.700000000199999</v>
      </c>
      <c r="EG10">
        <v>51.199999999900001</v>
      </c>
      <c r="EH10">
        <v>59.299999999000001</v>
      </c>
      <c r="EI10">
        <v>67.4999999992</v>
      </c>
      <c r="EJ10">
        <v>75.699999999400006</v>
      </c>
      <c r="EK10">
        <v>83.899999999599999</v>
      </c>
      <c r="EL10">
        <v>92.300000000300003</v>
      </c>
      <c r="EM10">
        <v>100.8999999995</v>
      </c>
      <c r="EN10">
        <v>109.199999999</v>
      </c>
      <c r="EO10">
        <v>118.00000000039999</v>
      </c>
      <c r="EP10">
        <v>126.6999999989</v>
      </c>
      <c r="EQ10">
        <v>135.50000000029999</v>
      </c>
      <c r="ER10">
        <v>144.0999999995</v>
      </c>
      <c r="ES10">
        <v>153.0999999995</v>
      </c>
      <c r="ET10">
        <v>161.5000000002</v>
      </c>
      <c r="EU10">
        <v>170.00000000009999</v>
      </c>
      <c r="EV10">
        <v>179.00000000009999</v>
      </c>
      <c r="EW10">
        <v>187.79999999969999</v>
      </c>
      <c r="EX10">
        <v>196.2999999996</v>
      </c>
      <c r="EY10">
        <v>205.09999999920001</v>
      </c>
      <c r="EZ10">
        <v>213.4999999998</v>
      </c>
      <c r="FA10">
        <v>222.20000000019999</v>
      </c>
      <c r="FB10">
        <v>230.599999999</v>
      </c>
      <c r="FC10">
        <v>238.99999999959999</v>
      </c>
      <c r="FD10">
        <v>247.40000000020001</v>
      </c>
      <c r="FE10">
        <v>255.90000000009999</v>
      </c>
      <c r="FF10">
        <v>263.89999999989999</v>
      </c>
      <c r="FG10">
        <v>272.10000000010001</v>
      </c>
      <c r="FH10">
        <v>279.89999999949998</v>
      </c>
      <c r="FI10">
        <v>287.89999999939999</v>
      </c>
      <c r="FJ10">
        <v>295.20000000049998</v>
      </c>
      <c r="FK10">
        <v>303.79999999969999</v>
      </c>
      <c r="FL10">
        <v>311.29999999939997</v>
      </c>
      <c r="FM10">
        <v>318.69999999980001</v>
      </c>
      <c r="FN10">
        <v>326.19999999949999</v>
      </c>
      <c r="FO10">
        <v>333.59999999989998</v>
      </c>
      <c r="FP10">
        <v>340.39999999909998</v>
      </c>
      <c r="FQ10">
        <v>347.59999999910002</v>
      </c>
      <c r="FR10">
        <v>354.5999999988</v>
      </c>
      <c r="FS10">
        <v>361.3999999998</v>
      </c>
      <c r="FT10">
        <v>368.199999999</v>
      </c>
      <c r="FU10">
        <v>375.29999999969999</v>
      </c>
      <c r="FV10">
        <v>381.40000000020001</v>
      </c>
      <c r="FW10">
        <v>387.99999999900001</v>
      </c>
      <c r="FX10">
        <v>394.00000000019998</v>
      </c>
      <c r="FY10">
        <v>400.2</v>
      </c>
      <c r="FZ10">
        <v>406.30000000059999</v>
      </c>
      <c r="GA10">
        <v>412.39999999930001</v>
      </c>
      <c r="GB10">
        <v>418.09999999899998</v>
      </c>
      <c r="GC10">
        <v>423.9999999991</v>
      </c>
      <c r="GD10">
        <v>429.69999999880002</v>
      </c>
      <c r="GE10">
        <v>434.90000000020001</v>
      </c>
      <c r="GF10">
        <v>440.39999999949998</v>
      </c>
      <c r="GG10">
        <v>443.49999999940002</v>
      </c>
      <c r="GH10">
        <v>445.70000000020002</v>
      </c>
      <c r="GI10">
        <v>445.79999999950002</v>
      </c>
      <c r="GJ10">
        <v>445.89999999880001</v>
      </c>
      <c r="GK10">
        <v>445.79999999950002</v>
      </c>
      <c r="GL10">
        <v>445.59999999910002</v>
      </c>
      <c r="GM10">
        <v>445.59999999910002</v>
      </c>
      <c r="GN10">
        <v>445.70000000020002</v>
      </c>
      <c r="GO10">
        <v>445.99999999990001</v>
      </c>
      <c r="GP10">
        <v>445.79999999950002</v>
      </c>
      <c r="GQ10">
        <v>445.70000000020002</v>
      </c>
      <c r="GR10">
        <v>445.70000000020002</v>
      </c>
      <c r="GS10">
        <v>445.79999999950002</v>
      </c>
      <c r="GT10">
        <v>445.59999999910002</v>
      </c>
      <c r="GU10">
        <v>445.70000000020002</v>
      </c>
      <c r="GV10">
        <v>445.89999999880001</v>
      </c>
      <c r="GW10">
        <v>445.89999999880001</v>
      </c>
      <c r="GX10">
        <v>1</v>
      </c>
      <c r="GY10">
        <v>106.4999999999</v>
      </c>
      <c r="GZ10">
        <v>105.4000000004</v>
      </c>
      <c r="HA10">
        <v>105.4000000004</v>
      </c>
      <c r="HB10">
        <v>109.199999999</v>
      </c>
      <c r="HC10">
        <v>106.3141127677</v>
      </c>
      <c r="HD10">
        <v>-3.7999999986000002</v>
      </c>
      <c r="HE10">
        <v>445.90002241780002</v>
      </c>
      <c r="HF10">
        <v>311.42229570580002</v>
      </c>
      <c r="HG10">
        <v>89.730635578600001</v>
      </c>
      <c r="HH10">
        <v>446.20000000030001</v>
      </c>
      <c r="HI10">
        <v>445.99999999990001</v>
      </c>
      <c r="HJ10">
        <v>446.20000000030001</v>
      </c>
      <c r="HK10">
        <v>445.99999999990001</v>
      </c>
      <c r="HL10">
        <v>107.91788856300001</v>
      </c>
      <c r="HM10">
        <v>3.4492137235000002</v>
      </c>
      <c r="HN10">
        <v>3.3865772154</v>
      </c>
      <c r="HO10">
        <v>3.4395077958</v>
      </c>
      <c r="HP10">
        <v>3.3500601350000001</v>
      </c>
      <c r="HQ10">
        <v>3.6549024820999998</v>
      </c>
      <c r="HR10">
        <v>2.3084438415999999</v>
      </c>
      <c r="HS10">
        <v>16.583477189100002</v>
      </c>
      <c r="HT10">
        <v>-25.806451612899998</v>
      </c>
      <c r="HU10">
        <v>-176</v>
      </c>
      <c r="HV10">
        <v>417.73640847339999</v>
      </c>
      <c r="HW10">
        <v>93.841642228699996</v>
      </c>
      <c r="HX10">
        <v>640</v>
      </c>
      <c r="HY10">
        <v>16.583477189100002</v>
      </c>
      <c r="HZ10">
        <v>-25.806451612899998</v>
      </c>
      <c r="IA10">
        <v>-176</v>
      </c>
      <c r="IB10">
        <v>417.73640847339999</v>
      </c>
      <c r="IC10">
        <v>93.841642228699996</v>
      </c>
      <c r="ID10">
        <v>640</v>
      </c>
      <c r="IE10">
        <v>28.263591526500001</v>
      </c>
      <c r="IF10">
        <v>0.2008631323</v>
      </c>
      <c r="IG10">
        <v>-35.190615835800003</v>
      </c>
      <c r="IH10">
        <v>-240</v>
      </c>
      <c r="II10">
        <v>440.31801367510002</v>
      </c>
      <c r="IJ10">
        <v>103.22580645159999</v>
      </c>
      <c r="IK10">
        <v>704</v>
      </c>
      <c r="IL10">
        <v>401.1529312843</v>
      </c>
      <c r="IM10">
        <v>119.6480938416</v>
      </c>
      <c r="IN10">
        <v>426.45630534700001</v>
      </c>
      <c r="IO10">
        <v>129.03225806450001</v>
      </c>
      <c r="IP10">
        <v>7.9999999998</v>
      </c>
      <c r="IQ10">
        <v>5.9000000001000004</v>
      </c>
      <c r="IR10">
        <v>9</v>
      </c>
      <c r="IS10">
        <v>6.2355552328000003</v>
      </c>
      <c r="IT10">
        <v>6.2355552328000003</v>
      </c>
      <c r="IU10">
        <v>3.6</v>
      </c>
      <c r="IV10">
        <v>-28.152492668600001</v>
      </c>
      <c r="IW10">
        <v>6.6000000005999997</v>
      </c>
      <c r="IX10">
        <v>53.958944281500003</v>
      </c>
      <c r="IY10">
        <v>5.2999999988999997</v>
      </c>
      <c r="IZ10">
        <v>98.533724340199996</v>
      </c>
      <c r="JA10">
        <v>-31.005220434200002</v>
      </c>
      <c r="JB10">
        <v>0.31766373669999998</v>
      </c>
      <c r="JC10">
        <v>-3.106459E-4</v>
      </c>
      <c r="JD10">
        <v>6.3389999999999998E-7</v>
      </c>
      <c r="JE10">
        <v>0.28992114730000001</v>
      </c>
      <c r="JF10">
        <v>0.17974994359999999</v>
      </c>
      <c r="JG10">
        <v>6.0692645400000002E-2</v>
      </c>
      <c r="JH10">
        <v>106.81598708</v>
      </c>
      <c r="JI10">
        <v>3.6549024820999998</v>
      </c>
      <c r="JJ10">
        <v>3.0850533E-3</v>
      </c>
      <c r="JK10">
        <v>-7.2882700000000006E-5</v>
      </c>
      <c r="JL10">
        <v>3.4492137235000002</v>
      </c>
      <c r="JM10">
        <v>1.0004127523999999</v>
      </c>
      <c r="JN10">
        <v>0.42702253530000001</v>
      </c>
      <c r="JO10">
        <v>3.4099999999000001</v>
      </c>
      <c r="JP10">
        <v>2.514875</v>
      </c>
      <c r="JQ10">
        <v>3.8362500000000002</v>
      </c>
      <c r="JR10" s="17" t="s">
        <v>527</v>
      </c>
      <c r="JU10" s="17">
        <v>1</v>
      </c>
    </row>
    <row r="11" spans="1:281">
      <c r="A11" t="s">
        <v>689</v>
      </c>
      <c r="B11" t="s">
        <v>690</v>
      </c>
      <c r="C11" t="s">
        <v>691</v>
      </c>
      <c r="D11" t="s">
        <v>209</v>
      </c>
      <c r="E11">
        <v>3</v>
      </c>
      <c r="F11" t="s">
        <v>210</v>
      </c>
      <c r="G11" t="s">
        <v>211</v>
      </c>
      <c r="H11" t="s">
        <v>526</v>
      </c>
      <c r="I11" t="s">
        <v>532</v>
      </c>
      <c r="K11" t="s">
        <v>661</v>
      </c>
      <c r="L11" t="s">
        <v>662</v>
      </c>
      <c r="M11" t="s">
        <v>663</v>
      </c>
      <c r="N11" t="s">
        <v>664</v>
      </c>
      <c r="O11" t="s">
        <v>665</v>
      </c>
      <c r="P11">
        <v>0</v>
      </c>
      <c r="Q11">
        <v>0</v>
      </c>
      <c r="R11">
        <v>1.1999999988000001</v>
      </c>
      <c r="S11">
        <v>1.1999999988000001</v>
      </c>
      <c r="T11">
        <v>1.0999999995</v>
      </c>
      <c r="U11">
        <v>1.0000000002</v>
      </c>
      <c r="V11">
        <v>1.1999999988000001</v>
      </c>
      <c r="W11">
        <v>1.1999999988000001</v>
      </c>
      <c r="X11">
        <v>1.2999999999</v>
      </c>
      <c r="Y11">
        <v>1.1999999988000001</v>
      </c>
      <c r="Z11">
        <v>1.1999999988000001</v>
      </c>
      <c r="AA11">
        <v>1.2999999999</v>
      </c>
      <c r="AB11">
        <v>1.2999999999</v>
      </c>
      <c r="AC11">
        <v>1.2999999999</v>
      </c>
      <c r="AD11">
        <v>1.0000000002</v>
      </c>
      <c r="AE11">
        <v>1.2999999999</v>
      </c>
      <c r="AF11">
        <v>1.2999999999</v>
      </c>
      <c r="AG11">
        <v>1.1999999988000001</v>
      </c>
      <c r="AH11">
        <v>0.89999999909999995</v>
      </c>
      <c r="AI11">
        <v>0.50000000010000001</v>
      </c>
      <c r="AJ11">
        <v>0</v>
      </c>
      <c r="AK11">
        <v>1.8</v>
      </c>
      <c r="AL11">
        <v>8.7000000002999993</v>
      </c>
      <c r="AM11">
        <v>15.9000000003</v>
      </c>
      <c r="AN11">
        <v>23.199999999599999</v>
      </c>
      <c r="AO11">
        <v>30.8999999997</v>
      </c>
      <c r="AP11">
        <v>38.199999999100001</v>
      </c>
      <c r="AQ11">
        <v>46.000000000299998</v>
      </c>
      <c r="AR11">
        <v>54.099999999399998</v>
      </c>
      <c r="AS11">
        <v>62.299999999599997</v>
      </c>
      <c r="AT11">
        <v>70.200000000100005</v>
      </c>
      <c r="AU11">
        <v>78.299999999199997</v>
      </c>
      <c r="AV11">
        <v>86.600000000500003</v>
      </c>
      <c r="AW11">
        <v>94.4</v>
      </c>
      <c r="AX11">
        <v>103.4999999993</v>
      </c>
      <c r="AY11">
        <v>112.4</v>
      </c>
      <c r="AZ11">
        <v>120.8999999999</v>
      </c>
      <c r="BA11">
        <v>129.4999999991</v>
      </c>
      <c r="BB11">
        <v>137.80000000039999</v>
      </c>
      <c r="BC11">
        <v>146.1999999992</v>
      </c>
      <c r="BD11">
        <v>154.59999999979999</v>
      </c>
      <c r="BE11">
        <v>163.50000000060001</v>
      </c>
      <c r="BF11">
        <v>172.30000000019999</v>
      </c>
      <c r="BG11">
        <v>180.39999999930001</v>
      </c>
      <c r="BH11">
        <v>189.09999999959999</v>
      </c>
      <c r="BI11">
        <v>197.20000000050001</v>
      </c>
      <c r="BJ11">
        <v>205.5</v>
      </c>
      <c r="BK11">
        <v>214.2999999996</v>
      </c>
      <c r="BL11">
        <v>222.89999999880001</v>
      </c>
      <c r="BM11">
        <v>230.9000000005</v>
      </c>
      <c r="BN11">
        <v>238.99999999959999</v>
      </c>
      <c r="BO11">
        <v>246.99999999939999</v>
      </c>
      <c r="BP11">
        <v>254.69999999949999</v>
      </c>
      <c r="BQ11">
        <v>263.10000000010001</v>
      </c>
      <c r="BR11">
        <v>271.30000000029997</v>
      </c>
      <c r="BS11">
        <v>279.00000000049999</v>
      </c>
      <c r="BT11">
        <v>286.29999999979998</v>
      </c>
      <c r="BU11">
        <v>294.2999999996</v>
      </c>
      <c r="BV11">
        <v>301.2999999992</v>
      </c>
      <c r="BW11">
        <v>308.79999999889998</v>
      </c>
      <c r="BX11">
        <v>316.39999999970001</v>
      </c>
      <c r="BY11">
        <v>323.89999999939999</v>
      </c>
      <c r="BZ11">
        <v>331.00000000009999</v>
      </c>
      <c r="CA11">
        <v>337.49999999959999</v>
      </c>
      <c r="CB11">
        <v>344.49999999919999</v>
      </c>
      <c r="CC11">
        <v>351.39999999960003</v>
      </c>
      <c r="CD11">
        <v>357.70000000049998</v>
      </c>
      <c r="CE11">
        <v>364.40000000039998</v>
      </c>
      <c r="CF11">
        <v>371.19999999959998</v>
      </c>
      <c r="CG11">
        <v>377.80000000019999</v>
      </c>
      <c r="CH11">
        <v>383.8999999989</v>
      </c>
      <c r="CI11">
        <v>389.79999999900002</v>
      </c>
      <c r="CJ11">
        <v>396.19999999919997</v>
      </c>
      <c r="CK11">
        <v>402.50000000009999</v>
      </c>
      <c r="CL11">
        <v>407.79999999900002</v>
      </c>
      <c r="CM11">
        <v>413.69999999919997</v>
      </c>
      <c r="CN11">
        <v>419.3999999989</v>
      </c>
      <c r="CO11">
        <v>425.10000000039997</v>
      </c>
      <c r="CP11">
        <v>431.09999999979999</v>
      </c>
      <c r="CQ11">
        <v>436.40000000049997</v>
      </c>
      <c r="CR11">
        <v>441.60000000010001</v>
      </c>
      <c r="CS11">
        <v>446.20000000030001</v>
      </c>
      <c r="CT11">
        <v>446.2999999996</v>
      </c>
      <c r="CU11">
        <v>446.2999999996</v>
      </c>
      <c r="CV11">
        <v>446.20000000030001</v>
      </c>
      <c r="CW11">
        <v>446.2999999996</v>
      </c>
      <c r="CX11">
        <v>446.3999999989</v>
      </c>
      <c r="CY11">
        <v>446.3999999989</v>
      </c>
      <c r="CZ11">
        <v>446.3999999989</v>
      </c>
      <c r="DA11">
        <v>446.7000000004</v>
      </c>
      <c r="DB11">
        <v>446.3999999989</v>
      </c>
      <c r="DC11">
        <v>446.5999999993</v>
      </c>
      <c r="DD11">
        <v>446.3999999989</v>
      </c>
      <c r="DE11">
        <v>446.5</v>
      </c>
      <c r="DF11">
        <v>446.3999999989</v>
      </c>
      <c r="DG11">
        <v>446.5999999993</v>
      </c>
      <c r="DH11">
        <v>1.8999999993000001</v>
      </c>
      <c r="DI11">
        <v>2.1999999990000001</v>
      </c>
      <c r="DJ11">
        <v>2.1999999990000001</v>
      </c>
      <c r="DK11">
        <v>2.1999999990000001</v>
      </c>
      <c r="DL11">
        <v>2.1999999990000001</v>
      </c>
      <c r="DM11">
        <v>2.1999999990000001</v>
      </c>
      <c r="DN11">
        <v>2.0999999997000001</v>
      </c>
      <c r="DO11">
        <v>2.1999999990000001</v>
      </c>
      <c r="DP11">
        <v>2.0999999997000001</v>
      </c>
      <c r="DQ11">
        <v>2.3000000000999998</v>
      </c>
      <c r="DR11">
        <v>2.0999999997000001</v>
      </c>
      <c r="DS11">
        <v>2.0999999997000001</v>
      </c>
      <c r="DT11">
        <v>2.1999999990000001</v>
      </c>
      <c r="DU11">
        <v>2.0000000004</v>
      </c>
      <c r="DV11">
        <v>2.0999999997000001</v>
      </c>
      <c r="DW11">
        <v>2.0000000004</v>
      </c>
      <c r="DX11">
        <v>1.8</v>
      </c>
      <c r="DY11">
        <v>1.0999999995</v>
      </c>
      <c r="DZ11">
        <v>0.39999999899999999</v>
      </c>
      <c r="EA11">
        <v>5.1999999996000001</v>
      </c>
      <c r="EB11">
        <v>12.6</v>
      </c>
      <c r="EC11">
        <v>19.8</v>
      </c>
      <c r="ED11">
        <v>27.399999998999998</v>
      </c>
      <c r="EE11">
        <v>34.900000000600002</v>
      </c>
      <c r="EF11">
        <v>42.199999999900001</v>
      </c>
      <c r="EG11">
        <v>50.600000000500003</v>
      </c>
      <c r="EH11">
        <v>58.699999999600003</v>
      </c>
      <c r="EI11">
        <v>66.600000000099996</v>
      </c>
      <c r="EJ11">
        <v>74.499999998800007</v>
      </c>
      <c r="EK11">
        <v>82.800000000099999</v>
      </c>
      <c r="EL11">
        <v>90.699999998799996</v>
      </c>
      <c r="EM11">
        <v>99.200000000599999</v>
      </c>
      <c r="EN11">
        <v>108.0000000002</v>
      </c>
      <c r="EO11">
        <v>117.0999999995</v>
      </c>
      <c r="EP11">
        <v>125.2000000004</v>
      </c>
      <c r="EQ11">
        <v>134</v>
      </c>
      <c r="ER11">
        <v>142.49999999990001</v>
      </c>
      <c r="ES11">
        <v>150.7999999994</v>
      </c>
      <c r="ET11">
        <v>159.70000000019999</v>
      </c>
      <c r="EU11">
        <v>168.79999999949999</v>
      </c>
      <c r="EV11">
        <v>176.79999999930001</v>
      </c>
      <c r="EW11">
        <v>185.79999999930001</v>
      </c>
      <c r="EX11">
        <v>193.90000000020001</v>
      </c>
      <c r="EY11">
        <v>202.29999999899999</v>
      </c>
      <c r="EZ11">
        <v>211.1000000004</v>
      </c>
      <c r="FA11">
        <v>219.9999999993</v>
      </c>
      <c r="FB11">
        <v>227.89999999989999</v>
      </c>
      <c r="FC11">
        <v>236.19999999940001</v>
      </c>
      <c r="FD11">
        <v>244.3999999996</v>
      </c>
      <c r="FE11">
        <v>252.39999999939999</v>
      </c>
      <c r="FF11">
        <v>260.59999999960002</v>
      </c>
      <c r="FG11">
        <v>268.79999999979998</v>
      </c>
      <c r="FH11">
        <v>277.0999999993</v>
      </c>
      <c r="FI11">
        <v>284.49999999980002</v>
      </c>
      <c r="FJ11">
        <v>292.4000000003</v>
      </c>
      <c r="FK11">
        <v>299.99999999929997</v>
      </c>
      <c r="FL11">
        <v>307.30000000040002</v>
      </c>
      <c r="FM11">
        <v>315.09999999979999</v>
      </c>
      <c r="FN11">
        <v>322.79999999990002</v>
      </c>
      <c r="FO11">
        <v>329.89999999880001</v>
      </c>
      <c r="FP11">
        <v>336.79999999910001</v>
      </c>
      <c r="FQ11">
        <v>343.80000000059999</v>
      </c>
      <c r="FR11">
        <v>350.80000000019999</v>
      </c>
      <c r="FS11">
        <v>357.29999999969999</v>
      </c>
      <c r="FT11">
        <v>364.09999999889999</v>
      </c>
      <c r="FU11">
        <v>370.89999999989999</v>
      </c>
      <c r="FV11">
        <v>377.69999999909999</v>
      </c>
      <c r="FW11">
        <v>384</v>
      </c>
      <c r="FX11">
        <v>389.90000000010002</v>
      </c>
      <c r="FY11">
        <v>396.30000000029997</v>
      </c>
      <c r="FZ11">
        <v>402.39999999899999</v>
      </c>
      <c r="GA11">
        <v>408.10000000060001</v>
      </c>
      <c r="GB11">
        <v>413.69999999919997</v>
      </c>
      <c r="GC11">
        <v>419.5</v>
      </c>
      <c r="GD11">
        <v>425.19999999970003</v>
      </c>
      <c r="GE11">
        <v>431.00000000049999</v>
      </c>
      <c r="GF11">
        <v>436.29999999939997</v>
      </c>
      <c r="GG11">
        <v>441.1</v>
      </c>
      <c r="GH11">
        <v>445.20000000009998</v>
      </c>
      <c r="GI11">
        <v>445.99999999990001</v>
      </c>
      <c r="GJ11">
        <v>445.99999999990001</v>
      </c>
      <c r="GK11">
        <v>446.2999999996</v>
      </c>
      <c r="GL11">
        <v>446.09999999920001</v>
      </c>
      <c r="GM11">
        <v>446.09999999920001</v>
      </c>
      <c r="GN11">
        <v>446.20000000030001</v>
      </c>
      <c r="GO11">
        <v>446.20000000030001</v>
      </c>
      <c r="GP11">
        <v>446.3999999989</v>
      </c>
      <c r="GQ11">
        <v>446.20000000030001</v>
      </c>
      <c r="GR11">
        <v>446.2999999996</v>
      </c>
      <c r="GS11">
        <v>446.2999999996</v>
      </c>
      <c r="GT11">
        <v>446.3999999989</v>
      </c>
      <c r="GU11">
        <v>446.2999999996</v>
      </c>
      <c r="GV11">
        <v>446.3999999989</v>
      </c>
      <c r="GW11">
        <v>446.5</v>
      </c>
      <c r="GX11">
        <v>1</v>
      </c>
      <c r="GY11">
        <v>104.1000000005</v>
      </c>
      <c r="GZ11">
        <v>103.4999999993</v>
      </c>
      <c r="HA11">
        <v>103.4999999993</v>
      </c>
      <c r="HB11">
        <v>108.0000000002</v>
      </c>
      <c r="HC11">
        <v>104.5656701372</v>
      </c>
      <c r="HD11">
        <v>-4.5000000009000001</v>
      </c>
      <c r="HE11">
        <v>446.5</v>
      </c>
      <c r="HF11">
        <v>314.54532527200001</v>
      </c>
      <c r="HG11">
        <v>88.509774940400007</v>
      </c>
      <c r="HH11">
        <v>446.7000000004</v>
      </c>
      <c r="HI11">
        <v>446.5</v>
      </c>
      <c r="HJ11">
        <v>446.7000000004</v>
      </c>
      <c r="HK11">
        <v>446.5</v>
      </c>
      <c r="HL11">
        <v>110.26392961880001</v>
      </c>
      <c r="HM11">
        <v>3.4029978999999999</v>
      </c>
      <c r="HN11">
        <v>3.3387227463000002</v>
      </c>
      <c r="HO11">
        <v>3.3916673318999999</v>
      </c>
      <c r="HP11">
        <v>3.3351919912999999</v>
      </c>
      <c r="HQ11">
        <v>3.6212273911000001</v>
      </c>
      <c r="HR11">
        <v>2.2420139076000001</v>
      </c>
      <c r="HS11">
        <v>16.055895196800002</v>
      </c>
      <c r="HT11">
        <v>-25.806451612899998</v>
      </c>
      <c r="HU11">
        <v>-176</v>
      </c>
      <c r="HV11">
        <v>419.11099540919997</v>
      </c>
      <c r="HW11">
        <v>96.187683284499997</v>
      </c>
      <c r="HX11">
        <v>656</v>
      </c>
      <c r="HY11">
        <v>16.055895196800002</v>
      </c>
      <c r="HZ11">
        <v>-25.806451612899998</v>
      </c>
      <c r="IA11">
        <v>-176</v>
      </c>
      <c r="IB11">
        <v>419.11099540919997</v>
      </c>
      <c r="IC11">
        <v>96.187683284499997</v>
      </c>
      <c r="ID11">
        <v>656</v>
      </c>
      <c r="IE11">
        <v>27.389004590900001</v>
      </c>
      <c r="IF11">
        <v>0.50107490769999996</v>
      </c>
      <c r="IG11">
        <v>-35.190615835800003</v>
      </c>
      <c r="IH11">
        <v>-240</v>
      </c>
      <c r="II11">
        <v>441.01790393020002</v>
      </c>
      <c r="IJ11">
        <v>105.57184750730001</v>
      </c>
      <c r="IK11">
        <v>720</v>
      </c>
      <c r="IL11">
        <v>403.05510021229998</v>
      </c>
      <c r="IM11">
        <v>121.9941348974</v>
      </c>
      <c r="IN11">
        <v>428.9289217338</v>
      </c>
      <c r="IO11">
        <v>131.37829912020001</v>
      </c>
      <c r="IP11">
        <v>7.4000000004000004</v>
      </c>
      <c r="IQ11">
        <v>5.9999999994</v>
      </c>
      <c r="IR11">
        <v>9.0999999992999996</v>
      </c>
      <c r="IS11">
        <v>6.5879368804</v>
      </c>
      <c r="IT11">
        <v>6.5879368804</v>
      </c>
      <c r="IU11">
        <v>3.8999999996999999</v>
      </c>
      <c r="IV11">
        <v>-28.152492668600001</v>
      </c>
      <c r="IW11">
        <v>6.5000000013000001</v>
      </c>
      <c r="IX11">
        <v>86.803519061599999</v>
      </c>
      <c r="IY11">
        <v>5.9000000001000004</v>
      </c>
      <c r="IZ11">
        <v>100.87976539589999</v>
      </c>
      <c r="JA11">
        <v>-30.770368485599999</v>
      </c>
      <c r="JB11">
        <v>0.31995943090000001</v>
      </c>
      <c r="JC11">
        <v>-3.1337280000000002E-4</v>
      </c>
      <c r="JD11">
        <v>6.483E-7</v>
      </c>
      <c r="JE11">
        <v>0.29385854160000002</v>
      </c>
      <c r="JF11">
        <v>0.17808137499999999</v>
      </c>
      <c r="JG11">
        <v>8.3421433700000006E-2</v>
      </c>
      <c r="JH11">
        <v>105.1826190533</v>
      </c>
      <c r="JI11">
        <v>3.6212273911000001</v>
      </c>
      <c r="JJ11">
        <v>2.8530022E-3</v>
      </c>
      <c r="JK11">
        <v>-6.9464100000000005E-5</v>
      </c>
      <c r="JL11">
        <v>3.4029978999999999</v>
      </c>
      <c r="JM11">
        <v>1.2631599518000001</v>
      </c>
      <c r="JN11">
        <v>0.51291627279999996</v>
      </c>
      <c r="JO11">
        <v>3.1542500001999998</v>
      </c>
      <c r="JP11">
        <v>2.5574999997000001</v>
      </c>
      <c r="JQ11">
        <v>3.8788749996999998</v>
      </c>
      <c r="JR11" s="17" t="s">
        <v>527</v>
      </c>
      <c r="JU11" s="17">
        <v>1</v>
      </c>
    </row>
    <row r="12" spans="1:281">
      <c r="A12" t="s">
        <v>692</v>
      </c>
      <c r="B12" t="s">
        <v>693</v>
      </c>
      <c r="C12" t="s">
        <v>694</v>
      </c>
      <c r="D12" t="s">
        <v>209</v>
      </c>
      <c r="E12">
        <v>3</v>
      </c>
      <c r="F12" t="s">
        <v>210</v>
      </c>
      <c r="G12" t="s">
        <v>211</v>
      </c>
      <c r="H12" t="s">
        <v>526</v>
      </c>
      <c r="I12" t="s">
        <v>532</v>
      </c>
      <c r="K12" t="s">
        <v>669</v>
      </c>
      <c r="L12" t="s">
        <v>670</v>
      </c>
      <c r="M12" t="s">
        <v>671</v>
      </c>
      <c r="N12" t="s">
        <v>672</v>
      </c>
      <c r="O12" t="s">
        <v>673</v>
      </c>
      <c r="P12">
        <v>0</v>
      </c>
      <c r="Q12">
        <v>0</v>
      </c>
      <c r="R12">
        <v>0.20000000039999999</v>
      </c>
      <c r="S12">
        <v>0</v>
      </c>
      <c r="T12">
        <v>0</v>
      </c>
      <c r="U12">
        <v>0.20000000039999999</v>
      </c>
      <c r="V12">
        <v>0</v>
      </c>
      <c r="W12">
        <v>0</v>
      </c>
      <c r="X12">
        <v>0.20000000039999999</v>
      </c>
      <c r="Y12">
        <v>0</v>
      </c>
      <c r="Z12">
        <v>0.40000000079999998</v>
      </c>
      <c r="AA12">
        <v>0.1000000011</v>
      </c>
      <c r="AB12">
        <v>0.3000000015</v>
      </c>
      <c r="AC12">
        <v>0.20000000039999999</v>
      </c>
      <c r="AD12">
        <v>0.1000000011</v>
      </c>
      <c r="AE12">
        <v>0.20000000039999999</v>
      </c>
      <c r="AF12">
        <v>0</v>
      </c>
      <c r="AG12">
        <v>0.20000000039999999</v>
      </c>
      <c r="AH12">
        <v>0.3000000015</v>
      </c>
      <c r="AI12">
        <v>0.20000000039999999</v>
      </c>
      <c r="AJ12">
        <v>2.5999999998000001</v>
      </c>
      <c r="AK12">
        <v>7.5000000015000001</v>
      </c>
      <c r="AL12">
        <v>14.200000001399999</v>
      </c>
      <c r="AM12">
        <v>21.500000000699998</v>
      </c>
      <c r="AN12">
        <v>29.100000001600002</v>
      </c>
      <c r="AO12">
        <v>37.200000000700001</v>
      </c>
      <c r="AP12">
        <v>44.5</v>
      </c>
      <c r="AQ12">
        <v>52.300000001199997</v>
      </c>
      <c r="AR12">
        <v>60.6000000007</v>
      </c>
      <c r="AS12">
        <v>68.300000000799997</v>
      </c>
      <c r="AT12">
        <v>76.900000000000006</v>
      </c>
      <c r="AU12">
        <v>85.300000000599994</v>
      </c>
      <c r="AV12">
        <v>93.400000001600006</v>
      </c>
      <c r="AW12">
        <v>101.6</v>
      </c>
      <c r="AX12">
        <v>111.0000000008</v>
      </c>
      <c r="AY12">
        <v>120.3999999998</v>
      </c>
      <c r="AZ12">
        <v>129.20000000120001</v>
      </c>
      <c r="BA12">
        <v>138.30000000050001</v>
      </c>
      <c r="BB12">
        <v>146.70000000109999</v>
      </c>
      <c r="BC12">
        <v>154.9000000014</v>
      </c>
      <c r="BD12">
        <v>163.9000000014</v>
      </c>
      <c r="BE12">
        <v>172.40000000129999</v>
      </c>
      <c r="BF12">
        <v>180.20000000069999</v>
      </c>
      <c r="BG12">
        <v>189.3</v>
      </c>
      <c r="BH12">
        <v>198.20000000069999</v>
      </c>
      <c r="BI12">
        <v>206.29999999980001</v>
      </c>
      <c r="BJ12">
        <v>214.80000000160001</v>
      </c>
      <c r="BK12">
        <v>223.3000000015</v>
      </c>
      <c r="BL12">
        <v>231.1000000009</v>
      </c>
      <c r="BM12">
        <v>239.40000000040001</v>
      </c>
      <c r="BN12">
        <v>247.9000000003</v>
      </c>
      <c r="BO12">
        <v>255.90000000009999</v>
      </c>
      <c r="BP12">
        <v>264.10000000029999</v>
      </c>
      <c r="BQ12">
        <v>272.10000000010001</v>
      </c>
      <c r="BR12">
        <v>279.50000000059998</v>
      </c>
      <c r="BS12">
        <v>287.50000000040001</v>
      </c>
      <c r="BT12">
        <v>295.40000000089998</v>
      </c>
      <c r="BU12">
        <v>303.5</v>
      </c>
      <c r="BV12">
        <v>310.7</v>
      </c>
      <c r="BW12">
        <v>318.10000000039997</v>
      </c>
      <c r="BX12">
        <v>325.50000000080001</v>
      </c>
      <c r="BY12">
        <v>332.40000000110001</v>
      </c>
      <c r="BZ12">
        <v>339.5</v>
      </c>
      <c r="CA12">
        <v>346.70000000009998</v>
      </c>
      <c r="CB12">
        <v>353.50000000109998</v>
      </c>
      <c r="CC12">
        <v>360.70000000110002</v>
      </c>
      <c r="CD12">
        <v>366.70000000049998</v>
      </c>
      <c r="CE12">
        <v>373.60000000079998</v>
      </c>
      <c r="CF12">
        <v>380.60000000039997</v>
      </c>
      <c r="CG12">
        <v>386.59999999979999</v>
      </c>
      <c r="CH12">
        <v>393</v>
      </c>
      <c r="CI12">
        <v>399.40000000020001</v>
      </c>
      <c r="CJ12">
        <v>405.6</v>
      </c>
      <c r="CK12">
        <v>411.90000000100002</v>
      </c>
      <c r="CL12">
        <v>417.1999999999</v>
      </c>
      <c r="CM12">
        <v>423.30000000040002</v>
      </c>
      <c r="CN12">
        <v>429.20000000049998</v>
      </c>
      <c r="CO12">
        <v>435.00000000130001</v>
      </c>
      <c r="CP12">
        <v>440.09999999979999</v>
      </c>
      <c r="CQ12">
        <v>444.10000000060001</v>
      </c>
      <c r="CR12">
        <v>445.80000000130002</v>
      </c>
      <c r="CS12">
        <v>445.80000000130002</v>
      </c>
      <c r="CT12">
        <v>445.70000000020002</v>
      </c>
      <c r="CU12">
        <v>445.70000000020002</v>
      </c>
      <c r="CV12">
        <v>445.60000000090002</v>
      </c>
      <c r="CW12">
        <v>445.99999999990001</v>
      </c>
      <c r="CX12">
        <v>445.90000000060002</v>
      </c>
      <c r="CY12">
        <v>445.99999999990001</v>
      </c>
      <c r="CZ12">
        <v>445.99999999990001</v>
      </c>
      <c r="DA12">
        <v>445.70000000020002</v>
      </c>
      <c r="DB12">
        <v>445.90000000060002</v>
      </c>
      <c r="DC12">
        <v>446.10000000100001</v>
      </c>
      <c r="DD12">
        <v>445.90000000060002</v>
      </c>
      <c r="DE12">
        <v>445.99999999990001</v>
      </c>
      <c r="DF12">
        <v>445.90000000060002</v>
      </c>
      <c r="DG12">
        <v>445.99999999990001</v>
      </c>
      <c r="DH12">
        <v>0.60000000119999997</v>
      </c>
      <c r="DI12">
        <v>0.7000000005</v>
      </c>
      <c r="DJ12">
        <v>0.7000000005</v>
      </c>
      <c r="DK12">
        <v>0.79999999980000003</v>
      </c>
      <c r="DL12">
        <v>0.90000000089999999</v>
      </c>
      <c r="DM12">
        <v>0.90000000089999999</v>
      </c>
      <c r="DN12">
        <v>0.90000000089999999</v>
      </c>
      <c r="DO12">
        <v>0.90000000089999999</v>
      </c>
      <c r="DP12">
        <v>0.79999999980000003</v>
      </c>
      <c r="DQ12">
        <v>0.90000000089999999</v>
      </c>
      <c r="DR12">
        <v>0.7000000005</v>
      </c>
      <c r="DS12">
        <v>0.79999999980000003</v>
      </c>
      <c r="DT12">
        <v>0.7000000005</v>
      </c>
      <c r="DU12">
        <v>0.7000000005</v>
      </c>
      <c r="DV12">
        <v>0.7000000005</v>
      </c>
      <c r="DW12">
        <v>0.7000000005</v>
      </c>
      <c r="DX12">
        <v>0.7000000005</v>
      </c>
      <c r="DY12">
        <v>0.79999999980000003</v>
      </c>
      <c r="DZ12">
        <v>4.2000000012000003</v>
      </c>
      <c r="EA12">
        <v>10.5000000003</v>
      </c>
      <c r="EB12">
        <v>17.499999999900002</v>
      </c>
      <c r="EC12">
        <v>25.1000000007</v>
      </c>
      <c r="ED12">
        <v>33.199999999900001</v>
      </c>
      <c r="EE12">
        <v>40.800000000700003</v>
      </c>
      <c r="EF12">
        <v>48.200000001100001</v>
      </c>
      <c r="EG12">
        <v>56.200000000899998</v>
      </c>
      <c r="EH12">
        <v>64.400000001099997</v>
      </c>
      <c r="EI12">
        <v>72.200000000499998</v>
      </c>
      <c r="EJ12">
        <v>80.700000000399996</v>
      </c>
      <c r="EK12">
        <v>89.200000000299994</v>
      </c>
      <c r="EL12">
        <v>97.300000001300006</v>
      </c>
      <c r="EM12">
        <v>105.8000000012</v>
      </c>
      <c r="EN12">
        <v>115.4999999999</v>
      </c>
      <c r="EO12">
        <v>124.4999999999</v>
      </c>
      <c r="EP12">
        <v>133.60000000100001</v>
      </c>
      <c r="EQ12">
        <v>142.49999999990001</v>
      </c>
      <c r="ER12">
        <v>150.7000000001</v>
      </c>
      <c r="ES12">
        <v>159.5000000016</v>
      </c>
      <c r="ET12">
        <v>168.6000000009</v>
      </c>
      <c r="EU12">
        <v>176.60000000069999</v>
      </c>
      <c r="EV12">
        <v>185.5000000014</v>
      </c>
      <c r="EW12">
        <v>194.4000000003</v>
      </c>
      <c r="EX12">
        <v>203.00000000130001</v>
      </c>
      <c r="EY12">
        <v>211.50000000130001</v>
      </c>
      <c r="EZ12">
        <v>220.20000000159999</v>
      </c>
      <c r="FA12">
        <v>228.10000000030001</v>
      </c>
      <c r="FB12">
        <v>236.89999999989999</v>
      </c>
      <c r="FC12">
        <v>245.20000000120001</v>
      </c>
      <c r="FD12">
        <v>253.80000000039999</v>
      </c>
      <c r="FE12">
        <v>261.90000000129999</v>
      </c>
      <c r="FF12">
        <v>270.00000000040001</v>
      </c>
      <c r="FG12">
        <v>278.10000000140002</v>
      </c>
      <c r="FH12">
        <v>285.90000000079999</v>
      </c>
      <c r="FI12">
        <v>294.20000000030001</v>
      </c>
      <c r="FJ12">
        <v>302.40000000049997</v>
      </c>
      <c r="FK12">
        <v>309.69999999980001</v>
      </c>
      <c r="FL12">
        <v>317.1000000002</v>
      </c>
      <c r="FM12">
        <v>324.80000000029997</v>
      </c>
      <c r="FN12">
        <v>331.90000000100002</v>
      </c>
      <c r="FO12">
        <v>339.20000000030001</v>
      </c>
      <c r="FP12">
        <v>346.50000000149998</v>
      </c>
      <c r="FQ12">
        <v>353.50000000109998</v>
      </c>
      <c r="FR12">
        <v>360.70000000110002</v>
      </c>
      <c r="FS12">
        <v>367.20000000060003</v>
      </c>
      <c r="FT12">
        <v>373.70000000009998</v>
      </c>
      <c r="FU12">
        <v>380.70000000149997</v>
      </c>
      <c r="FV12">
        <v>386.90000000129999</v>
      </c>
      <c r="FW12">
        <v>393.50000000009999</v>
      </c>
      <c r="FX12">
        <v>399.9000000003</v>
      </c>
      <c r="FY12">
        <v>406.0000000009</v>
      </c>
      <c r="FZ12">
        <v>412.3</v>
      </c>
      <c r="GA12">
        <v>418.00000000149998</v>
      </c>
      <c r="GB12">
        <v>423.70000000120001</v>
      </c>
      <c r="GC12">
        <v>429.40000000089998</v>
      </c>
      <c r="GD12">
        <v>434.90000000020001</v>
      </c>
      <c r="GE12">
        <v>439.9000000012</v>
      </c>
      <c r="GF12">
        <v>443.40000000010002</v>
      </c>
      <c r="GG12">
        <v>445.70000000020002</v>
      </c>
      <c r="GH12">
        <v>445.70000000020002</v>
      </c>
      <c r="GI12">
        <v>445.90000000060002</v>
      </c>
      <c r="GJ12">
        <v>445.80000000130002</v>
      </c>
      <c r="GK12">
        <v>445.80000000130002</v>
      </c>
      <c r="GL12">
        <v>445.90000000060002</v>
      </c>
      <c r="GM12">
        <v>445.70000000020002</v>
      </c>
      <c r="GN12">
        <v>445.80000000130002</v>
      </c>
      <c r="GO12">
        <v>445.90000000060002</v>
      </c>
      <c r="GP12">
        <v>445.80000000130002</v>
      </c>
      <c r="GQ12">
        <v>445.99999999990001</v>
      </c>
      <c r="GR12">
        <v>445.90000000060002</v>
      </c>
      <c r="GS12">
        <v>446.10000000100001</v>
      </c>
      <c r="GT12">
        <v>445.99999999990001</v>
      </c>
      <c r="GU12">
        <v>445.99999999990001</v>
      </c>
      <c r="GV12">
        <v>446.10000000100001</v>
      </c>
      <c r="GW12">
        <v>445.70000000020002</v>
      </c>
      <c r="GX12">
        <v>1</v>
      </c>
      <c r="GY12">
        <v>113.1999999998</v>
      </c>
      <c r="GZ12">
        <v>111.0000000008</v>
      </c>
      <c r="HA12">
        <v>111.0000000008</v>
      </c>
      <c r="HB12">
        <v>115.4999999999</v>
      </c>
      <c r="HC12">
        <v>112.1424008076</v>
      </c>
      <c r="HD12">
        <v>-4.4999999990999999</v>
      </c>
      <c r="HE12">
        <v>445.70016812400002</v>
      </c>
      <c r="HF12">
        <v>305.43165209680001</v>
      </c>
      <c r="HG12">
        <v>90.454371217000002</v>
      </c>
      <c r="HH12">
        <v>446.10000000100001</v>
      </c>
      <c r="HI12">
        <v>446.10000000100001</v>
      </c>
      <c r="HJ12">
        <v>446.10000000100001</v>
      </c>
      <c r="HK12">
        <v>446.10000000100001</v>
      </c>
      <c r="HL12">
        <v>105.57184750730001</v>
      </c>
      <c r="HM12">
        <v>3.4664006214</v>
      </c>
      <c r="HN12">
        <v>3.3941061481000001</v>
      </c>
      <c r="HO12">
        <v>3.4600776244000002</v>
      </c>
      <c r="HP12">
        <v>3.4352958400000002</v>
      </c>
      <c r="HQ12">
        <v>3.6874528762000001</v>
      </c>
      <c r="HR12">
        <v>2.3793670601999999</v>
      </c>
      <c r="HS12">
        <v>21.688029590500001</v>
      </c>
      <c r="HT12">
        <v>-25.806451612899998</v>
      </c>
      <c r="HU12">
        <v>-176</v>
      </c>
      <c r="HV12">
        <v>417.57405290439999</v>
      </c>
      <c r="HW12">
        <v>91.495601172999997</v>
      </c>
      <c r="HX12">
        <v>624</v>
      </c>
      <c r="HY12">
        <v>21.688029590500001</v>
      </c>
      <c r="HZ12">
        <v>-25.806451612899998</v>
      </c>
      <c r="IA12">
        <v>-176</v>
      </c>
      <c r="IB12">
        <v>417.57405290439999</v>
      </c>
      <c r="IC12">
        <v>91.495601172999997</v>
      </c>
      <c r="ID12">
        <v>624</v>
      </c>
      <c r="IE12">
        <v>28.525947096599999</v>
      </c>
      <c r="IF12">
        <v>0.20067249540000001</v>
      </c>
      <c r="IG12">
        <v>-35.190615835800003</v>
      </c>
      <c r="IH12">
        <v>-240</v>
      </c>
      <c r="II12">
        <v>439.80498767210003</v>
      </c>
      <c r="IJ12">
        <v>100.87976539589999</v>
      </c>
      <c r="IK12">
        <v>688</v>
      </c>
      <c r="IL12">
        <v>395.88602331390001</v>
      </c>
      <c r="IM12">
        <v>117.3020527859</v>
      </c>
      <c r="IN12">
        <v>421.5694126871</v>
      </c>
      <c r="IO12">
        <v>126.6862170088</v>
      </c>
      <c r="IP12">
        <v>7.2999999992999998</v>
      </c>
      <c r="IQ12">
        <v>5.9000000001000004</v>
      </c>
      <c r="IR12">
        <v>9.6999999986999992</v>
      </c>
      <c r="IS12">
        <v>5.8392467182000001</v>
      </c>
      <c r="IT12">
        <v>5.8392467182000001</v>
      </c>
      <c r="IU12">
        <v>3.2999999985000001</v>
      </c>
      <c r="IV12">
        <v>-28.152492668600001</v>
      </c>
      <c r="IW12">
        <v>7.2</v>
      </c>
      <c r="IX12">
        <v>70.381231671600005</v>
      </c>
      <c r="IY12">
        <v>6.1000000004999997</v>
      </c>
      <c r="IZ12">
        <v>96.187683284499997</v>
      </c>
      <c r="JA12">
        <v>-32.279022297099999</v>
      </c>
      <c r="JB12">
        <v>0.31179035109999997</v>
      </c>
      <c r="JC12">
        <v>-2.8371910000000002E-4</v>
      </c>
      <c r="JD12">
        <v>5.9009999999999997E-7</v>
      </c>
      <c r="JE12">
        <v>0.2884836778</v>
      </c>
      <c r="JF12">
        <v>0.29902353720000002</v>
      </c>
      <c r="JG12">
        <v>0.1141752481</v>
      </c>
      <c r="JH12">
        <v>112.84216453019999</v>
      </c>
      <c r="JI12">
        <v>3.6874528762000001</v>
      </c>
      <c r="JJ12">
        <v>2.2380854E-3</v>
      </c>
      <c r="JK12">
        <v>-6.8392600000000007E-5</v>
      </c>
      <c r="JL12">
        <v>3.4664006214</v>
      </c>
      <c r="JM12">
        <v>1.6281218443000001</v>
      </c>
      <c r="JN12">
        <v>0.61389829409999996</v>
      </c>
      <c r="JO12">
        <v>3.1116249997000001</v>
      </c>
      <c r="JP12">
        <v>2.514875</v>
      </c>
      <c r="JQ12">
        <v>4.1346249993999997</v>
      </c>
      <c r="JR12" s="17" t="s">
        <v>527</v>
      </c>
      <c r="JU12" s="17">
        <v>1</v>
      </c>
    </row>
    <row r="13" spans="1:281">
      <c r="A13" t="s">
        <v>707</v>
      </c>
      <c r="B13" t="s">
        <v>708</v>
      </c>
      <c r="C13" t="s">
        <v>709</v>
      </c>
      <c r="D13" t="s">
        <v>209</v>
      </c>
      <c r="E13">
        <v>3</v>
      </c>
      <c r="F13" t="s">
        <v>210</v>
      </c>
      <c r="G13" t="s">
        <v>211</v>
      </c>
      <c r="H13" t="s">
        <v>526</v>
      </c>
      <c r="I13" t="s">
        <v>532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7.2</v>
      </c>
      <c r="S13">
        <v>3.1999999992000001</v>
      </c>
      <c r="T13">
        <v>3.2999999985000001</v>
      </c>
      <c r="U13">
        <v>2.4999999986999999</v>
      </c>
      <c r="V13">
        <v>2.9999999987999999</v>
      </c>
      <c r="W13">
        <v>2.3000000000999998</v>
      </c>
      <c r="X13">
        <v>2.0999999997000001</v>
      </c>
      <c r="Y13">
        <v>2.3000000000999998</v>
      </c>
      <c r="Z13">
        <v>1.8</v>
      </c>
      <c r="AA13">
        <v>1.8</v>
      </c>
      <c r="AB13">
        <v>1.3999999992000001</v>
      </c>
      <c r="AC13">
        <v>1.1999999988000001</v>
      </c>
      <c r="AD13">
        <v>0.99999999839999998</v>
      </c>
      <c r="AE13">
        <v>0.50000000010000001</v>
      </c>
      <c r="AF13">
        <v>0.39999999899999999</v>
      </c>
      <c r="AG13">
        <v>0.29999999970000002</v>
      </c>
      <c r="AH13">
        <v>0</v>
      </c>
      <c r="AI13">
        <v>0</v>
      </c>
      <c r="AJ13">
        <v>3.2999999985000001</v>
      </c>
      <c r="AK13">
        <v>10.4999999985</v>
      </c>
      <c r="AL13">
        <v>17.599999999200001</v>
      </c>
      <c r="AM13">
        <v>24.299999999099999</v>
      </c>
      <c r="AN13">
        <v>32.099999998500003</v>
      </c>
      <c r="AO13">
        <v>39.199999999299997</v>
      </c>
      <c r="AP13">
        <v>47.099999999799998</v>
      </c>
      <c r="AQ13">
        <v>54.799999999900002</v>
      </c>
      <c r="AR13">
        <v>63.299999999800001</v>
      </c>
      <c r="AS13">
        <v>70.899999998799998</v>
      </c>
      <c r="AT13">
        <v>78.899999998599995</v>
      </c>
      <c r="AU13">
        <v>86.899999998400006</v>
      </c>
      <c r="AV13">
        <v>94.900000000099993</v>
      </c>
      <c r="AW13">
        <v>103.5999999986</v>
      </c>
      <c r="AX13">
        <v>111.9999999992</v>
      </c>
      <c r="AY13">
        <v>120.9999999992</v>
      </c>
      <c r="AZ13">
        <v>129.2999999987</v>
      </c>
      <c r="BA13">
        <v>137.49999999889999</v>
      </c>
      <c r="BB13">
        <v>145.89999999950001</v>
      </c>
      <c r="BC13">
        <v>154.39999999939999</v>
      </c>
      <c r="BD13">
        <v>163.09999999979999</v>
      </c>
      <c r="BE13">
        <v>172.09999999979999</v>
      </c>
      <c r="BF13">
        <v>180.19999999890001</v>
      </c>
      <c r="BG13">
        <v>188.4999999984</v>
      </c>
      <c r="BH13">
        <v>197.3999999991</v>
      </c>
      <c r="BI13">
        <v>205.09999999920001</v>
      </c>
      <c r="BJ13">
        <v>214.09999999920001</v>
      </c>
      <c r="BK13">
        <v>222.2999999994</v>
      </c>
      <c r="BL13">
        <v>230.49999999970001</v>
      </c>
      <c r="BM13">
        <v>238.7999999992</v>
      </c>
      <c r="BN13">
        <v>246.4</v>
      </c>
      <c r="BO13">
        <v>254.69999999949999</v>
      </c>
      <c r="BP13">
        <v>262.79999999860001</v>
      </c>
      <c r="BQ13">
        <v>270.89999999949998</v>
      </c>
      <c r="BR13">
        <v>278.9999999986</v>
      </c>
      <c r="BS13">
        <v>286.49999999829998</v>
      </c>
      <c r="BT13">
        <v>294.1999999985</v>
      </c>
      <c r="BU13">
        <v>301.59999999889999</v>
      </c>
      <c r="BV13">
        <v>308.99999999929997</v>
      </c>
      <c r="BW13">
        <v>316.49999999900001</v>
      </c>
      <c r="BX13">
        <v>323.8000000001</v>
      </c>
      <c r="BY13">
        <v>331.09999999939998</v>
      </c>
      <c r="BZ13">
        <v>338.09999999899998</v>
      </c>
      <c r="CA13">
        <v>345.19999999970003</v>
      </c>
      <c r="CB13">
        <v>351.69999999930002</v>
      </c>
      <c r="CC13">
        <v>358.49999999850002</v>
      </c>
      <c r="CD13">
        <v>364.89999999870003</v>
      </c>
      <c r="CE13">
        <v>371.59999999860003</v>
      </c>
      <c r="CF13">
        <v>378.09999999989998</v>
      </c>
      <c r="CG13">
        <v>384.79999999979998</v>
      </c>
      <c r="CH13">
        <v>390.7999999992</v>
      </c>
      <c r="CI13">
        <v>396.99999999900001</v>
      </c>
      <c r="CJ13">
        <v>402.79999999979998</v>
      </c>
      <c r="CK13">
        <v>408.7999999992</v>
      </c>
      <c r="CL13">
        <v>414.49999999900001</v>
      </c>
      <c r="CM13">
        <v>420.49999999840003</v>
      </c>
      <c r="CN13">
        <v>425.89999999840001</v>
      </c>
      <c r="CO13">
        <v>431.89999999960003</v>
      </c>
      <c r="CP13">
        <v>437.5999999993</v>
      </c>
      <c r="CQ13">
        <v>442.59999999849998</v>
      </c>
      <c r="CR13">
        <v>448.09999999960002</v>
      </c>
      <c r="CS13">
        <v>455.3999999989</v>
      </c>
      <c r="CT13">
        <v>460.29999999879999</v>
      </c>
      <c r="CU13">
        <v>462.99999999969998</v>
      </c>
      <c r="CV13">
        <v>463.09999999899998</v>
      </c>
      <c r="CW13">
        <v>463.09999999899998</v>
      </c>
      <c r="CX13">
        <v>463.20000000009998</v>
      </c>
      <c r="CY13">
        <v>463.09999999899998</v>
      </c>
      <c r="CZ13">
        <v>463.20000000009998</v>
      </c>
      <c r="DA13">
        <v>463.09999999899998</v>
      </c>
      <c r="DB13">
        <v>463.09999999899998</v>
      </c>
      <c r="DC13">
        <v>463.29999999939997</v>
      </c>
      <c r="DD13">
        <v>463.39999999870003</v>
      </c>
      <c r="DE13">
        <v>463.09999999899998</v>
      </c>
      <c r="DF13">
        <v>462.99999999969998</v>
      </c>
      <c r="DG13">
        <v>463.20000000009998</v>
      </c>
      <c r="DH13">
        <v>7.7999999993999998</v>
      </c>
      <c r="DI13">
        <v>3.6999999993000001</v>
      </c>
      <c r="DJ13">
        <v>3.4999999988999999</v>
      </c>
      <c r="DK13">
        <v>3.4999999988999999</v>
      </c>
      <c r="DL13">
        <v>3.2999999985000001</v>
      </c>
      <c r="DM13">
        <v>3.1999999992000001</v>
      </c>
      <c r="DN13">
        <v>3.0999999999000001</v>
      </c>
      <c r="DO13">
        <v>2.8999999994999999</v>
      </c>
      <c r="DP13">
        <v>2.4999999986999999</v>
      </c>
      <c r="DQ13">
        <v>2.3999999993999999</v>
      </c>
      <c r="DR13">
        <v>2.1999999990000001</v>
      </c>
      <c r="DS13">
        <v>2.1999999990000001</v>
      </c>
      <c r="DT13">
        <v>1.8</v>
      </c>
      <c r="DU13">
        <v>1.5999999996000001</v>
      </c>
      <c r="DV13">
        <v>1.3999999992000001</v>
      </c>
      <c r="DW13">
        <v>1.3999999992000001</v>
      </c>
      <c r="DX13">
        <v>1.1999999988000001</v>
      </c>
      <c r="DY13">
        <v>0.99999999839999998</v>
      </c>
      <c r="DZ13">
        <v>8.1999999983999992</v>
      </c>
      <c r="EA13">
        <v>15.299999999100001</v>
      </c>
      <c r="EB13">
        <v>22.299999998699999</v>
      </c>
      <c r="EC13">
        <v>29.699999999100001</v>
      </c>
      <c r="ED13">
        <v>37.099999999600001</v>
      </c>
      <c r="EE13">
        <v>44.799999999699999</v>
      </c>
      <c r="EF13">
        <v>53.099999999200001</v>
      </c>
      <c r="EG13">
        <v>60.999999999700002</v>
      </c>
      <c r="EH13">
        <v>68.899999998400006</v>
      </c>
      <c r="EI13">
        <v>76.699999999599996</v>
      </c>
      <c r="EJ13">
        <v>84.899999999800002</v>
      </c>
      <c r="EK13">
        <v>92.599999999900007</v>
      </c>
      <c r="EL13">
        <v>101.09999999990001</v>
      </c>
      <c r="EM13">
        <v>109.8999999995</v>
      </c>
      <c r="EN13">
        <v>118.8999999995</v>
      </c>
      <c r="EO13">
        <v>126.9999999986</v>
      </c>
      <c r="EP13">
        <v>135.1999999988</v>
      </c>
      <c r="EQ13">
        <v>143.8999999991</v>
      </c>
      <c r="ER13">
        <v>152</v>
      </c>
      <c r="ES13">
        <v>161.09999999940001</v>
      </c>
      <c r="ET13">
        <v>169.69999999859999</v>
      </c>
      <c r="EU13">
        <v>178.2999999996</v>
      </c>
      <c r="EV13">
        <v>186.3999999987</v>
      </c>
      <c r="EW13">
        <v>195.099999999</v>
      </c>
      <c r="EX13">
        <v>203.2999999992</v>
      </c>
      <c r="EY13">
        <v>211.89999999840001</v>
      </c>
      <c r="EZ13">
        <v>220.29999999899999</v>
      </c>
      <c r="FA13">
        <v>228.90000000009999</v>
      </c>
      <c r="FB13">
        <v>237.09999999850001</v>
      </c>
      <c r="FC13">
        <v>245.19999999940001</v>
      </c>
      <c r="FD13">
        <v>253.49999999889999</v>
      </c>
      <c r="FE13">
        <v>261.69999999909999</v>
      </c>
      <c r="FF13">
        <v>269.89999999930001</v>
      </c>
      <c r="FG13">
        <v>278.19999999880002</v>
      </c>
      <c r="FH13">
        <v>285.79999999969999</v>
      </c>
      <c r="FI13">
        <v>293.49999999980002</v>
      </c>
      <c r="FJ13">
        <v>300.89999999840001</v>
      </c>
      <c r="FK13">
        <v>308.39999999989999</v>
      </c>
      <c r="FL13">
        <v>316.10000000000002</v>
      </c>
      <c r="FM13">
        <v>323.39999999930001</v>
      </c>
      <c r="FN13">
        <v>330.69999999859999</v>
      </c>
      <c r="FO13">
        <v>337.99999999969998</v>
      </c>
      <c r="FP13">
        <v>344.99999999929997</v>
      </c>
      <c r="FQ13">
        <v>351.69999999930002</v>
      </c>
      <c r="FR13">
        <v>358.69999999890001</v>
      </c>
      <c r="FS13">
        <v>365.39999999880001</v>
      </c>
      <c r="FT13">
        <v>371.90000000010002</v>
      </c>
      <c r="FU13">
        <v>378.6</v>
      </c>
      <c r="FV13">
        <v>384.99999999840003</v>
      </c>
      <c r="FW13">
        <v>391.29999999929998</v>
      </c>
      <c r="FX13">
        <v>397.2999999987</v>
      </c>
      <c r="FY13">
        <v>403.19999999880002</v>
      </c>
      <c r="FZ13">
        <v>409.39999999859998</v>
      </c>
      <c r="GA13">
        <v>414.8999999998</v>
      </c>
      <c r="GB13">
        <v>420.99999999850002</v>
      </c>
      <c r="GC13">
        <v>426.59999999889999</v>
      </c>
      <c r="GD13">
        <v>431.89999999960003</v>
      </c>
      <c r="GE13">
        <v>437.69999999859999</v>
      </c>
      <c r="GF13">
        <v>442.69999999959998</v>
      </c>
      <c r="GG13">
        <v>447.89999999920002</v>
      </c>
      <c r="GH13">
        <v>454.59999999910002</v>
      </c>
      <c r="GI13">
        <v>459.39999999970001</v>
      </c>
      <c r="GJ13">
        <v>462.39999999849999</v>
      </c>
      <c r="GK13">
        <v>462.79999999929998</v>
      </c>
      <c r="GL13">
        <v>462.79999999929998</v>
      </c>
      <c r="GM13">
        <v>462.99999999969998</v>
      </c>
      <c r="GN13">
        <v>462.89999999859998</v>
      </c>
      <c r="GO13">
        <v>462.89999999859998</v>
      </c>
      <c r="GP13">
        <v>462.89999999859998</v>
      </c>
      <c r="GQ13">
        <v>462.99999999969998</v>
      </c>
      <c r="GR13">
        <v>462.99999999969998</v>
      </c>
      <c r="GS13">
        <v>463.09999999899998</v>
      </c>
      <c r="GT13">
        <v>463.20000000009998</v>
      </c>
      <c r="GU13">
        <v>463.09999999899998</v>
      </c>
      <c r="GV13">
        <v>463.09999999899998</v>
      </c>
      <c r="GW13">
        <v>462.89999999859998</v>
      </c>
      <c r="GX13">
        <v>1</v>
      </c>
      <c r="GY13">
        <v>107.5999999994</v>
      </c>
      <c r="GZ13">
        <v>111.9999999992</v>
      </c>
      <c r="HA13">
        <v>111.9999999992</v>
      </c>
      <c r="HB13">
        <v>118.8999999995</v>
      </c>
      <c r="HC13">
        <v>113.71941506509999</v>
      </c>
      <c r="HD13">
        <v>-6.9000000003000004</v>
      </c>
      <c r="HE13">
        <v>462.9001618808</v>
      </c>
      <c r="HF13">
        <v>323.6237966754</v>
      </c>
      <c r="HG13">
        <v>95.917030002199994</v>
      </c>
      <c r="HH13">
        <v>463.39999999870003</v>
      </c>
      <c r="HI13">
        <v>463.20000000009998</v>
      </c>
      <c r="HJ13">
        <v>463.39999999870003</v>
      </c>
      <c r="HK13">
        <v>463.20000000009998</v>
      </c>
      <c r="HL13">
        <v>112.6099706745</v>
      </c>
      <c r="HM13">
        <v>3.3566041265000002</v>
      </c>
      <c r="HN13">
        <v>3.2944030334000001</v>
      </c>
      <c r="HO13">
        <v>3.3205339156</v>
      </c>
      <c r="HP13">
        <v>3.3069675184</v>
      </c>
      <c r="HQ13">
        <v>3.6101279113000002</v>
      </c>
      <c r="HR13">
        <v>2.0792141010999998</v>
      </c>
      <c r="HS13">
        <v>17.802385062900001</v>
      </c>
      <c r="HT13">
        <v>-28.152492668600001</v>
      </c>
      <c r="HU13">
        <v>-192</v>
      </c>
      <c r="HV13">
        <v>437.34321174050001</v>
      </c>
      <c r="HW13">
        <v>100.87976539589999</v>
      </c>
      <c r="HX13">
        <v>688</v>
      </c>
      <c r="HY13">
        <v>17.802385062900001</v>
      </c>
      <c r="HZ13">
        <v>-28.152492668600001</v>
      </c>
      <c r="IA13">
        <v>-192</v>
      </c>
      <c r="IB13">
        <v>437.34321174050001</v>
      </c>
      <c r="IC13">
        <v>100.87976539589999</v>
      </c>
      <c r="ID13">
        <v>688</v>
      </c>
      <c r="IE13">
        <v>25.856788259599998</v>
      </c>
      <c r="IF13">
        <v>1.5540686E-3</v>
      </c>
      <c r="IG13">
        <v>-37.536656891500002</v>
      </c>
      <c r="IH13">
        <v>-256</v>
      </c>
      <c r="II13">
        <v>459.3490610833</v>
      </c>
      <c r="IJ13">
        <v>110.26392961880001</v>
      </c>
      <c r="IK13">
        <v>752</v>
      </c>
      <c r="IL13">
        <v>419.54082667760002</v>
      </c>
      <c r="IM13">
        <v>129.03225806450001</v>
      </c>
      <c r="IN13">
        <v>444.33270019499997</v>
      </c>
      <c r="IO13">
        <v>138.4164222874</v>
      </c>
      <c r="IP13">
        <v>7.2</v>
      </c>
      <c r="IQ13">
        <v>7.2999999992999998</v>
      </c>
      <c r="IR13">
        <v>9.0999999992999996</v>
      </c>
      <c r="IS13">
        <v>7.2080303790000002</v>
      </c>
      <c r="IT13">
        <v>7.2080303790000002</v>
      </c>
      <c r="IU13">
        <v>4.8999999999000003</v>
      </c>
      <c r="IV13">
        <v>-32.844574780099997</v>
      </c>
      <c r="IW13">
        <v>7.2999999992999998</v>
      </c>
      <c r="IX13">
        <v>44.5747800587</v>
      </c>
      <c r="IY13">
        <v>6.4999999995</v>
      </c>
      <c r="IZ13">
        <v>107.91788856300001</v>
      </c>
      <c r="JA13">
        <v>-33.755668271899999</v>
      </c>
      <c r="JB13">
        <v>0.32778640170000001</v>
      </c>
      <c r="JC13">
        <v>-3.444268E-4</v>
      </c>
      <c r="JD13">
        <v>6.8230000000000001E-7</v>
      </c>
      <c r="JE13">
        <v>0.29792014859999999</v>
      </c>
      <c r="JF13">
        <v>0.18174507170000001</v>
      </c>
      <c r="JG13">
        <v>7.7893128699999994E-2</v>
      </c>
      <c r="JH13">
        <v>114.28132791660001</v>
      </c>
      <c r="JI13">
        <v>3.6101279113000002</v>
      </c>
      <c r="JJ13">
        <v>2.5539853E-3</v>
      </c>
      <c r="JK13">
        <v>-6.7022399999999997E-5</v>
      </c>
      <c r="JL13">
        <v>3.3566041265000002</v>
      </c>
      <c r="JM13">
        <v>1.688698649</v>
      </c>
      <c r="JN13">
        <v>0.61706927359999997</v>
      </c>
      <c r="JO13">
        <v>3.069</v>
      </c>
      <c r="JP13">
        <v>3.1116249997000001</v>
      </c>
      <c r="JQ13">
        <v>3.8788749996999998</v>
      </c>
      <c r="JR13" s="17" t="s">
        <v>527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79.024249933500002</v>
      </c>
      <c r="D16" s="9">
        <f>AVERAGE(C18:C20)</f>
        <v>75.336030311466672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73.311074659300004</v>
      </c>
      <c r="D17" s="9">
        <f>AVERAGE(C21:C23)</f>
        <v>74.389594794566662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74.478606928999994</v>
      </c>
      <c r="D18" s="11">
        <f>AVERAGE(C24:C26)</f>
        <v>74.831653628633333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83.212617820199995</v>
      </c>
      <c r="D19" s="6">
        <f>AVERAGE('Summary(3pcs)'!E35:E36)</f>
        <v>141.68045471253791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68.316866185199999</v>
      </c>
      <c r="D20" s="9">
        <f>AVERAGE('Summary(3pcs)'!E37:E39)</f>
        <v>142.81772477190461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74.813987873399995</v>
      </c>
      <c r="D21" s="9">
        <f>AVERAGE('Summary(3pcs)'!E40:E42)</f>
        <v>145.63751227897129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70.964053568699995</v>
      </c>
      <c r="D22" s="11">
        <f>AVERAGE('Summary(3pcs)'!E43:E45)</f>
        <v>145.69659238483788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77.390742941599996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79.158855467699993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74.000009988000002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71.336095430200004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0.80825859909999997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0.7038872021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2.9726312476999999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7.8071410094999996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7.7927466057999997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-8.0705877156000003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-3.6256823559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0.14868431530000001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3.0729795146000001</v>
      </c>
      <c r="C39" s="5">
        <f>'Summary(3pcs)'!M35</f>
        <v>0.80825859909999997</v>
      </c>
      <c r="D39" s="11">
        <f t="shared" si="0"/>
        <v>3.4920483794999999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0.7038872021</v>
      </c>
      <c r="D40" s="6">
        <f t="shared" si="0"/>
        <v>-8.3664085189000001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2.9726312476999999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7.8071410094999996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-0.93870978760000012</v>
      </c>
      <c r="C43" s="8">
        <f>'Summary(3pcs)'!M40</f>
        <v>7.7927466057999997</v>
      </c>
      <c r="D43" s="6">
        <f t="shared" ref="D43:D54" si="2">C55</f>
        <v>1.3760600373999998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-8.0705877156000003</v>
      </c>
      <c r="D44" s="9">
        <f t="shared" si="2"/>
        <v>-0.73749528449999957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-3.6256823559</v>
      </c>
      <c r="D45" s="11">
        <f t="shared" si="2"/>
        <v>6.4726886138999999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0.14868431530000001</v>
      </c>
      <c r="D46" s="6">
        <f t="shared" si="2"/>
        <v>-3.6199998333999996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3.4920483794999999</v>
      </c>
      <c r="D47" s="9">
        <f t="shared" si="2"/>
        <v>0.43847760659999979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-8.3664085189000001</v>
      </c>
      <c r="D48" s="11">
        <f t="shared" si="2"/>
        <v>11.112644641900001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4.4899706299999842E-2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5.6913853836000001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0.34829104210000006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-2.9594083365000001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0.87281338335000003</v>
      </c>
      <c r="C55" s="5">
        <f>'Summary(3pcs)'!N35</f>
        <v>1.3760600373999998</v>
      </c>
      <c r="D55" s="6">
        <f>AVERAGE(D31:D33)</f>
        <v>1.4949256829666666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-0.73749528449999957</v>
      </c>
      <c r="D56" s="9">
        <f>AVERAGE(D34:D36)</f>
        <v>2.5097666332333328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6.4726886138999999</v>
      </c>
      <c r="D57" s="9">
        <f>AVERAGE(D37:D39)</f>
        <v>5.016779633333357E-3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-3.6199998333999996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4.3218518346000003</v>
      </c>
      <c r="C59" s="8">
        <f>'Summary(3pcs)'!N40</f>
        <v>0.43847760659999979</v>
      </c>
      <c r="D59" s="9">
        <f>AVERAGE(D43:D45)</f>
        <v>2.3704177889333331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11.112644641900001</v>
      </c>
      <c r="D60" s="9">
        <f>AVERAGE(D46:D48)</f>
        <v>2.6437074717000004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4.4899706299999842E-2</v>
      </c>
      <c r="D61" s="9">
        <f>AVERAGE(D49:D51)</f>
        <v>2.0281920440000003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5.6913853836000001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0.34829104210000006</v>
      </c>
      <c r="D63" s="6">
        <f>AVERAGE(C71:C73)</f>
        <v>5.1186167399000002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-2.9594083365000001</v>
      </c>
      <c r="D64" s="9">
        <f>AVERAGE(C74:C76)</f>
        <v>10.378189563766666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2.3862878481666665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4.5155197779333331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0.95718924203333344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-2.1931206186666667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-0.68156345686666653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-0.72473768393333327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7.5498027802000003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-0.3020267486999999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8.1080741881999998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4.371260166199999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11.229794502300001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15.533514022799999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0.71373271939999938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7.2405986785999996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-0.79546785349999993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1.1258859634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7.4609823226999996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4.9596910476999998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2.7403211593999997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-1.3427152633999999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1.4739618301000004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0.30766344069999985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-3.0804949999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-3.8065302968000001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-0.3090684414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0.14081096650000013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-1.8764328957</v>
      </c>
    </row>
    <row r="96" spans="1:7">
      <c r="A96" s="1" t="s">
        <v>87</v>
      </c>
      <c r="C96" s="5">
        <f>'Summary(3pcs)'!W44</f>
        <v>-3.100753665</v>
      </c>
    </row>
    <row r="97" spans="1:3">
      <c r="A97" s="1" t="s">
        <v>87</v>
      </c>
      <c r="C97" s="8">
        <f>'Summary(3pcs)'!W45</f>
        <v>-0.93273138999999983</v>
      </c>
    </row>
    <row r="98" spans="1:3" ht="17.25" thickBot="1">
      <c r="A98" s="1" t="s">
        <v>87</v>
      </c>
      <c r="C98" s="10">
        <f>'Summary(3pcs)'!W46</f>
        <v>1.8592720032000001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2022-09-23T14:42:28Z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