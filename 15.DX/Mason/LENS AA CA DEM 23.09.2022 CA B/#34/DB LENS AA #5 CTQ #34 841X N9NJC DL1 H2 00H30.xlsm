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<sst xmlns="http://schemas.openxmlformats.org/spreadsheetml/2006/main" count="906" uniqueCount="563">
  <si>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</si>
  <si>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</si>
  <si>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</si>
  <si>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</si>
  <si>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</si>
  <si>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</si>
  <si>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</si>
  <si>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</si>
  <si>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</si>
  <si>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</si>
  <si>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</si>
  <si>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</si>
  <si>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</si>
  <si>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</si>
  <si>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</si>
  <si>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</si>
  <si>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</si>
  <si>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</si>
  <si>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</si>
  <si>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</si>
  <si>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</si>
  <si>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</si>
  <si>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</si>
  <si>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</si>
  <si>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</si>
  <si>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</si>
  <si>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</si>
  <si>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</si>
  <si>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</si>
  <si>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</si>
  <si>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</si>
  <si>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</si>
  <si>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</si>
  <si>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</si>
  <si>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</si>
  <si>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</si>
  <si>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</si>
  <si>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</si>
  <si>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</si>
  <si>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</si>
  <si>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</si>
  <si>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</si>
  <si>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</si>
  <si>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</si>
  <si>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</si>
  <si>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</si>
  <si>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</si>
  <si>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</si>
  <si>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</si>
  <si>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</si>
  <si>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</si>
  <si>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</si>
  <si>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</si>
  <si>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</si>
  <si>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</si>
  <si>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</si>
  <si>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</si>
  <si>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</si>
  <si>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</si>
  <si>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</si>
  <si>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</si>
  <si>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</si>
  <si>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</si>
  <si>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</si>
  <si>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</si>
  <si>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</si>
  <si>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</si>
  <si>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</si>
  <si>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</si>
  <si>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</si>
  <si>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</si>
  <si>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</si>
  <si>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</si>
  <si>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</si>
  <si>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</si>
  <si>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</si>
  <si>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</si>
  <si>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</si>
  <si>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</si>
  <si>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</si>
  <si>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</si>
  <si>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</si>
  <si>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</si>
  <si>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</si>
  <si>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</si>
  <si>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</si>
  <si>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</si>
  <si>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</si>
  <si>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</si>
  <si>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</si>
  <si>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</si>
  <si>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</si>
  <si>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</si>
  <si>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</si>
  <si>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</si>
  <si>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</si>
  <si>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</si>
  <si>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</si>
  <si>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</si>
  <si>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</si>
  <si>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</si>
  <si>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</si>
  <si>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</si>
  <si>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</si>
  <si>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</si>
  <si>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</si>
  <si>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</si>
  <si>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</si>
  <si>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</si>
  <si>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</si>
  <si>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</si>
  <si>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</si>
  <si>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</si>
  <si>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</si>
  <si>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</si>
  <si>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</si>
  <si>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</si>
  <si>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</si>
  <si>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</si>
  <si>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</si>
  <si>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</si>
  <si>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</si>
  <si>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</si>
  <si>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</si>
  <si>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</si>
  <si>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</si>
  <si>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</si>
  <si>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</si>
  <si>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</si>
  <si>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</si>
  <si>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</si>
  <si>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</si>
  <si>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</si>
  <si>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</si>
  <si>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</si>
  <si>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</si>
  <si>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</si>
  <si>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</si>
  <si>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</si>
  <si>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</si>
  <si>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</si>
  <si>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</si>
  <si>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</si>
  <si>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</si>
  <si>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</si>
  <si>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</si>
  <si>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</si>
  <si>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</si>
  <si>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</si>
  <si>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</si>
  <si>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</si>
  <si>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</si>
  <si>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</si>
  <si>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</si>
  <si>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</si>
  <si>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</si>
  <si>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</si>
  <si>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</si>
  <si>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</si>
  <si>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</si>
  <si>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</si>
  <si>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</si>
  <si>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</si>
  <si>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</si>
  <si>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</si>
  <si>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</si>
  <si>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</si>
  <si>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</si>
  <si>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</si>
  <si>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</si>
  <si>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</si>
  <si>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</si>
  <si>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</si>
  <si>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D:\EVMS\TP\LOG\VSY841XN9NJC_2022092311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</si>
  <si>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</si>
  <si>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</si>
  <si>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</si>
  <si>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</si>
  <si>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</si>
  <si>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</si>
  <si>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</si>
  <si>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</si>
  <si>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</si>
  <si>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</si>
  <si>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</si>
  <si>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</si>
  <si>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</si>
  <si>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</si>
  <si>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</si>
  <si>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</si>
  <si>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</si>
  <si>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</si>
  <si>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</si>
  <si>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</si>
  <si>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</si>
  <si>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</si>
  <si>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</si>
  <si>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</si>
  <si>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</si>
  <si>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</si>
  <si>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</si>
  <si>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</si>
  <si>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</si>
  <si>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</si>
  <si>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</si>
  <si>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</si>
  <si>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</si>
  <si>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</si>
  <si>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</si>
  <si>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</si>
  <si>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T220923112719684VCMLEBC050</t>
  </si>
  <si>
    <t>'2022-09-23 11:27:28:655</t>
  </si>
  <si>
    <t>VCMLEBC050A</t>
  </si>
  <si>
    <t>DB_C1001</t>
  </si>
  <si>
    <t>210615ADOE</t>
  </si>
  <si>
    <t>R13A_OC_MFG_C10_21091603_b1779c9</t>
  </si>
  <si>
    <t>VSY841XN9NJC</t>
  </si>
  <si>
    <t>22cd12230138</t>
  </si>
  <si>
    <t>0x52800562a46aa004</t>
  </si>
  <si>
    <t>MFCC376CB5L842B6C549026120</t>
  </si>
  <si>
    <t>MF3C3523BMAG28A7A643</t>
  </si>
  <si>
    <t>DNA22244122410E14A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</si>
  <si>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</si>
  <si>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</si>
  <si>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</si>
  <si>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</si>
  <si>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</si>
  <si>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</si>
  <si>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T220923112826556VCMLEBC050</t>
  </si>
  <si>
    <t>'2022-09-23 11:28:35:362</t>
  </si>
  <si>
    <t>22cd12230036</t>
  </si>
  <si>
    <t>0x52800562a4692a03</t>
  </si>
  <si>
    <t>MFCC354CB3UKB3B6B629005125</t>
  </si>
  <si>
    <t>MF4C3514BDUG13A7A628</t>
  </si>
  <si>
    <t>DNA22295013280L07A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</si>
  <si>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</si>
  <si>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</si>
  <si>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</si>
  <si>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</si>
  <si>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</si>
  <si>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</si>
  <si>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</si>
  <si>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</si>
  <si>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</si>
  <si>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</si>
  <si>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</si>
  <si>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</si>
  <si>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</si>
  <si>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</si>
  <si>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</si>
  <si>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</si>
  <si>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</si>
  <si>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</si>
  <si>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</si>
  <si>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</si>
  <si>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</si>
  <si>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</si>
  <si>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</si>
  <si>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</si>
  <si>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</si>
  <si>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</si>
  <si>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</si>
  <si>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</si>
  <si>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</si>
  <si>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</si>
  <si>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</si>
  <si>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T220923112746107VCMLEBC050</t>
  </si>
  <si>
    <t>'2022-09-23 11:28:14:898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</si>
  <si>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</si>
  <si>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</si>
  <si>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</si>
  <si>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</si>
  <si>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</si>
  <si>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</si>
  <si>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</si>
  <si>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</si>
  <si>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</si>
  <si>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</si>
  <si>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</si>
  <si>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</si>
  <si>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</si>
  <si>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</si>
  <si>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</si>
  <si>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</si>
  <si>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11:28:04:866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</si>
  <si>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</si>
  <si>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</si>
  <si>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</si>
  <si>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</si>
  <si>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</si>
  <si>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</si>
  <si>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</si>
  <si>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</si>
  <si>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</si>
  <si>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</si>
  <si>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</si>
  <si>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</si>
  <si>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</si>
  <si>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</si>
  <si>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</si>
  <si>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</si>
  <si>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</si>
  <si>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</si>
  <si>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</si>
  <si>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</si>
  <si>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</si>
  <si>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</si>
  <si>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</si>
  <si>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</si>
  <si>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</si>
  <si>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</si>
  <si>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</si>
  <si>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</si>
  <si>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</si>
  <si>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</si>
  <si>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</si>
  <si>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</si>
  <si>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</si>
  <si>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</si>
  <si>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</si>
  <si>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</si>
  <si>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</si>
  <si>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</si>
  <si>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</si>
  <si>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</si>
  <si>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</si>
  <si>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</si>
  <si>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</si>
  <si>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</si>
  <si>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</si>
  <si>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</si>
  <si>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</si>
  <si>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</si>
  <si>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</si>
  <si>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</si>
  <si>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</si>
  <si>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</si>
  <si>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</si>
  <si>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</si>
  <si>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</si>
  <si>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</si>
  <si>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</si>
  <si>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</si>
  <si>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</si>
  <si>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</si>
  <si>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</si>
  <si>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</si>
  <si>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</si>
  <si>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</si>
  <si>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</si>
  <si>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</si>
  <si>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</si>
  <si>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</si>
  <si>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</si>
  <si>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</si>
  <si>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</si>
  <si>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</si>
  <si>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</si>
  <si>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</si>
  <si>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</si>
  <si>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</si>
  <si>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</si>
  <si>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</si>
  <si>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</si>
  <si>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</si>
  <si>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</si>
  <si>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</si>
  <si>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</si>
  <si>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</si>
  <si>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</si>
  <si>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</si>
  <si>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</si>
  <si>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</si>
  <si>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</si>
  <si>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</si>
  <si>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</si>
  <si>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</si>
  <si>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</si>
  <si>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</si>
  <si>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</si>
  <si>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</si>
  <si>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</si>
  <si>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</si>
  <si>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</si>
  <si>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</si>
  <si>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</si>
  <si>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</si>
  <si>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</si>
  <si>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</si>
  <si>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</si>
  <si>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</si>
  <si>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</si>
  <si>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</si>
  <si>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</si>
  <si>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</si>
  <si>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</si>
  <si>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</si>
  <si>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</si>
  <si>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</si>
  <si>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</si>
  <si>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</si>
  <si>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</si>
  <si>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</si>
  <si>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</si>
  <si>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</si>
  <si>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</si>
  <si>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</si>
  <si>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</si>
  <si>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</si>
  <si>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</si>
  <si>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</si>
  <si>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</si>
  <si>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</si>
  <si>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</si>
  <si>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</si>
  <si>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</si>
  <si>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</si>
  <si>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</si>
  <si>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</si>
  <si>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</si>
  <si>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</si>
  <si>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</si>
  <si>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</si>
  <si>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</si>
  <si>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</si>
  <si>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</si>
  <si>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</si>
  <si>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</si>
  <si>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</si>
  <si>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</si>
  <si>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</si>
  <si>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</si>
  <si>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</si>
  <si>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</si>
  <si>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</si>
  <si>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</si>
  <si>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</si>
  <si>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</si>
  <si>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</si>
  <si>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</si>
  <si>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</si>
  <si>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</si>
  <si>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</si>
  <si>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</si>
  <si>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</si>
  <si>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</si>
  <si>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</si>
  <si>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</si>
  <si>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</si>
  <si>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</si>
  <si>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</si>
  <si>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</si>
  <si>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</si>
  <si>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</si>
  <si>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</si>
  <si>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</si>
  <si>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</si>
  <si>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</si>
  <si>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</si>
  <si>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</si>
  <si>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</si>
  <si>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</si>
  <si>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</si>
  <si>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</si>
  <si>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</si>
  <si>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</si>
  <si>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</si>
  <si>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</si>
  <si>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</si>
  <si>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</si>
  <si>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</si>
  <si>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</si>
  <si>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</si>
  <si>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</si>
  <si>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</si>
  <si>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</si>
  <si>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</si>
  <si>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</si>
  <si>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</si>
  <si>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</si>
  <si>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</si>
  <si>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</si>
  <si>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</si>
  <si>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</si>
  <si>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</si>
  <si>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</si>
  <si>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</si>
  <si>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</si>
  <si>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</si>
  <si>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</si>
  <si>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</si>
  <si>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</si>
  <si>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</si>
  <si>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</si>
  <si>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</si>
  <si>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</si>
  <si>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</si>
  <si>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</si>
  <si>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</si>
  <si>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</si>
  <si>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</si>
  <si>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</si>
  <si>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</si>
  <si>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</si>
  <si>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</si>
  <si>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</si>
  <si>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</si>
  <si>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</si>
  <si>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</si>
  <si>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</si>
  <si>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</si>
  <si>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</si>
  <si>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</si>
  <si>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</si>
  <si>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</si>
  <si>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</si>
  <si>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</si>
  <si>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</si>
  <si>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</si>
  <si>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</si>
  <si>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</si>
  <si>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</si>
  <si>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</si>
  <si>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</si>
  <si>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</si>
  <si>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</si>
  <si>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</si>
  <si>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</si>
  <si>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</si>
  <si>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</si>
  <si>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</si>
  <si>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</si>
  <si>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</si>
  <si>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</si>
  <si>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</si>
  <si>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</si>
  <si>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</si>
  <si>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</si>
  <si>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</si>
  <si>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</si>
  <si>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</si>
  <si>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</si>
  <si>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T220923112731270VCMLEBC050</t>
  </si>
  <si>
    <t>'2022-09-23 11:27:43:805</t>
  </si>
  <si>
    <t>R13A_IPQC_MFG_Laser_C10_21090805_b1779c9</t>
  </si>
  <si>
    <t>v9p4</t>
  </si>
  <si>
    <t>T220923112838011VCMLEBC050</t>
  </si>
  <si>
    <t>'2022-09-23 11:28:50:552</t>
  </si>
  <si>
    <t>T220923112932544VCMLEBC050</t>
  </si>
  <si>
    <t>'2022-09-23 11:29:41:485</t>
  </si>
  <si>
    <t>22cd12230034</t>
  </si>
  <si>
    <t>0x52800562a469f903</t>
  </si>
  <si>
    <t>MFCC376CB5LG42B6C648014111</t>
  </si>
  <si>
    <t>MF3C3523BM0T28A7A636</t>
  </si>
  <si>
    <t>DNA22253103280B09A</t>
  </si>
  <si>
    <t>T220923112852845VCMLEBC050</t>
  </si>
  <si>
    <t>'2022-09-23 11:29:21:694</t>
  </si>
  <si>
    <t>T220923112958946VCMLEBC050</t>
  </si>
  <si>
    <t>'2022-09-23 11:30:27:405</t>
  </si>
  <si>
    <t>'2022-09-23 11:29:11:669</t>
  </si>
  <si>
    <t>'2022-09-23 11:30:17:382</t>
  </si>
  <si>
    <t>T220923112944094VCMLEBC050</t>
  </si>
  <si>
    <t>'2022-09-23 11:29:56:633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</si>
</sst>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-3.8013702319</c:v>
                </c:pt>
                <c:pt idx="1">
                  <c:v>9.9151521454000004</c:v>
                </c:pt>
                <c:pt idx="2">
                  <c:v>3.8746786943</c:v>
                </c:pt>
                <c:pt idx="3">
                  <c:v>0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-5.2317920087999994</c:v>
                </c:pt>
                <c:pt idx="1">
                  <c:v>4.5740917330000004</c:v>
                </c:pt>
                <c:pt idx="2">
                  <c:v>-4.8952859374000006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3.3294868692666668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-1.8509954043999999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74432"/>
        <c:axId val="121075968"/>
      </c:scatterChart>
      <c:valAx>
        <c:axId val="1210744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1075968"/>
        <c:crosses val="autoZero"/>
        <c:crossBetween val="midCat"/>
        <c:majorUnit val="10"/>
      </c:valAx>
      <c:valAx>
        <c:axId val="1210759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107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83712"/>
        <c:axId val="123293696"/>
      </c:scatterChart>
      <c:valAx>
        <c:axId val="12328371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293696"/>
        <c:crosses val="autoZero"/>
        <c:crossBetween val="midCat"/>
        <c:majorUnit val="10"/>
      </c:valAx>
      <c:valAx>
        <c:axId val="12329369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283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22368"/>
        <c:axId val="123323904"/>
      </c:scatterChart>
      <c:valAx>
        <c:axId val="1233223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323904"/>
        <c:crosses val="autoZero"/>
        <c:crossBetween val="midCat"/>
        <c:majorUnit val="10"/>
      </c:valAx>
      <c:valAx>
        <c:axId val="12332390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332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46624"/>
        <c:axId val="125148160"/>
      </c:scatterChart>
      <c:valAx>
        <c:axId val="12514662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148160"/>
        <c:crosses val="autoZero"/>
        <c:crossBetween val="midCat"/>
        <c:majorUnit val="10"/>
      </c:valAx>
      <c:valAx>
        <c:axId val="1251481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5146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88.640068107399998</c:v>
                </c:pt>
                <c:pt idx="1">
                  <c:v>94.988742999699994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90.118394231499977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99104"/>
        <c:axId val="125200640"/>
      </c:scatterChart>
      <c:valAx>
        <c:axId val="12519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200640"/>
        <c:crosses val="autoZero"/>
        <c:crossBetween val="midCat"/>
      </c:valAx>
      <c:valAx>
        <c:axId val="12520064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19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86.726371587399996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29696"/>
        <c:axId val="125231488"/>
      </c:scatterChart>
      <c:valAx>
        <c:axId val="12522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231488"/>
        <c:crosses val="autoZero"/>
        <c:crossBetween val="midCat"/>
      </c:valAx>
      <c:valAx>
        <c:axId val="12523148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229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287040"/>
        <c:axId val="125292928"/>
      </c:scatterChart>
      <c:valAx>
        <c:axId val="12528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292928"/>
        <c:crosses val="autoZero"/>
        <c:crossBetween val="midCat"/>
      </c:valAx>
      <c:valAx>
        <c:axId val="12529292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528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479168"/>
        <c:axId val="127501440"/>
      </c:scatterChart>
      <c:valAx>
        <c:axId val="12747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7501440"/>
        <c:crosses val="autoZero"/>
        <c:crossBetween val="midCat"/>
      </c:valAx>
      <c:valAx>
        <c:axId val="12750144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7479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-7</c:v>
                </c:pt>
                <c:pt idx="1">
                  <c:v>-7</c:v>
                </c:pt>
                <c:pt idx="2">
                  <c:v>-7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-7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812736"/>
        <c:axId val="127814272"/>
      </c:scatterChart>
      <c:valAx>
        <c:axId val="1278127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814272"/>
        <c:crosses val="autoZero"/>
        <c:crossBetween val="midCat"/>
        <c:majorUnit val="10"/>
      </c:valAx>
      <c:valAx>
        <c:axId val="1278142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812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-7</c:v>
                </c:pt>
                <c:pt idx="1">
                  <c:v>-7</c:v>
                </c:pt>
                <c:pt idx="2">
                  <c:v>-7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-7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855232"/>
        <c:axId val="127869312"/>
      </c:scatterChart>
      <c:valAx>
        <c:axId val="1278552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869312"/>
        <c:crosses val="autoZero"/>
        <c:crossBetween val="midCat"/>
        <c:majorUnit val="10"/>
      </c:valAx>
      <c:valAx>
        <c:axId val="1278693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85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-7</c:v>
                </c:pt>
                <c:pt idx="1">
                  <c:v>-7</c:v>
                </c:pt>
                <c:pt idx="2">
                  <c:v>-7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-7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02080"/>
        <c:axId val="127903616"/>
      </c:scatterChart>
      <c:valAx>
        <c:axId val="12790208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903616"/>
        <c:crosses val="autoZero"/>
        <c:crossBetween val="midCat"/>
        <c:majorUnit val="10"/>
      </c:valAx>
      <c:valAx>
        <c:axId val="12790361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902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-0.4573755263999999</c:v>
                </c:pt>
                <c:pt idx="1">
                  <c:v>7.9549646377999998</c:v>
                </c:pt>
                <c:pt idx="2">
                  <c:v>2.4961528778000002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4.4034042358000001</c:v>
                </c:pt>
                <c:pt idx="1">
                  <c:v>5.0549535751000008</c:v>
                </c:pt>
                <c:pt idx="2">
                  <c:v>-4.6403989792000004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3.3312473297333334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1.6059862772333335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56864"/>
        <c:axId val="127958400"/>
      </c:scatterChart>
      <c:valAx>
        <c:axId val="1279568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958400"/>
        <c:crosses val="autoZero"/>
        <c:crossBetween val="midCat"/>
        <c:majorUnit val="10"/>
      </c:valAx>
      <c:valAx>
        <c:axId val="12795840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956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D:\EVMS\TP\LOG\VSY841XN9NJC_2022092311_D50_ON_OC.csv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D:\EVMS\TP\LOG\VSY841XN9NJC_2022092311_FPDC_INFD_normal.csv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D:\EVMS\TP\LOG\VSY841XN9NJC_2022092311_INFDMargin_IPQC.csv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D:\EVMS\TP\LOG\VSY841XN9NJC_2022092311_VCM_MEASURE.csv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22cd12230138</v>
      </c>
      <c r="C34" s="44">
        <f>IPQC!S2+VLOOKUP($R$31,$AD$38:$AK$42,6,FALSE)+VLOOKUP('File location'!$B$1,'Tester offset'!$A$2:$D$4,2,FALSE)</f>
        <v>88.640068107399998</v>
      </c>
      <c r="D34" s="44">
        <f>IPQC!Z2+VLOOKUP($R$31,$AD$38:$AK$42,6,FALSE)</f>
        <v>72.788204000600004</v>
      </c>
      <c r="E34" s="44">
        <f>VCM!HU2-'Summary(3pcs)'!C34-'Summary(3pcs)'!$D$32</f>
        <v>142.11513206043793</v>
      </c>
      <c r="F34" s="90">
        <f>AVERAGEIF($A$34:$A$45,1,$C$34:$C$45)</f>
        <v>90.118394231499977</v>
      </c>
      <c r="G34" s="91">
        <f>AVERAGEIF($A$34:$A$45,1,$D$34:$D$45)</f>
        <v>74.235868426300001</v>
      </c>
      <c r="H34" s="91">
        <f>AVERAGEIF($A$34:$A$45,1,$E$34:$E$45)</f>
        <v>147.72497006480461</v>
      </c>
      <c r="I34" s="91">
        <f>85-F34</f>
        <v>-5.1183942314999769</v>
      </c>
      <c r="J34"/>
      <c r="K34" s="79">
        <f>T34</f>
        <v>1</v>
      </c>
      <c r="L34" s="80" t="str">
        <f>OC!J2</f>
        <v>22cd12230138</v>
      </c>
      <c r="M34" s="44">
        <f>OC!S2+VLOOKUP($R$31,$AD$38:$AK$42,4,FALSE)</f>
        <v>-3.8013702319</v>
      </c>
      <c r="N34" s="44">
        <f>OC!T2+VLOOKUP($R$31,$AD$38:$AK$42,5,FALSE)</f>
        <v>-5.2317920087999994</v>
      </c>
      <c r="O34" s="92">
        <f>AVERAGEIF($K$34:$K$45,1,$M$34:$M$45)</f>
        <v>3.3294868692666668</v>
      </c>
      <c r="P34" s="92">
        <f>AVERAGEIF($K$34:$K$45,1,$N$34:$N$45)</f>
        <v>-1.8509954043999999</v>
      </c>
      <c r="Q34" s="90">
        <f>P34*0.001</f>
        <v>-1.8509954043999998E-3</v>
      </c>
      <c r="R34" s="90">
        <f>O34*0.001</f>
        <v>3.3294868692666669E-3</v>
      </c>
      <c r="T34" s="79">
        <v>1</v>
      </c>
      <c r="U34" s="80" t="str">
        <f>FPDC!J2</f>
        <v>22cd12230138</v>
      </c>
      <c r="V34" s="75">
        <f>FPDC!R2+VLOOKUP($R$31,$AD$38:$AK$42,2,FALSE)+VLOOKUP($R$31,$AD$38:$AK$42,7,FALSE)+VLOOKUP('File location'!$B$1,'Tester offset'!$A$2:$D$4,3,FALSE)</f>
        <v>-0.4573755263999999</v>
      </c>
      <c r="W34" s="76">
        <f>FPDC!S2+VLOOKUP($R$31,$AD$38:$AK$42,3,FALSE)+VLOOKUP($R$31,$AD$38:$AK$42,8,FALSE)+VLOOKUP('File location'!$B$1,'Tester offset'!$A$2:$D$4,4,FALSE)</f>
        <v>4.4034042358000001</v>
      </c>
      <c r="X34" s="92">
        <f>AVERAGEIF($T$34:$T$45,1,$V$34:$V$45)</f>
        <v>3.3312473297333334</v>
      </c>
      <c r="Y34" s="92">
        <f>AVERAGEIF($T$34:$T$45,1,$W$34:$W$45)</f>
        <v>1.6059862772333335</v>
      </c>
      <c r="Z34" s="90">
        <f>(X34*-0.01)/4</f>
        <v>-8.3281183243333334E-3</v>
      </c>
      <c r="AA34" s="90">
        <f>(Y34*-0.01)/4</f>
        <v>-4.0149656930833343E-3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22cd12230036</v>
      </c>
      <c r="C35" s="44">
        <f>IPQC!S3+VLOOKUP($R$31,$AD$38:$AK$42,6,FALSE)+VLOOKUP('File location'!$B$1,'Tester offset'!$A$2:$D$4,2,FALSE)</f>
        <v>94.988742999699994</v>
      </c>
      <c r="D35" s="44">
        <f>IPQC!Z3+VLOOKUP($R$31,$AD$38:$AK$42,6,FALSE)</f>
        <v>76.673382771999997</v>
      </c>
      <c r="E35" s="44">
        <f>VCM!HU3-'Summary(3pcs)'!C35-'Summary(3pcs)'!$D$32</f>
        <v>145.84922498553794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22cd12230036</v>
      </c>
      <c r="M35" s="44">
        <f>OC!S3+VLOOKUP($R$31,$AD$38:$AK$42,4,FALSE)</f>
        <v>9.9151521454000004</v>
      </c>
      <c r="N35" s="44">
        <f>OC!T3+VLOOKUP($R$31,$AD$38:$AK$42,5,FALSE)</f>
        <v>4.5740917330000004</v>
      </c>
      <c r="O35" s="92"/>
      <c r="P35" s="92"/>
      <c r="Q35" s="90"/>
      <c r="R35" s="90"/>
      <c r="T35" s="79">
        <v>1</v>
      </c>
      <c r="U35" s="80" t="str">
        <f>FPDC!J3</f>
        <v>22cd12230036</v>
      </c>
      <c r="V35" s="75">
        <f>FPDC!R3+VLOOKUP($R$31,$AD$38:$AK$42,2,FALSE)+VLOOKUP($R$31,$AD$38:$AK$42,7,FALSE)+VLOOKUP('File location'!$B$1,'Tester offset'!$A$2:$D$4,3,FALSE)</f>
        <v>7.9549646377999998</v>
      </c>
      <c r="W35" s="76">
        <f>FPDC!S3+VLOOKUP($R$31,$AD$38:$AK$42,3,FALSE)+VLOOKUP($R$31,$AD$38:$AK$42,8,FALSE)+VLOOKUP('File location'!$B$1,'Tester offset'!$A$2:$D$4,4,FALSE)</f>
        <v>5.0549535751000008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22cd12230034</v>
      </c>
      <c r="C36" s="44">
        <f>IPQC!S4+VLOOKUP($R$31,$AD$38:$AK$42,6,FALSE)+VLOOKUP('File location'!$B$1,'Tester offset'!$A$2:$D$4,2,FALSE)</f>
        <v>86.726371587399996</v>
      </c>
      <c r="D36" s="44">
        <f>IPQC!Z4+VLOOKUP($R$31,$AD$38:$AK$42,6,FALSE)</f>
        <v>73.246018506300004</v>
      </c>
      <c r="E36" s="44">
        <f>VCM!HU4-'Summary(3pcs)'!C36-'Summary(3pcs)'!$D$32</f>
        <v>155.21055314843795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22cd12230034</v>
      </c>
      <c r="M36" s="44">
        <f>OC!S4+VLOOKUP($R$31,$AD$38:$AK$42,4,FALSE)</f>
        <v>3.8746786943</v>
      </c>
      <c r="N36" s="44">
        <f>OC!T4+VLOOKUP($R$31,$AD$38:$AK$42,5,FALSE)</f>
        <v>-4.8952859374000006</v>
      </c>
      <c r="O36" s="92"/>
      <c r="P36" s="92"/>
      <c r="Q36" s="90"/>
      <c r="R36" s="90"/>
      <c r="T36" s="79">
        <v>1</v>
      </c>
      <c r="U36" s="80" t="str">
        <f>FPDC!J4</f>
        <v>22cd12230034</v>
      </c>
      <c r="V36" s="75">
        <f>FPDC!R4+VLOOKUP($R$31,$AD$38:$AK$42,2,FALSE)+VLOOKUP($R$31,$AD$38:$AK$42,7,FALSE)+VLOOKUP('File location'!$B$1,'Tester offset'!$A$2:$D$4,3,FALSE)</f>
        <v>2.4961528778000002</v>
      </c>
      <c r="W36" s="76">
        <f>FPDC!S4+VLOOKUP($R$31,$AD$38:$AK$42,3,FALSE)+VLOOKUP($R$31,$AD$38:$AK$42,8,FALSE)+VLOOKUP('File location'!$B$1,'Tester offset'!$A$2:$D$4,4,FALSE)</f>
        <v>-4.6403989792000004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>
        <f>IPQC!J5</f>
        <v>0</v>
      </c>
      <c r="C37" s="44">
        <f>IPQC!S5+VLOOKUP($R$31,$AD$38:$AK$42,6,FALSE)+VLOOKUP('File location'!$B$1,'Tester offset'!$A$2:$D$4,2,FALSE)</f>
        <v>6</v>
      </c>
      <c r="D37" s="44">
        <f>IPQC!Z5+VLOOKUP($R$31,$AD$38:$AK$42,6,FALSE)</f>
        <v>6</v>
      </c>
      <c r="E37" s="44">
        <f>VCM!HU5-'Summary(3pcs)'!C37-'Summary(3pcs)'!$D$32</f>
        <v>-185.50310559006209</v>
      </c>
      <c r="F37" s="90">
        <f>AVERAGEIF($A$34:$A$45,2,$C$34:$C$45)</f>
        <v>6</v>
      </c>
      <c r="G37" s="91">
        <f>AVERAGEIF($A$34:$A$45,2,$D$34:$D$45)</f>
        <v>6</v>
      </c>
      <c r="H37" s="91">
        <f>AVERAGEIF($A$34:$A$45,2,$E$34:$E$45)</f>
        <v>-185.50310559006209</v>
      </c>
      <c r="I37" s="91">
        <f>85-F37</f>
        <v>79</v>
      </c>
      <c r="J37"/>
      <c r="K37" s="79">
        <f t="shared" si="1"/>
        <v>2</v>
      </c>
      <c r="L37" s="80">
        <f>OC!J5</f>
        <v>0</v>
      </c>
      <c r="M37" s="44">
        <f>OC!S5+VLOOKUP($R$31,$AD$38:$AK$42,4,FALSE)</f>
        <v>0</v>
      </c>
      <c r="N37" s="44">
        <f>OC!T5+VLOOKUP($R$31,$AD$38:$AK$42,5,FALSE)</f>
        <v>4</v>
      </c>
      <c r="O37" s="92">
        <f>AVERAGEIF($K$34:$K$45,2,$M$34:$M$45)</f>
        <v>0</v>
      </c>
      <c r="P37" s="92">
        <f>AVERAGEIF($K$34:$K$45,2,$N$34:$N$45)</f>
        <v>4</v>
      </c>
      <c r="Q37" s="90">
        <f>P37*0.001</f>
        <v>4.0000000000000001E-3</v>
      </c>
      <c r="R37" s="90">
        <f>O37*0.001</f>
        <v>0</v>
      </c>
      <c r="T37" s="79">
        <v>2</v>
      </c>
      <c r="U37" s="80">
        <f>FPDC!J5</f>
        <v>0</v>
      </c>
      <c r="V37" s="75">
        <f>FPDC!R5+VLOOKUP($R$31,$AD$38:$AK$42,2,FALSE)+VLOOKUP($R$31,$AD$38:$AK$42,7,FALSE)+VLOOKUP('File location'!$B$1,'Tester offset'!$A$2:$D$4,3,FALSE)</f>
        <v>-7</v>
      </c>
      <c r="W37" s="76">
        <f>FPDC!S5+VLOOKUP($R$31,$AD$38:$AK$42,3,FALSE)+VLOOKUP($R$31,$AD$38:$AK$42,8,FALSE)+VLOOKUP('File location'!$B$1,'Tester offset'!$A$2:$D$4,4,FALSE)</f>
        <v>-3</v>
      </c>
      <c r="X37" s="92">
        <f>AVERAGEIF($T$34:$T$45,2,$V$34:$V$45)</f>
        <v>-7</v>
      </c>
      <c r="Y37" s="92">
        <f>AVERAGEIF($T$34:$T$45,2,$W$34:$W$45)</f>
        <v>-3</v>
      </c>
      <c r="Z37" s="90">
        <f>(X37*-0.01)/4</f>
        <v>1.7500000000000002E-2</v>
      </c>
      <c r="AA37" s="90">
        <f>(Y37*-0.01)/4</f>
        <v>7.4999999999999997E-3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>
        <f>IPQC!J6</f>
        <v>0</v>
      </c>
      <c r="C38" s="44">
        <f>IPQC!S6+VLOOKUP($R$31,$AD$38:$AK$42,6,FALSE)+VLOOKUP('File location'!$B$1,'Tester offset'!$A$2:$D$4,2,FALSE)</f>
        <v>6</v>
      </c>
      <c r="D38" s="44">
        <f>IPQC!Z6+VLOOKUP($R$31,$AD$38:$AK$42,6,FALSE)</f>
        <v>6</v>
      </c>
      <c r="E38" s="44">
        <f>VCM!HU6-'Summary(3pcs)'!C38-'Summary(3pcs)'!$D$32</f>
        <v>-185.50310559006209</v>
      </c>
      <c r="F38" s="90"/>
      <c r="G38" s="91"/>
      <c r="H38" s="91"/>
      <c r="I38" s="91"/>
      <c r="J38"/>
      <c r="K38" s="79">
        <f t="shared" si="1"/>
        <v>2</v>
      </c>
      <c r="L38" s="80">
        <f>OC!J6</f>
        <v>0</v>
      </c>
      <c r="M38" s="44">
        <f>OC!S6+VLOOKUP($R$31,$AD$38:$AK$42,4,FALSE)</f>
        <v>0</v>
      </c>
      <c r="N38" s="44">
        <f>OC!T6+VLOOKUP($R$31,$AD$38:$AK$42,5,FALSE)</f>
        <v>4</v>
      </c>
      <c r="O38" s="92"/>
      <c r="P38" s="92"/>
      <c r="Q38" s="90"/>
      <c r="R38" s="90"/>
      <c r="T38" s="79">
        <v>2</v>
      </c>
      <c r="U38" s="80">
        <f>FPDC!J6</f>
        <v>0</v>
      </c>
      <c r="V38" s="75">
        <f>FPDC!R6+VLOOKUP($R$31,$AD$38:$AK$42,2,FALSE)+VLOOKUP($R$31,$AD$38:$AK$42,7,FALSE)+VLOOKUP('File location'!$B$1,'Tester offset'!$A$2:$D$4,3,FALSE)</f>
        <v>-7</v>
      </c>
      <c r="W38" s="76">
        <f>FPDC!S6+VLOOKUP($R$31,$AD$38:$AK$42,3,FALSE)+VLOOKUP($R$31,$AD$38:$AK$42,8,FALSE)+VLOOKUP('File location'!$B$1,'Tester offset'!$A$2:$D$4,4,FALSE)</f>
        <v>-3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>
        <f>IPQC!J7</f>
        <v>0</v>
      </c>
      <c r="C39" s="44">
        <f>IPQC!S7+VLOOKUP($R$31,$AD$38:$AK$42,6,FALSE)+VLOOKUP('File location'!$B$1,'Tester offset'!$A$2:$D$4,2,FALSE)</f>
        <v>6</v>
      </c>
      <c r="D39" s="44">
        <f>IPQC!Z7+VLOOKUP($R$31,$AD$38:$AK$42,6,FALSE)</f>
        <v>6</v>
      </c>
      <c r="E39" s="44">
        <f>VCM!HU7-'Summary(3pcs)'!C39-'Summary(3pcs)'!$D$32</f>
        <v>-185.50310559006209</v>
      </c>
      <c r="F39" s="90"/>
      <c r="G39" s="91"/>
      <c r="H39" s="91"/>
      <c r="I39" s="91"/>
      <c r="J39"/>
      <c r="K39" s="79">
        <f t="shared" si="1"/>
        <v>2</v>
      </c>
      <c r="L39" s="80">
        <f>OC!J7</f>
        <v>0</v>
      </c>
      <c r="M39" s="44">
        <f>OC!S7+VLOOKUP($R$31,$AD$38:$AK$42,4,FALSE)</f>
        <v>0</v>
      </c>
      <c r="N39" s="44">
        <f>OC!T7+VLOOKUP($R$31,$AD$38:$AK$42,5,FALSE)</f>
        <v>4</v>
      </c>
      <c r="O39" s="92"/>
      <c r="P39" s="92"/>
      <c r="Q39" s="90"/>
      <c r="R39" s="90"/>
      <c r="T39" s="79">
        <v>2</v>
      </c>
      <c r="U39" s="80">
        <f>FPDC!J7</f>
        <v>0</v>
      </c>
      <c r="V39" s="75">
        <f>FPDC!R7+VLOOKUP($R$31,$AD$38:$AK$42,2,FALSE)+VLOOKUP($R$31,$AD$38:$AK$42,7,FALSE)+VLOOKUP('File location'!$B$1,'Tester offset'!$A$2:$D$4,3,FALSE)</f>
        <v>-7</v>
      </c>
      <c r="W39" s="76">
        <f>FPDC!S7+VLOOKUP($R$31,$AD$38:$AK$42,3,FALSE)+VLOOKUP($R$31,$AD$38:$AK$42,8,FALSE)+VLOOKUP('File location'!$B$1,'Tester offset'!$A$2:$D$4,4,FALSE)</f>
        <v>-3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>
        <f>IPQC!J8</f>
        <v>0</v>
      </c>
      <c r="C40" s="44">
        <f>IPQC!S8+VLOOKUP($R$31,$AD$38:$AK$42,6,FALSE)+VLOOKUP('File location'!$B$1,'Tester offset'!$A$2:$D$4,2,FALSE)</f>
        <v>6</v>
      </c>
      <c r="D40" s="44">
        <f>IPQC!Z8+VLOOKUP($R$31,$AD$38:$AK$42,6,FALSE)</f>
        <v>6</v>
      </c>
      <c r="E40" s="44">
        <f>VCM!HU8-'Summary(3pcs)'!C40-'Summary(3pcs)'!$D$32</f>
        <v>-185.50310559006209</v>
      </c>
      <c r="F40" s="90">
        <f>AVERAGEIF($A$34:$A$45,3,$C$34:$C$45)</f>
        <v>6</v>
      </c>
      <c r="G40" s="91">
        <f>AVERAGEIF($A$34:$A$45,3,$D$34:$D$45)</f>
        <v>6</v>
      </c>
      <c r="H40" s="91">
        <f>AVERAGEIF($A$34:$A$45,3,$E$34:$E$45)</f>
        <v>-185.50310559006209</v>
      </c>
      <c r="I40" s="91">
        <f>85-F40</f>
        <v>79</v>
      </c>
      <c r="J40"/>
      <c r="K40" s="79">
        <f t="shared" si="1"/>
        <v>3</v>
      </c>
      <c r="L40" s="80">
        <f>OC!J8</f>
        <v>0</v>
      </c>
      <c r="M40" s="44">
        <f>OC!S8+VLOOKUP($R$31,$AD$38:$AK$42,4,FALSE)</f>
        <v>0</v>
      </c>
      <c r="N40" s="44">
        <f>OC!T8+VLOOKUP($R$31,$AD$38:$AK$42,5,FALSE)</f>
        <v>4</v>
      </c>
      <c r="O40" s="92">
        <f>AVERAGEIF($K$34:$K$45,3,$M$34:$M$45)</f>
        <v>0</v>
      </c>
      <c r="P40" s="92">
        <f>AVERAGEIF($K$34:$K$45,3,$N$34:$N$45)</f>
        <v>4</v>
      </c>
      <c r="Q40" s="90">
        <f>P40*0.001</f>
        <v>4.0000000000000001E-3</v>
      </c>
      <c r="R40" s="90">
        <f>O40*0.001</f>
        <v>0</v>
      </c>
      <c r="T40" s="79">
        <v>3</v>
      </c>
      <c r="U40" s="80">
        <f>FPDC!J8</f>
        <v>0</v>
      </c>
      <c r="V40" s="75">
        <f>FPDC!R8+VLOOKUP($R$31,$AD$38:$AK$42,2,FALSE)+VLOOKUP($R$31,$AD$38:$AK$42,7,FALSE)+VLOOKUP('File location'!$B$1,'Tester offset'!$A$2:$D$4,3,FALSE)</f>
        <v>-7</v>
      </c>
      <c r="W40" s="76">
        <f>FPDC!S8+VLOOKUP($R$31,$AD$38:$AK$42,3,FALSE)+VLOOKUP($R$31,$AD$38:$AK$42,8,FALSE)+VLOOKUP('File location'!$B$1,'Tester offset'!$A$2:$D$4,4,FALSE)</f>
        <v>-3</v>
      </c>
      <c r="X40" s="92">
        <f>AVERAGEIF($T$34:$T$45,3,$V$34:$V$45)</f>
        <v>-7</v>
      </c>
      <c r="Y40" s="92">
        <f>AVERAGEIF($T$34:$T$45,3,$W$34:$W$45)</f>
        <v>-3</v>
      </c>
      <c r="Z40" s="90">
        <f>(X40*-0.01)/4</f>
        <v>1.7500000000000002E-2</v>
      </c>
      <c r="AA40" s="90">
        <f>(Y40*-0.01)/4</f>
        <v>7.4999999999999997E-3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>
        <f>IPQC!J9</f>
        <v>0</v>
      </c>
      <c r="C41" s="44">
        <f>IPQC!S9+VLOOKUP($R$31,$AD$38:$AK$42,6,FALSE)+VLOOKUP('File location'!$B$1,'Tester offset'!$A$2:$D$4,2,FALSE)</f>
        <v>6</v>
      </c>
      <c r="D41" s="44">
        <f>IPQC!Z9+VLOOKUP($R$31,$AD$38:$AK$42,6,FALSE)</f>
        <v>6</v>
      </c>
      <c r="E41" s="44">
        <f>VCM!HU9-'Summary(3pcs)'!C41-'Summary(3pcs)'!$D$32</f>
        <v>-185.50310559006209</v>
      </c>
      <c r="F41" s="90"/>
      <c r="G41" s="91"/>
      <c r="H41" s="91"/>
      <c r="I41" s="91"/>
      <c r="J41"/>
      <c r="K41" s="79">
        <f t="shared" si="1"/>
        <v>3</v>
      </c>
      <c r="L41" s="80">
        <f>OC!J9</f>
        <v>0</v>
      </c>
      <c r="M41" s="44">
        <f>OC!S9+VLOOKUP($R$31,$AD$38:$AK$42,4,FALSE)</f>
        <v>0</v>
      </c>
      <c r="N41" s="44">
        <f>OC!T9+VLOOKUP($R$31,$AD$38:$AK$42,5,FALSE)</f>
        <v>4</v>
      </c>
      <c r="O41" s="92"/>
      <c r="P41" s="92"/>
      <c r="Q41" s="90"/>
      <c r="R41" s="90"/>
      <c r="T41" s="79">
        <v>3</v>
      </c>
      <c r="U41" s="80">
        <f>FPDC!J9</f>
        <v>0</v>
      </c>
      <c r="V41" s="75">
        <f>FPDC!R9+VLOOKUP($R$31,$AD$38:$AK$42,2,FALSE)+VLOOKUP($R$31,$AD$38:$AK$42,7,FALSE)+VLOOKUP('File location'!$B$1,'Tester offset'!$A$2:$D$4,3,FALSE)</f>
        <v>-7</v>
      </c>
      <c r="W41" s="76">
        <f>FPDC!S9+VLOOKUP($R$31,$AD$38:$AK$42,3,FALSE)+VLOOKUP($R$31,$AD$38:$AK$42,8,FALSE)+VLOOKUP('File location'!$B$1,'Tester offset'!$A$2:$D$4,4,FALSE)</f>
        <v>-3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>
        <f>IPQC!J10</f>
        <v>0</v>
      </c>
      <c r="C42" s="44">
        <f>IPQC!S10+VLOOKUP($R$31,$AD$38:$AK$42,6,FALSE)+VLOOKUP('File location'!$B$1,'Tester offset'!$A$2:$D$4,2,FALSE)</f>
        <v>6</v>
      </c>
      <c r="D42" s="44">
        <f>IPQC!Z10+VLOOKUP($R$31,$AD$38:$AK$42,6,FALSE)</f>
        <v>6</v>
      </c>
      <c r="E42" s="44">
        <f>VCM!HU10-'Summary(3pcs)'!C42-'Summary(3pcs)'!$D$32</f>
        <v>-185.50310559006209</v>
      </c>
      <c r="F42" s="90"/>
      <c r="G42" s="91"/>
      <c r="H42" s="91"/>
      <c r="I42" s="91"/>
      <c r="J42"/>
      <c r="K42" s="79">
        <f t="shared" si="1"/>
        <v>3</v>
      </c>
      <c r="L42" s="80">
        <f>OC!J10</f>
        <v>0</v>
      </c>
      <c r="M42" s="44">
        <f>OC!S10+VLOOKUP($R$31,$AD$38:$AK$42,4,FALSE)</f>
        <v>0</v>
      </c>
      <c r="N42" s="44">
        <f>OC!T10+VLOOKUP($R$31,$AD$38:$AK$42,5,FALSE)</f>
        <v>4</v>
      </c>
      <c r="O42" s="92"/>
      <c r="P42" s="92"/>
      <c r="Q42" s="90"/>
      <c r="R42" s="90"/>
      <c r="T42" s="79">
        <v>3</v>
      </c>
      <c r="U42" s="80">
        <f>FPDC!J10</f>
        <v>0</v>
      </c>
      <c r="V42" s="75">
        <f>FPDC!R10+VLOOKUP($R$31,$AD$38:$AK$42,2,FALSE)+VLOOKUP($R$31,$AD$38:$AK$42,7,FALSE)+VLOOKUP('File location'!$B$1,'Tester offset'!$A$2:$D$4,3,FALSE)</f>
        <v>-7</v>
      </c>
      <c r="W42" s="76">
        <f>FPDC!S10+VLOOKUP($R$31,$AD$38:$AK$42,3,FALSE)+VLOOKUP($R$31,$AD$38:$AK$42,8,FALSE)+VLOOKUP('File location'!$B$1,'Tester offset'!$A$2:$D$4,4,FALSE)</f>
        <v>-3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>
        <f>IPQC!J11</f>
        <v>0</v>
      </c>
      <c r="C43" s="44">
        <f>IPQC!S11+VLOOKUP($R$31,$AD$38:$AK$42,6,FALSE)+VLOOKUP('File location'!$B$1,'Tester offset'!$A$2:$D$4,2,FALSE)</f>
        <v>6</v>
      </c>
      <c r="D43" s="44">
        <f>IPQC!Z11+VLOOKUP($R$31,$AD$38:$AK$42,6,FALSE)</f>
        <v>6</v>
      </c>
      <c r="E43" s="44">
        <f>VCM!HU11-'Summary(3pcs)'!C43-'Summary(3pcs)'!$D$32</f>
        <v>-185.50310559006209</v>
      </c>
      <c r="F43" s="90">
        <f>AVERAGEIF($A$34:$A$45,4,$C$34:$C$45)</f>
        <v>6</v>
      </c>
      <c r="G43" s="91">
        <f>AVERAGEIF($A$34:$A$45,4,$D$34:$D$45)</f>
        <v>6</v>
      </c>
      <c r="H43" s="91">
        <f>AVERAGEIF($A$34:$A$45,4,$E$34:$E$45)</f>
        <v>-185.50310559006209</v>
      </c>
      <c r="I43" s="91">
        <f>85-F43</f>
        <v>79</v>
      </c>
      <c r="J43"/>
      <c r="K43" s="79">
        <f t="shared" si="1"/>
        <v>4</v>
      </c>
      <c r="L43" s="80">
        <f>OC!J11</f>
        <v>0</v>
      </c>
      <c r="M43" s="44">
        <f>OC!S11+VLOOKUP($R$31,$AD$38:$AK$42,4,FALSE)</f>
        <v>0</v>
      </c>
      <c r="N43" s="44">
        <f>OC!T11+VLOOKUP($R$31,$AD$38:$AK$42,5,FALSE)</f>
        <v>4</v>
      </c>
      <c r="O43" s="92">
        <f>AVERAGEIF($K$34:$K$45,4,$M$34:$M$45)</f>
        <v>0</v>
      </c>
      <c r="P43" s="92">
        <f>AVERAGEIF($K$34:$K$45,4,$N$34:$N$45)</f>
        <v>4</v>
      </c>
      <c r="Q43" s="90">
        <f>P43*0.001</f>
        <v>4.0000000000000001E-3</v>
      </c>
      <c r="R43" s="90">
        <f>O43*0.001</f>
        <v>0</v>
      </c>
      <c r="T43" s="79">
        <v>4</v>
      </c>
      <c r="U43" s="80">
        <f>FPDC!J11</f>
        <v>0</v>
      </c>
      <c r="V43" s="75">
        <f>FPDC!R11+VLOOKUP($R$31,$AD$38:$AK$42,2,FALSE)+VLOOKUP($R$31,$AD$38:$AK$42,7,FALSE)+VLOOKUP('File location'!$B$1,'Tester offset'!$A$2:$D$4,3,FALSE)</f>
        <v>-7</v>
      </c>
      <c r="W43" s="76">
        <f>FPDC!S11+VLOOKUP($R$31,$AD$38:$AK$42,3,FALSE)+VLOOKUP($R$31,$AD$38:$AK$42,8,FALSE)+VLOOKUP('File location'!$B$1,'Tester offset'!$A$2:$D$4,4,FALSE)</f>
        <v>-3</v>
      </c>
      <c r="X43" s="92">
        <f>AVERAGEIF($T$34:$T$45,4,$V$34:$V$45)</f>
        <v>-7</v>
      </c>
      <c r="Y43" s="92">
        <f>AVERAGEIF($T$34:$T$45,4,$W$34:$W$45)</f>
        <v>-3</v>
      </c>
      <c r="Z43" s="90">
        <f>(X43*-0.01)/4</f>
        <v>1.7500000000000002E-2</v>
      </c>
      <c r="AA43" s="90">
        <f>(Y43*-0.01)/4</f>
        <v>7.4999999999999997E-3</v>
      </c>
    </row>
    <row r="44" spans="1:37" s="32" customFormat="1" ht="17.100000000000001" customHeight="1">
      <c r="A44" s="79">
        <f t="shared" si="0"/>
        <v>4</v>
      </c>
      <c r="B44" s="80">
        <f>IPQC!J12</f>
        <v>0</v>
      </c>
      <c r="C44" s="44">
        <f>IPQC!S12+VLOOKUP($R$31,$AD$38:$AK$42,6,FALSE)+VLOOKUP('File location'!$B$1,'Tester offset'!$A$2:$D$4,2,FALSE)</f>
        <v>6</v>
      </c>
      <c r="D44" s="44">
        <f>IPQC!Z12+VLOOKUP($R$31,$AD$38:$AK$42,6,FALSE)</f>
        <v>6</v>
      </c>
      <c r="E44" s="44">
        <f>VCM!HU12-'Summary(3pcs)'!C44-'Summary(3pcs)'!$D$32</f>
        <v>-185.50310559006209</v>
      </c>
      <c r="F44" s="90"/>
      <c r="G44" s="91"/>
      <c r="H44" s="91"/>
      <c r="I44" s="91"/>
      <c r="J44"/>
      <c r="K44" s="79">
        <f t="shared" si="1"/>
        <v>4</v>
      </c>
      <c r="L44" s="80">
        <f>OC!J12</f>
        <v>0</v>
      </c>
      <c r="M44" s="44">
        <f>OC!S12+VLOOKUP($R$31,$AD$38:$AK$42,4,FALSE)</f>
        <v>0</v>
      </c>
      <c r="N44" s="44">
        <f>OC!T12+VLOOKUP($R$31,$AD$38:$AK$42,5,FALSE)</f>
        <v>4</v>
      </c>
      <c r="O44" s="92"/>
      <c r="P44" s="92"/>
      <c r="Q44" s="90"/>
      <c r="R44" s="90"/>
      <c r="T44" s="79">
        <v>4</v>
      </c>
      <c r="U44" s="80">
        <f>FPDC!J12</f>
        <v>0</v>
      </c>
      <c r="V44" s="75">
        <f>FPDC!R12+VLOOKUP($R$31,$AD$38:$AK$42,2,FALSE)+VLOOKUP($R$31,$AD$38:$AK$42,7,FALSE)+VLOOKUP('File location'!$B$1,'Tester offset'!$A$2:$D$4,3,FALSE)</f>
        <v>-7</v>
      </c>
      <c r="W44" s="76">
        <f>FPDC!S12+VLOOKUP($R$31,$AD$38:$AK$42,3,FALSE)+VLOOKUP($R$31,$AD$38:$AK$42,8,FALSE)+VLOOKUP('File location'!$B$1,'Tester offset'!$A$2:$D$4,4,FALSE)</f>
        <v>-3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>
        <f>IPQC!J13</f>
        <v>0</v>
      </c>
      <c r="C45" s="44">
        <f>IPQC!S13+VLOOKUP($R$31,$AD$38:$AK$42,6,FALSE)+VLOOKUP('File location'!$B$1,'Tester offset'!$A$2:$D$4,2,FALSE)</f>
        <v>6</v>
      </c>
      <c r="D45" s="44">
        <f>IPQC!Z13+VLOOKUP($R$31,$AD$38:$AK$42,6,FALSE)</f>
        <v>6</v>
      </c>
      <c r="E45" s="44">
        <f>VCM!HU13-'Summary(3pcs)'!C45-'Summary(3pcs)'!$D$32</f>
        <v>-185.50310559006209</v>
      </c>
      <c r="F45" s="90"/>
      <c r="G45" s="91"/>
      <c r="H45" s="91"/>
      <c r="I45" s="91"/>
      <c r="J45"/>
      <c r="K45" s="79">
        <f t="shared" si="1"/>
        <v>4</v>
      </c>
      <c r="L45" s="80">
        <f>OC!J13</f>
        <v>0</v>
      </c>
      <c r="M45" s="44">
        <f>OC!S13+VLOOKUP($R$31,$AD$38:$AK$42,4,FALSE)</f>
        <v>0</v>
      </c>
      <c r="N45" s="44">
        <f>OC!T13+VLOOKUP($R$31,$AD$38:$AK$42,5,FALSE)</f>
        <v>4</v>
      </c>
      <c r="O45" s="92"/>
      <c r="P45" s="92"/>
      <c r="Q45" s="90"/>
      <c r="R45" s="90"/>
      <c r="T45" s="79">
        <v>4</v>
      </c>
      <c r="U45" s="80">
        <f>FPDC!J13</f>
        <v>0</v>
      </c>
      <c r="V45" s="75">
        <f>FPDC!R13+VLOOKUP($R$31,$AD$38:$AK$42,2,FALSE)+VLOOKUP($R$31,$AD$38:$AK$42,7,FALSE)+VLOOKUP('File location'!$B$1,'Tester offset'!$A$2:$D$4,3,FALSE)</f>
        <v>-7</v>
      </c>
      <c r="W45" s="76">
        <f>FPDC!S13+VLOOKUP($R$31,$AD$38:$AK$42,3,FALSE)+VLOOKUP($R$31,$AD$38:$AK$42,8,FALSE)+VLOOKUP('File location'!$B$1,'Tester offset'!$A$2:$D$4,4,FALSE)</f>
        <v>-3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88.640068107399998</v>
      </c>
      <c r="L54" s="49">
        <f t="shared" ref="L54:L65" si="4">D34</f>
        <v>72.788204000600004</v>
      </c>
      <c r="M54" s="49">
        <f t="shared" ref="M54:M65" si="5">E34</f>
        <v>142.11513206043793</v>
      </c>
      <c r="N54" s="49">
        <f t="shared" ref="N54:O65" si="6">M34</f>
        <v>-3.8013702319</v>
      </c>
      <c r="O54" s="49">
        <f t="shared" si="6"/>
        <v>-5.2317920087999994</v>
      </c>
      <c r="P54" s="49">
        <f t="shared" ref="P54:P65" si="7">V34</f>
        <v>-0.4573755263999999</v>
      </c>
      <c r="Q54" s="50">
        <f t="shared" ref="Q54:Q65" si="8">W34</f>
        <v>4.4034042358000001</v>
      </c>
    </row>
    <row r="55" spans="6:27" ht="19.5">
      <c r="I55" s="47">
        <f t="shared" si="2"/>
        <v>1</v>
      </c>
      <c r="J55" s="46"/>
      <c r="K55" s="51">
        <f t="shared" si="3"/>
        <v>94.988742999699994</v>
      </c>
      <c r="L55" s="52">
        <f t="shared" si="4"/>
        <v>76.673382771999997</v>
      </c>
      <c r="M55" s="52">
        <f t="shared" si="5"/>
        <v>145.84922498553794</v>
      </c>
      <c r="N55" s="52">
        <f t="shared" si="6"/>
        <v>9.9151521454000004</v>
      </c>
      <c r="O55" s="52">
        <f t="shared" si="6"/>
        <v>4.5740917330000004</v>
      </c>
      <c r="P55" s="52">
        <f t="shared" si="7"/>
        <v>7.9549646377999998</v>
      </c>
      <c r="Q55" s="53">
        <f t="shared" si="8"/>
        <v>5.0549535751000008</v>
      </c>
    </row>
    <row r="56" spans="6:27" ht="19.5">
      <c r="I56" s="47">
        <f t="shared" si="2"/>
        <v>1</v>
      </c>
      <c r="J56" s="46"/>
      <c r="K56" s="54">
        <f t="shared" si="3"/>
        <v>86.726371587399996</v>
      </c>
      <c r="L56" s="55">
        <f t="shared" si="4"/>
        <v>73.246018506300004</v>
      </c>
      <c r="M56" s="55">
        <f t="shared" si="5"/>
        <v>155.21055314843795</v>
      </c>
      <c r="N56" s="55">
        <f t="shared" si="6"/>
        <v>3.8746786943</v>
      </c>
      <c r="O56" s="55">
        <f t="shared" si="6"/>
        <v>-4.8952859374000006</v>
      </c>
      <c r="P56" s="55">
        <f t="shared" si="7"/>
        <v>2.4961528778000002</v>
      </c>
      <c r="Q56" s="56">
        <f t="shared" si="8"/>
        <v>-4.6403989792000004</v>
      </c>
    </row>
    <row r="57" spans="6:27" ht="19.5">
      <c r="I57" s="47">
        <f t="shared" si="2"/>
        <v>2</v>
      </c>
      <c r="J57" s="46"/>
      <c r="K57" s="57">
        <f t="shared" si="3"/>
        <v>6</v>
      </c>
      <c r="L57" s="58">
        <f t="shared" si="4"/>
        <v>6</v>
      </c>
      <c r="M57" s="58">
        <f t="shared" si="5"/>
        <v>-185.50310559006209</v>
      </c>
      <c r="N57" s="58">
        <f t="shared" si="6"/>
        <v>0</v>
      </c>
      <c r="O57" s="58">
        <f t="shared" si="6"/>
        <v>4</v>
      </c>
      <c r="P57" s="58">
        <f t="shared" si="7"/>
        <v>-7</v>
      </c>
      <c r="Q57" s="59">
        <f t="shared" si="8"/>
        <v>-3</v>
      </c>
    </row>
    <row r="58" spans="6:27" ht="19.5">
      <c r="I58" s="47">
        <f t="shared" si="2"/>
        <v>2</v>
      </c>
      <c r="J58" s="46"/>
      <c r="K58" s="57">
        <f t="shared" si="3"/>
        <v>6</v>
      </c>
      <c r="L58" s="58">
        <f t="shared" si="4"/>
        <v>6</v>
      </c>
      <c r="M58" s="58">
        <f t="shared" si="5"/>
        <v>-185.50310559006209</v>
      </c>
      <c r="N58" s="58">
        <f t="shared" si="6"/>
        <v>0</v>
      </c>
      <c r="O58" s="58">
        <f t="shared" si="6"/>
        <v>4</v>
      </c>
      <c r="P58" s="58">
        <f t="shared" si="7"/>
        <v>-7</v>
      </c>
      <c r="Q58" s="59">
        <f t="shared" si="8"/>
        <v>-3</v>
      </c>
    </row>
    <row r="59" spans="6:27" ht="19.5">
      <c r="I59" s="47">
        <f t="shared" si="2"/>
        <v>2</v>
      </c>
      <c r="J59" s="46"/>
      <c r="K59" s="57">
        <f t="shared" si="3"/>
        <v>6</v>
      </c>
      <c r="L59" s="58">
        <f t="shared" si="4"/>
        <v>6</v>
      </c>
      <c r="M59" s="58">
        <f t="shared" si="5"/>
        <v>-185.50310559006209</v>
      </c>
      <c r="N59" s="58">
        <f t="shared" si="6"/>
        <v>0</v>
      </c>
      <c r="O59" s="58">
        <f t="shared" si="6"/>
        <v>4</v>
      </c>
      <c r="P59" s="58">
        <f t="shared" si="7"/>
        <v>-7</v>
      </c>
      <c r="Q59" s="59">
        <f t="shared" si="8"/>
        <v>-3</v>
      </c>
    </row>
    <row r="60" spans="6:27" ht="19.5">
      <c r="I60" s="47">
        <f t="shared" si="2"/>
        <v>3</v>
      </c>
      <c r="J60" s="46"/>
      <c r="K60" s="60">
        <f t="shared" si="3"/>
        <v>6</v>
      </c>
      <c r="L60" s="61">
        <f t="shared" si="4"/>
        <v>6</v>
      </c>
      <c r="M60" s="61">
        <f t="shared" si="5"/>
        <v>-185.50310559006209</v>
      </c>
      <c r="N60" s="61">
        <f t="shared" si="6"/>
        <v>0</v>
      </c>
      <c r="O60" s="61">
        <f t="shared" si="6"/>
        <v>4</v>
      </c>
      <c r="P60" s="61">
        <f t="shared" si="7"/>
        <v>-7</v>
      </c>
      <c r="Q60" s="62">
        <f t="shared" si="8"/>
        <v>-3</v>
      </c>
    </row>
    <row r="61" spans="6:27" ht="19.5">
      <c r="I61" s="47">
        <f t="shared" si="2"/>
        <v>3</v>
      </c>
      <c r="J61" s="46"/>
      <c r="K61" s="63">
        <f t="shared" si="3"/>
        <v>6</v>
      </c>
      <c r="L61" s="64">
        <f t="shared" si="4"/>
        <v>6</v>
      </c>
      <c r="M61" s="64">
        <f t="shared" si="5"/>
        <v>-185.50310559006209</v>
      </c>
      <c r="N61" s="64">
        <f t="shared" si="6"/>
        <v>0</v>
      </c>
      <c r="O61" s="64">
        <f t="shared" si="6"/>
        <v>4</v>
      </c>
      <c r="P61" s="64">
        <f t="shared" si="7"/>
        <v>-7</v>
      </c>
      <c r="Q61" s="65">
        <f t="shared" si="8"/>
        <v>-3</v>
      </c>
    </row>
    <row r="62" spans="6:27" ht="19.5">
      <c r="I62" s="47">
        <f t="shared" si="2"/>
        <v>3</v>
      </c>
      <c r="J62" s="46"/>
      <c r="K62" s="66">
        <f t="shared" si="3"/>
        <v>6</v>
      </c>
      <c r="L62" s="67">
        <f t="shared" si="4"/>
        <v>6</v>
      </c>
      <c r="M62" s="67">
        <f t="shared" si="5"/>
        <v>-185.50310559006209</v>
      </c>
      <c r="N62" s="67">
        <f t="shared" si="6"/>
        <v>0</v>
      </c>
      <c r="O62" s="67">
        <f t="shared" si="6"/>
        <v>4</v>
      </c>
      <c r="P62" s="67">
        <f t="shared" si="7"/>
        <v>-7</v>
      </c>
      <c r="Q62" s="68">
        <f t="shared" si="8"/>
        <v>-3</v>
      </c>
    </row>
    <row r="63" spans="6:27" ht="19.5">
      <c r="I63" s="47">
        <f t="shared" si="2"/>
        <v>4</v>
      </c>
      <c r="J63" s="46"/>
      <c r="K63" s="57">
        <f t="shared" si="3"/>
        <v>6</v>
      </c>
      <c r="L63" s="58">
        <f t="shared" si="4"/>
        <v>6</v>
      </c>
      <c r="M63" s="58">
        <f t="shared" si="5"/>
        <v>-185.50310559006209</v>
      </c>
      <c r="N63" s="58">
        <f t="shared" si="6"/>
        <v>0</v>
      </c>
      <c r="O63" s="58">
        <f t="shared" si="6"/>
        <v>4</v>
      </c>
      <c r="P63" s="58">
        <f t="shared" si="7"/>
        <v>-7</v>
      </c>
      <c r="Q63" s="59">
        <f t="shared" si="8"/>
        <v>-3</v>
      </c>
    </row>
    <row r="64" spans="6:27" ht="19.5">
      <c r="I64" s="47">
        <f t="shared" si="2"/>
        <v>4</v>
      </c>
      <c r="J64" s="46"/>
      <c r="K64" s="57">
        <f t="shared" si="3"/>
        <v>6</v>
      </c>
      <c r="L64" s="58">
        <f t="shared" si="4"/>
        <v>6</v>
      </c>
      <c r="M64" s="58">
        <f t="shared" si="5"/>
        <v>-185.50310559006209</v>
      </c>
      <c r="N64" s="58">
        <f t="shared" si="6"/>
        <v>0</v>
      </c>
      <c r="O64" s="58">
        <f t="shared" si="6"/>
        <v>4</v>
      </c>
      <c r="P64" s="58">
        <f t="shared" si="7"/>
        <v>-7</v>
      </c>
      <c r="Q64" s="59">
        <f t="shared" si="8"/>
        <v>-3</v>
      </c>
    </row>
    <row r="65" spans="9:17" ht="20.25" thickBot="1">
      <c r="I65" s="47">
        <f t="shared" si="2"/>
        <v>4</v>
      </c>
      <c r="J65" s="46"/>
      <c r="K65" s="69">
        <f t="shared" si="3"/>
        <v>6</v>
      </c>
      <c r="L65" s="70">
        <f t="shared" si="4"/>
        <v>6</v>
      </c>
      <c r="M65" s="70">
        <f t="shared" si="5"/>
        <v>-185.50310559006209</v>
      </c>
      <c r="N65" s="70">
        <f t="shared" si="6"/>
        <v>0</v>
      </c>
      <c r="O65" s="70">
        <f t="shared" si="6"/>
        <v>4</v>
      </c>
      <c r="P65" s="70">
        <f t="shared" si="7"/>
        <v>-7</v>
      </c>
      <c r="Q65" s="71">
        <f t="shared" si="8"/>
        <v>-3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2108.6986297681001</v>
      </c>
      <c r="R2">
        <v>1521.7317920088001</v>
      </c>
      <c r="S2">
        <v>-3.8013702319</v>
      </c>
      <c r="T2">
        <v>-9.2317920087999994</v>
      </c>
      <c r="U2">
        <v>9.9838068557999993</v>
      </c>
      <c r="V2">
        <v>748.56349999999998</v>
      </c>
      <c r="W2">
        <v>404.65499999999997</v>
      </c>
      <c r="X2">
        <v>405.37439999999998</v>
      </c>
      <c r="Y2">
        <v>403.93</v>
      </c>
      <c r="Z2">
        <v>399.42590000000001</v>
      </c>
      <c r="AA2">
        <v>575.95491249999998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2122.4151521454</v>
      </c>
      <c r="R3">
        <v>1511.9259082670001</v>
      </c>
      <c r="S3">
        <v>9.9151521454000004</v>
      </c>
      <c r="T3">
        <v>0.57409173300000005</v>
      </c>
      <c r="U3">
        <v>9.9317583229000004</v>
      </c>
      <c r="V3">
        <v>730.80520000000001</v>
      </c>
      <c r="W3">
        <v>396.70940000000002</v>
      </c>
      <c r="X3">
        <v>393.11790000000002</v>
      </c>
      <c r="Y3">
        <v>390.82769999999999</v>
      </c>
      <c r="Z3">
        <v>391.71039999999999</v>
      </c>
      <c r="AA3">
        <v>561.94827499999997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548</v>
      </c>
      <c r="B4" t="s">
        <v>549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2116.3746786943002</v>
      </c>
      <c r="R4">
        <v>1521.3952859374001</v>
      </c>
      <c r="S4">
        <v>3.8746786943</v>
      </c>
      <c r="T4">
        <v>-8.8952859374000006</v>
      </c>
      <c r="U4">
        <v>9.7025381675000002</v>
      </c>
      <c r="V4">
        <v>742.42079999999999</v>
      </c>
      <c r="W4">
        <v>402.87819999999999</v>
      </c>
      <c r="X4">
        <v>403.5104</v>
      </c>
      <c r="Y4">
        <v>401.34410000000003</v>
      </c>
      <c r="Z4">
        <v>399.51280000000003</v>
      </c>
      <c r="AA4">
        <v>572.11608750000005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4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245</v>
      </c>
      <c r="AB1" t="s">
        <v>246</v>
      </c>
      <c r="AC1" t="s">
        <v>247</v>
      </c>
      <c r="AD1" t="s">
        <v>248</v>
      </c>
      <c r="AE1" t="s">
        <v>249</v>
      </c>
      <c r="AF1" t="s">
        <v>250</v>
      </c>
      <c r="AG1" t="s">
        <v>251</v>
      </c>
      <c r="AH1" t="s">
        <v>252</v>
      </c>
      <c r="AI1" t="s">
        <v>253</v>
      </c>
      <c r="AJ1" t="s">
        <v>254</v>
      </c>
      <c r="AK1" t="s">
        <v>255</v>
      </c>
      <c r="AL1" t="s">
        <v>256</v>
      </c>
      <c r="AM1" t="s">
        <v>257</v>
      </c>
      <c r="AN1" t="s">
        <v>258</v>
      </c>
      <c r="AO1" t="s">
        <v>259</v>
      </c>
      <c r="AP1" t="s">
        <v>260</v>
      </c>
      <c r="AQ1" t="s">
        <v>261</v>
      </c>
      <c r="AR1" t="s">
        <v>262</v>
      </c>
      <c r="AS1" t="s">
        <v>263</v>
      </c>
      <c r="AT1" t="s">
        <v>264</v>
      </c>
      <c r="AU1" t="s">
        <v>265</v>
      </c>
      <c r="AV1" t="s">
        <v>207</v>
      </c>
      <c r="AW1" t="s">
        <v>208</v>
      </c>
      <c r="AX1" t="s">
        <v>209</v>
      </c>
    </row>
    <row r="2" spans="1:50">
      <c r="A2" t="s">
        <v>266</v>
      </c>
      <c r="B2" t="s">
        <v>267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-3.6955E-6</v>
      </c>
      <c r="R2">
        <v>6.5426244736000001</v>
      </c>
      <c r="S2">
        <v>7.4034042358000001</v>
      </c>
      <c r="T2">
        <v>6.6089196205</v>
      </c>
      <c r="U2">
        <v>8.3257369995000001</v>
      </c>
      <c r="V2">
        <v>-7.9476261139000002</v>
      </c>
      <c r="W2">
        <v>0.17741370200000001</v>
      </c>
      <c r="X2">
        <v>-1.7710924149</v>
      </c>
      <c r="Y2">
        <v>-1.6128385067</v>
      </c>
      <c r="Z2">
        <v>-0.32879912849999998</v>
      </c>
      <c r="AA2">
        <v>-8.4930657999999996E-3</v>
      </c>
      <c r="AB2">
        <v>-2.8380112648</v>
      </c>
      <c r="AC2">
        <v>1.9224786758000001</v>
      </c>
      <c r="AD2">
        <v>-0.66996288299999995</v>
      </c>
      <c r="AE2">
        <v>0.34826570750000002</v>
      </c>
      <c r="AF2">
        <v>0.38446462149999999</v>
      </c>
      <c r="AG2">
        <v>-0.63489991430000003</v>
      </c>
      <c r="AH2">
        <v>-0.22252708669999999</v>
      </c>
      <c r="AI2">
        <v>-3.1872987700000001E-2</v>
      </c>
      <c r="AJ2">
        <v>0.42299330229999998</v>
      </c>
      <c r="AK2">
        <v>1.5160259999999999E-4</v>
      </c>
      <c r="AL2">
        <v>4.0809124699999998E-2</v>
      </c>
      <c r="AM2">
        <v>0.18237073719999999</v>
      </c>
      <c r="AN2">
        <v>0.20916137100000001</v>
      </c>
      <c r="AO2">
        <v>0.29642635579999999</v>
      </c>
      <c r="AP2">
        <v>0.29642635579999999</v>
      </c>
      <c r="AQ2">
        <v>9.8800976352000003</v>
      </c>
      <c r="AR2" t="s">
        <v>269</v>
      </c>
      <c r="AS2" t="s">
        <v>270</v>
      </c>
      <c r="AT2">
        <v>3</v>
      </c>
      <c r="AU2">
        <v>2.9</v>
      </c>
      <c r="AX2">
        <v>1</v>
      </c>
    </row>
    <row r="3" spans="1:50">
      <c r="A3" t="s">
        <v>555</v>
      </c>
      <c r="B3" t="s">
        <v>556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2.2649800000000001E-5</v>
      </c>
      <c r="R3">
        <v>14.9549646378</v>
      </c>
      <c r="S3">
        <v>8.0549535751000008</v>
      </c>
      <c r="T3">
        <v>6.4224610329000003</v>
      </c>
      <c r="U3">
        <v>9.2025985717999994</v>
      </c>
      <c r="V3">
        <v>-3.3072686194999998</v>
      </c>
      <c r="W3">
        <v>-0.40867799519999998</v>
      </c>
      <c r="X3">
        <v>-2.809217453</v>
      </c>
      <c r="Y3">
        <v>-1.9002041816999999</v>
      </c>
      <c r="Z3">
        <v>-0.82600390909999999</v>
      </c>
      <c r="AA3">
        <v>-0.62786447999999995</v>
      </c>
      <c r="AB3">
        <v>-2.7325532436</v>
      </c>
      <c r="AC3">
        <v>1.1595938206</v>
      </c>
      <c r="AD3">
        <v>-1.4050261974</v>
      </c>
      <c r="AE3">
        <v>0.39687269930000002</v>
      </c>
      <c r="AF3">
        <v>0.85243165489999995</v>
      </c>
      <c r="AG3">
        <v>0.32924920320000001</v>
      </c>
      <c r="AH3">
        <v>-0.17961037160000001</v>
      </c>
      <c r="AI3">
        <v>7.2041750000000002E-3</v>
      </c>
      <c r="AJ3">
        <v>1.5515648126999999</v>
      </c>
      <c r="AK3">
        <v>2.0178460000000001E-4</v>
      </c>
      <c r="AL3">
        <v>4.5424345900000003E-2</v>
      </c>
      <c r="AM3">
        <v>0.22964818779999999</v>
      </c>
      <c r="AN3">
        <v>0.20304299889999999</v>
      </c>
      <c r="AO3">
        <v>0.39698004720000002</v>
      </c>
      <c r="AP3">
        <v>0.39698004720000002</v>
      </c>
      <c r="AQ3">
        <v>16.986266347099999</v>
      </c>
      <c r="AR3" t="s">
        <v>269</v>
      </c>
      <c r="AS3" t="s">
        <v>270</v>
      </c>
      <c r="AT3">
        <v>3</v>
      </c>
      <c r="AU3">
        <v>2.9</v>
      </c>
      <c r="AX3">
        <v>1</v>
      </c>
    </row>
    <row r="4" spans="1:50">
      <c r="A4" t="s">
        <v>557</v>
      </c>
      <c r="B4" t="s">
        <v>558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-1.5735599999999999E-5</v>
      </c>
      <c r="R4">
        <v>9.4961528778000002</v>
      </c>
      <c r="S4">
        <v>-1.6403989792</v>
      </c>
      <c r="T4">
        <v>7.7390298842999998</v>
      </c>
      <c r="U4">
        <v>9.2408819198999996</v>
      </c>
      <c r="V4">
        <v>-1.9207851887</v>
      </c>
      <c r="W4">
        <v>0.56413918730000001</v>
      </c>
      <c r="X4">
        <v>-1.0210158825</v>
      </c>
      <c r="Y4">
        <v>-1.7342065573000001</v>
      </c>
      <c r="Z4">
        <v>-1.6404485703</v>
      </c>
      <c r="AA4">
        <v>-1.4490747451999999</v>
      </c>
      <c r="AB4">
        <v>-2.9110879897999999</v>
      </c>
      <c r="AC4">
        <v>8.2242309999999999E-2</v>
      </c>
      <c r="AD4">
        <v>-1.3957149981999999</v>
      </c>
      <c r="AE4">
        <v>-0.28689175839999997</v>
      </c>
      <c r="AF4">
        <v>0.19223177429999999</v>
      </c>
      <c r="AG4">
        <v>0.32184094190000001</v>
      </c>
      <c r="AH4">
        <v>0.17670455569999999</v>
      </c>
      <c r="AI4">
        <v>9.3455672300000001E-2</v>
      </c>
      <c r="AJ4">
        <v>0.61765533689999996</v>
      </c>
      <c r="AK4">
        <v>1.925029E-4</v>
      </c>
      <c r="AL4">
        <v>4.5340959E-2</v>
      </c>
      <c r="AM4">
        <v>0.1445802897</v>
      </c>
      <c r="AN4">
        <v>3.81113961E-2</v>
      </c>
      <c r="AO4">
        <v>0.26009553670000002</v>
      </c>
      <c r="AP4">
        <v>0.26009553670000002</v>
      </c>
      <c r="AQ4">
        <v>9.6367955404999996</v>
      </c>
      <c r="AR4" t="s">
        <v>269</v>
      </c>
      <c r="AS4" t="s">
        <v>270</v>
      </c>
      <c r="AT4">
        <v>3</v>
      </c>
      <c r="AU4">
        <v>2.9</v>
      </c>
      <c r="AX4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271</v>
      </c>
      <c r="R1" t="s">
        <v>272</v>
      </c>
      <c r="S1" t="s">
        <v>273</v>
      </c>
      <c r="T1" t="s">
        <v>274</v>
      </c>
      <c r="U1" t="s">
        <v>275</v>
      </c>
      <c r="V1" t="s">
        <v>276</v>
      </c>
      <c r="W1" t="s">
        <v>277</v>
      </c>
      <c r="X1" t="s">
        <v>278</v>
      </c>
      <c r="Y1" t="s">
        <v>279</v>
      </c>
      <c r="Z1" t="s">
        <v>280</v>
      </c>
      <c r="AA1" t="s">
        <v>281</v>
      </c>
      <c r="AB1" t="s">
        <v>282</v>
      </c>
      <c r="AC1" t="s">
        <v>283</v>
      </c>
      <c r="AD1" t="s">
        <v>207</v>
      </c>
      <c r="AE1" t="s">
        <v>208</v>
      </c>
      <c r="AF1" t="s">
        <v>209</v>
      </c>
    </row>
    <row r="2" spans="1:32">
      <c r="A2" t="s">
        <v>266</v>
      </c>
      <c r="B2" t="s">
        <v>284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-9.3841642229000009</v>
      </c>
      <c r="R2">
        <v>-64</v>
      </c>
      <c r="S2">
        <v>82.640068107399998</v>
      </c>
      <c r="T2">
        <v>114.7197992887</v>
      </c>
      <c r="U2">
        <v>3.4542018898000002</v>
      </c>
      <c r="V2">
        <v>3.1468766E-3</v>
      </c>
      <c r="W2">
        <v>-7.0117500000000001E-5</v>
      </c>
      <c r="X2">
        <v>3.2738661924999999</v>
      </c>
      <c r="Y2">
        <v>82.627317169799994</v>
      </c>
      <c r="Z2">
        <v>66.788204000600004</v>
      </c>
      <c r="AA2">
        <v>327.61823765050002</v>
      </c>
      <c r="AB2">
        <v>349.07263870790001</v>
      </c>
      <c r="AC2">
        <v>1</v>
      </c>
      <c r="AF2">
        <v>1</v>
      </c>
    </row>
    <row r="3" spans="1:32">
      <c r="A3" t="s">
        <v>555</v>
      </c>
      <c r="B3" t="s">
        <v>559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-7.0381231672000002</v>
      </c>
      <c r="R3">
        <v>-48</v>
      </c>
      <c r="S3">
        <v>88.988742999699994</v>
      </c>
      <c r="T3">
        <v>114.19414742070001</v>
      </c>
      <c r="U3">
        <v>3.6060132267</v>
      </c>
      <c r="V3">
        <v>3.0038577999999998E-3</v>
      </c>
      <c r="W3">
        <v>-7.2752900000000006E-5</v>
      </c>
      <c r="X3">
        <v>3.3993049789000001</v>
      </c>
      <c r="Y3">
        <v>88.764636734899995</v>
      </c>
      <c r="Z3">
        <v>70.673382771999997</v>
      </c>
      <c r="AA3">
        <v>331.35233057559998</v>
      </c>
      <c r="AB3">
        <v>352.87286189870002</v>
      </c>
      <c r="AC3">
        <v>1</v>
      </c>
      <c r="AF3">
        <v>1</v>
      </c>
    </row>
    <row r="4" spans="1:32">
      <c r="A4" t="s">
        <v>557</v>
      </c>
      <c r="B4" t="s">
        <v>560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-11.7302052786</v>
      </c>
      <c r="R4">
        <v>-80</v>
      </c>
      <c r="S4">
        <v>80.726371587399996</v>
      </c>
      <c r="T4">
        <v>120.672892946</v>
      </c>
      <c r="U4">
        <v>3.4492580843999998</v>
      </c>
      <c r="V4">
        <v>2.9569689999999998E-3</v>
      </c>
      <c r="W4">
        <v>-6.63622E-5</v>
      </c>
      <c r="X4">
        <v>3.2651740805</v>
      </c>
      <c r="Y4">
        <v>80.421226997600002</v>
      </c>
      <c r="Z4">
        <v>67.246018506300004</v>
      </c>
      <c r="AA4">
        <v>340.71365873849999</v>
      </c>
      <c r="AB4">
        <v>362.76147635000001</v>
      </c>
      <c r="AC4">
        <v>1</v>
      </c>
      <c r="AF4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4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297</v>
      </c>
      <c r="AD1" t="s">
        <v>298</v>
      </c>
      <c r="AE1" t="s">
        <v>299</v>
      </c>
      <c r="AF1" t="s">
        <v>300</v>
      </c>
      <c r="AG1" t="s">
        <v>301</v>
      </c>
      <c r="AH1" t="s">
        <v>302</v>
      </c>
      <c r="AI1" t="s">
        <v>303</v>
      </c>
      <c r="AJ1" t="s">
        <v>304</v>
      </c>
      <c r="AK1" t="s">
        <v>305</v>
      </c>
      <c r="AL1" t="s">
        <v>306</v>
      </c>
      <c r="AM1" t="s">
        <v>307</v>
      </c>
      <c r="AN1" t="s">
        <v>308</v>
      </c>
      <c r="AO1" t="s">
        <v>309</v>
      </c>
      <c r="AP1" t="s">
        <v>310</v>
      </c>
      <c r="AQ1" t="s">
        <v>311</v>
      </c>
      <c r="AR1" t="s">
        <v>312</v>
      </c>
      <c r="AS1" t="s">
        <v>313</v>
      </c>
      <c r="AT1" t="s">
        <v>314</v>
      </c>
      <c r="AU1" t="s">
        <v>315</v>
      </c>
      <c r="AV1" t="s">
        <v>316</v>
      </c>
      <c r="AW1" t="s">
        <v>317</v>
      </c>
      <c r="AX1" t="s">
        <v>318</v>
      </c>
      <c r="AY1" t="s">
        <v>319</v>
      </c>
      <c r="AZ1" t="s">
        <v>320</v>
      </c>
      <c r="BA1" t="s">
        <v>321</v>
      </c>
      <c r="BB1" t="s">
        <v>322</v>
      </c>
      <c r="BC1" t="s">
        <v>323</v>
      </c>
      <c r="BD1" t="s">
        <v>324</v>
      </c>
      <c r="BE1" t="s">
        <v>325</v>
      </c>
      <c r="BF1" t="s">
        <v>326</v>
      </c>
      <c r="BG1" t="s">
        <v>327</v>
      </c>
      <c r="BH1" t="s">
        <v>328</v>
      </c>
      <c r="BI1" t="s">
        <v>329</v>
      </c>
      <c r="BJ1" t="s">
        <v>330</v>
      </c>
      <c r="BK1" t="s">
        <v>331</v>
      </c>
      <c r="BL1" t="s">
        <v>332</v>
      </c>
      <c r="BM1" t="s">
        <v>333</v>
      </c>
      <c r="BN1" t="s">
        <v>334</v>
      </c>
      <c r="BO1" t="s">
        <v>335</v>
      </c>
      <c r="BP1" t="s">
        <v>336</v>
      </c>
      <c r="BQ1" t="s">
        <v>337</v>
      </c>
      <c r="BR1" t="s">
        <v>338</v>
      </c>
      <c r="BS1" t="s">
        <v>339</v>
      </c>
      <c r="BT1" t="s">
        <v>340</v>
      </c>
      <c r="BU1" t="s">
        <v>341</v>
      </c>
      <c r="BV1" t="s">
        <v>342</v>
      </c>
      <c r="BW1" t="s">
        <v>343</v>
      </c>
      <c r="BX1" t="s">
        <v>344</v>
      </c>
      <c r="BY1" t="s">
        <v>345</v>
      </c>
      <c r="BZ1" t="s">
        <v>346</v>
      </c>
      <c r="CA1" t="s">
        <v>347</v>
      </c>
      <c r="CB1" t="s">
        <v>348</v>
      </c>
      <c r="CC1" t="s">
        <v>349</v>
      </c>
      <c r="CD1" t="s">
        <v>350</v>
      </c>
      <c r="CE1" t="s">
        <v>351</v>
      </c>
      <c r="CF1" t="s">
        <v>352</v>
      </c>
      <c r="CG1" t="s">
        <v>353</v>
      </c>
      <c r="CH1" t="s">
        <v>354</v>
      </c>
      <c r="CI1" t="s">
        <v>355</v>
      </c>
      <c r="CJ1" t="s">
        <v>356</v>
      </c>
      <c r="CK1" t="s">
        <v>357</v>
      </c>
      <c r="CL1" t="s">
        <v>358</v>
      </c>
      <c r="CM1" t="s">
        <v>359</v>
      </c>
      <c r="CN1" t="s">
        <v>360</v>
      </c>
      <c r="CO1" t="s">
        <v>361</v>
      </c>
      <c r="CP1" t="s">
        <v>362</v>
      </c>
      <c r="CQ1" t="s">
        <v>363</v>
      </c>
      <c r="CR1" t="s">
        <v>364</v>
      </c>
      <c r="CS1" t="s">
        <v>365</v>
      </c>
      <c r="CT1" t="s">
        <v>366</v>
      </c>
      <c r="CU1" t="s">
        <v>367</v>
      </c>
      <c r="CV1" t="s">
        <v>368</v>
      </c>
      <c r="CW1" t="s">
        <v>369</v>
      </c>
      <c r="CX1" t="s">
        <v>370</v>
      </c>
      <c r="CY1" t="s">
        <v>371</v>
      </c>
      <c r="CZ1" t="s">
        <v>372</v>
      </c>
      <c r="DA1" t="s">
        <v>373</v>
      </c>
      <c r="DB1" t="s">
        <v>374</v>
      </c>
      <c r="DC1" t="s">
        <v>375</v>
      </c>
      <c r="DD1" t="s">
        <v>376</v>
      </c>
      <c r="DE1" t="s">
        <v>377</v>
      </c>
      <c r="DF1" t="s">
        <v>378</v>
      </c>
      <c r="DG1" t="s">
        <v>379</v>
      </c>
      <c r="DH1" t="s">
        <v>380</v>
      </c>
      <c r="DI1" t="s">
        <v>381</v>
      </c>
      <c r="DJ1" t="s">
        <v>382</v>
      </c>
      <c r="DK1" t="s">
        <v>383</v>
      </c>
      <c r="DL1" t="s">
        <v>384</v>
      </c>
      <c r="DM1" t="s">
        <v>385</v>
      </c>
      <c r="DN1" t="s">
        <v>386</v>
      </c>
      <c r="DO1" t="s">
        <v>387</v>
      </c>
      <c r="DP1" t="s">
        <v>388</v>
      </c>
      <c r="DQ1" t="s">
        <v>389</v>
      </c>
      <c r="DR1" t="s">
        <v>390</v>
      </c>
      <c r="DS1" t="s">
        <v>391</v>
      </c>
      <c r="DT1" t="s">
        <v>392</v>
      </c>
      <c r="DU1" t="s">
        <v>393</v>
      </c>
      <c r="DV1" t="s">
        <v>394</v>
      </c>
      <c r="DW1" t="s">
        <v>395</v>
      </c>
      <c r="DX1" t="s">
        <v>396</v>
      </c>
      <c r="DY1" t="s">
        <v>397</v>
      </c>
      <c r="DZ1" t="s">
        <v>398</v>
      </c>
      <c r="EA1" t="s">
        <v>399</v>
      </c>
      <c r="EB1" t="s">
        <v>400</v>
      </c>
      <c r="EC1" t="s">
        <v>401</v>
      </c>
      <c r="ED1" t="s">
        <v>402</v>
      </c>
      <c r="EE1" t="s">
        <v>403</v>
      </c>
      <c r="EF1" t="s">
        <v>404</v>
      </c>
      <c r="EG1" t="s">
        <v>405</v>
      </c>
      <c r="EH1" t="s">
        <v>406</v>
      </c>
      <c r="EI1" t="s">
        <v>407</v>
      </c>
      <c r="EJ1" t="s">
        <v>408</v>
      </c>
      <c r="EK1" t="s">
        <v>409</v>
      </c>
      <c r="EL1" t="s">
        <v>410</v>
      </c>
      <c r="EM1" t="s">
        <v>411</v>
      </c>
      <c r="EN1" t="s">
        <v>412</v>
      </c>
      <c r="EO1" t="s">
        <v>413</v>
      </c>
      <c r="EP1" t="s">
        <v>414</v>
      </c>
      <c r="EQ1" t="s">
        <v>415</v>
      </c>
      <c r="ER1" t="s">
        <v>416</v>
      </c>
      <c r="ES1" t="s">
        <v>417</v>
      </c>
      <c r="ET1" t="s">
        <v>418</v>
      </c>
      <c r="EU1" t="s">
        <v>419</v>
      </c>
      <c r="EV1" t="s">
        <v>420</v>
      </c>
      <c r="EW1" t="s">
        <v>421</v>
      </c>
      <c r="EX1" t="s">
        <v>422</v>
      </c>
      <c r="EY1" t="s">
        <v>423</v>
      </c>
      <c r="EZ1" t="s">
        <v>424</v>
      </c>
      <c r="FA1" t="s">
        <v>425</v>
      </c>
      <c r="FB1" t="s">
        <v>426</v>
      </c>
      <c r="FC1" t="s">
        <v>427</v>
      </c>
      <c r="FD1" t="s">
        <v>428</v>
      </c>
      <c r="FE1" t="s">
        <v>429</v>
      </c>
      <c r="FF1" t="s">
        <v>430</v>
      </c>
      <c r="FG1" t="s">
        <v>431</v>
      </c>
      <c r="FH1" t="s">
        <v>432</v>
      </c>
      <c r="FI1" t="s">
        <v>433</v>
      </c>
      <c r="FJ1" t="s">
        <v>434</v>
      </c>
      <c r="FK1" t="s">
        <v>435</v>
      </c>
      <c r="FL1" t="s">
        <v>436</v>
      </c>
      <c r="FM1" t="s">
        <v>437</v>
      </c>
      <c r="FN1" t="s">
        <v>438</v>
      </c>
      <c r="FO1" t="s">
        <v>439</v>
      </c>
      <c r="FP1" t="s">
        <v>440</v>
      </c>
      <c r="FQ1" t="s">
        <v>441</v>
      </c>
      <c r="FR1" t="s">
        <v>442</v>
      </c>
      <c r="FS1" t="s">
        <v>443</v>
      </c>
      <c r="FT1" t="s">
        <v>444</v>
      </c>
      <c r="FU1" t="s">
        <v>445</v>
      </c>
      <c r="FV1" t="s">
        <v>446</v>
      </c>
      <c r="FW1" t="s">
        <v>447</v>
      </c>
      <c r="FX1" t="s">
        <v>448</v>
      </c>
      <c r="FY1" t="s">
        <v>449</v>
      </c>
      <c r="FZ1" t="s">
        <v>450</v>
      </c>
      <c r="GA1" t="s">
        <v>451</v>
      </c>
      <c r="GB1" t="s">
        <v>452</v>
      </c>
      <c r="GC1" t="s">
        <v>453</v>
      </c>
      <c r="GD1" t="s">
        <v>454</v>
      </c>
      <c r="GE1" t="s">
        <v>455</v>
      </c>
      <c r="GF1" t="s">
        <v>456</v>
      </c>
      <c r="GG1" t="s">
        <v>457</v>
      </c>
      <c r="GH1" t="s">
        <v>458</v>
      </c>
      <c r="GI1" t="s">
        <v>459</v>
      </c>
      <c r="GJ1" t="s">
        <v>460</v>
      </c>
      <c r="GK1" t="s">
        <v>461</v>
      </c>
      <c r="GL1" t="s">
        <v>462</v>
      </c>
      <c r="GM1" t="s">
        <v>463</v>
      </c>
      <c r="GN1" t="s">
        <v>464</v>
      </c>
      <c r="GO1" t="s">
        <v>465</v>
      </c>
      <c r="GP1" t="s">
        <v>466</v>
      </c>
      <c r="GQ1" t="s">
        <v>467</v>
      </c>
      <c r="GR1" t="s">
        <v>468</v>
      </c>
      <c r="GS1" t="s">
        <v>469</v>
      </c>
      <c r="GT1" t="s">
        <v>470</v>
      </c>
      <c r="GU1" t="s">
        <v>471</v>
      </c>
      <c r="GV1" t="s">
        <v>472</v>
      </c>
      <c r="GW1" t="s">
        <v>473</v>
      </c>
      <c r="GX1" t="s">
        <v>474</v>
      </c>
      <c r="GY1" t="s">
        <v>475</v>
      </c>
      <c r="GZ1" t="s">
        <v>476</v>
      </c>
      <c r="HA1" t="s">
        <v>477</v>
      </c>
      <c r="HB1" t="s">
        <v>478</v>
      </c>
      <c r="HC1" t="s">
        <v>479</v>
      </c>
      <c r="HD1" t="s">
        <v>480</v>
      </c>
      <c r="HE1" t="s">
        <v>481</v>
      </c>
      <c r="HF1" t="s">
        <v>482</v>
      </c>
      <c r="HG1" t="s">
        <v>483</v>
      </c>
      <c r="HH1" t="s">
        <v>484</v>
      </c>
      <c r="HI1" t="s">
        <v>485</v>
      </c>
      <c r="HJ1" t="s">
        <v>486</v>
      </c>
      <c r="HK1" t="s">
        <v>487</v>
      </c>
      <c r="HL1" t="s">
        <v>488</v>
      </c>
      <c r="HM1" t="s">
        <v>489</v>
      </c>
      <c r="HN1" t="s">
        <v>490</v>
      </c>
      <c r="HO1" t="s">
        <v>491</v>
      </c>
      <c r="HP1" t="s">
        <v>492</v>
      </c>
      <c r="HQ1" t="s">
        <v>493</v>
      </c>
      <c r="HR1" t="s">
        <v>494</v>
      </c>
      <c r="HS1" t="s">
        <v>495</v>
      </c>
      <c r="HT1" t="s">
        <v>496</v>
      </c>
      <c r="HU1" t="s">
        <v>497</v>
      </c>
      <c r="HV1" t="s">
        <v>498</v>
      </c>
      <c r="HW1" t="s">
        <v>499</v>
      </c>
      <c r="HX1" t="s">
        <v>500</v>
      </c>
      <c r="HY1" t="s">
        <v>501</v>
      </c>
      <c r="HZ1" t="s">
        <v>502</v>
      </c>
      <c r="IA1" t="s">
        <v>503</v>
      </c>
      <c r="IB1" t="s">
        <v>504</v>
      </c>
      <c r="IC1" t="s">
        <v>505</v>
      </c>
      <c r="ID1" t="s">
        <v>506</v>
      </c>
      <c r="IE1" t="s">
        <v>507</v>
      </c>
      <c r="IF1" t="s">
        <v>508</v>
      </c>
      <c r="IG1" t="s">
        <v>509</v>
      </c>
      <c r="IH1" t="s">
        <v>510</v>
      </c>
      <c r="II1" t="s">
        <v>511</v>
      </c>
      <c r="IJ1" t="s">
        <v>512</v>
      </c>
      <c r="IK1" t="s">
        <v>513</v>
      </c>
      <c r="IL1" t="s">
        <v>514</v>
      </c>
      <c r="IM1" t="s">
        <v>515</v>
      </c>
      <c r="IN1" t="s">
        <v>516</v>
      </c>
      <c r="IO1" t="s">
        <v>517</v>
      </c>
      <c r="IP1" t="s">
        <v>518</v>
      </c>
      <c r="IQ1" t="s">
        <v>519</v>
      </c>
      <c r="IR1" t="s">
        <v>520</v>
      </c>
      <c r="IS1" t="s">
        <v>521</v>
      </c>
      <c r="IT1" t="s">
        <v>522</v>
      </c>
      <c r="IU1" t="s">
        <v>523</v>
      </c>
      <c r="IV1" t="s">
        <v>524</v>
      </c>
      <c r="IW1" t="s">
        <v>525</v>
      </c>
      <c r="IX1" t="s">
        <v>526</v>
      </c>
      <c r="IY1" t="s">
        <v>527</v>
      </c>
      <c r="IZ1" t="s">
        <v>528</v>
      </c>
      <c r="JA1" t="s">
        <v>529</v>
      </c>
      <c r="JB1" t="s">
        <v>530</v>
      </c>
      <c r="JC1" t="s">
        <v>531</v>
      </c>
      <c r="JD1" t="s">
        <v>532</v>
      </c>
      <c r="JE1" t="s">
        <v>533</v>
      </c>
      <c r="JF1" t="s">
        <v>534</v>
      </c>
      <c r="JG1" t="s">
        <v>535</v>
      </c>
      <c r="JH1" t="s">
        <v>536</v>
      </c>
      <c r="JI1" t="s">
        <v>537</v>
      </c>
      <c r="JJ1" t="s">
        <v>538</v>
      </c>
      <c r="JK1" t="s">
        <v>278</v>
      </c>
      <c r="JL1" t="s">
        <v>539</v>
      </c>
      <c r="JM1" t="s">
        <v>540</v>
      </c>
      <c r="JN1" t="s">
        <v>541</v>
      </c>
      <c r="JO1" t="s">
        <v>207</v>
      </c>
      <c r="JP1" t="s">
        <v>208</v>
      </c>
      <c r="JQ1" t="s">
        <v>209</v>
      </c>
    </row>
    <row r="2" spans="1:277">
      <c r="A2" t="s">
        <v>542</v>
      </c>
      <c r="B2" t="s">
        <v>543</v>
      </c>
      <c r="C2" t="s">
        <v>212</v>
      </c>
      <c r="D2">
        <v>3</v>
      </c>
      <c r="E2" t="s">
        <v>213</v>
      </c>
      <c r="F2" t="s">
        <v>214</v>
      </c>
      <c r="G2" t="s">
        <v>544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2.1999999990000001</v>
      </c>
      <c r="R2">
        <v>0.19999999860000001</v>
      </c>
      <c r="S2">
        <v>0.19999999860000001</v>
      </c>
      <c r="T2">
        <v>9.9999999300000003E-2</v>
      </c>
      <c r="U2">
        <v>0.19999999860000001</v>
      </c>
      <c r="V2">
        <v>0.19999999860000001</v>
      </c>
      <c r="W2">
        <v>0.19999999860000001</v>
      </c>
      <c r="X2">
        <v>0.19999999860000001</v>
      </c>
      <c r="Y2">
        <v>0.19999999860000001</v>
      </c>
      <c r="Z2">
        <v>0.19999999860000001</v>
      </c>
      <c r="AA2">
        <v>9.9999999300000003E-2</v>
      </c>
      <c r="AB2">
        <v>0</v>
      </c>
      <c r="AC2">
        <v>0</v>
      </c>
      <c r="AD2">
        <v>9.9999999300000003E-2</v>
      </c>
      <c r="AE2">
        <v>9.9999999300000003E-2</v>
      </c>
      <c r="AF2">
        <v>0</v>
      </c>
      <c r="AG2">
        <v>0.89999999909999995</v>
      </c>
      <c r="AH2">
        <v>3.6</v>
      </c>
      <c r="AI2">
        <v>8.8999999989000003</v>
      </c>
      <c r="AJ2">
        <v>15.299999999100001</v>
      </c>
      <c r="AK2">
        <v>21.8999999997</v>
      </c>
      <c r="AL2">
        <v>28.199999998799999</v>
      </c>
      <c r="AM2">
        <v>34.899999998699997</v>
      </c>
      <c r="AN2">
        <v>42.199999999900001</v>
      </c>
      <c r="AO2">
        <v>49.6000000003</v>
      </c>
      <c r="AP2">
        <v>56.800000000300003</v>
      </c>
      <c r="AQ2">
        <v>64.099999999600001</v>
      </c>
      <c r="AR2">
        <v>71.699999998600006</v>
      </c>
      <c r="AS2">
        <v>78.999999999699995</v>
      </c>
      <c r="AT2">
        <v>86.400000000099993</v>
      </c>
      <c r="AU2">
        <v>94.199999999499994</v>
      </c>
      <c r="AV2">
        <v>102.2999999986</v>
      </c>
      <c r="AW2">
        <v>110.3000000003</v>
      </c>
      <c r="AX2">
        <v>118.8000000002</v>
      </c>
      <c r="AY2">
        <v>126.9999999986</v>
      </c>
      <c r="AZ2">
        <v>134.79999999980001</v>
      </c>
      <c r="BA2">
        <v>142.7999999996</v>
      </c>
      <c r="BB2">
        <v>150.9999999998</v>
      </c>
      <c r="BC2">
        <v>158.99999999970001</v>
      </c>
      <c r="BD2">
        <v>166.90000000020001</v>
      </c>
      <c r="BE2">
        <v>174.9</v>
      </c>
      <c r="BF2">
        <v>182.60000000010001</v>
      </c>
      <c r="BG2">
        <v>190.49999999880001</v>
      </c>
      <c r="BH2">
        <v>198.8000000001</v>
      </c>
      <c r="BI2">
        <v>206.7999999999</v>
      </c>
      <c r="BJ2">
        <v>214.5999999993</v>
      </c>
      <c r="BK2">
        <v>222.3999999987</v>
      </c>
      <c r="BL2">
        <v>230.09999999889999</v>
      </c>
      <c r="BM2">
        <v>237.5999999986</v>
      </c>
      <c r="BN2">
        <v>245.2999999987</v>
      </c>
      <c r="BO2">
        <v>253.09999999990001</v>
      </c>
      <c r="BP2">
        <v>260.69999999890001</v>
      </c>
      <c r="BQ2">
        <v>268.19999999859999</v>
      </c>
      <c r="BR2">
        <v>275.59999999899998</v>
      </c>
      <c r="BS2">
        <v>282.79999999900002</v>
      </c>
      <c r="BT2">
        <v>289.9999999991</v>
      </c>
      <c r="BU2">
        <v>297.30000000019999</v>
      </c>
      <c r="BV2">
        <v>304.59999999950003</v>
      </c>
      <c r="BW2">
        <v>311.59999999910002</v>
      </c>
      <c r="BX2">
        <v>318.49999999940002</v>
      </c>
      <c r="BY2">
        <v>325.19999999930002</v>
      </c>
      <c r="BZ2">
        <v>331.89999999920002</v>
      </c>
      <c r="CA2">
        <v>338.29999999939997</v>
      </c>
      <c r="CB2">
        <v>344.79999999889998</v>
      </c>
      <c r="CC2">
        <v>351.49999999890002</v>
      </c>
      <c r="CD2">
        <v>358.00000000019998</v>
      </c>
      <c r="CE2">
        <v>364.39999999859998</v>
      </c>
      <c r="CF2">
        <v>370.6000000002</v>
      </c>
      <c r="CG2">
        <v>376.69999999890001</v>
      </c>
      <c r="CH2">
        <v>382.49999999969998</v>
      </c>
      <c r="CI2">
        <v>387.99999999900001</v>
      </c>
      <c r="CJ2">
        <v>393.69999999869998</v>
      </c>
      <c r="CK2">
        <v>399.6999999999</v>
      </c>
      <c r="CL2">
        <v>405.39999999960003</v>
      </c>
      <c r="CM2">
        <v>411.09999999939998</v>
      </c>
      <c r="CN2">
        <v>416.69999999980001</v>
      </c>
      <c r="CO2">
        <v>422.09999999979999</v>
      </c>
      <c r="CP2">
        <v>427.49999999980002</v>
      </c>
      <c r="CQ2">
        <v>432.69999999940001</v>
      </c>
      <c r="CR2">
        <v>437.5999999993</v>
      </c>
      <c r="CS2">
        <v>442.39999999989999</v>
      </c>
      <c r="CT2">
        <v>447.39999999909998</v>
      </c>
      <c r="CU2">
        <v>451.59999999849998</v>
      </c>
      <c r="CV2">
        <v>453.2999999992</v>
      </c>
      <c r="CW2">
        <v>453.39999999849999</v>
      </c>
      <c r="CX2">
        <v>453.39999999849999</v>
      </c>
      <c r="CY2">
        <v>453.2999999992</v>
      </c>
      <c r="CZ2">
        <v>453.2999999992</v>
      </c>
      <c r="DA2">
        <v>453.1999999999</v>
      </c>
      <c r="DB2">
        <v>453.1999999999</v>
      </c>
      <c r="DC2">
        <v>453.1999999999</v>
      </c>
      <c r="DD2">
        <v>453.0999999988</v>
      </c>
      <c r="DE2">
        <v>453.0999999988</v>
      </c>
      <c r="DF2">
        <v>453.0999999988</v>
      </c>
      <c r="DG2">
        <v>3.2999999985000001</v>
      </c>
      <c r="DH2">
        <v>1.3999999992000001</v>
      </c>
      <c r="DI2">
        <v>1.3999999992000001</v>
      </c>
      <c r="DJ2">
        <v>1.3999999992000001</v>
      </c>
      <c r="DK2">
        <v>1.2999999999</v>
      </c>
      <c r="DL2">
        <v>1.3999999992000001</v>
      </c>
      <c r="DM2">
        <v>1.2999999999</v>
      </c>
      <c r="DN2">
        <v>1.2999999999</v>
      </c>
      <c r="DO2">
        <v>1.1999999988000001</v>
      </c>
      <c r="DP2">
        <v>1.1999999988000001</v>
      </c>
      <c r="DQ2">
        <v>1.0999999995</v>
      </c>
      <c r="DR2">
        <v>1.0999999995</v>
      </c>
      <c r="DS2">
        <v>1.0999999995</v>
      </c>
      <c r="DT2">
        <v>1.0999999995</v>
      </c>
      <c r="DU2">
        <v>1.5999999996000001</v>
      </c>
      <c r="DV2">
        <v>3.3999999995999999</v>
      </c>
      <c r="DW2">
        <v>7.4999999997</v>
      </c>
      <c r="DX2">
        <v>14.299999998900001</v>
      </c>
      <c r="DY2">
        <v>20.800000000200001</v>
      </c>
      <c r="DZ2">
        <v>27.0999999993</v>
      </c>
      <c r="EA2">
        <v>33.8999999985</v>
      </c>
      <c r="EB2">
        <v>41.199999999699997</v>
      </c>
      <c r="EC2">
        <v>48.600000000100003</v>
      </c>
      <c r="ED2">
        <v>55.800000000099999</v>
      </c>
      <c r="EE2">
        <v>63.000000000100002</v>
      </c>
      <c r="EF2">
        <v>70.299999999400001</v>
      </c>
      <c r="EG2">
        <v>77.5999999987</v>
      </c>
      <c r="EH2">
        <v>85.100000000199998</v>
      </c>
      <c r="EI2">
        <v>92.899999999599999</v>
      </c>
      <c r="EJ2">
        <v>100.8000000002</v>
      </c>
      <c r="EK2">
        <v>108.5999999996</v>
      </c>
      <c r="EL2">
        <v>116.69999999869999</v>
      </c>
      <c r="EM2">
        <v>125</v>
      </c>
      <c r="EN2">
        <v>133.09999999909999</v>
      </c>
      <c r="EO2">
        <v>141.19999999999999</v>
      </c>
      <c r="EP2">
        <v>149.49999999950001</v>
      </c>
      <c r="EQ2">
        <v>157.40000000009999</v>
      </c>
      <c r="ER2">
        <v>165.19999999949999</v>
      </c>
      <c r="ES2">
        <v>173.19999999929999</v>
      </c>
      <c r="ET2">
        <v>181.09999999979999</v>
      </c>
      <c r="EU2">
        <v>188.89999999919999</v>
      </c>
      <c r="EV2">
        <v>197.29999999980001</v>
      </c>
      <c r="EW2">
        <v>205.3999999989</v>
      </c>
      <c r="EX2">
        <v>213.2000000001</v>
      </c>
      <c r="EY2">
        <v>220.99999999950001</v>
      </c>
      <c r="EZ2">
        <v>228.79999999899999</v>
      </c>
      <c r="FA2">
        <v>236.4999999991</v>
      </c>
      <c r="FB2">
        <v>244.3000000003</v>
      </c>
      <c r="FC2">
        <v>252.3000000001</v>
      </c>
      <c r="FD2">
        <v>260.00000000019998</v>
      </c>
      <c r="FE2">
        <v>267.49999999990001</v>
      </c>
      <c r="FF2">
        <v>274.89999999849999</v>
      </c>
      <c r="FG2">
        <v>282.19999999959998</v>
      </c>
      <c r="FH2">
        <v>289.29999999850003</v>
      </c>
      <c r="FI2">
        <v>296.8000000001</v>
      </c>
      <c r="FJ2">
        <v>304.19999999869998</v>
      </c>
      <c r="FK2">
        <v>311.49999999980002</v>
      </c>
      <c r="FL2">
        <v>318.09999999860003</v>
      </c>
      <c r="FM2">
        <v>324.89999999960003</v>
      </c>
      <c r="FN2">
        <v>331.59999999950003</v>
      </c>
      <c r="FO2">
        <v>338.09999999899998</v>
      </c>
      <c r="FP2">
        <v>344.69999999959998</v>
      </c>
      <c r="FQ2">
        <v>351.49999999890002</v>
      </c>
      <c r="FR2">
        <v>357.89999999909998</v>
      </c>
      <c r="FS2">
        <v>364.09999999889999</v>
      </c>
      <c r="FT2">
        <v>370.2999999987</v>
      </c>
      <c r="FU2">
        <v>376.39999999920002</v>
      </c>
      <c r="FV2">
        <v>382.29999999929998</v>
      </c>
      <c r="FW2">
        <v>387.99999999900001</v>
      </c>
      <c r="FX2">
        <v>393.79999999979998</v>
      </c>
      <c r="FY2">
        <v>399.7999999992</v>
      </c>
      <c r="FZ2">
        <v>405.89999999970001</v>
      </c>
      <c r="GA2">
        <v>411.50000000019998</v>
      </c>
      <c r="GB2">
        <v>416.79999999910001</v>
      </c>
      <c r="GC2">
        <v>422.09999999979999</v>
      </c>
      <c r="GD2">
        <v>427.39999999870003</v>
      </c>
      <c r="GE2">
        <v>432.29999999860001</v>
      </c>
      <c r="GF2">
        <v>436.89999999880001</v>
      </c>
      <c r="GG2">
        <v>441.49999999900001</v>
      </c>
      <c r="GH2">
        <v>446.3999999989</v>
      </c>
      <c r="GI2">
        <v>450.60000000010001</v>
      </c>
      <c r="GJ2">
        <v>452.69999999980001</v>
      </c>
      <c r="GK2">
        <v>453.2999999992</v>
      </c>
      <c r="GL2">
        <v>453.1999999999</v>
      </c>
      <c r="GM2">
        <v>453.1999999999</v>
      </c>
      <c r="GN2">
        <v>453.0999999988</v>
      </c>
      <c r="GO2">
        <v>453.0999999988</v>
      </c>
      <c r="GP2">
        <v>453.0999999988</v>
      </c>
      <c r="GQ2">
        <v>453.0999999988</v>
      </c>
      <c r="GR2">
        <v>453.0999999988</v>
      </c>
      <c r="GS2">
        <v>453.0999999988</v>
      </c>
      <c r="GT2">
        <v>452.99999999950001</v>
      </c>
      <c r="GU2">
        <v>452.99999999950001</v>
      </c>
      <c r="GV2">
        <v>452.99999999950001</v>
      </c>
      <c r="GW2">
        <v>1</v>
      </c>
      <c r="GX2">
        <v>114.49999999969999</v>
      </c>
      <c r="GY2">
        <v>110.3000000003</v>
      </c>
      <c r="GZ2">
        <v>110.3000000003</v>
      </c>
      <c r="HA2">
        <v>125</v>
      </c>
      <c r="HB2">
        <v>114.1152547984</v>
      </c>
      <c r="HC2">
        <v>-14.699999999699999</v>
      </c>
      <c r="HD2">
        <v>453.00005515060002</v>
      </c>
      <c r="HE2">
        <v>296.14305095959998</v>
      </c>
      <c r="HF2">
        <v>98.263390691599994</v>
      </c>
      <c r="HG2">
        <v>453.39999999849999</v>
      </c>
      <c r="HH2">
        <v>453.2968122648</v>
      </c>
      <c r="HI2">
        <v>453.39999999849999</v>
      </c>
      <c r="HJ2">
        <v>453.2999999992</v>
      </c>
      <c r="HK2">
        <v>114.9560117302</v>
      </c>
      <c r="HL2">
        <v>3.2738661924999999</v>
      </c>
      <c r="HM2">
        <v>3.1656710526</v>
      </c>
      <c r="HN2">
        <v>3.2024084825000001</v>
      </c>
      <c r="HO2">
        <v>3.0665899226</v>
      </c>
      <c r="HP2">
        <v>3.4542018898000002</v>
      </c>
      <c r="HQ2">
        <v>2.1923993547</v>
      </c>
      <c r="HR2">
        <v>15.851864106800001</v>
      </c>
      <c r="HS2">
        <v>-30.4985337243</v>
      </c>
      <c r="HT2">
        <v>-208</v>
      </c>
      <c r="HU2">
        <v>410.25830575790002</v>
      </c>
      <c r="HV2">
        <v>93.841642228699996</v>
      </c>
      <c r="HW2">
        <v>640</v>
      </c>
      <c r="HX2">
        <v>15.851864106800001</v>
      </c>
      <c r="HY2">
        <v>-30.4985337243</v>
      </c>
      <c r="HZ2">
        <v>-208</v>
      </c>
      <c r="IA2">
        <v>410.25830575790002</v>
      </c>
      <c r="IB2">
        <v>93.841642228699996</v>
      </c>
      <c r="IC2">
        <v>640</v>
      </c>
      <c r="ID2">
        <v>43.038506506899999</v>
      </c>
      <c r="IE2">
        <v>1.27509376E-2</v>
      </c>
      <c r="IF2">
        <v>-39.8826979472</v>
      </c>
      <c r="IG2">
        <v>-272</v>
      </c>
      <c r="IH2">
        <v>431.71270681530001</v>
      </c>
      <c r="II2">
        <v>103.22580645159999</v>
      </c>
      <c r="IJ2">
        <v>704</v>
      </c>
      <c r="IK2">
        <v>394.4064416512</v>
      </c>
      <c r="IL2">
        <v>124.3401759531</v>
      </c>
      <c r="IM2">
        <v>417.3981579526</v>
      </c>
      <c r="IN2">
        <v>133.724340176</v>
      </c>
      <c r="IO2">
        <v>6.7999999991999998</v>
      </c>
      <c r="IP2">
        <v>5.6000000003999997</v>
      </c>
      <c r="IQ2">
        <v>8.4999999999</v>
      </c>
      <c r="IR2">
        <v>5.9930899126000003</v>
      </c>
      <c r="IS2">
        <v>5.9930899126000003</v>
      </c>
      <c r="IT2">
        <v>11.9000000013</v>
      </c>
      <c r="IU2">
        <v>-32.844574780099997</v>
      </c>
      <c r="IV2">
        <v>14.9000000001</v>
      </c>
      <c r="IW2">
        <v>23.460410557199999</v>
      </c>
      <c r="IX2">
        <v>10.699999998899999</v>
      </c>
      <c r="IY2">
        <v>100.87976539589999</v>
      </c>
      <c r="IZ2">
        <v>-35.571758529100002</v>
      </c>
      <c r="JA2">
        <v>0.34401746179999998</v>
      </c>
      <c r="JB2">
        <v>-3.6861510000000001E-4</v>
      </c>
      <c r="JC2">
        <v>7.3020000000000001E-7</v>
      </c>
      <c r="JD2">
        <v>0.30544925820000002</v>
      </c>
      <c r="JE2">
        <v>0.29037579349999998</v>
      </c>
      <c r="JF2">
        <v>9.8076061300000003E-2</v>
      </c>
      <c r="JG2">
        <v>114.7197992887</v>
      </c>
      <c r="JH2">
        <v>3.4542018898000002</v>
      </c>
      <c r="JI2">
        <v>3.1468766E-3</v>
      </c>
      <c r="JJ2">
        <v>-7.0117500000000001E-5</v>
      </c>
      <c r="JK2">
        <v>3.2738661924999999</v>
      </c>
      <c r="JL2">
        <v>1.6230045092000001</v>
      </c>
      <c r="JM2">
        <v>0.61971344419999996</v>
      </c>
      <c r="JN2" t="s">
        <v>545</v>
      </c>
      <c r="JQ2">
        <v>1</v>
      </c>
    </row>
    <row r="3" spans="1:277">
      <c r="A3" t="s">
        <v>546</v>
      </c>
      <c r="B3" t="s">
        <v>547</v>
      </c>
      <c r="C3" t="s">
        <v>212</v>
      </c>
      <c r="D3">
        <v>3</v>
      </c>
      <c r="E3" t="s">
        <v>213</v>
      </c>
      <c r="F3" t="s">
        <v>214</v>
      </c>
      <c r="G3" t="s">
        <v>544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1.2999999999</v>
      </c>
      <c r="R3">
        <v>9.9999999300000003E-2</v>
      </c>
      <c r="S3">
        <v>0.20000000039999999</v>
      </c>
      <c r="T3">
        <v>0.20000000039999999</v>
      </c>
      <c r="U3">
        <v>0.20000000039999999</v>
      </c>
      <c r="V3">
        <v>0.20000000039999999</v>
      </c>
      <c r="W3">
        <v>9.9999999300000003E-2</v>
      </c>
      <c r="X3">
        <v>0</v>
      </c>
      <c r="Y3">
        <v>9.9999999300000003E-2</v>
      </c>
      <c r="Z3">
        <v>0.20000000039999999</v>
      </c>
      <c r="AA3">
        <v>9.9999999300000003E-2</v>
      </c>
      <c r="AB3">
        <v>9.9999999300000003E-2</v>
      </c>
      <c r="AC3">
        <v>9.9999999300000003E-2</v>
      </c>
      <c r="AD3">
        <v>0</v>
      </c>
      <c r="AE3">
        <v>9.9999999300000003E-2</v>
      </c>
      <c r="AF3">
        <v>9.9999999300000003E-2</v>
      </c>
      <c r="AG3">
        <v>0.20000000039999999</v>
      </c>
      <c r="AH3">
        <v>2.1999999990000001</v>
      </c>
      <c r="AI3">
        <v>6.6000000005999997</v>
      </c>
      <c r="AJ3">
        <v>11.699999999099999</v>
      </c>
      <c r="AK3">
        <v>17.700000000300001</v>
      </c>
      <c r="AL3">
        <v>24.400000000199999</v>
      </c>
      <c r="AM3">
        <v>31.300000000600001</v>
      </c>
      <c r="AN3">
        <v>38.500000000599996</v>
      </c>
      <c r="AO3">
        <v>46.3</v>
      </c>
      <c r="AP3">
        <v>54.000000000100002</v>
      </c>
      <c r="AQ3">
        <v>61.900000000600002</v>
      </c>
      <c r="AR3">
        <v>69.7</v>
      </c>
      <c r="AS3">
        <v>77.499999999400004</v>
      </c>
      <c r="AT3">
        <v>84.999999999099998</v>
      </c>
      <c r="AU3">
        <v>92.899999999599999</v>
      </c>
      <c r="AV3">
        <v>101.1999999992</v>
      </c>
      <c r="AW3">
        <v>110.0000000006</v>
      </c>
      <c r="AX3">
        <v>118.8999999995</v>
      </c>
      <c r="AY3">
        <v>127.3000000001</v>
      </c>
      <c r="AZ3">
        <v>135.39999999919999</v>
      </c>
      <c r="BA3">
        <v>143.39999999899999</v>
      </c>
      <c r="BB3">
        <v>151.8999999989</v>
      </c>
      <c r="BC3">
        <v>160.5</v>
      </c>
      <c r="BD3">
        <v>169.09999999920001</v>
      </c>
      <c r="BE3">
        <v>177.2000000001</v>
      </c>
      <c r="BF3">
        <v>185.1999999999</v>
      </c>
      <c r="BG3">
        <v>193.1999999997</v>
      </c>
      <c r="BH3">
        <v>201.69999999960001</v>
      </c>
      <c r="BI3">
        <v>210.1000000002</v>
      </c>
      <c r="BJ3">
        <v>218.6000000002</v>
      </c>
      <c r="BK3">
        <v>226.69999999929999</v>
      </c>
      <c r="BL3">
        <v>234.59999999979999</v>
      </c>
      <c r="BM3">
        <v>242.39999999919999</v>
      </c>
      <c r="BN3">
        <v>250.39999999899999</v>
      </c>
      <c r="BO3">
        <v>258.49999999990001</v>
      </c>
      <c r="BP3">
        <v>266.70000000009998</v>
      </c>
      <c r="BQ3">
        <v>274.49999999950001</v>
      </c>
      <c r="BR3">
        <v>281.99999999919999</v>
      </c>
      <c r="BS3">
        <v>289.39999999970001</v>
      </c>
      <c r="BT3">
        <v>296.699999999</v>
      </c>
      <c r="BU3">
        <v>304.20000000049998</v>
      </c>
      <c r="BV3">
        <v>311.70000000020002</v>
      </c>
      <c r="BW3">
        <v>319.2999999992</v>
      </c>
      <c r="BX3">
        <v>326.60000000029999</v>
      </c>
      <c r="BY3">
        <v>333.30000000019999</v>
      </c>
      <c r="BZ3">
        <v>340.09999999939998</v>
      </c>
      <c r="CA3">
        <v>346.70000000009998</v>
      </c>
      <c r="CB3">
        <v>353.49999999929997</v>
      </c>
      <c r="CC3">
        <v>360.19999999919997</v>
      </c>
      <c r="CD3">
        <v>366.79999999979998</v>
      </c>
      <c r="CE3">
        <v>373.59999999899998</v>
      </c>
      <c r="CF3">
        <v>379.89999999989999</v>
      </c>
      <c r="CG3">
        <v>385.89999999930001</v>
      </c>
      <c r="CH3">
        <v>391.79999999939997</v>
      </c>
      <c r="CI3">
        <v>397.79999999879999</v>
      </c>
      <c r="CJ3">
        <v>403.69999999890001</v>
      </c>
      <c r="CK3">
        <v>409.79999999939997</v>
      </c>
      <c r="CL3">
        <v>415.49999999919999</v>
      </c>
      <c r="CM3">
        <v>421.3</v>
      </c>
      <c r="CN3">
        <v>427.09999999899998</v>
      </c>
      <c r="CO3">
        <v>432.30000000040002</v>
      </c>
      <c r="CP3">
        <v>437.5999999993</v>
      </c>
      <c r="CQ3">
        <v>442.9</v>
      </c>
      <c r="CR3">
        <v>447.79999999990002</v>
      </c>
      <c r="CS3">
        <v>451.99999999929997</v>
      </c>
      <c r="CT3">
        <v>455.79999999969999</v>
      </c>
      <c r="CU3">
        <v>457.00000000030002</v>
      </c>
      <c r="CV3">
        <v>457.19999999890001</v>
      </c>
      <c r="CW3">
        <v>457.19999999890001</v>
      </c>
      <c r="CX3">
        <v>457.19999999890001</v>
      </c>
      <c r="CY3">
        <v>457.3</v>
      </c>
      <c r="CZ3">
        <v>457.39999999930001</v>
      </c>
      <c r="DA3">
        <v>457.39999999930001</v>
      </c>
      <c r="DB3">
        <v>457.3</v>
      </c>
      <c r="DC3">
        <v>457.39999999930001</v>
      </c>
      <c r="DD3">
        <v>457.19999999890001</v>
      </c>
      <c r="DE3">
        <v>457.3</v>
      </c>
      <c r="DF3">
        <v>457.3</v>
      </c>
      <c r="DG3">
        <v>2.0000000004</v>
      </c>
      <c r="DH3">
        <v>1.0999999995</v>
      </c>
      <c r="DI3">
        <v>1.0000000002</v>
      </c>
      <c r="DJ3">
        <v>1.0000000002</v>
      </c>
      <c r="DK3">
        <v>0.89999999909999995</v>
      </c>
      <c r="DL3">
        <v>0.89999999909999995</v>
      </c>
      <c r="DM3">
        <v>0.89999999909999995</v>
      </c>
      <c r="DN3">
        <v>0.89999999909999995</v>
      </c>
      <c r="DO3">
        <v>0.79999999980000003</v>
      </c>
      <c r="DP3">
        <v>0.89999999909999995</v>
      </c>
      <c r="DQ3">
        <v>0.79999999980000003</v>
      </c>
      <c r="DR3">
        <v>0.89999999909999995</v>
      </c>
      <c r="DS3">
        <v>0.89999999909999995</v>
      </c>
      <c r="DT3">
        <v>0.89999999909999995</v>
      </c>
      <c r="DU3">
        <v>0.79999999980000003</v>
      </c>
      <c r="DV3">
        <v>1.3999999992000001</v>
      </c>
      <c r="DW3">
        <v>4.6999999995000001</v>
      </c>
      <c r="DX3">
        <v>9.8999999991000003</v>
      </c>
      <c r="DY3">
        <v>15.9000000003</v>
      </c>
      <c r="DZ3">
        <v>22.699999999500001</v>
      </c>
      <c r="EA3">
        <v>29.599999999800001</v>
      </c>
      <c r="EB3">
        <v>36.799999999900002</v>
      </c>
      <c r="EC3">
        <v>44.3999999989</v>
      </c>
      <c r="ED3">
        <v>52.099999998999998</v>
      </c>
      <c r="EE3">
        <v>59.900000000200002</v>
      </c>
      <c r="EF3">
        <v>67.699999999599996</v>
      </c>
      <c r="EG3">
        <v>75.300000000400004</v>
      </c>
      <c r="EH3">
        <v>82.899999999399995</v>
      </c>
      <c r="EI3">
        <v>90.5999999995</v>
      </c>
      <c r="EJ3">
        <v>98.799999999799994</v>
      </c>
      <c r="EK3">
        <v>107.0999999993</v>
      </c>
      <c r="EL3">
        <v>116</v>
      </c>
      <c r="EM3">
        <v>124.70000000029999</v>
      </c>
      <c r="EN3">
        <v>133.09999999909999</v>
      </c>
      <c r="EO3">
        <v>141.09999999889999</v>
      </c>
      <c r="EP3">
        <v>149.49999999950001</v>
      </c>
      <c r="EQ3">
        <v>157.90000000020001</v>
      </c>
      <c r="ER3">
        <v>166.49999999939999</v>
      </c>
      <c r="ES3">
        <v>174.9</v>
      </c>
      <c r="ET3">
        <v>182.8999999998</v>
      </c>
      <c r="EU3">
        <v>190.99999999889999</v>
      </c>
      <c r="EV3">
        <v>199.49999999880001</v>
      </c>
      <c r="EW3">
        <v>207.89999999939999</v>
      </c>
      <c r="EX3">
        <v>216.39999999930001</v>
      </c>
      <c r="EY3">
        <v>224.59999999959999</v>
      </c>
      <c r="EZ3">
        <v>232.59999999940001</v>
      </c>
      <c r="FA3">
        <v>240.59999999920001</v>
      </c>
      <c r="FB3">
        <v>248.599999999</v>
      </c>
      <c r="FC3">
        <v>256.7999999992</v>
      </c>
      <c r="FD3">
        <v>264.90000000010002</v>
      </c>
      <c r="FE3">
        <v>273.10000000029999</v>
      </c>
      <c r="FF3">
        <v>280.60000000000002</v>
      </c>
      <c r="FG3">
        <v>288.09999999979999</v>
      </c>
      <c r="FH3">
        <v>295.39999999909998</v>
      </c>
      <c r="FI3">
        <v>302.99999999990001</v>
      </c>
      <c r="FJ3">
        <v>310.59999999889999</v>
      </c>
      <c r="FK3">
        <v>318.10000000039997</v>
      </c>
      <c r="FL3">
        <v>325.49999999900001</v>
      </c>
      <c r="FM3">
        <v>332.50000000040001</v>
      </c>
      <c r="FN3">
        <v>339.2999999996</v>
      </c>
      <c r="FO3">
        <v>345.9000000003</v>
      </c>
      <c r="FP3">
        <v>352.89999999989999</v>
      </c>
      <c r="FQ3">
        <v>359.80000000019999</v>
      </c>
      <c r="FR3">
        <v>366.50000000009999</v>
      </c>
      <c r="FS3">
        <v>373.2</v>
      </c>
      <c r="FT3">
        <v>379.6000000002</v>
      </c>
      <c r="FU3">
        <v>385.8</v>
      </c>
      <c r="FV3">
        <v>391.79999999939997</v>
      </c>
      <c r="FW3">
        <v>397.6000000002</v>
      </c>
      <c r="FX3">
        <v>403.59999999960002</v>
      </c>
      <c r="FY3">
        <v>409.70000000020002</v>
      </c>
      <c r="FZ3">
        <v>415.49999999919999</v>
      </c>
      <c r="GA3">
        <v>421.39999999930001</v>
      </c>
      <c r="GB3">
        <v>426.79999999929998</v>
      </c>
      <c r="GC3">
        <v>432.1</v>
      </c>
      <c r="GD3">
        <v>437.2999999996</v>
      </c>
      <c r="GE3">
        <v>442.30000000059999</v>
      </c>
      <c r="GF3">
        <v>447.00000000009999</v>
      </c>
      <c r="GG3">
        <v>450.9999999991</v>
      </c>
      <c r="GH3">
        <v>454.59999999910002</v>
      </c>
      <c r="GI3">
        <v>456.79999999990002</v>
      </c>
      <c r="GJ3">
        <v>457.00000000030002</v>
      </c>
      <c r="GK3">
        <v>457.00000000030002</v>
      </c>
      <c r="GL3">
        <v>457.00000000030002</v>
      </c>
      <c r="GM3">
        <v>457.09999999960002</v>
      </c>
      <c r="GN3">
        <v>457.00000000030002</v>
      </c>
      <c r="GO3">
        <v>457.09999999960002</v>
      </c>
      <c r="GP3">
        <v>457.09999999960002</v>
      </c>
      <c r="GQ3">
        <v>457.19999999890001</v>
      </c>
      <c r="GR3">
        <v>457.19999999890001</v>
      </c>
      <c r="GS3">
        <v>457.3</v>
      </c>
      <c r="GT3">
        <v>457.39999999930001</v>
      </c>
      <c r="GU3">
        <v>457.39999999930001</v>
      </c>
      <c r="GV3">
        <v>457.39999999930001</v>
      </c>
      <c r="GW3">
        <v>1</v>
      </c>
      <c r="GX3">
        <v>115.2999999995</v>
      </c>
      <c r="GY3">
        <v>110.0000000006</v>
      </c>
      <c r="GZ3">
        <v>110.0000000006</v>
      </c>
      <c r="HA3">
        <v>124.70000000029999</v>
      </c>
      <c r="HB3">
        <v>113.77182682900001</v>
      </c>
      <c r="HC3">
        <v>-14.699999999699999</v>
      </c>
      <c r="HD3">
        <v>457.39999999930001</v>
      </c>
      <c r="HE3">
        <v>306.5692467463</v>
      </c>
      <c r="HF3">
        <v>95.456466601299994</v>
      </c>
      <c r="HG3">
        <v>457.39999999930001</v>
      </c>
      <c r="HH3">
        <v>457.39999999930001</v>
      </c>
      <c r="HI3">
        <v>457.39999999930001</v>
      </c>
      <c r="HJ3">
        <v>457.39999999930001</v>
      </c>
      <c r="HK3">
        <v>112.6099706745</v>
      </c>
      <c r="HL3">
        <v>3.3993049789000001</v>
      </c>
      <c r="HM3">
        <v>3.2968248166</v>
      </c>
      <c r="HN3">
        <v>3.3165013303999999</v>
      </c>
      <c r="HO3">
        <v>3.2638973360999999</v>
      </c>
      <c r="HP3">
        <v>3.6060132267</v>
      </c>
      <c r="HQ3">
        <v>2.2477457612</v>
      </c>
      <c r="HR3">
        <v>18.315360227700001</v>
      </c>
      <c r="HS3">
        <v>-28.152492668600001</v>
      </c>
      <c r="HT3">
        <v>-192</v>
      </c>
      <c r="HU3">
        <v>420.34107357530002</v>
      </c>
      <c r="HV3">
        <v>93.841642228699996</v>
      </c>
      <c r="HW3">
        <v>640</v>
      </c>
      <c r="HX3">
        <v>18.315360227700001</v>
      </c>
      <c r="HY3">
        <v>-28.152492668600001</v>
      </c>
      <c r="HZ3">
        <v>-192</v>
      </c>
      <c r="IA3">
        <v>420.34107357530002</v>
      </c>
      <c r="IB3">
        <v>93.841642228699996</v>
      </c>
      <c r="IC3">
        <v>640</v>
      </c>
      <c r="ID3">
        <v>37.058926423999999</v>
      </c>
      <c r="IE3">
        <v>0.2241062647</v>
      </c>
      <c r="IF3">
        <v>-37.536656891500002</v>
      </c>
      <c r="IG3">
        <v>-256</v>
      </c>
      <c r="IH3">
        <v>441.8616048984</v>
      </c>
      <c r="II3">
        <v>103.22580645159999</v>
      </c>
      <c r="IJ3">
        <v>704</v>
      </c>
      <c r="IK3">
        <v>402.0257133476</v>
      </c>
      <c r="IL3">
        <v>121.9941348974</v>
      </c>
      <c r="IM3">
        <v>424.54745818240002</v>
      </c>
      <c r="IN3">
        <v>131.37829912020001</v>
      </c>
      <c r="IO3">
        <v>6.7999999991999998</v>
      </c>
      <c r="IP3">
        <v>5.7999999989999997</v>
      </c>
      <c r="IQ3">
        <v>8.9000000007000004</v>
      </c>
      <c r="IR3">
        <v>6.0897637759999999</v>
      </c>
      <c r="IS3">
        <v>6.0897637759999999</v>
      </c>
      <c r="IT3">
        <v>11.8999999995</v>
      </c>
      <c r="IU3">
        <v>-28.152492668600001</v>
      </c>
      <c r="IV3">
        <v>14.800000000800001</v>
      </c>
      <c r="IW3">
        <v>-2.3460410557000002</v>
      </c>
      <c r="IX3">
        <v>10.8</v>
      </c>
      <c r="IY3">
        <v>98.533724340199996</v>
      </c>
      <c r="IZ3">
        <v>-33.778598967699999</v>
      </c>
      <c r="JA3">
        <v>0.32687254519999998</v>
      </c>
      <c r="JB3">
        <v>-3.3617579999999997E-4</v>
      </c>
      <c r="JC3">
        <v>6.6789999999999999E-7</v>
      </c>
      <c r="JD3">
        <v>0.29417778230000002</v>
      </c>
      <c r="JE3">
        <v>0.25201485899999998</v>
      </c>
      <c r="JF3">
        <v>9.4757560899999996E-2</v>
      </c>
      <c r="JG3">
        <v>114.19414742070001</v>
      </c>
      <c r="JH3">
        <v>3.6060132267</v>
      </c>
      <c r="JI3">
        <v>3.0038577999999998E-3</v>
      </c>
      <c r="JJ3">
        <v>-7.2752900000000006E-5</v>
      </c>
      <c r="JK3">
        <v>3.3993049789000001</v>
      </c>
      <c r="JL3">
        <v>1.6354200137999999</v>
      </c>
      <c r="JM3">
        <v>0.57642422879999999</v>
      </c>
      <c r="JN3" t="s">
        <v>545</v>
      </c>
      <c r="JQ3">
        <v>1</v>
      </c>
    </row>
    <row r="4" spans="1:277">
      <c r="A4" t="s">
        <v>561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544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0</v>
      </c>
      <c r="R4">
        <v>0</v>
      </c>
      <c r="S4">
        <v>0.1000000011</v>
      </c>
      <c r="T4">
        <v>0.1000000011</v>
      </c>
      <c r="U4">
        <v>0.1000000011</v>
      </c>
      <c r="V4">
        <v>0.1000000011</v>
      </c>
      <c r="W4">
        <v>0</v>
      </c>
      <c r="X4">
        <v>0.1000000011</v>
      </c>
      <c r="Y4">
        <v>0.1000000011</v>
      </c>
      <c r="Z4">
        <v>0.1000000011</v>
      </c>
      <c r="AA4">
        <v>0.20000000039999999</v>
      </c>
      <c r="AB4">
        <v>0.29999999970000002</v>
      </c>
      <c r="AC4">
        <v>0.29999999970000002</v>
      </c>
      <c r="AD4">
        <v>0.29999999970000002</v>
      </c>
      <c r="AE4">
        <v>0.29999999970000002</v>
      </c>
      <c r="AF4">
        <v>0.29999999970000002</v>
      </c>
      <c r="AG4">
        <v>2.5000000005</v>
      </c>
      <c r="AH4">
        <v>7.1000000006999997</v>
      </c>
      <c r="AI4">
        <v>12.8999999997</v>
      </c>
      <c r="AJ4">
        <v>19.600000001400002</v>
      </c>
      <c r="AK4">
        <v>27</v>
      </c>
      <c r="AL4">
        <v>34.200000000099998</v>
      </c>
      <c r="AM4">
        <v>41.000000001099998</v>
      </c>
      <c r="AN4">
        <v>48.200000001100001</v>
      </c>
      <c r="AO4">
        <v>55.3</v>
      </c>
      <c r="AP4">
        <v>61.999999999899998</v>
      </c>
      <c r="AQ4">
        <v>69.500000001399997</v>
      </c>
      <c r="AR4">
        <v>77.699999999799999</v>
      </c>
      <c r="AS4">
        <v>85.700000001500001</v>
      </c>
      <c r="AT4">
        <v>93.0000000008</v>
      </c>
      <c r="AU4">
        <v>100.8000000002</v>
      </c>
      <c r="AV4">
        <v>108.2999999999</v>
      </c>
      <c r="AW4">
        <v>115.70000000029999</v>
      </c>
      <c r="AX4">
        <v>123.9000000005</v>
      </c>
      <c r="AY4">
        <v>132.60000000080001</v>
      </c>
      <c r="AZ4">
        <v>140.40000000020001</v>
      </c>
      <c r="BA4">
        <v>148.30000000070001</v>
      </c>
      <c r="BB4">
        <v>156.3999999998</v>
      </c>
      <c r="BC4">
        <v>163.70000000100001</v>
      </c>
      <c r="BD4">
        <v>171.7000000008</v>
      </c>
      <c r="BE4">
        <v>180.3</v>
      </c>
      <c r="BF4">
        <v>188.40000000090001</v>
      </c>
      <c r="BG4">
        <v>196.20000000030001</v>
      </c>
      <c r="BH4">
        <v>204.4000000005</v>
      </c>
      <c r="BI4">
        <v>211.80000000090001</v>
      </c>
      <c r="BJ4">
        <v>219.20000000140001</v>
      </c>
      <c r="BK4">
        <v>227.3999999998</v>
      </c>
      <c r="BL4">
        <v>235.80000000039999</v>
      </c>
      <c r="BM4">
        <v>243.2000000008</v>
      </c>
      <c r="BN4">
        <v>250.90000000090001</v>
      </c>
      <c r="BO4">
        <v>258.60000000100001</v>
      </c>
      <c r="BP4">
        <v>265.60000000060001</v>
      </c>
      <c r="BQ4">
        <v>272.89999999989999</v>
      </c>
      <c r="BR4">
        <v>280.70000000120001</v>
      </c>
      <c r="BS4">
        <v>288.40000000129999</v>
      </c>
      <c r="BT4">
        <v>295.40000000089998</v>
      </c>
      <c r="BU4">
        <v>302.49999999980002</v>
      </c>
      <c r="BV4">
        <v>309.69999999980001</v>
      </c>
      <c r="BW4">
        <v>316.10000000000002</v>
      </c>
      <c r="BX4">
        <v>322.90000000100002</v>
      </c>
      <c r="BY4">
        <v>329.99999999990001</v>
      </c>
      <c r="BZ4">
        <v>337.1999999999</v>
      </c>
      <c r="CA4">
        <v>343.80000000059999</v>
      </c>
      <c r="CB4">
        <v>350.10000000150001</v>
      </c>
      <c r="CC4">
        <v>356.80000000140001</v>
      </c>
      <c r="CD4">
        <v>362.90000000010002</v>
      </c>
      <c r="CE4">
        <v>368.80000000019999</v>
      </c>
      <c r="CF4">
        <v>375</v>
      </c>
      <c r="CG4">
        <v>381.40000000020001</v>
      </c>
      <c r="CH4">
        <v>387.70000000110002</v>
      </c>
      <c r="CI4">
        <v>393.79999999979998</v>
      </c>
      <c r="CJ4">
        <v>399.40000000020001</v>
      </c>
      <c r="CK4">
        <v>405.00000000070003</v>
      </c>
      <c r="CL4">
        <v>410.7000000004</v>
      </c>
      <c r="CM4">
        <v>415.80000000069998</v>
      </c>
      <c r="CN4">
        <v>421.00000000030002</v>
      </c>
      <c r="CO4">
        <v>426.5000000014</v>
      </c>
      <c r="CP4">
        <v>432.1</v>
      </c>
      <c r="CQ4">
        <v>437.6000000011</v>
      </c>
      <c r="CR4">
        <v>442.9</v>
      </c>
      <c r="CS4">
        <v>447.90000000100002</v>
      </c>
      <c r="CT4">
        <v>452.60000000050002</v>
      </c>
      <c r="CU4">
        <v>457.7000000008</v>
      </c>
      <c r="CV4">
        <v>461.10000000039997</v>
      </c>
      <c r="CW4">
        <v>461.60000000050002</v>
      </c>
      <c r="CX4">
        <v>461.69999999980001</v>
      </c>
      <c r="CY4">
        <v>461.69999999980001</v>
      </c>
      <c r="CZ4">
        <v>461.69999999980001</v>
      </c>
      <c r="DA4">
        <v>461.69999999980001</v>
      </c>
      <c r="DB4">
        <v>461.69999999980001</v>
      </c>
      <c r="DC4">
        <v>461.60000000050002</v>
      </c>
      <c r="DD4">
        <v>461.60000000050002</v>
      </c>
      <c r="DE4">
        <v>461.50000000130001</v>
      </c>
      <c r="DF4">
        <v>461.60000000050002</v>
      </c>
      <c r="DG4">
        <v>0.90000000089999999</v>
      </c>
      <c r="DH4">
        <v>1.1000000013</v>
      </c>
      <c r="DI4">
        <v>1.1000000013</v>
      </c>
      <c r="DJ4">
        <v>1.1000000013</v>
      </c>
      <c r="DK4">
        <v>1.1000000013</v>
      </c>
      <c r="DL4">
        <v>1.2000000006</v>
      </c>
      <c r="DM4">
        <v>1.2000000006</v>
      </c>
      <c r="DN4">
        <v>1.1000000013</v>
      </c>
      <c r="DO4">
        <v>1.2000000006</v>
      </c>
      <c r="DP4">
        <v>1.2000000006</v>
      </c>
      <c r="DQ4">
        <v>1.2999999999</v>
      </c>
      <c r="DR4">
        <v>1.2999999999</v>
      </c>
      <c r="DS4">
        <v>1.400000001</v>
      </c>
      <c r="DT4">
        <v>1.5000000003</v>
      </c>
      <c r="DU4">
        <v>2.2000000007999998</v>
      </c>
      <c r="DV4">
        <v>6.1999999998000002</v>
      </c>
      <c r="DW4">
        <v>12.0000000006</v>
      </c>
      <c r="DX4">
        <v>19.0000000002</v>
      </c>
      <c r="DY4">
        <v>26.499999999900002</v>
      </c>
      <c r="DZ4">
        <v>33.900000000399999</v>
      </c>
      <c r="EA4">
        <v>40.500000000999997</v>
      </c>
      <c r="EB4">
        <v>47.700000000999999</v>
      </c>
      <c r="EC4">
        <v>54.799999999900002</v>
      </c>
      <c r="ED4">
        <v>61.499999999800004</v>
      </c>
      <c r="EE4">
        <v>68.900000000199995</v>
      </c>
      <c r="EF4">
        <v>76.800000000699995</v>
      </c>
      <c r="EG4">
        <v>84.899999999800002</v>
      </c>
      <c r="EH4">
        <v>92.300000000300003</v>
      </c>
      <c r="EI4">
        <v>99.8</v>
      </c>
      <c r="EJ4">
        <v>107.40000000080001</v>
      </c>
      <c r="EK4">
        <v>114.7000000001</v>
      </c>
      <c r="EL4">
        <v>122.60000000060001</v>
      </c>
      <c r="EM4">
        <v>131.40000000020001</v>
      </c>
      <c r="EN4">
        <v>139.50000000110001</v>
      </c>
      <c r="EO4">
        <v>147.30000000050001</v>
      </c>
      <c r="EP4">
        <v>155.40000000149999</v>
      </c>
      <c r="EQ4">
        <v>162.8000000001</v>
      </c>
      <c r="ER4">
        <v>170.7000000006</v>
      </c>
      <c r="ES4">
        <v>179.20000000050001</v>
      </c>
      <c r="ET4">
        <v>187.7000000004</v>
      </c>
      <c r="EU4">
        <v>195.4999999998</v>
      </c>
      <c r="EV4">
        <v>203.5000000014</v>
      </c>
      <c r="EW4">
        <v>211.1000000004</v>
      </c>
      <c r="EX4">
        <v>218.6000000002</v>
      </c>
      <c r="EY4">
        <v>226.80000000039999</v>
      </c>
      <c r="EZ4">
        <v>235.20000000100001</v>
      </c>
      <c r="FA4">
        <v>243.00000000040001</v>
      </c>
      <c r="FB4">
        <v>250.60000000119999</v>
      </c>
      <c r="FC4">
        <v>258.30000000130002</v>
      </c>
      <c r="FD4">
        <v>265.40000000020001</v>
      </c>
      <c r="FE4">
        <v>272.89999999989999</v>
      </c>
      <c r="FF4">
        <v>280.70000000120001</v>
      </c>
      <c r="FG4">
        <v>288.50000000059998</v>
      </c>
      <c r="FH4">
        <v>295.90000000100002</v>
      </c>
      <c r="FI4">
        <v>303.10000000100001</v>
      </c>
      <c r="FJ4">
        <v>310.300000001</v>
      </c>
      <c r="FK4">
        <v>316.80000000050001</v>
      </c>
      <c r="FL4">
        <v>323.8000000001</v>
      </c>
      <c r="FM4">
        <v>331.10000000119999</v>
      </c>
      <c r="FN4">
        <v>338.30000000130002</v>
      </c>
      <c r="FO4">
        <v>344.80000000080003</v>
      </c>
      <c r="FP4">
        <v>351.40000000139997</v>
      </c>
      <c r="FQ4">
        <v>358.00000000019998</v>
      </c>
      <c r="FR4">
        <v>364.2</v>
      </c>
      <c r="FS4">
        <v>370.20000000120001</v>
      </c>
      <c r="FT4">
        <v>376.50000000030002</v>
      </c>
      <c r="FU4">
        <v>382.99999999980002</v>
      </c>
      <c r="FV4">
        <v>389.4</v>
      </c>
      <c r="FW4">
        <v>395.3000000001</v>
      </c>
      <c r="FX4">
        <v>400.90000000049997</v>
      </c>
      <c r="FY4">
        <v>406.80000000069998</v>
      </c>
      <c r="FZ4">
        <v>412.3</v>
      </c>
      <c r="GA4">
        <v>417.4000000003</v>
      </c>
      <c r="GB4">
        <v>422.59999999989998</v>
      </c>
      <c r="GC4">
        <v>428.10000000100001</v>
      </c>
      <c r="GD4">
        <v>433.60000000029999</v>
      </c>
      <c r="GE4">
        <v>438.90000000100002</v>
      </c>
      <c r="GF4">
        <v>444.10000000060001</v>
      </c>
      <c r="GG4">
        <v>448.7000000008</v>
      </c>
      <c r="GH4">
        <v>453.1999999999</v>
      </c>
      <c r="GI4">
        <v>457.7000000008</v>
      </c>
      <c r="GJ4">
        <v>460.80000000069998</v>
      </c>
      <c r="GK4">
        <v>461.50000000130001</v>
      </c>
      <c r="GL4">
        <v>461.69999999980001</v>
      </c>
      <c r="GM4">
        <v>461.60000000050002</v>
      </c>
      <c r="GN4">
        <v>461.60000000050002</v>
      </c>
      <c r="GO4">
        <v>461.60000000050002</v>
      </c>
      <c r="GP4">
        <v>461.60000000050002</v>
      </c>
      <c r="GQ4">
        <v>461.60000000050002</v>
      </c>
      <c r="GR4">
        <v>461.60000000050002</v>
      </c>
      <c r="GS4">
        <v>461.60000000050002</v>
      </c>
      <c r="GT4">
        <v>461.60000000050002</v>
      </c>
      <c r="GU4">
        <v>461.60000000050002</v>
      </c>
      <c r="GV4">
        <v>461.60000000050002</v>
      </c>
      <c r="GW4">
        <v>1</v>
      </c>
      <c r="GX4">
        <v>122.4000000002</v>
      </c>
      <c r="GY4">
        <v>115.70000000029999</v>
      </c>
      <c r="GZ4">
        <v>115.70000000029999</v>
      </c>
      <c r="HA4">
        <v>131.40000000020001</v>
      </c>
      <c r="HB4">
        <v>119.9017437455</v>
      </c>
      <c r="HC4">
        <v>-15.699999999899999</v>
      </c>
      <c r="HD4">
        <v>461.60000000050002</v>
      </c>
      <c r="HE4">
        <v>301.53828658039998</v>
      </c>
      <c r="HF4">
        <v>106.4213906645</v>
      </c>
      <c r="HG4">
        <v>461.69999999980001</v>
      </c>
      <c r="HH4">
        <v>461.69967507839999</v>
      </c>
      <c r="HI4">
        <v>461.69999999980001</v>
      </c>
      <c r="HJ4">
        <v>461.69999999980001</v>
      </c>
      <c r="HK4">
        <v>114.9560117302</v>
      </c>
      <c r="HL4">
        <v>3.2651740805</v>
      </c>
      <c r="HM4">
        <v>3.1468456053999998</v>
      </c>
      <c r="HN4">
        <v>3.1817960055999999</v>
      </c>
      <c r="HO4">
        <v>3.0402494852999999</v>
      </c>
      <c r="HP4">
        <v>3.4492580843999998</v>
      </c>
      <c r="HQ4">
        <v>2.1761433219000001</v>
      </c>
      <c r="HR4">
        <v>13.480353081100001</v>
      </c>
      <c r="HS4">
        <v>-32.844574780099997</v>
      </c>
      <c r="HT4">
        <v>-224</v>
      </c>
      <c r="HU4">
        <v>421.44003032590001</v>
      </c>
      <c r="HV4">
        <v>96.187683284499997</v>
      </c>
      <c r="HW4">
        <v>656</v>
      </c>
      <c r="HX4">
        <v>13.480353081100001</v>
      </c>
      <c r="HY4">
        <v>-32.844574780099997</v>
      </c>
      <c r="HZ4">
        <v>-224</v>
      </c>
      <c r="IA4">
        <v>421.44003032590001</v>
      </c>
      <c r="IB4">
        <v>96.187683284499997</v>
      </c>
      <c r="IC4">
        <v>656</v>
      </c>
      <c r="ID4">
        <v>40.2596447524</v>
      </c>
      <c r="IE4">
        <v>0.30514458979999998</v>
      </c>
      <c r="IF4">
        <v>-42.228739002899999</v>
      </c>
      <c r="IG4">
        <v>-288</v>
      </c>
      <c r="IH4">
        <v>443.48784793729999</v>
      </c>
      <c r="II4">
        <v>105.57184750730001</v>
      </c>
      <c r="IJ4">
        <v>720</v>
      </c>
      <c r="IK4">
        <v>407.95967724489998</v>
      </c>
      <c r="IL4">
        <v>129.03225806450001</v>
      </c>
      <c r="IM4">
        <v>430.01327845750001</v>
      </c>
      <c r="IN4">
        <v>138.4164222874</v>
      </c>
      <c r="IO4">
        <v>6.9999999996</v>
      </c>
      <c r="IP4">
        <v>5.5999999986000004</v>
      </c>
      <c r="IQ4">
        <v>8.7999999996000007</v>
      </c>
      <c r="IR4">
        <v>6.1469749440000001</v>
      </c>
      <c r="IS4">
        <v>6.1469749440000001</v>
      </c>
      <c r="IT4">
        <v>13.6000000002</v>
      </c>
      <c r="IU4">
        <v>-32.844574780099997</v>
      </c>
      <c r="IV4">
        <v>15.9999999996</v>
      </c>
      <c r="IW4">
        <v>16.422287390000001</v>
      </c>
      <c r="IX4">
        <v>12.3999999996</v>
      </c>
      <c r="IY4">
        <v>103.22580645159999</v>
      </c>
      <c r="IZ4">
        <v>-37.478657232099998</v>
      </c>
      <c r="JA4">
        <v>0.34526363920000003</v>
      </c>
      <c r="JB4">
        <v>-3.6143870000000003E-4</v>
      </c>
      <c r="JC4">
        <v>6.9520000000000003E-7</v>
      </c>
      <c r="JD4">
        <v>0.30626238459999999</v>
      </c>
      <c r="JE4">
        <v>0.31687950860000003</v>
      </c>
      <c r="JF4">
        <v>9.3096990700000007E-2</v>
      </c>
      <c r="JG4">
        <v>120.672892946</v>
      </c>
      <c r="JH4">
        <v>3.4492580843999998</v>
      </c>
      <c r="JI4">
        <v>2.9569689999999998E-3</v>
      </c>
      <c r="JJ4">
        <v>-6.63622E-5</v>
      </c>
      <c r="JK4">
        <v>3.2651740805</v>
      </c>
      <c r="JL4">
        <v>0.89468080189999999</v>
      </c>
      <c r="JM4">
        <v>0.45944428259999998</v>
      </c>
      <c r="JN4" t="s">
        <v>545</v>
      </c>
      <c r="JQ4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72.788204000600004</v>
      </c>
      <c r="D16" s="9">
        <f>AVERAGE(C18:C20)</f>
        <v>28.4153395021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76.673382771999997</v>
      </c>
      <c r="D17" s="9">
        <f>AVERAGE(C21:C23)</f>
        <v>6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73.246018506300004</v>
      </c>
      <c r="D18" s="11">
        <f>AVERAGE(C24:C26)</f>
        <v>6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6</v>
      </c>
      <c r="D19" s="6">
        <f>AVERAGE('Summary(3pcs)'!E34:E35)</f>
        <v>143.98217852298794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</v>
      </c>
      <c r="D20" s="9">
        <f>AVERAGE('Summary(3pcs)'!E36:E38)</f>
        <v>-71.931886010562081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6</v>
      </c>
      <c r="D21" s="9">
        <f>AVERAGE('Summary(3pcs)'!E39:E41)</f>
        <v>-185.50310559006209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</v>
      </c>
      <c r="D22" s="11">
        <f>AVERAGE('Summary(3pcs)'!E42:E44)</f>
        <v>-185.50310559006209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-3.8013702319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9.9151521454000004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0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0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0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1.5284454783750001</v>
      </c>
      <c r="C39" s="5">
        <f>'Summary(3pcs)'!M34</f>
        <v>-3.8013702319</v>
      </c>
      <c r="D39" s="11">
        <f t="shared" si="0"/>
        <v>0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9.9151521454000004</v>
      </c>
      <c r="D40" s="6">
        <f t="shared" si="0"/>
        <v>0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0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0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0</v>
      </c>
      <c r="C43" s="8">
        <f>'Summary(3pcs)'!M39</f>
        <v>0</v>
      </c>
      <c r="D43" s="6">
        <f t="shared" ref="D43:D54" si="2">C55</f>
        <v>-5.2317920087999994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0</v>
      </c>
      <c r="D44" s="9">
        <f t="shared" si="2"/>
        <v>4.5740917330000004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0</v>
      </c>
      <c r="D45" s="11">
        <f t="shared" si="2"/>
        <v>4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0</v>
      </c>
      <c r="D46" s="6">
        <f t="shared" si="2"/>
        <v>4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0</v>
      </c>
      <c r="D47" s="9">
        <f t="shared" si="2"/>
        <v>4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0</v>
      </c>
      <c r="D48" s="11">
        <f t="shared" si="2"/>
        <v>4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4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4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4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4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1.8355749310500002</v>
      </c>
      <c r="C55" s="5">
        <f>'Summary(3pcs)'!N34</f>
        <v>-5.2317920087999994</v>
      </c>
      <c r="D55" s="6">
        <f>AVERAGE(D31:D33)</f>
        <v>2.0379273045000001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4.5740917330000004</v>
      </c>
      <c r="D56" s="9">
        <f>AVERAGE(D34:D36)</f>
        <v>0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4</v>
      </c>
      <c r="D57" s="9">
        <f>AVERAGE(D37:D39)</f>
        <v>0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4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4</v>
      </c>
      <c r="C59" s="8">
        <f>'Summary(3pcs)'!N39</f>
        <v>4</v>
      </c>
      <c r="D59" s="9">
        <f>AVERAGE(D43:D45)</f>
        <v>1.1140999080666669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4</v>
      </c>
      <c r="D60" s="9">
        <f>AVERAGE(D46:D48)</f>
        <v>4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4</v>
      </c>
      <c r="D61" s="9">
        <f>AVERAGE(D49:D51)</f>
        <v>4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4</v>
      </c>
      <c r="D63" s="6">
        <f>AVERAGE(C71:C73)</f>
        <v>3.3312473297333334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4</v>
      </c>
      <c r="D64" s="9">
        <f>AVERAGE(C74:C76)</f>
        <v>-7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-7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-7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1.6059862772333335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-3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-3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-0.4573755263999999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7.9549646377999998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2.4961528778000002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-7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-7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-7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-7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-7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-7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-7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-7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-7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4.4034042358000001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5.0549535751000008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-4.6403989792000004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-3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-3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-3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-3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-3</v>
      </c>
    </row>
    <row r="96" spans="1:7">
      <c r="A96" s="1" t="s">
        <v>87</v>
      </c>
      <c r="C96" s="5">
        <f>'Summary(3pcs)'!W43</f>
        <v>-3</v>
      </c>
    </row>
    <row r="97" spans="1:3">
      <c r="A97" s="1" t="s">
        <v>87</v>
      </c>
      <c r="C97" s="8">
        <f>'Summary(3pcs)'!W44</f>
        <v>-3</v>
      </c>
    </row>
    <row r="98" spans="1:3" ht="17.25" thickBot="1">
      <c r="A98" s="1" t="s">
        <v>87</v>
      </c>
      <c r="C98" s="10">
        <f>'Summary(3pcs)'!W45</f>
        <v>-3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2022-09-23T04:30:40Z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