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<sst xmlns="http://schemas.openxmlformats.org/spreadsheetml/2006/main" count="1419" uniqueCount="671">
  <si>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</si>
  <si>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</si>
  <si>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</si>
  <si>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</si>
  <si>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</si>
  <si>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</si>
  <si>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</si>
  <si>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</si>
  <si>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</si>
  <si>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</si>
  <si>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</si>
  <si>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</si>
  <si>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</si>
  <si>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</si>
  <si>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</si>
  <si>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</si>
  <si>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</si>
  <si>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</si>
  <si>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</si>
  <si>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</si>
  <si>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</si>
  <si>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</si>
  <si>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</si>
  <si>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</si>
  <si>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</si>
  <si>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</si>
  <si>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</si>
  <si>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</si>
  <si>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</si>
  <si>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</si>
  <si>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</si>
  <si>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</si>
  <si>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</si>
  <si>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</si>
  <si>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</si>
  <si>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</si>
  <si>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</si>
  <si>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</si>
  <si>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</si>
  <si>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</si>
  <si>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</si>
  <si>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</si>
  <si>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</si>
  <si>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</si>
  <si>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</si>
  <si>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</si>
  <si>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</si>
  <si>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</si>
  <si>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</si>
  <si>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</si>
  <si>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</si>
  <si>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</si>
  <si>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</si>
  <si>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</si>
  <si>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</si>
  <si>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</si>
  <si>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</si>
  <si>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</si>
  <si>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</si>
  <si>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</si>
  <si>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</si>
  <si>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</si>
  <si>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</si>
  <si>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</si>
  <si>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</si>
  <si>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</si>
  <si>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</si>
  <si>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</si>
  <si>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</si>
  <si>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</si>
  <si>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</si>
  <si>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</si>
  <si>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</si>
  <si>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</si>
  <si>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</si>
  <si>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</si>
  <si>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</si>
  <si>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</si>
  <si>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</si>
  <si>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</si>
  <si>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</si>
  <si>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</si>
  <si>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</si>
  <si>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</si>
  <si>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</si>
  <si>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</si>
  <si>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</si>
  <si>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</si>
  <si>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</si>
  <si>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</si>
  <si>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</si>
  <si>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</si>
  <si>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</si>
  <si>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</si>
  <si>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</si>
  <si>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</si>
  <si>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</si>
  <si>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</si>
  <si>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</si>
  <si>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</si>
  <si>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</si>
  <si>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</si>
  <si>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</si>
  <si>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</si>
  <si>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</si>
  <si>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</si>
  <si>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</si>
  <si>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</si>
  <si>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</si>
  <si>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</si>
  <si>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</si>
  <si>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</si>
  <si>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</si>
  <si>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</si>
  <si>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</si>
  <si>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</si>
  <si>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</si>
  <si>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</si>
  <si>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</si>
  <si>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</si>
  <si>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</si>
  <si>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</si>
  <si>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</si>
  <si>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</si>
  <si>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</si>
  <si>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</si>
  <si>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</si>
  <si>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</si>
  <si>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</si>
  <si>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</si>
  <si>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</si>
  <si>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</si>
  <si>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</si>
  <si>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</si>
  <si>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</si>
  <si>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</si>
  <si>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</si>
  <si>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</si>
  <si>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</si>
  <si>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</si>
  <si>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</si>
  <si>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</si>
  <si>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</si>
  <si>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</si>
  <si>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</si>
  <si>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</si>
  <si>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</si>
  <si>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</si>
  <si>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</si>
  <si>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</si>
  <si>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MS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</si>
  <si>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</si>
  <si>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</si>
  <si>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</si>
  <si>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</si>
  <si>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</si>
  <si>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</si>
  <si>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</si>
  <si>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</si>
  <si>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</si>
  <si>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</si>
  <si>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</si>
  <si>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</si>
  <si>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</si>
  <si>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</si>
  <si>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</si>
  <si>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</si>
  <si>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</si>
  <si>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</si>
  <si>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</si>
  <si>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</si>
  <si>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</si>
  <si>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</si>
  <si>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D:\EVMS\TP\LOG\VSY832XN9NBF_2022092310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</si>
  <si>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</si>
  <si>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</si>
  <si>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</si>
  <si>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</si>
  <si>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</si>
  <si>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</si>
  <si>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</si>
  <si>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</si>
  <si>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</si>
  <si>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</si>
  <si>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</si>
  <si>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</si>
  <si>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</si>
  <si>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</si>
  <si>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</si>
  <si>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</si>
  <si>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</si>
  <si>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</si>
  <si>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</si>
  <si>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</si>
  <si>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</si>
  <si>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</si>
  <si>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</si>
  <si>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</si>
  <si>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</si>
  <si>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</si>
  <si>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</si>
  <si>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</si>
  <si>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</si>
  <si>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</si>
  <si>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</si>
  <si>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</si>
  <si>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</si>
  <si>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</si>
  <si>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</si>
  <si>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</si>
  <si>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T220923103251271VCMLEBC050</t>
  </si>
  <si>
    <t>'2022-09-23 10:33:00:218</t>
  </si>
  <si>
    <t>VCMLEBC050A</t>
  </si>
  <si>
    <t>DB_C1001</t>
  </si>
  <si>
    <t>210615ADOE</t>
  </si>
  <si>
    <t>R13A_OC_MFG_C10_21091603_b1779c9</t>
  </si>
  <si>
    <t>VSY832XN9NBF</t>
  </si>
  <si>
    <t>22cb72140666</t>
  </si>
  <si>
    <t>0x52801562a55a4603</t>
  </si>
  <si>
    <t>MFAC357AB3U081B6B734008111</t>
  </si>
  <si>
    <t>MF4C3464A7JU14A7A640</t>
  </si>
  <si>
    <t>DNA22291013280K04A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</si>
  <si>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</si>
  <si>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</si>
  <si>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</si>
  <si>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</si>
  <si>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</si>
  <si>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</si>
  <si>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</si>
  <si>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</si>
  <si>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</si>
  <si>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</si>
  <si>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</si>
  <si>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</si>
  <si>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</si>
  <si>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</si>
  <si>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</si>
  <si>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</si>
  <si>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</si>
  <si>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</si>
  <si>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</si>
  <si>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</si>
  <si>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</si>
  <si>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</si>
  <si>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</si>
  <si>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</si>
  <si>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</si>
  <si>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</si>
  <si>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</si>
  <si>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</si>
  <si>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</si>
  <si>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</si>
  <si>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</si>
  <si>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</si>
  <si>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</si>
  <si>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</si>
  <si>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</si>
  <si>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</si>
  <si>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</si>
  <si>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T220923103317728VCMLEBC050</t>
  </si>
  <si>
    <t>'2022-09-23 10:33:46:242</t>
  </si>
  <si>
    <t>R13A_IPQC_MFG_SFR_InfDn_C10_21090805_b1779c9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</si>
  <si>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</si>
  <si>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</si>
  <si>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</si>
  <si>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</si>
  <si>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</si>
  <si>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</si>
  <si>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</si>
  <si>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</si>
  <si>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</si>
  <si>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</si>
  <si>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</si>
  <si>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</si>
  <si>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</si>
  <si>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</si>
  <si>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</si>
  <si>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10:33:36:219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</si>
  <si>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</si>
  <si>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</si>
  <si>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</si>
  <si>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</si>
  <si>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</si>
  <si>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</si>
  <si>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</si>
  <si>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</si>
  <si>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</si>
  <si>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</si>
  <si>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</si>
  <si>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</si>
  <si>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</si>
  <si>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</si>
  <si>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</si>
  <si>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</si>
  <si>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</si>
  <si>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</si>
  <si>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</si>
  <si>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</si>
  <si>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</si>
  <si>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</si>
  <si>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</si>
  <si>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</si>
  <si>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</si>
  <si>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</si>
  <si>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</si>
  <si>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</si>
  <si>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</si>
  <si>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</si>
  <si>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</si>
  <si>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</si>
  <si>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</si>
  <si>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</si>
  <si>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</si>
  <si>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</si>
  <si>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</si>
  <si>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</si>
  <si>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</si>
  <si>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</si>
  <si>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</si>
  <si>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</si>
  <si>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</si>
  <si>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</si>
  <si>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</si>
  <si>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</si>
  <si>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</si>
  <si>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</si>
  <si>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</si>
  <si>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</si>
  <si>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</si>
  <si>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</si>
  <si>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</si>
  <si>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</si>
  <si>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</si>
  <si>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</si>
  <si>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</si>
  <si>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</si>
  <si>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</si>
  <si>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</si>
  <si>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</si>
  <si>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</si>
  <si>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</si>
  <si>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</si>
  <si>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</si>
  <si>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</si>
  <si>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</si>
  <si>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</si>
  <si>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</si>
  <si>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</si>
  <si>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</si>
  <si>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</si>
  <si>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</si>
  <si>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</si>
  <si>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</si>
  <si>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</si>
  <si>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</si>
  <si>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</si>
  <si>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</si>
  <si>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</si>
  <si>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</si>
  <si>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</si>
  <si>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</si>
  <si>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</si>
  <si>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</si>
  <si>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</si>
  <si>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</si>
  <si>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</si>
  <si>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</si>
  <si>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</si>
  <si>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</si>
  <si>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</si>
  <si>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</si>
  <si>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</si>
  <si>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</si>
  <si>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</si>
  <si>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</si>
  <si>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</si>
  <si>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</si>
  <si>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</si>
  <si>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</si>
  <si>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</si>
  <si>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</si>
  <si>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</si>
  <si>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</si>
  <si>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</si>
  <si>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</si>
  <si>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</si>
  <si>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</si>
  <si>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</si>
  <si>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</si>
  <si>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</si>
  <si>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</si>
  <si>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</si>
  <si>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</si>
  <si>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</si>
  <si>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</si>
  <si>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</si>
  <si>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</si>
  <si>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</si>
  <si>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</si>
  <si>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</si>
  <si>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</si>
  <si>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</si>
  <si>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</si>
  <si>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</si>
  <si>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</si>
  <si>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</si>
  <si>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</si>
  <si>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</si>
  <si>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</si>
  <si>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</si>
  <si>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</si>
  <si>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</si>
  <si>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</si>
  <si>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</si>
  <si>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</si>
  <si>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</si>
  <si>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</si>
  <si>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</si>
  <si>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</si>
  <si>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</si>
  <si>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</si>
  <si>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</si>
  <si>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</si>
  <si>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</si>
  <si>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</si>
  <si>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</si>
  <si>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</si>
  <si>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</si>
  <si>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</si>
  <si>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</si>
  <si>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</si>
  <si>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</si>
  <si>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</si>
  <si>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</si>
  <si>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</si>
  <si>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</si>
  <si>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</si>
  <si>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</si>
  <si>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</si>
  <si>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</si>
  <si>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</si>
  <si>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</si>
  <si>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</si>
  <si>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</si>
  <si>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</si>
  <si>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</si>
  <si>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</si>
  <si>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</si>
  <si>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</si>
  <si>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</si>
  <si>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</si>
  <si>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</si>
  <si>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</si>
  <si>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</si>
  <si>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</si>
  <si>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</si>
  <si>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</si>
  <si>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</si>
  <si>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</si>
  <si>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</si>
  <si>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</si>
  <si>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</si>
  <si>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</si>
  <si>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</si>
  <si>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</si>
  <si>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</si>
  <si>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</si>
  <si>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</si>
  <si>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</si>
  <si>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</si>
  <si>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</si>
  <si>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</si>
  <si>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</si>
  <si>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</si>
  <si>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</si>
  <si>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</si>
  <si>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</si>
  <si>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</si>
  <si>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</si>
  <si>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</si>
  <si>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</si>
  <si>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</si>
  <si>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</si>
  <si>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</si>
  <si>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</si>
  <si>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</si>
  <si>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</si>
  <si>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</si>
  <si>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</si>
  <si>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</si>
  <si>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</si>
  <si>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</si>
  <si>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</si>
  <si>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</si>
  <si>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</si>
  <si>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</si>
  <si>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</si>
  <si>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</si>
  <si>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</si>
  <si>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</si>
  <si>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</si>
  <si>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</si>
  <si>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</si>
  <si>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</si>
  <si>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</si>
  <si>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</si>
  <si>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</si>
  <si>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</si>
  <si>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</si>
  <si>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</si>
  <si>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</si>
  <si>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</si>
  <si>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</si>
  <si>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</si>
  <si>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</si>
  <si>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</si>
  <si>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</si>
  <si>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</si>
  <si>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</si>
  <si>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</si>
  <si>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</si>
  <si>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</si>
  <si>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</si>
  <si>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</si>
  <si>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</si>
  <si>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</si>
  <si>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</si>
  <si>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</si>
  <si>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</si>
  <si>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</si>
  <si>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</si>
  <si>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</si>
  <si>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</si>
  <si>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</si>
  <si>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</si>
  <si>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T220923103302883VCMLEBC050</t>
  </si>
  <si>
    <t>'2022-09-23 10:33:15:420</t>
  </si>
  <si>
    <t>R13A_IPQC_MFG_Laser_C10_21090805_b1779c9</t>
  </si>
  <si>
    <t>v9p4</t>
  </si>
  <si>
    <t>T220923103528090VCMLEBC050</t>
  </si>
  <si>
    <t>'2022-09-23 10:35:37:304</t>
  </si>
  <si>
    <t>22cb72150692</t>
  </si>
  <si>
    <t>0x528018627777ba05</t>
  </si>
  <si>
    <t>MF9C3469B83672B6A544078012</t>
  </si>
  <si>
    <t>MF3C3463ADY014A7A640</t>
  </si>
  <si>
    <t>DNA22292022950M01A</t>
  </si>
  <si>
    <t>T220923103539958VCMLEBC050</t>
  </si>
  <si>
    <t>'2022-09-23 10:35:52:492</t>
  </si>
  <si>
    <t>T220923103554783VCMLEBC050</t>
  </si>
  <si>
    <t>'2022-09-23 10:36:24:175</t>
  </si>
  <si>
    <t>'2022-09-23 10:36:14:152</t>
  </si>
  <si>
    <t>T220923103652504VCMLEBC050</t>
  </si>
  <si>
    <t>'2022-09-23 10:37:01:618</t>
  </si>
  <si>
    <t>22cb72150824</t>
  </si>
  <si>
    <t>0x52801362a61fca03</t>
  </si>
  <si>
    <t>MFAC357AB3TV81B6B436018006</t>
  </si>
  <si>
    <t>MF4C3464A89W14A7A612</t>
  </si>
  <si>
    <t>DNA22301023520F13A</t>
  </si>
  <si>
    <t>T220923103719067VCMLEBC050</t>
  </si>
  <si>
    <t>'2022-09-23 10:37:47:402</t>
  </si>
  <si>
    <t>'2022-09-23 10:37:37:373</t>
  </si>
  <si>
    <t>T220923103704224VCMLEBC050</t>
  </si>
  <si>
    <t>'2022-09-23 10:37:16:755</t>
  </si>
  <si>
    <t>T220923103803342VCMLEBC050</t>
  </si>
  <si>
    <t>'2022-09-23 10:38:12:202</t>
  </si>
  <si>
    <t>22cb72150481</t>
  </si>
  <si>
    <t>0x52801362a61fd605</t>
  </si>
  <si>
    <t>MFAC357AB3WM81B6B436003128</t>
  </si>
  <si>
    <t>MF4C3464A89Y14A7A645</t>
  </si>
  <si>
    <t>DNA22291012550G08A</t>
  </si>
  <si>
    <t>T220923103814826VCMLEBC050</t>
  </si>
  <si>
    <t>'2022-09-23 10:38:27:355</t>
  </si>
  <si>
    <t>T220923103829652VCMLEBC050</t>
  </si>
  <si>
    <t>'2022-09-23 10:01:55:958</t>
  </si>
  <si>
    <t>'2022-09-23 10:01:45:929</t>
  </si>
  <si>
    <t>T220923100207751VCMLEBC050</t>
  </si>
  <si>
    <t>'2022-09-23 10:02:16:480</t>
  </si>
  <si>
    <t>22cb72150448</t>
  </si>
  <si>
    <t>0x52801562a55b5d07</t>
  </si>
  <si>
    <t>MF9C3469B85172B6C445023008</t>
  </si>
  <si>
    <t>MF3C3463AJWN14A7A635</t>
  </si>
  <si>
    <t>DNA22295014790M10A</t>
  </si>
  <si>
    <t>T220923100233925VCMLEBC050</t>
  </si>
  <si>
    <t>'2022-09-23 10:02:51:910</t>
  </si>
  <si>
    <t>T220923100219088VCMLEBC050</t>
  </si>
  <si>
    <t>'2022-09-23 10:02:31:634</t>
  </si>
  <si>
    <t>T220923100315858VCMLEBC050</t>
  </si>
  <si>
    <t>'2022-09-23 10:03:24:674</t>
  </si>
  <si>
    <t>22cb72140317</t>
  </si>
  <si>
    <t>0x528018627772e407</t>
  </si>
  <si>
    <t>MF9C3469B8FS72B6C544034000</t>
  </si>
  <si>
    <t>MF3C3463ADZ314A7A648</t>
  </si>
  <si>
    <t>DNA22292022960F09A</t>
  </si>
  <si>
    <t>'2022-09-23 10:03:01:935</t>
  </si>
  <si>
    <t>T220923100342175VCMLEBC050</t>
  </si>
  <si>
    <t>'2022-09-23 10:04:10:382</t>
  </si>
  <si>
    <t>'2022-09-23 10:04:00:352</t>
  </si>
  <si>
    <t>T220923100327329VCMLEBC050</t>
  </si>
  <si>
    <t>'2022-09-23 10:03:39:858</t>
  </si>
  <si>
    <t>T220923100421764VCMLEBC050</t>
  </si>
  <si>
    <t>'2022-09-23 10:04:30:940</t>
  </si>
  <si>
    <t>22cb72150602</t>
  </si>
  <si>
    <t>0x52801562a55b5d06</t>
  </si>
  <si>
    <t>MFAC357AB3TS81B6B232109102</t>
  </si>
  <si>
    <t>MF4C3464A7JN14A7A635</t>
  </si>
  <si>
    <t>DNA22291013280L02A</t>
  </si>
  <si>
    <t>T220923100448706VCMLEBC050</t>
  </si>
  <si>
    <t>'2022-09-23 10:05:17:942</t>
  </si>
  <si>
    <t>'2022-09-23 10:05:07:920</t>
  </si>
  <si>
    <t>T220923100433873VCMLEBC050</t>
  </si>
  <si>
    <t>'2022-09-23 10:04:46:408</t>
  </si>
  <si>
    <t>T220923100544078VCMLEBC050</t>
  </si>
  <si>
    <t>'2022-09-23 10:05:53:322</t>
  </si>
  <si>
    <t>22cb72140221</t>
  </si>
  <si>
    <t>0x52801362a61bb204</t>
  </si>
  <si>
    <t>MFAC357AB3VB81B6B840000106</t>
  </si>
  <si>
    <t>MF4C3464A7K114A7A628</t>
  </si>
  <si>
    <t>DNA22292021150B07A</t>
  </si>
  <si>
    <t>T220923100611058VCMLEBC050</t>
  </si>
  <si>
    <t>'2022-09-23 10:06:29:651</t>
  </si>
  <si>
    <t>T220923100556231VCMLEBC050</t>
  </si>
  <si>
    <t>'2022-09-23 10:06:08:764</t>
  </si>
  <si>
    <t>T220923100649790VCMLEBC050</t>
  </si>
  <si>
    <t>'2022-09-23 10:06:58:686</t>
  </si>
  <si>
    <t>22cb72150846</t>
  </si>
  <si>
    <t>0x52801862a4fcbd03</t>
  </si>
  <si>
    <t>MFAC357AB3V881B6C028007000</t>
  </si>
  <si>
    <t>MF4C3464A7JL14A7A630</t>
  </si>
  <si>
    <t>DNA22292022900L03A</t>
  </si>
  <si>
    <t>'2022-09-23 10:06:39:678</t>
  </si>
  <si>
    <t>T220923100716119VCMLEBC050</t>
  </si>
  <si>
    <t>'2022-09-23 10:07:44:223</t>
  </si>
  <si>
    <t>'2022-09-23 10:07:34:193</t>
  </si>
  <si>
    <t>T220923100701342VCMLEBC050</t>
  </si>
  <si>
    <t>'2022-09-23 10:07:13:870</t>
  </si>
  <si>
    <t>T220923100841011VCMLEBC050</t>
  </si>
  <si>
    <t>'2022-09-23 10:08:49:957</t>
  </si>
  <si>
    <t>22cb72150358</t>
  </si>
  <si>
    <t>0x52801362a6203f02</t>
  </si>
  <si>
    <t>MFAC357AB3T081B6B633003005</t>
  </si>
  <si>
    <t>MF4C3464A89T14A7A660</t>
  </si>
  <si>
    <t>DNA22291012550G13A</t>
  </si>
  <si>
    <t>T220923100946931VCMLEBC050</t>
  </si>
  <si>
    <t>'2022-09-23 10:09:55:856</t>
  </si>
  <si>
    <t>22cb72150894</t>
  </si>
  <si>
    <t>0x52801362a61e2306</t>
  </si>
  <si>
    <t>MF9C3469B7L872B6C146023000</t>
  </si>
  <si>
    <t>MF3C3463AJWH14A7A643</t>
  </si>
  <si>
    <t>DNA22295012110M09A</t>
  </si>
  <si>
    <t>T220923101050835VCMLEBC050</t>
  </si>
  <si>
    <t>'2022-09-23 10:10:59:699</t>
  </si>
  <si>
    <t>22cb72150571</t>
  </si>
  <si>
    <t>0x52801362a61fce06</t>
  </si>
  <si>
    <t>MF9C3469B83972B6C339036101</t>
  </si>
  <si>
    <t>MF3C3463ADYZ14A7A633</t>
  </si>
  <si>
    <t>DNA22292022970A10A</t>
  </si>
  <si>
    <t>T220923100907456VCMLEBC050</t>
  </si>
  <si>
    <t>'2022-09-23 10:09:35:503</t>
  </si>
  <si>
    <t>T220923101013297VCMLEBC050</t>
  </si>
  <si>
    <t>'2022-09-23 10:10:41:383</t>
  </si>
  <si>
    <t>'2022-09-23 10:09:25:475</t>
  </si>
  <si>
    <t>'2022-09-23 10:10:31:354</t>
  </si>
  <si>
    <t>T220923100852624VCMLEBC050</t>
  </si>
  <si>
    <t>'2022-09-23 10:09:05:156</t>
  </si>
  <si>
    <t>T220923100958463VCMLEBC050</t>
  </si>
  <si>
    <t>'2022-09-23 10:10:11:000</t>
  </si>
  <si>
    <t>T220923101102318VCMLEBC050</t>
  </si>
  <si>
    <t>'2022-09-23 10:11:14:851</t>
  </si>
  <si>
    <t>T220923101117142VCMLEBC050</t>
  </si>
  <si>
    <t>'2022-09-23 10:11:35:919</t>
  </si>
  <si>
    <t>'2022-09-23 10:11:45:949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</si>
</sst>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5.9895852667999998</c:v>
                </c:pt>
                <c:pt idx="1">
                  <c:v>14.3325519626</c:v>
                </c:pt>
                <c:pt idx="2">
                  <c:v>6.0706188526</c:v>
                </c:pt>
                <c:pt idx="3">
                  <c:v>2.8725263041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0.23213191030000013</c:v>
                </c:pt>
                <c:pt idx="1">
                  <c:v>5.8888353219000003</c:v>
                </c:pt>
                <c:pt idx="2">
                  <c:v>0.1120818186000001</c:v>
                </c:pt>
                <c:pt idx="3">
                  <c:v>7.9366455999999808E-2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8.7975853606666661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2.0776830169333333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38240"/>
        <c:axId val="47339776"/>
      </c:scatterChart>
      <c:valAx>
        <c:axId val="4733824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7339776"/>
        <c:crosses val="autoZero"/>
        <c:crossBetween val="midCat"/>
        <c:majorUnit val="10"/>
      </c:valAx>
      <c:valAx>
        <c:axId val="4733977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7338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3.6205338045</c:v>
                </c:pt>
                <c:pt idx="1">
                  <c:v>-1.3687597459</c:v>
                </c:pt>
                <c:pt idx="2">
                  <c:v>9.1111561660000007</c:v>
                </c:pt>
                <c:pt idx="3">
                  <c:v>-2.3256581221000001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-0.25529904179999985</c:v>
                </c:pt>
                <c:pt idx="1">
                  <c:v>1.3580139219</c:v>
                </c:pt>
                <c:pt idx="2">
                  <c:v>1.5634599805999998</c:v>
                </c:pt>
                <c:pt idx="3">
                  <c:v>16.416210170500001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1.7081001209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0.39402711203333335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69120"/>
        <c:axId val="50479104"/>
      </c:scatterChart>
      <c:valAx>
        <c:axId val="5046912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479104"/>
        <c:crosses val="autoZero"/>
        <c:crossBetween val="midCat"/>
        <c:majorUnit val="10"/>
      </c:valAx>
      <c:valAx>
        <c:axId val="5047910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469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-18.862337160399999</c:v>
                </c:pt>
                <c:pt idx="1">
                  <c:v>6.4022105174000004</c:v>
                </c:pt>
                <c:pt idx="2">
                  <c:v>6.2132058516999997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6.1776049411000002</c:v>
                </c:pt>
                <c:pt idx="1">
                  <c:v>3.2224441542999998</c:v>
                </c:pt>
                <c:pt idx="2">
                  <c:v>1.5082897327000002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-4.0256130388333329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8.0524250307333336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7776"/>
        <c:axId val="50509312"/>
      </c:scatterChart>
      <c:valAx>
        <c:axId val="5050777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509312"/>
        <c:crosses val="autoZero"/>
        <c:crossBetween val="midCat"/>
        <c:majorUnit val="10"/>
      </c:valAx>
      <c:valAx>
        <c:axId val="5050931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507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1.8448233280999999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-5.8039585795999997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4.8200798990666671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-0.35774156420000008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62560"/>
        <c:axId val="50564096"/>
      </c:scatterChart>
      <c:valAx>
        <c:axId val="5056256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564096"/>
        <c:crosses val="autoZero"/>
        <c:crossBetween val="midCat"/>
        <c:majorUnit val="10"/>
      </c:valAx>
      <c:valAx>
        <c:axId val="5056409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562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87.5381626458</c:v>
                </c:pt>
                <c:pt idx="1">
                  <c:v>83.792895971999997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86.180091647899999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99648"/>
        <c:axId val="88701184"/>
      </c:scatterChart>
      <c:valAx>
        <c:axId val="8869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701184"/>
        <c:crosses val="autoZero"/>
        <c:crossBetween val="midCat"/>
      </c:valAx>
      <c:valAx>
        <c:axId val="8870118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99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87.209216325900002</c:v>
                </c:pt>
                <c:pt idx="1">
                  <c:v>88.473013080300007</c:v>
                </c:pt>
                <c:pt idx="2">
                  <c:v>84.681490714899994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86.962269451566669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30240"/>
        <c:axId val="88732032"/>
      </c:scatterChart>
      <c:valAx>
        <c:axId val="8873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732032"/>
        <c:crosses val="autoZero"/>
        <c:crossBetween val="midCat"/>
      </c:valAx>
      <c:valAx>
        <c:axId val="8873203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73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87.732304559499994</c:v>
                </c:pt>
                <c:pt idx="1">
                  <c:v>98.956753015199993</c:v>
                </c:pt>
                <c:pt idx="2">
                  <c:v>94.455125734099994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93.942353883933336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33472"/>
        <c:axId val="124635008"/>
      </c:scatterChart>
      <c:valAx>
        <c:axId val="124633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635008"/>
        <c:crosses val="autoZero"/>
        <c:crossBetween val="midCat"/>
      </c:valAx>
      <c:valAx>
        <c:axId val="12463500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633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88.415182902500007</c:v>
                </c:pt>
                <c:pt idx="1">
                  <c:v>88.929557163400005</c:v>
                </c:pt>
                <c:pt idx="2">
                  <c:v>88.573258268700002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87.863237629666671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132608"/>
        <c:axId val="128134144"/>
      </c:scatterChart>
      <c:valAx>
        <c:axId val="12813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4144"/>
        <c:crosses val="autoZero"/>
        <c:crossBetween val="midCat"/>
      </c:valAx>
      <c:valAx>
        <c:axId val="12813414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13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3.7265758499999997</c:v>
                </c:pt>
                <c:pt idx="1">
                  <c:v>8.5705671300000006</c:v>
                </c:pt>
                <c:pt idx="2">
                  <c:v>3.5375423399999999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-2.3652095200000001</c:v>
                </c:pt>
                <c:pt idx="1">
                  <c:v>1.7086124419999997</c:v>
                </c:pt>
                <c:pt idx="2">
                  <c:v>-2.705076069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5.2782284400000004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-1.1205577156666668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64384"/>
        <c:axId val="128465920"/>
      </c:scatterChart>
      <c:valAx>
        <c:axId val="12846438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8465920"/>
        <c:crosses val="autoZero"/>
        <c:crossBetween val="midCat"/>
        <c:majorUnit val="10"/>
      </c:valAx>
      <c:valAx>
        <c:axId val="12846592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846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8.2238979299999997</c:v>
                </c:pt>
                <c:pt idx="1">
                  <c:v>4.5893999999999995</c:v>
                </c:pt>
                <c:pt idx="2">
                  <c:v>6.1777668000000006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2.3273820880000002</c:v>
                </c:pt>
                <c:pt idx="1">
                  <c:v>-9.4423656459999989</c:v>
                </c:pt>
                <c:pt idx="2">
                  <c:v>6.8956108090000008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6.3303549099999996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-7.3124249666665975E-2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502400"/>
        <c:axId val="128520576"/>
      </c:scatterChart>
      <c:valAx>
        <c:axId val="12850240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8520576"/>
        <c:crosses val="autoZero"/>
        <c:crossBetween val="midCat"/>
        <c:majorUnit val="10"/>
      </c:valAx>
      <c:valAx>
        <c:axId val="12852057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8502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13.478178020000001</c:v>
                </c:pt>
                <c:pt idx="1">
                  <c:v>9.4352416999999988</c:v>
                </c:pt>
                <c:pt idx="2">
                  <c:v>10.577106480000001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1.821657181</c:v>
                </c:pt>
                <c:pt idx="1">
                  <c:v>-2.2518705730000002</c:v>
                </c:pt>
                <c:pt idx="2">
                  <c:v>-2.6482922430000002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11.163508733333336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-1.0261685450000002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549248"/>
        <c:axId val="128550784"/>
      </c:scatterChart>
      <c:valAx>
        <c:axId val="12854924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8550784"/>
        <c:crosses val="autoZero"/>
        <c:crossBetween val="midCat"/>
        <c:majorUnit val="10"/>
      </c:valAx>
      <c:valAx>
        <c:axId val="12855078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8549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-3.0628390310000002</c:v>
                </c:pt>
                <c:pt idx="1">
                  <c:v>-0.86371421800000014</c:v>
                </c:pt>
                <c:pt idx="2">
                  <c:v>12.069015499999999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-0.43513369599999985</c:v>
                </c:pt>
                <c:pt idx="1">
                  <c:v>-1.5043411250000001</c:v>
                </c:pt>
                <c:pt idx="2">
                  <c:v>-5.3138880730000002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2.7141540836666658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-2.4177876313333333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677760"/>
        <c:axId val="128679296"/>
      </c:scatterChart>
      <c:valAx>
        <c:axId val="12867776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8679296"/>
        <c:crosses val="autoZero"/>
        <c:crossBetween val="midCat"/>
        <c:majorUnit val="10"/>
      </c:valAx>
      <c:valAx>
        <c:axId val="12867929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8677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153</v>
      </c>
      <c r="C3" s="72">
        <v>0.2</v>
      </c>
      <c r="D3" s="72" t="s">
        <v>154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5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D:\EVMS\TP\LOG\VSY832XN9NBF_2022092310_D50_ON_OC.csv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D:\EVMS\TP\LOG\VSY832XN9NBF_2022092310_FPDC_INFD_normal.csv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D:\EVMS\TP\LOG\VSY832XN9NBF_2022092310_INFDMargin_IPQC.csv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D:\EVMS\TP\LOG\VSY832XN9NBF_2022092310_VCM_MEASURE.csv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173</v>
      </c>
      <c r="D8" s="20"/>
    </row>
    <row r="19" spans="3:3">
      <c r="C19" s="74" t="s">
        <v>160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N31" sqref="N31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150</v>
      </c>
      <c r="S31" s="84" t="s">
        <v>152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167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168</v>
      </c>
      <c r="N33" s="41" t="s">
        <v>169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22cb72140666</v>
      </c>
      <c r="C34" s="44">
        <f>IPQC!S2+VLOOKUP($R$31,$AD$38:$AK$42,6,FALSE)+VLOOKUP('File location'!$B$1,'Tester offset'!$A$2:$D$4,2,FALSE)</f>
        <v>87.5381626458</v>
      </c>
      <c r="D34" s="44">
        <f>IPQC!Z2+VLOOKUP($R$31,$AD$38:$AK$42,6,FALSE)</f>
        <v>68.641050733100002</v>
      </c>
      <c r="E34" s="44">
        <f>VCM!HU2-'Summary(3pcs)'!C34-'Summary(3pcs)'!$D$32</f>
        <v>131.8848558200379</v>
      </c>
      <c r="F34" s="90">
        <f>AVERAGEIF($A$34:$A$45,1,$C$34:$C$45)</f>
        <v>86.180091647899999</v>
      </c>
      <c r="G34" s="91">
        <f>AVERAGEIF($A$34:$A$45,1,$D$34:$D$45)</f>
        <v>68.849940921933339</v>
      </c>
      <c r="H34" s="91">
        <f>AVERAGEIF($A$34:$A$45,1,$E$34:$E$45)</f>
        <v>126.8385828902379</v>
      </c>
      <c r="I34" s="91">
        <f>85-F34</f>
        <v>-1.1800916478999994</v>
      </c>
      <c r="J34"/>
      <c r="K34" s="79">
        <f>T34</f>
        <v>1</v>
      </c>
      <c r="L34" s="80" t="str">
        <f>OC!J2</f>
        <v>22cb72140666</v>
      </c>
      <c r="M34" s="44">
        <f>OC!S2+VLOOKUP($R$31,$AD$38:$AK$42,4,FALSE)</f>
        <v>5.9895852667999998</v>
      </c>
      <c r="N34" s="44">
        <f>OC!T2+VLOOKUP($R$31,$AD$38:$AK$42,5,FALSE)</f>
        <v>0.23213191030000013</v>
      </c>
      <c r="O34" s="92">
        <f>AVERAGEIF($K$34:$K$45,1,$M$34:$M$45)</f>
        <v>8.7975853606666661</v>
      </c>
      <c r="P34" s="92">
        <f>AVERAGEIF($K$34:$K$45,1,$N$34:$N$45)</f>
        <v>2.0776830169333333</v>
      </c>
      <c r="Q34" s="90">
        <f>P34*0.001</f>
        <v>2.0776830169333335E-3</v>
      </c>
      <c r="R34" s="90">
        <f>O34*0.001</f>
        <v>8.7975853606666668E-3</v>
      </c>
      <c r="T34" s="79">
        <v>1</v>
      </c>
      <c r="U34" s="80" t="str">
        <f>FPDC!J2</f>
        <v>22cb72140666</v>
      </c>
      <c r="V34" s="75">
        <f>FPDC!R2+VLOOKUP($R$31,$AD$38:$AK$42,2,FALSE)+VLOOKUP($R$31,$AD$38:$AK$42,7,FALSE)+VLOOKUP('File location'!$B$1,'Tester offset'!$A$2:$D$4,3,FALSE)</f>
        <v>-3.0628390310000002</v>
      </c>
      <c r="W34" s="76">
        <f>FPDC!S2+VLOOKUP($R$31,$AD$38:$AK$42,3,FALSE)+VLOOKUP($R$31,$AD$38:$AK$42,8,FALSE)+VLOOKUP('File location'!$B$1,'Tester offset'!$A$2:$D$4,4,FALSE)</f>
        <v>-0.43513369599999985</v>
      </c>
      <c r="X34" s="92">
        <f>AVERAGEIF($T$34:$T$45,1,$V$34:$V$45)</f>
        <v>2.7141540836666658</v>
      </c>
      <c r="Y34" s="92">
        <f>AVERAGEIF($T$34:$T$45,1,$W$34:$W$45)</f>
        <v>-2.4177876313333333</v>
      </c>
      <c r="Z34" s="90">
        <f>(X34*-0.01)/4</f>
        <v>-6.7853852091666646E-3</v>
      </c>
      <c r="AA34" s="90">
        <f>(Y34*-0.01)/4</f>
        <v>6.0444690783333331E-3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22cb72150692</v>
      </c>
      <c r="C35" s="44">
        <f>IPQC!S3+VLOOKUP($R$31,$AD$38:$AK$42,6,FALSE)+VLOOKUP('File location'!$B$1,'Tester offset'!$A$2:$D$4,2,FALSE)</f>
        <v>83.792895971999997</v>
      </c>
      <c r="D35" s="44">
        <f>IPQC!Z3+VLOOKUP($R$31,$AD$38:$AK$42,6,FALSE)</f>
        <v>66.431436439500004</v>
      </c>
      <c r="E35" s="44">
        <f>VCM!HU3-'Summary(3pcs)'!C35-'Summary(3pcs)'!$D$32</f>
        <v>118.23649786073793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22cb72150692</v>
      </c>
      <c r="M35" s="44">
        <f>OC!S3+VLOOKUP($R$31,$AD$38:$AK$42,4,FALSE)</f>
        <v>14.3325519626</v>
      </c>
      <c r="N35" s="44">
        <f>OC!T3+VLOOKUP($R$31,$AD$38:$AK$42,5,FALSE)</f>
        <v>5.8888353219000003</v>
      </c>
      <c r="O35" s="92"/>
      <c r="P35" s="92"/>
      <c r="Q35" s="90"/>
      <c r="R35" s="90"/>
      <c r="T35" s="79">
        <v>1</v>
      </c>
      <c r="U35" s="80" t="str">
        <f>FPDC!J3</f>
        <v>22cb72150692</v>
      </c>
      <c r="V35" s="75">
        <f>FPDC!R3+VLOOKUP($R$31,$AD$38:$AK$42,2,FALSE)+VLOOKUP($R$31,$AD$38:$AK$42,7,FALSE)+VLOOKUP('File location'!$B$1,'Tester offset'!$A$2:$D$4,3,FALSE)</f>
        <v>-0.86371421800000014</v>
      </c>
      <c r="W35" s="76">
        <f>FPDC!S3+VLOOKUP($R$31,$AD$38:$AK$42,3,FALSE)+VLOOKUP($R$31,$AD$38:$AK$42,8,FALSE)+VLOOKUP('File location'!$B$1,'Tester offset'!$A$2:$D$4,4,FALSE)</f>
        <v>-1.5043411250000001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22cb72150824</v>
      </c>
      <c r="C36" s="44">
        <f>IPQC!S4+VLOOKUP($R$31,$AD$38:$AK$42,6,FALSE)+VLOOKUP('File location'!$B$1,'Tester offset'!$A$2:$D$4,2,FALSE)</f>
        <v>87.209216325900002</v>
      </c>
      <c r="D36" s="44">
        <f>IPQC!Z4+VLOOKUP($R$31,$AD$38:$AK$42,6,FALSE)</f>
        <v>71.477335593199996</v>
      </c>
      <c r="E36" s="44">
        <f>VCM!HU4-'Summary(3pcs)'!C36-'Summary(3pcs)'!$D$32</f>
        <v>130.39439498993789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22cb72150824</v>
      </c>
      <c r="M36" s="44">
        <f>OC!S4+VLOOKUP($R$31,$AD$38:$AK$42,4,FALSE)</f>
        <v>6.0706188526</v>
      </c>
      <c r="N36" s="44">
        <f>OC!T4+VLOOKUP($R$31,$AD$38:$AK$42,5,FALSE)</f>
        <v>0.1120818186000001</v>
      </c>
      <c r="O36" s="92"/>
      <c r="P36" s="92"/>
      <c r="Q36" s="90"/>
      <c r="R36" s="90"/>
      <c r="T36" s="79">
        <v>1</v>
      </c>
      <c r="U36" s="80" t="str">
        <f>FPDC!J4</f>
        <v>22cb72150824</v>
      </c>
      <c r="V36" s="75">
        <f>FPDC!R4+VLOOKUP($R$31,$AD$38:$AK$42,2,FALSE)+VLOOKUP($R$31,$AD$38:$AK$42,7,FALSE)+VLOOKUP('File location'!$B$1,'Tester offset'!$A$2:$D$4,3,FALSE)</f>
        <v>12.069015499999999</v>
      </c>
      <c r="W36" s="76">
        <f>FPDC!S4+VLOOKUP($R$31,$AD$38:$AK$42,3,FALSE)+VLOOKUP($R$31,$AD$38:$AK$42,8,FALSE)+VLOOKUP('File location'!$B$1,'Tester offset'!$A$2:$D$4,4,FALSE)</f>
        <v>-5.3138880730000002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 t="str">
        <f>IPQC!J5</f>
        <v>22cb72150481</v>
      </c>
      <c r="C37" s="44">
        <f>IPQC!S5+VLOOKUP($R$31,$AD$38:$AK$42,6,FALSE)+VLOOKUP('File location'!$B$1,'Tester offset'!$A$2:$D$4,2,FALSE)</f>
        <v>88.473013080300007</v>
      </c>
      <c r="D37" s="44">
        <f>IPQC!Z5+VLOOKUP($R$31,$AD$38:$AK$42,6,FALSE)</f>
        <v>70.810859200699994</v>
      </c>
      <c r="E37" s="44">
        <f>VCM!HU5-'Summary(3pcs)'!C37-'Summary(3pcs)'!$D$32</f>
        <v>127.16939955233789</v>
      </c>
      <c r="F37" s="90">
        <f>AVERAGEIF($A$34:$A$45,2,$C$34:$C$45)</f>
        <v>86.962269451566669</v>
      </c>
      <c r="G37" s="91">
        <f>AVERAGEIF($A$34:$A$45,2,$D$34:$D$45)</f>
        <v>68.366459191666664</v>
      </c>
      <c r="H37" s="91">
        <f>AVERAGEIF($A$34:$A$45,2,$E$34:$E$45)</f>
        <v>138.75931670393791</v>
      </c>
      <c r="I37" s="91">
        <f>85-F37</f>
        <v>-1.9622694515666694</v>
      </c>
      <c r="J37"/>
      <c r="K37" s="79">
        <f t="shared" si="1"/>
        <v>2</v>
      </c>
      <c r="L37" s="80" t="str">
        <f>OC!J5</f>
        <v>22cb72150481</v>
      </c>
      <c r="M37" s="44">
        <f>OC!S5+VLOOKUP($R$31,$AD$38:$AK$42,4,FALSE)</f>
        <v>2.8725263041</v>
      </c>
      <c r="N37" s="44">
        <f>OC!T5+VLOOKUP($R$31,$AD$38:$AK$42,5,FALSE)</f>
        <v>7.9366455999999808E-2</v>
      </c>
      <c r="O37" s="92">
        <f>AVERAGEIF($K$34:$K$45,2,$M$34:$M$45)</f>
        <v>1.7081001209</v>
      </c>
      <c r="P37" s="92">
        <f>AVERAGEIF($K$34:$K$45,2,$N$34:$N$45)</f>
        <v>0.39402711203333335</v>
      </c>
      <c r="Q37" s="90">
        <f>P37*0.001</f>
        <v>3.9402711203333338E-4</v>
      </c>
      <c r="R37" s="90">
        <f>O37*0.001</f>
        <v>1.7081001209E-3</v>
      </c>
      <c r="T37" s="79">
        <v>2</v>
      </c>
      <c r="U37" s="80" t="str">
        <f>FPDC!J5</f>
        <v>22cb72150481</v>
      </c>
      <c r="V37" s="75">
        <f>FPDC!R5+VLOOKUP($R$31,$AD$38:$AK$42,2,FALSE)+VLOOKUP($R$31,$AD$38:$AK$42,7,FALSE)+VLOOKUP('File location'!$B$1,'Tester offset'!$A$2:$D$4,3,FALSE)</f>
        <v>3.7265758499999997</v>
      </c>
      <c r="W37" s="76">
        <f>FPDC!S5+VLOOKUP($R$31,$AD$38:$AK$42,3,FALSE)+VLOOKUP($R$31,$AD$38:$AK$42,8,FALSE)+VLOOKUP('File location'!$B$1,'Tester offset'!$A$2:$D$4,4,FALSE)</f>
        <v>-2.3652095200000001</v>
      </c>
      <c r="X37" s="92">
        <f>AVERAGEIF($T$34:$T$45,2,$V$34:$V$45)</f>
        <v>5.2782284400000004</v>
      </c>
      <c r="Y37" s="92">
        <f>AVERAGEIF($T$34:$T$45,2,$W$34:$W$45)</f>
        <v>-1.1205577156666668</v>
      </c>
      <c r="Z37" s="90">
        <f>(X37*-0.01)/4</f>
        <v>-1.3195571100000001E-2</v>
      </c>
      <c r="AA37" s="90">
        <f>(Y37*-0.01)/4</f>
        <v>2.8013942891666672E-3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22cb72150448</v>
      </c>
      <c r="C38" s="44">
        <f>IPQC!S6+VLOOKUP($R$31,$AD$38:$AK$42,6,FALSE)+VLOOKUP('File location'!$B$1,'Tester offset'!$A$2:$D$4,2,FALSE)</f>
        <v>84.681490714899994</v>
      </c>
      <c r="D38" s="44">
        <f>IPQC!Z6+VLOOKUP($R$31,$AD$38:$AK$42,6,FALSE)</f>
        <v>66.690324791899997</v>
      </c>
      <c r="E38" s="44">
        <f>VCM!HU6-'Summary(3pcs)'!C38-'Summary(3pcs)'!$D$32</f>
        <v>139.04028688443788</v>
      </c>
      <c r="F38" s="90"/>
      <c r="G38" s="91"/>
      <c r="H38" s="91"/>
      <c r="I38" s="91"/>
      <c r="J38"/>
      <c r="K38" s="79">
        <f t="shared" si="1"/>
        <v>2</v>
      </c>
      <c r="L38" s="80" t="str">
        <f>OC!J6</f>
        <v>22cb72150448</v>
      </c>
      <c r="M38" s="44">
        <f>OC!S6+VLOOKUP($R$31,$AD$38:$AK$42,4,FALSE)</f>
        <v>3.6205338045</v>
      </c>
      <c r="N38" s="44">
        <f>OC!T6+VLOOKUP($R$31,$AD$38:$AK$42,5,FALSE)</f>
        <v>-0.25529904179999985</v>
      </c>
      <c r="O38" s="92"/>
      <c r="P38" s="92"/>
      <c r="Q38" s="90"/>
      <c r="R38" s="90"/>
      <c r="T38" s="79">
        <v>2</v>
      </c>
      <c r="U38" s="80" t="str">
        <f>FPDC!J6</f>
        <v>22cb72150448</v>
      </c>
      <c r="V38" s="75">
        <f>FPDC!R6+VLOOKUP($R$31,$AD$38:$AK$42,2,FALSE)+VLOOKUP($R$31,$AD$38:$AK$42,7,FALSE)+VLOOKUP('File location'!$B$1,'Tester offset'!$A$2:$D$4,3,FALSE)</f>
        <v>8.5705671300000006</v>
      </c>
      <c r="W38" s="76">
        <f>FPDC!S6+VLOOKUP($R$31,$AD$38:$AK$42,3,FALSE)+VLOOKUP($R$31,$AD$38:$AK$42,8,FALSE)+VLOOKUP('File location'!$B$1,'Tester offset'!$A$2:$D$4,4,FALSE)</f>
        <v>1.7086124419999997</v>
      </c>
      <c r="X38" s="92"/>
      <c r="Y38" s="92"/>
      <c r="Z38" s="90"/>
      <c r="AA38" s="90"/>
      <c r="AD38" s="79" t="s">
        <v>170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22cb72140317</v>
      </c>
      <c r="C39" s="44">
        <f>IPQC!S7+VLOOKUP($R$31,$AD$38:$AK$42,6,FALSE)+VLOOKUP('File location'!$B$1,'Tester offset'!$A$2:$D$4,2,FALSE)</f>
        <v>87.732304559499994</v>
      </c>
      <c r="D39" s="44">
        <f>IPQC!Z7+VLOOKUP($R$31,$AD$38:$AK$42,6,FALSE)</f>
        <v>67.5981935824</v>
      </c>
      <c r="E39" s="44">
        <f>VCM!HU7-'Summary(3pcs)'!C39-'Summary(3pcs)'!$D$32</f>
        <v>150.06826367503794</v>
      </c>
      <c r="F39" s="90"/>
      <c r="G39" s="91"/>
      <c r="H39" s="91"/>
      <c r="I39" s="91"/>
      <c r="J39"/>
      <c r="K39" s="79">
        <f t="shared" si="1"/>
        <v>2</v>
      </c>
      <c r="L39" s="80" t="str">
        <f>OC!J7</f>
        <v>22cb72140317</v>
      </c>
      <c r="M39" s="44">
        <f>OC!S7+VLOOKUP($R$31,$AD$38:$AK$42,4,FALSE)</f>
        <v>-1.3687597459</v>
      </c>
      <c r="N39" s="44">
        <f>OC!T7+VLOOKUP($R$31,$AD$38:$AK$42,5,FALSE)</f>
        <v>1.3580139219</v>
      </c>
      <c r="O39" s="92"/>
      <c r="P39" s="92"/>
      <c r="Q39" s="90"/>
      <c r="R39" s="90"/>
      <c r="T39" s="79">
        <v>2</v>
      </c>
      <c r="U39" s="80" t="str">
        <f>FPDC!J7</f>
        <v>22cb72140317</v>
      </c>
      <c r="V39" s="75">
        <f>FPDC!R7+VLOOKUP($R$31,$AD$38:$AK$42,2,FALSE)+VLOOKUP($R$31,$AD$38:$AK$42,7,FALSE)+VLOOKUP('File location'!$B$1,'Tester offset'!$A$2:$D$4,3,FALSE)</f>
        <v>3.5375423399999999</v>
      </c>
      <c r="W39" s="76">
        <f>FPDC!S7+VLOOKUP($R$31,$AD$38:$AK$42,3,FALSE)+VLOOKUP($R$31,$AD$38:$AK$42,8,FALSE)+VLOOKUP('File location'!$B$1,'Tester offset'!$A$2:$D$4,4,FALSE)</f>
        <v>-2.705076069</v>
      </c>
      <c r="X39" s="92"/>
      <c r="Y39" s="92"/>
      <c r="Z39" s="90"/>
      <c r="AA39" s="90"/>
      <c r="AD39" s="30" t="s">
        <v>171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22cb72150602</v>
      </c>
      <c r="C40" s="44">
        <f>IPQC!S8+VLOOKUP($R$31,$AD$38:$AK$42,6,FALSE)+VLOOKUP('File location'!$B$1,'Tester offset'!$A$2:$D$4,2,FALSE)</f>
        <v>98.956753015199993</v>
      </c>
      <c r="D40" s="44">
        <f>IPQC!Z8+VLOOKUP($R$31,$AD$38:$AK$42,6,FALSE)</f>
        <v>79.533739375300001</v>
      </c>
      <c r="E40" s="44">
        <f>VCM!HU8-'Summary(3pcs)'!C40-'Summary(3pcs)'!$D$32</f>
        <v>120.34378937093794</v>
      </c>
      <c r="F40" s="90">
        <f>AVERAGEIF($A$34:$A$45,3,$C$34:$C$45)</f>
        <v>93.942353883933336</v>
      </c>
      <c r="G40" s="91">
        <f>AVERAGEIF($A$34:$A$45,3,$D$34:$D$45)</f>
        <v>75.823256700766663</v>
      </c>
      <c r="H40" s="91">
        <f>AVERAGEIF($A$34:$A$45,3,$E$34:$E$45)</f>
        <v>131.58190390780459</v>
      </c>
      <c r="I40" s="91">
        <f>85-F40</f>
        <v>-8.9423538839333361</v>
      </c>
      <c r="J40"/>
      <c r="K40" s="79">
        <f t="shared" si="1"/>
        <v>3</v>
      </c>
      <c r="L40" s="80" t="str">
        <f>OC!J8</f>
        <v>22cb72150602</v>
      </c>
      <c r="M40" s="44">
        <f>OC!S8+VLOOKUP($R$31,$AD$38:$AK$42,4,FALSE)</f>
        <v>9.1111561660000007</v>
      </c>
      <c r="N40" s="44">
        <f>OC!T8+VLOOKUP($R$31,$AD$38:$AK$42,5,FALSE)</f>
        <v>1.5634599805999998</v>
      </c>
      <c r="O40" s="92">
        <f>AVERAGEIF($K$34:$K$45,3,$M$34:$M$45)</f>
        <v>-4.0256130388333329</v>
      </c>
      <c r="P40" s="92">
        <f>AVERAGEIF($K$34:$K$45,3,$N$34:$N$45)</f>
        <v>8.0524250307333336</v>
      </c>
      <c r="Q40" s="90">
        <f>P40*0.001</f>
        <v>8.0524250307333345E-3</v>
      </c>
      <c r="R40" s="90">
        <f>O40*0.001</f>
        <v>-4.0256130388333332E-3</v>
      </c>
      <c r="T40" s="79">
        <v>3</v>
      </c>
      <c r="U40" s="80" t="str">
        <f>FPDC!J8</f>
        <v>22cb72150602</v>
      </c>
      <c r="V40" s="75">
        <f>FPDC!R8+VLOOKUP($R$31,$AD$38:$AK$42,2,FALSE)+VLOOKUP($R$31,$AD$38:$AK$42,7,FALSE)+VLOOKUP('File location'!$B$1,'Tester offset'!$A$2:$D$4,3,FALSE)</f>
        <v>8.2238979299999997</v>
      </c>
      <c r="W40" s="76">
        <f>FPDC!S8+VLOOKUP($R$31,$AD$38:$AK$42,3,FALSE)+VLOOKUP($R$31,$AD$38:$AK$42,8,FALSE)+VLOOKUP('File location'!$B$1,'Tester offset'!$A$2:$D$4,4,FALSE)</f>
        <v>2.3273820880000002</v>
      </c>
      <c r="X40" s="92">
        <f>AVERAGEIF($T$34:$T$45,3,$V$34:$V$45)</f>
        <v>6.3303549099999996</v>
      </c>
      <c r="Y40" s="92">
        <f>AVERAGEIF($T$34:$T$45,3,$W$34:$W$45)</f>
        <v>-7.3124249666665975E-2</v>
      </c>
      <c r="Z40" s="90">
        <f>(X40*-0.01)/4</f>
        <v>-1.5825887274999999E-2</v>
      </c>
      <c r="AA40" s="90">
        <f>(Y40*-0.01)/4</f>
        <v>1.8281062416666493E-4</v>
      </c>
      <c r="AD40" s="30" t="s">
        <v>172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22cb72140221</v>
      </c>
      <c r="C41" s="44">
        <f>IPQC!S9+VLOOKUP($R$31,$AD$38:$AK$42,6,FALSE)+VLOOKUP('File location'!$B$1,'Tester offset'!$A$2:$D$4,2,FALSE)</f>
        <v>94.455125734099994</v>
      </c>
      <c r="D41" s="44">
        <f>IPQC!Z9+VLOOKUP($R$31,$AD$38:$AK$42,6,FALSE)</f>
        <v>79.836741212000007</v>
      </c>
      <c r="E41" s="44">
        <f>VCM!HU9-'Summary(3pcs)'!C41-'Summary(3pcs)'!$D$32</f>
        <v>137.18372954593792</v>
      </c>
      <c r="F41" s="90"/>
      <c r="G41" s="91"/>
      <c r="H41" s="91"/>
      <c r="I41" s="91"/>
      <c r="J41"/>
      <c r="K41" s="79">
        <f t="shared" si="1"/>
        <v>3</v>
      </c>
      <c r="L41" s="80" t="str">
        <f>OC!J9</f>
        <v>22cb72140221</v>
      </c>
      <c r="M41" s="44">
        <f>OC!S9+VLOOKUP($R$31,$AD$38:$AK$42,4,FALSE)</f>
        <v>-2.3256581221000001</v>
      </c>
      <c r="N41" s="44">
        <f>OC!T9+VLOOKUP($R$31,$AD$38:$AK$42,5,FALSE)</f>
        <v>16.416210170500001</v>
      </c>
      <c r="O41" s="92"/>
      <c r="P41" s="92"/>
      <c r="Q41" s="90"/>
      <c r="R41" s="90"/>
      <c r="T41" s="79">
        <v>3</v>
      </c>
      <c r="U41" s="80" t="str">
        <f>FPDC!J9</f>
        <v>22cb72140221</v>
      </c>
      <c r="V41" s="75">
        <f>FPDC!R9+VLOOKUP($R$31,$AD$38:$AK$42,2,FALSE)+VLOOKUP($R$31,$AD$38:$AK$42,7,FALSE)+VLOOKUP('File location'!$B$1,'Tester offset'!$A$2:$D$4,3,FALSE)</f>
        <v>4.5893999999999995</v>
      </c>
      <c r="W41" s="76">
        <f>FPDC!S9+VLOOKUP($R$31,$AD$38:$AK$42,3,FALSE)+VLOOKUP($R$31,$AD$38:$AK$42,8,FALSE)+VLOOKUP('File location'!$B$1,'Tester offset'!$A$2:$D$4,4,FALSE)</f>
        <v>-9.4423656459999989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22cb72150846</v>
      </c>
      <c r="C42" s="44">
        <f>IPQC!S10+VLOOKUP($R$31,$AD$38:$AK$42,6,FALSE)+VLOOKUP('File location'!$B$1,'Tester offset'!$A$2:$D$4,2,FALSE)</f>
        <v>88.415182902500007</v>
      </c>
      <c r="D42" s="44">
        <f>IPQC!Z10+VLOOKUP($R$31,$AD$38:$AK$42,6,FALSE)</f>
        <v>68.099289515000009</v>
      </c>
      <c r="E42" s="44">
        <f>VCM!HU10-'Summary(3pcs)'!C42-'Summary(3pcs)'!$D$32</f>
        <v>137.2181928065379</v>
      </c>
      <c r="F42" s="90"/>
      <c r="G42" s="91"/>
      <c r="H42" s="91"/>
      <c r="I42" s="91"/>
      <c r="J42"/>
      <c r="K42" s="79">
        <f t="shared" si="1"/>
        <v>3</v>
      </c>
      <c r="L42" s="80" t="str">
        <f>OC!J10</f>
        <v>22cb72150846</v>
      </c>
      <c r="M42" s="44">
        <f>OC!S10+VLOOKUP($R$31,$AD$38:$AK$42,4,FALSE)</f>
        <v>-18.862337160399999</v>
      </c>
      <c r="N42" s="44">
        <f>OC!T10+VLOOKUP($R$31,$AD$38:$AK$42,5,FALSE)</f>
        <v>6.1776049411000002</v>
      </c>
      <c r="O42" s="92"/>
      <c r="P42" s="92"/>
      <c r="Q42" s="90"/>
      <c r="R42" s="90"/>
      <c r="T42" s="79">
        <v>3</v>
      </c>
      <c r="U42" s="80" t="str">
        <f>FPDC!J10</f>
        <v>22cb72150846</v>
      </c>
      <c r="V42" s="75">
        <f>FPDC!R10+VLOOKUP($R$31,$AD$38:$AK$42,2,FALSE)+VLOOKUP($R$31,$AD$38:$AK$42,7,FALSE)+VLOOKUP('File location'!$B$1,'Tester offset'!$A$2:$D$4,3,FALSE)</f>
        <v>6.1777668000000006</v>
      </c>
      <c r="W42" s="76">
        <f>FPDC!S10+VLOOKUP($R$31,$AD$38:$AK$42,3,FALSE)+VLOOKUP($R$31,$AD$38:$AK$42,8,FALSE)+VLOOKUP('File location'!$B$1,'Tester offset'!$A$2:$D$4,4,FALSE)</f>
        <v>6.8956108090000008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 t="str">
        <f>IPQC!J11</f>
        <v>22cb72150358</v>
      </c>
      <c r="C43" s="44">
        <f>IPQC!S11+VLOOKUP($R$31,$AD$38:$AK$42,6,FALSE)+VLOOKUP('File location'!$B$1,'Tester offset'!$A$2:$D$4,2,FALSE)</f>
        <v>88.929557163400005</v>
      </c>
      <c r="D43" s="44">
        <f>IPQC!Z11+VLOOKUP($R$31,$AD$38:$AK$42,6,FALSE)</f>
        <v>72.513303327399996</v>
      </c>
      <c r="E43" s="44">
        <f>VCM!HU11-'Summary(3pcs)'!C43-'Summary(3pcs)'!$D$32</f>
        <v>141.6330540382379</v>
      </c>
      <c r="F43" s="90">
        <f>AVERAGEIF($A$34:$A$45,4,$C$34:$C$45)</f>
        <v>87.863237629666671</v>
      </c>
      <c r="G43" s="91">
        <f>AVERAGEIF($A$34:$A$45,4,$D$34:$D$45)</f>
        <v>68.7522215483</v>
      </c>
      <c r="H43" s="91">
        <f>AVERAGEIF($A$34:$A$45,4,$E$34:$E$45)</f>
        <v>139.13780314840457</v>
      </c>
      <c r="I43" s="91">
        <f>85-F43</f>
        <v>-2.8632376296666706</v>
      </c>
      <c r="J43"/>
      <c r="K43" s="79">
        <f t="shared" si="1"/>
        <v>4</v>
      </c>
      <c r="L43" s="80" t="str">
        <f>OC!J11</f>
        <v>22cb72150358</v>
      </c>
      <c r="M43" s="44">
        <f>OC!S11+VLOOKUP($R$31,$AD$38:$AK$42,4,FALSE)</f>
        <v>6.4022105174000004</v>
      </c>
      <c r="N43" s="44">
        <f>OC!T11+VLOOKUP($R$31,$AD$38:$AK$42,5,FALSE)</f>
        <v>3.2224441542999998</v>
      </c>
      <c r="O43" s="92">
        <f>AVERAGEIF($K$34:$K$45,4,$M$34:$M$45)</f>
        <v>4.8200798990666671</v>
      </c>
      <c r="P43" s="92">
        <f>AVERAGEIF($K$34:$K$45,4,$N$34:$N$45)</f>
        <v>-0.35774156420000008</v>
      </c>
      <c r="Q43" s="90">
        <f>P43*0.001</f>
        <v>-3.577415642000001E-4</v>
      </c>
      <c r="R43" s="90">
        <f>O43*0.001</f>
        <v>4.8200798990666672E-3</v>
      </c>
      <c r="T43" s="79">
        <v>4</v>
      </c>
      <c r="U43" s="80" t="str">
        <f>FPDC!J11</f>
        <v>22cb72150358</v>
      </c>
      <c r="V43" s="75">
        <f>FPDC!R11+VLOOKUP($R$31,$AD$38:$AK$42,2,FALSE)+VLOOKUP($R$31,$AD$38:$AK$42,7,FALSE)+VLOOKUP('File location'!$B$1,'Tester offset'!$A$2:$D$4,3,FALSE)</f>
        <v>13.478178020000001</v>
      </c>
      <c r="W43" s="76">
        <f>FPDC!S11+VLOOKUP($R$31,$AD$38:$AK$42,3,FALSE)+VLOOKUP($R$31,$AD$38:$AK$42,8,FALSE)+VLOOKUP('File location'!$B$1,'Tester offset'!$A$2:$D$4,4,FALSE)</f>
        <v>1.821657181</v>
      </c>
      <c r="X43" s="92">
        <f>AVERAGEIF($T$34:$T$45,4,$V$34:$V$45)</f>
        <v>11.163508733333336</v>
      </c>
      <c r="Y43" s="92">
        <f>AVERAGEIF($T$34:$T$45,4,$W$34:$W$45)</f>
        <v>-1.0261685450000002</v>
      </c>
      <c r="Z43" s="90">
        <f>(X43*-0.01)/4</f>
        <v>-2.7908771833333339E-2</v>
      </c>
      <c r="AA43" s="90">
        <f>(Y43*-0.01)/4</f>
        <v>2.5654213625000005E-3</v>
      </c>
    </row>
    <row r="44" spans="1:37" s="32" customFormat="1" ht="17.100000000000001" customHeight="1">
      <c r="A44" s="79">
        <f t="shared" si="0"/>
        <v>4</v>
      </c>
      <c r="B44" s="80" t="str">
        <f>IPQC!J12</f>
        <v>22cb72150894</v>
      </c>
      <c r="C44" s="44">
        <f>IPQC!S12+VLOOKUP($R$31,$AD$38:$AK$42,6,FALSE)+VLOOKUP('File location'!$B$1,'Tester offset'!$A$2:$D$4,2,FALSE)</f>
        <v>88.573258268700002</v>
      </c>
      <c r="D44" s="44">
        <f>IPQC!Z12+VLOOKUP($R$31,$AD$38:$AK$42,6,FALSE)</f>
        <v>68.378739362399998</v>
      </c>
      <c r="E44" s="44">
        <f>VCM!HU12-'Summary(3pcs)'!C44-'Summary(3pcs)'!$D$32</f>
        <v>130.09970675343794</v>
      </c>
      <c r="F44" s="90"/>
      <c r="G44" s="91"/>
      <c r="H44" s="91"/>
      <c r="I44" s="91"/>
      <c r="J44"/>
      <c r="K44" s="79">
        <f t="shared" si="1"/>
        <v>4</v>
      </c>
      <c r="L44" s="80" t="str">
        <f>OC!J12</f>
        <v>22cb72150894</v>
      </c>
      <c r="M44" s="44">
        <f>OC!S12+VLOOKUP($R$31,$AD$38:$AK$42,4,FALSE)</f>
        <v>6.2132058516999997</v>
      </c>
      <c r="N44" s="44">
        <f>OC!T12+VLOOKUP($R$31,$AD$38:$AK$42,5,FALSE)</f>
        <v>1.5082897327000002</v>
      </c>
      <c r="O44" s="92"/>
      <c r="P44" s="92"/>
      <c r="Q44" s="90"/>
      <c r="R44" s="90"/>
      <c r="T44" s="79">
        <v>4</v>
      </c>
      <c r="U44" s="80" t="str">
        <f>FPDC!J12</f>
        <v>22cb72150894</v>
      </c>
      <c r="V44" s="75">
        <f>FPDC!R12+VLOOKUP($R$31,$AD$38:$AK$42,2,FALSE)+VLOOKUP($R$31,$AD$38:$AK$42,7,FALSE)+VLOOKUP('File location'!$B$1,'Tester offset'!$A$2:$D$4,3,FALSE)</f>
        <v>9.4352416999999988</v>
      </c>
      <c r="W44" s="76">
        <f>FPDC!S12+VLOOKUP($R$31,$AD$38:$AK$42,3,FALSE)+VLOOKUP($R$31,$AD$38:$AK$42,8,FALSE)+VLOOKUP('File location'!$B$1,'Tester offset'!$A$2:$D$4,4,FALSE)</f>
        <v>-2.2518705730000002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 t="str">
        <f>IPQC!J13</f>
        <v>22cb72150571</v>
      </c>
      <c r="C45" s="44">
        <f>IPQC!S13+VLOOKUP($R$31,$AD$38:$AK$42,6,FALSE)+VLOOKUP('File location'!$B$1,'Tester offset'!$A$2:$D$4,2,FALSE)</f>
        <v>86.086897456900004</v>
      </c>
      <c r="D45" s="44">
        <f>IPQC!Z13+VLOOKUP($R$31,$AD$38:$AK$42,6,FALSE)</f>
        <v>65.364621955100006</v>
      </c>
      <c r="E45" s="44">
        <f>VCM!HU13-'Summary(3pcs)'!C45-'Summary(3pcs)'!$D$32</f>
        <v>145.6806486535379</v>
      </c>
      <c r="F45" s="90"/>
      <c r="G45" s="91"/>
      <c r="H45" s="91"/>
      <c r="I45" s="91"/>
      <c r="J45"/>
      <c r="K45" s="79">
        <f t="shared" si="1"/>
        <v>4</v>
      </c>
      <c r="L45" s="80" t="str">
        <f>OC!J13</f>
        <v>22cb72150571</v>
      </c>
      <c r="M45" s="44">
        <f>OC!S13+VLOOKUP($R$31,$AD$38:$AK$42,4,FALSE)</f>
        <v>1.8448233280999999</v>
      </c>
      <c r="N45" s="44">
        <f>OC!T13+VLOOKUP($R$31,$AD$38:$AK$42,5,FALSE)</f>
        <v>-5.8039585795999997</v>
      </c>
      <c r="O45" s="92"/>
      <c r="P45" s="92"/>
      <c r="Q45" s="90"/>
      <c r="R45" s="90"/>
      <c r="T45" s="79">
        <v>4</v>
      </c>
      <c r="U45" s="80" t="str">
        <f>FPDC!J13</f>
        <v>22cb72150571</v>
      </c>
      <c r="V45" s="75">
        <f>FPDC!R13+VLOOKUP($R$31,$AD$38:$AK$42,2,FALSE)+VLOOKUP($R$31,$AD$38:$AK$42,7,FALSE)+VLOOKUP('File location'!$B$1,'Tester offset'!$A$2:$D$4,3,FALSE)</f>
        <v>10.577106480000001</v>
      </c>
      <c r="W45" s="76">
        <f>FPDC!S13+VLOOKUP($R$31,$AD$38:$AK$42,3,FALSE)+VLOOKUP($R$31,$AD$38:$AK$42,8,FALSE)+VLOOKUP('File location'!$B$1,'Tester offset'!$A$2:$D$4,4,FALSE)</f>
        <v>-2.6482922430000002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161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155</v>
      </c>
      <c r="G48" s="89"/>
      <c r="H48" s="78" t="s">
        <v>141</v>
      </c>
      <c r="I48" s="32"/>
      <c r="K48" s="32"/>
      <c r="L48" s="32"/>
      <c r="M48" s="32"/>
      <c r="N48" s="32"/>
      <c r="O48" s="93" t="s">
        <v>156</v>
      </c>
      <c r="P48" s="89"/>
      <c r="Q48" s="78" t="s">
        <v>162</v>
      </c>
      <c r="R48" s="32"/>
      <c r="S48" s="32"/>
      <c r="T48" s="32"/>
      <c r="U48" s="32"/>
      <c r="V48" s="32"/>
      <c r="W48" s="32"/>
      <c r="X48" s="32"/>
      <c r="Y48" s="93" t="s">
        <v>156</v>
      </c>
      <c r="Z48" s="89"/>
      <c r="AA48" s="78" t="s">
        <v>104</v>
      </c>
    </row>
    <row r="49" spans="6:27" ht="17.25">
      <c r="F49" s="89" t="s">
        <v>157</v>
      </c>
      <c r="G49" s="89"/>
      <c r="H49" s="78" t="s">
        <v>107</v>
      </c>
      <c r="I49" s="32"/>
      <c r="K49" s="32"/>
      <c r="L49" s="32"/>
      <c r="M49" s="32"/>
      <c r="N49" s="32"/>
      <c r="O49" s="93" t="s">
        <v>165</v>
      </c>
      <c r="P49" s="89"/>
      <c r="Q49" s="78" t="s">
        <v>163</v>
      </c>
      <c r="R49" s="32"/>
      <c r="S49" s="32"/>
      <c r="T49" s="32"/>
      <c r="U49" s="32"/>
      <c r="V49" s="32"/>
      <c r="W49" s="32"/>
      <c r="X49" s="32"/>
      <c r="Y49" s="93" t="s">
        <v>159</v>
      </c>
      <c r="Z49" s="89"/>
      <c r="AA49" s="78" t="s">
        <v>164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165</v>
      </c>
      <c r="P50" s="89"/>
      <c r="Q50" s="78" t="s">
        <v>166</v>
      </c>
      <c r="R50" s="32"/>
      <c r="S50" s="32"/>
      <c r="T50" s="32"/>
      <c r="U50" s="32"/>
      <c r="V50" s="32"/>
      <c r="W50" s="32"/>
      <c r="X50" s="32"/>
      <c r="Y50" s="93" t="s">
        <v>158</v>
      </c>
      <c r="Z50" s="89"/>
      <c r="AA50" s="78" t="s">
        <v>142</v>
      </c>
    </row>
    <row r="52" spans="6:27" ht="19.5">
      <c r="I52" s="45"/>
      <c r="J52" s="45"/>
      <c r="K52" s="81" t="s">
        <v>151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87.5381626458</v>
      </c>
      <c r="L54" s="49">
        <f t="shared" ref="L54:L65" si="4">D34</f>
        <v>68.641050733100002</v>
      </c>
      <c r="M54" s="49">
        <f t="shared" ref="M54:M65" si="5">E34</f>
        <v>131.8848558200379</v>
      </c>
      <c r="N54" s="49">
        <f t="shared" ref="N54:O65" si="6">M34</f>
        <v>5.9895852667999998</v>
      </c>
      <c r="O54" s="49">
        <f t="shared" si="6"/>
        <v>0.23213191030000013</v>
      </c>
      <c r="P54" s="49">
        <f t="shared" ref="P54:P65" si="7">V34</f>
        <v>-3.0628390310000002</v>
      </c>
      <c r="Q54" s="50">
        <f t="shared" ref="Q54:Q65" si="8">W34</f>
        <v>-0.43513369599999985</v>
      </c>
    </row>
    <row r="55" spans="6:27" ht="19.5">
      <c r="I55" s="47">
        <f t="shared" si="2"/>
        <v>1</v>
      </c>
      <c r="J55" s="46"/>
      <c r="K55" s="51">
        <f t="shared" si="3"/>
        <v>83.792895971999997</v>
      </c>
      <c r="L55" s="52">
        <f t="shared" si="4"/>
        <v>66.431436439500004</v>
      </c>
      <c r="M55" s="52">
        <f t="shared" si="5"/>
        <v>118.23649786073793</v>
      </c>
      <c r="N55" s="52">
        <f t="shared" si="6"/>
        <v>14.3325519626</v>
      </c>
      <c r="O55" s="52">
        <f t="shared" si="6"/>
        <v>5.8888353219000003</v>
      </c>
      <c r="P55" s="52">
        <f t="shared" si="7"/>
        <v>-0.86371421800000014</v>
      </c>
      <c r="Q55" s="53">
        <f t="shared" si="8"/>
        <v>-1.5043411250000001</v>
      </c>
    </row>
    <row r="56" spans="6:27" ht="19.5">
      <c r="I56" s="47">
        <f t="shared" si="2"/>
        <v>1</v>
      </c>
      <c r="J56" s="46"/>
      <c r="K56" s="54">
        <f t="shared" si="3"/>
        <v>87.209216325900002</v>
      </c>
      <c r="L56" s="55">
        <f t="shared" si="4"/>
        <v>71.477335593199996</v>
      </c>
      <c r="M56" s="55">
        <f t="shared" si="5"/>
        <v>130.39439498993789</v>
      </c>
      <c r="N56" s="55">
        <f t="shared" si="6"/>
        <v>6.0706188526</v>
      </c>
      <c r="O56" s="55">
        <f t="shared" si="6"/>
        <v>0.1120818186000001</v>
      </c>
      <c r="P56" s="55">
        <f t="shared" si="7"/>
        <v>12.069015499999999</v>
      </c>
      <c r="Q56" s="56">
        <f t="shared" si="8"/>
        <v>-5.3138880730000002</v>
      </c>
    </row>
    <row r="57" spans="6:27" ht="19.5">
      <c r="I57" s="47">
        <f t="shared" si="2"/>
        <v>2</v>
      </c>
      <c r="J57" s="46"/>
      <c r="K57" s="57">
        <f t="shared" si="3"/>
        <v>88.473013080300007</v>
      </c>
      <c r="L57" s="58">
        <f t="shared" si="4"/>
        <v>70.810859200699994</v>
      </c>
      <c r="M57" s="58">
        <f t="shared" si="5"/>
        <v>127.16939955233789</v>
      </c>
      <c r="N57" s="58">
        <f t="shared" si="6"/>
        <v>2.8725263041</v>
      </c>
      <c r="O57" s="58">
        <f t="shared" si="6"/>
        <v>7.9366455999999808E-2</v>
      </c>
      <c r="P57" s="58">
        <f t="shared" si="7"/>
        <v>3.7265758499999997</v>
      </c>
      <c r="Q57" s="59">
        <f t="shared" si="8"/>
        <v>-2.3652095200000001</v>
      </c>
    </row>
    <row r="58" spans="6:27" ht="19.5">
      <c r="I58" s="47">
        <f t="shared" si="2"/>
        <v>2</v>
      </c>
      <c r="J58" s="46"/>
      <c r="K58" s="57">
        <f t="shared" si="3"/>
        <v>84.681490714899994</v>
      </c>
      <c r="L58" s="58">
        <f t="shared" si="4"/>
        <v>66.690324791899997</v>
      </c>
      <c r="M58" s="58">
        <f t="shared" si="5"/>
        <v>139.04028688443788</v>
      </c>
      <c r="N58" s="58">
        <f t="shared" si="6"/>
        <v>3.6205338045</v>
      </c>
      <c r="O58" s="58">
        <f t="shared" si="6"/>
        <v>-0.25529904179999985</v>
      </c>
      <c r="P58" s="58">
        <f t="shared" si="7"/>
        <v>8.5705671300000006</v>
      </c>
      <c r="Q58" s="59">
        <f t="shared" si="8"/>
        <v>1.7086124419999997</v>
      </c>
    </row>
    <row r="59" spans="6:27" ht="19.5">
      <c r="I59" s="47">
        <f t="shared" si="2"/>
        <v>2</v>
      </c>
      <c r="J59" s="46"/>
      <c r="K59" s="57">
        <f t="shared" si="3"/>
        <v>87.732304559499994</v>
      </c>
      <c r="L59" s="58">
        <f t="shared" si="4"/>
        <v>67.5981935824</v>
      </c>
      <c r="M59" s="58">
        <f t="shared" si="5"/>
        <v>150.06826367503794</v>
      </c>
      <c r="N59" s="58">
        <f t="shared" si="6"/>
        <v>-1.3687597459</v>
      </c>
      <c r="O59" s="58">
        <f t="shared" si="6"/>
        <v>1.3580139219</v>
      </c>
      <c r="P59" s="58">
        <f t="shared" si="7"/>
        <v>3.5375423399999999</v>
      </c>
      <c r="Q59" s="59">
        <f t="shared" si="8"/>
        <v>-2.705076069</v>
      </c>
    </row>
    <row r="60" spans="6:27" ht="19.5">
      <c r="I60" s="47">
        <f t="shared" si="2"/>
        <v>3</v>
      </c>
      <c r="J60" s="46"/>
      <c r="K60" s="60">
        <f t="shared" si="3"/>
        <v>98.956753015199993</v>
      </c>
      <c r="L60" s="61">
        <f t="shared" si="4"/>
        <v>79.533739375300001</v>
      </c>
      <c r="M60" s="61">
        <f t="shared" si="5"/>
        <v>120.34378937093794</v>
      </c>
      <c r="N60" s="61">
        <f t="shared" si="6"/>
        <v>9.1111561660000007</v>
      </c>
      <c r="O60" s="61">
        <f t="shared" si="6"/>
        <v>1.5634599805999998</v>
      </c>
      <c r="P60" s="61">
        <f t="shared" si="7"/>
        <v>8.2238979299999997</v>
      </c>
      <c r="Q60" s="62">
        <f t="shared" si="8"/>
        <v>2.3273820880000002</v>
      </c>
    </row>
    <row r="61" spans="6:27" ht="19.5">
      <c r="I61" s="47">
        <f t="shared" si="2"/>
        <v>3</v>
      </c>
      <c r="J61" s="46"/>
      <c r="K61" s="63">
        <f t="shared" si="3"/>
        <v>94.455125734099994</v>
      </c>
      <c r="L61" s="64">
        <f t="shared" si="4"/>
        <v>79.836741212000007</v>
      </c>
      <c r="M61" s="64">
        <f t="shared" si="5"/>
        <v>137.18372954593792</v>
      </c>
      <c r="N61" s="64">
        <f t="shared" si="6"/>
        <v>-2.3256581221000001</v>
      </c>
      <c r="O61" s="64">
        <f t="shared" si="6"/>
        <v>16.416210170500001</v>
      </c>
      <c r="P61" s="64">
        <f t="shared" si="7"/>
        <v>4.5893999999999995</v>
      </c>
      <c r="Q61" s="65">
        <f t="shared" si="8"/>
        <v>-9.4423656459999989</v>
      </c>
    </row>
    <row r="62" spans="6:27" ht="19.5">
      <c r="I62" s="47">
        <f t="shared" si="2"/>
        <v>3</v>
      </c>
      <c r="J62" s="46"/>
      <c r="K62" s="66">
        <f t="shared" si="3"/>
        <v>88.415182902500007</v>
      </c>
      <c r="L62" s="67">
        <f t="shared" si="4"/>
        <v>68.099289515000009</v>
      </c>
      <c r="M62" s="67">
        <f t="shared" si="5"/>
        <v>137.2181928065379</v>
      </c>
      <c r="N62" s="67">
        <f t="shared" si="6"/>
        <v>-18.862337160399999</v>
      </c>
      <c r="O62" s="67">
        <f t="shared" si="6"/>
        <v>6.1776049411000002</v>
      </c>
      <c r="P62" s="67">
        <f t="shared" si="7"/>
        <v>6.1777668000000006</v>
      </c>
      <c r="Q62" s="68">
        <f t="shared" si="8"/>
        <v>6.8956108090000008</v>
      </c>
    </row>
    <row r="63" spans="6:27" ht="19.5">
      <c r="I63" s="47">
        <f t="shared" si="2"/>
        <v>4</v>
      </c>
      <c r="J63" s="46"/>
      <c r="K63" s="57">
        <f t="shared" si="3"/>
        <v>88.929557163400005</v>
      </c>
      <c r="L63" s="58">
        <f t="shared" si="4"/>
        <v>72.513303327399996</v>
      </c>
      <c r="M63" s="58">
        <f t="shared" si="5"/>
        <v>141.6330540382379</v>
      </c>
      <c r="N63" s="58">
        <f t="shared" si="6"/>
        <v>6.4022105174000004</v>
      </c>
      <c r="O63" s="58">
        <f t="shared" si="6"/>
        <v>3.2224441542999998</v>
      </c>
      <c r="P63" s="58">
        <f t="shared" si="7"/>
        <v>13.478178020000001</v>
      </c>
      <c r="Q63" s="59">
        <f t="shared" si="8"/>
        <v>1.821657181</v>
      </c>
    </row>
    <row r="64" spans="6:27" ht="19.5">
      <c r="I64" s="47">
        <f t="shared" si="2"/>
        <v>4</v>
      </c>
      <c r="J64" s="46"/>
      <c r="K64" s="57">
        <f t="shared" si="3"/>
        <v>88.573258268700002</v>
      </c>
      <c r="L64" s="58">
        <f t="shared" si="4"/>
        <v>68.378739362399998</v>
      </c>
      <c r="M64" s="58">
        <f t="shared" si="5"/>
        <v>130.09970675343794</v>
      </c>
      <c r="N64" s="58">
        <f t="shared" si="6"/>
        <v>6.2132058516999997</v>
      </c>
      <c r="O64" s="58">
        <f t="shared" si="6"/>
        <v>1.5082897327000002</v>
      </c>
      <c r="P64" s="58">
        <f t="shared" si="7"/>
        <v>9.4352416999999988</v>
      </c>
      <c r="Q64" s="59">
        <f t="shared" si="8"/>
        <v>-2.2518705730000002</v>
      </c>
    </row>
    <row r="65" spans="9:17" ht="20.25" thickBot="1">
      <c r="I65" s="47">
        <f t="shared" si="2"/>
        <v>4</v>
      </c>
      <c r="J65" s="46"/>
      <c r="K65" s="69">
        <f t="shared" si="3"/>
        <v>86.086897456900004</v>
      </c>
      <c r="L65" s="70">
        <f t="shared" si="4"/>
        <v>65.364621955100006</v>
      </c>
      <c r="M65" s="70">
        <f t="shared" si="5"/>
        <v>145.6806486535379</v>
      </c>
      <c r="N65" s="70">
        <f t="shared" si="6"/>
        <v>1.8448233280999999</v>
      </c>
      <c r="O65" s="70">
        <f t="shared" si="6"/>
        <v>-5.8039585795999997</v>
      </c>
      <c r="P65" s="70">
        <f t="shared" si="7"/>
        <v>10.577106480000001</v>
      </c>
      <c r="Q65" s="71">
        <f t="shared" si="8"/>
        <v>-2.6482922430000002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</row>
    <row r="2" spans="1:36">
      <c r="A2" t="s">
        <v>210</v>
      </c>
      <c r="B2" t="s">
        <v>211</v>
      </c>
      <c r="C2" t="s">
        <v>212</v>
      </c>
      <c r="D2">
        <v>3</v>
      </c>
      <c r="E2" t="s">
        <v>213</v>
      </c>
      <c r="F2" t="s">
        <v>214</v>
      </c>
      <c r="G2" t="s">
        <v>215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2118.4895852668001</v>
      </c>
      <c r="R2">
        <v>1516.2678680897</v>
      </c>
      <c r="S2">
        <v>5.9895852667999998</v>
      </c>
      <c r="T2">
        <v>-3.7678680896999999</v>
      </c>
      <c r="U2">
        <v>7.0761544365000004</v>
      </c>
      <c r="V2">
        <v>727.55619999999999</v>
      </c>
      <c r="W2">
        <v>389.62909999999999</v>
      </c>
      <c r="X2">
        <v>393.79450000000003</v>
      </c>
      <c r="Y2">
        <v>387.56389999999999</v>
      </c>
      <c r="Z2">
        <v>389.51010000000002</v>
      </c>
      <c r="AA2">
        <v>558.84029999999996</v>
      </c>
      <c r="AB2" t="s">
        <v>222</v>
      </c>
      <c r="AC2" t="s">
        <v>223</v>
      </c>
      <c r="AD2" t="s">
        <v>224</v>
      </c>
      <c r="AE2" t="s">
        <v>225</v>
      </c>
      <c r="AF2" t="s">
        <v>226</v>
      </c>
      <c r="AG2">
        <v>7</v>
      </c>
      <c r="AH2" t="s">
        <v>227</v>
      </c>
      <c r="AJ2">
        <v>1</v>
      </c>
    </row>
    <row r="3" spans="1:36">
      <c r="A3" t="s">
        <v>539</v>
      </c>
      <c r="B3" t="s">
        <v>540</v>
      </c>
      <c r="C3" t="s">
        <v>212</v>
      </c>
      <c r="D3">
        <v>3</v>
      </c>
      <c r="E3" t="s">
        <v>213</v>
      </c>
      <c r="F3" t="s">
        <v>214</v>
      </c>
      <c r="G3" t="s">
        <v>215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2126.8325519626001</v>
      </c>
      <c r="R3">
        <v>1510.6111646781001</v>
      </c>
      <c r="S3">
        <v>14.3325519626</v>
      </c>
      <c r="T3">
        <v>1.8888353219</v>
      </c>
      <c r="U3">
        <v>14.4564776012</v>
      </c>
      <c r="V3">
        <v>733.5258</v>
      </c>
      <c r="W3">
        <v>390.95589999999999</v>
      </c>
      <c r="X3">
        <v>394.00619999999998</v>
      </c>
      <c r="Y3">
        <v>388.7824</v>
      </c>
      <c r="Z3">
        <v>395.89710000000002</v>
      </c>
      <c r="AA3">
        <v>562.96810000000005</v>
      </c>
      <c r="AB3" t="s">
        <v>222</v>
      </c>
      <c r="AC3" t="s">
        <v>223</v>
      </c>
      <c r="AD3" t="s">
        <v>224</v>
      </c>
      <c r="AE3" t="s">
        <v>225</v>
      </c>
      <c r="AF3" t="s">
        <v>226</v>
      </c>
      <c r="AG3">
        <v>7</v>
      </c>
      <c r="AH3" t="s">
        <v>227</v>
      </c>
      <c r="AJ3">
        <v>1</v>
      </c>
    </row>
    <row r="4" spans="1:36">
      <c r="A4" t="s">
        <v>551</v>
      </c>
      <c r="B4" t="s">
        <v>552</v>
      </c>
      <c r="C4" t="s">
        <v>212</v>
      </c>
      <c r="D4">
        <v>3</v>
      </c>
      <c r="E4" t="s">
        <v>213</v>
      </c>
      <c r="F4" t="s">
        <v>214</v>
      </c>
      <c r="G4" t="s">
        <v>215</v>
      </c>
      <c r="H4" t="s">
        <v>216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2118.5706188526001</v>
      </c>
      <c r="R4">
        <v>1516.3879181814</v>
      </c>
      <c r="S4">
        <v>6.0706188526</v>
      </c>
      <c r="T4">
        <v>-3.8879181813999999</v>
      </c>
      <c r="U4">
        <v>7.2089056754999996</v>
      </c>
      <c r="V4">
        <v>734.5625</v>
      </c>
      <c r="W4">
        <v>393.72340000000003</v>
      </c>
      <c r="X4">
        <v>400.00670000000002</v>
      </c>
      <c r="Y4">
        <v>393.04520000000002</v>
      </c>
      <c r="Z4">
        <v>397.57190000000003</v>
      </c>
      <c r="AA4">
        <v>565.32465000000002</v>
      </c>
      <c r="AB4" t="s">
        <v>222</v>
      </c>
      <c r="AC4" t="s">
        <v>223</v>
      </c>
      <c r="AD4" t="s">
        <v>224</v>
      </c>
      <c r="AE4" t="s">
        <v>225</v>
      </c>
      <c r="AF4" t="s">
        <v>226</v>
      </c>
      <c r="AG4">
        <v>7</v>
      </c>
      <c r="AH4" t="s">
        <v>227</v>
      </c>
      <c r="AJ4">
        <v>1</v>
      </c>
    </row>
    <row r="5" spans="1:36">
      <c r="A5" t="s">
        <v>563</v>
      </c>
      <c r="B5" t="s">
        <v>564</v>
      </c>
      <c r="C5" t="s">
        <v>212</v>
      </c>
      <c r="D5">
        <v>3</v>
      </c>
      <c r="E5" t="s">
        <v>213</v>
      </c>
      <c r="F5" t="s">
        <v>214</v>
      </c>
      <c r="G5" t="s">
        <v>215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2115.3725263041001</v>
      </c>
      <c r="R5">
        <v>1516.4206335440001</v>
      </c>
      <c r="S5">
        <v>2.8725263041</v>
      </c>
      <c r="T5">
        <v>-3.9206335440000002</v>
      </c>
      <c r="U5">
        <v>4.8603266099000004</v>
      </c>
      <c r="V5">
        <v>735.3954</v>
      </c>
      <c r="W5">
        <v>393.5754</v>
      </c>
      <c r="X5">
        <v>399.86869999999999</v>
      </c>
      <c r="Y5">
        <v>394.64699999999999</v>
      </c>
      <c r="Z5">
        <v>394.46039999999999</v>
      </c>
      <c r="AA5">
        <v>565.5166375</v>
      </c>
      <c r="AB5" t="s">
        <v>222</v>
      </c>
      <c r="AC5" t="s">
        <v>223</v>
      </c>
      <c r="AD5" t="s">
        <v>224</v>
      </c>
      <c r="AE5" t="s">
        <v>225</v>
      </c>
      <c r="AF5" t="s">
        <v>226</v>
      </c>
      <c r="AG5">
        <v>7</v>
      </c>
      <c r="AH5" t="s">
        <v>227</v>
      </c>
      <c r="AJ5">
        <v>1</v>
      </c>
    </row>
    <row r="6" spans="1:36">
      <c r="A6" t="s">
        <v>575</v>
      </c>
      <c r="B6" t="s">
        <v>576</v>
      </c>
      <c r="C6" t="s">
        <v>212</v>
      </c>
      <c r="D6">
        <v>3</v>
      </c>
      <c r="E6" t="s">
        <v>213</v>
      </c>
      <c r="F6" t="s">
        <v>214</v>
      </c>
      <c r="G6" t="s">
        <v>215</v>
      </c>
      <c r="H6" t="s">
        <v>216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2116.1205338045002</v>
      </c>
      <c r="R6">
        <v>1516.7552990418001</v>
      </c>
      <c r="S6">
        <v>3.6205338045</v>
      </c>
      <c r="T6">
        <v>-4.2552990417999998</v>
      </c>
      <c r="U6">
        <v>5.5871132944999999</v>
      </c>
      <c r="V6">
        <v>727.53290000000004</v>
      </c>
      <c r="W6">
        <v>388.38420000000002</v>
      </c>
      <c r="X6">
        <v>396.40249999999997</v>
      </c>
      <c r="Y6">
        <v>390.15190000000001</v>
      </c>
      <c r="Z6">
        <v>391.5924</v>
      </c>
      <c r="AA6">
        <v>559.58282499999996</v>
      </c>
      <c r="AB6" t="s">
        <v>222</v>
      </c>
      <c r="AC6" t="s">
        <v>223</v>
      </c>
      <c r="AD6" t="s">
        <v>224</v>
      </c>
      <c r="AE6" t="s">
        <v>225</v>
      </c>
      <c r="AF6" t="s">
        <v>226</v>
      </c>
      <c r="AG6">
        <v>7</v>
      </c>
      <c r="AH6" t="s">
        <v>227</v>
      </c>
      <c r="AJ6">
        <v>1</v>
      </c>
    </row>
    <row r="7" spans="1:36">
      <c r="A7" t="s">
        <v>586</v>
      </c>
      <c r="B7" t="s">
        <v>587</v>
      </c>
      <c r="C7" t="s">
        <v>212</v>
      </c>
      <c r="D7">
        <v>3</v>
      </c>
      <c r="E7" t="s">
        <v>213</v>
      </c>
      <c r="F7" t="s">
        <v>214</v>
      </c>
      <c r="G7" t="s">
        <v>215</v>
      </c>
      <c r="H7" t="s">
        <v>216</v>
      </c>
      <c r="J7" t="s">
        <v>588</v>
      </c>
      <c r="K7" t="s">
        <v>589</v>
      </c>
      <c r="L7" t="s">
        <v>590</v>
      </c>
      <c r="M7" t="s">
        <v>591</v>
      </c>
      <c r="N7" t="s">
        <v>592</v>
      </c>
      <c r="O7">
        <v>0</v>
      </c>
      <c r="P7">
        <v>0</v>
      </c>
      <c r="Q7">
        <v>2111.1312402540998</v>
      </c>
      <c r="R7">
        <v>1515.1419860781</v>
      </c>
      <c r="S7">
        <v>-1.3687597459</v>
      </c>
      <c r="T7">
        <v>-2.6419860781</v>
      </c>
      <c r="U7">
        <v>2.9754988956999999</v>
      </c>
      <c r="V7">
        <v>725.81700000000001</v>
      </c>
      <c r="W7">
        <v>390.69349999999997</v>
      </c>
      <c r="X7">
        <v>392.85969999999998</v>
      </c>
      <c r="Y7">
        <v>390.54469999999998</v>
      </c>
      <c r="Z7">
        <v>391.26769999999999</v>
      </c>
      <c r="AA7">
        <v>558.57920000000001</v>
      </c>
      <c r="AB7" t="s">
        <v>222</v>
      </c>
      <c r="AC7" t="s">
        <v>223</v>
      </c>
      <c r="AD7" t="s">
        <v>224</v>
      </c>
      <c r="AE7" t="s">
        <v>225</v>
      </c>
      <c r="AF7" t="s">
        <v>226</v>
      </c>
      <c r="AG7">
        <v>7</v>
      </c>
      <c r="AH7" t="s">
        <v>227</v>
      </c>
      <c r="AJ7">
        <v>1</v>
      </c>
    </row>
    <row r="8" spans="1:36">
      <c r="A8" t="s">
        <v>599</v>
      </c>
      <c r="B8" t="s">
        <v>600</v>
      </c>
      <c r="C8" t="s">
        <v>212</v>
      </c>
      <c r="D8">
        <v>3</v>
      </c>
      <c r="E8" t="s">
        <v>213</v>
      </c>
      <c r="F8" t="s">
        <v>214</v>
      </c>
      <c r="G8" t="s">
        <v>215</v>
      </c>
      <c r="H8" t="s">
        <v>216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2121.611156166</v>
      </c>
      <c r="R8">
        <v>1514.9365400193999</v>
      </c>
      <c r="S8">
        <v>9.1111561660000007</v>
      </c>
      <c r="T8">
        <v>-2.4365400194000002</v>
      </c>
      <c r="U8">
        <v>9.4313251427000004</v>
      </c>
      <c r="V8">
        <v>733.5675</v>
      </c>
      <c r="W8">
        <v>393.55799999999999</v>
      </c>
      <c r="X8">
        <v>397.85469999999998</v>
      </c>
      <c r="Y8">
        <v>391.16930000000002</v>
      </c>
      <c r="Z8">
        <v>395.39060000000001</v>
      </c>
      <c r="AA8">
        <v>564.03032499999995</v>
      </c>
      <c r="AB8" t="s">
        <v>222</v>
      </c>
      <c r="AC8" t="s">
        <v>223</v>
      </c>
      <c r="AD8" t="s">
        <v>224</v>
      </c>
      <c r="AE8" t="s">
        <v>225</v>
      </c>
      <c r="AF8" t="s">
        <v>226</v>
      </c>
      <c r="AG8">
        <v>7</v>
      </c>
      <c r="AH8" t="s">
        <v>227</v>
      </c>
      <c r="AJ8">
        <v>1</v>
      </c>
    </row>
    <row r="9" spans="1:36">
      <c r="A9" t="s">
        <v>611</v>
      </c>
      <c r="B9" t="s">
        <v>612</v>
      </c>
      <c r="C9" t="s">
        <v>212</v>
      </c>
      <c r="D9">
        <v>3</v>
      </c>
      <c r="E9" t="s">
        <v>213</v>
      </c>
      <c r="F9" t="s">
        <v>214</v>
      </c>
      <c r="G9" t="s">
        <v>215</v>
      </c>
      <c r="H9" t="s">
        <v>216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2110.1743418779001</v>
      </c>
      <c r="R9">
        <v>1500.0837898294999</v>
      </c>
      <c r="S9">
        <v>-2.3256581221000001</v>
      </c>
      <c r="T9">
        <v>12.416210170499999</v>
      </c>
      <c r="U9">
        <v>12.632139988900001</v>
      </c>
      <c r="V9">
        <v>734.56039999999996</v>
      </c>
      <c r="W9">
        <v>398.52140000000003</v>
      </c>
      <c r="X9">
        <v>393.04379999999998</v>
      </c>
      <c r="Y9">
        <v>396.34980000000002</v>
      </c>
      <c r="Z9">
        <v>394.4511</v>
      </c>
      <c r="AA9">
        <v>565.07596249999995</v>
      </c>
      <c r="AB9" t="s">
        <v>222</v>
      </c>
      <c r="AC9" t="s">
        <v>223</v>
      </c>
      <c r="AD9" t="s">
        <v>224</v>
      </c>
      <c r="AE9" t="s">
        <v>225</v>
      </c>
      <c r="AF9" t="s">
        <v>226</v>
      </c>
      <c r="AG9">
        <v>7</v>
      </c>
      <c r="AH9" t="s">
        <v>227</v>
      </c>
      <c r="AJ9">
        <v>1</v>
      </c>
    </row>
    <row r="10" spans="1:36">
      <c r="A10" t="s">
        <v>622</v>
      </c>
      <c r="B10" t="s">
        <v>623</v>
      </c>
      <c r="C10" t="s">
        <v>212</v>
      </c>
      <c r="D10">
        <v>3</v>
      </c>
      <c r="E10" t="s">
        <v>213</v>
      </c>
      <c r="F10" t="s">
        <v>214</v>
      </c>
      <c r="G10" t="s">
        <v>215</v>
      </c>
      <c r="H10" t="s">
        <v>216</v>
      </c>
      <c r="J10" t="s">
        <v>624</v>
      </c>
      <c r="K10" t="s">
        <v>625</v>
      </c>
      <c r="L10" t="s">
        <v>626</v>
      </c>
      <c r="M10" t="s">
        <v>627</v>
      </c>
      <c r="N10" t="s">
        <v>628</v>
      </c>
      <c r="O10">
        <v>0</v>
      </c>
      <c r="P10">
        <v>0</v>
      </c>
      <c r="Q10">
        <v>2093.6376628396001</v>
      </c>
      <c r="R10">
        <v>1510.3223950588999</v>
      </c>
      <c r="S10">
        <v>-18.862337160399999</v>
      </c>
      <c r="T10">
        <v>2.1776049410999998</v>
      </c>
      <c r="U10">
        <v>18.987620346700002</v>
      </c>
      <c r="V10">
        <v>723.62630000000001</v>
      </c>
      <c r="W10">
        <v>392.20119999999997</v>
      </c>
      <c r="X10">
        <v>395.2133</v>
      </c>
      <c r="Y10">
        <v>395.5154</v>
      </c>
      <c r="Z10">
        <v>388.33139999999997</v>
      </c>
      <c r="AA10">
        <v>558.22081249999997</v>
      </c>
      <c r="AB10" t="s">
        <v>222</v>
      </c>
      <c r="AC10" t="s">
        <v>223</v>
      </c>
      <c r="AD10" t="s">
        <v>224</v>
      </c>
      <c r="AE10" t="s">
        <v>225</v>
      </c>
      <c r="AF10" t="s">
        <v>226</v>
      </c>
      <c r="AG10">
        <v>7</v>
      </c>
      <c r="AH10" t="s">
        <v>227</v>
      </c>
      <c r="AJ10">
        <v>1</v>
      </c>
    </row>
    <row r="11" spans="1:36">
      <c r="A11" t="s">
        <v>635</v>
      </c>
      <c r="B11" t="s">
        <v>636</v>
      </c>
      <c r="C11" t="s">
        <v>212</v>
      </c>
      <c r="D11">
        <v>3</v>
      </c>
      <c r="E11" t="s">
        <v>213</v>
      </c>
      <c r="F11" t="s">
        <v>214</v>
      </c>
      <c r="G11" t="s">
        <v>215</v>
      </c>
      <c r="H11" t="s">
        <v>216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2118.9022105173999</v>
      </c>
      <c r="R11">
        <v>1513.2775558456999</v>
      </c>
      <c r="S11">
        <v>6.4022105174000004</v>
      </c>
      <c r="T11">
        <v>-0.77755584570000003</v>
      </c>
      <c r="U11">
        <v>6.4492551975000003</v>
      </c>
      <c r="V11">
        <v>737.62040000000002</v>
      </c>
      <c r="W11">
        <v>397.03719999999998</v>
      </c>
      <c r="X11">
        <v>398.3236</v>
      </c>
      <c r="Y11">
        <v>394.46769999999998</v>
      </c>
      <c r="Z11">
        <v>399.25959999999998</v>
      </c>
      <c r="AA11">
        <v>567.4462125</v>
      </c>
      <c r="AB11" t="s">
        <v>222</v>
      </c>
      <c r="AC11" t="s">
        <v>223</v>
      </c>
      <c r="AD11" t="s">
        <v>224</v>
      </c>
      <c r="AE11" t="s">
        <v>225</v>
      </c>
      <c r="AF11" t="s">
        <v>226</v>
      </c>
      <c r="AG11">
        <v>7</v>
      </c>
      <c r="AH11" t="s">
        <v>227</v>
      </c>
      <c r="AJ11">
        <v>1</v>
      </c>
    </row>
    <row r="12" spans="1:36">
      <c r="A12" t="s">
        <v>642</v>
      </c>
      <c r="B12" t="s">
        <v>643</v>
      </c>
      <c r="C12" t="s">
        <v>212</v>
      </c>
      <c r="D12">
        <v>3</v>
      </c>
      <c r="E12" t="s">
        <v>213</v>
      </c>
      <c r="F12" t="s">
        <v>214</v>
      </c>
      <c r="G12" t="s">
        <v>215</v>
      </c>
      <c r="H12" t="s">
        <v>216</v>
      </c>
      <c r="J12" t="s">
        <v>644</v>
      </c>
      <c r="K12" t="s">
        <v>645</v>
      </c>
      <c r="L12" t="s">
        <v>646</v>
      </c>
      <c r="M12" t="s">
        <v>647</v>
      </c>
      <c r="N12" t="s">
        <v>648</v>
      </c>
      <c r="O12">
        <v>0</v>
      </c>
      <c r="P12">
        <v>0</v>
      </c>
      <c r="Q12">
        <v>2118.7132058517</v>
      </c>
      <c r="R12">
        <v>1514.9917102673</v>
      </c>
      <c r="S12">
        <v>6.2132058516999997</v>
      </c>
      <c r="T12">
        <v>-2.4917102672999998</v>
      </c>
      <c r="U12">
        <v>6.6942174309000002</v>
      </c>
      <c r="V12">
        <v>738.89559999999994</v>
      </c>
      <c r="W12">
        <v>394.77859999999998</v>
      </c>
      <c r="X12">
        <v>398.59710000000001</v>
      </c>
      <c r="Y12">
        <v>394.00839999999999</v>
      </c>
      <c r="Z12">
        <v>395.62110000000001</v>
      </c>
      <c r="AA12">
        <v>567.32344999999998</v>
      </c>
      <c r="AB12" t="s">
        <v>222</v>
      </c>
      <c r="AC12" t="s">
        <v>223</v>
      </c>
      <c r="AD12" t="s">
        <v>224</v>
      </c>
      <c r="AE12" t="s">
        <v>225</v>
      </c>
      <c r="AF12" t="s">
        <v>226</v>
      </c>
      <c r="AG12">
        <v>7</v>
      </c>
      <c r="AH12" t="s">
        <v>227</v>
      </c>
      <c r="AJ12">
        <v>1</v>
      </c>
    </row>
    <row r="13" spans="1:36">
      <c r="A13" t="s">
        <v>649</v>
      </c>
      <c r="B13" t="s">
        <v>650</v>
      </c>
      <c r="C13" t="s">
        <v>212</v>
      </c>
      <c r="D13">
        <v>3</v>
      </c>
      <c r="E13" t="s">
        <v>213</v>
      </c>
      <c r="F13" t="s">
        <v>214</v>
      </c>
      <c r="G13" t="s">
        <v>215</v>
      </c>
      <c r="H13" t="s">
        <v>216</v>
      </c>
      <c r="J13" t="s">
        <v>651</v>
      </c>
      <c r="K13" t="s">
        <v>652</v>
      </c>
      <c r="L13" t="s">
        <v>653</v>
      </c>
      <c r="M13" t="s">
        <v>654</v>
      </c>
      <c r="N13" t="s">
        <v>655</v>
      </c>
      <c r="O13">
        <v>0</v>
      </c>
      <c r="P13">
        <v>0</v>
      </c>
      <c r="Q13">
        <v>2114.3448233281001</v>
      </c>
      <c r="R13">
        <v>1522.3039585796</v>
      </c>
      <c r="S13">
        <v>1.8448233280999999</v>
      </c>
      <c r="T13">
        <v>-9.8039585795999997</v>
      </c>
      <c r="U13">
        <v>9.9760200952999991</v>
      </c>
      <c r="V13">
        <v>741.67729999999995</v>
      </c>
      <c r="W13">
        <v>395.25080000000003</v>
      </c>
      <c r="X13">
        <v>404.56619999999998</v>
      </c>
      <c r="Y13">
        <v>396.1848</v>
      </c>
      <c r="Z13">
        <v>398.5958</v>
      </c>
      <c r="AA13">
        <v>570.16335000000004</v>
      </c>
      <c r="AB13" t="s">
        <v>222</v>
      </c>
      <c r="AC13" t="s">
        <v>223</v>
      </c>
      <c r="AD13" t="s">
        <v>224</v>
      </c>
      <c r="AE13" t="s">
        <v>225</v>
      </c>
      <c r="AF13" t="s">
        <v>226</v>
      </c>
      <c r="AG13">
        <v>7</v>
      </c>
      <c r="AH13" t="s">
        <v>227</v>
      </c>
      <c r="AJ13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228</v>
      </c>
      <c r="R1" t="s">
        <v>229</v>
      </c>
      <c r="S1" t="s">
        <v>230</v>
      </c>
      <c r="T1" t="s">
        <v>231</v>
      </c>
      <c r="U1" t="s">
        <v>232</v>
      </c>
      <c r="V1" t="s">
        <v>233</v>
      </c>
      <c r="W1" t="s">
        <v>234</v>
      </c>
      <c r="X1" t="s">
        <v>235</v>
      </c>
      <c r="Y1" t="s">
        <v>236</v>
      </c>
      <c r="Z1" t="s">
        <v>237</v>
      </c>
      <c r="AA1" t="s">
        <v>238</v>
      </c>
      <c r="AB1" t="s">
        <v>239</v>
      </c>
      <c r="AC1" t="s">
        <v>240</v>
      </c>
      <c r="AD1" t="s">
        <v>241</v>
      </c>
      <c r="AE1" t="s">
        <v>242</v>
      </c>
      <c r="AF1" t="s">
        <v>243</v>
      </c>
      <c r="AG1" t="s">
        <v>244</v>
      </c>
      <c r="AH1" t="s">
        <v>245</v>
      </c>
      <c r="AI1" t="s">
        <v>246</v>
      </c>
      <c r="AJ1" t="s">
        <v>247</v>
      </c>
      <c r="AK1" t="s">
        <v>248</v>
      </c>
      <c r="AL1" t="s">
        <v>249</v>
      </c>
      <c r="AM1" t="s">
        <v>250</v>
      </c>
      <c r="AN1" t="s">
        <v>251</v>
      </c>
      <c r="AO1" t="s">
        <v>252</v>
      </c>
      <c r="AP1" t="s">
        <v>253</v>
      </c>
      <c r="AQ1" t="s">
        <v>254</v>
      </c>
      <c r="AR1" t="s">
        <v>255</v>
      </c>
      <c r="AS1" t="s">
        <v>256</v>
      </c>
      <c r="AT1" t="s">
        <v>257</v>
      </c>
      <c r="AU1" t="s">
        <v>258</v>
      </c>
      <c r="AV1" t="s">
        <v>207</v>
      </c>
      <c r="AW1" t="s">
        <v>208</v>
      </c>
      <c r="AX1" t="s">
        <v>209</v>
      </c>
    </row>
    <row r="2" spans="1:50">
      <c r="A2" t="s">
        <v>259</v>
      </c>
      <c r="B2" t="s">
        <v>260</v>
      </c>
      <c r="C2" t="s">
        <v>212</v>
      </c>
      <c r="D2">
        <v>3</v>
      </c>
      <c r="E2" t="s">
        <v>213</v>
      </c>
      <c r="F2" t="s">
        <v>214</v>
      </c>
      <c r="G2" t="s">
        <v>261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-2.8600000000000001E-5</v>
      </c>
      <c r="R2">
        <v>3.9371609689999998</v>
      </c>
      <c r="S2">
        <v>2.5648663040000002</v>
      </c>
      <c r="T2">
        <v>1.889311433</v>
      </c>
      <c r="U2">
        <v>8.5025978089999992</v>
      </c>
      <c r="V2">
        <v>0.114878774</v>
      </c>
      <c r="W2">
        <v>2.9551317689999999</v>
      </c>
      <c r="X2">
        <v>1.565109968</v>
      </c>
      <c r="Y2">
        <v>1.96004796</v>
      </c>
      <c r="Z2">
        <v>-0.56910002199999998</v>
      </c>
      <c r="AA2">
        <v>-0.58221030200000001</v>
      </c>
      <c r="AB2">
        <v>-2.4426646230000002</v>
      </c>
      <c r="AC2">
        <v>0.62471359999999998</v>
      </c>
      <c r="AD2">
        <v>-1.990577936</v>
      </c>
      <c r="AE2">
        <v>-0.39040526800000003</v>
      </c>
      <c r="AF2">
        <v>-1.2849648</v>
      </c>
      <c r="AG2">
        <v>0.71023750299999999</v>
      </c>
      <c r="AH2">
        <v>0.25195404900000001</v>
      </c>
      <c r="AI2">
        <v>7.3065400000000003E-2</v>
      </c>
      <c r="AJ2">
        <v>-0.146355718</v>
      </c>
      <c r="AK2">
        <v>2.58025E-4</v>
      </c>
      <c r="AL2">
        <v>5.2941180999999997E-2</v>
      </c>
      <c r="AM2">
        <v>5.5820227E-2</v>
      </c>
      <c r="AN2">
        <v>2.4907163999999999E-2</v>
      </c>
      <c r="AO2">
        <v>0.18056815900000001</v>
      </c>
      <c r="AP2">
        <v>0.18056815900000001</v>
      </c>
      <c r="AQ2">
        <v>4.6989121779999996</v>
      </c>
      <c r="AR2" t="s">
        <v>262</v>
      </c>
      <c r="AS2" t="s">
        <v>263</v>
      </c>
      <c r="AT2">
        <v>3</v>
      </c>
      <c r="AU2">
        <v>2.9</v>
      </c>
      <c r="AX2">
        <v>1</v>
      </c>
    </row>
    <row r="3" spans="1:50">
      <c r="A3" t="s">
        <v>548</v>
      </c>
      <c r="B3" t="s">
        <v>549</v>
      </c>
      <c r="C3" t="s">
        <v>212</v>
      </c>
      <c r="D3">
        <v>3</v>
      </c>
      <c r="E3" t="s">
        <v>213</v>
      </c>
      <c r="F3" t="s">
        <v>214</v>
      </c>
      <c r="G3" t="s">
        <v>261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-1.24E-5</v>
      </c>
      <c r="R3">
        <v>6.1362857819999999</v>
      </c>
      <c r="S3">
        <v>1.4956588749999999</v>
      </c>
      <c r="T3">
        <v>8.975622177</v>
      </c>
      <c r="U3">
        <v>7.6146006579999996</v>
      </c>
      <c r="V3">
        <v>-7.2866940500000004</v>
      </c>
      <c r="W3">
        <v>-5.5228054999999998E-2</v>
      </c>
      <c r="X3">
        <v>4.4441714289999998</v>
      </c>
      <c r="Y3">
        <v>-1.0383293629999999</v>
      </c>
      <c r="Z3">
        <v>0.64015328900000001</v>
      </c>
      <c r="AA3">
        <v>1.9888472559999999</v>
      </c>
      <c r="AB3">
        <v>-2.735185623</v>
      </c>
      <c r="AC3">
        <v>1.7030446530000001</v>
      </c>
      <c r="AD3">
        <v>-0.55394953499999999</v>
      </c>
      <c r="AE3">
        <v>-1.539301992</v>
      </c>
      <c r="AF3">
        <v>-0.21250471500000001</v>
      </c>
      <c r="AG3">
        <v>-0.80883091699999998</v>
      </c>
      <c r="AH3">
        <v>-0.552831352</v>
      </c>
      <c r="AI3">
        <v>-0.28020930300000002</v>
      </c>
      <c r="AJ3">
        <v>0.26038768899999998</v>
      </c>
      <c r="AK3">
        <v>1.35761E-4</v>
      </c>
      <c r="AL3">
        <v>3.8447633000000002E-2</v>
      </c>
      <c r="AM3">
        <v>0.158632264</v>
      </c>
      <c r="AN3">
        <v>0.115842968</v>
      </c>
      <c r="AO3">
        <v>0.239731535</v>
      </c>
      <c r="AP3">
        <v>0.239731535</v>
      </c>
      <c r="AQ3">
        <v>6.3159321300000002</v>
      </c>
      <c r="AR3" t="s">
        <v>262</v>
      </c>
      <c r="AS3" t="s">
        <v>263</v>
      </c>
      <c r="AT3">
        <v>4</v>
      </c>
      <c r="AU3">
        <v>2.9</v>
      </c>
      <c r="AX3">
        <v>1</v>
      </c>
    </row>
    <row r="4" spans="1:50">
      <c r="A4" t="s">
        <v>558</v>
      </c>
      <c r="B4" t="s">
        <v>559</v>
      </c>
      <c r="C4" t="s">
        <v>212</v>
      </c>
      <c r="D4">
        <v>3</v>
      </c>
      <c r="E4" t="s">
        <v>213</v>
      </c>
      <c r="F4" t="s">
        <v>214</v>
      </c>
      <c r="G4" t="s">
        <v>261</v>
      </c>
      <c r="H4" t="s">
        <v>216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-4.6300000000000001E-5</v>
      </c>
      <c r="R4">
        <v>19.069015499999999</v>
      </c>
      <c r="S4">
        <v>-2.3138880730000002</v>
      </c>
      <c r="T4">
        <v>5.2285466190000003</v>
      </c>
      <c r="U4">
        <v>6.665425301</v>
      </c>
      <c r="V4">
        <v>-2.9191217420000002</v>
      </c>
      <c r="W4">
        <v>-2.665319443</v>
      </c>
      <c r="X4">
        <v>4.8081412319999997</v>
      </c>
      <c r="Y4">
        <v>-0.24622011199999999</v>
      </c>
      <c r="Z4">
        <v>0.992283464</v>
      </c>
      <c r="AA4">
        <v>1.0366965530000001</v>
      </c>
      <c r="AB4">
        <v>-2.5088901520000002</v>
      </c>
      <c r="AC4">
        <v>1.003404379</v>
      </c>
      <c r="AD4">
        <v>-0.32027304200000001</v>
      </c>
      <c r="AE4">
        <v>-1.5410857200000001</v>
      </c>
      <c r="AF4">
        <v>7.3614000999999998E-2</v>
      </c>
      <c r="AG4">
        <v>-0.58948791</v>
      </c>
      <c r="AH4">
        <v>0.57298892700000004</v>
      </c>
      <c r="AI4">
        <v>-1.078443885</v>
      </c>
      <c r="AJ4">
        <v>-0.91899406900000002</v>
      </c>
      <c r="AK4">
        <v>2.16775E-4</v>
      </c>
      <c r="AL4">
        <v>4.8315715000000002E-2</v>
      </c>
      <c r="AM4">
        <v>0.31635332100000002</v>
      </c>
      <c r="AN4">
        <v>0.122817449</v>
      </c>
      <c r="AO4">
        <v>0.361792326</v>
      </c>
      <c r="AP4">
        <v>0.361792326</v>
      </c>
      <c r="AQ4">
        <v>19.208889360000001</v>
      </c>
      <c r="AR4" t="s">
        <v>262</v>
      </c>
      <c r="AS4" t="s">
        <v>263</v>
      </c>
      <c r="AT4">
        <v>3</v>
      </c>
      <c r="AU4">
        <v>2.9</v>
      </c>
      <c r="AX4">
        <v>1</v>
      </c>
    </row>
    <row r="5" spans="1:50">
      <c r="A5" t="s">
        <v>572</v>
      </c>
      <c r="B5" t="s">
        <v>573</v>
      </c>
      <c r="C5" t="s">
        <v>212</v>
      </c>
      <c r="D5">
        <v>3</v>
      </c>
      <c r="E5" t="s">
        <v>213</v>
      </c>
      <c r="F5" t="s">
        <v>214</v>
      </c>
      <c r="G5" t="s">
        <v>261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1.5E-5</v>
      </c>
      <c r="R5">
        <v>10.72657585</v>
      </c>
      <c r="S5">
        <v>0.63479048000000005</v>
      </c>
      <c r="T5">
        <v>4.9157133100000001</v>
      </c>
      <c r="U5">
        <v>6.9920225140000003</v>
      </c>
      <c r="V5">
        <v>-6.9852237700000002</v>
      </c>
      <c r="W5">
        <v>-0.87956833800000001</v>
      </c>
      <c r="X5">
        <v>5.4594535830000002</v>
      </c>
      <c r="Y5">
        <v>0.572411895</v>
      </c>
      <c r="Z5">
        <v>-0.23187418300000001</v>
      </c>
      <c r="AA5">
        <v>2.2736132150000001</v>
      </c>
      <c r="AB5">
        <v>-2.4116859439999998</v>
      </c>
      <c r="AC5">
        <v>2.2999680040000001</v>
      </c>
      <c r="AD5">
        <v>-1.0098997359999999</v>
      </c>
      <c r="AE5">
        <v>-2.3000655170000002</v>
      </c>
      <c r="AF5">
        <v>-0.72717744100000004</v>
      </c>
      <c r="AG5">
        <v>-0.41513547299999998</v>
      </c>
      <c r="AH5">
        <v>-0.212089419</v>
      </c>
      <c r="AI5">
        <v>-0.73129200900000002</v>
      </c>
      <c r="AJ5">
        <v>-0.31028333299999999</v>
      </c>
      <c r="AK5">
        <v>1.98975E-4</v>
      </c>
      <c r="AL5">
        <v>4.6171770000000001E-2</v>
      </c>
      <c r="AM5">
        <v>0.28247028600000001</v>
      </c>
      <c r="AN5">
        <v>0.11079594500000001</v>
      </c>
      <c r="AO5">
        <v>0.31289339100000002</v>
      </c>
      <c r="AP5">
        <v>0.31289339100000002</v>
      </c>
      <c r="AQ5">
        <v>16.738616990000001</v>
      </c>
      <c r="AR5" t="s">
        <v>262</v>
      </c>
      <c r="AS5" t="s">
        <v>263</v>
      </c>
      <c r="AT5">
        <v>3</v>
      </c>
      <c r="AU5">
        <v>2.9</v>
      </c>
      <c r="AX5">
        <v>1</v>
      </c>
    </row>
    <row r="6" spans="1:50">
      <c r="A6" t="s">
        <v>582</v>
      </c>
      <c r="B6" t="s">
        <v>593</v>
      </c>
      <c r="C6" t="s">
        <v>212</v>
      </c>
      <c r="D6">
        <v>3</v>
      </c>
      <c r="E6" t="s">
        <v>213</v>
      </c>
      <c r="F6" t="s">
        <v>214</v>
      </c>
      <c r="G6" t="s">
        <v>261</v>
      </c>
      <c r="H6" t="s">
        <v>216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-2.26E-5</v>
      </c>
      <c r="R6">
        <v>15.570567130000001</v>
      </c>
      <c r="S6">
        <v>4.7086124419999997</v>
      </c>
      <c r="T6">
        <v>3.988110066</v>
      </c>
      <c r="U6">
        <v>7.4490628240000003</v>
      </c>
      <c r="V6">
        <v>-0.415202022</v>
      </c>
      <c r="W6">
        <v>-1.4352575540000001</v>
      </c>
      <c r="X6">
        <v>0.58489143899999996</v>
      </c>
      <c r="Y6">
        <v>0.464071393</v>
      </c>
      <c r="Z6">
        <v>0.20775395599999999</v>
      </c>
      <c r="AA6">
        <v>-4.3354929E-2</v>
      </c>
      <c r="AB6">
        <v>-1.6452895400000001</v>
      </c>
      <c r="AC6">
        <v>0.89468425500000004</v>
      </c>
      <c r="AD6">
        <v>-0.39351808999999999</v>
      </c>
      <c r="AE6">
        <v>1.0875671999999999E-2</v>
      </c>
      <c r="AF6">
        <v>-0.61338329300000005</v>
      </c>
      <c r="AG6">
        <v>-0.33582842400000001</v>
      </c>
      <c r="AH6">
        <v>0.54390186100000004</v>
      </c>
      <c r="AI6">
        <v>-0.47929811500000002</v>
      </c>
      <c r="AJ6">
        <v>-0.63096874999999997</v>
      </c>
      <c r="AK6">
        <v>1.6928099999999999E-4</v>
      </c>
      <c r="AL6">
        <v>4.2721290000000002E-2</v>
      </c>
      <c r="AM6">
        <v>0.23709535600000001</v>
      </c>
      <c r="AN6">
        <v>7.2075217999999996E-2</v>
      </c>
      <c r="AO6">
        <v>0.290873677</v>
      </c>
      <c r="AP6">
        <v>0.290873677</v>
      </c>
      <c r="AQ6">
        <v>16.26694784</v>
      </c>
      <c r="AR6" t="s">
        <v>262</v>
      </c>
      <c r="AS6" t="s">
        <v>263</v>
      </c>
      <c r="AT6">
        <v>3</v>
      </c>
      <c r="AU6">
        <v>2.9</v>
      </c>
      <c r="AX6">
        <v>1</v>
      </c>
    </row>
    <row r="7" spans="1:50">
      <c r="A7" t="s">
        <v>594</v>
      </c>
      <c r="B7" t="s">
        <v>595</v>
      </c>
      <c r="C7" t="s">
        <v>212</v>
      </c>
      <c r="D7">
        <v>3</v>
      </c>
      <c r="E7" t="s">
        <v>213</v>
      </c>
      <c r="F7" t="s">
        <v>214</v>
      </c>
      <c r="G7" t="s">
        <v>261</v>
      </c>
      <c r="H7" t="s">
        <v>216</v>
      </c>
      <c r="J7" t="s">
        <v>588</v>
      </c>
      <c r="K7" t="s">
        <v>589</v>
      </c>
      <c r="L7" t="s">
        <v>590</v>
      </c>
      <c r="M7" t="s">
        <v>591</v>
      </c>
      <c r="N7" t="s">
        <v>592</v>
      </c>
      <c r="O7">
        <v>0</v>
      </c>
      <c r="P7">
        <v>0</v>
      </c>
      <c r="Q7">
        <v>7.6299999999999998E-6</v>
      </c>
      <c r="R7">
        <v>10.53754234</v>
      </c>
      <c r="S7">
        <v>0.29492393099999997</v>
      </c>
      <c r="T7">
        <v>7.4467797280000001</v>
      </c>
      <c r="U7">
        <v>6.9381022449999996</v>
      </c>
      <c r="V7">
        <v>-3.591105223</v>
      </c>
      <c r="W7">
        <v>-1.345772982</v>
      </c>
      <c r="X7">
        <v>2.7081418039999998</v>
      </c>
      <c r="Y7">
        <v>-0.43991166399999998</v>
      </c>
      <c r="Z7">
        <v>-0.48223909700000001</v>
      </c>
      <c r="AA7">
        <v>0.52395498799999995</v>
      </c>
      <c r="AB7">
        <v>-2.9095101360000002</v>
      </c>
      <c r="AC7">
        <v>0.98503589599999997</v>
      </c>
      <c r="AD7">
        <v>-1.056823015</v>
      </c>
      <c r="AE7">
        <v>-1.025619388</v>
      </c>
      <c r="AF7">
        <v>-0.26366388800000001</v>
      </c>
      <c r="AG7">
        <v>-1.332349062</v>
      </c>
      <c r="AH7">
        <v>0.29668507</v>
      </c>
      <c r="AI7">
        <v>-0.54885792700000002</v>
      </c>
      <c r="AJ7">
        <v>-0.213745356</v>
      </c>
      <c r="AK7">
        <v>2.3717700000000001E-4</v>
      </c>
      <c r="AL7">
        <v>5.0694421000000003E-2</v>
      </c>
      <c r="AM7">
        <v>0.31748202399999997</v>
      </c>
      <c r="AN7">
        <v>5.8818623E-2</v>
      </c>
      <c r="AO7">
        <v>0.33239558299999999</v>
      </c>
      <c r="AP7">
        <v>0.33239558299999999</v>
      </c>
      <c r="AQ7">
        <v>21.539561519999999</v>
      </c>
      <c r="AR7" t="s">
        <v>262</v>
      </c>
      <c r="AS7" t="s">
        <v>263</v>
      </c>
      <c r="AT7">
        <v>3</v>
      </c>
      <c r="AU7">
        <v>2.9</v>
      </c>
      <c r="AX7">
        <v>1</v>
      </c>
    </row>
    <row r="8" spans="1:50">
      <c r="A8" t="s">
        <v>606</v>
      </c>
      <c r="B8" t="s">
        <v>607</v>
      </c>
      <c r="C8" t="s">
        <v>212</v>
      </c>
      <c r="D8">
        <v>3</v>
      </c>
      <c r="E8" t="s">
        <v>213</v>
      </c>
      <c r="F8" t="s">
        <v>214</v>
      </c>
      <c r="G8" t="s">
        <v>261</v>
      </c>
      <c r="H8" t="s">
        <v>216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3.3899999999999997E-5</v>
      </c>
      <c r="R8">
        <v>15.22389793</v>
      </c>
      <c r="S8">
        <v>5.3273820880000002</v>
      </c>
      <c r="T8">
        <v>2.4892246720000002</v>
      </c>
      <c r="U8">
        <v>8.3299283979999998</v>
      </c>
      <c r="V8">
        <v>-2.9280319210000001</v>
      </c>
      <c r="W8">
        <v>-1.268831372</v>
      </c>
      <c r="X8">
        <v>0.158811331</v>
      </c>
      <c r="Y8">
        <v>0.66035330299999995</v>
      </c>
      <c r="Z8">
        <v>-0.32936418099999998</v>
      </c>
      <c r="AA8">
        <v>0.22317344</v>
      </c>
      <c r="AB8">
        <v>-1.9664573670000001</v>
      </c>
      <c r="AC8">
        <v>1.2441551689999999</v>
      </c>
      <c r="AD8">
        <v>-1.346847892</v>
      </c>
      <c r="AE8">
        <v>8.4236980000000003E-2</v>
      </c>
      <c r="AF8">
        <v>-0.53535163399999997</v>
      </c>
      <c r="AG8">
        <v>0.36750876900000001</v>
      </c>
      <c r="AH8">
        <v>-8.1618845999999995E-2</v>
      </c>
      <c r="AI8">
        <v>-0.25476074199999998</v>
      </c>
      <c r="AJ8">
        <v>0.57088017499999999</v>
      </c>
      <c r="AK8">
        <v>2.34145E-4</v>
      </c>
      <c r="AL8">
        <v>5.0414792999999999E-2</v>
      </c>
      <c r="AM8">
        <v>0.224406838</v>
      </c>
      <c r="AN8">
        <v>0.10310633499999999</v>
      </c>
      <c r="AO8">
        <v>0.31500518300000002</v>
      </c>
      <c r="AP8">
        <v>0.31500518300000002</v>
      </c>
      <c r="AQ8">
        <v>16.129106239999999</v>
      </c>
      <c r="AR8" t="s">
        <v>262</v>
      </c>
      <c r="AS8" t="s">
        <v>263</v>
      </c>
      <c r="AT8">
        <v>3</v>
      </c>
      <c r="AU8">
        <v>2.9</v>
      </c>
      <c r="AX8">
        <v>1</v>
      </c>
    </row>
    <row r="9" spans="1:50">
      <c r="A9" t="s">
        <v>618</v>
      </c>
      <c r="B9" t="s">
        <v>629</v>
      </c>
      <c r="C9" t="s">
        <v>212</v>
      </c>
      <c r="D9">
        <v>3</v>
      </c>
      <c r="E9" t="s">
        <v>213</v>
      </c>
      <c r="F9" t="s">
        <v>214</v>
      </c>
      <c r="G9" t="s">
        <v>261</v>
      </c>
      <c r="H9" t="s">
        <v>216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2.5700000000000001E-5</v>
      </c>
      <c r="R9">
        <v>11.589399999999999</v>
      </c>
      <c r="S9">
        <v>-6.4423656459999998</v>
      </c>
      <c r="T9">
        <v>3.7087585930000002</v>
      </c>
      <c r="U9">
        <v>9.4694528580000004</v>
      </c>
      <c r="V9">
        <v>-0.96834862200000005</v>
      </c>
      <c r="W9">
        <v>-1.241091728</v>
      </c>
      <c r="X9">
        <v>3.5293378830000002</v>
      </c>
      <c r="Y9">
        <v>0.84062600099999996</v>
      </c>
      <c r="Z9">
        <v>-0.51214039300000003</v>
      </c>
      <c r="AA9">
        <v>0.88484394600000005</v>
      </c>
      <c r="AB9">
        <v>-3.0956301690000001</v>
      </c>
      <c r="AC9">
        <v>0.92285668899999995</v>
      </c>
      <c r="AD9">
        <v>-1.210385203</v>
      </c>
      <c r="AE9">
        <v>-1.1989823580000001</v>
      </c>
      <c r="AF9">
        <v>-1.0043839219999999</v>
      </c>
      <c r="AG9">
        <v>0.49512440000000002</v>
      </c>
      <c r="AH9">
        <v>0.33319488200000003</v>
      </c>
      <c r="AI9">
        <v>6.4697743000000002E-2</v>
      </c>
      <c r="AJ9">
        <v>-0.19581216600000001</v>
      </c>
      <c r="AK9">
        <v>2.0675700000000001E-4</v>
      </c>
      <c r="AL9">
        <v>4.8837468000000002E-2</v>
      </c>
      <c r="AM9">
        <v>0.245399952</v>
      </c>
      <c r="AN9">
        <v>0.16162881300000001</v>
      </c>
      <c r="AO9">
        <v>0.38509568599999999</v>
      </c>
      <c r="AP9">
        <v>0.38509568599999999</v>
      </c>
      <c r="AQ9">
        <v>18.008465560000001</v>
      </c>
      <c r="AR9" t="s">
        <v>262</v>
      </c>
      <c r="AS9" t="s">
        <v>263</v>
      </c>
      <c r="AT9">
        <v>4</v>
      </c>
      <c r="AU9">
        <v>2.9</v>
      </c>
      <c r="AX9">
        <v>1</v>
      </c>
    </row>
    <row r="10" spans="1:50">
      <c r="A10" t="s">
        <v>630</v>
      </c>
      <c r="B10" t="s">
        <v>631</v>
      </c>
      <c r="C10" t="s">
        <v>212</v>
      </c>
      <c r="D10">
        <v>3</v>
      </c>
      <c r="E10" t="s">
        <v>213</v>
      </c>
      <c r="F10" t="s">
        <v>214</v>
      </c>
      <c r="G10" t="s">
        <v>261</v>
      </c>
      <c r="H10" t="s">
        <v>216</v>
      </c>
      <c r="J10" t="s">
        <v>624</v>
      </c>
      <c r="K10" t="s">
        <v>625</v>
      </c>
      <c r="L10" t="s">
        <v>626</v>
      </c>
      <c r="M10" t="s">
        <v>627</v>
      </c>
      <c r="N10" t="s">
        <v>628</v>
      </c>
      <c r="O10">
        <v>0</v>
      </c>
      <c r="P10">
        <v>0</v>
      </c>
      <c r="Q10">
        <v>-1.0000000000000001E-5</v>
      </c>
      <c r="R10">
        <v>13.177766800000001</v>
      </c>
      <c r="S10">
        <v>9.8956108090000008</v>
      </c>
      <c r="T10">
        <v>6.6543064120000004</v>
      </c>
      <c r="U10">
        <v>7.3513660429999996</v>
      </c>
      <c r="V10">
        <v>-7.019440651</v>
      </c>
      <c r="W10">
        <v>0.42814865699999999</v>
      </c>
      <c r="X10">
        <v>-2.084400654</v>
      </c>
      <c r="Y10">
        <v>-0.91833972900000005</v>
      </c>
      <c r="Z10">
        <v>1.3385274410000001</v>
      </c>
      <c r="AA10">
        <v>0.31844282200000001</v>
      </c>
      <c r="AB10">
        <v>-1.9253571030000001</v>
      </c>
      <c r="AC10">
        <v>2.005133152</v>
      </c>
      <c r="AD10">
        <v>-0.65433895600000003</v>
      </c>
      <c r="AE10">
        <v>1.7231344999999999E-2</v>
      </c>
      <c r="AF10">
        <v>-0.32612043600000001</v>
      </c>
      <c r="AG10">
        <v>-0.45165774199999997</v>
      </c>
      <c r="AH10">
        <v>-0.85795891300000005</v>
      </c>
      <c r="AI10">
        <v>-0.80333542800000002</v>
      </c>
      <c r="AJ10">
        <v>0.757684052</v>
      </c>
      <c r="AK10">
        <v>1.9228E-4</v>
      </c>
      <c r="AL10">
        <v>4.4261724000000002E-2</v>
      </c>
      <c r="AM10">
        <v>0.209886357</v>
      </c>
      <c r="AN10">
        <v>0.237590045</v>
      </c>
      <c r="AO10">
        <v>0.34341946200000001</v>
      </c>
      <c r="AP10">
        <v>0.34341946200000001</v>
      </c>
      <c r="AQ10">
        <v>16.479582860000001</v>
      </c>
      <c r="AR10" t="s">
        <v>262</v>
      </c>
      <c r="AS10" t="s">
        <v>263</v>
      </c>
      <c r="AT10">
        <v>3</v>
      </c>
      <c r="AU10">
        <v>2.9</v>
      </c>
      <c r="AX10">
        <v>1</v>
      </c>
    </row>
    <row r="11" spans="1:50">
      <c r="A11" t="s">
        <v>656</v>
      </c>
      <c r="B11" t="s">
        <v>657</v>
      </c>
      <c r="C11" t="s">
        <v>212</v>
      </c>
      <c r="D11">
        <v>3</v>
      </c>
      <c r="E11" t="s">
        <v>213</v>
      </c>
      <c r="F11" t="s">
        <v>214</v>
      </c>
      <c r="G11" t="s">
        <v>261</v>
      </c>
      <c r="H11" t="s">
        <v>216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-3.8099999999999999E-6</v>
      </c>
      <c r="R11">
        <v>20.478178020000001</v>
      </c>
      <c r="S11">
        <v>4.821657181</v>
      </c>
      <c r="T11">
        <v>2.9675931929999999</v>
      </c>
      <c r="U11">
        <v>3.5194885729999998</v>
      </c>
      <c r="V11">
        <v>1.146110177</v>
      </c>
      <c r="W11">
        <v>-1.786322475</v>
      </c>
      <c r="X11">
        <v>0.48111426800000001</v>
      </c>
      <c r="Y11">
        <v>0.48560523999999999</v>
      </c>
      <c r="Z11">
        <v>0.53203630499999999</v>
      </c>
      <c r="AA11">
        <v>-6.9518983000000006E-2</v>
      </c>
      <c r="AB11">
        <v>-1.351999521</v>
      </c>
      <c r="AC11">
        <v>-0.67714178599999997</v>
      </c>
      <c r="AD11">
        <v>-0.90794324900000001</v>
      </c>
      <c r="AE11">
        <v>-0.34336882800000001</v>
      </c>
      <c r="AF11">
        <v>-0.12498039</v>
      </c>
      <c r="AG11">
        <v>-0.79539078500000004</v>
      </c>
      <c r="AH11">
        <v>0.26423698699999998</v>
      </c>
      <c r="AI11">
        <v>-0.66935586899999999</v>
      </c>
      <c r="AJ11">
        <v>-0.150210649</v>
      </c>
      <c r="AK11">
        <v>2.01721E-4</v>
      </c>
      <c r="AL11">
        <v>4.6901412000000003E-2</v>
      </c>
      <c r="AM11">
        <v>0.31635111599999999</v>
      </c>
      <c r="AN11">
        <v>7.5513624000000001E-2</v>
      </c>
      <c r="AO11">
        <v>0.31635111599999999</v>
      </c>
      <c r="AP11">
        <v>0.31635111599999999</v>
      </c>
      <c r="AQ11">
        <v>21.038159449999998</v>
      </c>
      <c r="AR11" t="s">
        <v>262</v>
      </c>
      <c r="AS11" t="s">
        <v>263</v>
      </c>
      <c r="AT11">
        <v>3</v>
      </c>
      <c r="AU11">
        <v>2.9</v>
      </c>
      <c r="AX11">
        <v>1</v>
      </c>
    </row>
    <row r="12" spans="1:50">
      <c r="A12" t="s">
        <v>658</v>
      </c>
      <c r="B12" t="s">
        <v>659</v>
      </c>
      <c r="C12" t="s">
        <v>212</v>
      </c>
      <c r="D12">
        <v>3</v>
      </c>
      <c r="E12" t="s">
        <v>213</v>
      </c>
      <c r="F12" t="s">
        <v>214</v>
      </c>
      <c r="G12" t="s">
        <v>261</v>
      </c>
      <c r="H12" t="s">
        <v>216</v>
      </c>
      <c r="J12" t="s">
        <v>644</v>
      </c>
      <c r="K12" t="s">
        <v>645</v>
      </c>
      <c r="L12" t="s">
        <v>646</v>
      </c>
      <c r="M12" t="s">
        <v>647</v>
      </c>
      <c r="N12" t="s">
        <v>648</v>
      </c>
      <c r="O12">
        <v>0</v>
      </c>
      <c r="P12">
        <v>0</v>
      </c>
      <c r="Q12">
        <v>2.5034000000000001E-5</v>
      </c>
      <c r="R12">
        <v>16.435241699999999</v>
      </c>
      <c r="S12">
        <v>0.74812942699999996</v>
      </c>
      <c r="T12">
        <v>5.7928128240000003</v>
      </c>
      <c r="U12">
        <v>6.0251541140000002</v>
      </c>
      <c r="V12">
        <v>0.257520676</v>
      </c>
      <c r="W12">
        <v>-0.32736125599999999</v>
      </c>
      <c r="X12">
        <v>2.4298343660000001</v>
      </c>
      <c r="Y12">
        <v>-0.45155614599999999</v>
      </c>
      <c r="Z12">
        <v>-0.135716736</v>
      </c>
      <c r="AA12">
        <v>0.57369703100000002</v>
      </c>
      <c r="AB12">
        <v>-2.7309620379999999</v>
      </c>
      <c r="AC12">
        <v>4.5557453999999997E-2</v>
      </c>
      <c r="AD12">
        <v>-0.82466709599999999</v>
      </c>
      <c r="AE12">
        <v>-0.65048146299999998</v>
      </c>
      <c r="AF12">
        <v>-0.42022409999999999</v>
      </c>
      <c r="AG12">
        <v>-0.67576670699999997</v>
      </c>
      <c r="AH12">
        <v>0.45142144000000001</v>
      </c>
      <c r="AI12">
        <v>-0.67313993000000005</v>
      </c>
      <c r="AJ12">
        <v>-0.59328711000000001</v>
      </c>
      <c r="AK12">
        <v>2.3339300000000001E-4</v>
      </c>
      <c r="AL12">
        <v>5.0081967999999998E-2</v>
      </c>
      <c r="AM12">
        <v>0.231556177</v>
      </c>
      <c r="AN12">
        <v>3.5100248000000001E-2</v>
      </c>
      <c r="AO12">
        <v>0.26820164899999999</v>
      </c>
      <c r="AP12">
        <v>0.26820164899999999</v>
      </c>
      <c r="AQ12">
        <v>16.452260249999998</v>
      </c>
      <c r="AR12" t="s">
        <v>262</v>
      </c>
      <c r="AS12" t="s">
        <v>263</v>
      </c>
      <c r="AT12">
        <v>3</v>
      </c>
      <c r="AU12">
        <v>2.9</v>
      </c>
      <c r="AX12">
        <v>1</v>
      </c>
    </row>
    <row r="13" spans="1:50">
      <c r="A13" t="s">
        <v>668</v>
      </c>
      <c r="B13" t="s">
        <v>670</v>
      </c>
      <c r="C13" t="s">
        <v>212</v>
      </c>
      <c r="D13">
        <v>3</v>
      </c>
      <c r="E13" t="s">
        <v>213</v>
      </c>
      <c r="F13" t="s">
        <v>214</v>
      </c>
      <c r="G13" t="s">
        <v>261</v>
      </c>
      <c r="H13" t="s">
        <v>216</v>
      </c>
      <c r="J13" t="s">
        <v>651</v>
      </c>
      <c r="K13" t="s">
        <v>652</v>
      </c>
      <c r="L13" t="s">
        <v>653</v>
      </c>
      <c r="M13" t="s">
        <v>654</v>
      </c>
      <c r="N13" t="s">
        <v>655</v>
      </c>
      <c r="O13">
        <v>0</v>
      </c>
      <c r="P13">
        <v>0</v>
      </c>
      <c r="Q13">
        <v>-1.1E-5</v>
      </c>
      <c r="R13">
        <v>17.577106480000001</v>
      </c>
      <c r="S13">
        <v>0.35170775700000001</v>
      </c>
      <c r="T13">
        <v>8.6345453259999996</v>
      </c>
      <c r="U13">
        <v>8.2211112980000003</v>
      </c>
      <c r="V13">
        <v>-0.154169679</v>
      </c>
      <c r="W13">
        <v>-0.54124200300000003</v>
      </c>
      <c r="X13">
        <v>3.987544298</v>
      </c>
      <c r="Y13">
        <v>-0.96138566700000005</v>
      </c>
      <c r="Z13">
        <v>0.11080163699999999</v>
      </c>
      <c r="AA13">
        <v>1.397218227</v>
      </c>
      <c r="AB13">
        <v>-3.7993376259999998</v>
      </c>
      <c r="AC13">
        <v>-0.75041896100000005</v>
      </c>
      <c r="AD13">
        <v>-1.343204498</v>
      </c>
      <c r="AE13">
        <v>-1.8951563840000001</v>
      </c>
      <c r="AF13">
        <v>-0.63206052800000001</v>
      </c>
      <c r="AG13">
        <v>-0.61748695399999998</v>
      </c>
      <c r="AH13">
        <v>-0.11444521000000001</v>
      </c>
      <c r="AI13">
        <v>-0.688620448</v>
      </c>
      <c r="AJ13">
        <v>0.14146083600000001</v>
      </c>
      <c r="AK13">
        <v>1.9036199999999999E-4</v>
      </c>
      <c r="AL13">
        <v>4.5808371000000001E-2</v>
      </c>
      <c r="AM13">
        <v>0.27108475599999998</v>
      </c>
      <c r="AN13">
        <v>6.4465955000000005E-2</v>
      </c>
      <c r="AO13">
        <v>0.35505330600000001</v>
      </c>
      <c r="AP13">
        <v>0.35505330600000001</v>
      </c>
      <c r="AQ13">
        <v>17.58062486</v>
      </c>
      <c r="AR13" t="s">
        <v>262</v>
      </c>
      <c r="AS13" t="s">
        <v>263</v>
      </c>
      <c r="AT13">
        <v>3</v>
      </c>
      <c r="AU13">
        <v>2.9</v>
      </c>
      <c r="AX13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264</v>
      </c>
      <c r="R1" t="s">
        <v>265</v>
      </c>
      <c r="S1" t="s">
        <v>266</v>
      </c>
      <c r="T1" t="s">
        <v>267</v>
      </c>
      <c r="U1" t="s">
        <v>268</v>
      </c>
      <c r="V1" t="s">
        <v>269</v>
      </c>
      <c r="W1" t="s">
        <v>270</v>
      </c>
      <c r="X1" t="s">
        <v>271</v>
      </c>
      <c r="Y1" t="s">
        <v>272</v>
      </c>
      <c r="Z1" t="s">
        <v>273</v>
      </c>
      <c r="AA1" t="s">
        <v>274</v>
      </c>
      <c r="AB1" t="s">
        <v>275</v>
      </c>
      <c r="AC1" t="s">
        <v>276</v>
      </c>
      <c r="AD1" t="s">
        <v>207</v>
      </c>
      <c r="AE1" t="s">
        <v>208</v>
      </c>
      <c r="AF1" t="s">
        <v>209</v>
      </c>
    </row>
    <row r="2" spans="1:32">
      <c r="A2" t="s">
        <v>259</v>
      </c>
      <c r="B2" t="s">
        <v>277</v>
      </c>
      <c r="C2" t="s">
        <v>212</v>
      </c>
      <c r="D2">
        <v>3</v>
      </c>
      <c r="E2" t="s">
        <v>213</v>
      </c>
      <c r="F2" t="s">
        <v>214</v>
      </c>
      <c r="G2" t="s">
        <v>261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-9.3841642229000009</v>
      </c>
      <c r="R2">
        <v>-64</v>
      </c>
      <c r="S2">
        <v>81.5381626458</v>
      </c>
      <c r="T2">
        <v>115.019058774</v>
      </c>
      <c r="U2">
        <v>3.6045844113999999</v>
      </c>
      <c r="V2">
        <v>3.1455222000000001E-3</v>
      </c>
      <c r="W2">
        <v>-8.2422299999999999E-5</v>
      </c>
      <c r="X2">
        <v>3.4064682675000002</v>
      </c>
      <c r="Y2">
        <v>80.711513482900003</v>
      </c>
      <c r="Z2">
        <v>62.641050733100002</v>
      </c>
      <c r="AA2">
        <v>317.38796141019998</v>
      </c>
      <c r="AB2">
        <v>339.10269721610001</v>
      </c>
      <c r="AC2">
        <v>1</v>
      </c>
      <c r="AF2">
        <v>1</v>
      </c>
    </row>
    <row r="3" spans="1:32">
      <c r="A3" t="s">
        <v>548</v>
      </c>
      <c r="B3" t="s">
        <v>550</v>
      </c>
      <c r="C3" t="s">
        <v>212</v>
      </c>
      <c r="D3">
        <v>3</v>
      </c>
      <c r="E3" t="s">
        <v>213</v>
      </c>
      <c r="F3" t="s">
        <v>214</v>
      </c>
      <c r="G3" t="s">
        <v>261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-5.8651026392999999</v>
      </c>
      <c r="R3">
        <v>-40</v>
      </c>
      <c r="S3">
        <v>77.792895971999997</v>
      </c>
      <c r="T3">
        <v>99.115628163699995</v>
      </c>
      <c r="U3">
        <v>3.6575508351999999</v>
      </c>
      <c r="V3">
        <v>3.2575402999999998E-3</v>
      </c>
      <c r="W3">
        <v>-8.4861499999999994E-5</v>
      </c>
      <c r="X3">
        <v>3.4648465068999998</v>
      </c>
      <c r="Y3">
        <v>77.789160671100007</v>
      </c>
      <c r="Z3">
        <v>60.431436439499997</v>
      </c>
      <c r="AA3">
        <v>303.73960345080002</v>
      </c>
      <c r="AB3">
        <v>325.77865118030002</v>
      </c>
      <c r="AC3">
        <v>1</v>
      </c>
      <c r="AF3">
        <v>1</v>
      </c>
    </row>
    <row r="4" spans="1:32">
      <c r="A4" t="s">
        <v>558</v>
      </c>
      <c r="B4" t="s">
        <v>560</v>
      </c>
      <c r="C4" t="s">
        <v>212</v>
      </c>
      <c r="D4">
        <v>3</v>
      </c>
      <c r="E4" t="s">
        <v>213</v>
      </c>
      <c r="F4" t="s">
        <v>214</v>
      </c>
      <c r="G4" t="s">
        <v>261</v>
      </c>
      <c r="H4" t="s">
        <v>216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-8.2111436950000005</v>
      </c>
      <c r="R4">
        <v>-56</v>
      </c>
      <c r="S4">
        <v>81.209216325900002</v>
      </c>
      <c r="T4">
        <v>109.99358105570001</v>
      </c>
      <c r="U4">
        <v>3.5369825113000002</v>
      </c>
      <c r="V4">
        <v>3.1992899E-3</v>
      </c>
      <c r="W4">
        <v>-7.6951099999999996E-5</v>
      </c>
      <c r="X4">
        <v>3.3523066059</v>
      </c>
      <c r="Y4">
        <v>80.901931485600002</v>
      </c>
      <c r="Z4">
        <v>65.477335593199996</v>
      </c>
      <c r="AA4">
        <v>315.89750057999998</v>
      </c>
      <c r="AB4">
        <v>337.53368450329998</v>
      </c>
      <c r="AC4">
        <v>1</v>
      </c>
      <c r="AF4">
        <v>1</v>
      </c>
    </row>
    <row r="5" spans="1:32">
      <c r="A5" t="s">
        <v>572</v>
      </c>
      <c r="B5" t="s">
        <v>574</v>
      </c>
      <c r="C5" t="s">
        <v>212</v>
      </c>
      <c r="D5">
        <v>3</v>
      </c>
      <c r="E5" t="s">
        <v>213</v>
      </c>
      <c r="F5" t="s">
        <v>214</v>
      </c>
      <c r="G5" t="s">
        <v>261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-8.2111436950000005</v>
      </c>
      <c r="R5">
        <v>-56</v>
      </c>
      <c r="S5">
        <v>82.473013080300007</v>
      </c>
      <c r="T5">
        <v>111.1107030567</v>
      </c>
      <c r="U5">
        <v>3.5179677203000002</v>
      </c>
      <c r="V5">
        <v>3.0554128999999998E-3</v>
      </c>
      <c r="W5">
        <v>-7.7388500000000006E-5</v>
      </c>
      <c r="X5">
        <v>3.3223565692000001</v>
      </c>
      <c r="Y5">
        <v>82.460361225200003</v>
      </c>
      <c r="Z5">
        <v>64.810859200699994</v>
      </c>
      <c r="AA5">
        <v>312.67250514239998</v>
      </c>
      <c r="AB5">
        <v>334.19204109539999</v>
      </c>
      <c r="AC5">
        <v>1</v>
      </c>
      <c r="AF5">
        <v>1</v>
      </c>
    </row>
    <row r="6" spans="1:32">
      <c r="A6" t="s">
        <v>582</v>
      </c>
      <c r="B6" t="s">
        <v>583</v>
      </c>
      <c r="C6" t="s">
        <v>212</v>
      </c>
      <c r="D6">
        <v>3</v>
      </c>
      <c r="E6" t="s">
        <v>213</v>
      </c>
      <c r="F6" t="s">
        <v>214</v>
      </c>
      <c r="G6" t="s">
        <v>261</v>
      </c>
      <c r="H6" t="s">
        <v>216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-11.7302052786</v>
      </c>
      <c r="R6">
        <v>-80</v>
      </c>
      <c r="S6">
        <v>78.681490714899994</v>
      </c>
      <c r="T6">
        <v>119.5250164113</v>
      </c>
      <c r="U6">
        <v>3.5227054198999999</v>
      </c>
      <c r="V6">
        <v>2.6149763999999999E-3</v>
      </c>
      <c r="W6">
        <v>-7.3552400000000004E-5</v>
      </c>
      <c r="X6">
        <v>3.3222587320999999</v>
      </c>
      <c r="Y6">
        <v>78.672352390399993</v>
      </c>
      <c r="Z6">
        <v>60.690324791899997</v>
      </c>
      <c r="AA6">
        <v>324.54339247460001</v>
      </c>
      <c r="AB6">
        <v>346.7671564652</v>
      </c>
      <c r="AC6">
        <v>1</v>
      </c>
      <c r="AF6">
        <v>1</v>
      </c>
    </row>
    <row r="7" spans="1:32">
      <c r="A7" t="s">
        <v>594</v>
      </c>
      <c r="B7" t="s">
        <v>596</v>
      </c>
      <c r="C7" t="s">
        <v>212</v>
      </c>
      <c r="D7">
        <v>3</v>
      </c>
      <c r="E7" t="s">
        <v>213</v>
      </c>
      <c r="F7" t="s">
        <v>214</v>
      </c>
      <c r="G7" t="s">
        <v>261</v>
      </c>
      <c r="H7" t="s">
        <v>216</v>
      </c>
      <c r="J7" t="s">
        <v>588</v>
      </c>
      <c r="K7" t="s">
        <v>589</v>
      </c>
      <c r="L7" t="s">
        <v>590</v>
      </c>
      <c r="M7" t="s">
        <v>591</v>
      </c>
      <c r="N7" t="s">
        <v>592</v>
      </c>
      <c r="O7">
        <v>0</v>
      </c>
      <c r="P7">
        <v>0</v>
      </c>
      <c r="Q7">
        <v>-11.7302052786</v>
      </c>
      <c r="R7">
        <v>-80</v>
      </c>
      <c r="S7">
        <v>81.732304559499994</v>
      </c>
      <c r="T7">
        <v>122.57335632980001</v>
      </c>
      <c r="U7">
        <v>3.5160011087999998</v>
      </c>
      <c r="V7">
        <v>2.1430605999999998E-3</v>
      </c>
      <c r="W7">
        <v>-6.6592000000000002E-5</v>
      </c>
      <c r="X7">
        <v>3.2911705971999998</v>
      </c>
      <c r="Y7">
        <v>81.708223015800002</v>
      </c>
      <c r="Z7">
        <v>61.5981935824</v>
      </c>
      <c r="AA7">
        <v>335.57136926509997</v>
      </c>
      <c r="AB7">
        <v>356.72508124569998</v>
      </c>
      <c r="AC7">
        <v>1</v>
      </c>
      <c r="AF7">
        <v>1</v>
      </c>
    </row>
    <row r="8" spans="1:32">
      <c r="A8" t="s">
        <v>606</v>
      </c>
      <c r="B8" t="s">
        <v>608</v>
      </c>
      <c r="C8" t="s">
        <v>212</v>
      </c>
      <c r="D8">
        <v>3</v>
      </c>
      <c r="E8" t="s">
        <v>213</v>
      </c>
      <c r="F8" t="s">
        <v>214</v>
      </c>
      <c r="G8" t="s">
        <v>261</v>
      </c>
      <c r="H8" t="s">
        <v>216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-5.8651026392999999</v>
      </c>
      <c r="R8">
        <v>-40</v>
      </c>
      <c r="S8">
        <v>92.956753015199993</v>
      </c>
      <c r="T8">
        <v>113.657551642</v>
      </c>
      <c r="U8">
        <v>3.5483166919000002</v>
      </c>
      <c r="V8">
        <v>2.7621455999999999E-3</v>
      </c>
      <c r="W8">
        <v>-7.6462299999999995E-5</v>
      </c>
      <c r="X8">
        <v>3.3393889342</v>
      </c>
      <c r="Y8">
        <v>90.731585229100006</v>
      </c>
      <c r="Z8">
        <v>73.533739375300001</v>
      </c>
      <c r="AA8">
        <v>305.84689496099998</v>
      </c>
      <c r="AB8">
        <v>327.55466720639998</v>
      </c>
      <c r="AC8">
        <v>1</v>
      </c>
      <c r="AF8">
        <v>1</v>
      </c>
    </row>
    <row r="9" spans="1:32">
      <c r="A9" t="s">
        <v>618</v>
      </c>
      <c r="B9" t="s">
        <v>619</v>
      </c>
      <c r="C9" t="s">
        <v>212</v>
      </c>
      <c r="D9">
        <v>3</v>
      </c>
      <c r="E9" t="s">
        <v>213</v>
      </c>
      <c r="F9" t="s">
        <v>214</v>
      </c>
      <c r="G9" t="s">
        <v>261</v>
      </c>
      <c r="H9" t="s">
        <v>216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-8.2111436950000005</v>
      </c>
      <c r="R9">
        <v>-56</v>
      </c>
      <c r="S9">
        <v>88.455125734099994</v>
      </c>
      <c r="T9">
        <v>117.5850524267</v>
      </c>
      <c r="U9">
        <v>3.5780435276000002</v>
      </c>
      <c r="V9">
        <v>3.0552931000000002E-3</v>
      </c>
      <c r="W9">
        <v>-7.9307600000000006E-5</v>
      </c>
      <c r="X9">
        <v>3.3593337030999999</v>
      </c>
      <c r="Y9">
        <v>87.550229024999993</v>
      </c>
      <c r="Z9">
        <v>73.836741212000007</v>
      </c>
      <c r="AA9">
        <v>322.68683513600001</v>
      </c>
      <c r="AB9">
        <v>344.22545137840001</v>
      </c>
      <c r="AC9">
        <v>1</v>
      </c>
      <c r="AF9">
        <v>1</v>
      </c>
    </row>
    <row r="10" spans="1:32">
      <c r="A10" t="s">
        <v>630</v>
      </c>
      <c r="B10" t="s">
        <v>632</v>
      </c>
      <c r="C10" t="s">
        <v>212</v>
      </c>
      <c r="D10">
        <v>3</v>
      </c>
      <c r="E10" t="s">
        <v>213</v>
      </c>
      <c r="F10" t="s">
        <v>214</v>
      </c>
      <c r="G10" t="s">
        <v>261</v>
      </c>
      <c r="H10" t="s">
        <v>216</v>
      </c>
      <c r="J10" t="s">
        <v>624</v>
      </c>
      <c r="K10" t="s">
        <v>625</v>
      </c>
      <c r="L10" t="s">
        <v>626</v>
      </c>
      <c r="M10" t="s">
        <v>627</v>
      </c>
      <c r="N10" t="s">
        <v>628</v>
      </c>
      <c r="O10">
        <v>0</v>
      </c>
      <c r="P10">
        <v>0</v>
      </c>
      <c r="Q10">
        <v>-9.3841642229000009</v>
      </c>
      <c r="R10">
        <v>-64</v>
      </c>
      <c r="S10">
        <v>82.415182902500007</v>
      </c>
      <c r="T10">
        <v>115.77113495810001</v>
      </c>
      <c r="U10">
        <v>3.5901370936000001</v>
      </c>
      <c r="V10">
        <v>3.0581788999999998E-3</v>
      </c>
      <c r="W10">
        <v>-7.8864399999999997E-5</v>
      </c>
      <c r="X10">
        <v>3.3874097978000002</v>
      </c>
      <c r="Y10">
        <v>82.182047002100006</v>
      </c>
      <c r="Z10">
        <v>62.099289515000002</v>
      </c>
      <c r="AA10">
        <v>322.72129839669998</v>
      </c>
      <c r="AB10">
        <v>344.27129291329999</v>
      </c>
      <c r="AC10">
        <v>1</v>
      </c>
      <c r="AF10">
        <v>1</v>
      </c>
    </row>
    <row r="11" spans="1:32">
      <c r="A11" t="s">
        <v>656</v>
      </c>
      <c r="B11" t="s">
        <v>660</v>
      </c>
      <c r="C11" t="s">
        <v>212</v>
      </c>
      <c r="D11">
        <v>3</v>
      </c>
      <c r="E11" t="s">
        <v>213</v>
      </c>
      <c r="F11" t="s">
        <v>214</v>
      </c>
      <c r="G11" t="s">
        <v>261</v>
      </c>
      <c r="H11" t="s">
        <v>216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-8.2111436950000005</v>
      </c>
      <c r="R11">
        <v>-56</v>
      </c>
      <c r="S11">
        <v>82.929557163400005</v>
      </c>
      <c r="T11">
        <v>112.15209369590001</v>
      </c>
      <c r="U11">
        <v>3.5854468751000002</v>
      </c>
      <c r="V11">
        <v>2.6132681999999998E-3</v>
      </c>
      <c r="W11">
        <v>-7.5663799999999999E-5</v>
      </c>
      <c r="X11">
        <v>3.3369157389000002</v>
      </c>
      <c r="Y11">
        <v>82.119035462599996</v>
      </c>
      <c r="Z11">
        <v>66.513303327399996</v>
      </c>
      <c r="AA11">
        <v>327.13615962829999</v>
      </c>
      <c r="AB11">
        <v>348.59569492010002</v>
      </c>
      <c r="AC11">
        <v>1</v>
      </c>
      <c r="AF11">
        <v>1</v>
      </c>
    </row>
    <row r="12" spans="1:32">
      <c r="A12" t="s">
        <v>658</v>
      </c>
      <c r="B12" t="s">
        <v>661</v>
      </c>
      <c r="C12" t="s">
        <v>212</v>
      </c>
      <c r="D12">
        <v>3</v>
      </c>
      <c r="E12" t="s">
        <v>213</v>
      </c>
      <c r="F12" t="s">
        <v>214</v>
      </c>
      <c r="G12" t="s">
        <v>261</v>
      </c>
      <c r="H12" t="s">
        <v>216</v>
      </c>
      <c r="J12" t="s">
        <v>644</v>
      </c>
      <c r="K12" t="s">
        <v>645</v>
      </c>
      <c r="L12" t="s">
        <v>646</v>
      </c>
      <c r="M12" t="s">
        <v>647</v>
      </c>
      <c r="N12" t="s">
        <v>648</v>
      </c>
      <c r="O12">
        <v>0</v>
      </c>
      <c r="P12">
        <v>0</v>
      </c>
      <c r="Q12">
        <v>-9.3841642229000009</v>
      </c>
      <c r="R12">
        <v>-64</v>
      </c>
      <c r="S12">
        <v>82.573258268700002</v>
      </c>
      <c r="T12">
        <v>115.9606209136</v>
      </c>
      <c r="U12">
        <v>3.5909146538000001</v>
      </c>
      <c r="V12">
        <v>2.7856348999999998E-3</v>
      </c>
      <c r="W12">
        <v>-7.8727799999999995E-5</v>
      </c>
      <c r="X12">
        <v>3.3888410009999999</v>
      </c>
      <c r="Y12">
        <v>82.550200624599995</v>
      </c>
      <c r="Z12">
        <v>62.378739362399998</v>
      </c>
      <c r="AA12">
        <v>315.60281234349998</v>
      </c>
      <c r="AB12">
        <v>337.966318935</v>
      </c>
      <c r="AC12">
        <v>1</v>
      </c>
      <c r="AF12">
        <v>1</v>
      </c>
    </row>
    <row r="13" spans="1:32">
      <c r="A13" t="s">
        <v>668</v>
      </c>
      <c r="B13" t="s">
        <v>669</v>
      </c>
      <c r="C13" t="s">
        <v>212</v>
      </c>
      <c r="D13">
        <v>3</v>
      </c>
      <c r="E13" t="s">
        <v>213</v>
      </c>
      <c r="F13" t="s">
        <v>214</v>
      </c>
      <c r="G13" t="s">
        <v>261</v>
      </c>
      <c r="H13" t="s">
        <v>216</v>
      </c>
      <c r="J13" t="s">
        <v>651</v>
      </c>
      <c r="K13" t="s">
        <v>652</v>
      </c>
      <c r="L13" t="s">
        <v>653</v>
      </c>
      <c r="M13" t="s">
        <v>654</v>
      </c>
      <c r="N13" t="s">
        <v>655</v>
      </c>
      <c r="O13">
        <v>0</v>
      </c>
      <c r="P13">
        <v>0</v>
      </c>
      <c r="Q13">
        <v>-10.557184750699999</v>
      </c>
      <c r="R13">
        <v>-72</v>
      </c>
      <c r="S13">
        <v>80.086897456900004</v>
      </c>
      <c r="T13">
        <v>118.2111209433</v>
      </c>
      <c r="U13">
        <v>3.6494479328999998</v>
      </c>
      <c r="V13">
        <v>2.7910411999999998E-3</v>
      </c>
      <c r="W13">
        <v>-7.8698100000000005E-5</v>
      </c>
      <c r="X13">
        <v>3.4312470747999999</v>
      </c>
      <c r="Y13">
        <v>79.860774962999997</v>
      </c>
      <c r="Z13">
        <v>59.364621955099999</v>
      </c>
      <c r="AA13">
        <v>331.18375424359999</v>
      </c>
      <c r="AB13">
        <v>352.97639809779997</v>
      </c>
      <c r="AC13">
        <v>1</v>
      </c>
      <c r="AF13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278</v>
      </c>
      <c r="R1" t="s">
        <v>279</v>
      </c>
      <c r="S1" t="s">
        <v>280</v>
      </c>
      <c r="T1" t="s">
        <v>281</v>
      </c>
      <c r="U1" t="s">
        <v>282</v>
      </c>
      <c r="V1" t="s">
        <v>283</v>
      </c>
      <c r="W1" t="s">
        <v>284</v>
      </c>
      <c r="X1" t="s">
        <v>285</v>
      </c>
      <c r="Y1" t="s">
        <v>286</v>
      </c>
      <c r="Z1" t="s">
        <v>287</v>
      </c>
      <c r="AA1" t="s">
        <v>288</v>
      </c>
      <c r="AB1" t="s">
        <v>289</v>
      </c>
      <c r="AC1" t="s">
        <v>290</v>
      </c>
      <c r="AD1" t="s">
        <v>291</v>
      </c>
      <c r="AE1" t="s">
        <v>292</v>
      </c>
      <c r="AF1" t="s">
        <v>293</v>
      </c>
      <c r="AG1" t="s">
        <v>294</v>
      </c>
      <c r="AH1" t="s">
        <v>295</v>
      </c>
      <c r="AI1" t="s">
        <v>296</v>
      </c>
      <c r="AJ1" t="s">
        <v>297</v>
      </c>
      <c r="AK1" t="s">
        <v>298</v>
      </c>
      <c r="AL1" t="s">
        <v>299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313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323</v>
      </c>
      <c r="BK1" t="s">
        <v>324</v>
      </c>
      <c r="BL1" t="s">
        <v>325</v>
      </c>
      <c r="BM1" t="s">
        <v>326</v>
      </c>
      <c r="BN1" t="s">
        <v>327</v>
      </c>
      <c r="BO1" t="s">
        <v>328</v>
      </c>
      <c r="BP1" t="s">
        <v>329</v>
      </c>
      <c r="BQ1" t="s">
        <v>330</v>
      </c>
      <c r="BR1" t="s">
        <v>331</v>
      </c>
      <c r="BS1" t="s">
        <v>332</v>
      </c>
      <c r="BT1" t="s">
        <v>333</v>
      </c>
      <c r="BU1" t="s">
        <v>334</v>
      </c>
      <c r="BV1" t="s">
        <v>335</v>
      </c>
      <c r="BW1" t="s">
        <v>336</v>
      </c>
      <c r="BX1" t="s">
        <v>337</v>
      </c>
      <c r="BY1" t="s">
        <v>338</v>
      </c>
      <c r="BZ1" t="s">
        <v>339</v>
      </c>
      <c r="CA1" t="s">
        <v>340</v>
      </c>
      <c r="CB1" t="s">
        <v>341</v>
      </c>
      <c r="CC1" t="s">
        <v>342</v>
      </c>
      <c r="CD1" t="s">
        <v>343</v>
      </c>
      <c r="CE1" t="s">
        <v>344</v>
      </c>
      <c r="CF1" t="s">
        <v>345</v>
      </c>
      <c r="CG1" t="s">
        <v>346</v>
      </c>
      <c r="CH1" t="s">
        <v>347</v>
      </c>
      <c r="CI1" t="s">
        <v>348</v>
      </c>
      <c r="CJ1" t="s">
        <v>349</v>
      </c>
      <c r="CK1" t="s">
        <v>350</v>
      </c>
      <c r="CL1" t="s">
        <v>351</v>
      </c>
      <c r="CM1" t="s">
        <v>352</v>
      </c>
      <c r="CN1" t="s">
        <v>353</v>
      </c>
      <c r="CO1" t="s">
        <v>354</v>
      </c>
      <c r="CP1" t="s">
        <v>355</v>
      </c>
      <c r="CQ1" t="s">
        <v>356</v>
      </c>
      <c r="CR1" t="s">
        <v>357</v>
      </c>
      <c r="CS1" t="s">
        <v>358</v>
      </c>
      <c r="CT1" t="s">
        <v>359</v>
      </c>
      <c r="CU1" t="s">
        <v>360</v>
      </c>
      <c r="CV1" t="s">
        <v>361</v>
      </c>
      <c r="CW1" t="s">
        <v>362</v>
      </c>
      <c r="CX1" t="s">
        <v>363</v>
      </c>
      <c r="CY1" t="s">
        <v>364</v>
      </c>
      <c r="CZ1" t="s">
        <v>365</v>
      </c>
      <c r="DA1" t="s">
        <v>366</v>
      </c>
      <c r="DB1" t="s">
        <v>367</v>
      </c>
      <c r="DC1" t="s">
        <v>368</v>
      </c>
      <c r="DD1" t="s">
        <v>369</v>
      </c>
      <c r="DE1" t="s">
        <v>370</v>
      </c>
      <c r="DF1" t="s">
        <v>371</v>
      </c>
      <c r="DG1" t="s">
        <v>372</v>
      </c>
      <c r="DH1" t="s">
        <v>373</v>
      </c>
      <c r="DI1" t="s">
        <v>374</v>
      </c>
      <c r="DJ1" t="s">
        <v>375</v>
      </c>
      <c r="DK1" t="s">
        <v>376</v>
      </c>
      <c r="DL1" t="s">
        <v>377</v>
      </c>
      <c r="DM1" t="s">
        <v>378</v>
      </c>
      <c r="DN1" t="s">
        <v>379</v>
      </c>
      <c r="DO1" t="s">
        <v>380</v>
      </c>
      <c r="DP1" t="s">
        <v>381</v>
      </c>
      <c r="DQ1" t="s">
        <v>382</v>
      </c>
      <c r="DR1" t="s">
        <v>383</v>
      </c>
      <c r="DS1" t="s">
        <v>384</v>
      </c>
      <c r="DT1" t="s">
        <v>385</v>
      </c>
      <c r="DU1" t="s">
        <v>386</v>
      </c>
      <c r="DV1" t="s">
        <v>387</v>
      </c>
      <c r="DW1" t="s">
        <v>388</v>
      </c>
      <c r="DX1" t="s">
        <v>389</v>
      </c>
      <c r="DY1" t="s">
        <v>390</v>
      </c>
      <c r="DZ1" t="s">
        <v>391</v>
      </c>
      <c r="EA1" t="s">
        <v>392</v>
      </c>
      <c r="EB1" t="s">
        <v>393</v>
      </c>
      <c r="EC1" t="s">
        <v>394</v>
      </c>
      <c r="ED1" t="s">
        <v>395</v>
      </c>
      <c r="EE1" t="s">
        <v>396</v>
      </c>
      <c r="EF1" t="s">
        <v>397</v>
      </c>
      <c r="EG1" t="s">
        <v>398</v>
      </c>
      <c r="EH1" t="s">
        <v>399</v>
      </c>
      <c r="EI1" t="s">
        <v>400</v>
      </c>
      <c r="EJ1" t="s">
        <v>401</v>
      </c>
      <c r="EK1" t="s">
        <v>402</v>
      </c>
      <c r="EL1" t="s">
        <v>403</v>
      </c>
      <c r="EM1" t="s">
        <v>404</v>
      </c>
      <c r="EN1" t="s">
        <v>405</v>
      </c>
      <c r="EO1" t="s">
        <v>406</v>
      </c>
      <c r="EP1" t="s">
        <v>407</v>
      </c>
      <c r="EQ1" t="s">
        <v>408</v>
      </c>
      <c r="ER1" t="s">
        <v>409</v>
      </c>
      <c r="ES1" t="s">
        <v>410</v>
      </c>
      <c r="ET1" t="s">
        <v>411</v>
      </c>
      <c r="EU1" t="s">
        <v>412</v>
      </c>
      <c r="EV1" t="s">
        <v>413</v>
      </c>
      <c r="EW1" t="s">
        <v>414</v>
      </c>
      <c r="EX1" t="s">
        <v>415</v>
      </c>
      <c r="EY1" t="s">
        <v>416</v>
      </c>
      <c r="EZ1" t="s">
        <v>417</v>
      </c>
      <c r="FA1" t="s">
        <v>418</v>
      </c>
      <c r="FB1" t="s">
        <v>419</v>
      </c>
      <c r="FC1" t="s">
        <v>420</v>
      </c>
      <c r="FD1" t="s">
        <v>421</v>
      </c>
      <c r="FE1" t="s">
        <v>422</v>
      </c>
      <c r="FF1" t="s">
        <v>423</v>
      </c>
      <c r="FG1" t="s">
        <v>424</v>
      </c>
      <c r="FH1" t="s">
        <v>425</v>
      </c>
      <c r="FI1" t="s">
        <v>426</v>
      </c>
      <c r="FJ1" t="s">
        <v>427</v>
      </c>
      <c r="FK1" t="s">
        <v>428</v>
      </c>
      <c r="FL1" t="s">
        <v>429</v>
      </c>
      <c r="FM1" t="s">
        <v>430</v>
      </c>
      <c r="FN1" t="s">
        <v>431</v>
      </c>
      <c r="FO1" t="s">
        <v>432</v>
      </c>
      <c r="FP1" t="s">
        <v>433</v>
      </c>
      <c r="FQ1" t="s">
        <v>434</v>
      </c>
      <c r="FR1" t="s">
        <v>435</v>
      </c>
      <c r="FS1" t="s">
        <v>436</v>
      </c>
      <c r="FT1" t="s">
        <v>437</v>
      </c>
      <c r="FU1" t="s">
        <v>438</v>
      </c>
      <c r="FV1" t="s">
        <v>439</v>
      </c>
      <c r="FW1" t="s">
        <v>440</v>
      </c>
      <c r="FX1" t="s">
        <v>441</v>
      </c>
      <c r="FY1" t="s">
        <v>442</v>
      </c>
      <c r="FZ1" t="s">
        <v>443</v>
      </c>
      <c r="GA1" t="s">
        <v>444</v>
      </c>
      <c r="GB1" t="s">
        <v>445</v>
      </c>
      <c r="GC1" t="s">
        <v>446</v>
      </c>
      <c r="GD1" t="s">
        <v>447</v>
      </c>
      <c r="GE1" t="s">
        <v>448</v>
      </c>
      <c r="GF1" t="s">
        <v>449</v>
      </c>
      <c r="GG1" t="s">
        <v>450</v>
      </c>
      <c r="GH1" t="s">
        <v>451</v>
      </c>
      <c r="GI1" t="s">
        <v>452</v>
      </c>
      <c r="GJ1" t="s">
        <v>453</v>
      </c>
      <c r="GK1" t="s">
        <v>454</v>
      </c>
      <c r="GL1" t="s">
        <v>455</v>
      </c>
      <c r="GM1" t="s">
        <v>456</v>
      </c>
      <c r="GN1" t="s">
        <v>457</v>
      </c>
      <c r="GO1" t="s">
        <v>458</v>
      </c>
      <c r="GP1" t="s">
        <v>459</v>
      </c>
      <c r="GQ1" t="s">
        <v>460</v>
      </c>
      <c r="GR1" t="s">
        <v>461</v>
      </c>
      <c r="GS1" t="s">
        <v>462</v>
      </c>
      <c r="GT1" t="s">
        <v>463</v>
      </c>
      <c r="GU1" t="s">
        <v>464</v>
      </c>
      <c r="GV1" t="s">
        <v>465</v>
      </c>
      <c r="GW1" t="s">
        <v>466</v>
      </c>
      <c r="GX1" t="s">
        <v>467</v>
      </c>
      <c r="GY1" t="s">
        <v>468</v>
      </c>
      <c r="GZ1" t="s">
        <v>469</v>
      </c>
      <c r="HA1" t="s">
        <v>470</v>
      </c>
      <c r="HB1" t="s">
        <v>471</v>
      </c>
      <c r="HC1" t="s">
        <v>472</v>
      </c>
      <c r="HD1" t="s">
        <v>473</v>
      </c>
      <c r="HE1" t="s">
        <v>474</v>
      </c>
      <c r="HF1" t="s">
        <v>475</v>
      </c>
      <c r="HG1" t="s">
        <v>476</v>
      </c>
      <c r="HH1" t="s">
        <v>477</v>
      </c>
      <c r="HI1" t="s">
        <v>478</v>
      </c>
      <c r="HJ1" t="s">
        <v>479</v>
      </c>
      <c r="HK1" t="s">
        <v>480</v>
      </c>
      <c r="HL1" t="s">
        <v>481</v>
      </c>
      <c r="HM1" t="s">
        <v>482</v>
      </c>
      <c r="HN1" t="s">
        <v>483</v>
      </c>
      <c r="HO1" t="s">
        <v>484</v>
      </c>
      <c r="HP1" t="s">
        <v>485</v>
      </c>
      <c r="HQ1" t="s">
        <v>486</v>
      </c>
      <c r="HR1" t="s">
        <v>487</v>
      </c>
      <c r="HS1" t="s">
        <v>488</v>
      </c>
      <c r="HT1" t="s">
        <v>489</v>
      </c>
      <c r="HU1" t="s">
        <v>490</v>
      </c>
      <c r="HV1" t="s">
        <v>491</v>
      </c>
      <c r="HW1" t="s">
        <v>492</v>
      </c>
      <c r="HX1" t="s">
        <v>493</v>
      </c>
      <c r="HY1" t="s">
        <v>494</v>
      </c>
      <c r="HZ1" t="s">
        <v>495</v>
      </c>
      <c r="IA1" t="s">
        <v>496</v>
      </c>
      <c r="IB1" t="s">
        <v>497</v>
      </c>
      <c r="IC1" t="s">
        <v>498</v>
      </c>
      <c r="ID1" t="s">
        <v>499</v>
      </c>
      <c r="IE1" t="s">
        <v>500</v>
      </c>
      <c r="IF1" t="s">
        <v>501</v>
      </c>
      <c r="IG1" t="s">
        <v>502</v>
      </c>
      <c r="IH1" t="s">
        <v>503</v>
      </c>
      <c r="II1" t="s">
        <v>504</v>
      </c>
      <c r="IJ1" t="s">
        <v>505</v>
      </c>
      <c r="IK1" t="s">
        <v>506</v>
      </c>
      <c r="IL1" t="s">
        <v>507</v>
      </c>
      <c r="IM1" t="s">
        <v>508</v>
      </c>
      <c r="IN1" t="s">
        <v>509</v>
      </c>
      <c r="IO1" t="s">
        <v>510</v>
      </c>
      <c r="IP1" t="s">
        <v>511</v>
      </c>
      <c r="IQ1" t="s">
        <v>512</v>
      </c>
      <c r="IR1" t="s">
        <v>513</v>
      </c>
      <c r="IS1" t="s">
        <v>514</v>
      </c>
      <c r="IT1" t="s">
        <v>515</v>
      </c>
      <c r="IU1" t="s">
        <v>516</v>
      </c>
      <c r="IV1" t="s">
        <v>517</v>
      </c>
      <c r="IW1" t="s">
        <v>518</v>
      </c>
      <c r="IX1" t="s">
        <v>519</v>
      </c>
      <c r="IY1" t="s">
        <v>520</v>
      </c>
      <c r="IZ1" t="s">
        <v>521</v>
      </c>
      <c r="JA1" t="s">
        <v>522</v>
      </c>
      <c r="JB1" t="s">
        <v>523</v>
      </c>
      <c r="JC1" t="s">
        <v>524</v>
      </c>
      <c r="JD1" t="s">
        <v>525</v>
      </c>
      <c r="JE1" t="s">
        <v>526</v>
      </c>
      <c r="JF1" t="s">
        <v>527</v>
      </c>
      <c r="JG1" t="s">
        <v>528</v>
      </c>
      <c r="JH1" t="s">
        <v>529</v>
      </c>
      <c r="JI1" t="s">
        <v>530</v>
      </c>
      <c r="JJ1" t="s">
        <v>531</v>
      </c>
      <c r="JK1" t="s">
        <v>271</v>
      </c>
      <c r="JL1" t="s">
        <v>532</v>
      </c>
      <c r="JM1" t="s">
        <v>533</v>
      </c>
      <c r="JN1" t="s">
        <v>534</v>
      </c>
      <c r="JO1" t="s">
        <v>207</v>
      </c>
      <c r="JP1" t="s">
        <v>208</v>
      </c>
      <c r="JQ1" t="s">
        <v>209</v>
      </c>
    </row>
    <row r="2" spans="1:277">
      <c r="A2" t="s">
        <v>535</v>
      </c>
      <c r="B2" t="s">
        <v>536</v>
      </c>
      <c r="C2" t="s">
        <v>212</v>
      </c>
      <c r="D2">
        <v>3</v>
      </c>
      <c r="E2" t="s">
        <v>213</v>
      </c>
      <c r="F2" t="s">
        <v>214</v>
      </c>
      <c r="G2" t="s">
        <v>537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0</v>
      </c>
      <c r="R2">
        <v>0.39999999899999999</v>
      </c>
      <c r="S2">
        <v>0.39999999899999999</v>
      </c>
      <c r="T2">
        <v>0.50000000010000001</v>
      </c>
      <c r="U2">
        <v>0.50000000010000001</v>
      </c>
      <c r="V2">
        <v>0.59999999940000004</v>
      </c>
      <c r="W2">
        <v>0.59999999940000004</v>
      </c>
      <c r="X2">
        <v>0.69999999869999996</v>
      </c>
      <c r="Y2">
        <v>0.69999999869999996</v>
      </c>
      <c r="Z2">
        <v>0.79999999980000003</v>
      </c>
      <c r="AA2">
        <v>0.79999999980000003</v>
      </c>
      <c r="AB2">
        <v>0.79999999980000003</v>
      </c>
      <c r="AC2">
        <v>0.89999999909999995</v>
      </c>
      <c r="AD2">
        <v>0.89999999909999995</v>
      </c>
      <c r="AE2">
        <v>0.79999999980000003</v>
      </c>
      <c r="AF2">
        <v>0.59999999940000004</v>
      </c>
      <c r="AG2">
        <v>0.79999999980000003</v>
      </c>
      <c r="AH2">
        <v>2.0999999997000001</v>
      </c>
      <c r="AI2">
        <v>5.4999999992999999</v>
      </c>
      <c r="AJ2">
        <v>11.199999998999999</v>
      </c>
      <c r="AK2">
        <v>18.0999999993</v>
      </c>
      <c r="AL2">
        <v>25.399999998599998</v>
      </c>
      <c r="AM2">
        <v>32.599999998599998</v>
      </c>
      <c r="AN2">
        <v>39.899999999800002</v>
      </c>
      <c r="AO2">
        <v>47.299999998399997</v>
      </c>
      <c r="AP2">
        <v>54.399999999099997</v>
      </c>
      <c r="AQ2">
        <v>61.799999999500002</v>
      </c>
      <c r="AR2">
        <v>69.7</v>
      </c>
      <c r="AS2">
        <v>77.999999999500005</v>
      </c>
      <c r="AT2">
        <v>85.999999999300002</v>
      </c>
      <c r="AU2">
        <v>93.999999999099998</v>
      </c>
      <c r="AV2">
        <v>101.8999999997</v>
      </c>
      <c r="AW2">
        <v>109.8999999995</v>
      </c>
      <c r="AX2">
        <v>118.5999999998</v>
      </c>
      <c r="AY2">
        <v>127.49999999870001</v>
      </c>
      <c r="AZ2">
        <v>136.0999999997</v>
      </c>
      <c r="BA2">
        <v>144.2999999999</v>
      </c>
      <c r="BB2">
        <v>152.50000000009999</v>
      </c>
      <c r="BC2">
        <v>160.2999999996</v>
      </c>
      <c r="BD2">
        <v>168.3999999987</v>
      </c>
      <c r="BE2">
        <v>176.99999999970001</v>
      </c>
      <c r="BF2">
        <v>185.49999999959999</v>
      </c>
      <c r="BG2">
        <v>193.69999999980001</v>
      </c>
      <c r="BH2">
        <v>201.9</v>
      </c>
      <c r="BI2">
        <v>209.69999999940001</v>
      </c>
      <c r="BJ2">
        <v>217.39999999950001</v>
      </c>
      <c r="BK2">
        <v>225.7999999983</v>
      </c>
      <c r="BL2">
        <v>233.9999999986</v>
      </c>
      <c r="BM2">
        <v>241.79999999980001</v>
      </c>
      <c r="BN2">
        <v>249.59999999920001</v>
      </c>
      <c r="BO2">
        <v>257.2</v>
      </c>
      <c r="BP2">
        <v>264.39999999999998</v>
      </c>
      <c r="BQ2">
        <v>271.89999999970001</v>
      </c>
      <c r="BR2">
        <v>279.69999999909999</v>
      </c>
      <c r="BS2">
        <v>287.3</v>
      </c>
      <c r="BT2">
        <v>294.5999999993</v>
      </c>
      <c r="BU2">
        <v>301.7</v>
      </c>
      <c r="BV2">
        <v>308.59999999849998</v>
      </c>
      <c r="BW2">
        <v>315.19999999909999</v>
      </c>
      <c r="BX2">
        <v>321.89999999899999</v>
      </c>
      <c r="BY2">
        <v>328.89999999859998</v>
      </c>
      <c r="BZ2">
        <v>335.69999999959998</v>
      </c>
      <c r="CA2">
        <v>342.29999999839998</v>
      </c>
      <c r="CB2">
        <v>348.69999999859999</v>
      </c>
      <c r="CC2">
        <v>354.99999999959999</v>
      </c>
      <c r="CD2">
        <v>360.89999999970001</v>
      </c>
      <c r="CE2">
        <v>366.69999999869998</v>
      </c>
      <c r="CF2">
        <v>372.5999999988</v>
      </c>
      <c r="CG2">
        <v>378.49999999890002</v>
      </c>
      <c r="CH2">
        <v>384.39999999899999</v>
      </c>
      <c r="CI2">
        <v>390.09999999870001</v>
      </c>
      <c r="CJ2">
        <v>395.69999999909999</v>
      </c>
      <c r="CK2">
        <v>401.19999999840002</v>
      </c>
      <c r="CL2">
        <v>406.4999999991</v>
      </c>
      <c r="CM2">
        <v>411.49999999829998</v>
      </c>
      <c r="CN2">
        <v>416.29999999900002</v>
      </c>
      <c r="CO2">
        <v>421.3</v>
      </c>
      <c r="CP2">
        <v>426.2999999992</v>
      </c>
      <c r="CQ2">
        <v>431.59999999989998</v>
      </c>
      <c r="CR2">
        <v>436.69999999840002</v>
      </c>
      <c r="CS2">
        <v>441.39999999970001</v>
      </c>
      <c r="CT2">
        <v>446.1999999985</v>
      </c>
      <c r="CU2">
        <v>450.7999999987</v>
      </c>
      <c r="CV2">
        <v>454.99999999990001</v>
      </c>
      <c r="CW2">
        <v>456.69999999880002</v>
      </c>
      <c r="CX2">
        <v>456.79999999990002</v>
      </c>
      <c r="CY2">
        <v>456.89999999920002</v>
      </c>
      <c r="CZ2">
        <v>456.99999999850002</v>
      </c>
      <c r="DA2">
        <v>457.09999999960002</v>
      </c>
      <c r="DB2">
        <v>457.09999999960002</v>
      </c>
      <c r="DC2">
        <v>457.09999999960002</v>
      </c>
      <c r="DD2">
        <v>457.09999999960002</v>
      </c>
      <c r="DE2">
        <v>456.99999999850002</v>
      </c>
      <c r="DF2">
        <v>456.99999999850002</v>
      </c>
      <c r="DG2">
        <v>1.1999999988000001</v>
      </c>
      <c r="DH2">
        <v>1.8</v>
      </c>
      <c r="DI2">
        <v>1.8999999993000001</v>
      </c>
      <c r="DJ2">
        <v>1.8999999993000001</v>
      </c>
      <c r="DK2">
        <v>1.8999999993000001</v>
      </c>
      <c r="DL2">
        <v>1.8999999993000001</v>
      </c>
      <c r="DM2">
        <v>2.0999999997000001</v>
      </c>
      <c r="DN2">
        <v>1.8</v>
      </c>
      <c r="DO2">
        <v>1.8</v>
      </c>
      <c r="DP2">
        <v>1.8</v>
      </c>
      <c r="DQ2">
        <v>1.8999999993000001</v>
      </c>
      <c r="DR2">
        <v>1.6999999989000001</v>
      </c>
      <c r="DS2">
        <v>1.6999999989000001</v>
      </c>
      <c r="DT2">
        <v>1.4999999985000001</v>
      </c>
      <c r="DU2">
        <v>1.4999999985000001</v>
      </c>
      <c r="DV2">
        <v>2.1999999990000001</v>
      </c>
      <c r="DW2">
        <v>4.9999999991999999</v>
      </c>
      <c r="DX2">
        <v>10.699999998899999</v>
      </c>
      <c r="DY2">
        <v>17.799999999600001</v>
      </c>
      <c r="DZ2">
        <v>25.2</v>
      </c>
      <c r="EA2">
        <v>32.499999999300002</v>
      </c>
      <c r="EB2">
        <v>39.600000000100003</v>
      </c>
      <c r="EC2">
        <v>46.999999998699998</v>
      </c>
      <c r="ED2">
        <v>54.099999999399998</v>
      </c>
      <c r="EE2">
        <v>61.399999998699997</v>
      </c>
      <c r="EF2">
        <v>69.299999999199997</v>
      </c>
      <c r="EG2">
        <v>77.499999999400004</v>
      </c>
      <c r="EH2">
        <v>85.399999999900004</v>
      </c>
      <c r="EI2">
        <v>93.299999998600001</v>
      </c>
      <c r="EJ2">
        <v>101.1999999992</v>
      </c>
      <c r="EK2">
        <v>108.89999999929999</v>
      </c>
      <c r="EL2">
        <v>117.39999999920001</v>
      </c>
      <c r="EM2">
        <v>126.5999999996</v>
      </c>
      <c r="EN2">
        <v>135.2999999999</v>
      </c>
      <c r="EO2">
        <v>143.69999999870001</v>
      </c>
      <c r="EP2">
        <v>152</v>
      </c>
      <c r="EQ2">
        <v>159.7999999994</v>
      </c>
      <c r="ER2">
        <v>167.99999999970001</v>
      </c>
      <c r="ES2">
        <v>176.7</v>
      </c>
      <c r="ET2">
        <v>185.0999999988</v>
      </c>
      <c r="EU2">
        <v>193.40000000009999</v>
      </c>
      <c r="EV2">
        <v>201.79999999890001</v>
      </c>
      <c r="EW2">
        <v>209.7999999987</v>
      </c>
      <c r="EX2">
        <v>217.7999999985</v>
      </c>
      <c r="EY2">
        <v>226.09999999990001</v>
      </c>
      <c r="EZ2">
        <v>234.49999999869999</v>
      </c>
      <c r="FA2">
        <v>242.59999999959999</v>
      </c>
      <c r="FB2">
        <v>250.59999999940001</v>
      </c>
      <c r="FC2">
        <v>258.19999999840002</v>
      </c>
      <c r="FD2">
        <v>265.6999999999</v>
      </c>
      <c r="FE2">
        <v>273.69999999970003</v>
      </c>
      <c r="FF2">
        <v>281.69999999949999</v>
      </c>
      <c r="FG2">
        <v>289.39999999970001</v>
      </c>
      <c r="FH2">
        <v>296.8000000001</v>
      </c>
      <c r="FI2">
        <v>304.09999999939998</v>
      </c>
      <c r="FJ2">
        <v>311.09999999899998</v>
      </c>
      <c r="FK2">
        <v>317.89999999999998</v>
      </c>
      <c r="FL2">
        <v>324.99999999890002</v>
      </c>
      <c r="FM2">
        <v>332.3</v>
      </c>
      <c r="FN2">
        <v>339.2999999996</v>
      </c>
      <c r="FO2">
        <v>345.99999999950001</v>
      </c>
      <c r="FP2">
        <v>352.79999999879999</v>
      </c>
      <c r="FQ2">
        <v>359.199999999</v>
      </c>
      <c r="FR2">
        <v>365.19999999840002</v>
      </c>
      <c r="FS2">
        <v>371.19999999959998</v>
      </c>
      <c r="FT2">
        <v>377.49999999869999</v>
      </c>
      <c r="FU2">
        <v>383.7999999996</v>
      </c>
      <c r="FV2">
        <v>389.69999999970003</v>
      </c>
      <c r="FW2">
        <v>395.49999999869999</v>
      </c>
      <c r="FX2">
        <v>401.29999999950002</v>
      </c>
      <c r="FY2">
        <v>406.9</v>
      </c>
      <c r="FZ2">
        <v>412.09999999960002</v>
      </c>
      <c r="GA2">
        <v>416.99999999950001</v>
      </c>
      <c r="GB2">
        <v>422.09999999979999</v>
      </c>
      <c r="GC2">
        <v>427.09999999899998</v>
      </c>
      <c r="GD2">
        <v>432.19999999930002</v>
      </c>
      <c r="GE2">
        <v>436.89999999880001</v>
      </c>
      <c r="GF2">
        <v>441.49999999900001</v>
      </c>
      <c r="GG2">
        <v>445.79999999950002</v>
      </c>
      <c r="GH2">
        <v>449.89999999960003</v>
      </c>
      <c r="GI2">
        <v>453.59999999889999</v>
      </c>
      <c r="GJ2">
        <v>456.19999999869998</v>
      </c>
      <c r="GK2">
        <v>456.89999999920002</v>
      </c>
      <c r="GL2">
        <v>456.89999999920002</v>
      </c>
      <c r="GM2">
        <v>456.89999999920002</v>
      </c>
      <c r="GN2">
        <v>456.99999999850002</v>
      </c>
      <c r="GO2">
        <v>456.99999999850002</v>
      </c>
      <c r="GP2">
        <v>456.99999999850002</v>
      </c>
      <c r="GQ2">
        <v>456.99999999850002</v>
      </c>
      <c r="GR2">
        <v>456.89999999920002</v>
      </c>
      <c r="GS2">
        <v>456.89999999920002</v>
      </c>
      <c r="GT2">
        <v>456.89999999920002</v>
      </c>
      <c r="GU2">
        <v>456.89999999920002</v>
      </c>
      <c r="GV2">
        <v>456.99999999850002</v>
      </c>
      <c r="GW2">
        <v>1</v>
      </c>
      <c r="GX2">
        <v>116.7000000005</v>
      </c>
      <c r="GY2">
        <v>109.8999999995</v>
      </c>
      <c r="GZ2">
        <v>109.8999999995</v>
      </c>
      <c r="HA2">
        <v>126.5999999996</v>
      </c>
      <c r="HB2">
        <v>114.2206979538</v>
      </c>
      <c r="HC2">
        <v>-16.700000000100001</v>
      </c>
      <c r="HD2">
        <v>456.99999999850002</v>
      </c>
      <c r="HE2">
        <v>284.70542610209998</v>
      </c>
      <c r="HF2">
        <v>95.3235860411</v>
      </c>
      <c r="HG2">
        <v>457.09999999960002</v>
      </c>
      <c r="HH2">
        <v>456.99999999850002</v>
      </c>
      <c r="HI2">
        <v>457.09999999960002</v>
      </c>
      <c r="HJ2">
        <v>456.99999999850002</v>
      </c>
      <c r="HK2">
        <v>114.9560117302</v>
      </c>
      <c r="HL2">
        <v>3.4064682675000002</v>
      </c>
      <c r="HM2">
        <v>3.2820390335999998</v>
      </c>
      <c r="HN2">
        <v>3.3338910924</v>
      </c>
      <c r="HO2">
        <v>3.2315011631999999</v>
      </c>
      <c r="HP2">
        <v>3.6045844113999999</v>
      </c>
      <c r="HQ2">
        <v>2.2875489166</v>
      </c>
      <c r="HR2">
        <v>18.897111912700002</v>
      </c>
      <c r="HS2">
        <v>-28.152492668600001</v>
      </c>
      <c r="HT2">
        <v>-192</v>
      </c>
      <c r="HU2">
        <v>398.9261240559</v>
      </c>
      <c r="HV2">
        <v>86.803519061599999</v>
      </c>
      <c r="HW2">
        <v>592</v>
      </c>
      <c r="HX2">
        <v>18.897111912700002</v>
      </c>
      <c r="HY2">
        <v>-28.152492668600001</v>
      </c>
      <c r="HZ2">
        <v>-192</v>
      </c>
      <c r="IA2">
        <v>398.9261240559</v>
      </c>
      <c r="IB2">
        <v>86.803519061599999</v>
      </c>
      <c r="IC2">
        <v>592</v>
      </c>
      <c r="ID2">
        <v>58.073875942599997</v>
      </c>
      <c r="IE2">
        <v>0.82664916290000001</v>
      </c>
      <c r="IF2">
        <v>-37.536656891500002</v>
      </c>
      <c r="IG2">
        <v>-256</v>
      </c>
      <c r="IH2">
        <v>420.64085986190003</v>
      </c>
      <c r="II2">
        <v>96.187683284499997</v>
      </c>
      <c r="IJ2">
        <v>656</v>
      </c>
      <c r="IK2">
        <v>380.02901214330001</v>
      </c>
      <c r="IL2">
        <v>114.9560117302</v>
      </c>
      <c r="IM2">
        <v>404.37933486510002</v>
      </c>
      <c r="IN2">
        <v>124.3401759531</v>
      </c>
      <c r="IO2">
        <v>7.1000000006999997</v>
      </c>
      <c r="IP2">
        <v>5.8000000007999999</v>
      </c>
      <c r="IQ2">
        <v>9.2000000003999993</v>
      </c>
      <c r="IR2">
        <v>6.1751421541999996</v>
      </c>
      <c r="IS2">
        <v>6.1751421541999996</v>
      </c>
      <c r="IT2">
        <v>14.000000001</v>
      </c>
      <c r="IU2">
        <v>-30.4985337243</v>
      </c>
      <c r="IV2">
        <v>17.499999999900002</v>
      </c>
      <c r="IW2">
        <v>46.920821114399999</v>
      </c>
      <c r="IX2">
        <v>16.800000001200001</v>
      </c>
      <c r="IY2">
        <v>89.149560117299998</v>
      </c>
      <c r="IZ2">
        <v>-34.161391895500003</v>
      </c>
      <c r="JA2">
        <v>0.33002364649999999</v>
      </c>
      <c r="JB2">
        <v>-3.618424E-4</v>
      </c>
      <c r="JC2">
        <v>7.3819999999999998E-7</v>
      </c>
      <c r="JD2">
        <v>0.29355917079999999</v>
      </c>
      <c r="JE2">
        <v>0.23973875210000001</v>
      </c>
      <c r="JF2">
        <v>9.0462479900000003E-2</v>
      </c>
      <c r="JG2">
        <v>115.019058774</v>
      </c>
      <c r="JH2">
        <v>3.6045844113999999</v>
      </c>
      <c r="JI2">
        <v>3.1455222000000001E-3</v>
      </c>
      <c r="JJ2">
        <v>-8.2422299999999999E-5</v>
      </c>
      <c r="JK2">
        <v>3.4064682675000002</v>
      </c>
      <c r="JL2">
        <v>1.2238786251</v>
      </c>
      <c r="JM2">
        <v>0.55569032230000004</v>
      </c>
      <c r="JN2" t="s">
        <v>538</v>
      </c>
      <c r="JQ2">
        <v>1</v>
      </c>
    </row>
    <row r="3" spans="1:277">
      <c r="A3" t="s">
        <v>546</v>
      </c>
      <c r="B3" t="s">
        <v>547</v>
      </c>
      <c r="C3" t="s">
        <v>212</v>
      </c>
      <c r="D3">
        <v>3</v>
      </c>
      <c r="E3" t="s">
        <v>213</v>
      </c>
      <c r="F3" t="s">
        <v>214</v>
      </c>
      <c r="G3" t="s">
        <v>537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2.7999999984000001</v>
      </c>
      <c r="R3">
        <v>1.9999999986000001</v>
      </c>
      <c r="S3">
        <v>1.9999999986000001</v>
      </c>
      <c r="T3">
        <v>2.0999999997000001</v>
      </c>
      <c r="U3">
        <v>2.0999999997000001</v>
      </c>
      <c r="V3">
        <v>2.0999999997000001</v>
      </c>
      <c r="W3">
        <v>1.9999999986000001</v>
      </c>
      <c r="X3">
        <v>1.9999999986000001</v>
      </c>
      <c r="Y3">
        <v>1.9999999986000001</v>
      </c>
      <c r="Z3">
        <v>1.9999999986000001</v>
      </c>
      <c r="AA3">
        <v>1.6999999989000001</v>
      </c>
      <c r="AB3">
        <v>1.3999999992000001</v>
      </c>
      <c r="AC3">
        <v>0.99999999839999998</v>
      </c>
      <c r="AD3">
        <v>0.79999999980000003</v>
      </c>
      <c r="AE3">
        <v>0.59999999940000004</v>
      </c>
      <c r="AF3">
        <v>0.39999999899999999</v>
      </c>
      <c r="AG3">
        <v>0.29999999970000002</v>
      </c>
      <c r="AH3">
        <v>9.9999999300000003E-2</v>
      </c>
      <c r="AI3">
        <v>0</v>
      </c>
      <c r="AJ3">
        <v>0.29999999970000002</v>
      </c>
      <c r="AK3">
        <v>3.1999999992000001</v>
      </c>
      <c r="AL3">
        <v>9.3999999990000003</v>
      </c>
      <c r="AM3">
        <v>16.699999998300001</v>
      </c>
      <c r="AN3">
        <v>24.0999999987</v>
      </c>
      <c r="AO3">
        <v>31.399999999799999</v>
      </c>
      <c r="AP3">
        <v>38.799999998399997</v>
      </c>
      <c r="AQ3">
        <v>46.3</v>
      </c>
      <c r="AR3">
        <v>54.099999999399998</v>
      </c>
      <c r="AS3">
        <v>62.3999999989</v>
      </c>
      <c r="AT3">
        <v>70.699999998400003</v>
      </c>
      <c r="AU3">
        <v>78.7</v>
      </c>
      <c r="AV3">
        <v>86.5999999987</v>
      </c>
      <c r="AW3">
        <v>94.799999998900006</v>
      </c>
      <c r="AX3">
        <v>103.4</v>
      </c>
      <c r="AY3">
        <v>112.1999999996</v>
      </c>
      <c r="AZ3">
        <v>120.9999999992</v>
      </c>
      <c r="BA3">
        <v>129.2999999987</v>
      </c>
      <c r="BB3">
        <v>137.6</v>
      </c>
      <c r="BC3">
        <v>145.79999999840001</v>
      </c>
      <c r="BD3">
        <v>154.199999999</v>
      </c>
      <c r="BE3">
        <v>162.69999999890001</v>
      </c>
      <c r="BF3">
        <v>171.3</v>
      </c>
      <c r="BG3">
        <v>179.7999999999</v>
      </c>
      <c r="BH3">
        <v>187.89999999899999</v>
      </c>
      <c r="BI3">
        <v>195.89999999880001</v>
      </c>
      <c r="BJ3">
        <v>203.99999999970001</v>
      </c>
      <c r="BK3">
        <v>212.1999999999</v>
      </c>
      <c r="BL3">
        <v>220.59999999870001</v>
      </c>
      <c r="BM3">
        <v>228.6999999997</v>
      </c>
      <c r="BN3">
        <v>236.79999999879999</v>
      </c>
      <c r="BO3">
        <v>244.6</v>
      </c>
      <c r="BP3">
        <v>251.89999999930001</v>
      </c>
      <c r="BQ3">
        <v>259.50000000009999</v>
      </c>
      <c r="BR3">
        <v>267.29999999950002</v>
      </c>
      <c r="BS3">
        <v>274.89999999849999</v>
      </c>
      <c r="BT3">
        <v>282.69999999970003</v>
      </c>
      <c r="BU3">
        <v>289.9999999991</v>
      </c>
      <c r="BV3">
        <v>296.699999999</v>
      </c>
      <c r="BW3">
        <v>303.5</v>
      </c>
      <c r="BX3">
        <v>310.2999999992</v>
      </c>
      <c r="BY3">
        <v>317.29999999879999</v>
      </c>
      <c r="BZ3">
        <v>324.29999999839998</v>
      </c>
      <c r="CA3">
        <v>331.29999999979998</v>
      </c>
      <c r="CB3">
        <v>338.19999999829997</v>
      </c>
      <c r="CC3">
        <v>344.19999999949999</v>
      </c>
      <c r="CD3">
        <v>350.19999999890001</v>
      </c>
      <c r="CE3">
        <v>356.09999999910002</v>
      </c>
      <c r="CF3">
        <v>362.09999999849998</v>
      </c>
      <c r="CG3">
        <v>368.0999999997</v>
      </c>
      <c r="CH3">
        <v>374.29999999950002</v>
      </c>
      <c r="CI3">
        <v>380.4</v>
      </c>
      <c r="CJ3">
        <v>386.69999999909999</v>
      </c>
      <c r="CK3">
        <v>391.99999999980002</v>
      </c>
      <c r="CL3">
        <v>397.09999999830001</v>
      </c>
      <c r="CM3">
        <v>402.0999999993</v>
      </c>
      <c r="CN3">
        <v>407.19999999959998</v>
      </c>
      <c r="CO3">
        <v>412.39999999930001</v>
      </c>
      <c r="CP3">
        <v>417.7</v>
      </c>
      <c r="CQ3">
        <v>422.69999999919997</v>
      </c>
      <c r="CR3">
        <v>427.29999999939997</v>
      </c>
      <c r="CS3">
        <v>431.39999999949998</v>
      </c>
      <c r="CT3">
        <v>433.39999999989999</v>
      </c>
      <c r="CU3">
        <v>433.49999999919999</v>
      </c>
      <c r="CV3">
        <v>433.49999999919999</v>
      </c>
      <c r="CW3">
        <v>433.49999999919999</v>
      </c>
      <c r="CX3">
        <v>433.49999999919999</v>
      </c>
      <c r="CY3">
        <v>433.59999999849998</v>
      </c>
      <c r="CZ3">
        <v>433.59999999849998</v>
      </c>
      <c r="DA3">
        <v>433.59999999849998</v>
      </c>
      <c r="DB3">
        <v>433.59999999849998</v>
      </c>
      <c r="DC3">
        <v>433.69999999959998</v>
      </c>
      <c r="DD3">
        <v>433.69999999959998</v>
      </c>
      <c r="DE3">
        <v>433.69999999959998</v>
      </c>
      <c r="DF3">
        <v>433.69999999959998</v>
      </c>
      <c r="DG3">
        <v>3.6</v>
      </c>
      <c r="DH3">
        <v>3.0999999999000001</v>
      </c>
      <c r="DI3">
        <v>3.0999999999000001</v>
      </c>
      <c r="DJ3">
        <v>2.9999999987999999</v>
      </c>
      <c r="DK3">
        <v>2.9999999987999999</v>
      </c>
      <c r="DL3">
        <v>2.9999999987999999</v>
      </c>
      <c r="DM3">
        <v>2.8999999994999999</v>
      </c>
      <c r="DN3">
        <v>2.7999999984000001</v>
      </c>
      <c r="DO3">
        <v>2.7999999984000001</v>
      </c>
      <c r="DP3">
        <v>2.5999999998000001</v>
      </c>
      <c r="DQ3">
        <v>2.1999999990000001</v>
      </c>
      <c r="DR3">
        <v>1.9999999986000001</v>
      </c>
      <c r="DS3">
        <v>1.8</v>
      </c>
      <c r="DT3">
        <v>1.5999999996000001</v>
      </c>
      <c r="DU3">
        <v>1.3999999992000001</v>
      </c>
      <c r="DV3">
        <v>1.2999999999</v>
      </c>
      <c r="DW3">
        <v>1.1999999988000001</v>
      </c>
      <c r="DX3">
        <v>0.99999999839999998</v>
      </c>
      <c r="DY3">
        <v>1.8</v>
      </c>
      <c r="DZ3">
        <v>6.8999999985000002</v>
      </c>
      <c r="EA3">
        <v>14.4</v>
      </c>
      <c r="EB3">
        <v>21.8999999997</v>
      </c>
      <c r="EC3">
        <v>29.199999998999999</v>
      </c>
      <c r="ED3">
        <v>36.699999998700001</v>
      </c>
      <c r="EE3">
        <v>44.099999999200001</v>
      </c>
      <c r="EF3">
        <v>51.799999999299999</v>
      </c>
      <c r="EG3">
        <v>59.999999999499998</v>
      </c>
      <c r="EH3">
        <v>68.199999999699997</v>
      </c>
      <c r="EI3">
        <v>76.299999998800004</v>
      </c>
      <c r="EJ3">
        <v>84.199999999300005</v>
      </c>
      <c r="EK3">
        <v>92.399999999499997</v>
      </c>
      <c r="EL3">
        <v>100.7999999983</v>
      </c>
      <c r="EM3">
        <v>109.6999999991</v>
      </c>
      <c r="EN3">
        <v>118.5999999998</v>
      </c>
      <c r="EO3">
        <v>127.199999999</v>
      </c>
      <c r="EP3">
        <v>135.49999999849999</v>
      </c>
      <c r="EQ3">
        <v>143.69999999870001</v>
      </c>
      <c r="ER3">
        <v>152.0999999993</v>
      </c>
      <c r="ES3">
        <v>160.6999999985</v>
      </c>
      <c r="ET3">
        <v>169.3999999989</v>
      </c>
      <c r="EU3">
        <v>177.99999999990001</v>
      </c>
      <c r="EV3">
        <v>186.2999999994</v>
      </c>
      <c r="EW3">
        <v>194.49999999959999</v>
      </c>
      <c r="EX3">
        <v>202.59999999870001</v>
      </c>
      <c r="EY3">
        <v>210.9</v>
      </c>
      <c r="EZ3">
        <v>219.4</v>
      </c>
      <c r="FA3">
        <v>228.09999999839999</v>
      </c>
      <c r="FB3">
        <v>236.2999999987</v>
      </c>
      <c r="FC3">
        <v>243.59999999979999</v>
      </c>
      <c r="FD3">
        <v>251.39999999919999</v>
      </c>
      <c r="FE3">
        <v>259.29999999969999</v>
      </c>
      <c r="FF3">
        <v>267.29999999950002</v>
      </c>
      <c r="FG3">
        <v>275.29999999929998</v>
      </c>
      <c r="FH3">
        <v>283.29999999910001</v>
      </c>
      <c r="FI3">
        <v>290.39999999989999</v>
      </c>
      <c r="FJ3">
        <v>297.19999999909999</v>
      </c>
      <c r="FK3">
        <v>304.19999999869998</v>
      </c>
      <c r="FL3">
        <v>311.39999999870003</v>
      </c>
      <c r="FM3">
        <v>318.59999999870001</v>
      </c>
      <c r="FN3">
        <v>326.09999999839999</v>
      </c>
      <c r="FO3">
        <v>333.29999999839998</v>
      </c>
      <c r="FP3">
        <v>339.89999999899999</v>
      </c>
      <c r="FQ3">
        <v>345.99999999950001</v>
      </c>
      <c r="FR3">
        <v>351.89999999970001</v>
      </c>
      <c r="FS3">
        <v>358.19999999880002</v>
      </c>
      <c r="FT3">
        <v>364.59999999899998</v>
      </c>
      <c r="FU3">
        <v>370.89999999989999</v>
      </c>
      <c r="FV3">
        <v>377.3000000001</v>
      </c>
      <c r="FW3">
        <v>383.59999999920001</v>
      </c>
      <c r="FX3">
        <v>389.29999999889998</v>
      </c>
      <c r="FY3">
        <v>394.59999999960002</v>
      </c>
      <c r="FZ3">
        <v>399.6999999999</v>
      </c>
      <c r="GA3">
        <v>404.59999999979999</v>
      </c>
      <c r="GB3">
        <v>409.69999999829997</v>
      </c>
      <c r="GC3">
        <v>414.79999999860001</v>
      </c>
      <c r="GD3">
        <v>419.69999999859999</v>
      </c>
      <c r="GE3">
        <v>424.09999999839999</v>
      </c>
      <c r="GF3">
        <v>427.89999999880001</v>
      </c>
      <c r="GG3">
        <v>431.49999999879998</v>
      </c>
      <c r="GH3">
        <v>433.29999999879999</v>
      </c>
      <c r="GI3">
        <v>433.39999999989999</v>
      </c>
      <c r="GJ3">
        <v>433.39999999989999</v>
      </c>
      <c r="GK3">
        <v>433.39999999989999</v>
      </c>
      <c r="GL3">
        <v>433.39999999989999</v>
      </c>
      <c r="GM3">
        <v>433.49999999919999</v>
      </c>
      <c r="GN3">
        <v>433.49999999919999</v>
      </c>
      <c r="GO3">
        <v>433.49999999919999</v>
      </c>
      <c r="GP3">
        <v>433.49999999919999</v>
      </c>
      <c r="GQ3">
        <v>433.59999999849998</v>
      </c>
      <c r="GR3">
        <v>433.59999999849998</v>
      </c>
      <c r="GS3">
        <v>433.59999999849998</v>
      </c>
      <c r="GT3">
        <v>433.59999999849998</v>
      </c>
      <c r="GU3">
        <v>433.69999999959998</v>
      </c>
      <c r="GV3">
        <v>433.69999999959998</v>
      </c>
      <c r="GW3">
        <v>1</v>
      </c>
      <c r="GX3">
        <v>98.500000000100002</v>
      </c>
      <c r="GY3">
        <v>94.799999998900006</v>
      </c>
      <c r="GZ3">
        <v>94.799999998900006</v>
      </c>
      <c r="HA3">
        <v>109.6999999991</v>
      </c>
      <c r="HB3">
        <v>98.312854506700006</v>
      </c>
      <c r="HC3">
        <v>-14.9000000001</v>
      </c>
      <c r="HD3">
        <v>433.69999999959998</v>
      </c>
      <c r="HE3">
        <v>283.21964491620002</v>
      </c>
      <c r="HF3">
        <v>80.951394974099998</v>
      </c>
      <c r="HG3">
        <v>433.69999999959998</v>
      </c>
      <c r="HH3">
        <v>433.69999999959998</v>
      </c>
      <c r="HI3">
        <v>433.69999999959998</v>
      </c>
      <c r="HJ3">
        <v>433.69999999959998</v>
      </c>
      <c r="HK3">
        <v>110.26392961880001</v>
      </c>
      <c r="HL3">
        <v>3.4648465068999998</v>
      </c>
      <c r="HM3">
        <v>3.3324240731999999</v>
      </c>
      <c r="HN3">
        <v>3.3827647905</v>
      </c>
      <c r="HO3">
        <v>3.3645833398999998</v>
      </c>
      <c r="HP3">
        <v>3.6575508351999999</v>
      </c>
      <c r="HQ3">
        <v>2.3918296040999998</v>
      </c>
      <c r="HR3">
        <v>17.361459532600001</v>
      </c>
      <c r="HS3">
        <v>-23.460410557199999</v>
      </c>
      <c r="HT3">
        <v>-160</v>
      </c>
      <c r="HU3">
        <v>381.53249942280002</v>
      </c>
      <c r="HV3">
        <v>84.457478005900001</v>
      </c>
      <c r="HW3">
        <v>576</v>
      </c>
      <c r="HX3">
        <v>17.361459532600001</v>
      </c>
      <c r="HY3">
        <v>-23.460410557199999</v>
      </c>
      <c r="HZ3">
        <v>-160</v>
      </c>
      <c r="IA3">
        <v>381.53249942280002</v>
      </c>
      <c r="IB3">
        <v>84.457478005900001</v>
      </c>
      <c r="IC3">
        <v>576</v>
      </c>
      <c r="ID3">
        <v>52.167500576800002</v>
      </c>
      <c r="IE3">
        <v>3.7353008999999999E-3</v>
      </c>
      <c r="IF3">
        <v>-32.844574780099997</v>
      </c>
      <c r="IG3">
        <v>-224</v>
      </c>
      <c r="IH3">
        <v>403.57154715230001</v>
      </c>
      <c r="II3">
        <v>93.841642228699996</v>
      </c>
      <c r="IJ3">
        <v>640</v>
      </c>
      <c r="IK3">
        <v>364.17103989029999</v>
      </c>
      <c r="IL3">
        <v>107.91788856300001</v>
      </c>
      <c r="IM3">
        <v>389.66008761860002</v>
      </c>
      <c r="IN3">
        <v>117.3020527859</v>
      </c>
      <c r="IO3">
        <v>7.5000000015000001</v>
      </c>
      <c r="IP3">
        <v>6.2999999990999997</v>
      </c>
      <c r="IQ3">
        <v>8.9000000007000004</v>
      </c>
      <c r="IR3">
        <v>5.8886135248000002</v>
      </c>
      <c r="IS3">
        <v>5.8886135248000002</v>
      </c>
      <c r="IT3">
        <v>12.5000000007</v>
      </c>
      <c r="IU3">
        <v>-25.806451612899998</v>
      </c>
      <c r="IV3">
        <v>15.9999999996</v>
      </c>
      <c r="IW3">
        <v>49.266862170099998</v>
      </c>
      <c r="IX3">
        <v>14.199999999599999</v>
      </c>
      <c r="IY3">
        <v>89.149560117299998</v>
      </c>
      <c r="IZ3">
        <v>-28.6914486776</v>
      </c>
      <c r="JA3">
        <v>0.31562526600000002</v>
      </c>
      <c r="JB3">
        <v>-3.2219129999999999E-4</v>
      </c>
      <c r="JC3">
        <v>7.1559999999999998E-7</v>
      </c>
      <c r="JD3">
        <v>0.28861307359999999</v>
      </c>
      <c r="JE3">
        <v>0.1794062579</v>
      </c>
      <c r="JF3">
        <v>8.7995791300000001E-2</v>
      </c>
      <c r="JG3">
        <v>99.115628163699995</v>
      </c>
      <c r="JH3">
        <v>3.6575508351999999</v>
      </c>
      <c r="JI3">
        <v>3.2575402999999998E-3</v>
      </c>
      <c r="JJ3">
        <v>-8.4861499999999994E-5</v>
      </c>
      <c r="JK3">
        <v>3.4648465068999998</v>
      </c>
      <c r="JL3">
        <v>1.3971433922000001</v>
      </c>
      <c r="JM3">
        <v>0.51452841439999997</v>
      </c>
      <c r="JN3" t="s">
        <v>538</v>
      </c>
      <c r="JQ3">
        <v>1</v>
      </c>
    </row>
    <row r="4" spans="1:277">
      <c r="A4" t="s">
        <v>561</v>
      </c>
      <c r="B4" t="s">
        <v>562</v>
      </c>
      <c r="C4" t="s">
        <v>212</v>
      </c>
      <c r="D4">
        <v>3</v>
      </c>
      <c r="E4" t="s">
        <v>213</v>
      </c>
      <c r="F4" t="s">
        <v>214</v>
      </c>
      <c r="G4" t="s">
        <v>537</v>
      </c>
      <c r="H4" t="s">
        <v>216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1.0999999995</v>
      </c>
      <c r="R4">
        <v>0.29999999970000002</v>
      </c>
      <c r="S4">
        <v>0.20000000039999999</v>
      </c>
      <c r="T4">
        <v>9.9999999300000003E-2</v>
      </c>
      <c r="U4">
        <v>0</v>
      </c>
      <c r="V4">
        <v>9.9999999300000003E-2</v>
      </c>
      <c r="W4">
        <v>9.9999999300000003E-2</v>
      </c>
      <c r="X4">
        <v>0</v>
      </c>
      <c r="Y4">
        <v>9.9999999300000003E-2</v>
      </c>
      <c r="Z4">
        <v>9.9999999300000003E-2</v>
      </c>
      <c r="AA4">
        <v>9.9999999300000003E-2</v>
      </c>
      <c r="AB4">
        <v>9.9999999300000003E-2</v>
      </c>
      <c r="AC4">
        <v>0.20000000039999999</v>
      </c>
      <c r="AD4">
        <v>0.29999999970000002</v>
      </c>
      <c r="AE4">
        <v>0.39999999899999999</v>
      </c>
      <c r="AF4">
        <v>0.29999999970000002</v>
      </c>
      <c r="AG4">
        <v>0.29999999970000002</v>
      </c>
      <c r="AH4">
        <v>0.29999999970000002</v>
      </c>
      <c r="AI4">
        <v>2.8000000001999998</v>
      </c>
      <c r="AJ4">
        <v>8.4999999999</v>
      </c>
      <c r="AK4">
        <v>15.0999999987</v>
      </c>
      <c r="AL4">
        <v>21.8999999997</v>
      </c>
      <c r="AM4">
        <v>28.8</v>
      </c>
      <c r="AN4">
        <v>36.099999999399998</v>
      </c>
      <c r="AO4">
        <v>43.4000000005</v>
      </c>
      <c r="AP4">
        <v>51.099999998800001</v>
      </c>
      <c r="AQ4">
        <v>58.4999999992</v>
      </c>
      <c r="AR4">
        <v>66.3999999997</v>
      </c>
      <c r="AS4">
        <v>74.000000000499995</v>
      </c>
      <c r="AT4">
        <v>81.699999998799996</v>
      </c>
      <c r="AU4">
        <v>89.3999999989</v>
      </c>
      <c r="AV4">
        <v>97.700000000299994</v>
      </c>
      <c r="AW4">
        <v>105.7999999994</v>
      </c>
      <c r="AX4">
        <v>114.2</v>
      </c>
      <c r="AY4">
        <v>122.2999999991</v>
      </c>
      <c r="AZ4">
        <v>130.19999999960001</v>
      </c>
      <c r="BA4">
        <v>138.30000000050001</v>
      </c>
      <c r="BB4">
        <v>146.1999999992</v>
      </c>
      <c r="BC4">
        <v>154.69999999909999</v>
      </c>
      <c r="BD4">
        <v>163.00000000049999</v>
      </c>
      <c r="BE4">
        <v>171.19999999890001</v>
      </c>
      <c r="BF4">
        <v>179.20000000050001</v>
      </c>
      <c r="BG4">
        <v>187.09999999920001</v>
      </c>
      <c r="BH4">
        <v>195.099999999</v>
      </c>
      <c r="BI4">
        <v>203.1999999999</v>
      </c>
      <c r="BJ4">
        <v>211.1999999997</v>
      </c>
      <c r="BK4">
        <v>219.10000000030001</v>
      </c>
      <c r="BL4">
        <v>226.99999999900001</v>
      </c>
      <c r="BM4">
        <v>234.50000000049999</v>
      </c>
      <c r="BN4">
        <v>242.1999999988</v>
      </c>
      <c r="BO4">
        <v>249.8999999989</v>
      </c>
      <c r="BP4">
        <v>257.49999999969998</v>
      </c>
      <c r="BQ4">
        <v>265.09999999870001</v>
      </c>
      <c r="BR4">
        <v>272.6000000002</v>
      </c>
      <c r="BS4">
        <v>279.80000000029997</v>
      </c>
      <c r="BT4">
        <v>286.89999999920002</v>
      </c>
      <c r="BU4">
        <v>293.99999999990001</v>
      </c>
      <c r="BV4">
        <v>300.90000000020001</v>
      </c>
      <c r="BW4">
        <v>307.8999999998</v>
      </c>
      <c r="BX4">
        <v>314.89999999939999</v>
      </c>
      <c r="BY4">
        <v>321.7000000004</v>
      </c>
      <c r="BZ4">
        <v>328.1999999999</v>
      </c>
      <c r="CA4">
        <v>334.60000000010001</v>
      </c>
      <c r="CB4">
        <v>340.89999999920002</v>
      </c>
      <c r="CC4">
        <v>347.09999999899998</v>
      </c>
      <c r="CD4">
        <v>353.19999999959998</v>
      </c>
      <c r="CE4">
        <v>359.39999999939999</v>
      </c>
      <c r="CF4">
        <v>365.29999999950002</v>
      </c>
      <c r="CG4">
        <v>371.19999999959998</v>
      </c>
      <c r="CH4">
        <v>377.00000000040001</v>
      </c>
      <c r="CI4">
        <v>382.49999999969998</v>
      </c>
      <c r="CJ4">
        <v>387.99999999900001</v>
      </c>
      <c r="CK4">
        <v>393.39999999899999</v>
      </c>
      <c r="CL4">
        <v>398.49999999929997</v>
      </c>
      <c r="CM4">
        <v>403.8</v>
      </c>
      <c r="CN4">
        <v>409.09999999889999</v>
      </c>
      <c r="CO4">
        <v>414.1</v>
      </c>
      <c r="CP4">
        <v>419.09999999920001</v>
      </c>
      <c r="CQ4">
        <v>424.1000000002</v>
      </c>
      <c r="CR4">
        <v>429.00000000009999</v>
      </c>
      <c r="CS4">
        <v>433.60000000029999</v>
      </c>
      <c r="CT4">
        <v>438.20000000049998</v>
      </c>
      <c r="CU4">
        <v>442.99999999929997</v>
      </c>
      <c r="CV4">
        <v>447.50000000019998</v>
      </c>
      <c r="CW4">
        <v>451.69999999959998</v>
      </c>
      <c r="CX4">
        <v>455.5999999993</v>
      </c>
      <c r="CY4">
        <v>457.5999999997</v>
      </c>
      <c r="CZ4">
        <v>457.8000000001</v>
      </c>
      <c r="DA4">
        <v>457.8000000001</v>
      </c>
      <c r="DB4">
        <v>457.8000000001</v>
      </c>
      <c r="DC4">
        <v>457.8000000001</v>
      </c>
      <c r="DD4">
        <v>457.8000000001</v>
      </c>
      <c r="DE4">
        <v>457.8000000001</v>
      </c>
      <c r="DF4">
        <v>457.8000000001</v>
      </c>
      <c r="DG4">
        <v>1.8999999993000001</v>
      </c>
      <c r="DH4">
        <v>1.1999999988000001</v>
      </c>
      <c r="DI4">
        <v>1.0999999995</v>
      </c>
      <c r="DJ4">
        <v>1.1999999988000001</v>
      </c>
      <c r="DK4">
        <v>1.1999999988000001</v>
      </c>
      <c r="DL4">
        <v>1.1999999988000001</v>
      </c>
      <c r="DM4">
        <v>1.0999999995</v>
      </c>
      <c r="DN4">
        <v>1.0000000002</v>
      </c>
      <c r="DO4">
        <v>1.0999999995</v>
      </c>
      <c r="DP4">
        <v>1.1999999988000001</v>
      </c>
      <c r="DQ4">
        <v>1.0999999995</v>
      </c>
      <c r="DR4">
        <v>1.1999999988000001</v>
      </c>
      <c r="DS4">
        <v>1.1999999988000001</v>
      </c>
      <c r="DT4">
        <v>1.1999999988000001</v>
      </c>
      <c r="DU4">
        <v>1.1999999988000001</v>
      </c>
      <c r="DV4">
        <v>1.1999999988000001</v>
      </c>
      <c r="DW4">
        <v>2.5999999998000001</v>
      </c>
      <c r="DX4">
        <v>7.9000000005000004</v>
      </c>
      <c r="DY4">
        <v>14.699999999699999</v>
      </c>
      <c r="DZ4">
        <v>21.6</v>
      </c>
      <c r="EA4">
        <v>28.399999999199999</v>
      </c>
      <c r="EB4">
        <v>35.399999998799998</v>
      </c>
      <c r="EC4">
        <v>42.799999999299999</v>
      </c>
      <c r="ED4">
        <v>50.600000000500003</v>
      </c>
      <c r="EE4">
        <v>58.100000000199998</v>
      </c>
      <c r="EF4">
        <v>65.599999999900007</v>
      </c>
      <c r="EG4">
        <v>73.099999999600001</v>
      </c>
      <c r="EH4">
        <v>80.799999999700006</v>
      </c>
      <c r="EI4">
        <v>88.599999999100007</v>
      </c>
      <c r="EJ4">
        <v>96.400000000399999</v>
      </c>
      <c r="EK4">
        <v>104.7999999992</v>
      </c>
      <c r="EL4">
        <v>113.1000000005</v>
      </c>
      <c r="EM4">
        <v>121.4</v>
      </c>
      <c r="EN4">
        <v>129.6000000002</v>
      </c>
      <c r="EO4">
        <v>137.69999999929999</v>
      </c>
      <c r="EP4">
        <v>145.89999999950001</v>
      </c>
      <c r="EQ4">
        <v>154.3000000001</v>
      </c>
      <c r="ER4">
        <v>162.5999999997</v>
      </c>
      <c r="ES4">
        <v>170.7999999999</v>
      </c>
      <c r="ET4">
        <v>179.00000000009999</v>
      </c>
      <c r="EU4">
        <v>186.99999999990001</v>
      </c>
      <c r="EV4">
        <v>195.2999999994</v>
      </c>
      <c r="EW4">
        <v>203.49999999959999</v>
      </c>
      <c r="EX4">
        <v>211.79999999910001</v>
      </c>
      <c r="EY4">
        <v>219.6000000004</v>
      </c>
      <c r="EZ4">
        <v>227.6000000002</v>
      </c>
      <c r="FA4">
        <v>235.3999999996</v>
      </c>
      <c r="FB4">
        <v>243.39999999939999</v>
      </c>
      <c r="FC4">
        <v>251.1999999988</v>
      </c>
      <c r="FD4">
        <v>259.2000000004</v>
      </c>
      <c r="FE4">
        <v>266.89999999870003</v>
      </c>
      <c r="FF4">
        <v>274.5999999988</v>
      </c>
      <c r="FG4">
        <v>281.99999999919999</v>
      </c>
      <c r="FH4">
        <v>289.30000000040002</v>
      </c>
      <c r="FI4">
        <v>296.699999999</v>
      </c>
      <c r="FJ4">
        <v>304.00000000009999</v>
      </c>
      <c r="FK4">
        <v>311.09999999899998</v>
      </c>
      <c r="FL4">
        <v>318.19999999970003</v>
      </c>
      <c r="FM4">
        <v>325.19999999930002</v>
      </c>
      <c r="FN4">
        <v>332.00000000030002</v>
      </c>
      <c r="FO4">
        <v>338.70000000020002</v>
      </c>
      <c r="FP4">
        <v>345.29999999900002</v>
      </c>
      <c r="FQ4">
        <v>351.80000000040002</v>
      </c>
      <c r="FR4">
        <v>358.19999999880002</v>
      </c>
      <c r="FS4">
        <v>364.49999999969998</v>
      </c>
      <c r="FT4">
        <v>370.6000000002</v>
      </c>
      <c r="FU4">
        <v>376.69999999890001</v>
      </c>
      <c r="FV4">
        <v>382.59999999899998</v>
      </c>
      <c r="FW4">
        <v>388.30000000050001</v>
      </c>
      <c r="FX4">
        <v>394.00000000019998</v>
      </c>
      <c r="FY4">
        <v>399.5999999988</v>
      </c>
      <c r="FZ4">
        <v>405.19999999919997</v>
      </c>
      <c r="GA4">
        <v>410.39999999880001</v>
      </c>
      <c r="GB4">
        <v>415.49999999919999</v>
      </c>
      <c r="GC4">
        <v>420.39999999909998</v>
      </c>
      <c r="GD4">
        <v>425.29999999900002</v>
      </c>
      <c r="GE4">
        <v>430.00000000030002</v>
      </c>
      <c r="GF4">
        <v>434.69999999980001</v>
      </c>
      <c r="GG4">
        <v>439.3</v>
      </c>
      <c r="GH4">
        <v>443.29999999900002</v>
      </c>
      <c r="GI4">
        <v>447.29999999979998</v>
      </c>
      <c r="GJ4">
        <v>450.9999999991</v>
      </c>
      <c r="GK4">
        <v>454.29999999939997</v>
      </c>
      <c r="GL4">
        <v>456.50000000019998</v>
      </c>
      <c r="GM4">
        <v>457.39999999930001</v>
      </c>
      <c r="GN4">
        <v>457.39999999930001</v>
      </c>
      <c r="GO4">
        <v>457.50000000040001</v>
      </c>
      <c r="GP4">
        <v>457.50000000040001</v>
      </c>
      <c r="GQ4">
        <v>457.50000000040001</v>
      </c>
      <c r="GR4">
        <v>457.5999999997</v>
      </c>
      <c r="GS4">
        <v>457.699999999</v>
      </c>
      <c r="GT4">
        <v>457.8000000001</v>
      </c>
      <c r="GU4">
        <v>457.8000000001</v>
      </c>
      <c r="GV4">
        <v>457.8000000001</v>
      </c>
      <c r="GW4">
        <v>1</v>
      </c>
      <c r="GX4">
        <v>111.19999999940001</v>
      </c>
      <c r="GY4">
        <v>105.7999999994</v>
      </c>
      <c r="GZ4">
        <v>105.7999999994</v>
      </c>
      <c r="HA4">
        <v>121.4</v>
      </c>
      <c r="HB4">
        <v>109.6710353861</v>
      </c>
      <c r="HC4">
        <v>-15.6000000006</v>
      </c>
      <c r="HD4">
        <v>457.8000000001</v>
      </c>
      <c r="HE4">
        <v>287.43568151969998</v>
      </c>
      <c r="HF4">
        <v>93.939154653499997</v>
      </c>
      <c r="HG4">
        <v>457.8000000001</v>
      </c>
      <c r="HH4">
        <v>457.8000000001</v>
      </c>
      <c r="HI4">
        <v>457.8000000001</v>
      </c>
      <c r="HJ4">
        <v>457.8000000001</v>
      </c>
      <c r="HK4">
        <v>121.9941348974</v>
      </c>
      <c r="HL4">
        <v>3.3523066059</v>
      </c>
      <c r="HM4">
        <v>3.2400342197000001</v>
      </c>
      <c r="HN4">
        <v>3.2857934501999999</v>
      </c>
      <c r="HO4">
        <v>3.1738808539000001</v>
      </c>
      <c r="HP4">
        <v>3.5369825113000002</v>
      </c>
      <c r="HQ4">
        <v>2.2726738617</v>
      </c>
      <c r="HR4">
        <v>15.731880732700001</v>
      </c>
      <c r="HS4">
        <v>-28.152492668600001</v>
      </c>
      <c r="HT4">
        <v>-192</v>
      </c>
      <c r="HU4">
        <v>397.10671690589999</v>
      </c>
      <c r="HV4">
        <v>89.149560117299998</v>
      </c>
      <c r="HW4">
        <v>608</v>
      </c>
      <c r="HX4">
        <v>15.731880732700001</v>
      </c>
      <c r="HY4">
        <v>-28.152492668600001</v>
      </c>
      <c r="HZ4">
        <v>-192</v>
      </c>
      <c r="IA4">
        <v>397.10671690589999</v>
      </c>
      <c r="IB4">
        <v>89.149560117299998</v>
      </c>
      <c r="IC4">
        <v>608</v>
      </c>
      <c r="ID4">
        <v>60.6932830943</v>
      </c>
      <c r="IE4">
        <v>0.30728484020000002</v>
      </c>
      <c r="IF4">
        <v>-37.536656891500002</v>
      </c>
      <c r="IG4">
        <v>-256</v>
      </c>
      <c r="IH4">
        <v>418.74290082919998</v>
      </c>
      <c r="II4">
        <v>98.533724340199996</v>
      </c>
      <c r="IJ4">
        <v>672</v>
      </c>
      <c r="IK4">
        <v>381.37483617319998</v>
      </c>
      <c r="IL4">
        <v>117.3020527859</v>
      </c>
      <c r="IM4">
        <v>405.29675622410002</v>
      </c>
      <c r="IN4">
        <v>126.6862170088</v>
      </c>
      <c r="IO4">
        <v>6.7999999991999998</v>
      </c>
      <c r="IP4">
        <v>5.6000000003999997</v>
      </c>
      <c r="IQ4">
        <v>8.4999999999</v>
      </c>
      <c r="IR4">
        <v>5.6866222605000001</v>
      </c>
      <c r="IS4">
        <v>5.6866222605000001</v>
      </c>
      <c r="IT4">
        <v>13.1000000001</v>
      </c>
      <c r="IU4">
        <v>-30.4985337243</v>
      </c>
      <c r="IV4">
        <v>17.400000000599999</v>
      </c>
      <c r="IW4">
        <v>75.073313783000003</v>
      </c>
      <c r="IX4">
        <v>17.200000000199999</v>
      </c>
      <c r="IY4">
        <v>91.495601172999997</v>
      </c>
      <c r="IZ4">
        <v>-33.171773552399998</v>
      </c>
      <c r="JA4">
        <v>0.33276894940000001</v>
      </c>
      <c r="JB4">
        <v>-3.529149E-4</v>
      </c>
      <c r="JC4">
        <v>7.2949999999999996E-7</v>
      </c>
      <c r="JD4">
        <v>0.29830207009999998</v>
      </c>
      <c r="JE4">
        <v>0.14712844750000001</v>
      </c>
      <c r="JF4">
        <v>6.4672802799999998E-2</v>
      </c>
      <c r="JG4">
        <v>109.99358105570001</v>
      </c>
      <c r="JH4">
        <v>3.5369825113000002</v>
      </c>
      <c r="JI4">
        <v>3.1992899E-3</v>
      </c>
      <c r="JJ4">
        <v>-7.6951099999999996E-5</v>
      </c>
      <c r="JK4">
        <v>3.3523066059</v>
      </c>
      <c r="JL4">
        <v>1.0605555377</v>
      </c>
      <c r="JM4">
        <v>0.39048511320000001</v>
      </c>
      <c r="JN4" t="s">
        <v>538</v>
      </c>
      <c r="JQ4">
        <v>1</v>
      </c>
    </row>
    <row r="5" spans="1:277">
      <c r="A5" t="s">
        <v>570</v>
      </c>
      <c r="B5" t="s">
        <v>571</v>
      </c>
      <c r="C5" t="s">
        <v>212</v>
      </c>
      <c r="D5">
        <v>3</v>
      </c>
      <c r="E5" t="s">
        <v>213</v>
      </c>
      <c r="F5" t="s">
        <v>214</v>
      </c>
      <c r="G5" t="s">
        <v>537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0</v>
      </c>
      <c r="R5">
        <v>0.39999999899999999</v>
      </c>
      <c r="S5">
        <v>0.39999999899999999</v>
      </c>
      <c r="T5">
        <v>0.39999999899999999</v>
      </c>
      <c r="U5">
        <v>0.50000000010000001</v>
      </c>
      <c r="V5">
        <v>0.50000000010000001</v>
      </c>
      <c r="W5">
        <v>0.50000000010000001</v>
      </c>
      <c r="X5">
        <v>0.50000000010000001</v>
      </c>
      <c r="Y5">
        <v>0.59999999940000004</v>
      </c>
      <c r="Z5">
        <v>0.59999999940000004</v>
      </c>
      <c r="AA5">
        <v>0.59999999940000004</v>
      </c>
      <c r="AB5">
        <v>0.50000000010000001</v>
      </c>
      <c r="AC5">
        <v>0.50000000010000001</v>
      </c>
      <c r="AD5">
        <v>0.39999999899999999</v>
      </c>
      <c r="AE5">
        <v>0.29999999970000002</v>
      </c>
      <c r="AF5">
        <v>0</v>
      </c>
      <c r="AG5">
        <v>0</v>
      </c>
      <c r="AH5">
        <v>0.59999999940000004</v>
      </c>
      <c r="AI5">
        <v>3.9999999989999999</v>
      </c>
      <c r="AJ5">
        <v>10.0999999995</v>
      </c>
      <c r="AK5">
        <v>16.9999999998</v>
      </c>
      <c r="AL5">
        <v>23.600000000400001</v>
      </c>
      <c r="AM5">
        <v>30.199999999199999</v>
      </c>
      <c r="AN5">
        <v>37.3999999993</v>
      </c>
      <c r="AO5">
        <v>44.700000000400003</v>
      </c>
      <c r="AP5">
        <v>52.200000000099998</v>
      </c>
      <c r="AQ5">
        <v>59.799999999100002</v>
      </c>
      <c r="AR5">
        <v>67.799999998900006</v>
      </c>
      <c r="AS5">
        <v>75.199999999300005</v>
      </c>
      <c r="AT5">
        <v>82.599999999700003</v>
      </c>
      <c r="AU5">
        <v>90.299999999799994</v>
      </c>
      <c r="AV5">
        <v>98.299999999700006</v>
      </c>
      <c r="AW5">
        <v>106.70000000029999</v>
      </c>
      <c r="AX5">
        <v>115.2999999995</v>
      </c>
      <c r="AY5">
        <v>123.7000000001</v>
      </c>
      <c r="AZ5">
        <v>131.40000000020001</v>
      </c>
      <c r="BA5">
        <v>139.29999999890001</v>
      </c>
      <c r="BB5">
        <v>147.3999999998</v>
      </c>
      <c r="BC5">
        <v>155.80000000050001</v>
      </c>
      <c r="BD5">
        <v>164.1</v>
      </c>
      <c r="BE5">
        <v>172.39999999950001</v>
      </c>
      <c r="BF5">
        <v>180.00000000029999</v>
      </c>
      <c r="BG5">
        <v>187.79999999969999</v>
      </c>
      <c r="BH5">
        <v>195.79999999949999</v>
      </c>
      <c r="BI5">
        <v>203.79999999930001</v>
      </c>
      <c r="BJ5">
        <v>211.79999999910001</v>
      </c>
      <c r="BK5">
        <v>219.90000000009999</v>
      </c>
      <c r="BL5">
        <v>227.69999999949999</v>
      </c>
      <c r="BM5">
        <v>235.00000000060001</v>
      </c>
      <c r="BN5">
        <v>242.50000000029999</v>
      </c>
      <c r="BO5">
        <v>250.0999999993</v>
      </c>
      <c r="BP5">
        <v>257.79999999939997</v>
      </c>
      <c r="BQ5">
        <v>265.29999999910001</v>
      </c>
      <c r="BR5">
        <v>272.79999999879999</v>
      </c>
      <c r="BS5">
        <v>279.80000000029997</v>
      </c>
      <c r="BT5">
        <v>286.50000000019998</v>
      </c>
      <c r="BU5">
        <v>293.40000000049997</v>
      </c>
      <c r="BV5">
        <v>300.19999999970003</v>
      </c>
      <c r="BW5">
        <v>307.19999999930002</v>
      </c>
      <c r="BX5">
        <v>314.00000000030002</v>
      </c>
      <c r="BY5">
        <v>320.79999999950002</v>
      </c>
      <c r="BZ5">
        <v>327.40000000010002</v>
      </c>
      <c r="CA5">
        <v>333.49999999879998</v>
      </c>
      <c r="CB5">
        <v>339.5999999993</v>
      </c>
      <c r="CC5">
        <v>345.6999999999</v>
      </c>
      <c r="CD5">
        <v>351.69999999930002</v>
      </c>
      <c r="CE5">
        <v>357.70000000049998</v>
      </c>
      <c r="CF5">
        <v>363.7999999992</v>
      </c>
      <c r="CG5">
        <v>369.69999999930002</v>
      </c>
      <c r="CH5">
        <v>375.50000000009999</v>
      </c>
      <c r="CI5">
        <v>380.99999999940002</v>
      </c>
      <c r="CJ5">
        <v>386.0999999997</v>
      </c>
      <c r="CK5">
        <v>391.29999999929998</v>
      </c>
      <c r="CL5">
        <v>396.49999999890002</v>
      </c>
      <c r="CM5">
        <v>401.49999999990001</v>
      </c>
      <c r="CN5">
        <v>406.79999999879999</v>
      </c>
      <c r="CO5">
        <v>412.00000000030002</v>
      </c>
      <c r="CP5">
        <v>416.99999999950001</v>
      </c>
      <c r="CQ5">
        <v>422.00000000049999</v>
      </c>
      <c r="CR5">
        <v>427.09999999899998</v>
      </c>
      <c r="CS5">
        <v>431.80000000029997</v>
      </c>
      <c r="CT5">
        <v>436.09999999899998</v>
      </c>
      <c r="CU5">
        <v>440.50000000059998</v>
      </c>
      <c r="CV5">
        <v>444.90000000039998</v>
      </c>
      <c r="CW5">
        <v>448.8000000001</v>
      </c>
      <c r="CX5">
        <v>452.29999999900002</v>
      </c>
      <c r="CY5">
        <v>455.3999999989</v>
      </c>
      <c r="CZ5">
        <v>456.59999999950003</v>
      </c>
      <c r="DA5">
        <v>456.69999999880002</v>
      </c>
      <c r="DB5">
        <v>456.79999999990002</v>
      </c>
      <c r="DC5">
        <v>456.89999999920002</v>
      </c>
      <c r="DD5">
        <v>456.89999999920002</v>
      </c>
      <c r="DE5">
        <v>456.89999999920002</v>
      </c>
      <c r="DF5">
        <v>456.89999999920002</v>
      </c>
      <c r="DG5">
        <v>0.39999999899999999</v>
      </c>
      <c r="DH5">
        <v>1.2000000006</v>
      </c>
      <c r="DI5">
        <v>1.2000000006</v>
      </c>
      <c r="DJ5">
        <v>1.2000000006</v>
      </c>
      <c r="DK5">
        <v>1.2999999999</v>
      </c>
      <c r="DL5">
        <v>1.2999999999</v>
      </c>
      <c r="DM5">
        <v>1.2999999999</v>
      </c>
      <c r="DN5">
        <v>1.2999999999</v>
      </c>
      <c r="DO5">
        <v>1.2999999999</v>
      </c>
      <c r="DP5">
        <v>1.2999999999</v>
      </c>
      <c r="DQ5">
        <v>1.2000000006</v>
      </c>
      <c r="DR5">
        <v>1.0999999995</v>
      </c>
      <c r="DS5">
        <v>1.0000000002</v>
      </c>
      <c r="DT5">
        <v>1.0000000002</v>
      </c>
      <c r="DU5">
        <v>0.89999999909999995</v>
      </c>
      <c r="DV5">
        <v>0.89999999909999995</v>
      </c>
      <c r="DW5">
        <v>3.3999999995999999</v>
      </c>
      <c r="DX5">
        <v>9.5999999993999996</v>
      </c>
      <c r="DY5">
        <v>16.599999999000001</v>
      </c>
      <c r="DZ5">
        <v>23.299999998899999</v>
      </c>
      <c r="EA5">
        <v>29.8999999995</v>
      </c>
      <c r="EB5">
        <v>37.099999999600001</v>
      </c>
      <c r="EC5">
        <v>44.3999999989</v>
      </c>
      <c r="ED5">
        <v>51.799999999299999</v>
      </c>
      <c r="EE5">
        <v>59.4000000001</v>
      </c>
      <c r="EF5">
        <v>67.100000000199998</v>
      </c>
      <c r="EG5">
        <v>74.599999999900007</v>
      </c>
      <c r="EH5">
        <v>81.899999999200006</v>
      </c>
      <c r="EI5">
        <v>89.599999999299996</v>
      </c>
      <c r="EJ5">
        <v>97.400000000600002</v>
      </c>
      <c r="EK5">
        <v>105.49999999969999</v>
      </c>
      <c r="EL5">
        <v>113.9000000003</v>
      </c>
      <c r="EM5">
        <v>122.49999999950001</v>
      </c>
      <c r="EN5">
        <v>130.4999999993</v>
      </c>
      <c r="EO5">
        <v>138.4999999991</v>
      </c>
      <c r="EP5">
        <v>146.6</v>
      </c>
      <c r="EQ5">
        <v>154.69999999909999</v>
      </c>
      <c r="ER5">
        <v>163.09999999979999</v>
      </c>
      <c r="ES5">
        <v>171.50000000040001</v>
      </c>
      <c r="ET5">
        <v>179.3999999991</v>
      </c>
      <c r="EU5">
        <v>187.2999999996</v>
      </c>
      <c r="EV5">
        <v>195.4999999998</v>
      </c>
      <c r="EW5">
        <v>203.7</v>
      </c>
      <c r="EX5">
        <v>211.79999999910001</v>
      </c>
      <c r="EY5">
        <v>220.10000000049999</v>
      </c>
      <c r="EZ5">
        <v>228.10000000030001</v>
      </c>
      <c r="FA5">
        <v>235.6</v>
      </c>
      <c r="FB5">
        <v>243.50000000049999</v>
      </c>
      <c r="FC5">
        <v>251.2000000006</v>
      </c>
      <c r="FD5">
        <v>259.0999999993</v>
      </c>
      <c r="FE5">
        <v>266.99999999980002</v>
      </c>
      <c r="FF5">
        <v>274.5999999988</v>
      </c>
      <c r="FG5">
        <v>281.79999999879999</v>
      </c>
      <c r="FH5">
        <v>288.80000000029997</v>
      </c>
      <c r="FI5">
        <v>296.09999999960002</v>
      </c>
      <c r="FJ5">
        <v>303.20000000030001</v>
      </c>
      <c r="FK5">
        <v>310.4000000003</v>
      </c>
      <c r="FL5">
        <v>317.60000000029999</v>
      </c>
      <c r="FM5">
        <v>324.59999999989998</v>
      </c>
      <c r="FN5">
        <v>331.20000000049998</v>
      </c>
      <c r="FO5">
        <v>337.4000000003</v>
      </c>
      <c r="FP5">
        <v>343.9999999991</v>
      </c>
      <c r="FQ5">
        <v>350.50000000049999</v>
      </c>
      <c r="FR5">
        <v>356.7999999996</v>
      </c>
      <c r="FS5">
        <v>362.99999999940002</v>
      </c>
      <c r="FT5">
        <v>369.30000000029997</v>
      </c>
      <c r="FU5">
        <v>375.50000000009999</v>
      </c>
      <c r="FV5">
        <v>381.29999999910001</v>
      </c>
      <c r="FW5">
        <v>386.59999999979999</v>
      </c>
      <c r="FX5">
        <v>392.09999999910002</v>
      </c>
      <c r="FY5">
        <v>397.6000000002</v>
      </c>
      <c r="FZ5">
        <v>402.89999999909998</v>
      </c>
      <c r="GA5">
        <v>408.29999999910001</v>
      </c>
      <c r="GB5">
        <v>413.30000000019999</v>
      </c>
      <c r="GC5">
        <v>418.40000000049997</v>
      </c>
      <c r="GD5">
        <v>423.39999999970001</v>
      </c>
      <c r="GE5">
        <v>428.20000000030001</v>
      </c>
      <c r="GF5">
        <v>432.60000000010001</v>
      </c>
      <c r="GG5">
        <v>436.59999999910002</v>
      </c>
      <c r="GH5">
        <v>440.39999999949998</v>
      </c>
      <c r="GI5">
        <v>444.10000000060001</v>
      </c>
      <c r="GJ5">
        <v>447.50000000019998</v>
      </c>
      <c r="GK5">
        <v>450.60000000010001</v>
      </c>
      <c r="GL5">
        <v>453.4000000003</v>
      </c>
      <c r="GM5">
        <v>455.3999999989</v>
      </c>
      <c r="GN5">
        <v>456.29999999979998</v>
      </c>
      <c r="GO5">
        <v>456.39999999909998</v>
      </c>
      <c r="GP5">
        <v>456.39999999909998</v>
      </c>
      <c r="GQ5">
        <v>456.69999999880002</v>
      </c>
      <c r="GR5">
        <v>456.69999999880002</v>
      </c>
      <c r="GS5">
        <v>456.69999999880002</v>
      </c>
      <c r="GT5">
        <v>456.79999999990002</v>
      </c>
      <c r="GU5">
        <v>456.79999999990002</v>
      </c>
      <c r="GV5">
        <v>456.79999999990002</v>
      </c>
      <c r="GW5">
        <v>1</v>
      </c>
      <c r="GX5">
        <v>113.49999999950001</v>
      </c>
      <c r="GY5">
        <v>106.70000000029999</v>
      </c>
      <c r="GZ5">
        <v>106.70000000029999</v>
      </c>
      <c r="HA5">
        <v>122.49999999950001</v>
      </c>
      <c r="HB5">
        <v>110.66340155419999</v>
      </c>
      <c r="HC5">
        <v>-15.799999999200001</v>
      </c>
      <c r="HD5">
        <v>456.79999999990002</v>
      </c>
      <c r="HE5">
        <v>284.4821166685</v>
      </c>
      <c r="HF5">
        <v>93.001247674599995</v>
      </c>
      <c r="HG5">
        <v>456.89999999920002</v>
      </c>
      <c r="HH5">
        <v>456.79999999990002</v>
      </c>
      <c r="HI5">
        <v>456.89999999920002</v>
      </c>
      <c r="HJ5">
        <v>456.79999999990002</v>
      </c>
      <c r="HK5">
        <v>124.3401759531</v>
      </c>
      <c r="HL5">
        <v>3.3223565692000001</v>
      </c>
      <c r="HM5">
        <v>3.2379221532</v>
      </c>
      <c r="HN5">
        <v>3.2577921041</v>
      </c>
      <c r="HO5">
        <v>3.1619269568999999</v>
      </c>
      <c r="HP5">
        <v>3.5179677203000002</v>
      </c>
      <c r="HQ5">
        <v>2.2175760377999998</v>
      </c>
      <c r="HR5">
        <v>17.662153879600002</v>
      </c>
      <c r="HS5">
        <v>-28.152492668600001</v>
      </c>
      <c r="HT5">
        <v>-192</v>
      </c>
      <c r="HU5">
        <v>395.14551822269999</v>
      </c>
      <c r="HV5">
        <v>89.149560117299998</v>
      </c>
      <c r="HW5">
        <v>608</v>
      </c>
      <c r="HX5">
        <v>17.662153879600002</v>
      </c>
      <c r="HY5">
        <v>-28.152492668600001</v>
      </c>
      <c r="HZ5">
        <v>-192</v>
      </c>
      <c r="IA5">
        <v>395.14551822269999</v>
      </c>
      <c r="IB5">
        <v>89.149560117299998</v>
      </c>
      <c r="IC5">
        <v>608</v>
      </c>
      <c r="ID5">
        <v>61.654481777199997</v>
      </c>
      <c r="IE5">
        <v>1.26518551E-2</v>
      </c>
      <c r="IF5">
        <v>-37.536656891500002</v>
      </c>
      <c r="IG5">
        <v>-256</v>
      </c>
      <c r="IH5">
        <v>416.66505417579998</v>
      </c>
      <c r="II5">
        <v>98.533724340199996</v>
      </c>
      <c r="IJ5">
        <v>672</v>
      </c>
      <c r="IK5">
        <v>377.48336434309999</v>
      </c>
      <c r="IL5">
        <v>117.3020527859</v>
      </c>
      <c r="IM5">
        <v>401.893017402</v>
      </c>
      <c r="IN5">
        <v>126.6862170088</v>
      </c>
      <c r="IO5">
        <v>6.9999999996</v>
      </c>
      <c r="IP5">
        <v>5.8000000007999999</v>
      </c>
      <c r="IQ5">
        <v>8.5999999991999996</v>
      </c>
      <c r="IR5">
        <v>6.0094086642000004</v>
      </c>
      <c r="IS5">
        <v>6.0094086642000004</v>
      </c>
      <c r="IT5">
        <v>13.199999999399999</v>
      </c>
      <c r="IU5">
        <v>-30.4985337243</v>
      </c>
      <c r="IV5">
        <v>17.799999999600001</v>
      </c>
      <c r="IW5">
        <v>79.765395894400001</v>
      </c>
      <c r="IX5">
        <v>16.9999999998</v>
      </c>
      <c r="IY5">
        <v>93.841642228699996</v>
      </c>
      <c r="IZ5">
        <v>-33.753774640700001</v>
      </c>
      <c r="JA5">
        <v>0.33666373840000002</v>
      </c>
      <c r="JB5">
        <v>-3.6989770000000002E-4</v>
      </c>
      <c r="JC5">
        <v>7.6960000000000001E-7</v>
      </c>
      <c r="JD5">
        <v>0.30099117269999998</v>
      </c>
      <c r="JE5">
        <v>0.2337747432</v>
      </c>
      <c r="JF5">
        <v>8.6903770199999994E-2</v>
      </c>
      <c r="JG5">
        <v>111.1107030567</v>
      </c>
      <c r="JH5">
        <v>3.5179677203000002</v>
      </c>
      <c r="JI5">
        <v>3.0554128999999998E-3</v>
      </c>
      <c r="JJ5">
        <v>-7.7388500000000006E-5</v>
      </c>
      <c r="JK5">
        <v>3.3223565692000001</v>
      </c>
      <c r="JL5">
        <v>1.4426640365000001</v>
      </c>
      <c r="JM5">
        <v>0.52623096879999998</v>
      </c>
      <c r="JN5" t="s">
        <v>538</v>
      </c>
      <c r="JQ5">
        <v>1</v>
      </c>
    </row>
    <row r="6" spans="1:277">
      <c r="A6" t="s">
        <v>584</v>
      </c>
      <c r="B6" t="s">
        <v>585</v>
      </c>
      <c r="C6" t="s">
        <v>212</v>
      </c>
      <c r="D6">
        <v>3</v>
      </c>
      <c r="E6" t="s">
        <v>213</v>
      </c>
      <c r="F6" t="s">
        <v>214</v>
      </c>
      <c r="G6" t="s">
        <v>537</v>
      </c>
      <c r="H6" t="s">
        <v>216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2.3000000000999998</v>
      </c>
      <c r="R6">
        <v>1.1999999988000001</v>
      </c>
      <c r="S6">
        <v>1.0999999995</v>
      </c>
      <c r="T6">
        <v>1.0999999995</v>
      </c>
      <c r="U6">
        <v>1.0000000002</v>
      </c>
      <c r="V6">
        <v>0.89999999909999995</v>
      </c>
      <c r="W6">
        <v>0.69999999869999996</v>
      </c>
      <c r="X6">
        <v>0.59999999940000004</v>
      </c>
      <c r="Y6">
        <v>0.59999999940000004</v>
      </c>
      <c r="Z6">
        <v>0.59999999940000004</v>
      </c>
      <c r="AA6">
        <v>0.59999999940000004</v>
      </c>
      <c r="AB6">
        <v>0.59999999940000004</v>
      </c>
      <c r="AC6">
        <v>0.50000000010000001</v>
      </c>
      <c r="AD6">
        <v>0.39999999899999999</v>
      </c>
      <c r="AE6">
        <v>0.19999999860000001</v>
      </c>
      <c r="AF6">
        <v>0</v>
      </c>
      <c r="AG6">
        <v>0.39999999899999999</v>
      </c>
      <c r="AH6">
        <v>4.1999999994000001</v>
      </c>
      <c r="AI6">
        <v>10.8</v>
      </c>
      <c r="AJ6">
        <v>17.399999998799998</v>
      </c>
      <c r="AK6">
        <v>23.9999999994</v>
      </c>
      <c r="AL6">
        <v>30.799999998600001</v>
      </c>
      <c r="AM6">
        <v>37.899999999400002</v>
      </c>
      <c r="AN6">
        <v>45.299999999800001</v>
      </c>
      <c r="AO6">
        <v>52.899999998799998</v>
      </c>
      <c r="AP6">
        <v>60.599999998900003</v>
      </c>
      <c r="AQ6">
        <v>68.099999998599998</v>
      </c>
      <c r="AR6">
        <v>75.499999998999996</v>
      </c>
      <c r="AS6">
        <v>83.199999999100001</v>
      </c>
      <c r="AT6">
        <v>90.899999999200006</v>
      </c>
      <c r="AU6">
        <v>99.0999999995</v>
      </c>
      <c r="AV6">
        <v>107.29999999970001</v>
      </c>
      <c r="AW6">
        <v>115.70000000029999</v>
      </c>
      <c r="AX6">
        <v>123.7999999994</v>
      </c>
      <c r="AY6">
        <v>131.9000000003</v>
      </c>
      <c r="AZ6">
        <v>139.79999999899999</v>
      </c>
      <c r="BA6">
        <v>148.09999999850001</v>
      </c>
      <c r="BB6">
        <v>156.3999999998</v>
      </c>
      <c r="BC6">
        <v>164.8999999998</v>
      </c>
      <c r="BD6">
        <v>172.8999999996</v>
      </c>
      <c r="BE6">
        <v>180.5999999997</v>
      </c>
      <c r="BF6">
        <v>188.5000000002</v>
      </c>
      <c r="BG6">
        <v>196.5</v>
      </c>
      <c r="BH6">
        <v>204.70000000019999</v>
      </c>
      <c r="BI6">
        <v>212.89999999860001</v>
      </c>
      <c r="BJ6">
        <v>220.79999999910001</v>
      </c>
      <c r="BK6">
        <v>228.29999999890001</v>
      </c>
      <c r="BL6">
        <v>235.99999999900001</v>
      </c>
      <c r="BM6">
        <v>243.49999999869999</v>
      </c>
      <c r="BN6">
        <v>251.2999999999</v>
      </c>
      <c r="BO6">
        <v>259.0999999993</v>
      </c>
      <c r="BP6">
        <v>266.99999999980002</v>
      </c>
      <c r="BQ6">
        <v>274.29999999910001</v>
      </c>
      <c r="BR6">
        <v>281.3999999998</v>
      </c>
      <c r="BS6">
        <v>288.39999999949998</v>
      </c>
      <c r="BT6">
        <v>295.50000000019998</v>
      </c>
      <c r="BU6">
        <v>302.49999999980002</v>
      </c>
      <c r="BV6">
        <v>309.79999999910001</v>
      </c>
      <c r="BW6">
        <v>316.8999999998</v>
      </c>
      <c r="BX6">
        <v>323.5999999997</v>
      </c>
      <c r="BY6">
        <v>330.09999999920001</v>
      </c>
      <c r="BZ6">
        <v>336.40000000010002</v>
      </c>
      <c r="CA6">
        <v>342.69999999919997</v>
      </c>
      <c r="CB6">
        <v>349.00000000019998</v>
      </c>
      <c r="CC6">
        <v>355.29999999929998</v>
      </c>
      <c r="CD6">
        <v>361.69999999949999</v>
      </c>
      <c r="CE6">
        <v>367.9999999986</v>
      </c>
      <c r="CF6">
        <v>373.89999999870003</v>
      </c>
      <c r="CG6">
        <v>379.4999999991</v>
      </c>
      <c r="CH6">
        <v>385.09999999950003</v>
      </c>
      <c r="CI6">
        <v>390.5999999988</v>
      </c>
      <c r="CJ6">
        <v>395.99999999879998</v>
      </c>
      <c r="CK6">
        <v>401.49999999990001</v>
      </c>
      <c r="CL6">
        <v>406.99999999919999</v>
      </c>
      <c r="CM6">
        <v>412.49999999850002</v>
      </c>
      <c r="CN6">
        <v>417.99999999969998</v>
      </c>
      <c r="CO6">
        <v>423.19999999930002</v>
      </c>
      <c r="CP6">
        <v>427.99999999990001</v>
      </c>
      <c r="CQ6">
        <v>432.7999999987</v>
      </c>
      <c r="CR6">
        <v>437.5999999993</v>
      </c>
      <c r="CS6">
        <v>442.19999999949999</v>
      </c>
      <c r="CT6">
        <v>446.79999999969999</v>
      </c>
      <c r="CU6">
        <v>451.1000000002</v>
      </c>
      <c r="CV6">
        <v>455.79999999969999</v>
      </c>
      <c r="CW6">
        <v>458.99999999890002</v>
      </c>
      <c r="CX6">
        <v>459.7999999987</v>
      </c>
      <c r="CY6">
        <v>459.8999999998</v>
      </c>
      <c r="CZ6">
        <v>459.8999999998</v>
      </c>
      <c r="DA6">
        <v>459.9999999991</v>
      </c>
      <c r="DB6">
        <v>459.9999999991</v>
      </c>
      <c r="DC6">
        <v>459.9999999991</v>
      </c>
      <c r="DD6">
        <v>460.1000000002</v>
      </c>
      <c r="DE6">
        <v>460.1000000002</v>
      </c>
      <c r="DF6">
        <v>460.19999999949999</v>
      </c>
      <c r="DG6">
        <v>2.8000000001999998</v>
      </c>
      <c r="DH6">
        <v>2.0999999997000001</v>
      </c>
      <c r="DI6">
        <v>1.8999999993000001</v>
      </c>
      <c r="DJ6">
        <v>1.6999999989000001</v>
      </c>
      <c r="DK6">
        <v>1.6999999989000001</v>
      </c>
      <c r="DL6">
        <v>1.5999999996000001</v>
      </c>
      <c r="DM6">
        <v>1.5000000003</v>
      </c>
      <c r="DN6">
        <v>1.3999999992000001</v>
      </c>
      <c r="DO6">
        <v>1.2999999999</v>
      </c>
      <c r="DP6">
        <v>1.1999999988000001</v>
      </c>
      <c r="DQ6">
        <v>1.0999999995</v>
      </c>
      <c r="DR6">
        <v>1.0999999995</v>
      </c>
      <c r="DS6">
        <v>1.0999999995</v>
      </c>
      <c r="DT6">
        <v>1.0000000002</v>
      </c>
      <c r="DU6">
        <v>1.0000000002</v>
      </c>
      <c r="DV6">
        <v>2.8999999994999999</v>
      </c>
      <c r="DW6">
        <v>8.7999999996000007</v>
      </c>
      <c r="DX6">
        <v>15.5999999988</v>
      </c>
      <c r="DY6">
        <v>22.199999999399999</v>
      </c>
      <c r="DZ6">
        <v>29.0999999997</v>
      </c>
      <c r="EA6">
        <v>36.099999999399998</v>
      </c>
      <c r="EB6">
        <v>43.399999998699997</v>
      </c>
      <c r="EC6">
        <v>50.999999999499998</v>
      </c>
      <c r="ED6">
        <v>58.699999999600003</v>
      </c>
      <c r="EE6">
        <v>66.199999999300005</v>
      </c>
      <c r="EF6">
        <v>73.399999999299993</v>
      </c>
      <c r="EG6">
        <v>80.899999999000002</v>
      </c>
      <c r="EH6">
        <v>88.599999999100007</v>
      </c>
      <c r="EI6">
        <v>96.499999999699995</v>
      </c>
      <c r="EJ6">
        <v>104.5999999988</v>
      </c>
      <c r="EK6">
        <v>112.9999999994</v>
      </c>
      <c r="EL6">
        <v>121.1000000003</v>
      </c>
      <c r="EM6">
        <v>129.2999999987</v>
      </c>
      <c r="EN6">
        <v>137.49999999889999</v>
      </c>
      <c r="EO6">
        <v>145.69999999909999</v>
      </c>
      <c r="EP6">
        <v>154.0999999997</v>
      </c>
      <c r="EQ6">
        <v>162.69999999890001</v>
      </c>
      <c r="ER6">
        <v>170.89999999919999</v>
      </c>
      <c r="ES6">
        <v>178.69999999859999</v>
      </c>
      <c r="ET6">
        <v>186.70000000019999</v>
      </c>
      <c r="EU6">
        <v>194.79999999930001</v>
      </c>
      <c r="EV6">
        <v>203.0999999988</v>
      </c>
      <c r="EW6">
        <v>211.49999999939999</v>
      </c>
      <c r="EX6">
        <v>219.59999999850001</v>
      </c>
      <c r="EY6">
        <v>227.19999999940001</v>
      </c>
      <c r="EZ6">
        <v>234.89999999950001</v>
      </c>
      <c r="FA6">
        <v>242.69999999890001</v>
      </c>
      <c r="FB6">
        <v>250.59999999940001</v>
      </c>
      <c r="FC6">
        <v>258.49999999990001</v>
      </c>
      <c r="FD6">
        <v>266.49999999969998</v>
      </c>
      <c r="FE6">
        <v>274.09999999870001</v>
      </c>
      <c r="FF6">
        <v>281.2999999987</v>
      </c>
      <c r="FG6">
        <v>288.59999999989998</v>
      </c>
      <c r="FH6">
        <v>295.79999999990002</v>
      </c>
      <c r="FI6">
        <v>303.20000000030001</v>
      </c>
      <c r="FJ6">
        <v>310.59999999889999</v>
      </c>
      <c r="FK6">
        <v>317.99999999929997</v>
      </c>
      <c r="FL6">
        <v>324.89999999960003</v>
      </c>
      <c r="FM6">
        <v>331.50000000019998</v>
      </c>
      <c r="FN6">
        <v>337.89999999859998</v>
      </c>
      <c r="FO6">
        <v>344.4</v>
      </c>
      <c r="FP6">
        <v>350.99999999869999</v>
      </c>
      <c r="FQ6">
        <v>357.59999999939998</v>
      </c>
      <c r="FR6">
        <v>364.2</v>
      </c>
      <c r="FS6">
        <v>370.6000000002</v>
      </c>
      <c r="FT6">
        <v>376.69999999890001</v>
      </c>
      <c r="FU6">
        <v>382.49999999969998</v>
      </c>
      <c r="FV6">
        <v>388.2999999987</v>
      </c>
      <c r="FW6">
        <v>393.89999999909998</v>
      </c>
      <c r="FX6">
        <v>399.5999999988</v>
      </c>
      <c r="FY6">
        <v>405.19999999919997</v>
      </c>
      <c r="FZ6">
        <v>410.8999999989</v>
      </c>
      <c r="GA6">
        <v>416.49999999940002</v>
      </c>
      <c r="GB6">
        <v>421.699999999</v>
      </c>
      <c r="GC6">
        <v>426.7</v>
      </c>
      <c r="GD6">
        <v>431.30000000019999</v>
      </c>
      <c r="GE6">
        <v>435.99999999969998</v>
      </c>
      <c r="GF6">
        <v>440.49999999879998</v>
      </c>
      <c r="GG6">
        <v>444.79999999929998</v>
      </c>
      <c r="GH6">
        <v>448.8000000001</v>
      </c>
      <c r="GI6">
        <v>452.59999999870001</v>
      </c>
      <c r="GJ6">
        <v>456.39999999909998</v>
      </c>
      <c r="GK6">
        <v>458.99999999890002</v>
      </c>
      <c r="GL6">
        <v>459.69999999940001</v>
      </c>
      <c r="GM6">
        <v>459.8999999998</v>
      </c>
      <c r="GN6">
        <v>459.7999999987</v>
      </c>
      <c r="GO6">
        <v>459.9999999991</v>
      </c>
      <c r="GP6">
        <v>459.9999999991</v>
      </c>
      <c r="GQ6">
        <v>459.9999999991</v>
      </c>
      <c r="GR6">
        <v>459.9999999991</v>
      </c>
      <c r="GS6">
        <v>460.1000000002</v>
      </c>
      <c r="GT6">
        <v>460.1000000002</v>
      </c>
      <c r="GU6">
        <v>460.1000000002</v>
      </c>
      <c r="GV6">
        <v>460.1000000002</v>
      </c>
      <c r="GW6">
        <v>1</v>
      </c>
      <c r="GX6">
        <v>119.5000000007</v>
      </c>
      <c r="GY6">
        <v>115.70000000029999</v>
      </c>
      <c r="GZ6">
        <v>115.70000000029999</v>
      </c>
      <c r="HA6">
        <v>129.2999999987</v>
      </c>
      <c r="HB6">
        <v>119.3205585134</v>
      </c>
      <c r="HC6">
        <v>-13.5999999984</v>
      </c>
      <c r="HD6">
        <v>460.1000000002</v>
      </c>
      <c r="HE6">
        <v>283.90432467599999</v>
      </c>
      <c r="HF6">
        <v>101.3293925904</v>
      </c>
      <c r="HG6">
        <v>460.19999999949999</v>
      </c>
      <c r="HH6">
        <v>460.1000000002</v>
      </c>
      <c r="HI6">
        <v>460.19999999949999</v>
      </c>
      <c r="HJ6">
        <v>460.1000000002</v>
      </c>
      <c r="HK6">
        <v>119.6480938416</v>
      </c>
      <c r="HL6">
        <v>3.3222587320999999</v>
      </c>
      <c r="HM6">
        <v>3.1886440775999998</v>
      </c>
      <c r="HN6">
        <v>3.2513230930999999</v>
      </c>
      <c r="HO6">
        <v>3.1579528570000002</v>
      </c>
      <c r="HP6">
        <v>3.5227054198999999</v>
      </c>
      <c r="HQ6">
        <v>2.2352481064999998</v>
      </c>
      <c r="HR6">
        <v>17.991165923000001</v>
      </c>
      <c r="HS6">
        <v>-30.4985337243</v>
      </c>
      <c r="HT6">
        <v>-208</v>
      </c>
      <c r="HU6">
        <v>403.22488318939997</v>
      </c>
      <c r="HV6">
        <v>89.149560117299998</v>
      </c>
      <c r="HW6">
        <v>608</v>
      </c>
      <c r="HX6">
        <v>17.991165923000001</v>
      </c>
      <c r="HY6">
        <v>-30.4985337243</v>
      </c>
      <c r="HZ6">
        <v>-208</v>
      </c>
      <c r="IA6">
        <v>403.22488318939997</v>
      </c>
      <c r="IB6">
        <v>89.149560117299998</v>
      </c>
      <c r="IC6">
        <v>608</v>
      </c>
      <c r="ID6">
        <v>56.875116810800002</v>
      </c>
      <c r="IE6">
        <v>9.1383244999999995E-3</v>
      </c>
      <c r="IF6">
        <v>-39.8826979472</v>
      </c>
      <c r="IG6">
        <v>-272</v>
      </c>
      <c r="IH6">
        <v>425.44864718010001</v>
      </c>
      <c r="II6">
        <v>98.533724340199996</v>
      </c>
      <c r="IJ6">
        <v>672</v>
      </c>
      <c r="IK6">
        <v>385.23371726639999</v>
      </c>
      <c r="IL6">
        <v>119.6480938416</v>
      </c>
      <c r="IM6">
        <v>410.38734108450001</v>
      </c>
      <c r="IN6">
        <v>129.03225806450001</v>
      </c>
      <c r="IO6">
        <v>6.7999999991999998</v>
      </c>
      <c r="IP6">
        <v>5.6999999997000002</v>
      </c>
      <c r="IQ6">
        <v>8.5999999991999996</v>
      </c>
      <c r="IR6">
        <v>5.7905648264999998</v>
      </c>
      <c r="IS6">
        <v>5.7905648264999998</v>
      </c>
      <c r="IT6">
        <v>11.3999999994</v>
      </c>
      <c r="IU6">
        <v>-35.190615835800003</v>
      </c>
      <c r="IV6">
        <v>15.4999999995</v>
      </c>
      <c r="IW6">
        <v>56.304985337200002</v>
      </c>
      <c r="IX6">
        <v>14.699999999699999</v>
      </c>
      <c r="IY6">
        <v>96.187683284499997</v>
      </c>
      <c r="IZ6">
        <v>-36.2215014143</v>
      </c>
      <c r="JA6">
        <v>0.33651542150000002</v>
      </c>
      <c r="JB6">
        <v>-3.5789920000000002E-4</v>
      </c>
      <c r="JC6">
        <v>7.2819999999999997E-7</v>
      </c>
      <c r="JD6">
        <v>0.30100003660000002</v>
      </c>
      <c r="JE6">
        <v>0.21973195840000001</v>
      </c>
      <c r="JF6">
        <v>8.8193041799999997E-2</v>
      </c>
      <c r="JG6">
        <v>119.5250164113</v>
      </c>
      <c r="JH6">
        <v>3.5227054198999999</v>
      </c>
      <c r="JI6">
        <v>2.6149763999999999E-3</v>
      </c>
      <c r="JJ6">
        <v>-7.3552400000000004E-5</v>
      </c>
      <c r="JK6">
        <v>3.3222587320999999</v>
      </c>
      <c r="JL6">
        <v>1.3845774861</v>
      </c>
      <c r="JM6">
        <v>0.51078725010000003</v>
      </c>
      <c r="JN6" t="s">
        <v>538</v>
      </c>
      <c r="JQ6">
        <v>1</v>
      </c>
    </row>
    <row r="7" spans="1:277">
      <c r="A7" t="s">
        <v>597</v>
      </c>
      <c r="B7" t="s">
        <v>598</v>
      </c>
      <c r="C7" t="s">
        <v>212</v>
      </c>
      <c r="D7">
        <v>3</v>
      </c>
      <c r="E7" t="s">
        <v>213</v>
      </c>
      <c r="F7" t="s">
        <v>214</v>
      </c>
      <c r="G7" t="s">
        <v>537</v>
      </c>
      <c r="H7" t="s">
        <v>216</v>
      </c>
      <c r="J7" t="s">
        <v>588</v>
      </c>
      <c r="K7" t="s">
        <v>589</v>
      </c>
      <c r="L7" t="s">
        <v>590</v>
      </c>
      <c r="M7" t="s">
        <v>591</v>
      </c>
      <c r="N7" t="s">
        <v>592</v>
      </c>
      <c r="O7">
        <v>0</v>
      </c>
      <c r="P7">
        <v>0</v>
      </c>
      <c r="Q7">
        <v>2.1999999990000001</v>
      </c>
      <c r="R7">
        <v>2.0999999997000001</v>
      </c>
      <c r="S7">
        <v>2.1999999990000001</v>
      </c>
      <c r="T7">
        <v>2.1999999990000001</v>
      </c>
      <c r="U7">
        <v>2.1999999990000001</v>
      </c>
      <c r="V7">
        <v>2.1999999990000001</v>
      </c>
      <c r="W7">
        <v>2.1999999990000001</v>
      </c>
      <c r="X7">
        <v>2.0999999997000001</v>
      </c>
      <c r="Y7">
        <v>2.0999999997000001</v>
      </c>
      <c r="Z7">
        <v>2.0000000004</v>
      </c>
      <c r="AA7">
        <v>2.0000000004</v>
      </c>
      <c r="AB7">
        <v>2.0000000004</v>
      </c>
      <c r="AC7">
        <v>1.8999999993000001</v>
      </c>
      <c r="AD7">
        <v>1.5000000003</v>
      </c>
      <c r="AE7">
        <v>0.79999999980000003</v>
      </c>
      <c r="AF7">
        <v>0</v>
      </c>
      <c r="AG7">
        <v>1.5000000003</v>
      </c>
      <c r="AH7">
        <v>6.2999999990999997</v>
      </c>
      <c r="AI7">
        <v>12.3999999996</v>
      </c>
      <c r="AJ7">
        <v>19.399999999199999</v>
      </c>
      <c r="AK7">
        <v>26.700000000300001</v>
      </c>
      <c r="AL7">
        <v>34.200000000099998</v>
      </c>
      <c r="AM7">
        <v>41.299999999000001</v>
      </c>
      <c r="AN7">
        <v>48.600000000100003</v>
      </c>
      <c r="AO7">
        <v>55.699999998999999</v>
      </c>
      <c r="AP7">
        <v>62.700000000400003</v>
      </c>
      <c r="AQ7">
        <v>70.299999999400001</v>
      </c>
      <c r="AR7">
        <v>78.400000000299997</v>
      </c>
      <c r="AS7">
        <v>86.400000000099993</v>
      </c>
      <c r="AT7">
        <v>94.199999999499994</v>
      </c>
      <c r="AU7">
        <v>102.1000000001</v>
      </c>
      <c r="AV7">
        <v>109.6999999991</v>
      </c>
      <c r="AW7">
        <v>117.50000000030001</v>
      </c>
      <c r="AX7">
        <v>126.2999999999</v>
      </c>
      <c r="AY7">
        <v>135.1999999988</v>
      </c>
      <c r="AZ7">
        <v>143.29999999969999</v>
      </c>
      <c r="BA7">
        <v>151.39999999880001</v>
      </c>
      <c r="BB7">
        <v>159.2000000001</v>
      </c>
      <c r="BC7">
        <v>166.79999999910001</v>
      </c>
      <c r="BD7">
        <v>175.1000000004</v>
      </c>
      <c r="BE7">
        <v>183.49999999920001</v>
      </c>
      <c r="BF7">
        <v>191.69999999940001</v>
      </c>
      <c r="BG7">
        <v>199.8000000003</v>
      </c>
      <c r="BH7">
        <v>207.5999999997</v>
      </c>
      <c r="BI7">
        <v>215.00000000009999</v>
      </c>
      <c r="BJ7">
        <v>222.70000000030001</v>
      </c>
      <c r="BK7">
        <v>230.9999999998</v>
      </c>
      <c r="BL7">
        <v>239.2</v>
      </c>
      <c r="BM7">
        <v>246.90000000009999</v>
      </c>
      <c r="BN7">
        <v>254.6000000002</v>
      </c>
      <c r="BO7">
        <v>261.99999999879998</v>
      </c>
      <c r="BP7">
        <v>269.00000000019998</v>
      </c>
      <c r="BQ7">
        <v>276.39999999880001</v>
      </c>
      <c r="BR7">
        <v>284.09999999889999</v>
      </c>
      <c r="BS7">
        <v>291.49999999940002</v>
      </c>
      <c r="BT7">
        <v>298.69999999940001</v>
      </c>
      <c r="BU7">
        <v>305.8000000001</v>
      </c>
      <c r="BV7">
        <v>312.5</v>
      </c>
      <c r="BW7">
        <v>318.99999999950001</v>
      </c>
      <c r="BX7">
        <v>325.69999999940001</v>
      </c>
      <c r="BY7">
        <v>332.8000000001</v>
      </c>
      <c r="BZ7">
        <v>339.7000000004</v>
      </c>
      <c r="CA7">
        <v>346.2</v>
      </c>
      <c r="CB7">
        <v>352.69999999949999</v>
      </c>
      <c r="CC7">
        <v>358.69999999890001</v>
      </c>
      <c r="CD7">
        <v>364.70000000009998</v>
      </c>
      <c r="CE7">
        <v>370.6000000002</v>
      </c>
      <c r="CF7">
        <v>376.29999999990002</v>
      </c>
      <c r="CG7">
        <v>382.59999999899998</v>
      </c>
      <c r="CH7">
        <v>388.69999999949999</v>
      </c>
      <c r="CI7">
        <v>394.59999999960002</v>
      </c>
      <c r="CJ7">
        <v>400.2</v>
      </c>
      <c r="CK7">
        <v>405.80000000050001</v>
      </c>
      <c r="CL7">
        <v>410.8999999989</v>
      </c>
      <c r="CM7">
        <v>416.19999999970003</v>
      </c>
      <c r="CN7">
        <v>421.19999999890001</v>
      </c>
      <c r="CO7">
        <v>426.10000000060001</v>
      </c>
      <c r="CP7">
        <v>431.49999999879998</v>
      </c>
      <c r="CQ7">
        <v>436.99999999990001</v>
      </c>
      <c r="CR7">
        <v>442.19999999949999</v>
      </c>
      <c r="CS7">
        <v>447.20000000049998</v>
      </c>
      <c r="CT7">
        <v>452.10000000039997</v>
      </c>
      <c r="CU7">
        <v>456.20000000049998</v>
      </c>
      <c r="CV7">
        <v>458.19999999909999</v>
      </c>
      <c r="CW7">
        <v>458.59999999989998</v>
      </c>
      <c r="CX7">
        <v>458.59999999989998</v>
      </c>
      <c r="CY7">
        <v>458.69999999919997</v>
      </c>
      <c r="CZ7">
        <v>458.69999999919997</v>
      </c>
      <c r="DA7">
        <v>458.59999999989998</v>
      </c>
      <c r="DB7">
        <v>458.69999999919997</v>
      </c>
      <c r="DC7">
        <v>458.69999999919997</v>
      </c>
      <c r="DD7">
        <v>458.69999999919997</v>
      </c>
      <c r="DE7">
        <v>458.59999999989998</v>
      </c>
      <c r="DF7">
        <v>458.69999999919997</v>
      </c>
      <c r="DG7">
        <v>3.1999999992000001</v>
      </c>
      <c r="DH7">
        <v>3.3000000002999998</v>
      </c>
      <c r="DI7">
        <v>3.1999999992000001</v>
      </c>
      <c r="DJ7">
        <v>3.1999999992000001</v>
      </c>
      <c r="DK7">
        <v>3.1999999992000001</v>
      </c>
      <c r="DL7">
        <v>3.1999999992000001</v>
      </c>
      <c r="DM7">
        <v>3.1999999992000001</v>
      </c>
      <c r="DN7">
        <v>3.1999999992000001</v>
      </c>
      <c r="DO7">
        <v>3.0999999999000001</v>
      </c>
      <c r="DP7">
        <v>3.1999999992000001</v>
      </c>
      <c r="DQ7">
        <v>3.0999999999000001</v>
      </c>
      <c r="DR7">
        <v>2.9999999987999999</v>
      </c>
      <c r="DS7">
        <v>2.5999999998000001</v>
      </c>
      <c r="DT7">
        <v>2.0000000004</v>
      </c>
      <c r="DU7">
        <v>1.5999999996000001</v>
      </c>
      <c r="DV7">
        <v>4.6999999995000001</v>
      </c>
      <c r="DW7">
        <v>10.8999999993</v>
      </c>
      <c r="DX7">
        <v>17.700000000300001</v>
      </c>
      <c r="DY7">
        <v>24.9999999996</v>
      </c>
      <c r="DZ7">
        <v>32.4000000001</v>
      </c>
      <c r="EA7">
        <v>39.699999999399999</v>
      </c>
      <c r="EB7">
        <v>46.800000000099999</v>
      </c>
      <c r="EC7">
        <v>54.099999999399998</v>
      </c>
      <c r="ED7">
        <v>60.999999999700002</v>
      </c>
      <c r="EE7">
        <v>68.299999998999994</v>
      </c>
      <c r="EF7">
        <v>76.199999999499994</v>
      </c>
      <c r="EG7">
        <v>84.3999999997</v>
      </c>
      <c r="EH7">
        <v>92.199999999100001</v>
      </c>
      <c r="EI7">
        <v>100.00000000039999</v>
      </c>
      <c r="EJ7">
        <v>107.5000000001</v>
      </c>
      <c r="EK7">
        <v>115.09999999910001</v>
      </c>
      <c r="EL7">
        <v>123.4000000004</v>
      </c>
      <c r="EM7">
        <v>132.49999999970001</v>
      </c>
      <c r="EN7">
        <v>141.09999999889999</v>
      </c>
      <c r="EO7">
        <v>149.19999999980001</v>
      </c>
      <c r="EP7">
        <v>157.19999999960001</v>
      </c>
      <c r="EQ7">
        <v>164.80000000050001</v>
      </c>
      <c r="ER7">
        <v>172.8999999996</v>
      </c>
      <c r="ES7">
        <v>181.49999999880001</v>
      </c>
      <c r="ET7">
        <v>189.8000000001</v>
      </c>
      <c r="EU7">
        <v>197.7999999999</v>
      </c>
      <c r="EV7">
        <v>205.79999999969999</v>
      </c>
      <c r="EW7">
        <v>213.4999999998</v>
      </c>
      <c r="EX7">
        <v>221.2</v>
      </c>
      <c r="EY7">
        <v>229.49999999950001</v>
      </c>
      <c r="EZ7">
        <v>237.79999999899999</v>
      </c>
      <c r="FA7">
        <v>245.79999999879999</v>
      </c>
      <c r="FB7">
        <v>253.49999999889999</v>
      </c>
      <c r="FC7">
        <v>260.89999999930001</v>
      </c>
      <c r="FD7">
        <v>268.29999999969999</v>
      </c>
      <c r="FE7">
        <v>275.79999999939997</v>
      </c>
      <c r="FF7">
        <v>283.7</v>
      </c>
      <c r="FG7">
        <v>291.19999999970003</v>
      </c>
      <c r="FH7">
        <v>298.69999999940001</v>
      </c>
      <c r="FI7">
        <v>305.8000000001</v>
      </c>
      <c r="FJ7">
        <v>312.7000000004</v>
      </c>
      <c r="FK7">
        <v>319.4000000003</v>
      </c>
      <c r="FL7">
        <v>326.29999999879999</v>
      </c>
      <c r="FM7">
        <v>333.59999999989998</v>
      </c>
      <c r="FN7">
        <v>340.59999999950003</v>
      </c>
      <c r="FO7">
        <v>347.20000000020002</v>
      </c>
      <c r="FP7">
        <v>353.90000000010002</v>
      </c>
      <c r="FQ7">
        <v>360.30000000029997</v>
      </c>
      <c r="FR7">
        <v>366.2000000004</v>
      </c>
      <c r="FS7">
        <v>372.19999999980001</v>
      </c>
      <c r="FT7">
        <v>378.39999999960003</v>
      </c>
      <c r="FU7">
        <v>384.89999999909998</v>
      </c>
      <c r="FV7">
        <v>391.09999999889999</v>
      </c>
      <c r="FW7">
        <v>396.89999999970001</v>
      </c>
      <c r="FX7">
        <v>402.59999999939998</v>
      </c>
      <c r="FY7">
        <v>408.10000000060001</v>
      </c>
      <c r="FZ7">
        <v>413.50000000059998</v>
      </c>
      <c r="GA7">
        <v>418.59999999910002</v>
      </c>
      <c r="GB7">
        <v>423.49999999900001</v>
      </c>
      <c r="GC7">
        <v>428.7000000004</v>
      </c>
      <c r="GD7">
        <v>434.10000000039997</v>
      </c>
      <c r="GE7">
        <v>439.19999999890001</v>
      </c>
      <c r="GF7">
        <v>443.99999999950001</v>
      </c>
      <c r="GG7">
        <v>448.5999999997</v>
      </c>
      <c r="GH7">
        <v>452.90000000020001</v>
      </c>
      <c r="GI7">
        <v>456.50000000019998</v>
      </c>
      <c r="GJ7">
        <v>458.09999999979999</v>
      </c>
      <c r="GK7">
        <v>458.39999999949998</v>
      </c>
      <c r="GL7">
        <v>458.49999999879998</v>
      </c>
      <c r="GM7">
        <v>458.49999999879998</v>
      </c>
      <c r="GN7">
        <v>458.49999999879998</v>
      </c>
      <c r="GO7">
        <v>458.59999999989998</v>
      </c>
      <c r="GP7">
        <v>458.59999999989998</v>
      </c>
      <c r="GQ7">
        <v>458.49999999879998</v>
      </c>
      <c r="GR7">
        <v>458.49999999879998</v>
      </c>
      <c r="GS7">
        <v>458.59999999989998</v>
      </c>
      <c r="GT7">
        <v>458.59999999989998</v>
      </c>
      <c r="GU7">
        <v>458.59999999989998</v>
      </c>
      <c r="GV7">
        <v>458.59999999989998</v>
      </c>
      <c r="GW7">
        <v>1</v>
      </c>
      <c r="GX7">
        <v>121.4999999993</v>
      </c>
      <c r="GY7">
        <v>117.50000000030001</v>
      </c>
      <c r="GZ7">
        <v>117.50000000030001</v>
      </c>
      <c r="HA7">
        <v>132.49999999970001</v>
      </c>
      <c r="HB7">
        <v>121.58808459620001</v>
      </c>
      <c r="HC7">
        <v>-14.9999999994</v>
      </c>
      <c r="HD7">
        <v>458.59999999989998</v>
      </c>
      <c r="HE7">
        <v>295.71558922830002</v>
      </c>
      <c r="HF7">
        <v>101.4539736191</v>
      </c>
      <c r="HG7">
        <v>458.69999999919997</v>
      </c>
      <c r="HH7">
        <v>458.59999999989998</v>
      </c>
      <c r="HI7">
        <v>458.69999999919997</v>
      </c>
      <c r="HJ7">
        <v>458.59999999989998</v>
      </c>
      <c r="HK7">
        <v>114.9560117302</v>
      </c>
      <c r="HL7">
        <v>3.2911705971999998</v>
      </c>
      <c r="HM7">
        <v>3.1514484865000001</v>
      </c>
      <c r="HN7">
        <v>3.2569641317000002</v>
      </c>
      <c r="HO7">
        <v>3.1994569882000001</v>
      </c>
      <c r="HP7">
        <v>3.5160011087999998</v>
      </c>
      <c r="HQ7">
        <v>2.1589400317999998</v>
      </c>
      <c r="HR7">
        <v>20.134110977100001</v>
      </c>
      <c r="HS7">
        <v>-30.4985337243</v>
      </c>
      <c r="HT7">
        <v>-208</v>
      </c>
      <c r="HU7">
        <v>417.30367382460003</v>
      </c>
      <c r="HV7">
        <v>93.841642228699996</v>
      </c>
      <c r="HW7">
        <v>640</v>
      </c>
      <c r="HX7">
        <v>20.134110977100001</v>
      </c>
      <c r="HY7">
        <v>-30.4985337243</v>
      </c>
      <c r="HZ7">
        <v>-208</v>
      </c>
      <c r="IA7">
        <v>417.30367382460003</v>
      </c>
      <c r="IB7">
        <v>93.841642228699996</v>
      </c>
      <c r="IC7">
        <v>640</v>
      </c>
      <c r="ID7">
        <v>41.296326175399997</v>
      </c>
      <c r="IE7">
        <v>2.4081543699999999E-2</v>
      </c>
      <c r="IF7">
        <v>-39.8826979472</v>
      </c>
      <c r="IG7">
        <v>-272</v>
      </c>
      <c r="IH7">
        <v>438.45738580519998</v>
      </c>
      <c r="II7">
        <v>103.22580645159999</v>
      </c>
      <c r="IJ7">
        <v>704</v>
      </c>
      <c r="IK7">
        <v>397.16956284740002</v>
      </c>
      <c r="IL7">
        <v>124.3401759531</v>
      </c>
      <c r="IM7">
        <v>421.1151422666</v>
      </c>
      <c r="IN7">
        <v>133.724340176</v>
      </c>
      <c r="IO7">
        <v>6.9999999996</v>
      </c>
      <c r="IP7">
        <v>5.5000000011000001</v>
      </c>
      <c r="IQ7">
        <v>9.0999999992999996</v>
      </c>
      <c r="IR7">
        <v>6.9284883304999996</v>
      </c>
      <c r="IS7">
        <v>6.9284883304999996</v>
      </c>
      <c r="IT7">
        <v>12.6</v>
      </c>
      <c r="IU7">
        <v>-32.844574780099997</v>
      </c>
      <c r="IV7">
        <v>15.0999999987</v>
      </c>
      <c r="IW7">
        <v>30.4985337243</v>
      </c>
      <c r="IX7">
        <v>13.0999999983</v>
      </c>
      <c r="IY7">
        <v>103.22580645159999</v>
      </c>
      <c r="IZ7">
        <v>-37.138487369400004</v>
      </c>
      <c r="JA7">
        <v>0.33665600429999998</v>
      </c>
      <c r="JB7">
        <v>-3.5069410000000001E-4</v>
      </c>
      <c r="JC7">
        <v>7.0650000000000003E-7</v>
      </c>
      <c r="JD7">
        <v>0.30384325890000002</v>
      </c>
      <c r="JE7">
        <v>0.23763842330000001</v>
      </c>
      <c r="JF7">
        <v>0.1005035313</v>
      </c>
      <c r="JG7">
        <v>122.57335632980001</v>
      </c>
      <c r="JH7">
        <v>3.5160011087999998</v>
      </c>
      <c r="JI7">
        <v>2.1430605999999998E-3</v>
      </c>
      <c r="JJ7">
        <v>-6.6592000000000002E-5</v>
      </c>
      <c r="JK7">
        <v>3.2911705971999998</v>
      </c>
      <c r="JL7">
        <v>1.1559483116</v>
      </c>
      <c r="JM7">
        <v>0.60458965899999995</v>
      </c>
      <c r="JN7" t="s">
        <v>538</v>
      </c>
      <c r="JQ7">
        <v>1</v>
      </c>
    </row>
    <row r="8" spans="1:277">
      <c r="A8" t="s">
        <v>609</v>
      </c>
      <c r="B8" t="s">
        <v>610</v>
      </c>
      <c r="C8" t="s">
        <v>212</v>
      </c>
      <c r="D8">
        <v>3</v>
      </c>
      <c r="E8" t="s">
        <v>213</v>
      </c>
      <c r="F8" t="s">
        <v>214</v>
      </c>
      <c r="G8" t="s">
        <v>537</v>
      </c>
      <c r="H8" t="s">
        <v>216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0</v>
      </c>
      <c r="R8">
        <v>0.90000000089999999</v>
      </c>
      <c r="S8">
        <v>0.90000000089999999</v>
      </c>
      <c r="T8">
        <v>0.90000000089999999</v>
      </c>
      <c r="U8">
        <v>1.0000000002</v>
      </c>
      <c r="V8">
        <v>1.0000000002</v>
      </c>
      <c r="W8">
        <v>1.0000000002</v>
      </c>
      <c r="X8">
        <v>1.1000000013</v>
      </c>
      <c r="Y8">
        <v>1.2000000006</v>
      </c>
      <c r="Z8">
        <v>1.2999999999</v>
      </c>
      <c r="AA8">
        <v>1.5000000003</v>
      </c>
      <c r="AB8">
        <v>1.5000000003</v>
      </c>
      <c r="AC8">
        <v>1.6000000014</v>
      </c>
      <c r="AD8">
        <v>1.7000000007</v>
      </c>
      <c r="AE8">
        <v>1.8</v>
      </c>
      <c r="AF8">
        <v>1.9000000011</v>
      </c>
      <c r="AG8">
        <v>2.2000000007999998</v>
      </c>
      <c r="AH8">
        <v>2.9000000013</v>
      </c>
      <c r="AI8">
        <v>5.9000000001000004</v>
      </c>
      <c r="AJ8">
        <v>11.9000000013</v>
      </c>
      <c r="AK8">
        <v>18.700000000500001</v>
      </c>
      <c r="AL8">
        <v>25.499999999700002</v>
      </c>
      <c r="AM8">
        <v>32.000000001099998</v>
      </c>
      <c r="AN8">
        <v>39.1</v>
      </c>
      <c r="AO8">
        <v>46.200000000700001</v>
      </c>
      <c r="AP8">
        <v>53.900000000799999</v>
      </c>
      <c r="AQ8">
        <v>61.700000000199999</v>
      </c>
      <c r="AR8">
        <v>69.600000000700007</v>
      </c>
      <c r="AS8">
        <v>77.200000001500001</v>
      </c>
      <c r="AT8">
        <v>84.700000001199996</v>
      </c>
      <c r="AU8">
        <v>92.400000001400002</v>
      </c>
      <c r="AV8">
        <v>100.3000000001</v>
      </c>
      <c r="AW8">
        <v>108.9000000011</v>
      </c>
      <c r="AX8">
        <v>117.8</v>
      </c>
      <c r="AY8">
        <v>126.50000000030001</v>
      </c>
      <c r="AZ8">
        <v>134.3000000015</v>
      </c>
      <c r="BA8">
        <v>142.30000000129999</v>
      </c>
      <c r="BB8">
        <v>150.19999999999999</v>
      </c>
      <c r="BC8">
        <v>158.60000000069999</v>
      </c>
      <c r="BD8">
        <v>167.00000000130001</v>
      </c>
      <c r="BE8">
        <v>175.3000000008</v>
      </c>
      <c r="BF8">
        <v>183.2000000013</v>
      </c>
      <c r="BG8">
        <v>191.1</v>
      </c>
      <c r="BH8">
        <v>199.00000000049999</v>
      </c>
      <c r="BI8">
        <v>206.900000001</v>
      </c>
      <c r="BJ8">
        <v>214.90000000090001</v>
      </c>
      <c r="BK8">
        <v>223.1000000011</v>
      </c>
      <c r="BL8">
        <v>230.9000000005</v>
      </c>
      <c r="BM8">
        <v>238.30000000090001</v>
      </c>
      <c r="BN8">
        <v>245.7000000013</v>
      </c>
      <c r="BO8">
        <v>253.4000000014</v>
      </c>
      <c r="BP8">
        <v>260.90000000110001</v>
      </c>
      <c r="BQ8">
        <v>268.60000000119999</v>
      </c>
      <c r="BR8">
        <v>275.99999999980002</v>
      </c>
      <c r="BS8">
        <v>283.300000001</v>
      </c>
      <c r="BT8">
        <v>290.1000000002</v>
      </c>
      <c r="BU8">
        <v>297.00000000049999</v>
      </c>
      <c r="BV8">
        <v>303.8000000015</v>
      </c>
      <c r="BW8">
        <v>310.7</v>
      </c>
      <c r="BX8">
        <v>317.70000000139999</v>
      </c>
      <c r="BY8">
        <v>324.50000000059998</v>
      </c>
      <c r="BZ8">
        <v>331.20000000049998</v>
      </c>
      <c r="CA8">
        <v>337.50000000149998</v>
      </c>
      <c r="CB8">
        <v>343.39999999970001</v>
      </c>
      <c r="CC8">
        <v>349.50000000030002</v>
      </c>
      <c r="CD8">
        <v>355.60000000079998</v>
      </c>
      <c r="CE8">
        <v>361.6000000002</v>
      </c>
      <c r="CF8">
        <v>367.70000000070002</v>
      </c>
      <c r="CG8">
        <v>373.60000000079998</v>
      </c>
      <c r="CH8">
        <v>379.5000000009</v>
      </c>
      <c r="CI8">
        <v>385.10000000129997</v>
      </c>
      <c r="CJ8">
        <v>390.40000000020001</v>
      </c>
      <c r="CK8">
        <v>395.4000000012</v>
      </c>
      <c r="CL8">
        <v>400.70000000009998</v>
      </c>
      <c r="CM8">
        <v>405.89999999970001</v>
      </c>
      <c r="CN8">
        <v>411.10000000119999</v>
      </c>
      <c r="CO8">
        <v>416.00000000109998</v>
      </c>
      <c r="CP8">
        <v>421.10000000140002</v>
      </c>
      <c r="CQ8">
        <v>426.10000000060001</v>
      </c>
      <c r="CR8">
        <v>431.09999999979999</v>
      </c>
      <c r="CS8">
        <v>435.90000000039998</v>
      </c>
      <c r="CT8">
        <v>440.40000000129999</v>
      </c>
      <c r="CU8">
        <v>444.7</v>
      </c>
      <c r="CV8">
        <v>449.20000000089999</v>
      </c>
      <c r="CW8">
        <v>453.4000000003</v>
      </c>
      <c r="CX8">
        <v>456.79999999990002</v>
      </c>
      <c r="CY8">
        <v>459.70000000120001</v>
      </c>
      <c r="CZ8">
        <v>461.60000000050002</v>
      </c>
      <c r="DA8">
        <v>461.90000000020001</v>
      </c>
      <c r="DB8">
        <v>461.90000000020001</v>
      </c>
      <c r="DC8">
        <v>461.90000000020001</v>
      </c>
      <c r="DD8">
        <v>461.90000000020001</v>
      </c>
      <c r="DE8">
        <v>461.90000000020001</v>
      </c>
      <c r="DF8">
        <v>461.90000000020001</v>
      </c>
      <c r="DG8">
        <v>0.90000000089999999</v>
      </c>
      <c r="DH8">
        <v>2.0000000004</v>
      </c>
      <c r="DI8">
        <v>1.9000000011</v>
      </c>
      <c r="DJ8">
        <v>2.0000000004</v>
      </c>
      <c r="DK8">
        <v>2.0000000004</v>
      </c>
      <c r="DL8">
        <v>2.1000000015000002</v>
      </c>
      <c r="DM8">
        <v>2.2000000007999998</v>
      </c>
      <c r="DN8">
        <v>2.4000000012</v>
      </c>
      <c r="DO8">
        <v>2.5000000005</v>
      </c>
      <c r="DP8">
        <v>2.5999999998000001</v>
      </c>
      <c r="DQ8">
        <v>2.8000000001999998</v>
      </c>
      <c r="DR8">
        <v>2.9000000013</v>
      </c>
      <c r="DS8">
        <v>3.0000000006</v>
      </c>
      <c r="DT8">
        <v>3.0999999999000001</v>
      </c>
      <c r="DU8">
        <v>3.3000000002999998</v>
      </c>
      <c r="DV8">
        <v>3.4000000014</v>
      </c>
      <c r="DW8">
        <v>5.3000000006999999</v>
      </c>
      <c r="DX8">
        <v>10.9000000011</v>
      </c>
      <c r="DY8">
        <v>18.200000000399999</v>
      </c>
      <c r="DZ8">
        <v>25.1000000007</v>
      </c>
      <c r="EA8">
        <v>31.9</v>
      </c>
      <c r="EB8">
        <v>38.800000000300003</v>
      </c>
      <c r="EC8">
        <v>45.799999999900002</v>
      </c>
      <c r="ED8">
        <v>53.400000000699997</v>
      </c>
      <c r="EE8">
        <v>61.100000000800001</v>
      </c>
      <c r="EF8">
        <v>68.900000000199995</v>
      </c>
      <c r="EG8">
        <v>76.6000000003</v>
      </c>
      <c r="EH8">
        <v>84.000000000699998</v>
      </c>
      <c r="EI8">
        <v>91.599999999700003</v>
      </c>
      <c r="EJ8">
        <v>99.299999999899995</v>
      </c>
      <c r="EK8">
        <v>107.6000000012</v>
      </c>
      <c r="EL8">
        <v>116.3000000015</v>
      </c>
      <c r="EM8">
        <v>125.3000000015</v>
      </c>
      <c r="EN8">
        <v>133.49999999990001</v>
      </c>
      <c r="EO8">
        <v>141.50000000150001</v>
      </c>
      <c r="EP8">
        <v>149.60000000060001</v>
      </c>
      <c r="EQ8">
        <v>157.80000000090001</v>
      </c>
      <c r="ER8">
        <v>166.3000000008</v>
      </c>
      <c r="ES8">
        <v>174.70000000140001</v>
      </c>
      <c r="ET8">
        <v>182.8999999998</v>
      </c>
      <c r="EU8">
        <v>190.70000000100001</v>
      </c>
      <c r="EV8">
        <v>198.9000000012</v>
      </c>
      <c r="EW8">
        <v>207.00000000029999</v>
      </c>
      <c r="EX8">
        <v>215.29999999980001</v>
      </c>
      <c r="EY8">
        <v>223.40000000079999</v>
      </c>
      <c r="EZ8">
        <v>231.40000000059999</v>
      </c>
      <c r="FA8">
        <v>239.0000000014</v>
      </c>
      <c r="FB8">
        <v>246.7000000015</v>
      </c>
      <c r="FC8">
        <v>254.3999999998</v>
      </c>
      <c r="FD8">
        <v>262.30000000029997</v>
      </c>
      <c r="FE8">
        <v>270.2000000008</v>
      </c>
      <c r="FF8">
        <v>278.00000000019998</v>
      </c>
      <c r="FG8">
        <v>285.20000000030001</v>
      </c>
      <c r="FH8">
        <v>292.10000000060001</v>
      </c>
      <c r="FI8">
        <v>299.50000000099999</v>
      </c>
      <c r="FJ8">
        <v>306.50000000059998</v>
      </c>
      <c r="FK8">
        <v>313.60000000129997</v>
      </c>
      <c r="FL8">
        <v>320.90000000060002</v>
      </c>
      <c r="FM8">
        <v>328.00000000130001</v>
      </c>
      <c r="FN8">
        <v>334.70000000120001</v>
      </c>
      <c r="FO8">
        <v>340.90000000110001</v>
      </c>
      <c r="FP8">
        <v>347.60000000100001</v>
      </c>
      <c r="FQ8">
        <v>354.19999999980001</v>
      </c>
      <c r="FR8">
        <v>360.30000000029997</v>
      </c>
      <c r="FS8">
        <v>366.40000000079999</v>
      </c>
      <c r="FT8">
        <v>372.6999999999</v>
      </c>
      <c r="FU8">
        <v>378.90000000150002</v>
      </c>
      <c r="FV8">
        <v>384.79999999979998</v>
      </c>
      <c r="FW8">
        <v>390.30000000090001</v>
      </c>
      <c r="FX8">
        <v>395.59999999979999</v>
      </c>
      <c r="FY8">
        <v>401.20000000020002</v>
      </c>
      <c r="FZ8">
        <v>406.70000000139999</v>
      </c>
      <c r="GA8">
        <v>411.90000000100002</v>
      </c>
      <c r="GB8">
        <v>417.00000000130001</v>
      </c>
      <c r="GC8">
        <v>422.20000000089999</v>
      </c>
      <c r="GD8">
        <v>427.20000000009998</v>
      </c>
      <c r="GE8">
        <v>432.00000000070003</v>
      </c>
      <c r="GF8">
        <v>436.60000000090002</v>
      </c>
      <c r="GG8">
        <v>440.90000000139997</v>
      </c>
      <c r="GH8">
        <v>444.90000000039998</v>
      </c>
      <c r="GI8">
        <v>449.00000000049999</v>
      </c>
      <c r="GJ8">
        <v>452.69999999980001</v>
      </c>
      <c r="GK8">
        <v>455.5</v>
      </c>
      <c r="GL8">
        <v>457.9000000012</v>
      </c>
      <c r="GM8">
        <v>460.20000000139999</v>
      </c>
      <c r="GN8">
        <v>461.60000000050002</v>
      </c>
      <c r="GO8">
        <v>461.69999999980001</v>
      </c>
      <c r="GP8">
        <v>461.80000000090001</v>
      </c>
      <c r="GQ8">
        <v>461.69999999980001</v>
      </c>
      <c r="GR8">
        <v>461.80000000090001</v>
      </c>
      <c r="GS8">
        <v>461.80000000090001</v>
      </c>
      <c r="GT8">
        <v>461.90000000020001</v>
      </c>
      <c r="GU8">
        <v>461.80000000090001</v>
      </c>
      <c r="GV8">
        <v>461.90000000020001</v>
      </c>
      <c r="GW8">
        <v>1</v>
      </c>
      <c r="GX8">
        <v>116</v>
      </c>
      <c r="GY8">
        <v>108.9000000011</v>
      </c>
      <c r="GZ8">
        <v>108.9000000011</v>
      </c>
      <c r="HA8">
        <v>125.3000000015</v>
      </c>
      <c r="HB8">
        <v>113.05769647229999</v>
      </c>
      <c r="HC8">
        <v>-16.400000000399999</v>
      </c>
      <c r="HD8">
        <v>461.90000000020001</v>
      </c>
      <c r="HE8">
        <v>285.74595150379997</v>
      </c>
      <c r="HF8">
        <v>93.634682832500005</v>
      </c>
      <c r="HG8">
        <v>461.90000000020001</v>
      </c>
      <c r="HH8">
        <v>461.90000000020001</v>
      </c>
      <c r="HI8">
        <v>461.90000000020001</v>
      </c>
      <c r="HJ8">
        <v>461.90000000020001</v>
      </c>
      <c r="HK8">
        <v>124.3401759531</v>
      </c>
      <c r="HL8">
        <v>3.3393889342</v>
      </c>
      <c r="HM8">
        <v>3.2462808546000002</v>
      </c>
      <c r="HN8">
        <v>3.2748652488999999</v>
      </c>
      <c r="HO8">
        <v>3.2109906522</v>
      </c>
      <c r="HP8">
        <v>3.5483166919000002</v>
      </c>
      <c r="HQ8">
        <v>2.2177200129000001</v>
      </c>
      <c r="HR8">
        <v>19.423013639800001</v>
      </c>
      <c r="HS8">
        <v>-28.152492668600001</v>
      </c>
      <c r="HT8">
        <v>-192</v>
      </c>
      <c r="HU8">
        <v>398.80364797620001</v>
      </c>
      <c r="HV8">
        <v>89.149560117299998</v>
      </c>
      <c r="HW8">
        <v>608</v>
      </c>
      <c r="HX8">
        <v>19.423013639800001</v>
      </c>
      <c r="HY8">
        <v>-28.152492668600001</v>
      </c>
      <c r="HZ8">
        <v>-192</v>
      </c>
      <c r="IA8">
        <v>398.80364797620001</v>
      </c>
      <c r="IB8">
        <v>89.149560117299998</v>
      </c>
      <c r="IC8">
        <v>608</v>
      </c>
      <c r="ID8">
        <v>63.0963520241</v>
      </c>
      <c r="IE8">
        <v>2.2251677861000001</v>
      </c>
      <c r="IF8">
        <v>-37.536656891500002</v>
      </c>
      <c r="IG8">
        <v>-256</v>
      </c>
      <c r="IH8">
        <v>420.51142022160002</v>
      </c>
      <c r="II8">
        <v>98.533724340199996</v>
      </c>
      <c r="IJ8">
        <v>672</v>
      </c>
      <c r="IK8">
        <v>379.38063433640002</v>
      </c>
      <c r="IL8">
        <v>117.3020527859</v>
      </c>
      <c r="IM8">
        <v>403.59831132369999</v>
      </c>
      <c r="IN8">
        <v>126.6862170088</v>
      </c>
      <c r="IO8">
        <v>7.2999999992999998</v>
      </c>
      <c r="IP8">
        <v>5.6000000003999997</v>
      </c>
      <c r="IQ8">
        <v>9</v>
      </c>
      <c r="IR8">
        <v>6.1725929685000001</v>
      </c>
      <c r="IS8">
        <v>6.1725929685000001</v>
      </c>
      <c r="IT8">
        <v>13.199999999399999</v>
      </c>
      <c r="IU8">
        <v>-30.4985337243</v>
      </c>
      <c r="IV8">
        <v>17.300000001299999</v>
      </c>
      <c r="IW8">
        <v>60.997067448700001</v>
      </c>
      <c r="IX8">
        <v>16.499999999700002</v>
      </c>
      <c r="IY8">
        <v>93.841642228699996</v>
      </c>
      <c r="IZ8">
        <v>-34.184052348900003</v>
      </c>
      <c r="JA8">
        <v>0.33347126519999998</v>
      </c>
      <c r="JB8">
        <v>-3.6207049999999999E-4</v>
      </c>
      <c r="JC8">
        <v>7.5369999999999998E-7</v>
      </c>
      <c r="JD8">
        <v>0.29945598420000002</v>
      </c>
      <c r="JE8">
        <v>0.31438744610000002</v>
      </c>
      <c r="JF8">
        <v>0.11779047469999999</v>
      </c>
      <c r="JG8">
        <v>113.657551642</v>
      </c>
      <c r="JH8">
        <v>3.5483166919000002</v>
      </c>
      <c r="JI8">
        <v>2.7621455999999999E-3</v>
      </c>
      <c r="JJ8">
        <v>-7.6462299999999995E-5</v>
      </c>
      <c r="JK8">
        <v>3.3393889342</v>
      </c>
      <c r="JL8">
        <v>1.7641740399000001</v>
      </c>
      <c r="JM8">
        <v>0.6365602346</v>
      </c>
      <c r="JN8" t="s">
        <v>538</v>
      </c>
      <c r="JQ8">
        <v>1</v>
      </c>
    </row>
    <row r="9" spans="1:277">
      <c r="A9" t="s">
        <v>620</v>
      </c>
      <c r="B9" t="s">
        <v>621</v>
      </c>
      <c r="C9" t="s">
        <v>212</v>
      </c>
      <c r="D9">
        <v>3</v>
      </c>
      <c r="E9" t="s">
        <v>213</v>
      </c>
      <c r="F9" t="s">
        <v>214</v>
      </c>
      <c r="G9" t="s">
        <v>537</v>
      </c>
      <c r="H9" t="s">
        <v>216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0</v>
      </c>
      <c r="R9">
        <v>0.39999999899999999</v>
      </c>
      <c r="S9">
        <v>0.39999999899999999</v>
      </c>
      <c r="T9">
        <v>0.39999999899999999</v>
      </c>
      <c r="U9">
        <v>0.39999999899999999</v>
      </c>
      <c r="V9">
        <v>0.50000000010000001</v>
      </c>
      <c r="W9">
        <v>0.50000000010000001</v>
      </c>
      <c r="X9">
        <v>0.50000000010000001</v>
      </c>
      <c r="Y9">
        <v>0.50000000010000001</v>
      </c>
      <c r="Z9">
        <v>0.59999999940000004</v>
      </c>
      <c r="AA9">
        <v>0.50000000010000001</v>
      </c>
      <c r="AB9">
        <v>0.59999999940000004</v>
      </c>
      <c r="AC9">
        <v>0.69999999869999996</v>
      </c>
      <c r="AD9">
        <v>0.69999999869999996</v>
      </c>
      <c r="AE9">
        <v>0.79999999980000003</v>
      </c>
      <c r="AF9">
        <v>0.89999999909999995</v>
      </c>
      <c r="AG9">
        <v>0.89999999909999995</v>
      </c>
      <c r="AH9">
        <v>2.3000000000999998</v>
      </c>
      <c r="AI9">
        <v>6.9000000003000004</v>
      </c>
      <c r="AJ9">
        <v>13.9999999992</v>
      </c>
      <c r="AK9">
        <v>21.399999999599999</v>
      </c>
      <c r="AL9">
        <v>28.499999998500002</v>
      </c>
      <c r="AM9">
        <v>35.0999999991</v>
      </c>
      <c r="AN9">
        <v>42.299999999199997</v>
      </c>
      <c r="AO9">
        <v>49.6000000003</v>
      </c>
      <c r="AP9">
        <v>56.800000000300003</v>
      </c>
      <c r="AQ9">
        <v>64.999999998700005</v>
      </c>
      <c r="AR9">
        <v>73.499999998600003</v>
      </c>
      <c r="AS9">
        <v>81.299999999799994</v>
      </c>
      <c r="AT9">
        <v>88.700000000200006</v>
      </c>
      <c r="AU9">
        <v>96.499999999699995</v>
      </c>
      <c r="AV9">
        <v>104.4000000002</v>
      </c>
      <c r="AW9">
        <v>112.6999999997</v>
      </c>
      <c r="AX9">
        <v>121.6999999997</v>
      </c>
      <c r="AY9">
        <v>130.19999999960001</v>
      </c>
      <c r="AZ9">
        <v>138.19999999940001</v>
      </c>
      <c r="BA9">
        <v>146.09999999990001</v>
      </c>
      <c r="BB9">
        <v>153.9999999986</v>
      </c>
      <c r="BC9">
        <v>162.30000000000001</v>
      </c>
      <c r="BD9">
        <v>171.19999999890001</v>
      </c>
      <c r="BE9">
        <v>179.5999999995</v>
      </c>
      <c r="BF9">
        <v>187.5999999993</v>
      </c>
      <c r="BG9">
        <v>195.59999999909999</v>
      </c>
      <c r="BH9">
        <v>203.79999999930001</v>
      </c>
      <c r="BI9">
        <v>211.99999999950001</v>
      </c>
      <c r="BJ9">
        <v>220.1999999997</v>
      </c>
      <c r="BK9">
        <v>228.4999999993</v>
      </c>
      <c r="BL9">
        <v>236.2999999987</v>
      </c>
      <c r="BM9">
        <v>243.80000000019999</v>
      </c>
      <c r="BN9">
        <v>251.39999999919999</v>
      </c>
      <c r="BO9">
        <v>259.0999999993</v>
      </c>
      <c r="BP9">
        <v>266.89999999870003</v>
      </c>
      <c r="BQ9">
        <v>274.6999999999</v>
      </c>
      <c r="BR9">
        <v>282.29999999889998</v>
      </c>
      <c r="BS9">
        <v>289.39999999970001</v>
      </c>
      <c r="BT9">
        <v>296.4999999986</v>
      </c>
      <c r="BU9">
        <v>303.5</v>
      </c>
      <c r="BV9">
        <v>310.4000000003</v>
      </c>
      <c r="BW9">
        <v>317.49999999919999</v>
      </c>
      <c r="BX9">
        <v>324.69999999919997</v>
      </c>
      <c r="BY9">
        <v>331.59999999950003</v>
      </c>
      <c r="BZ9">
        <v>337.99999999969998</v>
      </c>
      <c r="CA9">
        <v>344.29999999879999</v>
      </c>
      <c r="CB9">
        <v>350.59999999979999</v>
      </c>
      <c r="CC9">
        <v>356.7999999996</v>
      </c>
      <c r="CD9">
        <v>363.09999999870001</v>
      </c>
      <c r="CE9">
        <v>369.30000000029997</v>
      </c>
      <c r="CF9">
        <v>375.39999999899999</v>
      </c>
      <c r="CG9">
        <v>381.40000000020001</v>
      </c>
      <c r="CH9">
        <v>387.19999999919997</v>
      </c>
      <c r="CI9">
        <v>392.6999999985</v>
      </c>
      <c r="CJ9">
        <v>398.19999999959998</v>
      </c>
      <c r="CK9">
        <v>403.69999999890001</v>
      </c>
      <c r="CL9">
        <v>409.20000000009998</v>
      </c>
      <c r="CM9">
        <v>414.60000000010001</v>
      </c>
      <c r="CN9">
        <v>419.89999999899999</v>
      </c>
      <c r="CO9">
        <v>424.99999999929997</v>
      </c>
      <c r="CP9">
        <v>430.09999999960002</v>
      </c>
      <c r="CQ9">
        <v>435.2999999992</v>
      </c>
      <c r="CR9">
        <v>440.19999999909999</v>
      </c>
      <c r="CS9">
        <v>444.89999999859998</v>
      </c>
      <c r="CT9">
        <v>449.59999999989998</v>
      </c>
      <c r="CU9">
        <v>453.99999999969998</v>
      </c>
      <c r="CV9">
        <v>456.89999999920002</v>
      </c>
      <c r="CW9">
        <v>457.4999999986</v>
      </c>
      <c r="CX9">
        <v>457.39999999930001</v>
      </c>
      <c r="CY9">
        <v>457.4999999986</v>
      </c>
      <c r="CZ9">
        <v>457.4999999986</v>
      </c>
      <c r="DA9">
        <v>457.39999999930001</v>
      </c>
      <c r="DB9">
        <v>457.39999999930001</v>
      </c>
      <c r="DC9">
        <v>457.39999999930001</v>
      </c>
      <c r="DD9">
        <v>457.3</v>
      </c>
      <c r="DE9">
        <v>457.39999999930001</v>
      </c>
      <c r="DF9">
        <v>457.3</v>
      </c>
      <c r="DG9">
        <v>1.0999999995</v>
      </c>
      <c r="DH9">
        <v>1.6999999989000001</v>
      </c>
      <c r="DI9">
        <v>1.8</v>
      </c>
      <c r="DJ9">
        <v>1.8</v>
      </c>
      <c r="DK9">
        <v>1.8999999993000001</v>
      </c>
      <c r="DL9">
        <v>1.8999999993000001</v>
      </c>
      <c r="DM9">
        <v>1.8999999993000001</v>
      </c>
      <c r="DN9">
        <v>1.8999999993000001</v>
      </c>
      <c r="DO9">
        <v>1.8999999993000001</v>
      </c>
      <c r="DP9">
        <v>1.8999999993000001</v>
      </c>
      <c r="DQ9">
        <v>1.8999999993000001</v>
      </c>
      <c r="DR9">
        <v>1.8999999993000001</v>
      </c>
      <c r="DS9">
        <v>1.9999999986000001</v>
      </c>
      <c r="DT9">
        <v>1.9999999986000001</v>
      </c>
      <c r="DU9">
        <v>1.9999999986000001</v>
      </c>
      <c r="DV9">
        <v>2.3000000000999998</v>
      </c>
      <c r="DW9">
        <v>5.6999999997000002</v>
      </c>
      <c r="DX9">
        <v>12.999999999</v>
      </c>
      <c r="DY9">
        <v>20.399999999399999</v>
      </c>
      <c r="DZ9">
        <v>27.599999999400001</v>
      </c>
      <c r="EA9">
        <v>34.599999998999998</v>
      </c>
      <c r="EB9">
        <v>41.5999999987</v>
      </c>
      <c r="EC9">
        <v>48.699999999399999</v>
      </c>
      <c r="ED9">
        <v>55.899999999400002</v>
      </c>
      <c r="EE9">
        <v>64.099999999600001</v>
      </c>
      <c r="EF9">
        <v>72.199999998699994</v>
      </c>
      <c r="EG9">
        <v>80.099999999199994</v>
      </c>
      <c r="EH9">
        <v>87.599999998900003</v>
      </c>
      <c r="EI9">
        <v>95.400000000199995</v>
      </c>
      <c r="EJ9">
        <v>103.1000000003</v>
      </c>
      <c r="EK9">
        <v>111.3999999998</v>
      </c>
      <c r="EL9">
        <v>120.1000000001</v>
      </c>
      <c r="EM9">
        <v>128.69999999929999</v>
      </c>
      <c r="EN9">
        <v>136.99999999880001</v>
      </c>
      <c r="EO9">
        <v>145.0999999997</v>
      </c>
      <c r="EP9">
        <v>153.0000000002</v>
      </c>
      <c r="EQ9">
        <v>161.29999999980001</v>
      </c>
      <c r="ER9">
        <v>170.19999999870001</v>
      </c>
      <c r="ES9">
        <v>178.69999999859999</v>
      </c>
      <c r="ET9">
        <v>186.79999999949999</v>
      </c>
      <c r="EU9">
        <v>194.7</v>
      </c>
      <c r="EV9">
        <v>202.99999999950001</v>
      </c>
      <c r="EW9">
        <v>211.1999999997</v>
      </c>
      <c r="EX9">
        <v>219.59999999850001</v>
      </c>
      <c r="EY9">
        <v>227.89999999989999</v>
      </c>
      <c r="EZ9">
        <v>235.99999999900001</v>
      </c>
      <c r="FA9">
        <v>243.80000000019999</v>
      </c>
      <c r="FB9">
        <v>251.69999999890001</v>
      </c>
      <c r="FC9">
        <v>259.50000000009999</v>
      </c>
      <c r="FD9">
        <v>267.39999999880001</v>
      </c>
      <c r="FE9">
        <v>275.29999999929998</v>
      </c>
      <c r="FF9">
        <v>283.09999999870001</v>
      </c>
      <c r="FG9">
        <v>290.29999999879999</v>
      </c>
      <c r="FH9">
        <v>297.49999999879998</v>
      </c>
      <c r="FI9">
        <v>304.79999999990002</v>
      </c>
      <c r="FJ9">
        <v>311.99999999990001</v>
      </c>
      <c r="FK9">
        <v>319.1999999999</v>
      </c>
      <c r="FL9">
        <v>326.39999999989999</v>
      </c>
      <c r="FM9">
        <v>333.49999999879998</v>
      </c>
      <c r="FN9">
        <v>340.09999999939998</v>
      </c>
      <c r="FO9">
        <v>346.59999999889999</v>
      </c>
      <c r="FP9">
        <v>353.10000000029999</v>
      </c>
      <c r="FQ9">
        <v>359.59999999979999</v>
      </c>
      <c r="FR9">
        <v>366</v>
      </c>
      <c r="FS9">
        <v>372.19999999980001</v>
      </c>
      <c r="FT9">
        <v>378.49999999890002</v>
      </c>
      <c r="FU9">
        <v>384.69999999869998</v>
      </c>
      <c r="FV9">
        <v>390.49999999950001</v>
      </c>
      <c r="FW9">
        <v>395.99999999879998</v>
      </c>
      <c r="FX9">
        <v>401.6999999985</v>
      </c>
      <c r="FY9">
        <v>407.29999999889998</v>
      </c>
      <c r="FZ9">
        <v>412.8000000001</v>
      </c>
      <c r="GA9">
        <v>418.09999999899998</v>
      </c>
      <c r="GB9">
        <v>423.19999999930002</v>
      </c>
      <c r="GC9">
        <v>428.3999999989</v>
      </c>
      <c r="GD9">
        <v>433.60000000029999</v>
      </c>
      <c r="GE9">
        <v>438.39999999909998</v>
      </c>
      <c r="GF9">
        <v>442.79999999889998</v>
      </c>
      <c r="GG9">
        <v>447.29999999979998</v>
      </c>
      <c r="GH9">
        <v>451.49999999919999</v>
      </c>
      <c r="GI9">
        <v>455.09999999920001</v>
      </c>
      <c r="GJ9">
        <v>456.99999999850002</v>
      </c>
      <c r="GK9">
        <v>457.3</v>
      </c>
      <c r="GL9">
        <v>457.3</v>
      </c>
      <c r="GM9">
        <v>457.3</v>
      </c>
      <c r="GN9">
        <v>457.3</v>
      </c>
      <c r="GO9">
        <v>457.39999999930001</v>
      </c>
      <c r="GP9">
        <v>457.3</v>
      </c>
      <c r="GQ9">
        <v>457.3</v>
      </c>
      <c r="GR9">
        <v>457.3</v>
      </c>
      <c r="GS9">
        <v>457.39999999930001</v>
      </c>
      <c r="GT9">
        <v>457.39999999930001</v>
      </c>
      <c r="GU9">
        <v>457.39999999930001</v>
      </c>
      <c r="GV9">
        <v>457.39999999930001</v>
      </c>
      <c r="GW9">
        <v>1</v>
      </c>
      <c r="GX9">
        <v>119.8999999997</v>
      </c>
      <c r="GY9">
        <v>112.6999999997</v>
      </c>
      <c r="GZ9">
        <v>112.6999999997</v>
      </c>
      <c r="HA9">
        <v>128.69999999929999</v>
      </c>
      <c r="HB9">
        <v>116.9216635694</v>
      </c>
      <c r="HC9">
        <v>-15.9999999996</v>
      </c>
      <c r="HD9">
        <v>457.39997813899998</v>
      </c>
      <c r="HE9">
        <v>294.2202973007</v>
      </c>
      <c r="HF9">
        <v>102.30327904729999</v>
      </c>
      <c r="HG9">
        <v>457.4999999986</v>
      </c>
      <c r="HH9">
        <v>457.39999999930001</v>
      </c>
      <c r="HI9">
        <v>457.4999999986</v>
      </c>
      <c r="HJ9">
        <v>457.39999999930001</v>
      </c>
      <c r="HK9">
        <v>114.9560117302</v>
      </c>
      <c r="HL9">
        <v>3.3593337030999999</v>
      </c>
      <c r="HM9">
        <v>3.2509312812000002</v>
      </c>
      <c r="HN9">
        <v>3.2907187793000001</v>
      </c>
      <c r="HO9">
        <v>3.1703731601</v>
      </c>
      <c r="HP9">
        <v>3.5780435276000002</v>
      </c>
      <c r="HQ9">
        <v>2.1453772166</v>
      </c>
      <c r="HR9">
        <v>14.6183845221</v>
      </c>
      <c r="HS9">
        <v>-30.4985337243</v>
      </c>
      <c r="HT9">
        <v>-208</v>
      </c>
      <c r="HU9">
        <v>411.14196087009998</v>
      </c>
      <c r="HV9">
        <v>91.495601172999997</v>
      </c>
      <c r="HW9">
        <v>624</v>
      </c>
      <c r="HX9">
        <v>14.6183845221</v>
      </c>
      <c r="HY9">
        <v>-30.4985337243</v>
      </c>
      <c r="HZ9">
        <v>-208</v>
      </c>
      <c r="IA9">
        <v>411.14196087009998</v>
      </c>
      <c r="IB9">
        <v>91.495601172999997</v>
      </c>
      <c r="IC9">
        <v>624</v>
      </c>
      <c r="ID9">
        <v>46.2580391292</v>
      </c>
      <c r="IE9">
        <v>0.90489670909999997</v>
      </c>
      <c r="IF9">
        <v>-39.8826979472</v>
      </c>
      <c r="IG9">
        <v>-272</v>
      </c>
      <c r="IH9">
        <v>432.68057711249998</v>
      </c>
      <c r="II9">
        <v>100.87976539589999</v>
      </c>
      <c r="IJ9">
        <v>688</v>
      </c>
      <c r="IK9">
        <v>396.52357634800001</v>
      </c>
      <c r="IL9">
        <v>121.9941348974</v>
      </c>
      <c r="IM9">
        <v>419.45862935769998</v>
      </c>
      <c r="IN9">
        <v>131.37829912020001</v>
      </c>
      <c r="IO9">
        <v>7.4000000004000004</v>
      </c>
      <c r="IP9">
        <v>5.5000000011000001</v>
      </c>
      <c r="IQ9">
        <v>9</v>
      </c>
      <c r="IR9">
        <v>6.8602912985</v>
      </c>
      <c r="IS9">
        <v>6.8602912985</v>
      </c>
      <c r="IT9">
        <v>13.4999999991</v>
      </c>
      <c r="IU9">
        <v>-32.844574780099997</v>
      </c>
      <c r="IV9">
        <v>16.399999998599998</v>
      </c>
      <c r="IW9">
        <v>14.0762463343</v>
      </c>
      <c r="IX9">
        <v>14.4</v>
      </c>
      <c r="IY9">
        <v>93.841642228699996</v>
      </c>
      <c r="IZ9">
        <v>-35.263171901600003</v>
      </c>
      <c r="JA9">
        <v>0.33555354790000003</v>
      </c>
      <c r="JB9">
        <v>-3.8100539999999999E-4</v>
      </c>
      <c r="JC9">
        <v>7.639E-7</v>
      </c>
      <c r="JD9">
        <v>0.29767807800000001</v>
      </c>
      <c r="JE9">
        <v>0.2211642536</v>
      </c>
      <c r="JF9">
        <v>8.33797763E-2</v>
      </c>
      <c r="JG9">
        <v>117.5850524267</v>
      </c>
      <c r="JH9">
        <v>3.5780435276000002</v>
      </c>
      <c r="JI9">
        <v>3.0552931000000002E-3</v>
      </c>
      <c r="JJ9">
        <v>-7.9307600000000006E-5</v>
      </c>
      <c r="JK9">
        <v>3.3593337030999999</v>
      </c>
      <c r="JL9">
        <v>1.3501473787</v>
      </c>
      <c r="JM9">
        <v>0.6025036667</v>
      </c>
      <c r="JN9" t="s">
        <v>538</v>
      </c>
      <c r="JQ9">
        <v>1</v>
      </c>
    </row>
    <row r="10" spans="1:277">
      <c r="A10" t="s">
        <v>633</v>
      </c>
      <c r="B10" t="s">
        <v>634</v>
      </c>
      <c r="C10" t="s">
        <v>212</v>
      </c>
      <c r="D10">
        <v>3</v>
      </c>
      <c r="E10" t="s">
        <v>213</v>
      </c>
      <c r="F10" t="s">
        <v>214</v>
      </c>
      <c r="G10" t="s">
        <v>537</v>
      </c>
      <c r="H10" t="s">
        <v>216</v>
      </c>
      <c r="J10" t="s">
        <v>624</v>
      </c>
      <c r="K10" t="s">
        <v>625</v>
      </c>
      <c r="L10" t="s">
        <v>626</v>
      </c>
      <c r="M10" t="s">
        <v>627</v>
      </c>
      <c r="N10" t="s">
        <v>628</v>
      </c>
      <c r="O10">
        <v>0</v>
      </c>
      <c r="P10">
        <v>0</v>
      </c>
      <c r="Q10">
        <v>1.7000000007</v>
      </c>
      <c r="R10">
        <v>0.20000000039999999</v>
      </c>
      <c r="S10">
        <v>0.20000000039999999</v>
      </c>
      <c r="T10">
        <v>0.1000000011</v>
      </c>
      <c r="U10">
        <v>0.1000000011</v>
      </c>
      <c r="V10">
        <v>0.1000000011</v>
      </c>
      <c r="W10">
        <v>0</v>
      </c>
      <c r="X10">
        <v>0.1000000011</v>
      </c>
      <c r="Y10">
        <v>0.1000000011</v>
      </c>
      <c r="Z10">
        <v>0.1000000011</v>
      </c>
      <c r="AA10">
        <v>0.1000000011</v>
      </c>
      <c r="AB10">
        <v>0</v>
      </c>
      <c r="AC10">
        <v>0</v>
      </c>
      <c r="AD10">
        <v>0.1000000011</v>
      </c>
      <c r="AE10">
        <v>0.1000000011</v>
      </c>
      <c r="AF10">
        <v>0.20000000039999999</v>
      </c>
      <c r="AG10">
        <v>0.20000000039999999</v>
      </c>
      <c r="AH10">
        <v>1.2999999999</v>
      </c>
      <c r="AI10">
        <v>5.9000000001000004</v>
      </c>
      <c r="AJ10">
        <v>13.0000000008</v>
      </c>
      <c r="AK10">
        <v>19.600000001400002</v>
      </c>
      <c r="AL10">
        <v>25.9000000005</v>
      </c>
      <c r="AM10">
        <v>32.700000001600003</v>
      </c>
      <c r="AN10">
        <v>40.399999999899997</v>
      </c>
      <c r="AO10">
        <v>48.000000000699998</v>
      </c>
      <c r="AP10">
        <v>55.800000000099999</v>
      </c>
      <c r="AQ10">
        <v>64.100000001400005</v>
      </c>
      <c r="AR10">
        <v>71.6000000011</v>
      </c>
      <c r="AS10">
        <v>78.900000000399999</v>
      </c>
      <c r="AT10">
        <v>86.500000001299995</v>
      </c>
      <c r="AU10">
        <v>94.700000001500001</v>
      </c>
      <c r="AV10">
        <v>102.80000000059999</v>
      </c>
      <c r="AW10">
        <v>111.5000000009</v>
      </c>
      <c r="AX10">
        <v>120.1000000001</v>
      </c>
      <c r="AY10">
        <v>127.8000000002</v>
      </c>
      <c r="AZ10">
        <v>135.80000000000001</v>
      </c>
      <c r="BA10">
        <v>144.2999999999</v>
      </c>
      <c r="BB10">
        <v>152.6000000013</v>
      </c>
      <c r="BC10">
        <v>161.30000000160001</v>
      </c>
      <c r="BD10">
        <v>170.00000000009999</v>
      </c>
      <c r="BE10">
        <v>177.6000000009</v>
      </c>
      <c r="BF10">
        <v>185.4000000003</v>
      </c>
      <c r="BG10">
        <v>193.80000000090001</v>
      </c>
      <c r="BH10">
        <v>202.1000000004</v>
      </c>
      <c r="BI10">
        <v>210.20000000140001</v>
      </c>
      <c r="BJ10">
        <v>218.30000000050001</v>
      </c>
      <c r="BK10">
        <v>226.00000000060001</v>
      </c>
      <c r="BL10">
        <v>234.00000000040001</v>
      </c>
      <c r="BM10">
        <v>242.1000000013</v>
      </c>
      <c r="BN10">
        <v>250</v>
      </c>
      <c r="BO10">
        <v>257.70000000009998</v>
      </c>
      <c r="BP10">
        <v>265.800000001</v>
      </c>
      <c r="BQ10">
        <v>273.80000000080003</v>
      </c>
      <c r="BR10">
        <v>280.60000000000002</v>
      </c>
      <c r="BS10">
        <v>287.60000000150001</v>
      </c>
      <c r="BT10">
        <v>295.20000000049998</v>
      </c>
      <c r="BU10">
        <v>302.50000000159997</v>
      </c>
      <c r="BV10">
        <v>309.40000000010002</v>
      </c>
      <c r="BW10">
        <v>316.50000000080001</v>
      </c>
      <c r="BX10">
        <v>323.3</v>
      </c>
      <c r="BY10">
        <v>329.80000000130002</v>
      </c>
      <c r="BZ10">
        <v>336.40000000010002</v>
      </c>
      <c r="CA10">
        <v>343.1</v>
      </c>
      <c r="CB10">
        <v>349.70000000070002</v>
      </c>
      <c r="CC10">
        <v>356.00000000159997</v>
      </c>
      <c r="CD10">
        <v>362.10000000029999</v>
      </c>
      <c r="CE10">
        <v>368.2000000008</v>
      </c>
      <c r="CF10">
        <v>374.20000000020002</v>
      </c>
      <c r="CG10">
        <v>379.89999999989999</v>
      </c>
      <c r="CH10">
        <v>385.60000000140002</v>
      </c>
      <c r="CI10">
        <v>391.30000000109999</v>
      </c>
      <c r="CJ10">
        <v>397.20000000120001</v>
      </c>
      <c r="CK10">
        <v>402.79999999979998</v>
      </c>
      <c r="CL10">
        <v>408.10000000060001</v>
      </c>
      <c r="CM10">
        <v>413.40000000129999</v>
      </c>
      <c r="CN10">
        <v>418.80000000130002</v>
      </c>
      <c r="CO10">
        <v>423.80000000050001</v>
      </c>
      <c r="CP10">
        <v>428.7000000004</v>
      </c>
      <c r="CQ10">
        <v>433.70000000139999</v>
      </c>
      <c r="CR10">
        <v>438.60000000129997</v>
      </c>
      <c r="CS10">
        <v>443.50000000120002</v>
      </c>
      <c r="CT10">
        <v>448.7000000008</v>
      </c>
      <c r="CU10">
        <v>453.10000000060001</v>
      </c>
      <c r="CV10">
        <v>455.6000000011</v>
      </c>
      <c r="CW10">
        <v>456.00000000009999</v>
      </c>
      <c r="CX10">
        <v>456.00000000009999</v>
      </c>
      <c r="CY10">
        <v>455.90000000079999</v>
      </c>
      <c r="CZ10">
        <v>455.90000000079999</v>
      </c>
      <c r="DA10">
        <v>455.8000000015</v>
      </c>
      <c r="DB10">
        <v>455.8000000015</v>
      </c>
      <c r="DC10">
        <v>455.7000000004</v>
      </c>
      <c r="DD10">
        <v>455.7000000004</v>
      </c>
      <c r="DE10">
        <v>455.6000000011</v>
      </c>
      <c r="DF10">
        <v>455.6000000011</v>
      </c>
      <c r="DG10">
        <v>3.7000000010999998</v>
      </c>
      <c r="DH10">
        <v>2.1000000015000002</v>
      </c>
      <c r="DI10">
        <v>2.1000000015000002</v>
      </c>
      <c r="DJ10">
        <v>2.0000000004</v>
      </c>
      <c r="DK10">
        <v>2.0000000004</v>
      </c>
      <c r="DL10">
        <v>1.9000000011</v>
      </c>
      <c r="DM10">
        <v>2.0000000004</v>
      </c>
      <c r="DN10">
        <v>1.9000000011</v>
      </c>
      <c r="DO10">
        <v>1.9000000011</v>
      </c>
      <c r="DP10">
        <v>1.9000000011</v>
      </c>
      <c r="DQ10">
        <v>1.9000000011</v>
      </c>
      <c r="DR10">
        <v>2.0000000004</v>
      </c>
      <c r="DS10">
        <v>2.0000000004</v>
      </c>
      <c r="DT10">
        <v>2.1000000015000002</v>
      </c>
      <c r="DU10">
        <v>2.1000000015000002</v>
      </c>
      <c r="DV10">
        <v>2.2000000007999998</v>
      </c>
      <c r="DW10">
        <v>5.5000000011000001</v>
      </c>
      <c r="DX10">
        <v>12.200000000999999</v>
      </c>
      <c r="DY10">
        <v>18.600000001200002</v>
      </c>
      <c r="DZ10">
        <v>25.000000001499998</v>
      </c>
      <c r="EA10">
        <v>32.200000001500001</v>
      </c>
      <c r="EB10">
        <v>39.700000001200003</v>
      </c>
      <c r="EC10">
        <v>47.700000000999999</v>
      </c>
      <c r="ED10">
        <v>55.800000000099999</v>
      </c>
      <c r="EE10">
        <v>63.200000000499998</v>
      </c>
      <c r="EF10">
        <v>70.200000000100005</v>
      </c>
      <c r="EG10">
        <v>77.400000000099993</v>
      </c>
      <c r="EH10">
        <v>85.300000000599994</v>
      </c>
      <c r="EI10">
        <v>93.600000000199998</v>
      </c>
      <c r="EJ10">
        <v>102.1000000001</v>
      </c>
      <c r="EK10">
        <v>110.8000000004</v>
      </c>
      <c r="EL10">
        <v>118.9000000013</v>
      </c>
      <c r="EM10">
        <v>126.400000001</v>
      </c>
      <c r="EN10">
        <v>134.50000000009999</v>
      </c>
      <c r="EO10">
        <v>143.1000000011</v>
      </c>
      <c r="EP10">
        <v>151.90000000079999</v>
      </c>
      <c r="EQ10">
        <v>160.8000000015</v>
      </c>
      <c r="ER10">
        <v>169.10000000100001</v>
      </c>
      <c r="ES10">
        <v>176.7</v>
      </c>
      <c r="ET10">
        <v>184.70000000159999</v>
      </c>
      <c r="EU10">
        <v>193.3000000008</v>
      </c>
      <c r="EV10">
        <v>201.9</v>
      </c>
      <c r="EW10">
        <v>210.39999999989999</v>
      </c>
      <c r="EX10">
        <v>218.6000000002</v>
      </c>
      <c r="EY10">
        <v>226.3000000003</v>
      </c>
      <c r="EZ10">
        <v>234.10000000150001</v>
      </c>
      <c r="FA10">
        <v>242.400000001</v>
      </c>
      <c r="FB10">
        <v>250.50000000009999</v>
      </c>
      <c r="FC10">
        <v>258.49999999990001</v>
      </c>
      <c r="FD10">
        <v>266.2</v>
      </c>
      <c r="FE10">
        <v>273.80000000080003</v>
      </c>
      <c r="FF10">
        <v>281.30000000059999</v>
      </c>
      <c r="FG10">
        <v>289.00000000070003</v>
      </c>
      <c r="FH10">
        <v>296.60000000150001</v>
      </c>
      <c r="FI10">
        <v>304.10000000119999</v>
      </c>
      <c r="FJ10">
        <v>311.30000000119998</v>
      </c>
      <c r="FK10">
        <v>318.40000000010002</v>
      </c>
      <c r="FL10">
        <v>325.40000000150002</v>
      </c>
      <c r="FM10">
        <v>332.3</v>
      </c>
      <c r="FN10">
        <v>339.20000000030001</v>
      </c>
      <c r="FO10">
        <v>346.0000000014</v>
      </c>
      <c r="FP10">
        <v>352.89999999989999</v>
      </c>
      <c r="FQ10">
        <v>359.50000000049999</v>
      </c>
      <c r="FR10">
        <v>365.9000000007</v>
      </c>
      <c r="FS10">
        <v>372.10000000050002</v>
      </c>
      <c r="FT10">
        <v>378.09999999989998</v>
      </c>
      <c r="FU10">
        <v>384.1000000011</v>
      </c>
      <c r="FV10">
        <v>390.10000000050002</v>
      </c>
      <c r="FW10">
        <v>396.00000000059998</v>
      </c>
      <c r="FX10">
        <v>401.70000000030001</v>
      </c>
      <c r="FY10">
        <v>407.10000000039997</v>
      </c>
      <c r="FZ10">
        <v>412.50000000040001</v>
      </c>
      <c r="GA10">
        <v>417.80000000109999</v>
      </c>
      <c r="GB10">
        <v>423.00000000070003</v>
      </c>
      <c r="GC10">
        <v>427.80000000130002</v>
      </c>
      <c r="GD10">
        <v>432.60000000010001</v>
      </c>
      <c r="GE10">
        <v>437.30000000140001</v>
      </c>
      <c r="GF10">
        <v>441.8999999998</v>
      </c>
      <c r="GG10">
        <v>446.7000000004</v>
      </c>
      <c r="GH10">
        <v>450.80000000050001</v>
      </c>
      <c r="GI10">
        <v>454.10000000079998</v>
      </c>
      <c r="GJ10">
        <v>455.5</v>
      </c>
      <c r="GK10">
        <v>455.7000000004</v>
      </c>
      <c r="GL10">
        <v>455.7000000004</v>
      </c>
      <c r="GM10">
        <v>455.7000000004</v>
      </c>
      <c r="GN10">
        <v>455.7000000004</v>
      </c>
      <c r="GO10">
        <v>455.7000000004</v>
      </c>
      <c r="GP10">
        <v>455.6000000011</v>
      </c>
      <c r="GQ10">
        <v>455.6000000011</v>
      </c>
      <c r="GR10">
        <v>455.5</v>
      </c>
      <c r="GS10">
        <v>455.5</v>
      </c>
      <c r="GT10">
        <v>455.4000000007</v>
      </c>
      <c r="GU10">
        <v>455.5</v>
      </c>
      <c r="GV10">
        <v>455.5</v>
      </c>
      <c r="GW10">
        <v>1</v>
      </c>
      <c r="GX10">
        <v>116.3000000015</v>
      </c>
      <c r="GY10">
        <v>111.5000000009</v>
      </c>
      <c r="GZ10">
        <v>111.5000000009</v>
      </c>
      <c r="HA10">
        <v>126.400000001</v>
      </c>
      <c r="HB10">
        <v>115.38802237669999</v>
      </c>
      <c r="HC10">
        <v>-14.9000000001</v>
      </c>
      <c r="HD10">
        <v>455.50006581119999</v>
      </c>
      <c r="HE10">
        <v>289.7484589224</v>
      </c>
      <c r="HF10">
        <v>95.072128989299998</v>
      </c>
      <c r="HG10">
        <v>456.00000000009999</v>
      </c>
      <c r="HH10">
        <v>455.70002193750003</v>
      </c>
      <c r="HI10">
        <v>456.00000000009999</v>
      </c>
      <c r="HJ10">
        <v>455.7000000004</v>
      </c>
      <c r="HK10">
        <v>114.9560117302</v>
      </c>
      <c r="HL10">
        <v>3.3874097978000002</v>
      </c>
      <c r="HM10">
        <v>3.2556977183</v>
      </c>
      <c r="HN10">
        <v>3.317764129</v>
      </c>
      <c r="HO10">
        <v>3.2304313813999999</v>
      </c>
      <c r="HP10">
        <v>3.5901370936000001</v>
      </c>
      <c r="HQ10">
        <v>2.255048999</v>
      </c>
      <c r="HR10">
        <v>20.315893387500001</v>
      </c>
      <c r="HS10">
        <v>-28.152492668600001</v>
      </c>
      <c r="HT10">
        <v>-192</v>
      </c>
      <c r="HU10">
        <v>405.13648129910001</v>
      </c>
      <c r="HV10">
        <v>89.149560117299998</v>
      </c>
      <c r="HW10">
        <v>608</v>
      </c>
      <c r="HX10">
        <v>20.315893387500001</v>
      </c>
      <c r="HY10">
        <v>-28.152492668600001</v>
      </c>
      <c r="HZ10">
        <v>-192</v>
      </c>
      <c r="IA10">
        <v>405.13648129910001</v>
      </c>
      <c r="IB10">
        <v>89.149560117299998</v>
      </c>
      <c r="IC10">
        <v>608</v>
      </c>
      <c r="ID10">
        <v>50.563540638299997</v>
      </c>
      <c r="IE10">
        <v>0.23313590040000001</v>
      </c>
      <c r="IF10">
        <v>-37.536656891500002</v>
      </c>
      <c r="IG10">
        <v>-256</v>
      </c>
      <c r="IH10">
        <v>426.68647581570002</v>
      </c>
      <c r="II10">
        <v>98.533724340199996</v>
      </c>
      <c r="IJ10">
        <v>672</v>
      </c>
      <c r="IK10">
        <v>384.82058791169999</v>
      </c>
      <c r="IL10">
        <v>117.3020527859</v>
      </c>
      <c r="IM10">
        <v>410.05986618489999</v>
      </c>
      <c r="IN10">
        <v>126.6862170088</v>
      </c>
      <c r="IO10">
        <v>7.1000000006999997</v>
      </c>
      <c r="IP10">
        <v>5.4</v>
      </c>
      <c r="IQ10">
        <v>8.9000000007000004</v>
      </c>
      <c r="IR10">
        <v>5.9600778459999999</v>
      </c>
      <c r="IS10">
        <v>5.9600778459999999</v>
      </c>
      <c r="IT10">
        <v>12.700000001099999</v>
      </c>
      <c r="IU10">
        <v>-32.844574780099997</v>
      </c>
      <c r="IV10">
        <v>16.599999999000001</v>
      </c>
      <c r="IW10">
        <v>23.460410557199999</v>
      </c>
      <c r="IX10">
        <v>15.0000000012</v>
      </c>
      <c r="IY10">
        <v>93.841642228699996</v>
      </c>
      <c r="IZ10">
        <v>-34.5224417262</v>
      </c>
      <c r="JA10">
        <v>0.33137486430000002</v>
      </c>
      <c r="JB10">
        <v>-3.6011760000000001E-4</v>
      </c>
      <c r="JC10">
        <v>7.2689999999999998E-7</v>
      </c>
      <c r="JD10">
        <v>0.29521081290000001</v>
      </c>
      <c r="JE10">
        <v>0.2196889732</v>
      </c>
      <c r="JF10">
        <v>8.0856517899999994E-2</v>
      </c>
      <c r="JG10">
        <v>115.77113495810001</v>
      </c>
      <c r="JH10">
        <v>3.5901370936000001</v>
      </c>
      <c r="JI10">
        <v>3.0581788999999998E-3</v>
      </c>
      <c r="JJ10">
        <v>-7.8864399999999997E-5</v>
      </c>
      <c r="JK10">
        <v>3.3874097978000002</v>
      </c>
      <c r="JL10">
        <v>1.4325961774</v>
      </c>
      <c r="JM10">
        <v>0.4504424481</v>
      </c>
      <c r="JN10" t="s">
        <v>538</v>
      </c>
      <c r="JQ10">
        <v>1</v>
      </c>
    </row>
    <row r="11" spans="1:277">
      <c r="A11" t="s">
        <v>662</v>
      </c>
      <c r="B11" t="s">
        <v>663</v>
      </c>
      <c r="C11" t="s">
        <v>212</v>
      </c>
      <c r="D11">
        <v>3</v>
      </c>
      <c r="E11" t="s">
        <v>213</v>
      </c>
      <c r="F11" t="s">
        <v>214</v>
      </c>
      <c r="G11" t="s">
        <v>537</v>
      </c>
      <c r="H11" t="s">
        <v>216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0</v>
      </c>
      <c r="R11">
        <v>0.29999999970000002</v>
      </c>
      <c r="S11">
        <v>0.40000000079999998</v>
      </c>
      <c r="T11">
        <v>0.40000000079999998</v>
      </c>
      <c r="U11">
        <v>0.40000000079999998</v>
      </c>
      <c r="V11">
        <v>0.40000000079999998</v>
      </c>
      <c r="W11">
        <v>0.40000000079999998</v>
      </c>
      <c r="X11">
        <v>0.40000000079999998</v>
      </c>
      <c r="Y11">
        <v>0.50000000010000001</v>
      </c>
      <c r="Z11">
        <v>0.50000000010000001</v>
      </c>
      <c r="AA11">
        <v>0.60000000119999997</v>
      </c>
      <c r="AB11">
        <v>0.60000000119999997</v>
      </c>
      <c r="AC11">
        <v>0.60000000119999997</v>
      </c>
      <c r="AD11">
        <v>0.7000000005</v>
      </c>
      <c r="AE11">
        <v>0.7000000005</v>
      </c>
      <c r="AF11">
        <v>0.79999999980000003</v>
      </c>
      <c r="AG11">
        <v>0.79999999980000003</v>
      </c>
      <c r="AH11">
        <v>1.0000000002</v>
      </c>
      <c r="AI11">
        <v>3.3000000002999998</v>
      </c>
      <c r="AJ11">
        <v>8.9000000007000004</v>
      </c>
      <c r="AK11">
        <v>15.699999999899999</v>
      </c>
      <c r="AL11">
        <v>23.1000000003</v>
      </c>
      <c r="AM11">
        <v>30.0999999999</v>
      </c>
      <c r="AN11">
        <v>37.000000000299998</v>
      </c>
      <c r="AO11">
        <v>44.100000000999998</v>
      </c>
      <c r="AP11">
        <v>51.4999999996</v>
      </c>
      <c r="AQ11">
        <v>59.300000000799997</v>
      </c>
      <c r="AR11">
        <v>67.200000001299998</v>
      </c>
      <c r="AS11">
        <v>75.700000001199996</v>
      </c>
      <c r="AT11">
        <v>83.300000000200001</v>
      </c>
      <c r="AU11">
        <v>90.900000001099997</v>
      </c>
      <c r="AV11">
        <v>98.799999999799994</v>
      </c>
      <c r="AW11">
        <v>107.1000000011</v>
      </c>
      <c r="AX11">
        <v>115.9000000007</v>
      </c>
      <c r="AY11">
        <v>125</v>
      </c>
      <c r="AZ11">
        <v>133.20000000019999</v>
      </c>
      <c r="BA11">
        <v>140.99999999959999</v>
      </c>
      <c r="BB11">
        <v>148.90000000009999</v>
      </c>
      <c r="BC11">
        <v>157.19999999960001</v>
      </c>
      <c r="BD11">
        <v>165.60000000030001</v>
      </c>
      <c r="BE11">
        <v>174.30000000059999</v>
      </c>
      <c r="BF11">
        <v>182.70000000120001</v>
      </c>
      <c r="BG11">
        <v>190.30000000019999</v>
      </c>
      <c r="BH11">
        <v>198.00000000029999</v>
      </c>
      <c r="BI11">
        <v>205.90000000079999</v>
      </c>
      <c r="BJ11">
        <v>214.1000000011</v>
      </c>
      <c r="BK11">
        <v>222.20000000019999</v>
      </c>
      <c r="BL11">
        <v>230.49999999970001</v>
      </c>
      <c r="BM11">
        <v>238.19999999980001</v>
      </c>
      <c r="BN11">
        <v>245.5000000009</v>
      </c>
      <c r="BO11">
        <v>252.80000000019999</v>
      </c>
      <c r="BP11">
        <v>260.59999999960002</v>
      </c>
      <c r="BQ11">
        <v>268.2000000004</v>
      </c>
      <c r="BR11">
        <v>275.70000000009998</v>
      </c>
      <c r="BS11">
        <v>283.49999999950001</v>
      </c>
      <c r="BT11">
        <v>290.50000000099999</v>
      </c>
      <c r="BU11">
        <v>297.20000000089999</v>
      </c>
      <c r="BV11">
        <v>303.6000000011</v>
      </c>
      <c r="BW11">
        <v>310.7</v>
      </c>
      <c r="BX11">
        <v>317.69999999959998</v>
      </c>
      <c r="BY11">
        <v>324.50000000059998</v>
      </c>
      <c r="BZ11">
        <v>331.40000000089998</v>
      </c>
      <c r="CA11">
        <v>337.90000000039998</v>
      </c>
      <c r="CB11">
        <v>343.8999999998</v>
      </c>
      <c r="CC11">
        <v>349.70000000070002</v>
      </c>
      <c r="CD11">
        <v>355.49999999969998</v>
      </c>
      <c r="CE11">
        <v>361.6000000002</v>
      </c>
      <c r="CF11">
        <v>367.70000000070002</v>
      </c>
      <c r="CG11">
        <v>373.70000000009998</v>
      </c>
      <c r="CH11">
        <v>379.6000000002</v>
      </c>
      <c r="CI11">
        <v>385.50000000030002</v>
      </c>
      <c r="CJ11">
        <v>390.800000001</v>
      </c>
      <c r="CK11">
        <v>395.89999999949998</v>
      </c>
      <c r="CL11">
        <v>400.80000000130002</v>
      </c>
      <c r="CM11">
        <v>405.70000000120001</v>
      </c>
      <c r="CN11">
        <v>410.79999999969999</v>
      </c>
      <c r="CO11">
        <v>415.9</v>
      </c>
      <c r="CP11">
        <v>421.09999999960002</v>
      </c>
      <c r="CQ11">
        <v>426.10000000060001</v>
      </c>
      <c r="CR11">
        <v>431.20000000089999</v>
      </c>
      <c r="CS11">
        <v>436.40000000049997</v>
      </c>
      <c r="CT11">
        <v>440.80000000029997</v>
      </c>
      <c r="CU11">
        <v>445.10000000079998</v>
      </c>
      <c r="CV11">
        <v>449.20000000089999</v>
      </c>
      <c r="CW11">
        <v>453.10000000060001</v>
      </c>
      <c r="CX11">
        <v>455.6000000011</v>
      </c>
      <c r="CY11">
        <v>456.00000000009999</v>
      </c>
      <c r="CZ11">
        <v>456.00000000009999</v>
      </c>
      <c r="DA11">
        <v>456.10000000119999</v>
      </c>
      <c r="DB11">
        <v>456.10000000119999</v>
      </c>
      <c r="DC11">
        <v>456.10000000119999</v>
      </c>
      <c r="DD11">
        <v>456.10000000119999</v>
      </c>
      <c r="DE11">
        <v>456.20000000049998</v>
      </c>
      <c r="DF11">
        <v>456.20000000049998</v>
      </c>
      <c r="DG11">
        <v>0.79999999980000003</v>
      </c>
      <c r="DH11">
        <v>1.5999999996000001</v>
      </c>
      <c r="DI11">
        <v>1.5999999996000001</v>
      </c>
      <c r="DJ11">
        <v>1.5999999996000001</v>
      </c>
      <c r="DK11">
        <v>1.5999999996000001</v>
      </c>
      <c r="DL11">
        <v>1.5999999996000001</v>
      </c>
      <c r="DM11">
        <v>1.7000000007</v>
      </c>
      <c r="DN11">
        <v>1.7000000007</v>
      </c>
      <c r="DO11">
        <v>1.8</v>
      </c>
      <c r="DP11">
        <v>1.8</v>
      </c>
      <c r="DQ11">
        <v>1.8</v>
      </c>
      <c r="DR11">
        <v>1.8</v>
      </c>
      <c r="DS11">
        <v>1.9000000011</v>
      </c>
      <c r="DT11">
        <v>1.9000000011</v>
      </c>
      <c r="DU11">
        <v>1.9000000011</v>
      </c>
      <c r="DV11">
        <v>1.9000000011</v>
      </c>
      <c r="DW11">
        <v>3.2000000009999998</v>
      </c>
      <c r="DX11">
        <v>8.2000000001999993</v>
      </c>
      <c r="DY11">
        <v>15.800000001000001</v>
      </c>
      <c r="DZ11">
        <v>23.199999999599999</v>
      </c>
      <c r="EA11">
        <v>30.000000000699998</v>
      </c>
      <c r="EB11">
        <v>36.299999999800001</v>
      </c>
      <c r="EC11">
        <v>43.4000000005</v>
      </c>
      <c r="ED11">
        <v>51.100000000599998</v>
      </c>
      <c r="EE11">
        <v>58.800000000700003</v>
      </c>
      <c r="EF11">
        <v>66.899999999800002</v>
      </c>
      <c r="EG11">
        <v>75.099999999999994</v>
      </c>
      <c r="EH11">
        <v>82.500000000399993</v>
      </c>
      <c r="EI11">
        <v>89.700000000399996</v>
      </c>
      <c r="EJ11">
        <v>97.600000000999998</v>
      </c>
      <c r="EK11">
        <v>105.9000000005</v>
      </c>
      <c r="EL11">
        <v>114.9000000005</v>
      </c>
      <c r="EM11">
        <v>123.9999999998</v>
      </c>
      <c r="EN11">
        <v>132.30000000109999</v>
      </c>
      <c r="EO11">
        <v>139.90000000009999</v>
      </c>
      <c r="EP11">
        <v>147.89999999989999</v>
      </c>
      <c r="EQ11">
        <v>156.50000000099999</v>
      </c>
      <c r="ER11">
        <v>165.30000000059999</v>
      </c>
      <c r="ES11">
        <v>174.2000000013</v>
      </c>
      <c r="ET11">
        <v>182.30000000039999</v>
      </c>
      <c r="EU11">
        <v>189.8000000001</v>
      </c>
      <c r="EV11">
        <v>197.6000000013</v>
      </c>
      <c r="EW11">
        <v>206.10000000119999</v>
      </c>
      <c r="EX11">
        <v>214.40000000079999</v>
      </c>
      <c r="EY11">
        <v>223</v>
      </c>
      <c r="EZ11">
        <v>231.49999999990001</v>
      </c>
      <c r="FA11">
        <v>239.10000000069999</v>
      </c>
      <c r="FB11">
        <v>246.19999999960001</v>
      </c>
      <c r="FC11">
        <v>254.10000000010001</v>
      </c>
      <c r="FD11">
        <v>262.09999999989998</v>
      </c>
      <c r="FE11">
        <v>270.2000000008</v>
      </c>
      <c r="FF11">
        <v>278.29999999990002</v>
      </c>
      <c r="FG11">
        <v>285.6000000011</v>
      </c>
      <c r="FH11">
        <v>292.60000000069999</v>
      </c>
      <c r="FI11">
        <v>299.39999999989999</v>
      </c>
      <c r="FJ11">
        <v>306.59999999989998</v>
      </c>
      <c r="FK11">
        <v>313.79999999990002</v>
      </c>
      <c r="FL11">
        <v>321.4000000007</v>
      </c>
      <c r="FM11">
        <v>328.80000000109999</v>
      </c>
      <c r="FN11">
        <v>335.50000000099999</v>
      </c>
      <c r="FO11">
        <v>341.70000000089999</v>
      </c>
      <c r="FP11">
        <v>347.70000000030001</v>
      </c>
      <c r="FQ11">
        <v>354.00000000120002</v>
      </c>
      <c r="FR11">
        <v>360.39999999960003</v>
      </c>
      <c r="FS11">
        <v>366.70000000049998</v>
      </c>
      <c r="FT11">
        <v>373.30000000109999</v>
      </c>
      <c r="FU11">
        <v>379.80000000059999</v>
      </c>
      <c r="FV11">
        <v>385.70000000070002</v>
      </c>
      <c r="FW11">
        <v>391.10000000069999</v>
      </c>
      <c r="FX11">
        <v>396.20000000099998</v>
      </c>
      <c r="FY11">
        <v>401.40000000060002</v>
      </c>
      <c r="FZ11">
        <v>406.69999999949999</v>
      </c>
      <c r="GA11">
        <v>411.90000000100002</v>
      </c>
      <c r="GB11">
        <v>417.1999999999</v>
      </c>
      <c r="GC11">
        <v>422.59999999989998</v>
      </c>
      <c r="GD11">
        <v>427.99999999990001</v>
      </c>
      <c r="GE11">
        <v>432.70000000120001</v>
      </c>
      <c r="GF11">
        <v>437.20000000030001</v>
      </c>
      <c r="GG11">
        <v>441.20000000110002</v>
      </c>
      <c r="GH11">
        <v>444.99999999969998</v>
      </c>
      <c r="GI11">
        <v>448.5999999997</v>
      </c>
      <c r="GJ11">
        <v>451.9</v>
      </c>
      <c r="GK11">
        <v>454.60000000090002</v>
      </c>
      <c r="GL11">
        <v>455.79999999969999</v>
      </c>
      <c r="GM11">
        <v>455.90000000079999</v>
      </c>
      <c r="GN11">
        <v>456.00000000009999</v>
      </c>
      <c r="GO11">
        <v>456.00000000009999</v>
      </c>
      <c r="GP11">
        <v>456.00000000009999</v>
      </c>
      <c r="GQ11">
        <v>456.00000000009999</v>
      </c>
      <c r="GR11">
        <v>456.10000000119999</v>
      </c>
      <c r="GS11">
        <v>456.00000000009999</v>
      </c>
      <c r="GT11">
        <v>456.10000000119999</v>
      </c>
      <c r="GU11">
        <v>456.10000000119999</v>
      </c>
      <c r="GV11">
        <v>456.20000000049998</v>
      </c>
      <c r="GW11">
        <v>1</v>
      </c>
      <c r="GX11">
        <v>114.0999999989</v>
      </c>
      <c r="GY11">
        <v>107.1000000011</v>
      </c>
      <c r="GZ11">
        <v>107.1000000011</v>
      </c>
      <c r="HA11">
        <v>123.9999999998</v>
      </c>
      <c r="HB11">
        <v>111.3805677342</v>
      </c>
      <c r="HC11">
        <v>-16.8999999987</v>
      </c>
      <c r="HD11">
        <v>456.20000000049998</v>
      </c>
      <c r="HE11">
        <v>298.68514905749998</v>
      </c>
      <c r="HF11">
        <v>94.964313898200004</v>
      </c>
      <c r="HG11">
        <v>456.20000000049998</v>
      </c>
      <c r="HH11">
        <v>456.20000000049998</v>
      </c>
      <c r="HI11">
        <v>456.20000000049998</v>
      </c>
      <c r="HJ11">
        <v>456.20000000049998</v>
      </c>
      <c r="HK11">
        <v>119.6480938416</v>
      </c>
      <c r="HL11">
        <v>3.3369157389000002</v>
      </c>
      <c r="HM11">
        <v>3.2721342219</v>
      </c>
      <c r="HN11">
        <v>3.2742406467</v>
      </c>
      <c r="HO11">
        <v>3.2584019657000001</v>
      </c>
      <c r="HP11">
        <v>3.5854468751000002</v>
      </c>
      <c r="HQ11">
        <v>2.0769705122</v>
      </c>
      <c r="HR11">
        <v>16.416253835999999</v>
      </c>
      <c r="HS11">
        <v>-28.152492668600001</v>
      </c>
      <c r="HT11">
        <v>-192</v>
      </c>
      <c r="HU11">
        <v>410.06571679170003</v>
      </c>
      <c r="HV11">
        <v>93.841642228699996</v>
      </c>
      <c r="HW11">
        <v>640</v>
      </c>
      <c r="HX11">
        <v>16.416253835999999</v>
      </c>
      <c r="HY11">
        <v>-28.152492668600001</v>
      </c>
      <c r="HZ11">
        <v>-192</v>
      </c>
      <c r="IA11">
        <v>410.06571679170003</v>
      </c>
      <c r="IB11">
        <v>93.841642228699996</v>
      </c>
      <c r="IC11">
        <v>640</v>
      </c>
      <c r="ID11">
        <v>46.134283208900001</v>
      </c>
      <c r="IE11">
        <v>0.81052170079999997</v>
      </c>
      <c r="IF11">
        <v>-37.536656891500002</v>
      </c>
      <c r="IG11">
        <v>-256</v>
      </c>
      <c r="IH11">
        <v>431.52525208349999</v>
      </c>
      <c r="II11">
        <v>103.22580645159999</v>
      </c>
      <c r="IJ11">
        <v>704</v>
      </c>
      <c r="IK11">
        <v>393.64946295570002</v>
      </c>
      <c r="IL11">
        <v>121.9941348974</v>
      </c>
      <c r="IM11">
        <v>417.48057869320002</v>
      </c>
      <c r="IN11">
        <v>131.37829912020001</v>
      </c>
      <c r="IO11">
        <v>7.6000000007999997</v>
      </c>
      <c r="IP11">
        <v>5.9000000001000004</v>
      </c>
      <c r="IQ11">
        <v>9.0999999992999996</v>
      </c>
      <c r="IR11">
        <v>7.3055241629000003</v>
      </c>
      <c r="IS11">
        <v>7.3055241629000003</v>
      </c>
      <c r="IT11">
        <v>14.299999998900001</v>
      </c>
      <c r="IU11">
        <v>-30.4985337243</v>
      </c>
      <c r="IV11">
        <v>18.200000000399999</v>
      </c>
      <c r="IW11">
        <v>79.765395894400001</v>
      </c>
      <c r="IX11">
        <v>17.200000000199999</v>
      </c>
      <c r="IY11">
        <v>100.87976539589999</v>
      </c>
      <c r="IZ11">
        <v>-33.386479681499999</v>
      </c>
      <c r="JA11">
        <v>0.33153431999999999</v>
      </c>
      <c r="JB11">
        <v>-3.7326420000000001E-4</v>
      </c>
      <c r="JC11">
        <v>7.7889999999999997E-7</v>
      </c>
      <c r="JD11">
        <v>0.2996779296</v>
      </c>
      <c r="JE11">
        <v>0.33178203429999997</v>
      </c>
      <c r="JF11">
        <v>0.1337334859</v>
      </c>
      <c r="JG11">
        <v>112.15209369590001</v>
      </c>
      <c r="JH11">
        <v>3.5854468751000002</v>
      </c>
      <c r="JI11">
        <v>2.6132681999999998E-3</v>
      </c>
      <c r="JJ11">
        <v>-7.5663799999999999E-5</v>
      </c>
      <c r="JK11">
        <v>3.3369157389000002</v>
      </c>
      <c r="JL11">
        <v>1.4439907716</v>
      </c>
      <c r="JM11">
        <v>0.63708655049999996</v>
      </c>
      <c r="JN11" t="s">
        <v>538</v>
      </c>
      <c r="JQ11">
        <v>1</v>
      </c>
    </row>
    <row r="12" spans="1:277">
      <c r="A12" t="s">
        <v>664</v>
      </c>
      <c r="B12" t="s">
        <v>665</v>
      </c>
      <c r="C12" t="s">
        <v>212</v>
      </c>
      <c r="D12">
        <v>3</v>
      </c>
      <c r="E12" t="s">
        <v>213</v>
      </c>
      <c r="F12" t="s">
        <v>214</v>
      </c>
      <c r="G12" t="s">
        <v>537</v>
      </c>
      <c r="H12" t="s">
        <v>216</v>
      </c>
      <c r="J12" t="s">
        <v>644</v>
      </c>
      <c r="K12" t="s">
        <v>645</v>
      </c>
      <c r="L12" t="s">
        <v>646</v>
      </c>
      <c r="M12" t="s">
        <v>647</v>
      </c>
      <c r="N12" t="s">
        <v>648</v>
      </c>
      <c r="O12">
        <v>0</v>
      </c>
      <c r="P12">
        <v>0</v>
      </c>
      <c r="Q12">
        <v>2.8000000001999998</v>
      </c>
      <c r="R12">
        <v>0.40000000079999998</v>
      </c>
      <c r="S12">
        <v>0.29999999970000002</v>
      </c>
      <c r="T12">
        <v>0.29999999970000002</v>
      </c>
      <c r="U12">
        <v>0.20000000039999999</v>
      </c>
      <c r="V12">
        <v>0.29999999970000002</v>
      </c>
      <c r="W12">
        <v>0.29999999970000002</v>
      </c>
      <c r="X12">
        <v>0.29999999970000002</v>
      </c>
      <c r="Y12">
        <v>0.20000000039999999</v>
      </c>
      <c r="Z12">
        <v>0.20000000039999999</v>
      </c>
      <c r="AA12">
        <v>0.20000000039999999</v>
      </c>
      <c r="AB12">
        <v>0.20000000039999999</v>
      </c>
      <c r="AC12">
        <v>0.20000000039999999</v>
      </c>
      <c r="AD12">
        <v>0.20000000039999999</v>
      </c>
      <c r="AE12">
        <v>9.9999999300000003E-2</v>
      </c>
      <c r="AF12">
        <v>0.20000000039999999</v>
      </c>
      <c r="AG12">
        <v>0</v>
      </c>
      <c r="AH12">
        <v>1.2999999999</v>
      </c>
      <c r="AI12">
        <v>5.9999999994</v>
      </c>
      <c r="AJ12">
        <v>12.699999999299999</v>
      </c>
      <c r="AK12">
        <v>19.500000000299998</v>
      </c>
      <c r="AL12">
        <v>26.0999999991</v>
      </c>
      <c r="AM12">
        <v>32.999999999400004</v>
      </c>
      <c r="AN12">
        <v>40.4999999992</v>
      </c>
      <c r="AO12">
        <v>48.199999999299997</v>
      </c>
      <c r="AP12">
        <v>56.000000000500002</v>
      </c>
      <c r="AQ12">
        <v>63.899999999199999</v>
      </c>
      <c r="AR12">
        <v>71.5</v>
      </c>
      <c r="AS12">
        <v>79.100000000799994</v>
      </c>
      <c r="AT12">
        <v>86.900000000199995</v>
      </c>
      <c r="AU12">
        <v>94.999999999300002</v>
      </c>
      <c r="AV12">
        <v>103.4</v>
      </c>
      <c r="AW12">
        <v>112.1000000003</v>
      </c>
      <c r="AX12">
        <v>120.30000000050001</v>
      </c>
      <c r="AY12">
        <v>128.3000000003</v>
      </c>
      <c r="AZ12">
        <v>136.39999999939999</v>
      </c>
      <c r="BA12">
        <v>144.80000000000001</v>
      </c>
      <c r="BB12">
        <v>153.2999999999</v>
      </c>
      <c r="BC12">
        <v>161.89999999919999</v>
      </c>
      <c r="BD12">
        <v>169.90000000079999</v>
      </c>
      <c r="BE12">
        <v>177.90000000059999</v>
      </c>
      <c r="BF12">
        <v>185.99999999970001</v>
      </c>
      <c r="BG12">
        <v>194.2999999992</v>
      </c>
      <c r="BH12">
        <v>202.49999999939999</v>
      </c>
      <c r="BI12">
        <v>210.69999999960001</v>
      </c>
      <c r="BJ12">
        <v>218.80000000059999</v>
      </c>
      <c r="BK12">
        <v>226.3999999996</v>
      </c>
      <c r="BL12">
        <v>234.2000000008</v>
      </c>
      <c r="BM12">
        <v>242.0000000002</v>
      </c>
      <c r="BN12">
        <v>250.0999999993</v>
      </c>
      <c r="BO12">
        <v>257.90000000049997</v>
      </c>
      <c r="BP12">
        <v>265.60000000060001</v>
      </c>
      <c r="BQ12">
        <v>272.80000000059999</v>
      </c>
      <c r="BR12">
        <v>279.89999999949998</v>
      </c>
      <c r="BS12">
        <v>287.00000000030002</v>
      </c>
      <c r="BT12">
        <v>294.4000000007</v>
      </c>
      <c r="BU12">
        <v>301.49999999959999</v>
      </c>
      <c r="BV12">
        <v>308.60000000029999</v>
      </c>
      <c r="BW12">
        <v>315.69999999919997</v>
      </c>
      <c r="BX12">
        <v>322.59999999950003</v>
      </c>
      <c r="BY12">
        <v>329.10000000079998</v>
      </c>
      <c r="BZ12">
        <v>335.30000000059999</v>
      </c>
      <c r="CA12">
        <v>341.8000000001</v>
      </c>
      <c r="CB12">
        <v>348.50000000009999</v>
      </c>
      <c r="CC12">
        <v>354.60000000060001</v>
      </c>
      <c r="CD12">
        <v>360.80000000040002</v>
      </c>
      <c r="CE12">
        <v>366.90000000089998</v>
      </c>
      <c r="CF12">
        <v>372.7999999992</v>
      </c>
      <c r="CG12">
        <v>378.50000000070003</v>
      </c>
      <c r="CH12">
        <v>383.9000000007</v>
      </c>
      <c r="CI12">
        <v>389.49999999929997</v>
      </c>
      <c r="CJ12">
        <v>395.3000000001</v>
      </c>
      <c r="CK12">
        <v>400.79999999939997</v>
      </c>
      <c r="CL12">
        <v>406.1000000002</v>
      </c>
      <c r="CM12">
        <v>411.40000000089998</v>
      </c>
      <c r="CN12">
        <v>416.60000000050002</v>
      </c>
      <c r="CO12">
        <v>421.7000000008</v>
      </c>
      <c r="CP12">
        <v>426.79999999929998</v>
      </c>
      <c r="CQ12">
        <v>431.59999999989998</v>
      </c>
      <c r="CR12">
        <v>436.29999999939997</v>
      </c>
      <c r="CS12">
        <v>441.19999999930002</v>
      </c>
      <c r="CT12">
        <v>445.79999999950002</v>
      </c>
      <c r="CU12">
        <v>450.00000000070003</v>
      </c>
      <c r="CV12">
        <v>454.40000000049997</v>
      </c>
      <c r="CW12">
        <v>457.8000000001</v>
      </c>
      <c r="CX12">
        <v>458.59999999989998</v>
      </c>
      <c r="CY12">
        <v>458.59999999989998</v>
      </c>
      <c r="CZ12">
        <v>458.59999999989998</v>
      </c>
      <c r="DA12">
        <v>458.69999999919997</v>
      </c>
      <c r="DB12">
        <v>458.59999999989998</v>
      </c>
      <c r="DC12">
        <v>458.69999999919997</v>
      </c>
      <c r="DD12">
        <v>458.69999999919997</v>
      </c>
      <c r="DE12">
        <v>458.69999999919997</v>
      </c>
      <c r="DF12">
        <v>458.80000000029997</v>
      </c>
      <c r="DG12">
        <v>3.6999999993000001</v>
      </c>
      <c r="DH12">
        <v>1.5999999996000001</v>
      </c>
      <c r="DI12">
        <v>1.5000000003</v>
      </c>
      <c r="DJ12">
        <v>1.5000000003</v>
      </c>
      <c r="DK12">
        <v>1.3999999992000001</v>
      </c>
      <c r="DL12">
        <v>1.3999999992000001</v>
      </c>
      <c r="DM12">
        <v>1.2999999999</v>
      </c>
      <c r="DN12">
        <v>1.3999999992000001</v>
      </c>
      <c r="DO12">
        <v>1.2999999999</v>
      </c>
      <c r="DP12">
        <v>1.2999999999</v>
      </c>
      <c r="DQ12">
        <v>1.2999999999</v>
      </c>
      <c r="DR12">
        <v>1.2999999999</v>
      </c>
      <c r="DS12">
        <v>1.2999999999</v>
      </c>
      <c r="DT12">
        <v>1.2000000006</v>
      </c>
      <c r="DU12">
        <v>1.2000000006</v>
      </c>
      <c r="DV12">
        <v>1.2999999999</v>
      </c>
      <c r="DW12">
        <v>4.6000000001999997</v>
      </c>
      <c r="DX12">
        <v>11.300000000100001</v>
      </c>
      <c r="DY12">
        <v>18</v>
      </c>
      <c r="DZ12">
        <v>24.9999999996</v>
      </c>
      <c r="EA12">
        <v>31.9</v>
      </c>
      <c r="EB12">
        <v>39.300000000399997</v>
      </c>
      <c r="EC12">
        <v>47.000000000500002</v>
      </c>
      <c r="ED12">
        <v>54.799999999900002</v>
      </c>
      <c r="EE12">
        <v>62.599999999300003</v>
      </c>
      <c r="EF12">
        <v>70.100000000799994</v>
      </c>
      <c r="EG12">
        <v>77.499999999400004</v>
      </c>
      <c r="EH12">
        <v>85.199999999499994</v>
      </c>
      <c r="EI12">
        <v>93.300000000500006</v>
      </c>
      <c r="EJ12">
        <v>101.6</v>
      </c>
      <c r="EK12">
        <v>110.0000000006</v>
      </c>
      <c r="EL12">
        <v>118.3000000001</v>
      </c>
      <c r="EM12">
        <v>126.50000000030001</v>
      </c>
      <c r="EN12">
        <v>134.79999999980001</v>
      </c>
      <c r="EO12">
        <v>143.2000000004</v>
      </c>
      <c r="EP12">
        <v>151.70000000030001</v>
      </c>
      <c r="EQ12">
        <v>160.20000000030001</v>
      </c>
      <c r="ER12">
        <v>168.4999999998</v>
      </c>
      <c r="ES12">
        <v>176.60000000069999</v>
      </c>
      <c r="ET12">
        <v>184.69999999980001</v>
      </c>
      <c r="EU12">
        <v>192.9999999993</v>
      </c>
      <c r="EV12">
        <v>201.60000000030001</v>
      </c>
      <c r="EW12">
        <v>210.1000000002</v>
      </c>
      <c r="EX12">
        <v>218.19999999929999</v>
      </c>
      <c r="EY12">
        <v>226.00000000060001</v>
      </c>
      <c r="EZ12">
        <v>234.00000000040001</v>
      </c>
      <c r="FA12">
        <v>242.0999999995</v>
      </c>
      <c r="FB12">
        <v>250.2000000004</v>
      </c>
      <c r="FC12">
        <v>258.10000000090002</v>
      </c>
      <c r="FD12">
        <v>266.2</v>
      </c>
      <c r="FE12">
        <v>273.80000000080003</v>
      </c>
      <c r="FF12">
        <v>281.0000000009</v>
      </c>
      <c r="FG12">
        <v>288.39999999949998</v>
      </c>
      <c r="FH12">
        <v>295.89999999920002</v>
      </c>
      <c r="FI12">
        <v>303.5</v>
      </c>
      <c r="FJ12">
        <v>310.90000000039998</v>
      </c>
      <c r="FK12">
        <v>318.10000000039997</v>
      </c>
      <c r="FL12">
        <v>325.10000000000002</v>
      </c>
      <c r="FM12">
        <v>331.70000000060003</v>
      </c>
      <c r="FN12">
        <v>338.40000000049997</v>
      </c>
      <c r="FO12">
        <v>345.19999999970003</v>
      </c>
      <c r="FP12">
        <v>352.00000000080001</v>
      </c>
      <c r="FQ12">
        <v>358.59999999960002</v>
      </c>
      <c r="FR12">
        <v>364.99999999980002</v>
      </c>
      <c r="FS12">
        <v>371.30000000069998</v>
      </c>
      <c r="FT12">
        <v>377.39999999939999</v>
      </c>
      <c r="FU12">
        <v>383.10000000090002</v>
      </c>
      <c r="FV12">
        <v>388.80000000059999</v>
      </c>
      <c r="FW12">
        <v>394.70000000070002</v>
      </c>
      <c r="FX12">
        <v>400.60000000079998</v>
      </c>
      <c r="FY12">
        <v>406.19999999940001</v>
      </c>
      <c r="FZ12">
        <v>411.79999999990002</v>
      </c>
      <c r="GA12">
        <v>416.99999999950001</v>
      </c>
      <c r="GB12">
        <v>422.09999999979999</v>
      </c>
      <c r="GC12">
        <v>426.99999999969998</v>
      </c>
      <c r="GD12">
        <v>431.50000000059998</v>
      </c>
      <c r="GE12">
        <v>435.99999999969998</v>
      </c>
      <c r="GF12">
        <v>440.39999999949998</v>
      </c>
      <c r="GG12">
        <v>444.60000000069999</v>
      </c>
      <c r="GH12">
        <v>448.3</v>
      </c>
      <c r="GI12">
        <v>451.9</v>
      </c>
      <c r="GJ12">
        <v>455.5999999993</v>
      </c>
      <c r="GK12">
        <v>458.09999999979999</v>
      </c>
      <c r="GL12">
        <v>458.50000000059998</v>
      </c>
      <c r="GM12">
        <v>458.59999999989998</v>
      </c>
      <c r="GN12">
        <v>458.59999999989998</v>
      </c>
      <c r="GO12">
        <v>458.69999999919997</v>
      </c>
      <c r="GP12">
        <v>458.59999999989998</v>
      </c>
      <c r="GQ12">
        <v>458.69999999919997</v>
      </c>
      <c r="GR12">
        <v>458.69999999919997</v>
      </c>
      <c r="GS12">
        <v>458.80000000029997</v>
      </c>
      <c r="GT12">
        <v>458.89999999960003</v>
      </c>
      <c r="GU12">
        <v>458.89999999960003</v>
      </c>
      <c r="GV12">
        <v>458.89999999960003</v>
      </c>
      <c r="GW12">
        <v>1</v>
      </c>
      <c r="GX12">
        <v>115.9000000007</v>
      </c>
      <c r="GY12">
        <v>112.1000000003</v>
      </c>
      <c r="GZ12">
        <v>112.1000000003</v>
      </c>
      <c r="HA12">
        <v>126.50000000030001</v>
      </c>
      <c r="HB12">
        <v>115.8439686175</v>
      </c>
      <c r="HC12">
        <v>-14.4</v>
      </c>
      <c r="HD12">
        <v>458.89999999960003</v>
      </c>
      <c r="HE12">
        <v>282.3321019947</v>
      </c>
      <c r="HF12">
        <v>95.649449711200006</v>
      </c>
      <c r="HG12">
        <v>458.89999999960003</v>
      </c>
      <c r="HH12">
        <v>458.89999999960003</v>
      </c>
      <c r="HI12">
        <v>458.80000000029997</v>
      </c>
      <c r="HJ12">
        <v>458.89999999960003</v>
      </c>
      <c r="HK12">
        <v>117.3020527859</v>
      </c>
      <c r="HL12">
        <v>3.3888410009999999</v>
      </c>
      <c r="HM12">
        <v>3.2528545475000001</v>
      </c>
      <c r="HN12">
        <v>3.3127417080999999</v>
      </c>
      <c r="HO12">
        <v>3.2468794245999999</v>
      </c>
      <c r="HP12">
        <v>3.5909146538000001</v>
      </c>
      <c r="HQ12">
        <v>2.2949146284999999</v>
      </c>
      <c r="HR12">
        <v>20.194518906300001</v>
      </c>
      <c r="HS12">
        <v>-28.152492668600001</v>
      </c>
      <c r="HT12">
        <v>-192</v>
      </c>
      <c r="HU12">
        <v>398.17607061220002</v>
      </c>
      <c r="HV12">
        <v>86.803519061599999</v>
      </c>
      <c r="HW12">
        <v>592</v>
      </c>
      <c r="HX12">
        <v>20.194518906300001</v>
      </c>
      <c r="HY12">
        <v>-28.152492668600001</v>
      </c>
      <c r="HZ12">
        <v>-192</v>
      </c>
      <c r="IA12">
        <v>398.17607061220002</v>
      </c>
      <c r="IB12">
        <v>86.803519061599999</v>
      </c>
      <c r="IC12">
        <v>592</v>
      </c>
      <c r="ID12">
        <v>60.7239293875</v>
      </c>
      <c r="IE12">
        <v>2.30576441E-2</v>
      </c>
      <c r="IF12">
        <v>-37.536656891500002</v>
      </c>
      <c r="IG12">
        <v>-256</v>
      </c>
      <c r="IH12">
        <v>420.53957720369999</v>
      </c>
      <c r="II12">
        <v>96.187683284499997</v>
      </c>
      <c r="IJ12">
        <v>656</v>
      </c>
      <c r="IK12">
        <v>377.98155170590002</v>
      </c>
      <c r="IL12">
        <v>114.9560117302</v>
      </c>
      <c r="IM12">
        <v>403.4976135997</v>
      </c>
      <c r="IN12">
        <v>124.3401759531</v>
      </c>
      <c r="IO12">
        <v>6.8000000009999999</v>
      </c>
      <c r="IP12">
        <v>5.6000000003999997</v>
      </c>
      <c r="IQ12">
        <v>8.7000000002999993</v>
      </c>
      <c r="IR12">
        <v>5.8392610829000002</v>
      </c>
      <c r="IS12">
        <v>5.8392610829000002</v>
      </c>
      <c r="IT12">
        <v>12.300000000300001</v>
      </c>
      <c r="IU12">
        <v>-30.4985337243</v>
      </c>
      <c r="IV12">
        <v>16.799999999400001</v>
      </c>
      <c r="IW12">
        <v>70.381231671600005</v>
      </c>
      <c r="IX12">
        <v>16.499999999700002</v>
      </c>
      <c r="IY12">
        <v>91.495601172999997</v>
      </c>
      <c r="IZ12">
        <v>-34.449557912400003</v>
      </c>
      <c r="JA12">
        <v>0.32902971190000002</v>
      </c>
      <c r="JB12">
        <v>-3.4972079999999998E-4</v>
      </c>
      <c r="JC12">
        <v>7.2229999999999995E-7</v>
      </c>
      <c r="JD12">
        <v>0.29508613700000003</v>
      </c>
      <c r="JE12">
        <v>0.2108573248</v>
      </c>
      <c r="JF12">
        <v>7.5773714399999997E-2</v>
      </c>
      <c r="JG12">
        <v>115.9606209136</v>
      </c>
      <c r="JH12">
        <v>3.5909146538000001</v>
      </c>
      <c r="JI12">
        <v>2.7856348999999998E-3</v>
      </c>
      <c r="JJ12">
        <v>-7.8727799999999995E-5</v>
      </c>
      <c r="JK12">
        <v>3.3888410009999999</v>
      </c>
      <c r="JL12">
        <v>1.362683128</v>
      </c>
      <c r="JM12">
        <v>0.46103010890000001</v>
      </c>
      <c r="JN12" t="s">
        <v>538</v>
      </c>
      <c r="JQ12">
        <v>1</v>
      </c>
    </row>
    <row r="13" spans="1:277">
      <c r="A13" t="s">
        <v>666</v>
      </c>
      <c r="B13" t="s">
        <v>667</v>
      </c>
      <c r="C13" t="s">
        <v>212</v>
      </c>
      <c r="D13">
        <v>3</v>
      </c>
      <c r="E13" t="s">
        <v>213</v>
      </c>
      <c r="F13" t="s">
        <v>214</v>
      </c>
      <c r="G13" t="s">
        <v>537</v>
      </c>
      <c r="H13" t="s">
        <v>216</v>
      </c>
      <c r="J13" t="s">
        <v>651</v>
      </c>
      <c r="K13" t="s">
        <v>652</v>
      </c>
      <c r="L13" t="s">
        <v>653</v>
      </c>
      <c r="M13" t="s">
        <v>654</v>
      </c>
      <c r="N13" t="s">
        <v>655</v>
      </c>
      <c r="O13">
        <v>0</v>
      </c>
      <c r="P13">
        <v>0</v>
      </c>
      <c r="Q13">
        <v>1.2999999999</v>
      </c>
      <c r="R13">
        <v>0.79999999980000003</v>
      </c>
      <c r="S13">
        <v>0.79999999980000003</v>
      </c>
      <c r="T13">
        <v>0.79999999980000003</v>
      </c>
      <c r="U13">
        <v>0.7000000005</v>
      </c>
      <c r="V13">
        <v>0.7000000005</v>
      </c>
      <c r="W13">
        <v>0.7000000005</v>
      </c>
      <c r="X13">
        <v>0.60000000119999997</v>
      </c>
      <c r="Y13">
        <v>0.50000000010000001</v>
      </c>
      <c r="Z13">
        <v>0.40000000079999998</v>
      </c>
      <c r="AA13">
        <v>0.40000000079999998</v>
      </c>
      <c r="AB13">
        <v>0.40000000079999998</v>
      </c>
      <c r="AC13">
        <v>0.3000000015</v>
      </c>
      <c r="AD13">
        <v>0.1000000011</v>
      </c>
      <c r="AE13">
        <v>0</v>
      </c>
      <c r="AF13">
        <v>0</v>
      </c>
      <c r="AG13">
        <v>0.20000000039999999</v>
      </c>
      <c r="AH13">
        <v>1.9000000011</v>
      </c>
      <c r="AI13">
        <v>6.6999999999000002</v>
      </c>
      <c r="AJ13">
        <v>13.300000000500001</v>
      </c>
      <c r="AK13">
        <v>20.0000000004</v>
      </c>
      <c r="AL13">
        <v>27</v>
      </c>
      <c r="AM13">
        <v>34.200000000099998</v>
      </c>
      <c r="AN13">
        <v>41.800000000899999</v>
      </c>
      <c r="AO13">
        <v>49.6000000003</v>
      </c>
      <c r="AP13">
        <v>57.400000001499997</v>
      </c>
      <c r="AQ13">
        <v>65.000000000499995</v>
      </c>
      <c r="AR13">
        <v>72.700000000599999</v>
      </c>
      <c r="AS13">
        <v>80.6000000011</v>
      </c>
      <c r="AT13">
        <v>88.600000000999998</v>
      </c>
      <c r="AU13">
        <v>96.9000000005</v>
      </c>
      <c r="AV13">
        <v>105.2</v>
      </c>
      <c r="AW13">
        <v>113.6999999999</v>
      </c>
      <c r="AX13">
        <v>122.4000000002</v>
      </c>
      <c r="AY13">
        <v>131.00000000119999</v>
      </c>
      <c r="AZ13">
        <v>139.50000000110001</v>
      </c>
      <c r="BA13">
        <v>148.00000000099999</v>
      </c>
      <c r="BB13">
        <v>156.50000000099999</v>
      </c>
      <c r="BC13">
        <v>164.8999999998</v>
      </c>
      <c r="BD13">
        <v>173.1</v>
      </c>
      <c r="BE13">
        <v>181.30000000019999</v>
      </c>
      <c r="BF13">
        <v>189.60000000150001</v>
      </c>
      <c r="BG13">
        <v>198.20000000069999</v>
      </c>
      <c r="BH13">
        <v>206.7000000006</v>
      </c>
      <c r="BI13">
        <v>214.90000000090001</v>
      </c>
      <c r="BJ13">
        <v>222.80000000140001</v>
      </c>
      <c r="BK13">
        <v>230.8000000012</v>
      </c>
      <c r="BL13">
        <v>238.9000000003</v>
      </c>
      <c r="BM13">
        <v>246.90000000009999</v>
      </c>
      <c r="BN13">
        <v>255.10000000030001</v>
      </c>
      <c r="BO13">
        <v>263.00000000080001</v>
      </c>
      <c r="BP13">
        <v>270.59999999979999</v>
      </c>
      <c r="BQ13">
        <v>278.00000000019998</v>
      </c>
      <c r="BR13">
        <v>285.5</v>
      </c>
      <c r="BS13">
        <v>293.10000000079998</v>
      </c>
      <c r="BT13">
        <v>300.80000000090001</v>
      </c>
      <c r="BU13">
        <v>308.1000000002</v>
      </c>
      <c r="BV13">
        <v>315.30000000019999</v>
      </c>
      <c r="BW13">
        <v>322.20000000049998</v>
      </c>
      <c r="BX13">
        <v>328.99999999969998</v>
      </c>
      <c r="BY13">
        <v>335.80000000069998</v>
      </c>
      <c r="BZ13">
        <v>342.40000000139997</v>
      </c>
      <c r="CA13">
        <v>349.10000000129997</v>
      </c>
      <c r="CB13">
        <v>355.80000000119998</v>
      </c>
      <c r="CC13">
        <v>362.30000000069998</v>
      </c>
      <c r="CD13">
        <v>368.50000000049999</v>
      </c>
      <c r="CE13">
        <v>374.60000000100001</v>
      </c>
      <c r="CF13">
        <v>380.60000000039997</v>
      </c>
      <c r="CG13">
        <v>386.50000000049999</v>
      </c>
      <c r="CH13">
        <v>392.20000000020002</v>
      </c>
      <c r="CI13">
        <v>398.10000000029999</v>
      </c>
      <c r="CJ13">
        <v>403.9000000012</v>
      </c>
      <c r="CK13">
        <v>409.60000000090002</v>
      </c>
      <c r="CL13">
        <v>415.1000000002</v>
      </c>
      <c r="CM13">
        <v>420.40000000089998</v>
      </c>
      <c r="CN13">
        <v>425.50000000120002</v>
      </c>
      <c r="CO13">
        <v>430.60000000150001</v>
      </c>
      <c r="CP13">
        <v>435.80000000109999</v>
      </c>
      <c r="CQ13">
        <v>440.90000000139997</v>
      </c>
      <c r="CR13">
        <v>445.90000000060002</v>
      </c>
      <c r="CS13">
        <v>450.8999999998</v>
      </c>
      <c r="CT13">
        <v>455.4000000007</v>
      </c>
      <c r="CU13">
        <v>458.09999999979999</v>
      </c>
      <c r="CV13">
        <v>458.70000000099998</v>
      </c>
      <c r="CW13">
        <v>458.70000000099998</v>
      </c>
      <c r="CX13">
        <v>458.80000000029997</v>
      </c>
      <c r="CY13">
        <v>458.80000000029997</v>
      </c>
      <c r="CZ13">
        <v>458.80000000029997</v>
      </c>
      <c r="DA13">
        <v>458.80000000029997</v>
      </c>
      <c r="DB13">
        <v>458.80000000029997</v>
      </c>
      <c r="DC13">
        <v>458.80000000029997</v>
      </c>
      <c r="DD13">
        <v>458.80000000029997</v>
      </c>
      <c r="DE13">
        <v>458.80000000029997</v>
      </c>
      <c r="DF13">
        <v>458.80000000029997</v>
      </c>
      <c r="DG13">
        <v>2.0000000004</v>
      </c>
      <c r="DH13">
        <v>1.400000001</v>
      </c>
      <c r="DI13">
        <v>1.400000001</v>
      </c>
      <c r="DJ13">
        <v>1.400000001</v>
      </c>
      <c r="DK13">
        <v>1.2999999999</v>
      </c>
      <c r="DL13">
        <v>1.2999999999</v>
      </c>
      <c r="DM13">
        <v>1.2000000006</v>
      </c>
      <c r="DN13">
        <v>1.2000000006</v>
      </c>
      <c r="DO13">
        <v>1.2000000006</v>
      </c>
      <c r="DP13">
        <v>1.1000000013</v>
      </c>
      <c r="DQ13">
        <v>1.1000000013</v>
      </c>
      <c r="DR13">
        <v>1.1000000013</v>
      </c>
      <c r="DS13">
        <v>1.1000000013</v>
      </c>
      <c r="DT13">
        <v>1.1000000013</v>
      </c>
      <c r="DU13">
        <v>1.0000000002</v>
      </c>
      <c r="DV13">
        <v>1.5000000003</v>
      </c>
      <c r="DW13">
        <v>4.8999999999000003</v>
      </c>
      <c r="DX13">
        <v>11.5000000005</v>
      </c>
      <c r="DY13">
        <v>18.299999999699999</v>
      </c>
      <c r="DZ13">
        <v>25.400000000399999</v>
      </c>
      <c r="EA13">
        <v>32.600000000500003</v>
      </c>
      <c r="EB13">
        <v>40.000000000900002</v>
      </c>
      <c r="EC13">
        <v>47.5999999999</v>
      </c>
      <c r="ED13">
        <v>55.6000000015</v>
      </c>
      <c r="EE13">
        <v>63.299999999800001</v>
      </c>
      <c r="EF13">
        <v>70.800000001300006</v>
      </c>
      <c r="EG13">
        <v>78.600000000700007</v>
      </c>
      <c r="EH13">
        <v>86.500000001299995</v>
      </c>
      <c r="EI13">
        <v>94.600000000400001</v>
      </c>
      <c r="EJ13">
        <v>102.8999999999</v>
      </c>
      <c r="EK13">
        <v>111.3999999998</v>
      </c>
      <c r="EL13">
        <v>119.70000000109999</v>
      </c>
      <c r="EM13">
        <v>128.5000000007</v>
      </c>
      <c r="EN13">
        <v>137.20000000100001</v>
      </c>
      <c r="EO13">
        <v>145.80000000019999</v>
      </c>
      <c r="EP13">
        <v>154.3000000001</v>
      </c>
      <c r="EQ13">
        <v>162.7000000008</v>
      </c>
      <c r="ER13">
        <v>171.00000000029999</v>
      </c>
      <c r="ES13">
        <v>179.20000000050001</v>
      </c>
      <c r="ET13">
        <v>187.6000000011</v>
      </c>
      <c r="EU13">
        <v>196.20000000030001</v>
      </c>
      <c r="EV13">
        <v>204.80000000129999</v>
      </c>
      <c r="EW13">
        <v>213.30000000129999</v>
      </c>
      <c r="EX13">
        <v>221.40000000040001</v>
      </c>
      <c r="EY13">
        <v>229.50000000130001</v>
      </c>
      <c r="EZ13">
        <v>237.7000000015</v>
      </c>
      <c r="FA13">
        <v>245.89999999989999</v>
      </c>
      <c r="FB13">
        <v>254.10000000010001</v>
      </c>
      <c r="FC13">
        <v>262.20000000099998</v>
      </c>
      <c r="FD13">
        <v>270.0999999997</v>
      </c>
      <c r="FE13">
        <v>277.70000000060003</v>
      </c>
      <c r="FF13">
        <v>285.5</v>
      </c>
      <c r="FG13">
        <v>293.10000000079998</v>
      </c>
      <c r="FH13">
        <v>300.69999999980001</v>
      </c>
      <c r="FI13">
        <v>308.50000000099999</v>
      </c>
      <c r="FJ13">
        <v>315.90000000139997</v>
      </c>
      <c r="FK13">
        <v>323.00000000030002</v>
      </c>
      <c r="FL13">
        <v>330.10000000100001</v>
      </c>
      <c r="FM13">
        <v>337.1999999999</v>
      </c>
      <c r="FN13">
        <v>343.8999999998</v>
      </c>
      <c r="FO13">
        <v>350.70000000089999</v>
      </c>
      <c r="FP13">
        <v>357.70000000049998</v>
      </c>
      <c r="FQ13">
        <v>364.30000000109999</v>
      </c>
      <c r="FR13">
        <v>370.7000000013</v>
      </c>
      <c r="FS13">
        <v>377.10000000150001</v>
      </c>
      <c r="FT13">
        <v>383.20000000020002</v>
      </c>
      <c r="FU13">
        <v>389.4</v>
      </c>
      <c r="FV13">
        <v>395.2000000008</v>
      </c>
      <c r="FW13">
        <v>401.30000000140001</v>
      </c>
      <c r="FX13">
        <v>407.20000000149997</v>
      </c>
      <c r="FY13">
        <v>413.00000000049999</v>
      </c>
      <c r="FZ13">
        <v>418.49999999980002</v>
      </c>
      <c r="GA13">
        <v>423.80000000050001</v>
      </c>
      <c r="GB13">
        <v>428.8000000015</v>
      </c>
      <c r="GC13">
        <v>434.00000000109998</v>
      </c>
      <c r="GD13">
        <v>438.90000000100002</v>
      </c>
      <c r="GE13">
        <v>443.60000000050002</v>
      </c>
      <c r="GF13">
        <v>448.20000000070002</v>
      </c>
      <c r="GG13">
        <v>452.60000000050002</v>
      </c>
      <c r="GH13">
        <v>456.20000000049998</v>
      </c>
      <c r="GI13">
        <v>458.20000000089999</v>
      </c>
      <c r="GJ13">
        <v>458.50000000059998</v>
      </c>
      <c r="GK13">
        <v>458.59999999989998</v>
      </c>
      <c r="GL13">
        <v>458.59999999989998</v>
      </c>
      <c r="GM13">
        <v>458.59999999989998</v>
      </c>
      <c r="GN13">
        <v>458.59999999989998</v>
      </c>
      <c r="GO13">
        <v>458.70000000099998</v>
      </c>
      <c r="GP13">
        <v>458.70000000099998</v>
      </c>
      <c r="GQ13">
        <v>458.70000000099998</v>
      </c>
      <c r="GR13">
        <v>458.70000000099998</v>
      </c>
      <c r="GS13">
        <v>458.70000000099998</v>
      </c>
      <c r="GT13">
        <v>458.70000000099998</v>
      </c>
      <c r="GU13">
        <v>458.80000000029997</v>
      </c>
      <c r="GV13">
        <v>458.80000000029997</v>
      </c>
      <c r="GW13">
        <v>1</v>
      </c>
      <c r="GX13">
        <v>118.8000000002</v>
      </c>
      <c r="GY13">
        <v>113.6999999999</v>
      </c>
      <c r="GZ13">
        <v>113.6999999999</v>
      </c>
      <c r="HA13">
        <v>128.5000000007</v>
      </c>
      <c r="HB13">
        <v>117.606451613</v>
      </c>
      <c r="HC13">
        <v>-14.800000000800001</v>
      </c>
      <c r="HD13">
        <v>458.80000000029997</v>
      </c>
      <c r="HE13">
        <v>293.66420008749998</v>
      </c>
      <c r="HF13">
        <v>96.884176111299993</v>
      </c>
      <c r="HG13">
        <v>458.80000000029997</v>
      </c>
      <c r="HH13">
        <v>458.80000000029997</v>
      </c>
      <c r="HI13">
        <v>458.80000000029997</v>
      </c>
      <c r="HJ13">
        <v>458.80000000029997</v>
      </c>
      <c r="HK13">
        <v>112.6099706745</v>
      </c>
      <c r="HL13">
        <v>3.4312470747999999</v>
      </c>
      <c r="HM13">
        <v>3.3065853379000001</v>
      </c>
      <c r="HN13">
        <v>3.3530623453000001</v>
      </c>
      <c r="HO13">
        <v>3.3051789132999998</v>
      </c>
      <c r="HP13">
        <v>3.6494479328999998</v>
      </c>
      <c r="HQ13">
        <v>2.2706955248999998</v>
      </c>
      <c r="HR13">
        <v>20.722275501799999</v>
      </c>
      <c r="HS13">
        <v>-28.152492668600001</v>
      </c>
      <c r="HT13">
        <v>-192</v>
      </c>
      <c r="HU13">
        <v>411.27065170050003</v>
      </c>
      <c r="HV13">
        <v>89.149560117299998</v>
      </c>
      <c r="HW13">
        <v>608</v>
      </c>
      <c r="HX13">
        <v>20.722275501799999</v>
      </c>
      <c r="HY13">
        <v>-28.152492668600001</v>
      </c>
      <c r="HZ13">
        <v>-192</v>
      </c>
      <c r="IA13">
        <v>411.27065170050003</v>
      </c>
      <c r="IB13">
        <v>89.149560117299998</v>
      </c>
      <c r="IC13">
        <v>608</v>
      </c>
      <c r="ID13">
        <v>47.529348299799999</v>
      </c>
      <c r="IE13">
        <v>0.2261224939</v>
      </c>
      <c r="IF13">
        <v>-37.536656891500002</v>
      </c>
      <c r="IG13">
        <v>-256</v>
      </c>
      <c r="IH13">
        <v>433.06329555470001</v>
      </c>
      <c r="II13">
        <v>98.533724340199996</v>
      </c>
      <c r="IJ13">
        <v>672</v>
      </c>
      <c r="IK13">
        <v>390.54837619879999</v>
      </c>
      <c r="IL13">
        <v>117.3020527859</v>
      </c>
      <c r="IM13">
        <v>415.48095030579998</v>
      </c>
      <c r="IN13">
        <v>126.6862170088</v>
      </c>
      <c r="IO13">
        <v>6.7999999991999998</v>
      </c>
      <c r="IP13">
        <v>5.4999999992999999</v>
      </c>
      <c r="IQ13">
        <v>8.7999999996000007</v>
      </c>
      <c r="IR13">
        <v>6.3476997947999996</v>
      </c>
      <c r="IS13">
        <v>6.3476997947999996</v>
      </c>
      <c r="IT13">
        <v>12.0999999999</v>
      </c>
      <c r="IU13">
        <v>-30.4985337243</v>
      </c>
      <c r="IV13">
        <v>15.4000000002</v>
      </c>
      <c r="IW13">
        <v>51.612903225799997</v>
      </c>
      <c r="IX13">
        <v>14.199999999599999</v>
      </c>
      <c r="IY13">
        <v>93.841642228699996</v>
      </c>
      <c r="IZ13">
        <v>-34.604959231899997</v>
      </c>
      <c r="JA13">
        <v>0.3251900532</v>
      </c>
      <c r="JB13">
        <v>-3.4641030000000001E-4</v>
      </c>
      <c r="JC13">
        <v>6.9810000000000004E-7</v>
      </c>
      <c r="JD13">
        <v>0.29143922840000003</v>
      </c>
      <c r="JE13">
        <v>0.1538243661</v>
      </c>
      <c r="JF13">
        <v>7.6115777699999998E-2</v>
      </c>
      <c r="JG13">
        <v>118.2111209433</v>
      </c>
      <c r="JH13">
        <v>3.6494479328999998</v>
      </c>
      <c r="JI13">
        <v>2.7910411999999998E-3</v>
      </c>
      <c r="JJ13">
        <v>-7.8698100000000005E-5</v>
      </c>
      <c r="JK13">
        <v>3.4312470747999999</v>
      </c>
      <c r="JL13">
        <v>1.2905090082999999</v>
      </c>
      <c r="JM13">
        <v>0.5441365024</v>
      </c>
      <c r="JN13" t="s">
        <v>538</v>
      </c>
      <c r="JQ13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68.641050733100002</v>
      </c>
      <c r="D16" s="9">
        <f>AVERAGE(C18:C20)</f>
        <v>69.659506528600005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66.431436439500004</v>
      </c>
      <c r="D17" s="9">
        <f>AVERAGE(C21:C23)</f>
        <v>75.656224723233336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71.477335593199996</v>
      </c>
      <c r="D18" s="11">
        <f>AVERAGE(C24:C26)</f>
        <v>69.663777401600001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70.810859200699994</v>
      </c>
      <c r="D19" s="6">
        <f>AVERAGE('Summary(3pcs)'!E34:E35)</f>
        <v>125.06067684038791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66.690324791899997</v>
      </c>
      <c r="D20" s="9">
        <f>AVERAGE('Summary(3pcs)'!E36:E38)</f>
        <v>132.20136047557122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67.5981935824</v>
      </c>
      <c r="D21" s="9">
        <f>AVERAGE('Summary(3pcs)'!E39:E41)</f>
        <v>135.86526086397126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79.533739375300001</v>
      </c>
      <c r="D22" s="11">
        <f>AVERAGE('Summary(3pcs)'!E42:E44)</f>
        <v>136.31698453273791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79.836741212000007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68.099289515000009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72.513303327399996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68.378739362399998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5.9895852667999998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14.3325519626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2.8725263041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3.6205338045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-1.3687597459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-2.3256581221000001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-18.862337160399999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6.4022105174000004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6.7037993344999993</v>
      </c>
      <c r="C39" s="5">
        <f>'Summary(3pcs)'!M34</f>
        <v>5.9895852667999998</v>
      </c>
      <c r="D39" s="11">
        <f t="shared" si="0"/>
        <v>6.2132058516999997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14.3325519626</v>
      </c>
      <c r="D40" s="6">
        <f t="shared" si="0"/>
        <v>1.8448233280999999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2.8725263041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3.6205338045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-4.0386361277499994</v>
      </c>
      <c r="C43" s="8">
        <f>'Summary(3pcs)'!M39</f>
        <v>-1.3687597459</v>
      </c>
      <c r="D43" s="6">
        <f t="shared" ref="D43:D54" si="2">C55</f>
        <v>0.23213191030000013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-2.3256581221000001</v>
      </c>
      <c r="D44" s="9">
        <f t="shared" si="2"/>
        <v>5.8888353219000003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-18.862337160399999</v>
      </c>
      <c r="D45" s="11">
        <f t="shared" si="2"/>
        <v>7.9366455999999808E-2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6.4022105174000004</v>
      </c>
      <c r="D46" s="6">
        <f t="shared" si="2"/>
        <v>-0.25529904179999985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6.2132058516999997</v>
      </c>
      <c r="D47" s="9">
        <f t="shared" si="2"/>
        <v>1.3580139219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1.8448233280999999</v>
      </c>
      <c r="D48" s="11">
        <f t="shared" si="2"/>
        <v>16.416210170500001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6.1776049411000002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3.2224441542999998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1.5082897327000002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-5.8039585795999997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1.4862586616</v>
      </c>
      <c r="C55" s="5">
        <f>'Summary(3pcs)'!N34</f>
        <v>0.23213191030000013</v>
      </c>
      <c r="D55" s="6">
        <f>AVERAGE(D31:D33)</f>
        <v>7.7315545111666664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5.8888353219000003</v>
      </c>
      <c r="D56" s="9">
        <f>AVERAGE(D34:D36)</f>
        <v>-2.4628021166666809E-2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7.9366455999999808E-2</v>
      </c>
      <c r="D57" s="9">
        <f>AVERAGE(D37:D39)</f>
        <v>-2.082306930433333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-0.25529904179999985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6.7935682969500002</v>
      </c>
      <c r="C59" s="8">
        <f>'Summary(3pcs)'!N39</f>
        <v>1.3580139219</v>
      </c>
      <c r="D59" s="9">
        <f>AVERAGE(D43:D45)</f>
        <v>2.0667778960666667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16.416210170500001</v>
      </c>
      <c r="D60" s="9">
        <f>AVERAGE(D46:D48)</f>
        <v>5.8396416835333333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6.1776049411000002</v>
      </c>
      <c r="D61" s="9">
        <f>AVERAGE(D49:D51)</f>
        <v>3.6361129427000001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3.2224441542999998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1.5082897327000002</v>
      </c>
      <c r="D63" s="6">
        <f>AVERAGE(C71:C73)</f>
        <v>2.7141540836666658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-5.8039585795999997</v>
      </c>
      <c r="D64" s="9">
        <f>AVERAGE(C74:C76)</f>
        <v>5.2782284400000004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6.3303549099999996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11.163508733333336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-2.4177876313333333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-1.1205577156666668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-7.3124249666665975E-2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-1.0261685450000002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-3.0628390310000002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-0.86371421800000014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12.069015499999999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3.7265758499999997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8.5705671300000006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3.5375423399999999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8.2238979299999997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4.5893999999999995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6.1777668000000006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13.478178020000001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9.4352416999999988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10.577106480000001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-0.43513369599999985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-1.5043411250000001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-5.3138880730000002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-2.3652095200000001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1.7086124419999997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-2.705076069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2.3273820880000002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-9.4423656459999989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6.8956108090000008</v>
      </c>
    </row>
    <row r="96" spans="1:7">
      <c r="A96" s="1" t="s">
        <v>87</v>
      </c>
      <c r="C96" s="5">
        <f>'Summary(3pcs)'!W43</f>
        <v>1.821657181</v>
      </c>
    </row>
    <row r="97" spans="1:3">
      <c r="A97" s="1" t="s">
        <v>87</v>
      </c>
      <c r="C97" s="8">
        <f>'Summary(3pcs)'!W44</f>
        <v>-2.2518705730000002</v>
      </c>
    </row>
    <row r="98" spans="1:3" ht="17.25" thickBot="1">
      <c r="A98" s="1" t="s">
        <v>87</v>
      </c>
      <c r="C98" s="10">
        <f>'Summary(3pcs)'!W45</f>
        <v>-2.6482922430000002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2022-09-23T03:13:16Z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